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5" yWindow="90" windowWidth="22845" windowHeight="14955" activeTab="3"/>
  </bookViews>
  <sheets>
    <sheet name="Sheet1" sheetId="1" r:id="rId1"/>
    <sheet name="Sheet2" sheetId="2" r:id="rId2"/>
    <sheet name="Lightning" sheetId="3" r:id="rId3"/>
    <sheet name="verify" sheetId="4" r:id="rId4"/>
  </sheets>
  <calcPr calcId="125725"/>
</workbook>
</file>

<file path=xl/calcChain.xml><?xml version="1.0" encoding="utf-8"?>
<calcChain xmlns="http://schemas.openxmlformats.org/spreadsheetml/2006/main">
  <c r="B4" i="4"/>
  <c r="C4" s="1"/>
  <c r="A5"/>
  <c r="A6" s="1"/>
  <c r="B6" l="1"/>
  <c r="C6" s="1"/>
  <c r="A7"/>
  <c r="B5"/>
  <c r="C5" s="1"/>
  <c r="C150" i="3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F10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M6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B10"/>
  <c r="A11"/>
  <c r="A12" s="1"/>
  <c r="C80" i="1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A11" i="2"/>
  <c r="A12" s="1"/>
  <c r="B10"/>
  <c r="B10" i="1"/>
  <c r="A11"/>
  <c r="B11" s="1"/>
  <c r="A8" i="4" l="1"/>
  <c r="B7"/>
  <c r="C7" s="1"/>
  <c r="A13" i="3"/>
  <c r="B12"/>
  <c r="B11"/>
  <c r="A13" i="2"/>
  <c r="B12"/>
  <c r="B11"/>
  <c r="A12" i="1"/>
  <c r="A9" i="4" l="1"/>
  <c r="B8"/>
  <c r="C8" s="1"/>
  <c r="A14" i="3"/>
  <c r="B13"/>
  <c r="A14" i="2"/>
  <c r="B13"/>
  <c r="B12" i="1"/>
  <c r="A13"/>
  <c r="B9" i="4" l="1"/>
  <c r="C9" s="1"/>
  <c r="A10"/>
  <c r="A15" i="3"/>
  <c r="B14"/>
  <c r="B14" i="2"/>
  <c r="A15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B13" i="1"/>
  <c r="A14"/>
  <c r="A11" i="4" l="1"/>
  <c r="B10"/>
  <c r="C10" s="1"/>
  <c r="A16" i="3"/>
  <c r="B15"/>
  <c r="A15" i="1"/>
  <c r="B14"/>
  <c r="A12" i="4" l="1"/>
  <c r="B11"/>
  <c r="C11" s="1"/>
  <c r="A17" i="3"/>
  <c r="B16"/>
  <c r="B15" i="2"/>
  <c r="A16" i="1"/>
  <c r="B15"/>
  <c r="B12" i="4" l="1"/>
  <c r="C12" s="1"/>
  <c r="A13"/>
  <c r="A18" i="3"/>
  <c r="B17"/>
  <c r="B16" i="2"/>
  <c r="A17" i="1"/>
  <c r="B16"/>
  <c r="B13" i="4" l="1"/>
  <c r="C13" s="1"/>
  <c r="A14"/>
  <c r="A19" i="3"/>
  <c r="B18"/>
  <c r="B17" i="2"/>
  <c r="B17" i="1"/>
  <c r="A18"/>
  <c r="B14" i="4" l="1"/>
  <c r="C14" s="1"/>
  <c r="A15"/>
  <c r="A20" i="3"/>
  <c r="B19"/>
  <c r="B18" i="2"/>
  <c r="B18" i="1"/>
  <c r="A19"/>
  <c r="A16" i="4" l="1"/>
  <c r="B15"/>
  <c r="C15" s="1"/>
  <c r="A21" i="3"/>
  <c r="B20"/>
  <c r="B19" i="2"/>
  <c r="A20" i="1"/>
  <c r="B19"/>
  <c r="A17" i="4" l="1"/>
  <c r="B16"/>
  <c r="C16" s="1"/>
  <c r="A22" i="3"/>
  <c r="B21"/>
  <c r="B20" i="2"/>
  <c r="B20" i="1"/>
  <c r="A21"/>
  <c r="B17" i="4" l="1"/>
  <c r="C17" s="1"/>
  <c r="A18"/>
  <c r="A23" i="3"/>
  <c r="B22"/>
  <c r="B21" i="2"/>
  <c r="B21" i="1"/>
  <c r="A22"/>
  <c r="A19" i="4" l="1"/>
  <c r="B18"/>
  <c r="C18" s="1"/>
  <c r="A24" i="3"/>
  <c r="B23"/>
  <c r="B22" i="2"/>
  <c r="B22" i="1"/>
  <c r="A23"/>
  <c r="A20" i="4" l="1"/>
  <c r="B19"/>
  <c r="C19" s="1"/>
  <c r="A25" i="3"/>
  <c r="B24"/>
  <c r="B23" i="2"/>
  <c r="B23" i="1"/>
  <c r="A24"/>
  <c r="A21" i="4" l="1"/>
  <c r="B20"/>
  <c r="C20" s="1"/>
  <c r="A26" i="3"/>
  <c r="B25"/>
  <c r="B24" i="2"/>
  <c r="B24" i="1"/>
  <c r="A25"/>
  <c r="A22" i="4" l="1"/>
  <c r="B21"/>
  <c r="C21" s="1"/>
  <c r="A27" i="3"/>
  <c r="B26"/>
  <c r="B25" i="2"/>
  <c r="B25" i="1"/>
  <c r="A26"/>
  <c r="B22" i="4" l="1"/>
  <c r="C22" s="1"/>
  <c r="A23"/>
  <c r="A28" i="3"/>
  <c r="B27"/>
  <c r="B26" i="2"/>
  <c r="B26" i="1"/>
  <c r="A27"/>
  <c r="A24" i="4" l="1"/>
  <c r="B23"/>
  <c r="C23" s="1"/>
  <c r="A29" i="3"/>
  <c r="B28"/>
  <c r="B27" i="2"/>
  <c r="B27" i="1"/>
  <c r="A28"/>
  <c r="A25" i="4" l="1"/>
  <c r="B24"/>
  <c r="C24" s="1"/>
  <c r="A30" i="3"/>
  <c r="B29"/>
  <c r="B28" i="2"/>
  <c r="B28" i="1"/>
  <c r="A29"/>
  <c r="B25" i="4" l="1"/>
  <c r="C25" s="1"/>
  <c r="A26"/>
  <c r="A31" i="3"/>
  <c r="B30"/>
  <c r="B29" i="2"/>
  <c r="B29" i="1"/>
  <c r="A30"/>
  <c r="B26" i="4" l="1"/>
  <c r="C26" s="1"/>
  <c r="A27"/>
  <c r="A32" i="3"/>
  <c r="B31"/>
  <c r="B30" i="2"/>
  <c r="B30" i="1"/>
  <c r="A31"/>
  <c r="A28" i="4" l="1"/>
  <c r="B27"/>
  <c r="C27" s="1"/>
  <c r="A33" i="3"/>
  <c r="B32"/>
  <c r="B31" i="2"/>
  <c r="B31" i="1"/>
  <c r="A32"/>
  <c r="A29" i="4" l="1"/>
  <c r="B28"/>
  <c r="C28" s="1"/>
  <c r="A34" i="3"/>
  <c r="B33"/>
  <c r="B32" i="2"/>
  <c r="B32" i="1"/>
  <c r="A33"/>
  <c r="B29" i="4" l="1"/>
  <c r="C29" s="1"/>
  <c r="A30"/>
  <c r="A35" i="3"/>
  <c r="B34"/>
  <c r="B33" i="2"/>
  <c r="B33" i="1"/>
  <c r="A34"/>
  <c r="B30" i="4" l="1"/>
  <c r="C30" s="1"/>
  <c r="A31"/>
  <c r="A36" i="3"/>
  <c r="B35"/>
  <c r="B34" i="2"/>
  <c r="A35" i="1"/>
  <c r="B34"/>
  <c r="A32" i="4" l="1"/>
  <c r="B31"/>
  <c r="C31" s="1"/>
  <c r="A37" i="3"/>
  <c r="B36"/>
  <c r="B35" i="2"/>
  <c r="A36" i="1"/>
  <c r="B35"/>
  <c r="A33" i="4" l="1"/>
  <c r="B32"/>
  <c r="C32" s="1"/>
  <c r="A38" i="3"/>
  <c r="B37"/>
  <c r="B36" i="2"/>
  <c r="B36" i="1"/>
  <c r="A37"/>
  <c r="B33" i="4" l="1"/>
  <c r="C33" s="1"/>
  <c r="A34"/>
  <c r="A39" i="3"/>
  <c r="B38"/>
  <c r="B37" i="2"/>
  <c r="B37" i="1"/>
  <c r="A38"/>
  <c r="B34" i="4" l="1"/>
  <c r="C34" s="1"/>
  <c r="A35"/>
  <c r="A40" i="3"/>
  <c r="B39"/>
  <c r="B38" i="2"/>
  <c r="B38" i="1"/>
  <c r="A39"/>
  <c r="A36" i="4" l="1"/>
  <c r="B35"/>
  <c r="C35" s="1"/>
  <c r="A41" i="3"/>
  <c r="B40"/>
  <c r="B39" i="2"/>
  <c r="B39" i="1"/>
  <c r="A40"/>
  <c r="A37" i="4" l="1"/>
  <c r="B36"/>
  <c r="C36" s="1"/>
  <c r="A42" i="3"/>
  <c r="B41"/>
  <c r="B40" i="2"/>
  <c r="B40" i="1"/>
  <c r="A41"/>
  <c r="A38" i="4" l="1"/>
  <c r="B37"/>
  <c r="C37" s="1"/>
  <c r="A43" i="3"/>
  <c r="B42"/>
  <c r="B41" i="2"/>
  <c r="B41" i="1"/>
  <c r="A42"/>
  <c r="B38" i="4" l="1"/>
  <c r="C38" s="1"/>
  <c r="A39"/>
  <c r="A44" i="3"/>
  <c r="B43"/>
  <c r="B42" i="2"/>
  <c r="B42" i="1"/>
  <c r="A43"/>
  <c r="A40" i="4" l="1"/>
  <c r="B39"/>
  <c r="C39" s="1"/>
  <c r="A45" i="3"/>
  <c r="B44"/>
  <c r="B43" i="2"/>
  <c r="B43" i="1"/>
  <c r="A44"/>
  <c r="A41" i="4" l="1"/>
  <c r="B40"/>
  <c r="C40" s="1"/>
  <c r="A46" i="3"/>
  <c r="B45"/>
  <c r="B44" i="2"/>
  <c r="B44" i="1"/>
  <c r="A45"/>
  <c r="B41" i="4" l="1"/>
  <c r="C41" s="1"/>
  <c r="A42"/>
  <c r="A47" i="3"/>
  <c r="B46"/>
  <c r="B45" i="2"/>
  <c r="B45" i="1"/>
  <c r="A46"/>
  <c r="A43" i="4" l="1"/>
  <c r="B42"/>
  <c r="C42" s="1"/>
  <c r="A48" i="3"/>
  <c r="B47"/>
  <c r="B46" i="2"/>
  <c r="B46" i="1"/>
  <c r="A47"/>
  <c r="A44" i="4" l="1"/>
  <c r="B43"/>
  <c r="C43" s="1"/>
  <c r="A49" i="3"/>
  <c r="B48"/>
  <c r="B47" i="2"/>
  <c r="A48" i="1"/>
  <c r="B47"/>
  <c r="A45" i="4" l="1"/>
  <c r="B44"/>
  <c r="C44" s="1"/>
  <c r="A50" i="3"/>
  <c r="B49"/>
  <c r="B48" i="2"/>
  <c r="B48" i="1"/>
  <c r="A49"/>
  <c r="A46" i="4" l="1"/>
  <c r="B45"/>
  <c r="C45" s="1"/>
  <c r="A51" i="3"/>
  <c r="B50"/>
  <c r="B49" i="2"/>
  <c r="B49" i="1"/>
  <c r="A50"/>
  <c r="B46" i="4" l="1"/>
  <c r="C46" s="1"/>
  <c r="A47"/>
  <c r="B47" s="1"/>
  <c r="C47" s="1"/>
  <c r="A52" i="3"/>
  <c r="B51"/>
  <c r="B50" i="2"/>
  <c r="B50" i="1"/>
  <c r="A51"/>
  <c r="A53" i="3" l="1"/>
  <c r="B52"/>
  <c r="B51" i="2"/>
  <c r="B51" i="1"/>
  <c r="A52"/>
  <c r="A54" i="3" l="1"/>
  <c r="B53"/>
  <c r="B52" i="2"/>
  <c r="B52" i="1"/>
  <c r="A53"/>
  <c r="A55" i="3" l="1"/>
  <c r="B54"/>
  <c r="B53" i="2"/>
  <c r="B53" i="1"/>
  <c r="A54"/>
  <c r="A56" i="3" l="1"/>
  <c r="B55"/>
  <c r="B54" i="2"/>
  <c r="B54" i="1"/>
  <c r="A55"/>
  <c r="A57" i="3" l="1"/>
  <c r="B56"/>
  <c r="B55" i="2"/>
  <c r="B55" i="1"/>
  <c r="A56"/>
  <c r="A58" i="3" l="1"/>
  <c r="B57"/>
  <c r="B56" i="2"/>
  <c r="B56" i="1"/>
  <c r="A57"/>
  <c r="A59" i="3" l="1"/>
  <c r="B58"/>
  <c r="B57" i="2"/>
  <c r="B57" i="1"/>
  <c r="A58"/>
  <c r="A60" i="3" l="1"/>
  <c r="B59"/>
  <c r="B58" i="2"/>
  <c r="B58" i="1"/>
  <c r="A59"/>
  <c r="A61" i="3" l="1"/>
  <c r="B60"/>
  <c r="B59" i="2"/>
  <c r="B59" i="1"/>
  <c r="A60"/>
  <c r="A62" i="3" l="1"/>
  <c r="B61"/>
  <c r="B60" i="2"/>
  <c r="B60" i="1"/>
  <c r="A61"/>
  <c r="A63" i="3" l="1"/>
  <c r="B62"/>
  <c r="B61" i="2"/>
  <c r="B61" i="1"/>
  <c r="A62"/>
  <c r="A64" i="3" l="1"/>
  <c r="B63"/>
  <c r="B62" i="2"/>
  <c r="B62" i="1"/>
  <c r="A63"/>
  <c r="A65" i="3" l="1"/>
  <c r="B64"/>
  <c r="B63" i="2"/>
  <c r="B63" i="1"/>
  <c r="A64"/>
  <c r="A66" i="3" l="1"/>
  <c r="B65"/>
  <c r="B64" i="2"/>
  <c r="B64" i="1"/>
  <c r="A65"/>
  <c r="A67" i="3" l="1"/>
  <c r="B66"/>
  <c r="B65" i="2"/>
  <c r="B65" i="1"/>
  <c r="A66"/>
  <c r="A68" i="3" l="1"/>
  <c r="B67"/>
  <c r="B66" i="2"/>
  <c r="B66" i="1"/>
  <c r="A67"/>
  <c r="A69" i="3" l="1"/>
  <c r="B68"/>
  <c r="B67" i="2"/>
  <c r="B67" i="1"/>
  <c r="A68"/>
  <c r="A70" i="3" l="1"/>
  <c r="B69"/>
  <c r="B68" i="2"/>
  <c r="A69" i="1"/>
  <c r="B68"/>
  <c r="A71" i="3" l="1"/>
  <c r="B70"/>
  <c r="B69" i="2"/>
  <c r="A70" i="1"/>
  <c r="B69"/>
  <c r="A72" i="3" l="1"/>
  <c r="B71"/>
  <c r="B70" i="2"/>
  <c r="B70" i="1"/>
  <c r="A71"/>
  <c r="A73" i="3" l="1"/>
  <c r="B72"/>
  <c r="B71" i="2"/>
  <c r="B71" i="1"/>
  <c r="A72"/>
  <c r="A74" i="3" l="1"/>
  <c r="B73"/>
  <c r="B72" i="2"/>
  <c r="A73" i="1"/>
  <c r="B72"/>
  <c r="A75" i="3" l="1"/>
  <c r="B74"/>
  <c r="B73" i="2"/>
  <c r="B73" i="1"/>
  <c r="A74"/>
  <c r="A76" i="3" l="1"/>
  <c r="B75"/>
  <c r="B74" i="2"/>
  <c r="B74" i="1"/>
  <c r="A75"/>
  <c r="A77" i="3" l="1"/>
  <c r="B76"/>
  <c r="B75" i="2"/>
  <c r="A76" i="1"/>
  <c r="B75"/>
  <c r="A78" i="3" l="1"/>
  <c r="B77"/>
  <c r="B76" i="2"/>
  <c r="B76" i="1"/>
  <c r="A77"/>
  <c r="A79" i="3" l="1"/>
  <c r="B78"/>
  <c r="B77" i="2"/>
  <c r="B77" i="1"/>
  <c r="A78"/>
  <c r="A80" i="3" l="1"/>
  <c r="B79"/>
  <c r="B78" i="2"/>
  <c r="B78" i="1"/>
  <c r="A79"/>
  <c r="A81" i="3" l="1"/>
  <c r="B80"/>
  <c r="B79" i="2"/>
  <c r="B80"/>
  <c r="B79" i="1"/>
  <c r="A80"/>
  <c r="B80" s="1"/>
  <c r="A82" i="3" l="1"/>
  <c r="B81"/>
  <c r="A83" l="1"/>
  <c r="B82"/>
  <c r="A84" l="1"/>
  <c r="B83"/>
  <c r="A85" l="1"/>
  <c r="B84"/>
  <c r="A86" l="1"/>
  <c r="B85"/>
  <c r="A87" l="1"/>
  <c r="B86"/>
  <c r="A88" l="1"/>
  <c r="B87"/>
  <c r="A89" l="1"/>
  <c r="B88"/>
  <c r="A90" l="1"/>
  <c r="B89"/>
  <c r="A91" l="1"/>
  <c r="B90"/>
  <c r="A92" l="1"/>
  <c r="B91"/>
  <c r="A93" l="1"/>
  <c r="B92"/>
  <c r="A94" l="1"/>
  <c r="B93"/>
  <c r="A95" l="1"/>
  <c r="B94"/>
  <c r="A96" l="1"/>
  <c r="B95"/>
  <c r="A97" l="1"/>
  <c r="B96"/>
  <c r="A98" l="1"/>
  <c r="B97"/>
  <c r="A99" l="1"/>
  <c r="B98"/>
  <c r="A100" l="1"/>
  <c r="B99"/>
  <c r="A101" l="1"/>
  <c r="B100"/>
  <c r="A102" l="1"/>
  <c r="B101"/>
  <c r="A103" l="1"/>
  <c r="B102"/>
  <c r="A104" l="1"/>
  <c r="B103"/>
  <c r="A105" l="1"/>
  <c r="B104"/>
  <c r="A106" l="1"/>
  <c r="B105"/>
  <c r="A107" l="1"/>
  <c r="B106"/>
  <c r="A108" l="1"/>
  <c r="B107"/>
  <c r="A109" l="1"/>
  <c r="B108"/>
  <c r="A110" l="1"/>
  <c r="B109"/>
  <c r="A111" l="1"/>
  <c r="B110"/>
  <c r="A112" l="1"/>
  <c r="B111"/>
  <c r="A113" l="1"/>
  <c r="B112"/>
  <c r="A114" l="1"/>
  <c r="B113"/>
  <c r="A115" l="1"/>
  <c r="B114"/>
  <c r="A116" l="1"/>
  <c r="B115"/>
  <c r="A117" l="1"/>
  <c r="B116"/>
  <c r="A118" l="1"/>
  <c r="B117"/>
  <c r="A119" l="1"/>
  <c r="B118"/>
  <c r="A120" l="1"/>
  <c r="B119"/>
  <c r="A121" l="1"/>
  <c r="B120"/>
  <c r="A122" l="1"/>
  <c r="B121"/>
  <c r="A123" l="1"/>
  <c r="B122"/>
  <c r="A124" l="1"/>
  <c r="B123"/>
  <c r="A125" l="1"/>
  <c r="B124"/>
  <c r="A126" l="1"/>
  <c r="B125"/>
  <c r="A127" l="1"/>
  <c r="B126"/>
  <c r="A128" l="1"/>
  <c r="B127"/>
  <c r="A129" l="1"/>
  <c r="B128"/>
  <c r="A130" l="1"/>
  <c r="B129"/>
  <c r="A131" l="1"/>
  <c r="B130"/>
  <c r="A132" l="1"/>
  <c r="B131"/>
  <c r="A133" l="1"/>
  <c r="B132"/>
  <c r="A134" l="1"/>
  <c r="B133"/>
  <c r="A135" l="1"/>
  <c r="B134"/>
  <c r="A136" l="1"/>
  <c r="B135"/>
  <c r="A137" l="1"/>
  <c r="B136"/>
  <c r="A138" l="1"/>
  <c r="B137"/>
  <c r="A139" l="1"/>
  <c r="B138"/>
  <c r="A140" l="1"/>
  <c r="B139"/>
  <c r="A141" l="1"/>
  <c r="B140"/>
  <c r="A142" l="1"/>
  <c r="B141"/>
  <c r="A143" l="1"/>
  <c r="B142"/>
  <c r="A144" l="1"/>
  <c r="B143"/>
  <c r="A145" l="1"/>
  <c r="B144"/>
  <c r="A146" l="1"/>
  <c r="B145"/>
  <c r="A147" l="1"/>
  <c r="B146"/>
  <c r="A148" l="1"/>
  <c r="B147"/>
  <c r="A149" l="1"/>
  <c r="B148"/>
  <c r="A150" l="1"/>
  <c r="B150" s="1"/>
  <c r="B149"/>
</calcChain>
</file>

<file path=xl/sharedStrings.xml><?xml version="1.0" encoding="utf-8"?>
<sst xmlns="http://schemas.openxmlformats.org/spreadsheetml/2006/main" count="8" uniqueCount="8">
  <si>
    <t>parabolic fractal</t>
  </si>
  <si>
    <t>dispersional growth</t>
  </si>
  <si>
    <t>randomized poisson statistics?</t>
  </si>
  <si>
    <t># events per time</t>
  </si>
  <si>
    <t>flashes/minute</t>
  </si>
  <si>
    <t>exp</t>
  </si>
  <si>
    <t>disp</t>
  </si>
  <si>
    <t>approx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</si>
</sst>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33552055993001"/>
          <c:y val="5.1400554097404488E-2"/>
          <c:w val="0.76995056867891531"/>
          <c:h val="0.8971988918051913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Sheet1!$B$10:$B$80</c:f>
              <c:numCache>
                <c:formatCode>General</c:formatCode>
                <c:ptCount val="71"/>
                <c:pt idx="0">
                  <c:v>10</c:v>
                </c:pt>
                <c:pt idx="1">
                  <c:v>12.58925411794168</c:v>
                </c:pt>
                <c:pt idx="2">
                  <c:v>15.848931924611144</c:v>
                </c:pt>
                <c:pt idx="3">
                  <c:v>19.952623149688815</c:v>
                </c:pt>
                <c:pt idx="4">
                  <c:v>25.118864315095834</c:v>
                </c:pt>
                <c:pt idx="5">
                  <c:v>31.622776601683832</c:v>
                </c:pt>
                <c:pt idx="6">
                  <c:v>39.810717055349791</c:v>
                </c:pt>
                <c:pt idx="7">
                  <c:v>50.11872336272733</c:v>
                </c:pt>
                <c:pt idx="8">
                  <c:v>63.095734448019471</c:v>
                </c:pt>
                <c:pt idx="9">
                  <c:v>79.432823472428325</c:v>
                </c:pt>
                <c:pt idx="10">
                  <c:v>100.00000000000023</c:v>
                </c:pt>
                <c:pt idx="11">
                  <c:v>125.89254117941711</c:v>
                </c:pt>
                <c:pt idx="12">
                  <c:v>158.48931924611182</c:v>
                </c:pt>
                <c:pt idx="13">
                  <c:v>199.52623149688853</c:v>
                </c:pt>
                <c:pt idx="14">
                  <c:v>251.18864315095894</c:v>
                </c:pt>
                <c:pt idx="15">
                  <c:v>316.2277660168391</c:v>
                </c:pt>
                <c:pt idx="16">
                  <c:v>398.10717055349869</c:v>
                </c:pt>
                <c:pt idx="17">
                  <c:v>501.18723362727451</c:v>
                </c:pt>
                <c:pt idx="18">
                  <c:v>630.95734448019596</c:v>
                </c:pt>
                <c:pt idx="19">
                  <c:v>794.32823472428493</c:v>
                </c:pt>
                <c:pt idx="20">
                  <c:v>1000.0000000000051</c:v>
                </c:pt>
                <c:pt idx="21">
                  <c:v>1258.9254117941734</c:v>
                </c:pt>
                <c:pt idx="22">
                  <c:v>1584.8931924611213</c:v>
                </c:pt>
                <c:pt idx="23">
                  <c:v>1995.2623149688911</c:v>
                </c:pt>
                <c:pt idx="24">
                  <c:v>2511.8864315095943</c:v>
                </c:pt>
                <c:pt idx="25">
                  <c:v>3162.2776601683972</c:v>
                </c:pt>
                <c:pt idx="26">
                  <c:v>3981.0717055349983</c:v>
                </c:pt>
                <c:pt idx="27">
                  <c:v>5011.8723362727505</c:v>
                </c:pt>
                <c:pt idx="28">
                  <c:v>6309.5734448019721</c:v>
                </c:pt>
                <c:pt idx="29">
                  <c:v>7943.2823472428718</c:v>
                </c:pt>
                <c:pt idx="30">
                  <c:v>10000.000000000062</c:v>
                </c:pt>
                <c:pt idx="31">
                  <c:v>12589.25411794176</c:v>
                </c:pt>
                <c:pt idx="32">
                  <c:v>15848.931924611232</c:v>
                </c:pt>
                <c:pt idx="33">
                  <c:v>19952.623149688898</c:v>
                </c:pt>
                <c:pt idx="34">
                  <c:v>25118.864315095907</c:v>
                </c:pt>
                <c:pt idx="35">
                  <c:v>31622.776601683894</c:v>
                </c:pt>
                <c:pt idx="36">
                  <c:v>39810.717055349814</c:v>
                </c:pt>
                <c:pt idx="37">
                  <c:v>50118.723362727294</c:v>
                </c:pt>
                <c:pt idx="38">
                  <c:v>63095.734448019342</c:v>
                </c:pt>
                <c:pt idx="39">
                  <c:v>79432.823472428106</c:v>
                </c:pt>
                <c:pt idx="40">
                  <c:v>99999.99999999984</c:v>
                </c:pt>
                <c:pt idx="41">
                  <c:v>125892.5411794164</c:v>
                </c:pt>
                <c:pt idx="42">
                  <c:v>158489.31924611109</c:v>
                </c:pt>
                <c:pt idx="43">
                  <c:v>199526.23149688743</c:v>
                </c:pt>
                <c:pt idx="44">
                  <c:v>251188.6431509571</c:v>
                </c:pt>
                <c:pt idx="45">
                  <c:v>316227.76601683651</c:v>
                </c:pt>
                <c:pt idx="46">
                  <c:v>398107.17055349506</c:v>
                </c:pt>
                <c:pt idx="47">
                  <c:v>501187.23362726904</c:v>
                </c:pt>
                <c:pt idx="48">
                  <c:v>630957.34448018856</c:v>
                </c:pt>
                <c:pt idx="49">
                  <c:v>794328.23472427484</c:v>
                </c:pt>
                <c:pt idx="50">
                  <c:v>999999.99999999069</c:v>
                </c:pt>
                <c:pt idx="51">
                  <c:v>1258925.4117941542</c:v>
                </c:pt>
                <c:pt idx="52">
                  <c:v>1584893.1924610955</c:v>
                </c:pt>
                <c:pt idx="53">
                  <c:v>1995262.3149688588</c:v>
                </c:pt>
                <c:pt idx="54">
                  <c:v>2511886.4315095516</c:v>
                </c:pt>
                <c:pt idx="55">
                  <c:v>3162277.6601683404</c:v>
                </c:pt>
                <c:pt idx="56">
                  <c:v>3981071.7055349196</c:v>
                </c:pt>
                <c:pt idx="57">
                  <c:v>5011872.3362726513</c:v>
                </c:pt>
                <c:pt idx="58">
                  <c:v>6309573.4448018363</c:v>
                </c:pt>
                <c:pt idx="59">
                  <c:v>7943282.3472426869</c:v>
                </c:pt>
                <c:pt idx="60">
                  <c:v>9999999.9999998286</c:v>
                </c:pt>
                <c:pt idx="61">
                  <c:v>12589254.117941445</c:v>
                </c:pt>
                <c:pt idx="62">
                  <c:v>15848931.924610833</c:v>
                </c:pt>
                <c:pt idx="63">
                  <c:v>19952623.149688397</c:v>
                </c:pt>
                <c:pt idx="64">
                  <c:v>25118864.315095276</c:v>
                </c:pt>
                <c:pt idx="65">
                  <c:v>31622776.601683099</c:v>
                </c:pt>
                <c:pt idx="66">
                  <c:v>39810717.055348814</c:v>
                </c:pt>
                <c:pt idx="67">
                  <c:v>50118723.362726033</c:v>
                </c:pt>
                <c:pt idx="68">
                  <c:v>63095734.448017761</c:v>
                </c:pt>
                <c:pt idx="69">
                  <c:v>79432823.472426102</c:v>
                </c:pt>
                <c:pt idx="70">
                  <c:v>99999999.99999769</c:v>
                </c:pt>
              </c:numCache>
            </c:numRef>
          </c:xVal>
          <c:yVal>
            <c:numRef>
              <c:f>Sheet1!$C$10:$C$80</c:f>
              <c:numCache>
                <c:formatCode>General</c:formatCode>
                <c:ptCount val="71"/>
                <c:pt idx="0">
                  <c:v>2.9913251570445705E-3</c:v>
                </c:pt>
                <c:pt idx="1">
                  <c:v>3.7629407442787868E-3</c:v>
                </c:pt>
                <c:pt idx="2">
                  <c:v>4.7326506052641293E-3</c:v>
                </c:pt>
                <c:pt idx="3">
                  <c:v>5.9507620274532142E-3</c:v>
                </c:pt>
                <c:pt idx="4">
                  <c:v>7.4800402636191216E-3</c:v>
                </c:pt>
                <c:pt idx="5">
                  <c:v>9.3986098000630198E-3</c:v>
                </c:pt>
                <c:pt idx="6">
                  <c:v>1.1803424619720951E-2</c:v>
                </c:pt>
                <c:pt idx="7">
                  <c:v>1.4814355469296298E-2</c:v>
                </c:pt>
                <c:pt idx="8">
                  <c:v>1.8578903358940399E-2</c:v>
                </c:pt>
                <c:pt idx="9">
                  <c:v>2.327747609448879E-2</c:v>
                </c:pt>
                <c:pt idx="10">
                  <c:v>2.9129041654529626E-2</c:v>
                </c:pt>
                <c:pt idx="11">
                  <c:v>3.6396777199817293E-2</c:v>
                </c:pt>
                <c:pt idx="12">
                  <c:v>4.5393041408568049E-2</c:v>
                </c:pt>
                <c:pt idx="13">
                  <c:v>5.6482590197876721E-2</c:v>
                </c:pt>
                <c:pt idx="14">
                  <c:v>7.0082428175469044E-2</c:v>
                </c:pt>
                <c:pt idx="15">
                  <c:v>8.6656078023324978E-2</c:v>
                </c:pt>
                <c:pt idx="16">
                  <c:v>0.10669947346874004</c:v>
                </c:pt>
                <c:pt idx="17">
                  <c:v>0.13071537801588629</c:v>
                </c:pt>
                <c:pt idx="18">
                  <c:v>0.15917359589118762</c:v>
                </c:pt>
                <c:pt idx="19">
                  <c:v>0.19245579453589254</c:v>
                </c:pt>
                <c:pt idx="20">
                  <c:v>0.23078698361412511</c:v>
                </c:pt>
                <c:pt idx="21">
                  <c:v>0.27416068400429039</c:v>
                </c:pt>
                <c:pt idx="22">
                  <c:v>0.32227076319808684</c:v>
                </c:pt>
                <c:pt idx="23">
                  <c:v>0.37446773394836896</c:v>
                </c:pt>
                <c:pt idx="24">
                  <c:v>0.42975795354518709</c:v>
                </c:pt>
                <c:pt idx="25">
                  <c:v>0.48685796445019286</c:v>
                </c:pt>
                <c:pt idx="26">
                  <c:v>0.54430307300956338</c:v>
                </c:pt>
                <c:pt idx="27">
                  <c:v>0.60059305095508642</c:v>
                </c:pt>
                <c:pt idx="28">
                  <c:v>0.6543453862104911</c:v>
                </c:pt>
                <c:pt idx="29">
                  <c:v>0.70442386086448594</c:v>
                </c:pt>
                <c:pt idx="30">
                  <c:v>0.75001875046876287</c:v>
                </c:pt>
                <c:pt idx="31">
                  <c:v>0.79067034257139146</c:v>
                </c:pt>
                <c:pt idx="32">
                  <c:v>0.82624273649289615</c:v>
                </c:pt>
                <c:pt idx="33">
                  <c:v>0.85686447046857195</c:v>
                </c:pt>
                <c:pt idx="34">
                  <c:v>0.88285477664704082</c:v>
                </c:pt>
                <c:pt idx="35">
                  <c:v>0.90465095260279704</c:v>
                </c:pt>
                <c:pt idx="36">
                  <c:v>0.92274657290830919</c:v>
                </c:pt>
                <c:pt idx="37">
                  <c:v>0.93764466718159822</c:v>
                </c:pt>
                <c:pt idx="38">
                  <c:v>0.94982592958160161</c:v>
                </c:pt>
                <c:pt idx="39">
                  <c:v>0.95972975486542056</c:v>
                </c:pt>
                <c:pt idx="40">
                  <c:v>0.96774505724212001</c:v>
                </c:pt>
                <c:pt idx="41">
                  <c:v>0.97420788514731405</c:v>
                </c:pt>
                <c:pt idx="42">
                  <c:v>0.97940333561199977</c:v>
                </c:pt>
                <c:pt idx="43">
                  <c:v>0.98356988747612839</c:v>
                </c:pt>
                <c:pt idx="44">
                  <c:v>0.98690484644552134</c:v>
                </c:pt>
                <c:pt idx="45">
                  <c:v>0.98957005879806792</c:v>
                </c:pt>
                <c:pt idx="46">
                  <c:v>0.99169739292556458</c:v>
                </c:pt>
                <c:pt idx="47">
                  <c:v>0.99339372382344848</c:v>
                </c:pt>
                <c:pt idx="48">
                  <c:v>0.99474530862876132</c:v>
                </c:pt>
                <c:pt idx="49">
                  <c:v>0.99582153443729526</c:v>
                </c:pt>
                <c:pt idx="50">
                  <c:v>0.99667807198607039</c:v>
                </c:pt>
                <c:pt idx="51">
                  <c:v>0.99735949472084517</c:v>
                </c:pt>
                <c:pt idx="52">
                  <c:v>0.99790143241824047</c:v>
                </c:pt>
                <c:pt idx="53">
                  <c:v>0.99833232872356059</c:v>
                </c:pt>
                <c:pt idx="54">
                  <c:v>0.99867486710771802</c:v>
                </c:pt>
                <c:pt idx="55">
                  <c:v>0.99894712257513596</c:v>
                </c:pt>
                <c:pt idx="56">
                  <c:v>0.99916348858955772</c:v>
                </c:pt>
                <c:pt idx="57">
                  <c:v>0.99933542102934569</c:v>
                </c:pt>
                <c:pt idx="58">
                  <c:v>0.99947203399430318</c:v>
                </c:pt>
                <c:pt idx="59">
                  <c:v>0.99958057615042917</c:v>
                </c:pt>
                <c:pt idx="60">
                  <c:v>0.99966681105187627</c:v>
                </c:pt>
                <c:pt idx="61">
                  <c:v>0.99973532047316538</c:v>
                </c:pt>
                <c:pt idx="62">
                  <c:v>0.99978974613306981</c:v>
                </c:pt>
                <c:pt idx="63">
                  <c:v>0.99983298219463901</c:v>
                </c:pt>
                <c:pt idx="64">
                  <c:v>0.99986732848412108</c:v>
                </c:pt>
                <c:pt idx="65">
                  <c:v>0.99989461239330479</c:v>
                </c:pt>
                <c:pt idx="66">
                  <c:v>0.99991628583388614</c:v>
                </c:pt>
                <c:pt idx="67">
                  <c:v>0.99993350232927625</c:v>
                </c:pt>
                <c:pt idx="68">
                  <c:v>0.99994717830017454</c:v>
                </c:pt>
                <c:pt idx="69">
                  <c:v>0.9999580417765912</c:v>
                </c:pt>
                <c:pt idx="70">
                  <c:v>0.99996667111085191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xVal>
            <c:numRef>
              <c:f>Sheet1!$B$10:$B$80</c:f>
              <c:numCache>
                <c:formatCode>General</c:formatCode>
                <c:ptCount val="71"/>
                <c:pt idx="0">
                  <c:v>10</c:v>
                </c:pt>
                <c:pt idx="1">
                  <c:v>12.58925411794168</c:v>
                </c:pt>
                <c:pt idx="2">
                  <c:v>15.848931924611144</c:v>
                </c:pt>
                <c:pt idx="3">
                  <c:v>19.952623149688815</c:v>
                </c:pt>
                <c:pt idx="4">
                  <c:v>25.118864315095834</c:v>
                </c:pt>
                <c:pt idx="5">
                  <c:v>31.622776601683832</c:v>
                </c:pt>
                <c:pt idx="6">
                  <c:v>39.810717055349791</c:v>
                </c:pt>
                <c:pt idx="7">
                  <c:v>50.11872336272733</c:v>
                </c:pt>
                <c:pt idx="8">
                  <c:v>63.095734448019471</c:v>
                </c:pt>
                <c:pt idx="9">
                  <c:v>79.432823472428325</c:v>
                </c:pt>
                <c:pt idx="10">
                  <c:v>100.00000000000023</c:v>
                </c:pt>
                <c:pt idx="11">
                  <c:v>125.89254117941711</c:v>
                </c:pt>
                <c:pt idx="12">
                  <c:v>158.48931924611182</c:v>
                </c:pt>
                <c:pt idx="13">
                  <c:v>199.52623149688853</c:v>
                </c:pt>
                <c:pt idx="14">
                  <c:v>251.18864315095894</c:v>
                </c:pt>
                <c:pt idx="15">
                  <c:v>316.2277660168391</c:v>
                </c:pt>
                <c:pt idx="16">
                  <c:v>398.10717055349869</c:v>
                </c:pt>
                <c:pt idx="17">
                  <c:v>501.18723362727451</c:v>
                </c:pt>
                <c:pt idx="18">
                  <c:v>630.95734448019596</c:v>
                </c:pt>
                <c:pt idx="19">
                  <c:v>794.32823472428493</c:v>
                </c:pt>
                <c:pt idx="20">
                  <c:v>1000.0000000000051</c:v>
                </c:pt>
                <c:pt idx="21">
                  <c:v>1258.9254117941734</c:v>
                </c:pt>
                <c:pt idx="22">
                  <c:v>1584.8931924611213</c:v>
                </c:pt>
                <c:pt idx="23">
                  <c:v>1995.2623149688911</c:v>
                </c:pt>
                <c:pt idx="24">
                  <c:v>2511.8864315095943</c:v>
                </c:pt>
                <c:pt idx="25">
                  <c:v>3162.2776601683972</c:v>
                </c:pt>
                <c:pt idx="26">
                  <c:v>3981.0717055349983</c:v>
                </c:pt>
                <c:pt idx="27">
                  <c:v>5011.8723362727505</c:v>
                </c:pt>
                <c:pt idx="28">
                  <c:v>6309.5734448019721</c:v>
                </c:pt>
                <c:pt idx="29">
                  <c:v>7943.2823472428718</c:v>
                </c:pt>
                <c:pt idx="30">
                  <c:v>10000.000000000062</c:v>
                </c:pt>
                <c:pt idx="31">
                  <c:v>12589.25411794176</c:v>
                </c:pt>
                <c:pt idx="32">
                  <c:v>15848.931924611232</c:v>
                </c:pt>
                <c:pt idx="33">
                  <c:v>19952.623149688898</c:v>
                </c:pt>
                <c:pt idx="34">
                  <c:v>25118.864315095907</c:v>
                </c:pt>
                <c:pt idx="35">
                  <c:v>31622.776601683894</c:v>
                </c:pt>
                <c:pt idx="36">
                  <c:v>39810.717055349814</c:v>
                </c:pt>
                <c:pt idx="37">
                  <c:v>50118.723362727294</c:v>
                </c:pt>
                <c:pt idx="38">
                  <c:v>63095.734448019342</c:v>
                </c:pt>
                <c:pt idx="39">
                  <c:v>79432.823472428106</c:v>
                </c:pt>
                <c:pt idx="40">
                  <c:v>99999.99999999984</c:v>
                </c:pt>
                <c:pt idx="41">
                  <c:v>125892.5411794164</c:v>
                </c:pt>
                <c:pt idx="42">
                  <c:v>158489.31924611109</c:v>
                </c:pt>
                <c:pt idx="43">
                  <c:v>199526.23149688743</c:v>
                </c:pt>
                <c:pt idx="44">
                  <c:v>251188.6431509571</c:v>
                </c:pt>
                <c:pt idx="45">
                  <c:v>316227.76601683651</c:v>
                </c:pt>
                <c:pt idx="46">
                  <c:v>398107.17055349506</c:v>
                </c:pt>
                <c:pt idx="47">
                  <c:v>501187.23362726904</c:v>
                </c:pt>
                <c:pt idx="48">
                  <c:v>630957.34448018856</c:v>
                </c:pt>
                <c:pt idx="49">
                  <c:v>794328.23472427484</c:v>
                </c:pt>
                <c:pt idx="50">
                  <c:v>999999.99999999069</c:v>
                </c:pt>
                <c:pt idx="51">
                  <c:v>1258925.4117941542</c:v>
                </c:pt>
                <c:pt idx="52">
                  <c:v>1584893.1924610955</c:v>
                </c:pt>
                <c:pt idx="53">
                  <c:v>1995262.3149688588</c:v>
                </c:pt>
                <c:pt idx="54">
                  <c:v>2511886.4315095516</c:v>
                </c:pt>
                <c:pt idx="55">
                  <c:v>3162277.6601683404</c:v>
                </c:pt>
                <c:pt idx="56">
                  <c:v>3981071.7055349196</c:v>
                </c:pt>
                <c:pt idx="57">
                  <c:v>5011872.3362726513</c:v>
                </c:pt>
                <c:pt idx="58">
                  <c:v>6309573.4448018363</c:v>
                </c:pt>
                <c:pt idx="59">
                  <c:v>7943282.3472426869</c:v>
                </c:pt>
                <c:pt idx="60">
                  <c:v>9999999.9999998286</c:v>
                </c:pt>
                <c:pt idx="61">
                  <c:v>12589254.117941445</c:v>
                </c:pt>
                <c:pt idx="62">
                  <c:v>15848931.924610833</c:v>
                </c:pt>
                <c:pt idx="63">
                  <c:v>19952623.149688397</c:v>
                </c:pt>
                <c:pt idx="64">
                  <c:v>25118864.315095276</c:v>
                </c:pt>
                <c:pt idx="65">
                  <c:v>31622776.601683099</c:v>
                </c:pt>
                <c:pt idx="66">
                  <c:v>39810717.055348814</c:v>
                </c:pt>
                <c:pt idx="67">
                  <c:v>50118723.362726033</c:v>
                </c:pt>
                <c:pt idx="68">
                  <c:v>63095734.448017761</c:v>
                </c:pt>
                <c:pt idx="69">
                  <c:v>79432823.472426102</c:v>
                </c:pt>
                <c:pt idx="70">
                  <c:v>99999999.99999769</c:v>
                </c:pt>
              </c:numCache>
            </c:numRef>
          </c:xVal>
          <c:yVal>
            <c:numRef>
              <c:f>Sheet1!$D$10:$D$80</c:f>
              <c:numCache>
                <c:formatCode>General</c:formatCode>
                <c:ptCount val="71"/>
                <c:pt idx="0">
                  <c:v>1E-4</c:v>
                </c:pt>
                <c:pt idx="5">
                  <c:v>3.0000000000000001E-3</c:v>
                </c:pt>
                <c:pt idx="10">
                  <c:v>0.02</c:v>
                </c:pt>
                <c:pt idx="20">
                  <c:v>0.3</c:v>
                </c:pt>
                <c:pt idx="30">
                  <c:v>0.75</c:v>
                </c:pt>
                <c:pt idx="40">
                  <c:v>0.93</c:v>
                </c:pt>
                <c:pt idx="50">
                  <c:v>0.98499999999999999</c:v>
                </c:pt>
                <c:pt idx="60">
                  <c:v>0.998</c:v>
                </c:pt>
                <c:pt idx="70">
                  <c:v>0.99950000000000006</c:v>
                </c:pt>
              </c:numCache>
            </c:numRef>
          </c:yVal>
        </c:ser>
        <c:axId val="82349440"/>
        <c:axId val="82756736"/>
      </c:scatterChart>
      <c:valAx>
        <c:axId val="82349440"/>
        <c:scaling>
          <c:logBase val="10"/>
          <c:orientation val="minMax"/>
        </c:scaling>
        <c:axPos val="b"/>
        <c:numFmt formatCode="General" sourceLinked="1"/>
        <c:tickLblPos val="nextTo"/>
        <c:crossAx val="82756736"/>
        <c:crosses val="autoZero"/>
        <c:crossBetween val="midCat"/>
      </c:valAx>
      <c:valAx>
        <c:axId val="82756736"/>
        <c:scaling>
          <c:logBase val="10"/>
          <c:orientation val="minMax"/>
        </c:scaling>
        <c:axPos val="l"/>
        <c:majorGridlines/>
        <c:numFmt formatCode="General" sourceLinked="1"/>
        <c:tickLblPos val="nextTo"/>
        <c:crossAx val="823494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7697353455818101"/>
          <c:y val="0.40702354913969102"/>
          <c:w val="8.9448362432956743E-2"/>
          <c:h val="0.11188190803295756"/>
        </c:manualLayout>
      </c:layout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Sheet1!$B$10:$B$80</c:f>
              <c:numCache>
                <c:formatCode>General</c:formatCode>
                <c:ptCount val="71"/>
                <c:pt idx="0">
                  <c:v>10</c:v>
                </c:pt>
                <c:pt idx="1">
                  <c:v>12.58925411794168</c:v>
                </c:pt>
                <c:pt idx="2">
                  <c:v>15.848931924611144</c:v>
                </c:pt>
                <c:pt idx="3">
                  <c:v>19.952623149688815</c:v>
                </c:pt>
                <c:pt idx="4">
                  <c:v>25.118864315095834</c:v>
                </c:pt>
                <c:pt idx="5">
                  <c:v>31.622776601683832</c:v>
                </c:pt>
                <c:pt idx="6">
                  <c:v>39.810717055349791</c:v>
                </c:pt>
                <c:pt idx="7">
                  <c:v>50.11872336272733</c:v>
                </c:pt>
                <c:pt idx="8">
                  <c:v>63.095734448019471</c:v>
                </c:pt>
                <c:pt idx="9">
                  <c:v>79.432823472428325</c:v>
                </c:pt>
                <c:pt idx="10">
                  <c:v>100.00000000000023</c:v>
                </c:pt>
                <c:pt idx="11">
                  <c:v>125.89254117941711</c:v>
                </c:pt>
                <c:pt idx="12">
                  <c:v>158.48931924611182</c:v>
                </c:pt>
                <c:pt idx="13">
                  <c:v>199.52623149688853</c:v>
                </c:pt>
                <c:pt idx="14">
                  <c:v>251.18864315095894</c:v>
                </c:pt>
                <c:pt idx="15">
                  <c:v>316.2277660168391</c:v>
                </c:pt>
                <c:pt idx="16">
                  <c:v>398.10717055349869</c:v>
                </c:pt>
                <c:pt idx="17">
                  <c:v>501.18723362727451</c:v>
                </c:pt>
                <c:pt idx="18">
                  <c:v>630.95734448019596</c:v>
                </c:pt>
                <c:pt idx="19">
                  <c:v>794.32823472428493</c:v>
                </c:pt>
                <c:pt idx="20">
                  <c:v>1000.0000000000051</c:v>
                </c:pt>
                <c:pt idx="21">
                  <c:v>1258.9254117941734</c:v>
                </c:pt>
                <c:pt idx="22">
                  <c:v>1584.8931924611213</c:v>
                </c:pt>
                <c:pt idx="23">
                  <c:v>1995.2623149688911</c:v>
                </c:pt>
                <c:pt idx="24">
                  <c:v>2511.8864315095943</c:v>
                </c:pt>
                <c:pt idx="25">
                  <c:v>3162.2776601683972</c:v>
                </c:pt>
                <c:pt idx="26">
                  <c:v>3981.0717055349983</c:v>
                </c:pt>
                <c:pt idx="27">
                  <c:v>5011.8723362727505</c:v>
                </c:pt>
                <c:pt idx="28">
                  <c:v>6309.5734448019721</c:v>
                </c:pt>
                <c:pt idx="29">
                  <c:v>7943.2823472428718</c:v>
                </c:pt>
                <c:pt idx="30">
                  <c:v>10000.000000000062</c:v>
                </c:pt>
                <c:pt idx="31">
                  <c:v>12589.25411794176</c:v>
                </c:pt>
                <c:pt idx="32">
                  <c:v>15848.931924611232</c:v>
                </c:pt>
                <c:pt idx="33">
                  <c:v>19952.623149688898</c:v>
                </c:pt>
                <c:pt idx="34">
                  <c:v>25118.864315095907</c:v>
                </c:pt>
                <c:pt idx="35">
                  <c:v>31622.776601683894</c:v>
                </c:pt>
                <c:pt idx="36">
                  <c:v>39810.717055349814</c:v>
                </c:pt>
                <c:pt idx="37">
                  <c:v>50118.723362727294</c:v>
                </c:pt>
                <c:pt idx="38">
                  <c:v>63095.734448019342</c:v>
                </c:pt>
                <c:pt idx="39">
                  <c:v>79432.823472428106</c:v>
                </c:pt>
                <c:pt idx="40">
                  <c:v>99999.99999999984</c:v>
                </c:pt>
                <c:pt idx="41">
                  <c:v>125892.5411794164</c:v>
                </c:pt>
                <c:pt idx="42">
                  <c:v>158489.31924611109</c:v>
                </c:pt>
                <c:pt idx="43">
                  <c:v>199526.23149688743</c:v>
                </c:pt>
                <c:pt idx="44">
                  <c:v>251188.6431509571</c:v>
                </c:pt>
                <c:pt idx="45">
                  <c:v>316227.76601683651</c:v>
                </c:pt>
                <c:pt idx="46">
                  <c:v>398107.17055349506</c:v>
                </c:pt>
                <c:pt idx="47">
                  <c:v>501187.23362726904</c:v>
                </c:pt>
                <c:pt idx="48">
                  <c:v>630957.34448018856</c:v>
                </c:pt>
                <c:pt idx="49">
                  <c:v>794328.23472427484</c:v>
                </c:pt>
                <c:pt idx="50">
                  <c:v>999999.99999999069</c:v>
                </c:pt>
                <c:pt idx="51">
                  <c:v>1258925.4117941542</c:v>
                </c:pt>
                <c:pt idx="52">
                  <c:v>1584893.1924610955</c:v>
                </c:pt>
                <c:pt idx="53">
                  <c:v>1995262.3149688588</c:v>
                </c:pt>
                <c:pt idx="54">
                  <c:v>2511886.4315095516</c:v>
                </c:pt>
                <c:pt idx="55">
                  <c:v>3162277.6601683404</c:v>
                </c:pt>
                <c:pt idx="56">
                  <c:v>3981071.7055349196</c:v>
                </c:pt>
                <c:pt idx="57">
                  <c:v>5011872.3362726513</c:v>
                </c:pt>
                <c:pt idx="58">
                  <c:v>6309573.4448018363</c:v>
                </c:pt>
                <c:pt idx="59">
                  <c:v>7943282.3472426869</c:v>
                </c:pt>
                <c:pt idx="60">
                  <c:v>9999999.9999998286</c:v>
                </c:pt>
                <c:pt idx="61">
                  <c:v>12589254.117941445</c:v>
                </c:pt>
                <c:pt idx="62">
                  <c:v>15848931.924610833</c:v>
                </c:pt>
                <c:pt idx="63">
                  <c:v>19952623.149688397</c:v>
                </c:pt>
                <c:pt idx="64">
                  <c:v>25118864.315095276</c:v>
                </c:pt>
                <c:pt idx="65">
                  <c:v>31622776.601683099</c:v>
                </c:pt>
                <c:pt idx="66">
                  <c:v>39810717.055348814</c:v>
                </c:pt>
                <c:pt idx="67">
                  <c:v>50118723.362726033</c:v>
                </c:pt>
                <c:pt idx="68">
                  <c:v>63095734.448017761</c:v>
                </c:pt>
                <c:pt idx="69">
                  <c:v>79432823.472426102</c:v>
                </c:pt>
                <c:pt idx="70">
                  <c:v>99999999.99999769</c:v>
                </c:pt>
              </c:numCache>
            </c:numRef>
          </c:xVal>
          <c:yVal>
            <c:numRef>
              <c:f>Sheet1!$C$10:$C$80</c:f>
              <c:numCache>
                <c:formatCode>General</c:formatCode>
                <c:ptCount val="71"/>
                <c:pt idx="0">
                  <c:v>2.9913251570445705E-3</c:v>
                </c:pt>
                <c:pt idx="1">
                  <c:v>3.7629407442787868E-3</c:v>
                </c:pt>
                <c:pt idx="2">
                  <c:v>4.7326506052641293E-3</c:v>
                </c:pt>
                <c:pt idx="3">
                  <c:v>5.9507620274532142E-3</c:v>
                </c:pt>
                <c:pt idx="4">
                  <c:v>7.4800402636191216E-3</c:v>
                </c:pt>
                <c:pt idx="5">
                  <c:v>9.3986098000630198E-3</c:v>
                </c:pt>
                <c:pt idx="6">
                  <c:v>1.1803424619720951E-2</c:v>
                </c:pt>
                <c:pt idx="7">
                  <c:v>1.4814355469296298E-2</c:v>
                </c:pt>
                <c:pt idx="8">
                  <c:v>1.8578903358940399E-2</c:v>
                </c:pt>
                <c:pt idx="9">
                  <c:v>2.327747609448879E-2</c:v>
                </c:pt>
                <c:pt idx="10">
                  <c:v>2.9129041654529626E-2</c:v>
                </c:pt>
                <c:pt idx="11">
                  <c:v>3.6396777199817293E-2</c:v>
                </c:pt>
                <c:pt idx="12">
                  <c:v>4.5393041408568049E-2</c:v>
                </c:pt>
                <c:pt idx="13">
                  <c:v>5.6482590197876721E-2</c:v>
                </c:pt>
                <c:pt idx="14">
                  <c:v>7.0082428175469044E-2</c:v>
                </c:pt>
                <c:pt idx="15">
                  <c:v>8.6656078023324978E-2</c:v>
                </c:pt>
                <c:pt idx="16">
                  <c:v>0.10669947346874004</c:v>
                </c:pt>
                <c:pt idx="17">
                  <c:v>0.13071537801588629</c:v>
                </c:pt>
                <c:pt idx="18">
                  <c:v>0.15917359589118762</c:v>
                </c:pt>
                <c:pt idx="19">
                  <c:v>0.19245579453589254</c:v>
                </c:pt>
                <c:pt idx="20">
                  <c:v>0.23078698361412511</c:v>
                </c:pt>
                <c:pt idx="21">
                  <c:v>0.27416068400429039</c:v>
                </c:pt>
                <c:pt idx="22">
                  <c:v>0.32227076319808684</c:v>
                </c:pt>
                <c:pt idx="23">
                  <c:v>0.37446773394836896</c:v>
                </c:pt>
                <c:pt idx="24">
                  <c:v>0.42975795354518709</c:v>
                </c:pt>
                <c:pt idx="25">
                  <c:v>0.48685796445019286</c:v>
                </c:pt>
                <c:pt idx="26">
                  <c:v>0.54430307300956338</c:v>
                </c:pt>
                <c:pt idx="27">
                  <c:v>0.60059305095508642</c:v>
                </c:pt>
                <c:pt idx="28">
                  <c:v>0.6543453862104911</c:v>
                </c:pt>
                <c:pt idx="29">
                  <c:v>0.70442386086448594</c:v>
                </c:pt>
                <c:pt idx="30">
                  <c:v>0.75001875046876287</c:v>
                </c:pt>
                <c:pt idx="31">
                  <c:v>0.79067034257139146</c:v>
                </c:pt>
                <c:pt idx="32">
                  <c:v>0.82624273649289615</c:v>
                </c:pt>
                <c:pt idx="33">
                  <c:v>0.85686447046857195</c:v>
                </c:pt>
                <c:pt idx="34">
                  <c:v>0.88285477664704082</c:v>
                </c:pt>
                <c:pt idx="35">
                  <c:v>0.90465095260279704</c:v>
                </c:pt>
                <c:pt idx="36">
                  <c:v>0.92274657290830919</c:v>
                </c:pt>
                <c:pt idx="37">
                  <c:v>0.93764466718159822</c:v>
                </c:pt>
                <c:pt idx="38">
                  <c:v>0.94982592958160161</c:v>
                </c:pt>
                <c:pt idx="39">
                  <c:v>0.95972975486542056</c:v>
                </c:pt>
                <c:pt idx="40">
                  <c:v>0.96774505724212001</c:v>
                </c:pt>
                <c:pt idx="41">
                  <c:v>0.97420788514731405</c:v>
                </c:pt>
                <c:pt idx="42">
                  <c:v>0.97940333561199977</c:v>
                </c:pt>
                <c:pt idx="43">
                  <c:v>0.98356988747612839</c:v>
                </c:pt>
                <c:pt idx="44">
                  <c:v>0.98690484644552134</c:v>
                </c:pt>
                <c:pt idx="45">
                  <c:v>0.98957005879806792</c:v>
                </c:pt>
                <c:pt idx="46">
                  <c:v>0.99169739292556458</c:v>
                </c:pt>
                <c:pt idx="47">
                  <c:v>0.99339372382344848</c:v>
                </c:pt>
                <c:pt idx="48">
                  <c:v>0.99474530862876132</c:v>
                </c:pt>
                <c:pt idx="49">
                  <c:v>0.99582153443729526</c:v>
                </c:pt>
                <c:pt idx="50">
                  <c:v>0.99667807198607039</c:v>
                </c:pt>
                <c:pt idx="51">
                  <c:v>0.99735949472084517</c:v>
                </c:pt>
                <c:pt idx="52">
                  <c:v>0.99790143241824047</c:v>
                </c:pt>
                <c:pt idx="53">
                  <c:v>0.99833232872356059</c:v>
                </c:pt>
                <c:pt idx="54">
                  <c:v>0.99867486710771802</c:v>
                </c:pt>
                <c:pt idx="55">
                  <c:v>0.99894712257513596</c:v>
                </c:pt>
                <c:pt idx="56">
                  <c:v>0.99916348858955772</c:v>
                </c:pt>
                <c:pt idx="57">
                  <c:v>0.99933542102934569</c:v>
                </c:pt>
                <c:pt idx="58">
                  <c:v>0.99947203399430318</c:v>
                </c:pt>
                <c:pt idx="59">
                  <c:v>0.99958057615042917</c:v>
                </c:pt>
                <c:pt idx="60">
                  <c:v>0.99966681105187627</c:v>
                </c:pt>
                <c:pt idx="61">
                  <c:v>0.99973532047316538</c:v>
                </c:pt>
                <c:pt idx="62">
                  <c:v>0.99978974613306981</c:v>
                </c:pt>
                <c:pt idx="63">
                  <c:v>0.99983298219463901</c:v>
                </c:pt>
                <c:pt idx="64">
                  <c:v>0.99986732848412108</c:v>
                </c:pt>
                <c:pt idx="65">
                  <c:v>0.99989461239330479</c:v>
                </c:pt>
                <c:pt idx="66">
                  <c:v>0.99991628583388614</c:v>
                </c:pt>
                <c:pt idx="67">
                  <c:v>0.99993350232927625</c:v>
                </c:pt>
                <c:pt idx="68">
                  <c:v>0.99994717830017454</c:v>
                </c:pt>
                <c:pt idx="69">
                  <c:v>0.9999580417765912</c:v>
                </c:pt>
                <c:pt idx="70">
                  <c:v>0.99996667111085191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xVal>
            <c:numRef>
              <c:f>Sheet1!$B$10:$B$80</c:f>
              <c:numCache>
                <c:formatCode>General</c:formatCode>
                <c:ptCount val="71"/>
                <c:pt idx="0">
                  <c:v>10</c:v>
                </c:pt>
                <c:pt idx="1">
                  <c:v>12.58925411794168</c:v>
                </c:pt>
                <c:pt idx="2">
                  <c:v>15.848931924611144</c:v>
                </c:pt>
                <c:pt idx="3">
                  <c:v>19.952623149688815</c:v>
                </c:pt>
                <c:pt idx="4">
                  <c:v>25.118864315095834</c:v>
                </c:pt>
                <c:pt idx="5">
                  <c:v>31.622776601683832</c:v>
                </c:pt>
                <c:pt idx="6">
                  <c:v>39.810717055349791</c:v>
                </c:pt>
                <c:pt idx="7">
                  <c:v>50.11872336272733</c:v>
                </c:pt>
                <c:pt idx="8">
                  <c:v>63.095734448019471</c:v>
                </c:pt>
                <c:pt idx="9">
                  <c:v>79.432823472428325</c:v>
                </c:pt>
                <c:pt idx="10">
                  <c:v>100.00000000000023</c:v>
                </c:pt>
                <c:pt idx="11">
                  <c:v>125.89254117941711</c:v>
                </c:pt>
                <c:pt idx="12">
                  <c:v>158.48931924611182</c:v>
                </c:pt>
                <c:pt idx="13">
                  <c:v>199.52623149688853</c:v>
                </c:pt>
                <c:pt idx="14">
                  <c:v>251.18864315095894</c:v>
                </c:pt>
                <c:pt idx="15">
                  <c:v>316.2277660168391</c:v>
                </c:pt>
                <c:pt idx="16">
                  <c:v>398.10717055349869</c:v>
                </c:pt>
                <c:pt idx="17">
                  <c:v>501.18723362727451</c:v>
                </c:pt>
                <c:pt idx="18">
                  <c:v>630.95734448019596</c:v>
                </c:pt>
                <c:pt idx="19">
                  <c:v>794.32823472428493</c:v>
                </c:pt>
                <c:pt idx="20">
                  <c:v>1000.0000000000051</c:v>
                </c:pt>
                <c:pt idx="21">
                  <c:v>1258.9254117941734</c:v>
                </c:pt>
                <c:pt idx="22">
                  <c:v>1584.8931924611213</c:v>
                </c:pt>
                <c:pt idx="23">
                  <c:v>1995.2623149688911</c:v>
                </c:pt>
                <c:pt idx="24">
                  <c:v>2511.8864315095943</c:v>
                </c:pt>
                <c:pt idx="25">
                  <c:v>3162.2776601683972</c:v>
                </c:pt>
                <c:pt idx="26">
                  <c:v>3981.0717055349983</c:v>
                </c:pt>
                <c:pt idx="27">
                  <c:v>5011.8723362727505</c:v>
                </c:pt>
                <c:pt idx="28">
                  <c:v>6309.5734448019721</c:v>
                </c:pt>
                <c:pt idx="29">
                  <c:v>7943.2823472428718</c:v>
                </c:pt>
                <c:pt idx="30">
                  <c:v>10000.000000000062</c:v>
                </c:pt>
                <c:pt idx="31">
                  <c:v>12589.25411794176</c:v>
                </c:pt>
                <c:pt idx="32">
                  <c:v>15848.931924611232</c:v>
                </c:pt>
                <c:pt idx="33">
                  <c:v>19952.623149688898</c:v>
                </c:pt>
                <c:pt idx="34">
                  <c:v>25118.864315095907</c:v>
                </c:pt>
                <c:pt idx="35">
                  <c:v>31622.776601683894</c:v>
                </c:pt>
                <c:pt idx="36">
                  <c:v>39810.717055349814</c:v>
                </c:pt>
                <c:pt idx="37">
                  <c:v>50118.723362727294</c:v>
                </c:pt>
                <c:pt idx="38">
                  <c:v>63095.734448019342</c:v>
                </c:pt>
                <c:pt idx="39">
                  <c:v>79432.823472428106</c:v>
                </c:pt>
                <c:pt idx="40">
                  <c:v>99999.99999999984</c:v>
                </c:pt>
                <c:pt idx="41">
                  <c:v>125892.5411794164</c:v>
                </c:pt>
                <c:pt idx="42">
                  <c:v>158489.31924611109</c:v>
                </c:pt>
                <c:pt idx="43">
                  <c:v>199526.23149688743</c:v>
                </c:pt>
                <c:pt idx="44">
                  <c:v>251188.6431509571</c:v>
                </c:pt>
                <c:pt idx="45">
                  <c:v>316227.76601683651</c:v>
                </c:pt>
                <c:pt idx="46">
                  <c:v>398107.17055349506</c:v>
                </c:pt>
                <c:pt idx="47">
                  <c:v>501187.23362726904</c:v>
                </c:pt>
                <c:pt idx="48">
                  <c:v>630957.34448018856</c:v>
                </c:pt>
                <c:pt idx="49">
                  <c:v>794328.23472427484</c:v>
                </c:pt>
                <c:pt idx="50">
                  <c:v>999999.99999999069</c:v>
                </c:pt>
                <c:pt idx="51">
                  <c:v>1258925.4117941542</c:v>
                </c:pt>
                <c:pt idx="52">
                  <c:v>1584893.1924610955</c:v>
                </c:pt>
                <c:pt idx="53">
                  <c:v>1995262.3149688588</c:v>
                </c:pt>
                <c:pt idx="54">
                  <c:v>2511886.4315095516</c:v>
                </c:pt>
                <c:pt idx="55">
                  <c:v>3162277.6601683404</c:v>
                </c:pt>
                <c:pt idx="56">
                  <c:v>3981071.7055349196</c:v>
                </c:pt>
                <c:pt idx="57">
                  <c:v>5011872.3362726513</c:v>
                </c:pt>
                <c:pt idx="58">
                  <c:v>6309573.4448018363</c:v>
                </c:pt>
                <c:pt idx="59">
                  <c:v>7943282.3472426869</c:v>
                </c:pt>
                <c:pt idx="60">
                  <c:v>9999999.9999998286</c:v>
                </c:pt>
                <c:pt idx="61">
                  <c:v>12589254.117941445</c:v>
                </c:pt>
                <c:pt idx="62">
                  <c:v>15848931.924610833</c:v>
                </c:pt>
                <c:pt idx="63">
                  <c:v>19952623.149688397</c:v>
                </c:pt>
                <c:pt idx="64">
                  <c:v>25118864.315095276</c:v>
                </c:pt>
                <c:pt idx="65">
                  <c:v>31622776.601683099</c:v>
                </c:pt>
                <c:pt idx="66">
                  <c:v>39810717.055348814</c:v>
                </c:pt>
                <c:pt idx="67">
                  <c:v>50118723.362726033</c:v>
                </c:pt>
                <c:pt idx="68">
                  <c:v>63095734.448017761</c:v>
                </c:pt>
                <c:pt idx="69">
                  <c:v>79432823.472426102</c:v>
                </c:pt>
                <c:pt idx="70">
                  <c:v>99999999.99999769</c:v>
                </c:pt>
              </c:numCache>
            </c:numRef>
          </c:xVal>
          <c:yVal>
            <c:numRef>
              <c:f>Sheet1!$D$10:$D$80</c:f>
              <c:numCache>
                <c:formatCode>General</c:formatCode>
                <c:ptCount val="71"/>
                <c:pt idx="0">
                  <c:v>1E-4</c:v>
                </c:pt>
                <c:pt idx="5">
                  <c:v>3.0000000000000001E-3</c:v>
                </c:pt>
                <c:pt idx="10">
                  <c:v>0.02</c:v>
                </c:pt>
                <c:pt idx="20">
                  <c:v>0.3</c:v>
                </c:pt>
                <c:pt idx="30">
                  <c:v>0.75</c:v>
                </c:pt>
                <c:pt idx="40">
                  <c:v>0.93</c:v>
                </c:pt>
                <c:pt idx="50">
                  <c:v>0.98499999999999999</c:v>
                </c:pt>
                <c:pt idx="60">
                  <c:v>0.998</c:v>
                </c:pt>
                <c:pt idx="70">
                  <c:v>0.99950000000000006</c:v>
                </c:pt>
              </c:numCache>
            </c:numRef>
          </c:yVal>
        </c:ser>
        <c:axId val="88561920"/>
        <c:axId val="88567808"/>
      </c:scatterChart>
      <c:valAx>
        <c:axId val="88561920"/>
        <c:scaling>
          <c:logBase val="10"/>
          <c:orientation val="minMax"/>
        </c:scaling>
        <c:axPos val="b"/>
        <c:numFmt formatCode="General" sourceLinked="1"/>
        <c:tickLblPos val="nextTo"/>
        <c:crossAx val="88567808"/>
        <c:crosses val="autoZero"/>
        <c:crossBetween val="midCat"/>
      </c:valAx>
      <c:valAx>
        <c:axId val="88567808"/>
        <c:scaling>
          <c:orientation val="minMax"/>
        </c:scaling>
        <c:axPos val="l"/>
        <c:majorGridlines/>
        <c:numFmt formatCode="General" sourceLinked="1"/>
        <c:tickLblPos val="nextTo"/>
        <c:crossAx val="8856192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strRef>
              <c:f>Lightning!$C$9</c:f>
              <c:strCache>
                <c:ptCount val="1"/>
                <c:pt idx="0">
                  <c:v>approx</c:v>
                </c:pt>
              </c:strCache>
            </c:strRef>
          </c:tx>
          <c:marker>
            <c:symbol val="none"/>
          </c:marker>
          <c:xVal>
            <c:numRef>
              <c:f>Lightning!$B$10:$B$50</c:f>
              <c:numCache>
                <c:formatCode>General</c:formatCode>
                <c:ptCount val="41"/>
                <c:pt idx="0">
                  <c:v>1E-3</c:v>
                </c:pt>
                <c:pt idx="1">
                  <c:v>1.2589254117941662E-3</c:v>
                </c:pt>
                <c:pt idx="2">
                  <c:v>1.5848931924611134E-3</c:v>
                </c:pt>
                <c:pt idx="3">
                  <c:v>1.9952623149688798E-3</c:v>
                </c:pt>
                <c:pt idx="4">
                  <c:v>2.5118864315095799E-3</c:v>
                </c:pt>
                <c:pt idx="5">
                  <c:v>3.162277660168382E-3</c:v>
                </c:pt>
                <c:pt idx="6">
                  <c:v>3.9810717055349751E-3</c:v>
                </c:pt>
                <c:pt idx="7">
                  <c:v>5.0118723362727264E-3</c:v>
                </c:pt>
                <c:pt idx="8">
                  <c:v>6.3095734448019424E-3</c:v>
                </c:pt>
                <c:pt idx="9">
                  <c:v>7.9432823472428259E-3</c:v>
                </c:pt>
                <c:pt idx="10">
                  <c:v>1.0000000000000012E-2</c:v>
                </c:pt>
                <c:pt idx="11">
                  <c:v>1.2589254117941699E-2</c:v>
                </c:pt>
                <c:pt idx="12">
                  <c:v>1.5848931924611169E-2</c:v>
                </c:pt>
                <c:pt idx="13">
                  <c:v>1.9952623149688847E-2</c:v>
                </c:pt>
                <c:pt idx="14">
                  <c:v>2.5118864315095864E-2</c:v>
                </c:pt>
                <c:pt idx="15">
                  <c:v>3.1622776601683882E-2</c:v>
                </c:pt>
                <c:pt idx="16">
                  <c:v>3.9810717055349852E-2</c:v>
                </c:pt>
                <c:pt idx="17">
                  <c:v>5.0118723362727387E-2</c:v>
                </c:pt>
                <c:pt idx="18">
                  <c:v>6.3095734448019539E-2</c:v>
                </c:pt>
                <c:pt idx="19">
                  <c:v>7.9432823472428457E-2</c:v>
                </c:pt>
                <c:pt idx="20">
                  <c:v>0.10000000000000037</c:v>
                </c:pt>
                <c:pt idx="21">
                  <c:v>0.1258925411794172</c:v>
                </c:pt>
                <c:pt idx="22">
                  <c:v>0.15848931924611193</c:v>
                </c:pt>
                <c:pt idx="23">
                  <c:v>0.19952623149688867</c:v>
                </c:pt>
                <c:pt idx="24">
                  <c:v>0.2511886431509589</c:v>
                </c:pt>
                <c:pt idx="25">
                  <c:v>0.31622776601683905</c:v>
                </c:pt>
                <c:pt idx="26">
                  <c:v>0.39810717055349865</c:v>
                </c:pt>
                <c:pt idx="27">
                  <c:v>0.50118723362727402</c:v>
                </c:pt>
                <c:pt idx="28">
                  <c:v>0.63095734448019536</c:v>
                </c:pt>
                <c:pt idx="29">
                  <c:v>0.79432823472428427</c:v>
                </c:pt>
                <c:pt idx="30">
                  <c:v>1.0000000000000036</c:v>
                </c:pt>
                <c:pt idx="31">
                  <c:v>1.2589254117941717</c:v>
                </c:pt>
                <c:pt idx="32">
                  <c:v>1.5848931924611191</c:v>
                </c:pt>
                <c:pt idx="33">
                  <c:v>1.9952623149688868</c:v>
                </c:pt>
                <c:pt idx="34">
                  <c:v>2.5118864315095895</c:v>
                </c:pt>
                <c:pt idx="35">
                  <c:v>3.1622776601683911</c:v>
                </c:pt>
                <c:pt idx="36">
                  <c:v>3.9810717055349869</c:v>
                </c:pt>
                <c:pt idx="37">
                  <c:v>5.0118723362727406</c:v>
                </c:pt>
                <c:pt idx="38">
                  <c:v>6.3095734448019556</c:v>
                </c:pt>
                <c:pt idx="39">
                  <c:v>7.9432823472428415</c:v>
                </c:pt>
                <c:pt idx="40">
                  <c:v>10.000000000000037</c:v>
                </c:pt>
              </c:numCache>
            </c:numRef>
          </c:xVal>
          <c:yVal>
            <c:numRef>
              <c:f>Lightning!$C$10:$C$50</c:f>
              <c:numCache>
                <c:formatCode>General</c:formatCode>
                <c:ptCount val="41"/>
                <c:pt idx="0">
                  <c:v>5.1335582550622795E-2</c:v>
                </c:pt>
                <c:pt idx="1">
                  <c:v>4.5875110296764283E-2</c:v>
                </c:pt>
                <c:pt idx="2">
                  <c:v>4.098108462207644E-2</c:v>
                </c:pt>
                <c:pt idx="3">
                  <c:v>3.6596654637217486E-2</c:v>
                </c:pt>
                <c:pt idx="4">
                  <c:v>3.2670032083839277E-2</c:v>
                </c:pt>
                <c:pt idx="5">
                  <c:v>2.9154111378152367E-2</c:v>
                </c:pt>
                <c:pt idx="6">
                  <c:v>2.6006088265316241E-2</c:v>
                </c:pt>
                <c:pt idx="7">
                  <c:v>2.3187082991389569E-2</c:v>
                </c:pt>
                <c:pt idx="8">
                  <c:v>2.0661772444313629E-2</c:v>
                </c:pt>
                <c:pt idx="9">
                  <c:v>1.8398035001869203E-2</c:v>
                </c:pt>
                <c:pt idx="10">
                  <c:v>1.6366612111292953E-2</c:v>
                </c:pt>
                <c:pt idx="11">
                  <c:v>1.4540792360578814E-2</c:v>
                </c:pt>
                <c:pt idx="12">
                  <c:v>1.2896127683498784E-2</c:v>
                </c:pt>
                <c:pt idx="13">
                  <c:v>1.1410198309876111E-2</c:v>
                </c:pt>
                <c:pt idx="14">
                  <c:v>1.0062454068706921E-2</c:v>
                </c:pt>
                <c:pt idx="15">
                  <c:v>8.8341747532540999E-3</c:v>
                </c:pt>
                <c:pt idx="16">
                  <c:v>7.7086085499986816E-3</c:v>
                </c:pt>
                <c:pt idx="17">
                  <c:v>6.6713549879293937E-3</c:v>
                </c:pt>
                <c:pt idx="18">
                  <c:v>5.7110347934347218E-3</c:v>
                </c:pt>
                <c:pt idx="19">
                  <c:v>4.8201966266882348E-3</c:v>
                </c:pt>
                <c:pt idx="20">
                  <c:v>3.9962170273456776E-3</c:v>
                </c:pt>
                <c:pt idx="21">
                  <c:v>3.2416841674616352E-3</c:v>
                </c:pt>
                <c:pt idx="22">
                  <c:v>2.563593209534698E-3</c:v>
                </c:pt>
                <c:pt idx="23">
                  <c:v>1.9709309070967754E-3</c:v>
                </c:pt>
                <c:pt idx="24">
                  <c:v>1.471049567548208E-3</c:v>
                </c:pt>
                <c:pt idx="25">
                  <c:v>1.0662062985595717E-3</c:v>
                </c:pt>
                <c:pt idx="26">
                  <c:v>7.5187386393539405E-4</c:v>
                </c:pt>
                <c:pt idx="27">
                  <c:v>5.1749138219789738E-4</c:v>
                </c:pt>
                <c:pt idx="28">
                  <c:v>3.4895001378628721E-4</c:v>
                </c:pt>
                <c:pt idx="29">
                  <c:v>2.3142819783027847E-4</c:v>
                </c:pt>
                <c:pt idx="30">
                  <c:v>1.5150367396409264E-4</c:v>
                </c:pt>
                <c:pt idx="31">
                  <c:v>9.8202209910560457E-5</c:v>
                </c:pt>
                <c:pt idx="32">
                  <c:v>6.3182474038223977E-5</c:v>
                </c:pt>
                <c:pt idx="33">
                  <c:v>4.0429437016606973E-5</c:v>
                </c:pt>
                <c:pt idx="34">
                  <c:v>2.5767300886128759E-5</c:v>
                </c:pt>
                <c:pt idx="35">
                  <c:v>1.6375331064921135E-5</c:v>
                </c:pt>
                <c:pt idx="36">
                  <c:v>1.0385159721605772E-5</c:v>
                </c:pt>
                <c:pt idx="37">
                  <c:v>6.5764847096727271E-6</c:v>
                </c:pt>
                <c:pt idx="38">
                  <c:v>4.1602194672418525E-6</c:v>
                </c:pt>
                <c:pt idx="39">
                  <c:v>2.6297385701800804E-6</c:v>
                </c:pt>
                <c:pt idx="40">
                  <c:v>1.6614114378827578E-6</c:v>
                </c:pt>
              </c:numCache>
            </c:numRef>
          </c:yVal>
        </c:ser>
        <c:ser>
          <c:idx val="1"/>
          <c:order val="1"/>
          <c:tx>
            <c:strRef>
              <c:f>Lightning!$D$9</c:f>
              <c:strCache>
                <c:ptCount val="1"/>
                <c:pt idx="0">
                  <c:v>disp</c:v>
                </c:pt>
              </c:strCache>
            </c:strRef>
          </c:tx>
          <c:marker>
            <c:symbol val="none"/>
          </c:marker>
          <c:xVal>
            <c:numRef>
              <c:f>Lightning!$B$10:$B$50</c:f>
              <c:numCache>
                <c:formatCode>General</c:formatCode>
                <c:ptCount val="41"/>
                <c:pt idx="0">
                  <c:v>1E-3</c:v>
                </c:pt>
                <c:pt idx="1">
                  <c:v>1.2589254117941662E-3</c:v>
                </c:pt>
                <c:pt idx="2">
                  <c:v>1.5848931924611134E-3</c:v>
                </c:pt>
                <c:pt idx="3">
                  <c:v>1.9952623149688798E-3</c:v>
                </c:pt>
                <c:pt idx="4">
                  <c:v>2.5118864315095799E-3</c:v>
                </c:pt>
                <c:pt idx="5">
                  <c:v>3.162277660168382E-3</c:v>
                </c:pt>
                <c:pt idx="6">
                  <c:v>3.9810717055349751E-3</c:v>
                </c:pt>
                <c:pt idx="7">
                  <c:v>5.0118723362727264E-3</c:v>
                </c:pt>
                <c:pt idx="8">
                  <c:v>6.3095734448019424E-3</c:v>
                </c:pt>
                <c:pt idx="9">
                  <c:v>7.9432823472428259E-3</c:v>
                </c:pt>
                <c:pt idx="10">
                  <c:v>1.0000000000000012E-2</c:v>
                </c:pt>
                <c:pt idx="11">
                  <c:v>1.2589254117941699E-2</c:v>
                </c:pt>
                <c:pt idx="12">
                  <c:v>1.5848931924611169E-2</c:v>
                </c:pt>
                <c:pt idx="13">
                  <c:v>1.9952623149688847E-2</c:v>
                </c:pt>
                <c:pt idx="14">
                  <c:v>2.5118864315095864E-2</c:v>
                </c:pt>
                <c:pt idx="15">
                  <c:v>3.1622776601683882E-2</c:v>
                </c:pt>
                <c:pt idx="16">
                  <c:v>3.9810717055349852E-2</c:v>
                </c:pt>
                <c:pt idx="17">
                  <c:v>5.0118723362727387E-2</c:v>
                </c:pt>
                <c:pt idx="18">
                  <c:v>6.3095734448019539E-2</c:v>
                </c:pt>
                <c:pt idx="19">
                  <c:v>7.9432823472428457E-2</c:v>
                </c:pt>
                <c:pt idx="20">
                  <c:v>0.10000000000000037</c:v>
                </c:pt>
                <c:pt idx="21">
                  <c:v>0.1258925411794172</c:v>
                </c:pt>
                <c:pt idx="22">
                  <c:v>0.15848931924611193</c:v>
                </c:pt>
                <c:pt idx="23">
                  <c:v>0.19952623149688867</c:v>
                </c:pt>
                <c:pt idx="24">
                  <c:v>0.2511886431509589</c:v>
                </c:pt>
                <c:pt idx="25">
                  <c:v>0.31622776601683905</c:v>
                </c:pt>
                <c:pt idx="26">
                  <c:v>0.39810717055349865</c:v>
                </c:pt>
                <c:pt idx="27">
                  <c:v>0.50118723362727402</c:v>
                </c:pt>
                <c:pt idx="28">
                  <c:v>0.63095734448019536</c:v>
                </c:pt>
                <c:pt idx="29">
                  <c:v>0.79432823472428427</c:v>
                </c:pt>
                <c:pt idx="30">
                  <c:v>1.0000000000000036</c:v>
                </c:pt>
                <c:pt idx="31">
                  <c:v>1.2589254117941717</c:v>
                </c:pt>
                <c:pt idx="32">
                  <c:v>1.5848931924611191</c:v>
                </c:pt>
                <c:pt idx="33">
                  <c:v>1.9952623149688868</c:v>
                </c:pt>
                <c:pt idx="34">
                  <c:v>2.5118864315095895</c:v>
                </c:pt>
                <c:pt idx="35">
                  <c:v>3.1622776601683911</c:v>
                </c:pt>
                <c:pt idx="36">
                  <c:v>3.9810717055349869</c:v>
                </c:pt>
                <c:pt idx="37">
                  <c:v>5.0118723362727406</c:v>
                </c:pt>
                <c:pt idx="38">
                  <c:v>6.3095734448019556</c:v>
                </c:pt>
                <c:pt idx="39">
                  <c:v>7.9432823472428415</c:v>
                </c:pt>
                <c:pt idx="40">
                  <c:v>10.000000000000037</c:v>
                </c:pt>
              </c:numCache>
            </c:numRef>
          </c:xVal>
          <c:yVal>
            <c:numRef>
              <c:f>Lightning!$D$10:$D$50</c:f>
              <c:numCache>
                <c:formatCode>General</c:formatCode>
                <c:ptCount val="41"/>
                <c:pt idx="0">
                  <c:v>5.0050886834217767E-2</c:v>
                </c:pt>
                <c:pt idx="1">
                  <c:v>4.4846442547619492E-2</c:v>
                </c:pt>
                <c:pt idx="2">
                  <c:v>4.0158220897637431E-2</c:v>
                </c:pt>
                <c:pt idx="3">
                  <c:v>3.5939030493729818E-2</c:v>
                </c:pt>
                <c:pt idx="4">
                  <c:v>3.2144943909412471E-2</c:v>
                </c:pt>
                <c:pt idx="5">
                  <c:v>2.8735236239254003E-2</c:v>
                </c:pt>
                <c:pt idx="6">
                  <c:v>2.5672270597748126E-2</c:v>
                </c:pt>
                <c:pt idx="7">
                  <c:v>2.2921343445022502E-2</c:v>
                </c:pt>
                <c:pt idx="8">
                  <c:v>2.0450500648923509E-2</c:v>
                </c:pt>
                <c:pt idx="9">
                  <c:v>1.8230333841810498E-2</c:v>
                </c:pt>
                <c:pt idx="10">
                  <c:v>1.6233766233766267E-2</c:v>
                </c:pt>
                <c:pt idx="11">
                  <c:v>1.443583809840876E-2</c:v>
                </c:pt>
                <c:pt idx="12">
                  <c:v>1.2813505382754165E-2</c:v>
                </c:pt>
                <c:pt idx="13">
                  <c:v>1.1345471271313801E-2</c:v>
                </c:pt>
                <c:pt idx="14">
                  <c:v>1.0012081016028906E-2</c:v>
                </c:pt>
                <c:pt idx="15">
                  <c:v>8.7953250340727651E-3</c:v>
                </c:pt>
                <c:pt idx="16">
                  <c:v>7.6790113039022501E-3</c:v>
                </c:pt>
                <c:pt idx="17">
                  <c:v>6.6491754829175465E-3</c:v>
                </c:pt>
                <c:pt idx="18">
                  <c:v>5.6947732692937958E-3</c:v>
                </c:pt>
                <c:pt idx="19">
                  <c:v>4.8086074100796017E-3</c:v>
                </c:pt>
                <c:pt idx="20">
                  <c:v>3.9882480749127147E-3</c:v>
                </c:pt>
                <c:pt idx="21">
                  <c:v>3.2364384118821476E-3</c:v>
                </c:pt>
                <c:pt idx="22">
                  <c:v>2.5603114110609448E-3</c:v>
                </c:pt>
                <c:pt idx="23">
                  <c:v>1.9689905349462578E-3</c:v>
                </c:pt>
                <c:pt idx="24">
                  <c:v>1.4699683693811805E-3</c:v>
                </c:pt>
                <c:pt idx="25">
                  <c:v>1.0656382034773815E-3</c:v>
                </c:pt>
                <c:pt idx="26">
                  <c:v>7.5159131300306381E-4</c:v>
                </c:pt>
                <c:pt idx="27">
                  <c:v>5.1735751816928133E-4</c:v>
                </c:pt>
                <c:pt idx="28">
                  <c:v>3.4888914135100535E-4</c:v>
                </c:pt>
                <c:pt idx="29">
                  <c:v>2.3140142142330511E-4</c:v>
                </c:pt>
                <c:pt idx="30">
                  <c:v>1.5149219815191461E-4</c:v>
                </c:pt>
                <c:pt idx="31">
                  <c:v>9.8197388310294897E-5</c:v>
                </c:pt>
                <c:pt idx="32">
                  <c:v>6.3180478088731284E-5</c:v>
                </c:pt>
                <c:pt idx="33">
                  <c:v>4.042861976349954E-5</c:v>
                </c:pt>
                <c:pt idx="34">
                  <c:v>2.5766968913432109E-5</c:v>
                </c:pt>
                <c:pt idx="35">
                  <c:v>1.6375196990159324E-5</c:v>
                </c:pt>
                <c:pt idx="36">
                  <c:v>1.0385105796206773E-5</c:v>
                </c:pt>
                <c:pt idx="37">
                  <c:v>6.5764630846620875E-6</c:v>
                </c:pt>
                <c:pt idx="38">
                  <c:v>4.1602108135085913E-6</c:v>
                </c:pt>
                <c:pt idx="39">
                  <c:v>2.6297351123361068E-6</c:v>
                </c:pt>
                <c:pt idx="40">
                  <c:v>1.6614100577516666E-6</c:v>
                </c:pt>
              </c:numCache>
            </c:numRef>
          </c:yVal>
        </c:ser>
        <c:ser>
          <c:idx val="3"/>
          <c:order val="2"/>
          <c:tx>
            <c:strRef>
              <c:f>Lightning!$F$9</c:f>
              <c:strCache>
                <c:ptCount val="1"/>
                <c:pt idx="0">
                  <c:v>exp</c:v>
                </c:pt>
              </c:strCache>
            </c:strRef>
          </c:tx>
          <c:spPr>
            <a:ln>
              <a:prstDash val="sysDot"/>
            </a:ln>
          </c:spPr>
          <c:marker>
            <c:symbol val="square"/>
            <c:size val="5"/>
          </c:marker>
          <c:xVal>
            <c:numRef>
              <c:f>Lightning!$B$10:$B$50</c:f>
              <c:numCache>
                <c:formatCode>General</c:formatCode>
                <c:ptCount val="41"/>
                <c:pt idx="0">
                  <c:v>1E-3</c:v>
                </c:pt>
                <c:pt idx="1">
                  <c:v>1.2589254117941662E-3</c:v>
                </c:pt>
                <c:pt idx="2">
                  <c:v>1.5848931924611134E-3</c:v>
                </c:pt>
                <c:pt idx="3">
                  <c:v>1.9952623149688798E-3</c:v>
                </c:pt>
                <c:pt idx="4">
                  <c:v>2.5118864315095799E-3</c:v>
                </c:pt>
                <c:pt idx="5">
                  <c:v>3.162277660168382E-3</c:v>
                </c:pt>
                <c:pt idx="6">
                  <c:v>3.9810717055349751E-3</c:v>
                </c:pt>
                <c:pt idx="7">
                  <c:v>5.0118723362727264E-3</c:v>
                </c:pt>
                <c:pt idx="8">
                  <c:v>6.3095734448019424E-3</c:v>
                </c:pt>
                <c:pt idx="9">
                  <c:v>7.9432823472428259E-3</c:v>
                </c:pt>
                <c:pt idx="10">
                  <c:v>1.0000000000000012E-2</c:v>
                </c:pt>
                <c:pt idx="11">
                  <c:v>1.2589254117941699E-2</c:v>
                </c:pt>
                <c:pt idx="12">
                  <c:v>1.5848931924611169E-2</c:v>
                </c:pt>
                <c:pt idx="13">
                  <c:v>1.9952623149688847E-2</c:v>
                </c:pt>
                <c:pt idx="14">
                  <c:v>2.5118864315095864E-2</c:v>
                </c:pt>
                <c:pt idx="15">
                  <c:v>3.1622776601683882E-2</c:v>
                </c:pt>
                <c:pt idx="16">
                  <c:v>3.9810717055349852E-2</c:v>
                </c:pt>
                <c:pt idx="17">
                  <c:v>5.0118723362727387E-2</c:v>
                </c:pt>
                <c:pt idx="18">
                  <c:v>6.3095734448019539E-2</c:v>
                </c:pt>
                <c:pt idx="19">
                  <c:v>7.9432823472428457E-2</c:v>
                </c:pt>
                <c:pt idx="20">
                  <c:v>0.10000000000000037</c:v>
                </c:pt>
                <c:pt idx="21">
                  <c:v>0.1258925411794172</c:v>
                </c:pt>
                <c:pt idx="22">
                  <c:v>0.15848931924611193</c:v>
                </c:pt>
                <c:pt idx="23">
                  <c:v>0.19952623149688867</c:v>
                </c:pt>
                <c:pt idx="24">
                  <c:v>0.2511886431509589</c:v>
                </c:pt>
                <c:pt idx="25">
                  <c:v>0.31622776601683905</c:v>
                </c:pt>
                <c:pt idx="26">
                  <c:v>0.39810717055349865</c:v>
                </c:pt>
                <c:pt idx="27">
                  <c:v>0.50118723362727402</c:v>
                </c:pt>
                <c:pt idx="28">
                  <c:v>0.63095734448019536</c:v>
                </c:pt>
                <c:pt idx="29">
                  <c:v>0.79432823472428427</c:v>
                </c:pt>
                <c:pt idx="30">
                  <c:v>1.0000000000000036</c:v>
                </c:pt>
                <c:pt idx="31">
                  <c:v>1.2589254117941717</c:v>
                </c:pt>
                <c:pt idx="32">
                  <c:v>1.5848931924611191</c:v>
                </c:pt>
                <c:pt idx="33">
                  <c:v>1.9952623149688868</c:v>
                </c:pt>
                <c:pt idx="34">
                  <c:v>2.5118864315095895</c:v>
                </c:pt>
                <c:pt idx="35">
                  <c:v>3.1622776601683911</c:v>
                </c:pt>
                <c:pt idx="36">
                  <c:v>3.9810717055349869</c:v>
                </c:pt>
                <c:pt idx="37">
                  <c:v>5.0118723362727406</c:v>
                </c:pt>
                <c:pt idx="38">
                  <c:v>6.3095734448019556</c:v>
                </c:pt>
                <c:pt idx="39">
                  <c:v>7.9432823472428415</c:v>
                </c:pt>
                <c:pt idx="40">
                  <c:v>10.000000000000037</c:v>
                </c:pt>
              </c:numCache>
            </c:numRef>
          </c:xVal>
          <c:yVal>
            <c:numRef>
              <c:f>Lightning!$F$10:$F$50</c:f>
              <c:numCache>
                <c:formatCode>General</c:formatCode>
                <c:ptCount val="41"/>
                <c:pt idx="0">
                  <c:v>5.1324014792134665E-2</c:v>
                </c:pt>
                <c:pt idx="1">
                  <c:v>4.586687775584819E-2</c:v>
                </c:pt>
                <c:pt idx="2">
                  <c:v>4.0975230176822697E-2</c:v>
                </c:pt>
                <c:pt idx="3">
                  <c:v>3.6592494535438225E-2</c:v>
                </c:pt>
                <c:pt idx="4">
                  <c:v>3.2667078339013389E-2</c:v>
                </c:pt>
                <c:pt idx="5">
                  <c:v>2.9152016021478988E-2</c:v>
                </c:pt>
                <c:pt idx="6">
                  <c:v>2.6004603361873713E-2</c:v>
                </c:pt>
                <c:pt idx="7">
                  <c:v>2.3186032003141399E-2</c:v>
                </c:pt>
                <c:pt idx="8">
                  <c:v>2.0661029745562498E-2</c:v>
                </c:pt>
                <c:pt idx="9">
                  <c:v>1.8397511242520204E-2</c:v>
                </c:pt>
                <c:pt idx="10">
                  <c:v>1.6366243768680455E-2</c:v>
                </c:pt>
                <c:pt idx="11">
                  <c:v>1.4540534287478812E-2</c:v>
                </c:pt>
                <c:pt idx="12">
                  <c:v>1.2895947796872975E-2</c:v>
                </c:pt>
                <c:pt idx="13">
                  <c:v>1.1410073807560983E-2</c:v>
                </c:pt>
                <c:pt idx="14">
                  <c:v>1.0062368735785698E-2</c:v>
                </c:pt>
                <c:pt idx="15">
                  <c:v>8.83411704527437E-3</c:v>
                </c:pt>
                <c:pt idx="16">
                  <c:v>7.7085702303714143E-3</c:v>
                </c:pt>
                <c:pt idx="17">
                  <c:v>6.6713301617407073E-3</c:v>
                </c:pt>
                <c:pt idx="18">
                  <c:v>5.7110192264800963E-3</c:v>
                </c:pt>
                <c:pt idx="19">
                  <c:v>4.8201872713399263E-3</c:v>
                </c:pt>
                <c:pt idx="20">
                  <c:v>3.996211698490848E-3</c:v>
                </c:pt>
                <c:pt idx="21">
                  <c:v>3.2416813240817577E-3</c:v>
                </c:pt>
                <c:pt idx="22">
                  <c:v>2.5635918037369976E-3</c:v>
                </c:pt>
                <c:pt idx="23">
                  <c:v>1.9709302684496333E-3</c:v>
                </c:pt>
                <c:pt idx="24">
                  <c:v>1.4710493020753113E-3</c:v>
                </c:pt>
                <c:pt idx="25">
                  <c:v>1.066206197500752E-3</c:v>
                </c:pt>
                <c:pt idx="26">
                  <c:v>7.5187382850161466E-4</c:v>
                </c:pt>
                <c:pt idx="27">
                  <c:v>5.1749137064638351E-4</c:v>
                </c:pt>
                <c:pt idx="28">
                  <c:v>3.4895001024481953E-4</c:v>
                </c:pt>
                <c:pt idx="29">
                  <c:v>2.3142819679722315E-4</c:v>
                </c:pt>
                <c:pt idx="30">
                  <c:v>1.5150367367422479E-4</c:v>
                </c:pt>
                <c:pt idx="31">
                  <c:v>9.8202209831588227E-5</c:v>
                </c:pt>
                <c:pt idx="32">
                  <c:v>6.3182474017153822E-5</c:v>
                </c:pt>
                <c:pt idx="33">
                  <c:v>4.0429437011102465E-5</c:v>
                </c:pt>
                <c:pt idx="34">
                  <c:v>2.5767300884660393E-5</c:v>
                </c:pt>
                <c:pt idx="35">
                  <c:v>1.6375331064577558E-5</c:v>
                </c:pt>
                <c:pt idx="36">
                  <c:v>1.0385159721515436E-5</c:v>
                </c:pt>
                <c:pt idx="37">
                  <c:v>6.5764847096971835E-6</c:v>
                </c:pt>
                <c:pt idx="38">
                  <c:v>4.1602194672529791E-6</c:v>
                </c:pt>
                <c:pt idx="39">
                  <c:v>2.629738570125717E-6</c:v>
                </c:pt>
                <c:pt idx="40">
                  <c:v>1.6614114378699085E-6</c:v>
                </c:pt>
              </c:numCache>
            </c:numRef>
          </c:yVal>
        </c:ser>
        <c:axId val="88677760"/>
        <c:axId val="88695936"/>
      </c:scatterChart>
      <c:valAx>
        <c:axId val="88677760"/>
        <c:scaling>
          <c:logBase val="10"/>
          <c:orientation val="minMax"/>
          <c:max val="10"/>
          <c:min val="1.0000000000000005E-2"/>
        </c:scaling>
        <c:axPos val="b"/>
        <c:numFmt formatCode="General" sourceLinked="1"/>
        <c:tickLblPos val="nextTo"/>
        <c:crossAx val="88695936"/>
        <c:crosses val="autoZero"/>
        <c:crossBetween val="midCat"/>
      </c:valAx>
      <c:valAx>
        <c:axId val="88695936"/>
        <c:scaling>
          <c:logBase val="10"/>
          <c:orientation val="minMax"/>
          <c:max val="1"/>
          <c:min val="1.0000000000000013E-7"/>
        </c:scaling>
        <c:axPos val="l"/>
        <c:majorGridlines/>
        <c:numFmt formatCode="General" sourceLinked="1"/>
        <c:tickLblPos val="nextTo"/>
        <c:crossAx val="88677760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xVal>
            <c:numRef>
              <c:f>verify!$B$4:$B$47</c:f>
              <c:numCache>
                <c:formatCode>General</c:formatCode>
                <c:ptCount val="44"/>
                <c:pt idx="0">
                  <c:v>0.01</c:v>
                </c:pt>
                <c:pt idx="1">
                  <c:v>1.2589254117941664E-2</c:v>
                </c:pt>
                <c:pt idx="2">
                  <c:v>1.5848931924611138E-2</c:v>
                </c:pt>
                <c:pt idx="3">
                  <c:v>1.9952623149688802E-2</c:v>
                </c:pt>
                <c:pt idx="4">
                  <c:v>2.5118864315095819E-2</c:v>
                </c:pt>
                <c:pt idx="5">
                  <c:v>3.1622776601683812E-2</c:v>
                </c:pt>
                <c:pt idx="6">
                  <c:v>3.9810717055349762E-2</c:v>
                </c:pt>
                <c:pt idx="7">
                  <c:v>5.0118723362727297E-2</c:v>
                </c:pt>
                <c:pt idx="8">
                  <c:v>6.30957344480194E-2</c:v>
                </c:pt>
                <c:pt idx="9">
                  <c:v>7.9432823472428277E-2</c:v>
                </c:pt>
                <c:pt idx="10">
                  <c:v>0.10000000000000016</c:v>
                </c:pt>
                <c:pt idx="11">
                  <c:v>0.12589254117941689</c:v>
                </c:pt>
                <c:pt idx="12">
                  <c:v>0.15848931924611157</c:v>
                </c:pt>
                <c:pt idx="13">
                  <c:v>0.19952623149688828</c:v>
                </c:pt>
                <c:pt idx="14">
                  <c:v>0.2511886431509584</c:v>
                </c:pt>
                <c:pt idx="15">
                  <c:v>0.31622776601683839</c:v>
                </c:pt>
                <c:pt idx="16">
                  <c:v>0.39810717055349781</c:v>
                </c:pt>
                <c:pt idx="17">
                  <c:v>0.50118723362727291</c:v>
                </c:pt>
                <c:pt idx="18">
                  <c:v>0.63095734448019414</c:v>
                </c:pt>
                <c:pt idx="19">
                  <c:v>0.7943282347242826</c:v>
                </c:pt>
                <c:pt idx="20">
                  <c:v>1.0000000000000016</c:v>
                </c:pt>
                <c:pt idx="21">
                  <c:v>1.2589254117941691</c:v>
                </c:pt>
                <c:pt idx="22">
                  <c:v>1.5848931924611158</c:v>
                </c:pt>
                <c:pt idx="23">
                  <c:v>1.9952623149688828</c:v>
                </c:pt>
                <c:pt idx="24">
                  <c:v>2.5118864315095841</c:v>
                </c:pt>
                <c:pt idx="25">
                  <c:v>3.1622776601683844</c:v>
                </c:pt>
                <c:pt idx="26">
                  <c:v>3.9810717055349789</c:v>
                </c:pt>
                <c:pt idx="27">
                  <c:v>5.0118723362727309</c:v>
                </c:pt>
                <c:pt idx="28">
                  <c:v>6.3095734448019414</c:v>
                </c:pt>
                <c:pt idx="29">
                  <c:v>7.9432823472428282</c:v>
                </c:pt>
                <c:pt idx="30">
                  <c:v>10.000000000000016</c:v>
                </c:pt>
                <c:pt idx="31">
                  <c:v>12.589254117941696</c:v>
                </c:pt>
                <c:pt idx="32">
                  <c:v>15.848931924611172</c:v>
                </c:pt>
                <c:pt idx="33">
                  <c:v>19.95262314968884</c:v>
                </c:pt>
                <c:pt idx="34">
                  <c:v>25.118864315095866</c:v>
                </c:pt>
                <c:pt idx="35">
                  <c:v>31.622776601683888</c:v>
                </c:pt>
                <c:pt idx="36">
                  <c:v>39.810717055349841</c:v>
                </c:pt>
                <c:pt idx="37">
                  <c:v>50.118723362727394</c:v>
                </c:pt>
                <c:pt idx="38">
                  <c:v>63.095734448019527</c:v>
                </c:pt>
                <c:pt idx="39">
                  <c:v>79.432823472428467</c:v>
                </c:pt>
                <c:pt idx="40">
                  <c:v>100.00000000000031</c:v>
                </c:pt>
                <c:pt idx="41">
                  <c:v>125.89254117941721</c:v>
                </c:pt>
                <c:pt idx="42">
                  <c:v>158.48931924611196</c:v>
                </c:pt>
                <c:pt idx="43">
                  <c:v>199.52623149688873</c:v>
                </c:pt>
              </c:numCache>
            </c:numRef>
          </c:xVal>
          <c:yVal>
            <c:numRef>
              <c:f>verify!$C$4:$C$47</c:f>
              <c:numCache>
                <c:formatCode>General</c:formatCode>
                <c:ptCount val="44"/>
                <c:pt idx="0">
                  <c:v>0.38453404087596854</c:v>
                </c:pt>
                <c:pt idx="1">
                  <c:v>0.35764084415569608</c:v>
                </c:pt>
                <c:pt idx="2">
                  <c:v>0.33160212745018841</c:v>
                </c:pt>
                <c:pt idx="3">
                  <c:v>0.30653693124891301</c:v>
                </c:pt>
                <c:pt idx="4">
                  <c:v>0.28254179556968395</c:v>
                </c:pt>
                <c:pt idx="5">
                  <c:v>0.25968986937890093</c:v>
                </c:pt>
                <c:pt idx="6">
                  <c:v>0.23803082148540702</c:v>
                </c:pt>
                <c:pt idx="7">
                  <c:v>0.21759143184013477</c:v>
                </c:pt>
                <c:pt idx="8">
                  <c:v>0.19837671567910531</c:v>
                </c:pt>
                <c:pt idx="9">
                  <c:v>0.1803714277134805</c:v>
                </c:pt>
                <c:pt idx="10">
                  <c:v>0.1635418117701106</c:v>
                </c:pt>
                <c:pt idx="11">
                  <c:v>0.14783750643140081</c:v>
                </c:pt>
                <c:pt idx="12">
                  <c:v>0.13319359580139628</c:v>
                </c:pt>
                <c:pt idx="13">
                  <c:v>0.11953291673826243</c:v>
                </c:pt>
                <c:pt idx="14">
                  <c:v>0.10676891110992233</c:v>
                </c:pt>
                <c:pt idx="15">
                  <c:v>9.4809545230775408E-2</c:v>
                </c:pt>
                <c:pt idx="16">
                  <c:v>8.3563070724300956E-2</c:v>
                </c:pt>
                <c:pt idx="17">
                  <c:v>7.2946536288268179E-2</c:v>
                </c:pt>
                <c:pt idx="18">
                  <c:v>6.2897665799724126E-2</c:v>
                </c:pt>
                <c:pt idx="19">
                  <c:v>5.3389483680380163E-2</c:v>
                </c:pt>
                <c:pt idx="20">
                  <c:v>4.4444444444444384E-2</c:v>
                </c:pt>
                <c:pt idx="21">
                  <c:v>3.6141258768200124E-2</c:v>
                </c:pt>
                <c:pt idx="22">
                  <c:v>2.8605606581221632E-2</c:v>
                </c:pt>
                <c:pt idx="23">
                  <c:v>2.1979715095085277E-2</c:v>
                </c:pt>
                <c:pt idx="24">
                  <c:v>1.6377080301945186E-2</c:v>
                </c:pt>
                <c:pt idx="25">
                  <c:v>1.1840979824055764E-2</c:v>
                </c:pt>
                <c:pt idx="26">
                  <c:v>8.3268576315746311E-3</c:v>
                </c:pt>
                <c:pt idx="27">
                  <c:v>5.7151579469915184E-3</c:v>
                </c:pt>
                <c:pt idx="28">
                  <c:v>3.8439490943216336E-3</c:v>
                </c:pt>
                <c:pt idx="29">
                  <c:v>2.5437482319314499E-3</c:v>
                </c:pt>
                <c:pt idx="30">
                  <c:v>1.6622438718888939E-3</c:v>
                </c:pt>
                <c:pt idx="31">
                  <c:v>1.075891911176575E-3</c:v>
                </c:pt>
                <c:pt idx="32">
                  <c:v>6.9145071034135564E-4</c:v>
                </c:pt>
                <c:pt idx="33">
                  <c:v>4.4207515487509278E-4</c:v>
                </c:pt>
                <c:pt idx="34">
                  <c:v>2.8157470695240822E-4</c:v>
                </c:pt>
                <c:pt idx="35">
                  <c:v>1.7885969252091227E-4</c:v>
                </c:pt>
                <c:pt idx="36">
                  <c:v>1.133932673658899E-4</c:v>
                </c:pt>
                <c:pt idx="37">
                  <c:v>7.178932973840913E-5</c:v>
                </c:pt>
                <c:pt idx="38">
                  <c:v>4.5405039724705062E-5</c:v>
                </c:pt>
                <c:pt idx="39">
                  <c:v>2.8697489182921618E-5</c:v>
                </c:pt>
                <c:pt idx="40">
                  <c:v>1.8128750385235834E-5</c:v>
                </c:pt>
                <c:pt idx="41">
                  <c:v>1.1448242972201449E-5</c:v>
                </c:pt>
                <c:pt idx="42">
                  <c:v>7.2277218624996912E-6</c:v>
                </c:pt>
                <c:pt idx="43">
                  <c:v>4.5623362303090347E-6</c:v>
                </c:pt>
              </c:numCache>
            </c:numRef>
          </c:yVal>
        </c:ser>
        <c:axId val="156549888"/>
        <c:axId val="156551424"/>
      </c:scatterChart>
      <c:valAx>
        <c:axId val="156549888"/>
        <c:scaling>
          <c:logBase val="10"/>
          <c:orientation val="minMax"/>
          <c:max val="100"/>
          <c:min val="0.1"/>
        </c:scaling>
        <c:axPos val="b"/>
        <c:numFmt formatCode="General" sourceLinked="1"/>
        <c:tickLblPos val="nextTo"/>
        <c:crossAx val="156551424"/>
        <c:crosses val="autoZero"/>
        <c:crossBetween val="midCat"/>
      </c:valAx>
      <c:valAx>
        <c:axId val="156551424"/>
        <c:scaling>
          <c:logBase val="10"/>
          <c:orientation val="minMax"/>
          <c:max val="1"/>
          <c:min val="1.0000000000000016E-6"/>
        </c:scaling>
        <c:axPos val="l"/>
        <c:majorGridlines/>
        <c:numFmt formatCode="General" sourceLinked="1"/>
        <c:tickLblPos val="nextTo"/>
        <c:crossAx val="156549888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0</xdr:row>
      <xdr:rowOff>180974</xdr:rowOff>
    </xdr:from>
    <xdr:to>
      <xdr:col>16</xdr:col>
      <xdr:colOff>533400</xdr:colOff>
      <xdr:row>22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13</xdr:col>
      <xdr:colOff>304800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15</xdr:row>
      <xdr:rowOff>0</xdr:rowOff>
    </xdr:from>
    <xdr:to>
      <xdr:col>18</xdr:col>
      <xdr:colOff>523874</xdr:colOff>
      <xdr:row>42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</xdr:row>
      <xdr:rowOff>133349</xdr:rowOff>
    </xdr:from>
    <xdr:to>
      <xdr:col>12</xdr:col>
      <xdr:colOff>514350</xdr:colOff>
      <xdr:row>24</xdr:row>
      <xdr:rowOff>123824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workbookViewId="0">
      <selection activeCell="C10" sqref="C10"/>
    </sheetView>
  </sheetViews>
  <sheetFormatPr defaultRowHeight="15"/>
  <cols>
    <col min="3" max="3" width="12" bestFit="1" customWidth="1"/>
  </cols>
  <sheetData>
    <row r="1" spans="1:4">
      <c r="A1">
        <v>0.1</v>
      </c>
      <c r="C1">
        <v>3333</v>
      </c>
    </row>
    <row r="2" spans="1:4">
      <c r="C2">
        <v>1</v>
      </c>
    </row>
    <row r="10" spans="1:4">
      <c r="A10">
        <v>1</v>
      </c>
      <c r="B10">
        <f>10^($A10)</f>
        <v>10</v>
      </c>
      <c r="C10">
        <f>1/(1+$C$1/$B10)</f>
        <v>2.9913251570445705E-3</v>
      </c>
      <c r="D10">
        <v>1E-4</v>
      </c>
    </row>
    <row r="11" spans="1:4">
      <c r="A11">
        <f>+$A10+$A$1</f>
        <v>1.1000000000000001</v>
      </c>
      <c r="B11">
        <f t="shared" ref="B11:B74" si="0">10^($A11)</f>
        <v>12.58925411794168</v>
      </c>
      <c r="C11">
        <f t="shared" ref="C11:C74" si="1">1/(1+$C$1/$B11)</f>
        <v>3.7629407442787868E-3</v>
      </c>
    </row>
    <row r="12" spans="1:4">
      <c r="A12">
        <f t="shared" ref="A12:A68" si="2">+$A11+$A$1</f>
        <v>1.2000000000000002</v>
      </c>
      <c r="B12">
        <f t="shared" si="0"/>
        <v>15.848931924611144</v>
      </c>
      <c r="C12">
        <f t="shared" si="1"/>
        <v>4.7326506052641293E-3</v>
      </c>
    </row>
    <row r="13" spans="1:4">
      <c r="A13">
        <f t="shared" si="2"/>
        <v>1.3000000000000003</v>
      </c>
      <c r="B13">
        <f t="shared" si="0"/>
        <v>19.952623149688815</v>
      </c>
      <c r="C13">
        <f t="shared" si="1"/>
        <v>5.9507620274532142E-3</v>
      </c>
    </row>
    <row r="14" spans="1:4">
      <c r="A14">
        <f t="shared" si="2"/>
        <v>1.4000000000000004</v>
      </c>
      <c r="B14">
        <f t="shared" si="0"/>
        <v>25.118864315095834</v>
      </c>
      <c r="C14">
        <f t="shared" si="1"/>
        <v>7.4800402636191216E-3</v>
      </c>
    </row>
    <row r="15" spans="1:4">
      <c r="A15">
        <f t="shared" si="2"/>
        <v>1.5000000000000004</v>
      </c>
      <c r="B15">
        <f t="shared" si="0"/>
        <v>31.622776601683832</v>
      </c>
      <c r="C15">
        <f t="shared" si="1"/>
        <v>9.3986098000630198E-3</v>
      </c>
      <c r="D15">
        <v>3.0000000000000001E-3</v>
      </c>
    </row>
    <row r="16" spans="1:4">
      <c r="A16">
        <f t="shared" si="2"/>
        <v>1.6000000000000005</v>
      </c>
      <c r="B16">
        <f t="shared" si="0"/>
        <v>39.810717055349791</v>
      </c>
      <c r="C16">
        <f t="shared" si="1"/>
        <v>1.1803424619720951E-2</v>
      </c>
    </row>
    <row r="17" spans="1:4">
      <c r="A17">
        <f t="shared" si="2"/>
        <v>1.7000000000000006</v>
      </c>
      <c r="B17">
        <f t="shared" si="0"/>
        <v>50.11872336272733</v>
      </c>
      <c r="C17">
        <f t="shared" si="1"/>
        <v>1.4814355469296298E-2</v>
      </c>
    </row>
    <row r="18" spans="1:4">
      <c r="A18">
        <f t="shared" si="2"/>
        <v>1.8000000000000007</v>
      </c>
      <c r="B18">
        <f t="shared" si="0"/>
        <v>63.095734448019471</v>
      </c>
      <c r="C18">
        <f t="shared" si="1"/>
        <v>1.8578903358940399E-2</v>
      </c>
    </row>
    <row r="19" spans="1:4">
      <c r="A19">
        <f t="shared" si="2"/>
        <v>1.9000000000000008</v>
      </c>
      <c r="B19">
        <f t="shared" si="0"/>
        <v>79.432823472428325</v>
      </c>
      <c r="C19">
        <f t="shared" si="1"/>
        <v>2.327747609448879E-2</v>
      </c>
    </row>
    <row r="20" spans="1:4">
      <c r="A20">
        <f t="shared" si="2"/>
        <v>2.0000000000000009</v>
      </c>
      <c r="B20">
        <f t="shared" si="0"/>
        <v>100.00000000000023</v>
      </c>
      <c r="C20">
        <f t="shared" si="1"/>
        <v>2.9129041654529626E-2</v>
      </c>
      <c r="D20">
        <v>0.02</v>
      </c>
    </row>
    <row r="21" spans="1:4">
      <c r="A21">
        <f t="shared" si="2"/>
        <v>2.100000000000001</v>
      </c>
      <c r="B21">
        <f t="shared" si="0"/>
        <v>125.89254117941711</v>
      </c>
      <c r="C21">
        <f t="shared" si="1"/>
        <v>3.6396777199817293E-2</v>
      </c>
    </row>
    <row r="22" spans="1:4">
      <c r="A22">
        <f t="shared" si="2"/>
        <v>2.2000000000000011</v>
      </c>
      <c r="B22">
        <f t="shared" si="0"/>
        <v>158.48931924611182</v>
      </c>
      <c r="C22">
        <f t="shared" si="1"/>
        <v>4.5393041408568049E-2</v>
      </c>
    </row>
    <row r="23" spans="1:4">
      <c r="A23">
        <f t="shared" si="2"/>
        <v>2.3000000000000012</v>
      </c>
      <c r="B23">
        <f t="shared" si="0"/>
        <v>199.52623149688853</v>
      </c>
      <c r="C23">
        <f t="shared" si="1"/>
        <v>5.6482590197876721E-2</v>
      </c>
    </row>
    <row r="24" spans="1:4">
      <c r="A24">
        <f t="shared" si="2"/>
        <v>2.4000000000000012</v>
      </c>
      <c r="B24">
        <f t="shared" si="0"/>
        <v>251.18864315095894</v>
      </c>
      <c r="C24">
        <f t="shared" si="1"/>
        <v>7.0082428175469044E-2</v>
      </c>
    </row>
    <row r="25" spans="1:4">
      <c r="A25">
        <f t="shared" si="2"/>
        <v>2.5000000000000013</v>
      </c>
      <c r="B25">
        <f t="shared" si="0"/>
        <v>316.2277660168391</v>
      </c>
      <c r="C25">
        <f t="shared" si="1"/>
        <v>8.6656078023324978E-2</v>
      </c>
    </row>
    <row r="26" spans="1:4">
      <c r="A26">
        <f t="shared" si="2"/>
        <v>2.6000000000000014</v>
      </c>
      <c r="B26">
        <f t="shared" si="0"/>
        <v>398.10717055349869</v>
      </c>
      <c r="C26">
        <f t="shared" si="1"/>
        <v>0.10669947346874004</v>
      </c>
    </row>
    <row r="27" spans="1:4">
      <c r="A27">
        <f t="shared" si="2"/>
        <v>2.7000000000000015</v>
      </c>
      <c r="B27">
        <f t="shared" si="0"/>
        <v>501.18723362727451</v>
      </c>
      <c r="C27">
        <f t="shared" si="1"/>
        <v>0.13071537801588629</v>
      </c>
    </row>
    <row r="28" spans="1:4">
      <c r="A28">
        <f t="shared" si="2"/>
        <v>2.8000000000000016</v>
      </c>
      <c r="B28">
        <f t="shared" si="0"/>
        <v>630.95734448019596</v>
      </c>
      <c r="C28">
        <f t="shared" si="1"/>
        <v>0.15917359589118762</v>
      </c>
    </row>
    <row r="29" spans="1:4">
      <c r="A29">
        <f t="shared" si="2"/>
        <v>2.9000000000000017</v>
      </c>
      <c r="B29">
        <f t="shared" si="0"/>
        <v>794.32823472428493</v>
      </c>
      <c r="C29">
        <f t="shared" si="1"/>
        <v>0.19245579453589254</v>
      </c>
    </row>
    <row r="30" spans="1:4">
      <c r="A30">
        <f t="shared" si="2"/>
        <v>3.0000000000000018</v>
      </c>
      <c r="B30">
        <f t="shared" si="0"/>
        <v>1000.0000000000051</v>
      </c>
      <c r="C30">
        <f t="shared" si="1"/>
        <v>0.23078698361412511</v>
      </c>
      <c r="D30">
        <v>0.3</v>
      </c>
    </row>
    <row r="31" spans="1:4">
      <c r="A31">
        <f t="shared" si="2"/>
        <v>3.1000000000000019</v>
      </c>
      <c r="B31">
        <f t="shared" si="0"/>
        <v>1258.9254117941734</v>
      </c>
      <c r="C31">
        <f t="shared" si="1"/>
        <v>0.27416068400429039</v>
      </c>
    </row>
    <row r="32" spans="1:4">
      <c r="A32">
        <f t="shared" si="2"/>
        <v>3.200000000000002</v>
      </c>
      <c r="B32">
        <f t="shared" si="0"/>
        <v>1584.8931924611213</v>
      </c>
      <c r="C32">
        <f t="shared" si="1"/>
        <v>0.32227076319808684</v>
      </c>
    </row>
    <row r="33" spans="1:4">
      <c r="A33">
        <f t="shared" si="2"/>
        <v>3.300000000000002</v>
      </c>
      <c r="B33">
        <f t="shared" si="0"/>
        <v>1995.2623149688911</v>
      </c>
      <c r="C33">
        <f t="shared" si="1"/>
        <v>0.37446773394836896</v>
      </c>
    </row>
    <row r="34" spans="1:4">
      <c r="A34">
        <f t="shared" si="2"/>
        <v>3.4000000000000021</v>
      </c>
      <c r="B34">
        <f t="shared" si="0"/>
        <v>2511.8864315095943</v>
      </c>
      <c r="C34">
        <f t="shared" si="1"/>
        <v>0.42975795354518709</v>
      </c>
    </row>
    <row r="35" spans="1:4">
      <c r="A35">
        <f t="shared" si="2"/>
        <v>3.5000000000000022</v>
      </c>
      <c r="B35">
        <f t="shared" si="0"/>
        <v>3162.2776601683972</v>
      </c>
      <c r="C35">
        <f t="shared" si="1"/>
        <v>0.48685796445019286</v>
      </c>
    </row>
    <row r="36" spans="1:4">
      <c r="A36">
        <f t="shared" si="2"/>
        <v>3.6000000000000023</v>
      </c>
      <c r="B36">
        <f t="shared" si="0"/>
        <v>3981.0717055349983</v>
      </c>
      <c r="C36">
        <f t="shared" si="1"/>
        <v>0.54430307300956338</v>
      </c>
    </row>
    <row r="37" spans="1:4">
      <c r="A37">
        <f t="shared" si="2"/>
        <v>3.7000000000000024</v>
      </c>
      <c r="B37">
        <f t="shared" si="0"/>
        <v>5011.8723362727505</v>
      </c>
      <c r="C37">
        <f t="shared" si="1"/>
        <v>0.60059305095508642</v>
      </c>
    </row>
    <row r="38" spans="1:4">
      <c r="A38">
        <f t="shared" si="2"/>
        <v>3.8000000000000025</v>
      </c>
      <c r="B38">
        <f t="shared" si="0"/>
        <v>6309.5734448019721</v>
      </c>
      <c r="C38">
        <f t="shared" si="1"/>
        <v>0.6543453862104911</v>
      </c>
    </row>
    <row r="39" spans="1:4">
      <c r="A39">
        <f t="shared" si="2"/>
        <v>3.9000000000000026</v>
      </c>
      <c r="B39">
        <f t="shared" si="0"/>
        <v>7943.2823472428718</v>
      </c>
      <c r="C39">
        <f t="shared" si="1"/>
        <v>0.70442386086448594</v>
      </c>
    </row>
    <row r="40" spans="1:4">
      <c r="A40">
        <f t="shared" si="2"/>
        <v>4.0000000000000027</v>
      </c>
      <c r="B40">
        <f t="shared" si="0"/>
        <v>10000.000000000062</v>
      </c>
      <c r="C40">
        <f t="shared" si="1"/>
        <v>0.75001875046876287</v>
      </c>
      <c r="D40">
        <v>0.75</v>
      </c>
    </row>
    <row r="41" spans="1:4">
      <c r="A41">
        <f t="shared" si="2"/>
        <v>4.1000000000000023</v>
      </c>
      <c r="B41">
        <f t="shared" si="0"/>
        <v>12589.25411794176</v>
      </c>
      <c r="C41">
        <f t="shared" si="1"/>
        <v>0.79067034257139146</v>
      </c>
    </row>
    <row r="42" spans="1:4">
      <c r="A42">
        <f t="shared" si="2"/>
        <v>4.200000000000002</v>
      </c>
      <c r="B42">
        <f t="shared" si="0"/>
        <v>15848.931924611232</v>
      </c>
      <c r="C42">
        <f t="shared" si="1"/>
        <v>0.82624273649289615</v>
      </c>
    </row>
    <row r="43" spans="1:4">
      <c r="A43">
        <f t="shared" si="2"/>
        <v>4.3000000000000016</v>
      </c>
      <c r="B43">
        <f t="shared" si="0"/>
        <v>19952.623149688898</v>
      </c>
      <c r="C43">
        <f t="shared" si="1"/>
        <v>0.85686447046857195</v>
      </c>
    </row>
    <row r="44" spans="1:4">
      <c r="A44">
        <f t="shared" si="2"/>
        <v>4.4000000000000012</v>
      </c>
      <c r="B44">
        <f t="shared" si="0"/>
        <v>25118.864315095907</v>
      </c>
      <c r="C44">
        <f t="shared" si="1"/>
        <v>0.88285477664704082</v>
      </c>
    </row>
    <row r="45" spans="1:4">
      <c r="A45">
        <f t="shared" si="2"/>
        <v>4.5000000000000009</v>
      </c>
      <c r="B45">
        <f t="shared" si="0"/>
        <v>31622.776601683894</v>
      </c>
      <c r="C45">
        <f t="shared" si="1"/>
        <v>0.90465095260279704</v>
      </c>
    </row>
    <row r="46" spans="1:4">
      <c r="A46">
        <f t="shared" si="2"/>
        <v>4.6000000000000005</v>
      </c>
      <c r="B46">
        <f t="shared" si="0"/>
        <v>39810.717055349814</v>
      </c>
      <c r="C46">
        <f t="shared" si="1"/>
        <v>0.92274657290830919</v>
      </c>
    </row>
    <row r="47" spans="1:4">
      <c r="A47">
        <f t="shared" si="2"/>
        <v>4.7</v>
      </c>
      <c r="B47">
        <f t="shared" si="0"/>
        <v>50118.723362727294</v>
      </c>
      <c r="C47">
        <f t="shared" si="1"/>
        <v>0.93764466718159822</v>
      </c>
    </row>
    <row r="48" spans="1:4">
      <c r="A48">
        <f t="shared" si="2"/>
        <v>4.8</v>
      </c>
      <c r="B48">
        <f t="shared" si="0"/>
        <v>63095.734448019342</v>
      </c>
      <c r="C48">
        <f t="shared" si="1"/>
        <v>0.94982592958160161</v>
      </c>
    </row>
    <row r="49" spans="1:4">
      <c r="A49">
        <f t="shared" si="2"/>
        <v>4.8999999999999995</v>
      </c>
      <c r="B49">
        <f t="shared" si="0"/>
        <v>79432.823472428106</v>
      </c>
      <c r="C49">
        <f t="shared" si="1"/>
        <v>0.95972975486542056</v>
      </c>
    </row>
    <row r="50" spans="1:4">
      <c r="A50">
        <f t="shared" si="2"/>
        <v>4.9999999999999991</v>
      </c>
      <c r="B50">
        <f t="shared" si="0"/>
        <v>99999.99999999984</v>
      </c>
      <c r="C50">
        <f t="shared" si="1"/>
        <v>0.96774505724212001</v>
      </c>
      <c r="D50">
        <v>0.93</v>
      </c>
    </row>
    <row r="51" spans="1:4">
      <c r="A51">
        <f t="shared" si="2"/>
        <v>5.0999999999999988</v>
      </c>
      <c r="B51">
        <f t="shared" si="0"/>
        <v>125892.5411794164</v>
      </c>
      <c r="C51">
        <f t="shared" si="1"/>
        <v>0.97420788514731405</v>
      </c>
    </row>
    <row r="52" spans="1:4">
      <c r="A52">
        <f t="shared" si="2"/>
        <v>5.1999999999999984</v>
      </c>
      <c r="B52">
        <f t="shared" si="0"/>
        <v>158489.31924611109</v>
      </c>
      <c r="C52">
        <f t="shared" si="1"/>
        <v>0.97940333561199977</v>
      </c>
    </row>
    <row r="53" spans="1:4">
      <c r="A53">
        <f t="shared" si="2"/>
        <v>5.299999999999998</v>
      </c>
      <c r="B53">
        <f t="shared" si="0"/>
        <v>199526.23149688743</v>
      </c>
      <c r="C53">
        <f t="shared" si="1"/>
        <v>0.98356988747612839</v>
      </c>
    </row>
    <row r="54" spans="1:4">
      <c r="A54">
        <f t="shared" si="2"/>
        <v>5.3999999999999977</v>
      </c>
      <c r="B54">
        <f t="shared" si="0"/>
        <v>251188.6431509571</v>
      </c>
      <c r="C54">
        <f t="shared" si="1"/>
        <v>0.98690484644552134</v>
      </c>
    </row>
    <row r="55" spans="1:4">
      <c r="A55">
        <f t="shared" si="2"/>
        <v>5.4999999999999973</v>
      </c>
      <c r="B55">
        <f t="shared" si="0"/>
        <v>316227.76601683651</v>
      </c>
      <c r="C55">
        <f t="shared" si="1"/>
        <v>0.98957005879806792</v>
      </c>
    </row>
    <row r="56" spans="1:4">
      <c r="A56">
        <f t="shared" si="2"/>
        <v>5.599999999999997</v>
      </c>
      <c r="B56">
        <f t="shared" si="0"/>
        <v>398107.17055349506</v>
      </c>
      <c r="C56">
        <f t="shared" si="1"/>
        <v>0.99169739292556458</v>
      </c>
    </row>
    <row r="57" spans="1:4">
      <c r="A57">
        <f t="shared" si="2"/>
        <v>5.6999999999999966</v>
      </c>
      <c r="B57">
        <f t="shared" si="0"/>
        <v>501187.23362726904</v>
      </c>
      <c r="C57">
        <f t="shared" si="1"/>
        <v>0.99339372382344848</v>
      </c>
    </row>
    <row r="58" spans="1:4">
      <c r="A58">
        <f t="shared" si="2"/>
        <v>5.7999999999999963</v>
      </c>
      <c r="B58">
        <f t="shared" si="0"/>
        <v>630957.34448018856</v>
      </c>
      <c r="C58">
        <f t="shared" si="1"/>
        <v>0.99474530862876132</v>
      </c>
    </row>
    <row r="59" spans="1:4">
      <c r="A59">
        <f t="shared" si="2"/>
        <v>5.8999999999999959</v>
      </c>
      <c r="B59">
        <f t="shared" si="0"/>
        <v>794328.23472427484</v>
      </c>
      <c r="C59">
        <f t="shared" si="1"/>
        <v>0.99582153443729526</v>
      </c>
    </row>
    <row r="60" spans="1:4">
      <c r="A60">
        <f t="shared" si="2"/>
        <v>5.9999999999999956</v>
      </c>
      <c r="B60">
        <f t="shared" si="0"/>
        <v>999999.99999999069</v>
      </c>
      <c r="C60">
        <f t="shared" si="1"/>
        <v>0.99667807198607039</v>
      </c>
      <c r="D60">
        <v>0.98499999999999999</v>
      </c>
    </row>
    <row r="61" spans="1:4">
      <c r="A61">
        <f t="shared" si="2"/>
        <v>6.0999999999999952</v>
      </c>
      <c r="B61">
        <f t="shared" si="0"/>
        <v>1258925.4117941542</v>
      </c>
      <c r="C61">
        <f t="shared" si="1"/>
        <v>0.99735949472084517</v>
      </c>
    </row>
    <row r="62" spans="1:4">
      <c r="A62">
        <f t="shared" si="2"/>
        <v>6.1999999999999948</v>
      </c>
      <c r="B62">
        <f t="shared" si="0"/>
        <v>1584893.1924610955</v>
      </c>
      <c r="C62">
        <f t="shared" si="1"/>
        <v>0.99790143241824047</v>
      </c>
    </row>
    <row r="63" spans="1:4">
      <c r="A63">
        <f t="shared" si="2"/>
        <v>6.2999999999999945</v>
      </c>
      <c r="B63">
        <f t="shared" si="0"/>
        <v>1995262.3149688588</v>
      </c>
      <c r="C63">
        <f t="shared" si="1"/>
        <v>0.99833232872356059</v>
      </c>
    </row>
    <row r="64" spans="1:4">
      <c r="A64">
        <f t="shared" si="2"/>
        <v>6.3999999999999941</v>
      </c>
      <c r="B64">
        <f t="shared" si="0"/>
        <v>2511886.4315095516</v>
      </c>
      <c r="C64">
        <f t="shared" si="1"/>
        <v>0.99867486710771802</v>
      </c>
    </row>
    <row r="65" spans="1:4">
      <c r="A65">
        <f t="shared" si="2"/>
        <v>6.4999999999999938</v>
      </c>
      <c r="B65">
        <f t="shared" si="0"/>
        <v>3162277.6601683404</v>
      </c>
      <c r="C65">
        <f t="shared" si="1"/>
        <v>0.99894712257513596</v>
      </c>
    </row>
    <row r="66" spans="1:4">
      <c r="A66">
        <f t="shared" si="2"/>
        <v>6.5999999999999934</v>
      </c>
      <c r="B66">
        <f t="shared" si="0"/>
        <v>3981071.7055349196</v>
      </c>
      <c r="C66">
        <f t="shared" si="1"/>
        <v>0.99916348858955772</v>
      </c>
    </row>
    <row r="67" spans="1:4">
      <c r="A67">
        <f t="shared" si="2"/>
        <v>6.6999999999999931</v>
      </c>
      <c r="B67">
        <f t="shared" si="0"/>
        <v>5011872.3362726513</v>
      </c>
      <c r="C67">
        <f t="shared" si="1"/>
        <v>0.99933542102934569</v>
      </c>
    </row>
    <row r="68" spans="1:4">
      <c r="A68">
        <f t="shared" si="2"/>
        <v>6.7999999999999927</v>
      </c>
      <c r="B68">
        <f t="shared" si="0"/>
        <v>6309573.4448018363</v>
      </c>
      <c r="C68">
        <f t="shared" si="1"/>
        <v>0.99947203399430318</v>
      </c>
    </row>
    <row r="69" spans="1:4">
      <c r="A69">
        <f t="shared" ref="A69:A80" si="3">+$A68+$A$1</f>
        <v>6.8999999999999924</v>
      </c>
      <c r="B69">
        <f t="shared" si="0"/>
        <v>7943282.3472426869</v>
      </c>
      <c r="C69">
        <f t="shared" si="1"/>
        <v>0.99958057615042917</v>
      </c>
    </row>
    <row r="70" spans="1:4">
      <c r="A70">
        <f t="shared" si="3"/>
        <v>6.999999999999992</v>
      </c>
      <c r="B70">
        <f t="shared" si="0"/>
        <v>9999999.9999998286</v>
      </c>
      <c r="C70">
        <f t="shared" si="1"/>
        <v>0.99966681105187627</v>
      </c>
      <c r="D70">
        <v>0.998</v>
      </c>
    </row>
    <row r="71" spans="1:4">
      <c r="A71">
        <f t="shared" si="3"/>
        <v>7.0999999999999917</v>
      </c>
      <c r="B71">
        <f t="shared" si="0"/>
        <v>12589254.117941445</v>
      </c>
      <c r="C71">
        <f t="shared" si="1"/>
        <v>0.99973532047316538</v>
      </c>
    </row>
    <row r="72" spans="1:4">
      <c r="A72">
        <f t="shared" si="3"/>
        <v>7.1999999999999913</v>
      </c>
      <c r="B72">
        <f t="shared" si="0"/>
        <v>15848931.924610833</v>
      </c>
      <c r="C72">
        <f t="shared" si="1"/>
        <v>0.99978974613306981</v>
      </c>
    </row>
    <row r="73" spans="1:4">
      <c r="A73">
        <f t="shared" si="3"/>
        <v>7.2999999999999909</v>
      </c>
      <c r="B73">
        <f t="shared" si="0"/>
        <v>19952623.149688397</v>
      </c>
      <c r="C73">
        <f t="shared" si="1"/>
        <v>0.99983298219463901</v>
      </c>
    </row>
    <row r="74" spans="1:4">
      <c r="A74">
        <f t="shared" si="3"/>
        <v>7.3999999999999906</v>
      </c>
      <c r="B74">
        <f t="shared" si="0"/>
        <v>25118864.315095276</v>
      </c>
      <c r="C74">
        <f t="shared" si="1"/>
        <v>0.99986732848412108</v>
      </c>
    </row>
    <row r="75" spans="1:4">
      <c r="A75">
        <f t="shared" si="3"/>
        <v>7.4999999999999902</v>
      </c>
      <c r="B75">
        <f t="shared" ref="B75:B80" si="4">10^($A75)</f>
        <v>31622776.601683099</v>
      </c>
      <c r="C75">
        <f t="shared" ref="C75:C80" si="5">1/(1+$C$1/$B75)</f>
        <v>0.99989461239330479</v>
      </c>
    </row>
    <row r="76" spans="1:4">
      <c r="A76">
        <f t="shared" si="3"/>
        <v>7.5999999999999899</v>
      </c>
      <c r="B76">
        <f t="shared" si="4"/>
        <v>39810717.055348814</v>
      </c>
      <c r="C76">
        <f t="shared" si="5"/>
        <v>0.99991628583388614</v>
      </c>
    </row>
    <row r="77" spans="1:4">
      <c r="A77">
        <f t="shared" si="3"/>
        <v>7.6999999999999895</v>
      </c>
      <c r="B77">
        <f t="shared" si="4"/>
        <v>50118723.362726033</v>
      </c>
      <c r="C77">
        <f t="shared" si="5"/>
        <v>0.99993350232927625</v>
      </c>
    </row>
    <row r="78" spans="1:4">
      <c r="A78">
        <f t="shared" si="3"/>
        <v>7.7999999999999892</v>
      </c>
      <c r="B78">
        <f t="shared" si="4"/>
        <v>63095734.448017761</v>
      </c>
      <c r="C78">
        <f t="shared" si="5"/>
        <v>0.99994717830017454</v>
      </c>
    </row>
    <row r="79" spans="1:4">
      <c r="A79">
        <f t="shared" si="3"/>
        <v>7.8999999999999888</v>
      </c>
      <c r="B79">
        <f t="shared" si="4"/>
        <v>79432823.472426102</v>
      </c>
      <c r="C79">
        <f t="shared" si="5"/>
        <v>0.9999580417765912</v>
      </c>
    </row>
    <row r="80" spans="1:4">
      <c r="A80">
        <f t="shared" si="3"/>
        <v>7.9999999999999885</v>
      </c>
      <c r="B80">
        <f t="shared" si="4"/>
        <v>99999999.99999769</v>
      </c>
      <c r="C80">
        <f t="shared" si="5"/>
        <v>0.99996667111085191</v>
      </c>
      <c r="D80">
        <v>0.99950000000000006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0"/>
  <sheetViews>
    <sheetView topLeftCell="A4" workbookViewId="0">
      <selection activeCell="B10" sqref="B10:C80"/>
    </sheetView>
  </sheetViews>
  <sheetFormatPr defaultRowHeight="15"/>
  <sheetData>
    <row r="1" spans="1:3">
      <c r="A1">
        <v>0.1</v>
      </c>
    </row>
    <row r="10" spans="1:3">
      <c r="A10">
        <v>1</v>
      </c>
      <c r="B10">
        <f>10^($A10)</f>
        <v>10</v>
      </c>
      <c r="C10">
        <v>1E-4</v>
      </c>
    </row>
    <row r="11" spans="1:3">
      <c r="A11">
        <f>+$A10+$A$1</f>
        <v>1.1000000000000001</v>
      </c>
      <c r="B11">
        <f t="shared" ref="B11:B74" si="0">10^($A11)</f>
        <v>12.58925411794168</v>
      </c>
    </row>
    <row r="12" spans="1:3">
      <c r="A12">
        <f t="shared" ref="A12:A75" si="1">+$A11+$A$1</f>
        <v>1.2000000000000002</v>
      </c>
      <c r="B12">
        <f t="shared" si="0"/>
        <v>15.848931924611144</v>
      </c>
    </row>
    <row r="13" spans="1:3">
      <c r="A13">
        <f t="shared" si="1"/>
        <v>1.3000000000000003</v>
      </c>
      <c r="B13">
        <f t="shared" si="0"/>
        <v>19.952623149688815</v>
      </c>
    </row>
    <row r="14" spans="1:3">
      <c r="A14">
        <f t="shared" si="1"/>
        <v>1.4000000000000004</v>
      </c>
      <c r="B14">
        <f t="shared" si="0"/>
        <v>25.118864315095834</v>
      </c>
    </row>
    <row r="15" spans="1:3">
      <c r="A15">
        <f>+$A14+$A$1</f>
        <v>1.5000000000000004</v>
      </c>
      <c r="B15">
        <f t="shared" si="0"/>
        <v>31.622776601683832</v>
      </c>
      <c r="C15">
        <v>3.0000000000000001E-3</v>
      </c>
    </row>
    <row r="16" spans="1:3">
      <c r="A16">
        <f t="shared" si="1"/>
        <v>1.6000000000000005</v>
      </c>
      <c r="B16">
        <f t="shared" si="0"/>
        <v>39.810717055349791</v>
      </c>
    </row>
    <row r="17" spans="1:3">
      <c r="A17">
        <f t="shared" si="1"/>
        <v>1.7000000000000006</v>
      </c>
      <c r="B17">
        <f t="shared" si="0"/>
        <v>50.11872336272733</v>
      </c>
    </row>
    <row r="18" spans="1:3">
      <c r="A18">
        <f t="shared" si="1"/>
        <v>1.8000000000000007</v>
      </c>
      <c r="B18">
        <f t="shared" si="0"/>
        <v>63.095734448019471</v>
      </c>
    </row>
    <row r="19" spans="1:3">
      <c r="A19">
        <f t="shared" si="1"/>
        <v>1.9000000000000008</v>
      </c>
      <c r="B19">
        <f t="shared" si="0"/>
        <v>79.432823472428325</v>
      </c>
    </row>
    <row r="20" spans="1:3">
      <c r="A20">
        <f t="shared" si="1"/>
        <v>2.0000000000000009</v>
      </c>
      <c r="B20">
        <f t="shared" si="0"/>
        <v>100.00000000000023</v>
      </c>
      <c r="C20">
        <v>0.02</v>
      </c>
    </row>
    <row r="21" spans="1:3">
      <c r="A21">
        <f t="shared" si="1"/>
        <v>2.100000000000001</v>
      </c>
      <c r="B21">
        <f t="shared" si="0"/>
        <v>125.89254117941711</v>
      </c>
    </row>
    <row r="22" spans="1:3">
      <c r="A22">
        <f t="shared" si="1"/>
        <v>2.2000000000000011</v>
      </c>
      <c r="B22">
        <f t="shared" si="0"/>
        <v>158.48931924611182</v>
      </c>
    </row>
    <row r="23" spans="1:3">
      <c r="A23">
        <f t="shared" si="1"/>
        <v>2.3000000000000012</v>
      </c>
      <c r="B23">
        <f t="shared" si="0"/>
        <v>199.52623149688853</v>
      </c>
    </row>
    <row r="24" spans="1:3">
      <c r="A24">
        <f t="shared" si="1"/>
        <v>2.4000000000000012</v>
      </c>
      <c r="B24">
        <f t="shared" si="0"/>
        <v>251.18864315095894</v>
      </c>
    </row>
    <row r="25" spans="1:3">
      <c r="A25">
        <f t="shared" si="1"/>
        <v>2.5000000000000013</v>
      </c>
      <c r="B25">
        <f t="shared" si="0"/>
        <v>316.2277660168391</v>
      </c>
    </row>
    <row r="26" spans="1:3">
      <c r="A26">
        <f t="shared" si="1"/>
        <v>2.6000000000000014</v>
      </c>
      <c r="B26">
        <f t="shared" si="0"/>
        <v>398.10717055349869</v>
      </c>
    </row>
    <row r="27" spans="1:3">
      <c r="A27">
        <f t="shared" si="1"/>
        <v>2.7000000000000015</v>
      </c>
      <c r="B27">
        <f t="shared" si="0"/>
        <v>501.18723362727451</v>
      </c>
    </row>
    <row r="28" spans="1:3">
      <c r="A28">
        <f t="shared" si="1"/>
        <v>2.8000000000000016</v>
      </c>
      <c r="B28">
        <f t="shared" si="0"/>
        <v>630.95734448019596</v>
      </c>
    </row>
    <row r="29" spans="1:3">
      <c r="A29">
        <f t="shared" si="1"/>
        <v>2.9000000000000017</v>
      </c>
      <c r="B29">
        <f t="shared" si="0"/>
        <v>794.32823472428493</v>
      </c>
    </row>
    <row r="30" spans="1:3">
      <c r="A30">
        <f t="shared" si="1"/>
        <v>3.0000000000000018</v>
      </c>
      <c r="B30">
        <f t="shared" si="0"/>
        <v>1000.0000000000051</v>
      </c>
      <c r="C30">
        <v>0.3</v>
      </c>
    </row>
    <row r="31" spans="1:3">
      <c r="A31">
        <f t="shared" si="1"/>
        <v>3.1000000000000019</v>
      </c>
      <c r="B31">
        <f t="shared" si="0"/>
        <v>1258.9254117941734</v>
      </c>
    </row>
    <row r="32" spans="1:3">
      <c r="A32">
        <f t="shared" si="1"/>
        <v>3.200000000000002</v>
      </c>
      <c r="B32">
        <f t="shared" si="0"/>
        <v>1584.8931924611213</v>
      </c>
    </row>
    <row r="33" spans="1:3">
      <c r="A33">
        <f t="shared" si="1"/>
        <v>3.300000000000002</v>
      </c>
      <c r="B33">
        <f t="shared" si="0"/>
        <v>1995.2623149688911</v>
      </c>
    </row>
    <row r="34" spans="1:3">
      <c r="A34">
        <f t="shared" si="1"/>
        <v>3.4000000000000021</v>
      </c>
      <c r="B34">
        <f t="shared" si="0"/>
        <v>2511.8864315095943</v>
      </c>
    </row>
    <row r="35" spans="1:3">
      <c r="A35">
        <f t="shared" si="1"/>
        <v>3.5000000000000022</v>
      </c>
      <c r="B35">
        <f t="shared" si="0"/>
        <v>3162.2776601683972</v>
      </c>
    </row>
    <row r="36" spans="1:3">
      <c r="A36">
        <f t="shared" si="1"/>
        <v>3.6000000000000023</v>
      </c>
      <c r="B36">
        <f t="shared" si="0"/>
        <v>3981.0717055349983</v>
      </c>
    </row>
    <row r="37" spans="1:3">
      <c r="A37">
        <f t="shared" si="1"/>
        <v>3.7000000000000024</v>
      </c>
      <c r="B37">
        <f t="shared" si="0"/>
        <v>5011.8723362727505</v>
      </c>
    </row>
    <row r="38" spans="1:3">
      <c r="A38">
        <f t="shared" si="1"/>
        <v>3.8000000000000025</v>
      </c>
      <c r="B38">
        <f t="shared" si="0"/>
        <v>6309.5734448019721</v>
      </c>
    </row>
    <row r="39" spans="1:3">
      <c r="A39">
        <f t="shared" si="1"/>
        <v>3.9000000000000026</v>
      </c>
      <c r="B39">
        <f t="shared" si="0"/>
        <v>7943.2823472428718</v>
      </c>
    </row>
    <row r="40" spans="1:3">
      <c r="A40">
        <f t="shared" si="1"/>
        <v>4.0000000000000027</v>
      </c>
      <c r="B40">
        <f t="shared" si="0"/>
        <v>10000.000000000062</v>
      </c>
      <c r="C40">
        <v>0.75</v>
      </c>
    </row>
    <row r="41" spans="1:3">
      <c r="A41">
        <f t="shared" si="1"/>
        <v>4.1000000000000023</v>
      </c>
      <c r="B41">
        <f t="shared" si="0"/>
        <v>12589.25411794176</v>
      </c>
    </row>
    <row r="42" spans="1:3">
      <c r="A42">
        <f t="shared" si="1"/>
        <v>4.200000000000002</v>
      </c>
      <c r="B42">
        <f t="shared" si="0"/>
        <v>15848.931924611232</v>
      </c>
    </row>
    <row r="43" spans="1:3">
      <c r="A43">
        <f t="shared" si="1"/>
        <v>4.3000000000000016</v>
      </c>
      <c r="B43">
        <f t="shared" si="0"/>
        <v>19952.623149688898</v>
      </c>
    </row>
    <row r="44" spans="1:3">
      <c r="A44">
        <f t="shared" si="1"/>
        <v>4.4000000000000012</v>
      </c>
      <c r="B44">
        <f t="shared" si="0"/>
        <v>25118.864315095907</v>
      </c>
    </row>
    <row r="45" spans="1:3">
      <c r="A45">
        <f t="shared" si="1"/>
        <v>4.5000000000000009</v>
      </c>
      <c r="B45">
        <f t="shared" si="0"/>
        <v>31622.776601683894</v>
      </c>
    </row>
    <row r="46" spans="1:3">
      <c r="A46">
        <f t="shared" si="1"/>
        <v>4.6000000000000005</v>
      </c>
      <c r="B46">
        <f t="shared" si="0"/>
        <v>39810.717055349814</v>
      </c>
    </row>
    <row r="47" spans="1:3">
      <c r="A47">
        <f t="shared" si="1"/>
        <v>4.7</v>
      </c>
      <c r="B47">
        <f t="shared" si="0"/>
        <v>50118.723362727294</v>
      </c>
    </row>
    <row r="48" spans="1:3">
      <c r="A48">
        <f t="shared" si="1"/>
        <v>4.8</v>
      </c>
      <c r="B48">
        <f t="shared" si="0"/>
        <v>63095.734448019342</v>
      </c>
    </row>
    <row r="49" spans="1:3">
      <c r="A49">
        <f t="shared" si="1"/>
        <v>4.8999999999999995</v>
      </c>
      <c r="B49">
        <f t="shared" si="0"/>
        <v>79432.823472428106</v>
      </c>
    </row>
    <row r="50" spans="1:3">
      <c r="A50">
        <f t="shared" si="1"/>
        <v>4.9999999999999991</v>
      </c>
      <c r="B50">
        <f t="shared" si="0"/>
        <v>99999.99999999984</v>
      </c>
      <c r="C50">
        <v>0.93</v>
      </c>
    </row>
    <row r="51" spans="1:3">
      <c r="A51">
        <f t="shared" si="1"/>
        <v>5.0999999999999988</v>
      </c>
      <c r="B51">
        <f t="shared" si="0"/>
        <v>125892.5411794164</v>
      </c>
    </row>
    <row r="52" spans="1:3">
      <c r="A52">
        <f t="shared" si="1"/>
        <v>5.1999999999999984</v>
      </c>
      <c r="B52">
        <f t="shared" si="0"/>
        <v>158489.31924611109</v>
      </c>
    </row>
    <row r="53" spans="1:3">
      <c r="A53">
        <f t="shared" si="1"/>
        <v>5.299999999999998</v>
      </c>
      <c r="B53">
        <f t="shared" si="0"/>
        <v>199526.23149688743</v>
      </c>
    </row>
    <row r="54" spans="1:3">
      <c r="A54">
        <f t="shared" si="1"/>
        <v>5.3999999999999977</v>
      </c>
      <c r="B54">
        <f t="shared" si="0"/>
        <v>251188.6431509571</v>
      </c>
    </row>
    <row r="55" spans="1:3">
      <c r="A55">
        <f t="shared" si="1"/>
        <v>5.4999999999999973</v>
      </c>
      <c r="B55">
        <f t="shared" si="0"/>
        <v>316227.76601683651</v>
      </c>
    </row>
    <row r="56" spans="1:3">
      <c r="A56">
        <f t="shared" si="1"/>
        <v>5.599999999999997</v>
      </c>
      <c r="B56">
        <f t="shared" si="0"/>
        <v>398107.17055349506</v>
      </c>
    </row>
    <row r="57" spans="1:3">
      <c r="A57">
        <f t="shared" si="1"/>
        <v>5.6999999999999966</v>
      </c>
      <c r="B57">
        <f t="shared" si="0"/>
        <v>501187.23362726904</v>
      </c>
    </row>
    <row r="58" spans="1:3">
      <c r="A58">
        <f t="shared" si="1"/>
        <v>5.7999999999999963</v>
      </c>
      <c r="B58">
        <f t="shared" si="0"/>
        <v>630957.34448018856</v>
      </c>
    </row>
    <row r="59" spans="1:3">
      <c r="A59">
        <f t="shared" si="1"/>
        <v>5.8999999999999959</v>
      </c>
      <c r="B59">
        <f t="shared" si="0"/>
        <v>794328.23472427484</v>
      </c>
    </row>
    <row r="60" spans="1:3">
      <c r="A60">
        <f t="shared" si="1"/>
        <v>5.9999999999999956</v>
      </c>
      <c r="B60">
        <f t="shared" si="0"/>
        <v>999999.99999999069</v>
      </c>
      <c r="C60">
        <v>0.98499999999999999</v>
      </c>
    </row>
    <row r="61" spans="1:3">
      <c r="A61">
        <f t="shared" si="1"/>
        <v>6.0999999999999952</v>
      </c>
      <c r="B61">
        <f t="shared" si="0"/>
        <v>1258925.4117941542</v>
      </c>
    </row>
    <row r="62" spans="1:3">
      <c r="A62">
        <f t="shared" si="1"/>
        <v>6.1999999999999948</v>
      </c>
      <c r="B62">
        <f t="shared" si="0"/>
        <v>1584893.1924610955</v>
      </c>
    </row>
    <row r="63" spans="1:3">
      <c r="A63">
        <f t="shared" si="1"/>
        <v>6.2999999999999945</v>
      </c>
      <c r="B63">
        <f t="shared" si="0"/>
        <v>1995262.3149688588</v>
      </c>
    </row>
    <row r="64" spans="1:3">
      <c r="A64">
        <f t="shared" si="1"/>
        <v>6.3999999999999941</v>
      </c>
      <c r="B64">
        <f t="shared" si="0"/>
        <v>2511886.4315095516</v>
      </c>
    </row>
    <row r="65" spans="1:3">
      <c r="A65">
        <f t="shared" si="1"/>
        <v>6.4999999999999938</v>
      </c>
      <c r="B65">
        <f t="shared" si="0"/>
        <v>3162277.6601683404</v>
      </c>
    </row>
    <row r="66" spans="1:3">
      <c r="A66">
        <f t="shared" si="1"/>
        <v>6.5999999999999934</v>
      </c>
      <c r="B66">
        <f t="shared" si="0"/>
        <v>3981071.7055349196</v>
      </c>
    </row>
    <row r="67" spans="1:3">
      <c r="A67">
        <f t="shared" si="1"/>
        <v>6.6999999999999931</v>
      </c>
      <c r="B67">
        <f t="shared" si="0"/>
        <v>5011872.3362726513</v>
      </c>
    </row>
    <row r="68" spans="1:3">
      <c r="A68">
        <f t="shared" si="1"/>
        <v>6.7999999999999927</v>
      </c>
      <c r="B68">
        <f t="shared" si="0"/>
        <v>6309573.4448018363</v>
      </c>
    </row>
    <row r="69" spans="1:3">
      <c r="A69">
        <f t="shared" si="1"/>
        <v>6.8999999999999924</v>
      </c>
      <c r="B69">
        <f t="shared" si="0"/>
        <v>7943282.3472426869</v>
      </c>
    </row>
    <row r="70" spans="1:3">
      <c r="A70">
        <f t="shared" si="1"/>
        <v>6.999999999999992</v>
      </c>
      <c r="B70">
        <f t="shared" si="0"/>
        <v>9999999.9999998286</v>
      </c>
      <c r="C70">
        <v>0.998</v>
      </c>
    </row>
    <row r="71" spans="1:3">
      <c r="A71">
        <f t="shared" si="1"/>
        <v>7.0999999999999917</v>
      </c>
      <c r="B71">
        <f t="shared" si="0"/>
        <v>12589254.117941445</v>
      </c>
    </row>
    <row r="72" spans="1:3">
      <c r="A72">
        <f t="shared" si="1"/>
        <v>7.1999999999999913</v>
      </c>
      <c r="B72">
        <f t="shared" si="0"/>
        <v>15848931.924610833</v>
      </c>
    </row>
    <row r="73" spans="1:3">
      <c r="A73">
        <f t="shared" si="1"/>
        <v>7.2999999999999909</v>
      </c>
      <c r="B73">
        <f t="shared" si="0"/>
        <v>19952623.149688397</v>
      </c>
    </row>
    <row r="74" spans="1:3">
      <c r="A74">
        <f t="shared" si="1"/>
        <v>7.3999999999999906</v>
      </c>
      <c r="B74">
        <f t="shared" si="0"/>
        <v>25118864.315095276</v>
      </c>
    </row>
    <row r="75" spans="1:3">
      <c r="A75">
        <f t="shared" si="1"/>
        <v>7.4999999999999902</v>
      </c>
      <c r="B75">
        <f t="shared" ref="B75:B80" si="2">10^($A75)</f>
        <v>31622776.601683099</v>
      </c>
    </row>
    <row r="76" spans="1:3">
      <c r="A76">
        <f t="shared" ref="A76:A80" si="3">+$A75+$A$1</f>
        <v>7.5999999999999899</v>
      </c>
      <c r="B76">
        <f t="shared" si="2"/>
        <v>39810717.055348814</v>
      </c>
    </row>
    <row r="77" spans="1:3">
      <c r="A77">
        <f t="shared" si="3"/>
        <v>7.6999999999999895</v>
      </c>
      <c r="B77">
        <f t="shared" si="2"/>
        <v>50118723.362726033</v>
      </c>
    </row>
    <row r="78" spans="1:3">
      <c r="A78">
        <f t="shared" si="3"/>
        <v>7.7999999999999892</v>
      </c>
      <c r="B78">
        <f t="shared" si="2"/>
        <v>63095734.448017761</v>
      </c>
    </row>
    <row r="79" spans="1:3">
      <c r="A79">
        <f t="shared" si="3"/>
        <v>7.8999999999999888</v>
      </c>
      <c r="B79">
        <f t="shared" si="2"/>
        <v>79432823.472426102</v>
      </c>
    </row>
    <row r="80" spans="1:3">
      <c r="A80">
        <f t="shared" si="3"/>
        <v>7.9999999999999885</v>
      </c>
      <c r="B80">
        <f t="shared" si="2"/>
        <v>99999999.99999769</v>
      </c>
      <c r="C80">
        <v>0.99950000000000006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0"/>
  <sheetViews>
    <sheetView topLeftCell="A16" workbookViewId="0">
      <selection activeCell="F10" sqref="F10"/>
    </sheetView>
  </sheetViews>
  <sheetFormatPr defaultRowHeight="15"/>
  <sheetData>
    <row r="1" spans="1:13">
      <c r="A1">
        <v>0.1</v>
      </c>
      <c r="C1">
        <v>2</v>
      </c>
      <c r="E1">
        <v>2</v>
      </c>
    </row>
    <row r="2" spans="1:13">
      <c r="C2">
        <v>0.5</v>
      </c>
      <c r="I2" t="s">
        <v>3</v>
      </c>
    </row>
    <row r="3" spans="1:13">
      <c r="F3">
        <v>0.1</v>
      </c>
    </row>
    <row r="4" spans="1:13">
      <c r="D4">
        <v>6000</v>
      </c>
      <c r="E4">
        <v>6000</v>
      </c>
    </row>
    <row r="5" spans="1:13">
      <c r="D5">
        <v>600</v>
      </c>
      <c r="E5">
        <v>600</v>
      </c>
    </row>
    <row r="6" spans="1:13">
      <c r="E6">
        <v>0</v>
      </c>
      <c r="G6" t="s">
        <v>0</v>
      </c>
      <c r="M6">
        <f>+FACT(3)</f>
        <v>6</v>
      </c>
    </row>
    <row r="8" spans="1:13">
      <c r="G8" t="s">
        <v>1</v>
      </c>
    </row>
    <row r="9" spans="1:13">
      <c r="C9" t="s">
        <v>7</v>
      </c>
      <c r="D9" t="s">
        <v>6</v>
      </c>
      <c r="F9" t="s">
        <v>5</v>
      </c>
    </row>
    <row r="10" spans="1:13">
      <c r="A10">
        <v>-3</v>
      </c>
      <c r="B10">
        <f>10^$A10</f>
        <v>1E-3</v>
      </c>
      <c r="C10">
        <f>1/(0.5+$E$5*SQRT($B10)+$E$4*($B10)^($E$1))</f>
        <v>5.1335582550622795E-2</v>
      </c>
      <c r="D10">
        <f>1-1/(1+1/($D$5*SQRT($B10)+$D$4*($B10)^2))</f>
        <v>5.0050886834217767E-2</v>
      </c>
      <c r="F10">
        <f t="shared" ref="F10:F74" si="0">1-EXP(-1/($E$5*SQRT($B10)+$E$4*($B10)^($E$1)+$E$6*($B10)^3))</f>
        <v>5.1324014792134665E-2</v>
      </c>
    </row>
    <row r="11" spans="1:13">
      <c r="A11">
        <f>+$A10+$A$1</f>
        <v>-2.9</v>
      </c>
      <c r="B11">
        <f t="shared" ref="B11:B74" si="1">10^$A11</f>
        <v>1.2589254117941662E-3</v>
      </c>
      <c r="C11">
        <f t="shared" ref="C11:C74" si="2">1/(0.5+$E$5*SQRT($B11)+$E$4*($B11)^($E$1))</f>
        <v>4.5875110296764283E-2</v>
      </c>
      <c r="D11">
        <f t="shared" ref="D11:D74" si="3">1-1/(1+1/($D$5*SQRT($B11)+$D$4*($B11)^2))</f>
        <v>4.4846442547619492E-2</v>
      </c>
      <c r="F11">
        <f t="shared" si="0"/>
        <v>4.586687775584819E-2</v>
      </c>
    </row>
    <row r="12" spans="1:13">
      <c r="A12">
        <f t="shared" ref="A12:A75" si="4">+$A11+$A$1</f>
        <v>-2.8</v>
      </c>
      <c r="B12">
        <f t="shared" si="1"/>
        <v>1.5848931924611134E-3</v>
      </c>
      <c r="C12">
        <f t="shared" si="2"/>
        <v>4.098108462207644E-2</v>
      </c>
      <c r="D12">
        <f t="shared" si="3"/>
        <v>4.0158220897637431E-2</v>
      </c>
      <c r="F12">
        <f t="shared" si="0"/>
        <v>4.0975230176822697E-2</v>
      </c>
    </row>
    <row r="13" spans="1:13">
      <c r="A13">
        <f t="shared" si="4"/>
        <v>-2.6999999999999997</v>
      </c>
      <c r="B13">
        <f t="shared" si="1"/>
        <v>1.9952623149688798E-3</v>
      </c>
      <c r="C13">
        <f t="shared" si="2"/>
        <v>3.6596654637217486E-2</v>
      </c>
      <c r="D13">
        <f t="shared" si="3"/>
        <v>3.5939030493729818E-2</v>
      </c>
      <c r="F13">
        <f t="shared" si="0"/>
        <v>3.6592494535438225E-2</v>
      </c>
    </row>
    <row r="14" spans="1:13">
      <c r="A14">
        <f t="shared" si="4"/>
        <v>-2.5999999999999996</v>
      </c>
      <c r="B14">
        <f t="shared" si="1"/>
        <v>2.5118864315095799E-3</v>
      </c>
      <c r="C14">
        <f t="shared" si="2"/>
        <v>3.2670032083839277E-2</v>
      </c>
      <c r="D14">
        <f t="shared" si="3"/>
        <v>3.2144943909412471E-2</v>
      </c>
      <c r="F14">
        <f t="shared" si="0"/>
        <v>3.2667078339013389E-2</v>
      </c>
      <c r="K14" t="s">
        <v>2</v>
      </c>
    </row>
    <row r="15" spans="1:13">
      <c r="A15">
        <f t="shared" si="4"/>
        <v>-2.4999999999999996</v>
      </c>
      <c r="B15">
        <f t="shared" si="1"/>
        <v>3.162277660168382E-3</v>
      </c>
      <c r="C15">
        <f t="shared" si="2"/>
        <v>2.9154111378152367E-2</v>
      </c>
      <c r="D15">
        <f t="shared" si="3"/>
        <v>2.8735236239254003E-2</v>
      </c>
      <c r="F15">
        <f t="shared" si="0"/>
        <v>2.9152016021478988E-2</v>
      </c>
      <c r="K15" t="s">
        <v>4</v>
      </c>
    </row>
    <row r="16" spans="1:13">
      <c r="A16">
        <f t="shared" si="4"/>
        <v>-2.3999999999999995</v>
      </c>
      <c r="B16">
        <f t="shared" si="1"/>
        <v>3.9810717055349751E-3</v>
      </c>
      <c r="C16">
        <f t="shared" si="2"/>
        <v>2.6006088265316241E-2</v>
      </c>
      <c r="D16">
        <f t="shared" si="3"/>
        <v>2.5672270597748126E-2</v>
      </c>
      <c r="F16">
        <f t="shared" si="0"/>
        <v>2.6004603361873713E-2</v>
      </c>
    </row>
    <row r="17" spans="1:6">
      <c r="A17">
        <f t="shared" si="4"/>
        <v>-2.2999999999999994</v>
      </c>
      <c r="B17">
        <f t="shared" si="1"/>
        <v>5.0118723362727264E-3</v>
      </c>
      <c r="C17">
        <f t="shared" si="2"/>
        <v>2.3187082991389569E-2</v>
      </c>
      <c r="D17">
        <f t="shared" si="3"/>
        <v>2.2921343445022502E-2</v>
      </c>
      <c r="F17">
        <f t="shared" si="0"/>
        <v>2.3186032003141399E-2</v>
      </c>
    </row>
    <row r="18" spans="1:6">
      <c r="A18">
        <f t="shared" si="4"/>
        <v>-2.1999999999999993</v>
      </c>
      <c r="B18">
        <f t="shared" si="1"/>
        <v>6.3095734448019424E-3</v>
      </c>
      <c r="C18">
        <f t="shared" si="2"/>
        <v>2.0661772444313629E-2</v>
      </c>
      <c r="D18">
        <f t="shared" si="3"/>
        <v>2.0450500648923509E-2</v>
      </c>
      <c r="F18">
        <f t="shared" si="0"/>
        <v>2.0661029745562498E-2</v>
      </c>
    </row>
    <row r="19" spans="1:6">
      <c r="A19">
        <f t="shared" si="4"/>
        <v>-2.0999999999999992</v>
      </c>
      <c r="B19">
        <f t="shared" si="1"/>
        <v>7.9432823472428259E-3</v>
      </c>
      <c r="C19">
        <f t="shared" si="2"/>
        <v>1.8398035001869203E-2</v>
      </c>
      <c r="D19">
        <f t="shared" si="3"/>
        <v>1.8230333841810498E-2</v>
      </c>
      <c r="F19">
        <f t="shared" si="0"/>
        <v>1.8397511242520204E-2</v>
      </c>
    </row>
    <row r="20" spans="1:6">
      <c r="A20">
        <f t="shared" si="4"/>
        <v>-1.9999999999999991</v>
      </c>
      <c r="B20">
        <f t="shared" si="1"/>
        <v>1.0000000000000012E-2</v>
      </c>
      <c r="C20">
        <f t="shared" si="2"/>
        <v>1.6366612111292953E-2</v>
      </c>
      <c r="D20">
        <f t="shared" si="3"/>
        <v>1.6233766233766267E-2</v>
      </c>
      <c r="F20">
        <f t="shared" si="0"/>
        <v>1.6366243768680455E-2</v>
      </c>
    </row>
    <row r="21" spans="1:6">
      <c r="A21">
        <f t="shared" si="4"/>
        <v>-1.899999999999999</v>
      </c>
      <c r="B21">
        <f t="shared" si="1"/>
        <v>1.2589254117941699E-2</v>
      </c>
      <c r="C21">
        <f t="shared" si="2"/>
        <v>1.4540792360578814E-2</v>
      </c>
      <c r="D21">
        <f t="shared" si="3"/>
        <v>1.443583809840876E-2</v>
      </c>
      <c r="F21">
        <f t="shared" si="0"/>
        <v>1.4540534287478812E-2</v>
      </c>
    </row>
    <row r="22" spans="1:6">
      <c r="A22">
        <f t="shared" si="4"/>
        <v>-1.7999999999999989</v>
      </c>
      <c r="B22">
        <f t="shared" si="1"/>
        <v>1.5848931924611169E-2</v>
      </c>
      <c r="C22">
        <f t="shared" si="2"/>
        <v>1.2896127683498784E-2</v>
      </c>
      <c r="D22">
        <f t="shared" si="3"/>
        <v>1.2813505382754165E-2</v>
      </c>
      <c r="F22">
        <f t="shared" si="0"/>
        <v>1.2895947796872975E-2</v>
      </c>
    </row>
    <row r="23" spans="1:6">
      <c r="A23">
        <f t="shared" si="4"/>
        <v>-1.6999999999999988</v>
      </c>
      <c r="B23">
        <f t="shared" si="1"/>
        <v>1.9952623149688847E-2</v>
      </c>
      <c r="C23">
        <f t="shared" si="2"/>
        <v>1.1410198309876111E-2</v>
      </c>
      <c r="D23">
        <f t="shared" si="3"/>
        <v>1.1345471271313801E-2</v>
      </c>
      <c r="F23">
        <f t="shared" si="0"/>
        <v>1.1410073807560983E-2</v>
      </c>
    </row>
    <row r="24" spans="1:6">
      <c r="A24">
        <f t="shared" si="4"/>
        <v>-1.5999999999999988</v>
      </c>
      <c r="B24">
        <f t="shared" si="1"/>
        <v>2.5118864315095864E-2</v>
      </c>
      <c r="C24">
        <f t="shared" si="2"/>
        <v>1.0062454068706921E-2</v>
      </c>
      <c r="D24">
        <f t="shared" si="3"/>
        <v>1.0012081016028906E-2</v>
      </c>
      <c r="F24">
        <f t="shared" si="0"/>
        <v>1.0062368735785698E-2</v>
      </c>
    </row>
    <row r="25" spans="1:6">
      <c r="A25">
        <f t="shared" si="4"/>
        <v>-1.4999999999999987</v>
      </c>
      <c r="B25">
        <f t="shared" si="1"/>
        <v>3.1622776601683882E-2</v>
      </c>
      <c r="C25">
        <f t="shared" si="2"/>
        <v>8.8341747532540999E-3</v>
      </c>
      <c r="D25">
        <f t="shared" si="3"/>
        <v>8.7953250340727651E-3</v>
      </c>
      <c r="F25">
        <f t="shared" si="0"/>
        <v>8.83411704527437E-3</v>
      </c>
    </row>
    <row r="26" spans="1:6">
      <c r="A26">
        <f t="shared" si="4"/>
        <v>-1.3999999999999986</v>
      </c>
      <c r="B26">
        <f t="shared" si="1"/>
        <v>3.9810717055349852E-2</v>
      </c>
      <c r="C26">
        <f t="shared" si="2"/>
        <v>7.7086085499986816E-3</v>
      </c>
      <c r="D26">
        <f t="shared" si="3"/>
        <v>7.6790113039022501E-3</v>
      </c>
      <c r="F26">
        <f t="shared" si="0"/>
        <v>7.7085702303714143E-3</v>
      </c>
    </row>
    <row r="27" spans="1:6">
      <c r="A27">
        <f t="shared" si="4"/>
        <v>-1.2999999999999985</v>
      </c>
      <c r="B27">
        <f t="shared" si="1"/>
        <v>5.0118723362727387E-2</v>
      </c>
      <c r="C27">
        <f t="shared" si="2"/>
        <v>6.6713549879293937E-3</v>
      </c>
      <c r="D27">
        <f t="shared" si="3"/>
        <v>6.6491754829175465E-3</v>
      </c>
      <c r="F27">
        <f t="shared" si="0"/>
        <v>6.6713301617407073E-3</v>
      </c>
    </row>
    <row r="28" spans="1:6">
      <c r="A28">
        <f t="shared" si="4"/>
        <v>-1.1999999999999984</v>
      </c>
      <c r="B28">
        <f t="shared" si="1"/>
        <v>6.3095734448019539E-2</v>
      </c>
      <c r="C28">
        <f t="shared" si="2"/>
        <v>5.7110347934347218E-3</v>
      </c>
      <c r="D28">
        <f t="shared" si="3"/>
        <v>5.6947732692937958E-3</v>
      </c>
      <c r="F28">
        <f t="shared" si="0"/>
        <v>5.7110192264800963E-3</v>
      </c>
    </row>
    <row r="29" spans="1:6">
      <c r="A29">
        <f t="shared" si="4"/>
        <v>-1.0999999999999983</v>
      </c>
      <c r="B29">
        <f t="shared" si="1"/>
        <v>7.9432823472428457E-2</v>
      </c>
      <c r="C29">
        <f t="shared" si="2"/>
        <v>4.8201966266882348E-3</v>
      </c>
      <c r="D29">
        <f t="shared" si="3"/>
        <v>4.8086074100796017E-3</v>
      </c>
      <c r="F29">
        <f t="shared" si="0"/>
        <v>4.8201872713399263E-3</v>
      </c>
    </row>
    <row r="30" spans="1:6">
      <c r="A30">
        <f t="shared" si="4"/>
        <v>-0.99999999999999833</v>
      </c>
      <c r="B30">
        <f t="shared" si="1"/>
        <v>0.10000000000000037</v>
      </c>
      <c r="C30">
        <f t="shared" si="2"/>
        <v>3.9962170273456776E-3</v>
      </c>
      <c r="D30">
        <f t="shared" si="3"/>
        <v>3.9882480749127147E-3</v>
      </c>
      <c r="F30">
        <f t="shared" si="0"/>
        <v>3.996211698490848E-3</v>
      </c>
    </row>
    <row r="31" spans="1:6">
      <c r="A31">
        <f t="shared" si="4"/>
        <v>-0.89999999999999836</v>
      </c>
      <c r="B31">
        <f t="shared" si="1"/>
        <v>0.1258925411794172</v>
      </c>
      <c r="C31">
        <f t="shared" si="2"/>
        <v>3.2416841674616352E-3</v>
      </c>
      <c r="D31">
        <f t="shared" si="3"/>
        <v>3.2364384118821476E-3</v>
      </c>
      <c r="F31">
        <f t="shared" si="0"/>
        <v>3.2416813240817577E-3</v>
      </c>
    </row>
    <row r="32" spans="1:6">
      <c r="A32">
        <f t="shared" si="4"/>
        <v>-0.79999999999999838</v>
      </c>
      <c r="B32">
        <f t="shared" si="1"/>
        <v>0.15848931924611193</v>
      </c>
      <c r="C32">
        <f t="shared" si="2"/>
        <v>2.563593209534698E-3</v>
      </c>
      <c r="D32">
        <f t="shared" si="3"/>
        <v>2.5603114110609448E-3</v>
      </c>
      <c r="F32">
        <f t="shared" si="0"/>
        <v>2.5635918037369976E-3</v>
      </c>
    </row>
    <row r="33" spans="1:6">
      <c r="A33">
        <f t="shared" si="4"/>
        <v>-0.6999999999999984</v>
      </c>
      <c r="B33">
        <f t="shared" si="1"/>
        <v>0.19952623149688867</v>
      </c>
      <c r="C33">
        <f t="shared" si="2"/>
        <v>1.9709309070967754E-3</v>
      </c>
      <c r="D33">
        <f t="shared" si="3"/>
        <v>1.9689905349462578E-3</v>
      </c>
      <c r="F33">
        <f t="shared" si="0"/>
        <v>1.9709302684496333E-3</v>
      </c>
    </row>
    <row r="34" spans="1:6">
      <c r="A34">
        <f t="shared" si="4"/>
        <v>-0.59999999999999842</v>
      </c>
      <c r="B34">
        <f t="shared" si="1"/>
        <v>0.2511886431509589</v>
      </c>
      <c r="C34">
        <f t="shared" si="2"/>
        <v>1.471049567548208E-3</v>
      </c>
      <c r="D34">
        <f t="shared" si="3"/>
        <v>1.4699683693811805E-3</v>
      </c>
      <c r="F34">
        <f t="shared" si="0"/>
        <v>1.4710493020753113E-3</v>
      </c>
    </row>
    <row r="35" spans="1:6">
      <c r="A35">
        <f t="shared" si="4"/>
        <v>-0.49999999999999845</v>
      </c>
      <c r="B35">
        <f t="shared" si="1"/>
        <v>0.31622776601683905</v>
      </c>
      <c r="C35">
        <f t="shared" si="2"/>
        <v>1.0662062985595717E-3</v>
      </c>
      <c r="D35">
        <f t="shared" si="3"/>
        <v>1.0656382034773815E-3</v>
      </c>
      <c r="F35">
        <f t="shared" si="0"/>
        <v>1.066206197500752E-3</v>
      </c>
    </row>
    <row r="36" spans="1:6">
      <c r="A36">
        <f t="shared" si="4"/>
        <v>-0.39999999999999847</v>
      </c>
      <c r="B36">
        <f t="shared" si="1"/>
        <v>0.39810717055349865</v>
      </c>
      <c r="C36">
        <f t="shared" si="2"/>
        <v>7.5187386393539405E-4</v>
      </c>
      <c r="D36">
        <f t="shared" si="3"/>
        <v>7.5159131300306381E-4</v>
      </c>
      <c r="F36">
        <f t="shared" si="0"/>
        <v>7.5187382850161466E-4</v>
      </c>
    </row>
    <row r="37" spans="1:6">
      <c r="A37">
        <f t="shared" si="4"/>
        <v>-0.29999999999999849</v>
      </c>
      <c r="B37">
        <f t="shared" si="1"/>
        <v>0.50118723362727402</v>
      </c>
      <c r="C37">
        <f t="shared" si="2"/>
        <v>5.1749138219789738E-4</v>
      </c>
      <c r="D37">
        <f t="shared" si="3"/>
        <v>5.1735751816928133E-4</v>
      </c>
      <c r="F37">
        <f t="shared" si="0"/>
        <v>5.1749137064638351E-4</v>
      </c>
    </row>
    <row r="38" spans="1:6">
      <c r="A38">
        <f t="shared" si="4"/>
        <v>-0.19999999999999848</v>
      </c>
      <c r="B38">
        <f t="shared" si="1"/>
        <v>0.63095734448019536</v>
      </c>
      <c r="C38">
        <f t="shared" si="2"/>
        <v>3.4895001378628721E-4</v>
      </c>
      <c r="D38">
        <f t="shared" si="3"/>
        <v>3.4888914135100535E-4</v>
      </c>
      <c r="F38">
        <f t="shared" si="0"/>
        <v>3.4895001024481953E-4</v>
      </c>
    </row>
    <row r="39" spans="1:6">
      <c r="A39">
        <f t="shared" si="4"/>
        <v>-9.9999999999998479E-2</v>
      </c>
      <c r="B39">
        <f t="shared" si="1"/>
        <v>0.79432823472428427</v>
      </c>
      <c r="C39">
        <f t="shared" si="2"/>
        <v>2.3142819783027847E-4</v>
      </c>
      <c r="D39">
        <f t="shared" si="3"/>
        <v>2.3140142142330511E-4</v>
      </c>
      <c r="F39">
        <f t="shared" si="0"/>
        <v>2.3142819679722315E-4</v>
      </c>
    </row>
    <row r="40" spans="1:6">
      <c r="A40">
        <f t="shared" si="4"/>
        <v>1.5265566588595902E-15</v>
      </c>
      <c r="B40">
        <f t="shared" si="1"/>
        <v>1.0000000000000036</v>
      </c>
      <c r="C40">
        <f t="shared" si="2"/>
        <v>1.5150367396409264E-4</v>
      </c>
      <c r="D40">
        <f t="shared" si="3"/>
        <v>1.5149219815191461E-4</v>
      </c>
      <c r="F40">
        <f t="shared" si="0"/>
        <v>1.5150367367422479E-4</v>
      </c>
    </row>
    <row r="41" spans="1:6">
      <c r="A41">
        <f t="shared" si="4"/>
        <v>0.10000000000000153</v>
      </c>
      <c r="B41">
        <f t="shared" si="1"/>
        <v>1.2589254117941717</v>
      </c>
      <c r="C41">
        <f t="shared" si="2"/>
        <v>9.8202209910560457E-5</v>
      </c>
      <c r="D41">
        <f t="shared" si="3"/>
        <v>9.8197388310294897E-5</v>
      </c>
      <c r="F41">
        <f t="shared" si="0"/>
        <v>9.8202209831588227E-5</v>
      </c>
    </row>
    <row r="42" spans="1:6">
      <c r="A42">
        <f t="shared" si="4"/>
        <v>0.20000000000000154</v>
      </c>
      <c r="B42">
        <f t="shared" si="1"/>
        <v>1.5848931924611191</v>
      </c>
      <c r="C42">
        <f t="shared" si="2"/>
        <v>6.3182474038223977E-5</v>
      </c>
      <c r="D42">
        <f t="shared" si="3"/>
        <v>6.3180478088731284E-5</v>
      </c>
      <c r="F42">
        <f t="shared" si="0"/>
        <v>6.3182474017153822E-5</v>
      </c>
    </row>
    <row r="43" spans="1:6">
      <c r="A43">
        <f t="shared" si="4"/>
        <v>0.30000000000000154</v>
      </c>
      <c r="B43">
        <f t="shared" si="1"/>
        <v>1.9952623149688868</v>
      </c>
      <c r="C43">
        <f t="shared" si="2"/>
        <v>4.0429437016606973E-5</v>
      </c>
      <c r="D43">
        <f t="shared" si="3"/>
        <v>4.042861976349954E-5</v>
      </c>
      <c r="F43">
        <f t="shared" si="0"/>
        <v>4.0429437011102465E-5</v>
      </c>
    </row>
    <row r="44" spans="1:6">
      <c r="A44">
        <f t="shared" si="4"/>
        <v>0.40000000000000158</v>
      </c>
      <c r="B44">
        <f t="shared" si="1"/>
        <v>2.5118864315095895</v>
      </c>
      <c r="C44">
        <f t="shared" si="2"/>
        <v>2.5767300886128759E-5</v>
      </c>
      <c r="D44">
        <f t="shared" si="3"/>
        <v>2.5766968913432109E-5</v>
      </c>
      <c r="F44">
        <f t="shared" si="0"/>
        <v>2.5767300884660393E-5</v>
      </c>
    </row>
    <row r="45" spans="1:6">
      <c r="A45">
        <f t="shared" si="4"/>
        <v>0.50000000000000155</v>
      </c>
      <c r="B45">
        <f t="shared" si="1"/>
        <v>3.1622776601683911</v>
      </c>
      <c r="C45">
        <f t="shared" si="2"/>
        <v>1.6375331064921135E-5</v>
      </c>
      <c r="D45">
        <f t="shared" si="3"/>
        <v>1.6375196990159324E-5</v>
      </c>
      <c r="F45">
        <f t="shared" si="0"/>
        <v>1.6375331064577558E-5</v>
      </c>
    </row>
    <row r="46" spans="1:6">
      <c r="A46">
        <f t="shared" si="4"/>
        <v>0.60000000000000153</v>
      </c>
      <c r="B46">
        <f t="shared" si="1"/>
        <v>3.9810717055349869</v>
      </c>
      <c r="C46">
        <f t="shared" si="2"/>
        <v>1.0385159721605772E-5</v>
      </c>
      <c r="D46">
        <f t="shared" si="3"/>
        <v>1.0385105796206773E-5</v>
      </c>
      <c r="F46">
        <f t="shared" si="0"/>
        <v>1.0385159721515436E-5</v>
      </c>
    </row>
    <row r="47" spans="1:6">
      <c r="A47">
        <f t="shared" si="4"/>
        <v>0.70000000000000151</v>
      </c>
      <c r="B47">
        <f t="shared" si="1"/>
        <v>5.0118723362727406</v>
      </c>
      <c r="C47">
        <f t="shared" si="2"/>
        <v>6.5764847096727271E-6</v>
      </c>
      <c r="D47">
        <f t="shared" si="3"/>
        <v>6.5764630846620875E-6</v>
      </c>
      <c r="F47">
        <f t="shared" si="0"/>
        <v>6.5764847096971835E-6</v>
      </c>
    </row>
    <row r="48" spans="1:6">
      <c r="A48">
        <f t="shared" si="4"/>
        <v>0.80000000000000149</v>
      </c>
      <c r="B48">
        <f t="shared" si="1"/>
        <v>6.3095734448019556</v>
      </c>
      <c r="C48">
        <f t="shared" si="2"/>
        <v>4.1602194672418525E-6</v>
      </c>
      <c r="D48">
        <f t="shared" si="3"/>
        <v>4.1602108135085913E-6</v>
      </c>
      <c r="F48">
        <f t="shared" si="0"/>
        <v>4.1602194672529791E-6</v>
      </c>
    </row>
    <row r="49" spans="1:6">
      <c r="A49">
        <f t="shared" si="4"/>
        <v>0.90000000000000147</v>
      </c>
      <c r="B49">
        <f t="shared" si="1"/>
        <v>7.9432823472428415</v>
      </c>
      <c r="C49">
        <f t="shared" si="2"/>
        <v>2.6297385701800804E-6</v>
      </c>
      <c r="D49">
        <f t="shared" si="3"/>
        <v>2.6297351123361068E-6</v>
      </c>
      <c r="F49">
        <f t="shared" si="0"/>
        <v>2.629738570125717E-6</v>
      </c>
    </row>
    <row r="50" spans="1:6">
      <c r="A50">
        <f t="shared" si="4"/>
        <v>1.0000000000000016</v>
      </c>
      <c r="B50">
        <f t="shared" si="1"/>
        <v>10.000000000000037</v>
      </c>
      <c r="C50">
        <f t="shared" si="2"/>
        <v>1.6614114378827578E-6</v>
      </c>
      <c r="D50">
        <f t="shared" si="3"/>
        <v>1.6614100577516666E-6</v>
      </c>
      <c r="F50">
        <f t="shared" si="0"/>
        <v>1.6614114378699085E-6</v>
      </c>
    </row>
    <row r="51" spans="1:6">
      <c r="A51">
        <f t="shared" si="4"/>
        <v>1.1000000000000016</v>
      </c>
      <c r="B51">
        <f t="shared" si="1"/>
        <v>12.589254117941724</v>
      </c>
      <c r="C51">
        <f t="shared" si="2"/>
        <v>1.0492460531237063E-6</v>
      </c>
      <c r="D51">
        <f t="shared" si="3"/>
        <v>1.0492455027044656E-6</v>
      </c>
      <c r="F51">
        <f t="shared" si="0"/>
        <v>1.0492460531530412E-6</v>
      </c>
    </row>
    <row r="52" spans="1:6">
      <c r="A52">
        <f t="shared" si="4"/>
        <v>1.2000000000000017</v>
      </c>
      <c r="B52">
        <f t="shared" si="1"/>
        <v>15.8489319246112</v>
      </c>
      <c r="C52">
        <f t="shared" si="2"/>
        <v>6.6246179994982339E-7</v>
      </c>
      <c r="D52">
        <f t="shared" si="3"/>
        <v>6.6246158059168891E-7</v>
      </c>
      <c r="F52">
        <f t="shared" si="0"/>
        <v>6.6246179997175858E-7</v>
      </c>
    </row>
    <row r="53" spans="1:6">
      <c r="A53">
        <f t="shared" si="4"/>
        <v>1.3000000000000018</v>
      </c>
      <c r="B53">
        <f t="shared" si="1"/>
        <v>19.952623149688886</v>
      </c>
      <c r="C53">
        <f t="shared" si="2"/>
        <v>4.1817844711534088E-7</v>
      </c>
      <c r="D53">
        <f t="shared" si="3"/>
        <v>4.1817835960689109E-7</v>
      </c>
      <c r="F53">
        <f t="shared" si="0"/>
        <v>4.1817844709246543E-7</v>
      </c>
    </row>
    <row r="54" spans="1:6">
      <c r="A54">
        <f t="shared" si="4"/>
        <v>1.4000000000000019</v>
      </c>
      <c r="B54">
        <f t="shared" si="1"/>
        <v>25.118864315095923</v>
      </c>
      <c r="C54">
        <f t="shared" si="2"/>
        <v>2.6393917621065206E-7</v>
      </c>
      <c r="D54">
        <f t="shared" si="3"/>
        <v>2.6393914132061269E-7</v>
      </c>
      <c r="F54">
        <f t="shared" si="0"/>
        <v>2.6393917618161566E-7</v>
      </c>
    </row>
    <row r="55" spans="1:6">
      <c r="A55">
        <f t="shared" si="4"/>
        <v>1.500000000000002</v>
      </c>
      <c r="B55">
        <f t="shared" si="1"/>
        <v>31.622776601683945</v>
      </c>
      <c r="C55">
        <f t="shared" si="2"/>
        <v>1.6657298191419268E-7</v>
      </c>
      <c r="D55">
        <f t="shared" si="3"/>
        <v>1.6657296808553212E-7</v>
      </c>
      <c r="F55">
        <f t="shared" si="0"/>
        <v>1.6657298196331993E-7</v>
      </c>
    </row>
    <row r="56" spans="1:6">
      <c r="A56">
        <f t="shared" si="4"/>
        <v>1.6000000000000021</v>
      </c>
      <c r="B56">
        <f t="shared" si="1"/>
        <v>39.810717055349933</v>
      </c>
      <c r="C56">
        <f t="shared" si="2"/>
        <v>1.0511770377467403E-7</v>
      </c>
      <c r="D56">
        <f t="shared" si="3"/>
        <v>1.0511769810150895E-7</v>
      </c>
      <c r="F56">
        <f t="shared" si="0"/>
        <v>1.0511770376364638E-7</v>
      </c>
    </row>
    <row r="57" spans="1:6">
      <c r="A57">
        <f t="shared" si="4"/>
        <v>1.7000000000000022</v>
      </c>
      <c r="B57">
        <f t="shared" si="1"/>
        <v>50.118723362727508</v>
      </c>
      <c r="C57">
        <f t="shared" si="2"/>
        <v>6.6332497853654658E-8</v>
      </c>
      <c r="D57">
        <f t="shared" si="3"/>
        <v>6.6332495718413043E-8</v>
      </c>
      <c r="F57">
        <f t="shared" si="0"/>
        <v>6.6332497827836789E-8</v>
      </c>
    </row>
    <row r="58" spans="1:6">
      <c r="A58">
        <f t="shared" si="4"/>
        <v>1.8000000000000023</v>
      </c>
      <c r="B58">
        <f t="shared" si="1"/>
        <v>63.095734448019698</v>
      </c>
      <c r="C58">
        <f t="shared" si="2"/>
        <v>4.1856421528286217E-8</v>
      </c>
      <c r="D58">
        <f t="shared" si="3"/>
        <v>4.185642055176686E-8</v>
      </c>
      <c r="F58">
        <f t="shared" si="0"/>
        <v>4.1856421550967582E-8</v>
      </c>
    </row>
    <row r="59" spans="1:6">
      <c r="A59">
        <f t="shared" si="4"/>
        <v>1.9000000000000024</v>
      </c>
      <c r="B59">
        <f t="shared" si="1"/>
        <v>79.432823472428609</v>
      </c>
      <c r="C59">
        <f t="shared" si="2"/>
        <v>2.6411155517317905E-8</v>
      </c>
      <c r="D59">
        <f t="shared" si="3"/>
        <v>2.6411155262806574E-8</v>
      </c>
      <c r="F59">
        <f t="shared" si="0"/>
        <v>2.6411155484851179E-8</v>
      </c>
    </row>
    <row r="60" spans="1:6">
      <c r="A60">
        <f t="shared" si="4"/>
        <v>2.0000000000000022</v>
      </c>
      <c r="B60">
        <f t="shared" si="1"/>
        <v>100.00000000000058</v>
      </c>
      <c r="C60">
        <f t="shared" si="2"/>
        <v>1.6665000027788693E-8</v>
      </c>
      <c r="D60">
        <f t="shared" si="3"/>
        <v>1.6664999935578351E-8</v>
      </c>
      <c r="F60">
        <f t="shared" si="0"/>
        <v>1.6665000046600653E-8</v>
      </c>
    </row>
    <row r="61" spans="1:6">
      <c r="A61">
        <f t="shared" si="4"/>
        <v>2.1000000000000023</v>
      </c>
      <c r="B61">
        <f t="shared" si="1"/>
        <v>125.89254117941744</v>
      </c>
      <c r="C61">
        <f t="shared" si="2"/>
        <v>1.0515211266098912E-8</v>
      </c>
      <c r="D61">
        <f t="shared" si="3"/>
        <v>1.0515211257278168E-8</v>
      </c>
      <c r="F61">
        <f t="shared" si="0"/>
        <v>1.0515211257278168E-8</v>
      </c>
    </row>
    <row r="62" spans="1:6">
      <c r="A62">
        <f t="shared" si="4"/>
        <v>2.2000000000000024</v>
      </c>
      <c r="B62">
        <f t="shared" si="1"/>
        <v>158.48931924611225</v>
      </c>
      <c r="C62">
        <f t="shared" si="2"/>
        <v>6.63478696016135E-9</v>
      </c>
      <c r="D62">
        <f t="shared" si="3"/>
        <v>6.6347869420724237E-9</v>
      </c>
      <c r="F62">
        <f t="shared" si="0"/>
        <v>6.6347869420724237E-9</v>
      </c>
    </row>
    <row r="63" spans="1:6">
      <c r="A63">
        <f t="shared" si="4"/>
        <v>2.3000000000000025</v>
      </c>
      <c r="B63">
        <f t="shared" si="1"/>
        <v>199.52623149688924</v>
      </c>
      <c r="C63">
        <f t="shared" si="2"/>
        <v>4.1863288405338253E-9</v>
      </c>
      <c r="D63">
        <f t="shared" si="3"/>
        <v>4.1863288391397191E-9</v>
      </c>
      <c r="F63">
        <f t="shared" si="0"/>
        <v>4.1863288391397191E-9</v>
      </c>
    </row>
    <row r="64" spans="1:6">
      <c r="A64">
        <f t="shared" si="4"/>
        <v>2.4000000000000026</v>
      </c>
      <c r="B64">
        <f t="shared" si="1"/>
        <v>251.18864315095962</v>
      </c>
      <c r="C64">
        <f t="shared" si="2"/>
        <v>2.6414223010847982E-9</v>
      </c>
      <c r="D64">
        <f t="shared" si="3"/>
        <v>2.6414224141291243E-9</v>
      </c>
      <c r="F64">
        <f t="shared" si="0"/>
        <v>2.6414223031068218E-9</v>
      </c>
    </row>
    <row r="65" spans="1:6">
      <c r="A65">
        <f t="shared" si="4"/>
        <v>2.5000000000000027</v>
      </c>
      <c r="B65">
        <f t="shared" si="1"/>
        <v>316.22776601683995</v>
      </c>
      <c r="C65">
        <f t="shared" si="2"/>
        <v>1.6666370278146754E-9</v>
      </c>
      <c r="D65">
        <f t="shared" si="3"/>
        <v>1.666637050590225E-9</v>
      </c>
      <c r="F65">
        <f t="shared" si="0"/>
        <v>1.666637050590225E-9</v>
      </c>
    </row>
    <row r="66" spans="1:6">
      <c r="A66">
        <f t="shared" si="4"/>
        <v>2.6000000000000028</v>
      </c>
      <c r="B66">
        <f t="shared" si="1"/>
        <v>398.10717055350011</v>
      </c>
      <c r="C66">
        <f t="shared" si="2"/>
        <v>1.0515823349434802E-9</v>
      </c>
      <c r="D66">
        <f t="shared" si="3"/>
        <v>1.0515823767320853E-9</v>
      </c>
      <c r="F66">
        <f t="shared" si="0"/>
        <v>1.0515823767320853E-9</v>
      </c>
    </row>
    <row r="67" spans="1:6">
      <c r="A67">
        <f t="shared" si="4"/>
        <v>2.7000000000000028</v>
      </c>
      <c r="B67">
        <f t="shared" si="1"/>
        <v>501.18723362727582</v>
      </c>
      <c r="C67">
        <f t="shared" si="2"/>
        <v>6.6350603719858293E-10</v>
      </c>
      <c r="D67">
        <f t="shared" si="3"/>
        <v>6.635061389204111E-10</v>
      </c>
      <c r="F67">
        <f t="shared" si="0"/>
        <v>6.6350602789810864E-10</v>
      </c>
    </row>
    <row r="68" spans="1:6">
      <c r="A68">
        <f t="shared" si="4"/>
        <v>2.8000000000000029</v>
      </c>
      <c r="B68">
        <f t="shared" si="1"/>
        <v>630.95734448019766</v>
      </c>
      <c r="C68">
        <f t="shared" si="2"/>
        <v>4.1864509702530475E-10</v>
      </c>
      <c r="D68">
        <f t="shared" si="3"/>
        <v>4.1864511857170328E-10</v>
      </c>
      <c r="F68">
        <f t="shared" si="0"/>
        <v>4.1864511857170328E-10</v>
      </c>
    </row>
    <row r="69" spans="1:6">
      <c r="A69">
        <f t="shared" si="4"/>
        <v>2.900000000000003</v>
      </c>
      <c r="B69">
        <f t="shared" si="1"/>
        <v>794.32823472428777</v>
      </c>
      <c r="C69">
        <f t="shared" si="2"/>
        <v>2.641476854709242E-10</v>
      </c>
      <c r="D69">
        <f t="shared" si="3"/>
        <v>2.6414759268789112E-10</v>
      </c>
      <c r="F69">
        <f t="shared" si="0"/>
        <v>2.6414770371019358E-10</v>
      </c>
    </row>
    <row r="70" spans="1:6">
      <c r="A70">
        <f t="shared" si="4"/>
        <v>3.0000000000000031</v>
      </c>
      <c r="B70">
        <f t="shared" si="1"/>
        <v>1000.0000000000077</v>
      </c>
      <c r="C70">
        <f t="shared" si="2"/>
        <v>1.6666613960816527E-10</v>
      </c>
      <c r="D70">
        <f t="shared" si="3"/>
        <v>1.6666623636751865E-10</v>
      </c>
      <c r="F70">
        <f t="shared" si="0"/>
        <v>1.6666612534521619E-10</v>
      </c>
    </row>
    <row r="71" spans="1:6">
      <c r="A71">
        <f t="shared" si="4"/>
        <v>3.1000000000000032</v>
      </c>
      <c r="B71">
        <f t="shared" si="1"/>
        <v>1258.9254117941769</v>
      </c>
      <c r="C71">
        <f t="shared" si="2"/>
        <v>1.0515932198543763E-10</v>
      </c>
      <c r="D71">
        <f t="shared" si="3"/>
        <v>1.051592146694702E-10</v>
      </c>
      <c r="F71">
        <f t="shared" si="0"/>
        <v>1.0515932569177266E-10</v>
      </c>
    </row>
    <row r="72" spans="1:6">
      <c r="A72">
        <f t="shared" si="4"/>
        <v>3.2000000000000033</v>
      </c>
      <c r="B72">
        <f t="shared" si="1"/>
        <v>1584.893192461127</v>
      </c>
      <c r="C72">
        <f t="shared" si="2"/>
        <v>6.6351089930656433E-11</v>
      </c>
      <c r="D72">
        <f t="shared" si="3"/>
        <v>6.635114679909293E-11</v>
      </c>
      <c r="F72">
        <f t="shared" si="0"/>
        <v>6.6351035776790468E-11</v>
      </c>
    </row>
    <row r="73" spans="1:6">
      <c r="A73">
        <f t="shared" si="4"/>
        <v>3.3000000000000034</v>
      </c>
      <c r="B73">
        <f t="shared" si="1"/>
        <v>1995.2623149688964</v>
      </c>
      <c r="C73">
        <f t="shared" si="2"/>
        <v>4.186472688461982E-11</v>
      </c>
      <c r="D73">
        <f t="shared" si="3"/>
        <v>4.1864733901775253E-11</v>
      </c>
      <c r="F73">
        <f t="shared" si="0"/>
        <v>4.1864733901775253E-11</v>
      </c>
    </row>
    <row r="74" spans="1:6">
      <c r="A74">
        <f t="shared" si="4"/>
        <v>3.4000000000000035</v>
      </c>
      <c r="B74">
        <f t="shared" si="1"/>
        <v>2511.8864315096012</v>
      </c>
      <c r="C74">
        <f t="shared" si="2"/>
        <v>2.641486555859571E-11</v>
      </c>
      <c r="D74">
        <f t="shared" si="3"/>
        <v>2.6414870291091574E-11</v>
      </c>
      <c r="F74">
        <f t="shared" si="0"/>
        <v>2.6414870291091574E-11</v>
      </c>
    </row>
    <row r="75" spans="1:6">
      <c r="A75">
        <f t="shared" si="4"/>
        <v>3.5000000000000036</v>
      </c>
      <c r="B75">
        <f t="shared" ref="B75:B138" si="5">10^$A75</f>
        <v>3162.2776601684086</v>
      </c>
      <c r="C75">
        <f t="shared" ref="C75:C138" si="6">1/(0.5+$E$5*SQRT($B75)+$E$4*($B75)^($E$1))</f>
        <v>1.6666657294177319E-11</v>
      </c>
      <c r="D75">
        <f t="shared" ref="D75:D138" si="7">1-1/(1+1/($D$5*SQRT($B75)+$D$4*($B75)^2))</f>
        <v>1.666666804567285E-11</v>
      </c>
      <c r="F75">
        <f t="shared" ref="F75:F138" si="8">1-EXP(-1/($E$5*SQRT($B75)+$E$4*($B75)^($E$1)+$E$6*($B75)^3))</f>
        <v>1.666666804567285E-11</v>
      </c>
    </row>
    <row r="76" spans="1:6">
      <c r="A76">
        <f t="shared" ref="A76:A139" si="9">+$A75+$A$1</f>
        <v>3.6000000000000036</v>
      </c>
      <c r="B76">
        <f t="shared" si="5"/>
        <v>3981.0717055350124</v>
      </c>
      <c r="C76">
        <f t="shared" si="6"/>
        <v>1.0515951554805332E-11</v>
      </c>
      <c r="D76">
        <f t="shared" si="7"/>
        <v>1.0516032489249483E-11</v>
      </c>
      <c r="F76">
        <f t="shared" si="8"/>
        <v>1.051592146694702E-11</v>
      </c>
    </row>
    <row r="77" spans="1:6">
      <c r="A77">
        <f t="shared" si="9"/>
        <v>3.7000000000000037</v>
      </c>
      <c r="B77">
        <f t="shared" si="5"/>
        <v>5011.8723362727678</v>
      </c>
      <c r="C77">
        <f t="shared" si="6"/>
        <v>6.6351176391725919E-12</v>
      </c>
      <c r="D77">
        <f t="shared" si="7"/>
        <v>6.6351368843697855E-12</v>
      </c>
      <c r="F77">
        <f t="shared" si="8"/>
        <v>6.6351368843697855E-12</v>
      </c>
    </row>
    <row r="78" spans="1:6">
      <c r="A78">
        <f t="shared" si="9"/>
        <v>3.8000000000000038</v>
      </c>
      <c r="B78">
        <f t="shared" si="5"/>
        <v>6309.5734448019948</v>
      </c>
      <c r="C78">
        <f t="shared" si="6"/>
        <v>4.1864765505285641E-12</v>
      </c>
      <c r="D78">
        <f t="shared" si="7"/>
        <v>4.1864289812565403E-12</v>
      </c>
      <c r="F78">
        <f t="shared" si="8"/>
        <v>4.1864289812565403E-12</v>
      </c>
    </row>
    <row r="79" spans="1:6">
      <c r="A79">
        <f t="shared" si="9"/>
        <v>3.9000000000000039</v>
      </c>
      <c r="B79">
        <f t="shared" si="5"/>
        <v>7943.2823472429</v>
      </c>
      <c r="C79">
        <f t="shared" si="6"/>
        <v>2.6414882809781737E-12</v>
      </c>
      <c r="D79">
        <f t="shared" si="7"/>
        <v>2.6414426201881724E-12</v>
      </c>
      <c r="F79">
        <f t="shared" si="8"/>
        <v>2.6414426201881724E-12</v>
      </c>
    </row>
    <row r="80" spans="1:6">
      <c r="A80">
        <f t="shared" si="9"/>
        <v>4.0000000000000036</v>
      </c>
      <c r="B80">
        <f t="shared" si="5"/>
        <v>10000.000000000098</v>
      </c>
      <c r="C80">
        <f t="shared" si="6"/>
        <v>1.6666664999985948E-12</v>
      </c>
      <c r="D80">
        <f t="shared" si="7"/>
        <v>1.666666804567285E-12</v>
      </c>
      <c r="F80">
        <f t="shared" si="8"/>
        <v>1.666666804567285E-12</v>
      </c>
    </row>
    <row r="81" spans="1:6">
      <c r="A81">
        <f t="shared" si="9"/>
        <v>4.1000000000000032</v>
      </c>
      <c r="B81">
        <f t="shared" si="5"/>
        <v>12589.254117941782</v>
      </c>
      <c r="C81">
        <f t="shared" si="6"/>
        <v>1.0515954996858242E-12</v>
      </c>
      <c r="D81">
        <f t="shared" si="7"/>
        <v>1.0516032489249483E-12</v>
      </c>
      <c r="F81">
        <f t="shared" si="8"/>
        <v>1.0516032489249483E-12</v>
      </c>
    </row>
    <row r="82" spans="1:6">
      <c r="A82">
        <f t="shared" si="9"/>
        <v>4.2000000000000028</v>
      </c>
      <c r="B82">
        <f t="shared" si="5"/>
        <v>15848.931924611259</v>
      </c>
      <c r="C82">
        <f t="shared" si="6"/>
        <v>6.6351191766789465E-13</v>
      </c>
      <c r="D82">
        <f t="shared" si="7"/>
        <v>6.6346927951599355E-13</v>
      </c>
      <c r="F82">
        <f t="shared" si="8"/>
        <v>6.6346927951599355E-13</v>
      </c>
    </row>
    <row r="83" spans="1:6">
      <c r="A83">
        <f t="shared" si="9"/>
        <v>4.3000000000000025</v>
      </c>
      <c r="B83">
        <f t="shared" si="5"/>
        <v>19952.623149688934</v>
      </c>
      <c r="C83">
        <f t="shared" si="6"/>
        <v>4.1864772373065484E-13</v>
      </c>
      <c r="D83">
        <f t="shared" si="7"/>
        <v>4.1855408028368402E-13</v>
      </c>
      <c r="F83">
        <f t="shared" si="8"/>
        <v>4.1866510258614653E-13</v>
      </c>
    </row>
    <row r="84" spans="1:6">
      <c r="A84">
        <f t="shared" si="9"/>
        <v>4.4000000000000021</v>
      </c>
      <c r="B84">
        <f t="shared" si="5"/>
        <v>25118.864315095951</v>
      </c>
      <c r="C84">
        <f t="shared" si="6"/>
        <v>2.6414885877502823E-13</v>
      </c>
      <c r="D84">
        <f t="shared" si="7"/>
        <v>2.6423307986078726E-13</v>
      </c>
      <c r="F84">
        <f t="shared" si="8"/>
        <v>2.6412205755832474E-13</v>
      </c>
    </row>
    <row r="85" spans="1:6">
      <c r="A85">
        <f t="shared" si="9"/>
        <v>4.5000000000000018</v>
      </c>
      <c r="B85">
        <f t="shared" si="5"/>
        <v>31622.776601683952</v>
      </c>
      <c r="C85">
        <f t="shared" si="6"/>
        <v>1.6666666370285213E-13</v>
      </c>
      <c r="D85">
        <f t="shared" si="7"/>
        <v>1.6675549829869851E-13</v>
      </c>
      <c r="F85">
        <f t="shared" si="8"/>
        <v>1.66644475996236E-13</v>
      </c>
    </row>
    <row r="86" spans="1:6">
      <c r="A86">
        <f t="shared" si="9"/>
        <v>4.6000000000000014</v>
      </c>
      <c r="B86">
        <f t="shared" si="5"/>
        <v>39810.717055349887</v>
      </c>
      <c r="C86">
        <f t="shared" si="6"/>
        <v>1.051595560894788E-13</v>
      </c>
      <c r="D86">
        <f t="shared" si="7"/>
        <v>1.0524914273446484E-13</v>
      </c>
      <c r="F86">
        <f t="shared" si="8"/>
        <v>1.0513812043200232E-13</v>
      </c>
    </row>
    <row r="87" spans="1:6">
      <c r="A87">
        <f t="shared" si="9"/>
        <v>4.7000000000000011</v>
      </c>
      <c r="B87">
        <f t="shared" si="5"/>
        <v>50118.723362727382</v>
      </c>
      <c r="C87">
        <f t="shared" si="6"/>
        <v>6.6351194500891298E-14</v>
      </c>
      <c r="D87">
        <f t="shared" si="7"/>
        <v>6.6391336872584361E-14</v>
      </c>
      <c r="F87">
        <f t="shared" si="8"/>
        <v>6.6391336872584361E-14</v>
      </c>
    </row>
    <row r="88" spans="1:6">
      <c r="A88">
        <f t="shared" si="9"/>
        <v>4.8000000000000007</v>
      </c>
      <c r="B88">
        <f t="shared" si="5"/>
        <v>63095.734448019459</v>
      </c>
      <c r="C88">
        <f t="shared" si="6"/>
        <v>4.1864773594343081E-14</v>
      </c>
      <c r="D88">
        <f t="shared" si="7"/>
        <v>4.1966430330830917E-14</v>
      </c>
      <c r="F88">
        <f t="shared" si="8"/>
        <v>4.1855408028368402E-14</v>
      </c>
    </row>
    <row r="89" spans="1:6">
      <c r="A89">
        <f t="shared" si="9"/>
        <v>4.9000000000000004</v>
      </c>
      <c r="B89">
        <f t="shared" si="5"/>
        <v>79432.823472428237</v>
      </c>
      <c r="C89">
        <f t="shared" si="6"/>
        <v>2.6414886423027186E-14</v>
      </c>
      <c r="D89">
        <f t="shared" si="7"/>
        <v>2.6423307986078726E-14</v>
      </c>
      <c r="F89">
        <f t="shared" si="8"/>
        <v>2.6423307986078726E-14</v>
      </c>
    </row>
    <row r="90" spans="1:6">
      <c r="A90">
        <f t="shared" si="9"/>
        <v>5</v>
      </c>
      <c r="B90">
        <f t="shared" si="5"/>
        <v>100000</v>
      </c>
      <c r="C90">
        <f t="shared" si="6"/>
        <v>1.6666666613961901E-14</v>
      </c>
      <c r="D90">
        <f t="shared" si="7"/>
        <v>1.6653345369377348E-14</v>
      </c>
      <c r="F90">
        <f t="shared" si="8"/>
        <v>1.6653345369377348E-14</v>
      </c>
    </row>
    <row r="91" spans="1:6">
      <c r="A91">
        <f t="shared" si="9"/>
        <v>5.0999999999999996</v>
      </c>
      <c r="B91">
        <f t="shared" si="5"/>
        <v>125892.54117941685</v>
      </c>
      <c r="C91">
        <f t="shared" si="6"/>
        <v>1.0515955717794185E-14</v>
      </c>
      <c r="D91">
        <f t="shared" si="7"/>
        <v>1.0436096431476471E-14</v>
      </c>
      <c r="F91">
        <f t="shared" si="8"/>
        <v>1.0547118733938987E-14</v>
      </c>
    </row>
    <row r="92" spans="1:6">
      <c r="A92">
        <f t="shared" si="9"/>
        <v>5.1999999999999993</v>
      </c>
      <c r="B92">
        <f t="shared" si="5"/>
        <v>158489.31924611135</v>
      </c>
      <c r="C92">
        <f t="shared" si="6"/>
        <v>6.635119498708976E-15</v>
      </c>
      <c r="D92">
        <f t="shared" si="7"/>
        <v>6.6613381477509392E-15</v>
      </c>
      <c r="F92">
        <f t="shared" si="8"/>
        <v>6.6613381477509392E-15</v>
      </c>
    </row>
    <row r="93" spans="1:6">
      <c r="A93">
        <f t="shared" si="9"/>
        <v>5.2999999999999989</v>
      </c>
      <c r="B93">
        <f t="shared" si="5"/>
        <v>199526.23149688778</v>
      </c>
      <c r="C93">
        <f t="shared" si="6"/>
        <v>4.1864773811519939E-15</v>
      </c>
      <c r="D93">
        <f t="shared" si="7"/>
        <v>4.2188474935755949E-15</v>
      </c>
      <c r="F93">
        <f t="shared" si="8"/>
        <v>4.2188474935755949E-15</v>
      </c>
    </row>
    <row r="94" spans="1:6">
      <c r="A94">
        <f t="shared" si="9"/>
        <v>5.3999999999999986</v>
      </c>
      <c r="B94">
        <f t="shared" si="5"/>
        <v>251188.64315095753</v>
      </c>
      <c r="C94">
        <f t="shared" si="6"/>
        <v>2.6414886520036532E-15</v>
      </c>
      <c r="D94">
        <f t="shared" si="7"/>
        <v>2.6645352591003757E-15</v>
      </c>
      <c r="F94">
        <f t="shared" si="8"/>
        <v>2.6645352591003757E-15</v>
      </c>
    </row>
    <row r="95" spans="1:6">
      <c r="A95">
        <f t="shared" si="9"/>
        <v>5.4999999999999982</v>
      </c>
      <c r="B95">
        <f t="shared" si="5"/>
        <v>316227.76601683703</v>
      </c>
      <c r="C95">
        <f t="shared" si="6"/>
        <v>1.6666666657294393E-15</v>
      </c>
      <c r="D95">
        <f t="shared" si="7"/>
        <v>1.7763568394002505E-15</v>
      </c>
      <c r="F95">
        <f t="shared" si="8"/>
        <v>0</v>
      </c>
    </row>
    <row r="96" spans="1:6">
      <c r="A96">
        <f t="shared" si="9"/>
        <v>5.5999999999999979</v>
      </c>
      <c r="B96">
        <f t="shared" si="5"/>
        <v>398107.17055349576</v>
      </c>
      <c r="C96">
        <f t="shared" si="6"/>
        <v>1.051595573715015E-15</v>
      </c>
      <c r="D96">
        <f t="shared" si="7"/>
        <v>0</v>
      </c>
      <c r="F96">
        <f t="shared" si="8"/>
        <v>0</v>
      </c>
    </row>
    <row r="97" spans="1:6">
      <c r="A97">
        <f t="shared" si="9"/>
        <v>5.6999999999999975</v>
      </c>
      <c r="B97">
        <f t="shared" si="5"/>
        <v>501187.23362726992</v>
      </c>
      <c r="C97">
        <f t="shared" si="6"/>
        <v>6.6351195073549846E-16</v>
      </c>
      <c r="D97">
        <f t="shared" si="7"/>
        <v>0</v>
      </c>
      <c r="F97">
        <f t="shared" si="8"/>
        <v>0</v>
      </c>
    </row>
    <row r="98" spans="1:6">
      <c r="A98">
        <f t="shared" si="9"/>
        <v>5.7999999999999972</v>
      </c>
      <c r="B98">
        <f t="shared" si="5"/>
        <v>630957.34448018973</v>
      </c>
      <c r="C98">
        <f t="shared" si="6"/>
        <v>4.1864773850140338E-16</v>
      </c>
      <c r="D98">
        <f t="shared" si="7"/>
        <v>0</v>
      </c>
      <c r="F98">
        <f t="shared" si="8"/>
        <v>0</v>
      </c>
    </row>
    <row r="99" spans="1:6">
      <c r="A99">
        <f t="shared" si="9"/>
        <v>5.8999999999999968</v>
      </c>
      <c r="B99">
        <f t="shared" si="5"/>
        <v>794328.23472427623</v>
      </c>
      <c r="C99">
        <f t="shared" si="6"/>
        <v>2.6414886537287702E-16</v>
      </c>
      <c r="D99">
        <f t="shared" si="7"/>
        <v>0</v>
      </c>
      <c r="F99">
        <f t="shared" si="8"/>
        <v>0</v>
      </c>
    </row>
    <row r="100" spans="1:6">
      <c r="A100">
        <f t="shared" si="9"/>
        <v>5.9999999999999964</v>
      </c>
      <c r="B100">
        <f t="shared" si="5"/>
        <v>999999.99999999243</v>
      </c>
      <c r="C100">
        <f t="shared" si="6"/>
        <v>1.6666666665000251E-16</v>
      </c>
      <c r="D100">
        <f t="shared" si="7"/>
        <v>0</v>
      </c>
      <c r="F100">
        <f t="shared" si="8"/>
        <v>0</v>
      </c>
    </row>
    <row r="101" spans="1:6">
      <c r="A101">
        <f t="shared" si="9"/>
        <v>6.0999999999999961</v>
      </c>
      <c r="B101">
        <f t="shared" si="5"/>
        <v>1258925.4117941565</v>
      </c>
      <c r="C101">
        <f t="shared" si="6"/>
        <v>1.0515955740592258E-16</v>
      </c>
      <c r="D101">
        <f t="shared" si="7"/>
        <v>0</v>
      </c>
      <c r="F101">
        <f t="shared" si="8"/>
        <v>0</v>
      </c>
    </row>
    <row r="102" spans="1:6">
      <c r="A102">
        <f t="shared" si="9"/>
        <v>6.1999999999999957</v>
      </c>
      <c r="B102">
        <f t="shared" si="5"/>
        <v>1584893.1924611013</v>
      </c>
      <c r="C102">
        <f t="shared" si="6"/>
        <v>6.6351195088925112E-17</v>
      </c>
      <c r="D102">
        <f t="shared" si="7"/>
        <v>0</v>
      </c>
      <c r="F102">
        <f t="shared" si="8"/>
        <v>0</v>
      </c>
    </row>
    <row r="103" spans="1:6">
      <c r="A103">
        <f t="shared" si="9"/>
        <v>6.2999999999999954</v>
      </c>
      <c r="B103">
        <f t="shared" si="5"/>
        <v>1995262.3149688623</v>
      </c>
      <c r="C103">
        <f t="shared" si="6"/>
        <v>4.1864773857008299E-17</v>
      </c>
      <c r="D103">
        <f t="shared" si="7"/>
        <v>0</v>
      </c>
      <c r="F103">
        <f t="shared" si="8"/>
        <v>0</v>
      </c>
    </row>
    <row r="104" spans="1:6">
      <c r="A104">
        <f t="shared" si="9"/>
        <v>6.399999999999995</v>
      </c>
      <c r="B104">
        <f t="shared" si="5"/>
        <v>2511886.4315095558</v>
      </c>
      <c r="C104">
        <f t="shared" si="6"/>
        <v>2.6414886540355555E-17</v>
      </c>
      <c r="D104">
        <f t="shared" si="7"/>
        <v>0</v>
      </c>
      <c r="F104">
        <f t="shared" si="8"/>
        <v>0</v>
      </c>
    </row>
    <row r="105" spans="1:6">
      <c r="A105">
        <f t="shared" si="9"/>
        <v>6.4999999999999947</v>
      </c>
      <c r="B105">
        <f t="shared" si="5"/>
        <v>3162277.660168346</v>
      </c>
      <c r="C105">
        <f t="shared" si="6"/>
        <v>1.6666666666370638E-17</v>
      </c>
      <c r="D105">
        <f t="shared" si="7"/>
        <v>0</v>
      </c>
      <c r="F105">
        <f t="shared" si="8"/>
        <v>0</v>
      </c>
    </row>
    <row r="106" spans="1:6">
      <c r="A106">
        <f t="shared" si="9"/>
        <v>6.5999999999999943</v>
      </c>
      <c r="B106">
        <f t="shared" si="5"/>
        <v>3981071.7055349266</v>
      </c>
      <c r="C106">
        <f t="shared" si="6"/>
        <v>1.0515955741204409E-17</v>
      </c>
      <c r="D106">
        <f t="shared" si="7"/>
        <v>0</v>
      </c>
      <c r="F106">
        <f t="shared" si="8"/>
        <v>0</v>
      </c>
    </row>
    <row r="107" spans="1:6">
      <c r="A107">
        <f t="shared" si="9"/>
        <v>6.699999999999994</v>
      </c>
      <c r="B107">
        <f t="shared" si="5"/>
        <v>5011872.3362726606</v>
      </c>
      <c r="C107">
        <f t="shared" si="6"/>
        <v>6.6351195091659844E-18</v>
      </c>
      <c r="D107">
        <f t="shared" si="7"/>
        <v>0</v>
      </c>
      <c r="F107">
        <f t="shared" si="8"/>
        <v>0</v>
      </c>
    </row>
    <row r="108" spans="1:6">
      <c r="A108">
        <f t="shared" si="9"/>
        <v>6.7999999999999936</v>
      </c>
      <c r="B108">
        <f t="shared" si="5"/>
        <v>6309573.4448018475</v>
      </c>
      <c r="C108">
        <f t="shared" si="6"/>
        <v>4.1864773858229984E-18</v>
      </c>
      <c r="D108">
        <f t="shared" si="7"/>
        <v>0</v>
      </c>
      <c r="F108">
        <f t="shared" si="8"/>
        <v>0</v>
      </c>
    </row>
    <row r="109" spans="1:6">
      <c r="A109">
        <f t="shared" si="9"/>
        <v>6.8999999999999932</v>
      </c>
      <c r="B109">
        <f t="shared" si="5"/>
        <v>7943282.3472427009</v>
      </c>
      <c r="C109">
        <f t="shared" si="6"/>
        <v>2.6414886540901331E-18</v>
      </c>
      <c r="D109">
        <f t="shared" si="7"/>
        <v>0</v>
      </c>
      <c r="F109">
        <f t="shared" si="8"/>
        <v>0</v>
      </c>
    </row>
    <row r="110" spans="1:6">
      <c r="A110">
        <f t="shared" si="9"/>
        <v>6.9999999999999929</v>
      </c>
      <c r="B110">
        <f t="shared" si="5"/>
        <v>9999999.999999864</v>
      </c>
      <c r="C110">
        <f t="shared" si="6"/>
        <v>1.6666666666614414E-18</v>
      </c>
      <c r="D110">
        <f t="shared" si="7"/>
        <v>0</v>
      </c>
      <c r="F110">
        <f t="shared" si="8"/>
        <v>0</v>
      </c>
    </row>
    <row r="111" spans="1:6">
      <c r="A111">
        <f t="shared" si="9"/>
        <v>7.0999999999999925</v>
      </c>
      <c r="B111">
        <f t="shared" si="5"/>
        <v>12589254.117941489</v>
      </c>
      <c r="C111">
        <f t="shared" si="6"/>
        <v>1.0515955741313317E-18</v>
      </c>
      <c r="D111">
        <f t="shared" si="7"/>
        <v>0</v>
      </c>
      <c r="F111">
        <f t="shared" si="8"/>
        <v>0</v>
      </c>
    </row>
    <row r="112" spans="1:6">
      <c r="A112">
        <f t="shared" si="9"/>
        <v>7.1999999999999922</v>
      </c>
      <c r="B112">
        <f t="shared" si="5"/>
        <v>15848931.924610889</v>
      </c>
      <c r="C112">
        <f t="shared" si="6"/>
        <v>6.6351195092146434E-19</v>
      </c>
      <c r="D112">
        <f t="shared" si="7"/>
        <v>0</v>
      </c>
      <c r="F112">
        <f t="shared" si="8"/>
        <v>0</v>
      </c>
    </row>
    <row r="113" spans="1:6">
      <c r="A113">
        <f t="shared" si="9"/>
        <v>7.2999999999999918</v>
      </c>
      <c r="B113">
        <f t="shared" si="5"/>
        <v>19952623.149688467</v>
      </c>
      <c r="C113">
        <f t="shared" si="6"/>
        <v>4.1864773858447408E-19</v>
      </c>
      <c r="D113">
        <f t="shared" si="7"/>
        <v>0</v>
      </c>
      <c r="F113">
        <f t="shared" si="8"/>
        <v>0</v>
      </c>
    </row>
    <row r="114" spans="1:6">
      <c r="A114">
        <f t="shared" si="9"/>
        <v>7.3999999999999915</v>
      </c>
      <c r="B114">
        <f t="shared" si="5"/>
        <v>25118864.315095365</v>
      </c>
      <c r="C114">
        <f t="shared" si="6"/>
        <v>2.6414886540998493E-19</v>
      </c>
      <c r="D114">
        <f t="shared" si="7"/>
        <v>0</v>
      </c>
      <c r="F114">
        <f t="shared" si="8"/>
        <v>0</v>
      </c>
    </row>
    <row r="115" spans="1:6">
      <c r="A115">
        <f t="shared" si="9"/>
        <v>7.4999999999999911</v>
      </c>
      <c r="B115">
        <f t="shared" si="5"/>
        <v>31622776.601683214</v>
      </c>
      <c r="C115">
        <f t="shared" si="6"/>
        <v>1.6666666666657906E-19</v>
      </c>
      <c r="D115">
        <f t="shared" si="7"/>
        <v>0</v>
      </c>
      <c r="F115">
        <f t="shared" si="8"/>
        <v>0</v>
      </c>
    </row>
    <row r="116" spans="1:6">
      <c r="A116">
        <f t="shared" si="9"/>
        <v>7.5999999999999908</v>
      </c>
      <c r="B116">
        <f t="shared" si="5"/>
        <v>39810717.055348955</v>
      </c>
      <c r="C116">
        <f t="shared" si="6"/>
        <v>1.0515955741332773E-19</v>
      </c>
      <c r="D116">
        <f t="shared" si="7"/>
        <v>0</v>
      </c>
      <c r="F116">
        <f t="shared" si="8"/>
        <v>0</v>
      </c>
    </row>
    <row r="117" spans="1:6">
      <c r="A117">
        <f t="shared" si="9"/>
        <v>7.6999999999999904</v>
      </c>
      <c r="B117">
        <f t="shared" si="5"/>
        <v>50118723.362726212</v>
      </c>
      <c r="C117">
        <f t="shared" si="6"/>
        <v>6.6351195092233541E-20</v>
      </c>
      <c r="D117">
        <f t="shared" si="7"/>
        <v>0</v>
      </c>
      <c r="F117">
        <f t="shared" si="8"/>
        <v>0</v>
      </c>
    </row>
    <row r="118" spans="1:6">
      <c r="A118">
        <f t="shared" si="9"/>
        <v>7.7999999999999901</v>
      </c>
      <c r="B118">
        <f t="shared" si="5"/>
        <v>63095734.448017985</v>
      </c>
      <c r="C118">
        <f t="shared" si="6"/>
        <v>4.1864773858486424E-20</v>
      </c>
      <c r="D118">
        <f t="shared" si="7"/>
        <v>0</v>
      </c>
      <c r="F118">
        <f t="shared" si="8"/>
        <v>0</v>
      </c>
    </row>
    <row r="119" spans="1:6">
      <c r="A119">
        <f t="shared" si="9"/>
        <v>7.8999999999999897</v>
      </c>
      <c r="B119">
        <f t="shared" si="5"/>
        <v>79432823.472426385</v>
      </c>
      <c r="C119">
        <f t="shared" si="6"/>
        <v>2.6414886541016001E-20</v>
      </c>
      <c r="D119">
        <f t="shared" si="7"/>
        <v>0</v>
      </c>
      <c r="F119">
        <f t="shared" si="8"/>
        <v>0</v>
      </c>
    </row>
    <row r="120" spans="1:6">
      <c r="A120">
        <f t="shared" si="9"/>
        <v>7.9999999999999893</v>
      </c>
      <c r="B120">
        <f t="shared" si="5"/>
        <v>99999999.99999769</v>
      </c>
      <c r="C120">
        <f t="shared" si="6"/>
        <v>1.6666666666665771E-20</v>
      </c>
      <c r="D120">
        <f t="shared" si="7"/>
        <v>0</v>
      </c>
      <c r="F120">
        <f t="shared" si="8"/>
        <v>0</v>
      </c>
    </row>
    <row r="121" spans="1:6">
      <c r="A121">
        <f t="shared" si="9"/>
        <v>8.099999999999989</v>
      </c>
      <c r="B121">
        <f t="shared" si="5"/>
        <v>125892541.17941369</v>
      </c>
      <c r="C121">
        <f t="shared" si="6"/>
        <v>1.0515955741336316E-20</v>
      </c>
      <c r="D121">
        <f t="shared" si="7"/>
        <v>0</v>
      </c>
      <c r="F121">
        <f t="shared" si="8"/>
        <v>0</v>
      </c>
    </row>
    <row r="122" spans="1:6">
      <c r="A122">
        <f t="shared" si="9"/>
        <v>8.1999999999999886</v>
      </c>
      <c r="B122">
        <f t="shared" si="5"/>
        <v>158489319.24610737</v>
      </c>
      <c r="C122">
        <f t="shared" si="6"/>
        <v>6.6351195092249546E-21</v>
      </c>
      <c r="D122">
        <f t="shared" si="7"/>
        <v>0</v>
      </c>
      <c r="F122">
        <f t="shared" si="8"/>
        <v>0</v>
      </c>
    </row>
    <row r="123" spans="1:6">
      <c r="A123">
        <f t="shared" si="9"/>
        <v>8.2999999999999883</v>
      </c>
      <c r="B123">
        <f t="shared" si="5"/>
        <v>199526231.49688277</v>
      </c>
      <c r="C123">
        <f t="shared" si="6"/>
        <v>4.1864773858493692E-21</v>
      </c>
      <c r="D123">
        <f t="shared" si="7"/>
        <v>0</v>
      </c>
      <c r="F123">
        <f t="shared" si="8"/>
        <v>0</v>
      </c>
    </row>
    <row r="124" spans="1:6">
      <c r="A124">
        <f t="shared" si="9"/>
        <v>8.3999999999999879</v>
      </c>
      <c r="B124">
        <f t="shared" si="5"/>
        <v>251188643.15095124</v>
      </c>
      <c r="C124">
        <f t="shared" si="6"/>
        <v>2.641488654101932E-21</v>
      </c>
      <c r="D124">
        <f t="shared" si="7"/>
        <v>0</v>
      </c>
      <c r="F124">
        <f t="shared" si="8"/>
        <v>0</v>
      </c>
    </row>
    <row r="125" spans="1:6">
      <c r="A125">
        <f t="shared" si="9"/>
        <v>8.4999999999999876</v>
      </c>
      <c r="B125">
        <f t="shared" si="5"/>
        <v>316227766.01682913</v>
      </c>
      <c r="C125">
        <f t="shared" si="6"/>
        <v>1.66666666666673E-21</v>
      </c>
      <c r="D125">
        <f t="shared" si="7"/>
        <v>0</v>
      </c>
      <c r="F125">
        <f t="shared" si="8"/>
        <v>0</v>
      </c>
    </row>
    <row r="126" spans="1:6">
      <c r="A126">
        <f t="shared" si="9"/>
        <v>8.5999999999999872</v>
      </c>
      <c r="B126">
        <f t="shared" si="5"/>
        <v>398107170.55348575</v>
      </c>
      <c r="C126">
        <f t="shared" si="6"/>
        <v>1.0515955741337028E-21</v>
      </c>
      <c r="D126">
        <f t="shared" si="7"/>
        <v>0</v>
      </c>
      <c r="F126">
        <f t="shared" si="8"/>
        <v>0</v>
      </c>
    </row>
    <row r="127" spans="1:6">
      <c r="A127">
        <f t="shared" si="9"/>
        <v>8.6999999999999869</v>
      </c>
      <c r="B127">
        <f t="shared" si="5"/>
        <v>501187233.62725735</v>
      </c>
      <c r="C127">
        <f t="shared" si="6"/>
        <v>6.6351195092252905E-22</v>
      </c>
      <c r="D127">
        <f t="shared" si="7"/>
        <v>0</v>
      </c>
      <c r="F127">
        <f t="shared" si="8"/>
        <v>0</v>
      </c>
    </row>
    <row r="128" spans="1:6">
      <c r="A128">
        <f t="shared" si="9"/>
        <v>8.7999999999999865</v>
      </c>
      <c r="B128">
        <f t="shared" si="5"/>
        <v>630957344.48017383</v>
      </c>
      <c r="C128">
        <f t="shared" si="6"/>
        <v>4.1864773858495312E-22</v>
      </c>
      <c r="D128">
        <f t="shared" si="7"/>
        <v>0</v>
      </c>
      <c r="F128">
        <f t="shared" si="8"/>
        <v>0</v>
      </c>
    </row>
    <row r="129" spans="1:6">
      <c r="A129">
        <f t="shared" si="9"/>
        <v>8.8999999999999861</v>
      </c>
      <c r="B129">
        <f t="shared" si="5"/>
        <v>794328234.72425628</v>
      </c>
      <c r="C129">
        <f t="shared" si="6"/>
        <v>2.6414886541020117E-22</v>
      </c>
      <c r="D129">
        <f t="shared" si="7"/>
        <v>0</v>
      </c>
      <c r="F129">
        <f t="shared" si="8"/>
        <v>0</v>
      </c>
    </row>
    <row r="130" spans="1:6">
      <c r="A130">
        <f t="shared" si="9"/>
        <v>8.9999999999999858</v>
      </c>
      <c r="B130">
        <f t="shared" si="5"/>
        <v>999999999.99997091</v>
      </c>
      <c r="C130">
        <f t="shared" si="6"/>
        <v>1.6666666666667585E-22</v>
      </c>
      <c r="D130">
        <f t="shared" si="7"/>
        <v>0</v>
      </c>
      <c r="F130">
        <f t="shared" si="8"/>
        <v>0</v>
      </c>
    </row>
    <row r="131" spans="1:6">
      <c r="A131">
        <f t="shared" si="9"/>
        <v>9.0999999999999854</v>
      </c>
      <c r="B131">
        <f t="shared" si="5"/>
        <v>1258925411.7941294</v>
      </c>
      <c r="C131">
        <f t="shared" si="6"/>
        <v>1.0515955741337164E-22</v>
      </c>
      <c r="D131">
        <f t="shared" si="7"/>
        <v>0</v>
      </c>
      <c r="F131">
        <f t="shared" si="8"/>
        <v>0</v>
      </c>
    </row>
    <row r="132" spans="1:6">
      <c r="A132">
        <f t="shared" si="9"/>
        <v>9.1999999999999851</v>
      </c>
      <c r="B132">
        <f t="shared" si="5"/>
        <v>1584893192.4610643</v>
      </c>
      <c r="C132">
        <f t="shared" si="6"/>
        <v>6.6351195092253568E-23</v>
      </c>
      <c r="D132">
        <f t="shared" si="7"/>
        <v>0</v>
      </c>
      <c r="F132">
        <f t="shared" si="8"/>
        <v>0</v>
      </c>
    </row>
    <row r="133" spans="1:6">
      <c r="A133">
        <f t="shared" si="9"/>
        <v>9.2999999999999847</v>
      </c>
      <c r="B133">
        <f t="shared" si="5"/>
        <v>1995262314.9688158</v>
      </c>
      <c r="C133">
        <f t="shared" si="6"/>
        <v>4.1864773858495634E-23</v>
      </c>
      <c r="D133">
        <f t="shared" si="7"/>
        <v>0</v>
      </c>
      <c r="F133">
        <f t="shared" si="8"/>
        <v>0</v>
      </c>
    </row>
    <row r="134" spans="1:6">
      <c r="A134">
        <f t="shared" si="9"/>
        <v>9.3999999999999844</v>
      </c>
      <c r="B134">
        <f t="shared" si="5"/>
        <v>2511886431.5094972</v>
      </c>
      <c r="C134">
        <f t="shared" si="6"/>
        <v>2.641488654102028E-23</v>
      </c>
      <c r="D134">
        <f t="shared" si="7"/>
        <v>0</v>
      </c>
      <c r="F134">
        <f t="shared" si="8"/>
        <v>0</v>
      </c>
    </row>
    <row r="135" spans="1:6">
      <c r="A135">
        <f t="shared" si="9"/>
        <v>9.499999999999984</v>
      </c>
      <c r="B135">
        <f t="shared" si="5"/>
        <v>3162277660.168272</v>
      </c>
      <c r="C135">
        <f t="shared" si="6"/>
        <v>1.6666666666667786E-23</v>
      </c>
      <c r="D135">
        <f t="shared" si="7"/>
        <v>0</v>
      </c>
      <c r="F135">
        <f t="shared" si="8"/>
        <v>0</v>
      </c>
    </row>
    <row r="136" spans="1:6">
      <c r="A136">
        <f t="shared" si="9"/>
        <v>9.5999999999999837</v>
      </c>
      <c r="B136">
        <f t="shared" si="5"/>
        <v>3981071705.5348339</v>
      </c>
      <c r="C136">
        <f t="shared" si="6"/>
        <v>1.0515955741337282E-23</v>
      </c>
      <c r="D136">
        <f t="shared" si="7"/>
        <v>0</v>
      </c>
      <c r="F136">
        <f t="shared" si="8"/>
        <v>0</v>
      </c>
    </row>
    <row r="137" spans="1:6">
      <c r="A137">
        <f t="shared" si="9"/>
        <v>9.6999999999999833</v>
      </c>
      <c r="B137">
        <f t="shared" si="5"/>
        <v>5011872336.272543</v>
      </c>
      <c r="C137">
        <f t="shared" si="6"/>
        <v>6.6351195092254288E-24</v>
      </c>
      <c r="D137">
        <f t="shared" si="7"/>
        <v>0</v>
      </c>
      <c r="F137">
        <f t="shared" si="8"/>
        <v>0</v>
      </c>
    </row>
    <row r="138" spans="1:6">
      <c r="A138">
        <f t="shared" si="9"/>
        <v>9.7999999999999829</v>
      </c>
      <c r="B138">
        <f t="shared" si="5"/>
        <v>6309573444.8017006</v>
      </c>
      <c r="C138">
        <f t="shared" si="6"/>
        <v>4.186477385849607E-24</v>
      </c>
      <c r="D138">
        <f t="shared" si="7"/>
        <v>0</v>
      </c>
      <c r="F138">
        <f t="shared" si="8"/>
        <v>0</v>
      </c>
    </row>
    <row r="139" spans="1:6">
      <c r="A139">
        <f t="shared" si="9"/>
        <v>9.8999999999999826</v>
      </c>
      <c r="B139">
        <f t="shared" ref="B139:B150" si="10">10^$A139</f>
        <v>7943282347.2425156</v>
      </c>
      <c r="C139">
        <f t="shared" ref="C139:C150" si="11">1/(0.5+$E$5*SQRT($B139)+$E$4*($B139)^($E$1))</f>
        <v>2.641488654102055E-24</v>
      </c>
      <c r="D139">
        <f t="shared" ref="D139:D150" si="12">1-1/(1+1/($D$5*SQRT($B139)+$D$4*($B139)^2))</f>
        <v>0</v>
      </c>
      <c r="F139">
        <f t="shared" ref="F139:F150" si="13">1-EXP(-1/($E$5*SQRT($B139)+$E$4*($B139)^($E$1)+$E$6*($B139)^3))</f>
        <v>0</v>
      </c>
    </row>
    <row r="140" spans="1:6">
      <c r="A140">
        <f t="shared" ref="A140:A150" si="14">+$A139+$A$1</f>
        <v>9.9999999999999822</v>
      </c>
      <c r="B140">
        <f t="shared" si="10"/>
        <v>9999999999.9996128</v>
      </c>
      <c r="C140">
        <f t="shared" si="11"/>
        <v>1.6666666666667957E-24</v>
      </c>
      <c r="D140">
        <f t="shared" si="12"/>
        <v>0</v>
      </c>
      <c r="F140">
        <f t="shared" si="13"/>
        <v>0</v>
      </c>
    </row>
    <row r="141" spans="1:6">
      <c r="A141">
        <f t="shared" si="14"/>
        <v>10.099999999999982</v>
      </c>
      <c r="B141">
        <f t="shared" si="10"/>
        <v>12589254117.941174</v>
      </c>
      <c r="C141">
        <f t="shared" si="11"/>
        <v>1.0515955741337387E-24</v>
      </c>
      <c r="D141">
        <f t="shared" si="12"/>
        <v>0</v>
      </c>
      <c r="F141">
        <f t="shared" si="13"/>
        <v>0</v>
      </c>
    </row>
    <row r="142" spans="1:6">
      <c r="A142">
        <f t="shared" si="14"/>
        <v>10.199999999999982</v>
      </c>
      <c r="B142">
        <f t="shared" si="10"/>
        <v>15848931924.610491</v>
      </c>
      <c r="C142">
        <f t="shared" si="11"/>
        <v>6.6351195092254936E-25</v>
      </c>
      <c r="D142">
        <f t="shared" si="12"/>
        <v>0</v>
      </c>
      <c r="F142">
        <f t="shared" si="13"/>
        <v>0</v>
      </c>
    </row>
    <row r="143" spans="1:6">
      <c r="A143">
        <f t="shared" si="14"/>
        <v>10.299999999999981</v>
      </c>
      <c r="B143">
        <f t="shared" si="10"/>
        <v>19952623149.687965</v>
      </c>
      <c r="C143">
        <f t="shared" si="11"/>
        <v>4.1864773858496491E-25</v>
      </c>
      <c r="D143">
        <f t="shared" si="12"/>
        <v>0</v>
      </c>
      <c r="F143">
        <f t="shared" si="13"/>
        <v>0</v>
      </c>
    </row>
    <row r="144" spans="1:6">
      <c r="A144">
        <f t="shared" si="14"/>
        <v>10.399999999999981</v>
      </c>
      <c r="B144">
        <f t="shared" si="10"/>
        <v>25118864315.094734</v>
      </c>
      <c r="C144">
        <f t="shared" si="11"/>
        <v>2.6414886541020799E-25</v>
      </c>
      <c r="D144">
        <f t="shared" si="12"/>
        <v>0</v>
      </c>
      <c r="F144">
        <f t="shared" si="13"/>
        <v>0</v>
      </c>
    </row>
    <row r="145" spans="1:6">
      <c r="A145">
        <f t="shared" si="14"/>
        <v>10.49999999999998</v>
      </c>
      <c r="B145">
        <f t="shared" si="10"/>
        <v>31622776601.682419</v>
      </c>
      <c r="C145">
        <f t="shared" si="11"/>
        <v>1.6666666666668116E-25</v>
      </c>
      <c r="D145">
        <f t="shared" si="12"/>
        <v>0</v>
      </c>
      <c r="F145">
        <f t="shared" si="13"/>
        <v>0</v>
      </c>
    </row>
    <row r="146" spans="1:6">
      <c r="A146">
        <f t="shared" si="14"/>
        <v>10.59999999999998</v>
      </c>
      <c r="B146">
        <f t="shared" si="10"/>
        <v>39810717055.347954</v>
      </c>
      <c r="C146">
        <f t="shared" si="11"/>
        <v>1.0515955741337492E-25</v>
      </c>
      <c r="D146">
        <f t="shared" si="12"/>
        <v>0</v>
      </c>
      <c r="F146">
        <f t="shared" si="13"/>
        <v>0</v>
      </c>
    </row>
    <row r="147" spans="1:6">
      <c r="A147">
        <f t="shared" si="14"/>
        <v>10.69999999999998</v>
      </c>
      <c r="B147">
        <f t="shared" si="10"/>
        <v>50118723362.724953</v>
      </c>
      <c r="C147">
        <f t="shared" si="11"/>
        <v>6.6351195092255565E-26</v>
      </c>
      <c r="D147">
        <f t="shared" si="12"/>
        <v>0</v>
      </c>
      <c r="F147">
        <f t="shared" si="13"/>
        <v>0</v>
      </c>
    </row>
    <row r="148" spans="1:6">
      <c r="A148">
        <f t="shared" si="14"/>
        <v>10.799999999999979</v>
      </c>
      <c r="B148">
        <f t="shared" si="10"/>
        <v>63095734448.016403</v>
      </c>
      <c r="C148">
        <f t="shared" si="11"/>
        <v>4.1864773858496881E-26</v>
      </c>
      <c r="D148">
        <f t="shared" si="12"/>
        <v>0</v>
      </c>
      <c r="F148">
        <f t="shared" si="13"/>
        <v>0</v>
      </c>
    </row>
    <row r="149" spans="1:6">
      <c r="A149">
        <f t="shared" si="14"/>
        <v>10.899999999999979</v>
      </c>
      <c r="B149">
        <f t="shared" si="10"/>
        <v>79432823472.424393</v>
      </c>
      <c r="C149">
        <f t="shared" si="11"/>
        <v>2.6414886541021055E-26</v>
      </c>
      <c r="D149">
        <f t="shared" si="12"/>
        <v>0</v>
      </c>
      <c r="F149">
        <f t="shared" si="13"/>
        <v>0</v>
      </c>
    </row>
    <row r="150" spans="1:6">
      <c r="A150">
        <f t="shared" si="14"/>
        <v>10.999999999999979</v>
      </c>
      <c r="B150">
        <f t="shared" si="10"/>
        <v>99999999999.995178</v>
      </c>
      <c r="C150">
        <f t="shared" si="11"/>
        <v>1.6666666666668275E-26</v>
      </c>
      <c r="D150">
        <f t="shared" si="12"/>
        <v>0</v>
      </c>
      <c r="F150">
        <f t="shared" si="13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>
      <selection activeCell="C4" sqref="C4"/>
    </sheetView>
  </sheetViews>
  <sheetFormatPr defaultRowHeight="15"/>
  <sheetData>
    <row r="1" spans="1:3">
      <c r="A1">
        <v>0.1</v>
      </c>
      <c r="C1">
        <v>1</v>
      </c>
    </row>
    <row r="2" spans="1:3">
      <c r="C2">
        <v>16</v>
      </c>
    </row>
    <row r="3" spans="1:3">
      <c r="C3">
        <v>5.5</v>
      </c>
    </row>
    <row r="4" spans="1:3">
      <c r="A4">
        <v>-2</v>
      </c>
      <c r="B4">
        <f>10^$A4</f>
        <v>0.01</v>
      </c>
      <c r="C4">
        <f>+$C$1/(1+$C$2*SQRT($B4)+$C$3*$B4^2)</f>
        <v>0.38453404087596854</v>
      </c>
    </row>
    <row r="5" spans="1:3">
      <c r="A5">
        <f>+$A4+$A$1</f>
        <v>-1.9</v>
      </c>
      <c r="B5">
        <f>10^$A5</f>
        <v>1.2589254117941664E-2</v>
      </c>
      <c r="C5">
        <f>+$C$1/(1+$C$2*SQRT($B5)+$C$3*$B5^2)</f>
        <v>0.35764084415569608</v>
      </c>
    </row>
    <row r="6" spans="1:3">
      <c r="A6">
        <f>+$A5+$A$1</f>
        <v>-1.7999999999999998</v>
      </c>
      <c r="B6">
        <f>10^$A6</f>
        <v>1.5848931924611138E-2</v>
      </c>
      <c r="C6">
        <f>+$C$1/(1+$C$2*SQRT($B6)+$C$3*$B6^2)</f>
        <v>0.33160212745018841</v>
      </c>
    </row>
    <row r="7" spans="1:3">
      <c r="A7">
        <f>+$A6+$A$1</f>
        <v>-1.6999999999999997</v>
      </c>
      <c r="B7">
        <f>10^$A7</f>
        <v>1.9952623149688802E-2</v>
      </c>
      <c r="C7">
        <f>+$C$1/(1+$C$2*SQRT($B7)+$C$3*$B7^2)</f>
        <v>0.30653693124891301</v>
      </c>
    </row>
    <row r="8" spans="1:3">
      <c r="A8">
        <f>+$A7+$A$1</f>
        <v>-1.5999999999999996</v>
      </c>
      <c r="B8">
        <f>10^$A8</f>
        <v>2.5118864315095819E-2</v>
      </c>
      <c r="C8">
        <f>+$C$1/(1+$C$2*SQRT($B8)+$C$3*$B8^2)</f>
        <v>0.28254179556968395</v>
      </c>
    </row>
    <row r="9" spans="1:3">
      <c r="A9">
        <f>+$A8+$A$1</f>
        <v>-1.4999999999999996</v>
      </c>
      <c r="B9">
        <f>10^$A9</f>
        <v>3.1622776601683812E-2</v>
      </c>
      <c r="C9">
        <f>+$C$1/(1+$C$2*SQRT($B9)+$C$3*$B9^2)</f>
        <v>0.25968986937890093</v>
      </c>
    </row>
    <row r="10" spans="1:3">
      <c r="A10">
        <f>+$A9+$A$1</f>
        <v>-1.3999999999999995</v>
      </c>
      <c r="B10">
        <f>10^$A10</f>
        <v>3.9810717055349762E-2</v>
      </c>
      <c r="C10">
        <f>+$C$1/(1+$C$2*SQRT($B10)+$C$3*$B10^2)</f>
        <v>0.23803082148540702</v>
      </c>
    </row>
    <row r="11" spans="1:3">
      <c r="A11">
        <f>+$A10+$A$1</f>
        <v>-1.2999999999999994</v>
      </c>
      <c r="B11">
        <f>10^$A11</f>
        <v>5.0118723362727297E-2</v>
      </c>
      <c r="C11">
        <f>+$C$1/(1+$C$2*SQRT($B11)+$C$3*$B11^2)</f>
        <v>0.21759143184013477</v>
      </c>
    </row>
    <row r="12" spans="1:3">
      <c r="A12">
        <f>+$A11+$A$1</f>
        <v>-1.1999999999999993</v>
      </c>
      <c r="B12">
        <f>10^$A12</f>
        <v>6.30957344480194E-2</v>
      </c>
      <c r="C12">
        <f>+$C$1/(1+$C$2*SQRT($B12)+$C$3*$B12^2)</f>
        <v>0.19837671567910531</v>
      </c>
    </row>
    <row r="13" spans="1:3">
      <c r="A13">
        <f>+$A12+$A$1</f>
        <v>-1.0999999999999992</v>
      </c>
      <c r="B13">
        <f>10^$A13</f>
        <v>7.9432823472428277E-2</v>
      </c>
      <c r="C13">
        <f>+$C$1/(1+$C$2*SQRT($B13)+$C$3*$B13^2)</f>
        <v>0.1803714277134805</v>
      </c>
    </row>
    <row r="14" spans="1:3">
      <c r="A14">
        <f>+$A13+$A$1</f>
        <v>-0.99999999999999922</v>
      </c>
      <c r="B14">
        <f>10^$A14</f>
        <v>0.10000000000000016</v>
      </c>
      <c r="C14">
        <f>+$C$1/(1+$C$2*SQRT($B14)+$C$3*$B14^2)</f>
        <v>0.1635418117701106</v>
      </c>
    </row>
    <row r="15" spans="1:3">
      <c r="A15">
        <f>+$A14+$A$1</f>
        <v>-0.89999999999999925</v>
      </c>
      <c r="B15">
        <f>10^$A15</f>
        <v>0.12589254117941689</v>
      </c>
      <c r="C15">
        <f>+$C$1/(1+$C$2*SQRT($B15)+$C$3*$B15^2)</f>
        <v>0.14783750643140081</v>
      </c>
    </row>
    <row r="16" spans="1:3">
      <c r="A16">
        <f>+$A15+$A$1</f>
        <v>-0.79999999999999927</v>
      </c>
      <c r="B16">
        <f>10^$A16</f>
        <v>0.15848931924611157</v>
      </c>
      <c r="C16">
        <f>+$C$1/(1+$C$2*SQRT($B16)+$C$3*$B16^2)</f>
        <v>0.13319359580139628</v>
      </c>
    </row>
    <row r="17" spans="1:3">
      <c r="A17">
        <f>+$A16+$A$1</f>
        <v>-0.69999999999999929</v>
      </c>
      <c r="B17">
        <f>10^$A17</f>
        <v>0.19952623149688828</v>
      </c>
      <c r="C17">
        <f>+$C$1/(1+$C$2*SQRT($B17)+$C$3*$B17^2)</f>
        <v>0.11953291673826243</v>
      </c>
    </row>
    <row r="18" spans="1:3">
      <c r="A18">
        <f>+$A17+$A$1</f>
        <v>-0.59999999999999931</v>
      </c>
      <c r="B18">
        <f>10^$A18</f>
        <v>0.2511886431509584</v>
      </c>
      <c r="C18">
        <f>+$C$1/(1+$C$2*SQRT($B18)+$C$3*$B18^2)</f>
        <v>0.10676891110992233</v>
      </c>
    </row>
    <row r="19" spans="1:3">
      <c r="A19">
        <f>+$A18+$A$1</f>
        <v>-0.49999999999999933</v>
      </c>
      <c r="B19">
        <f>10^$A19</f>
        <v>0.31622776601683839</v>
      </c>
      <c r="C19">
        <f>+$C$1/(1+$C$2*SQRT($B19)+$C$3*$B19^2)</f>
        <v>9.4809545230775408E-2</v>
      </c>
    </row>
    <row r="20" spans="1:3">
      <c r="A20">
        <f>+$A19+$A$1</f>
        <v>-0.39999999999999936</v>
      </c>
      <c r="B20">
        <f>10^$A20</f>
        <v>0.39810717055349781</v>
      </c>
      <c r="C20">
        <f>+$C$1/(1+$C$2*SQRT($B20)+$C$3*$B20^2)</f>
        <v>8.3563070724300956E-2</v>
      </c>
    </row>
    <row r="21" spans="1:3">
      <c r="A21">
        <f>+$A20+$A$1</f>
        <v>-0.29999999999999938</v>
      </c>
      <c r="B21">
        <f>10^$A21</f>
        <v>0.50118723362727291</v>
      </c>
      <c r="C21">
        <f>+$C$1/(1+$C$2*SQRT($B21)+$C$3*$B21^2)</f>
        <v>7.2946536288268179E-2</v>
      </c>
    </row>
    <row r="22" spans="1:3">
      <c r="A22">
        <f>+$A21+$A$1</f>
        <v>-0.19999999999999937</v>
      </c>
      <c r="B22">
        <f>10^$A22</f>
        <v>0.63095734448019414</v>
      </c>
      <c r="C22">
        <f>+$C$1/(1+$C$2*SQRT($B22)+$C$3*$B22^2)</f>
        <v>6.2897665799724126E-2</v>
      </c>
    </row>
    <row r="23" spans="1:3">
      <c r="A23">
        <f>+$A22+$A$1</f>
        <v>-9.9999999999999367E-2</v>
      </c>
      <c r="B23">
        <f>10^$A23</f>
        <v>0.7943282347242826</v>
      </c>
      <c r="C23">
        <f>+$C$1/(1+$C$2*SQRT($B23)+$C$3*$B23^2)</f>
        <v>5.3389483680380163E-2</v>
      </c>
    </row>
    <row r="24" spans="1:3">
      <c r="A24">
        <f>+$A23+$A$1</f>
        <v>6.3837823915946501E-16</v>
      </c>
      <c r="B24">
        <f>10^$A24</f>
        <v>1.0000000000000016</v>
      </c>
      <c r="C24">
        <f>+$C$1/(1+$C$2*SQRT($B24)+$C$3*$B24^2)</f>
        <v>4.4444444444444384E-2</v>
      </c>
    </row>
    <row r="25" spans="1:3">
      <c r="A25">
        <f>+$A24+$A$1</f>
        <v>0.10000000000000064</v>
      </c>
      <c r="B25">
        <f>10^$A25</f>
        <v>1.2589254117941691</v>
      </c>
      <c r="C25">
        <f>+$C$1/(1+$C$2*SQRT($B25)+$C$3*$B25^2)</f>
        <v>3.6141258768200124E-2</v>
      </c>
    </row>
    <row r="26" spans="1:3">
      <c r="A26">
        <f>+$A25+$A$1</f>
        <v>0.20000000000000065</v>
      </c>
      <c r="B26">
        <f>10^$A26</f>
        <v>1.5848931924611158</v>
      </c>
      <c r="C26">
        <f>+$C$1/(1+$C$2*SQRT($B26)+$C$3*$B26^2)</f>
        <v>2.8605606581221632E-2</v>
      </c>
    </row>
    <row r="27" spans="1:3">
      <c r="A27">
        <f>+$A26+$A$1</f>
        <v>0.30000000000000066</v>
      </c>
      <c r="B27">
        <f>10^$A27</f>
        <v>1.9952623149688828</v>
      </c>
      <c r="C27">
        <f>+$C$1/(1+$C$2*SQRT($B27)+$C$3*$B27^2)</f>
        <v>2.1979715095085277E-2</v>
      </c>
    </row>
    <row r="28" spans="1:3">
      <c r="A28">
        <f>+$A27+$A$1</f>
        <v>0.40000000000000069</v>
      </c>
      <c r="B28">
        <f>10^$A28</f>
        <v>2.5118864315095841</v>
      </c>
      <c r="C28">
        <f>+$C$1/(1+$C$2*SQRT($B28)+$C$3*$B28^2)</f>
        <v>1.6377080301945186E-2</v>
      </c>
    </row>
    <row r="29" spans="1:3">
      <c r="A29">
        <f>+$A28+$A$1</f>
        <v>0.50000000000000067</v>
      </c>
      <c r="B29">
        <f>10^$A29</f>
        <v>3.1622776601683844</v>
      </c>
      <c r="C29">
        <f>+$C$1/(1+$C$2*SQRT($B29)+$C$3*$B29^2)</f>
        <v>1.1840979824055764E-2</v>
      </c>
    </row>
    <row r="30" spans="1:3">
      <c r="A30">
        <f>+$A29+$A$1</f>
        <v>0.60000000000000064</v>
      </c>
      <c r="B30">
        <f>10^$A30</f>
        <v>3.9810717055349789</v>
      </c>
      <c r="C30">
        <f>+$C$1/(1+$C$2*SQRT($B30)+$C$3*$B30^2)</f>
        <v>8.3268576315746311E-3</v>
      </c>
    </row>
    <row r="31" spans="1:3">
      <c r="A31">
        <f>+$A30+$A$1</f>
        <v>0.70000000000000062</v>
      </c>
      <c r="B31">
        <f>10^$A31</f>
        <v>5.0118723362727309</v>
      </c>
      <c r="C31">
        <f>+$C$1/(1+$C$2*SQRT($B31)+$C$3*$B31^2)</f>
        <v>5.7151579469915184E-3</v>
      </c>
    </row>
    <row r="32" spans="1:3">
      <c r="A32">
        <f>+$A31+$A$1</f>
        <v>0.8000000000000006</v>
      </c>
      <c r="B32">
        <f>10^$A32</f>
        <v>6.3095734448019414</v>
      </c>
      <c r="C32">
        <f>+$C$1/(1+$C$2*SQRT($B32)+$C$3*$B32^2)</f>
        <v>3.8439490943216336E-3</v>
      </c>
    </row>
    <row r="33" spans="1:3">
      <c r="A33">
        <f>+$A32+$A$1</f>
        <v>0.90000000000000058</v>
      </c>
      <c r="B33">
        <f>10^$A33</f>
        <v>7.9432823472428282</v>
      </c>
      <c r="C33">
        <f>+$C$1/(1+$C$2*SQRT($B33)+$C$3*$B33^2)</f>
        <v>2.5437482319314499E-3</v>
      </c>
    </row>
    <row r="34" spans="1:3">
      <c r="A34">
        <f>+$A33+$A$1</f>
        <v>1.0000000000000007</v>
      </c>
      <c r="B34">
        <f>10^$A34</f>
        <v>10.000000000000016</v>
      </c>
      <c r="C34">
        <f>+$C$1/(1+$C$2*SQRT($B34)+$C$3*$B34^2)</f>
        <v>1.6622438718888939E-3</v>
      </c>
    </row>
    <row r="35" spans="1:3">
      <c r="A35">
        <f>+$A34+$A$1</f>
        <v>1.1000000000000008</v>
      </c>
      <c r="B35">
        <f>10^$A35</f>
        <v>12.589254117941696</v>
      </c>
      <c r="C35">
        <f>+$C$1/(1+$C$2*SQRT($B35)+$C$3*$B35^2)</f>
        <v>1.075891911176575E-3</v>
      </c>
    </row>
    <row r="36" spans="1:3">
      <c r="A36">
        <f>+$A35+$A$1</f>
        <v>1.2000000000000008</v>
      </c>
      <c r="B36">
        <f>10^$A36</f>
        <v>15.848931924611172</v>
      </c>
      <c r="C36">
        <f>+$C$1/(1+$C$2*SQRT($B36)+$C$3*$B36^2)</f>
        <v>6.9145071034135564E-4</v>
      </c>
    </row>
    <row r="37" spans="1:3">
      <c r="A37">
        <f>+$A36+$A$1</f>
        <v>1.3000000000000009</v>
      </c>
      <c r="B37">
        <f>10^$A37</f>
        <v>19.95262314968884</v>
      </c>
      <c r="C37">
        <f>+$C$1/(1+$C$2*SQRT($B37)+$C$3*$B37^2)</f>
        <v>4.4207515487509278E-4</v>
      </c>
    </row>
    <row r="38" spans="1:3">
      <c r="A38">
        <f>+$A37+$A$1</f>
        <v>1.400000000000001</v>
      </c>
      <c r="B38">
        <f>10^$A38</f>
        <v>25.118864315095866</v>
      </c>
      <c r="C38">
        <f>+$C$1/(1+$C$2*SQRT($B38)+$C$3*$B38^2)</f>
        <v>2.8157470695240822E-4</v>
      </c>
    </row>
    <row r="39" spans="1:3">
      <c r="A39">
        <f>+$A38+$A$1</f>
        <v>1.5000000000000011</v>
      </c>
      <c r="B39">
        <f>10^$A39</f>
        <v>31.622776601683888</v>
      </c>
      <c r="C39">
        <f>+$C$1/(1+$C$2*SQRT($B39)+$C$3*$B39^2)</f>
        <v>1.7885969252091227E-4</v>
      </c>
    </row>
    <row r="40" spans="1:3">
      <c r="A40">
        <f>+$A39+$A$1</f>
        <v>1.6000000000000012</v>
      </c>
      <c r="B40">
        <f>10^$A40</f>
        <v>39.810717055349841</v>
      </c>
      <c r="C40">
        <f>+$C$1/(1+$C$2*SQRT($B40)+$C$3*$B40^2)</f>
        <v>1.133932673658899E-4</v>
      </c>
    </row>
    <row r="41" spans="1:3">
      <c r="A41">
        <f>+$A40+$A$1</f>
        <v>1.7000000000000013</v>
      </c>
      <c r="B41">
        <f>10^$A41</f>
        <v>50.118723362727394</v>
      </c>
      <c r="C41">
        <f>+$C$1/(1+$C$2*SQRT($B41)+$C$3*$B41^2)</f>
        <v>7.178932973840913E-5</v>
      </c>
    </row>
    <row r="42" spans="1:3">
      <c r="A42">
        <f>+$A41+$A$1</f>
        <v>1.8000000000000014</v>
      </c>
      <c r="B42">
        <f>10^$A42</f>
        <v>63.095734448019527</v>
      </c>
      <c r="C42">
        <f>+$C$1/(1+$C$2*SQRT($B42)+$C$3*$B42^2)</f>
        <v>4.5405039724705062E-5</v>
      </c>
    </row>
    <row r="43" spans="1:3">
      <c r="A43">
        <f>+$A42+$A$1</f>
        <v>1.9000000000000015</v>
      </c>
      <c r="B43">
        <f>10^$A43</f>
        <v>79.432823472428467</v>
      </c>
      <c r="C43">
        <f>+$C$1/(1+$C$2*SQRT($B43)+$C$3*$B43^2)</f>
        <v>2.8697489182921618E-5</v>
      </c>
    </row>
    <row r="44" spans="1:3">
      <c r="A44">
        <f>+$A43+$A$1</f>
        <v>2.0000000000000013</v>
      </c>
      <c r="B44">
        <f>10^$A44</f>
        <v>100.00000000000031</v>
      </c>
      <c r="C44">
        <f>+$C$1/(1+$C$2*SQRT($B44)+$C$3*$B44^2)</f>
        <v>1.8128750385235834E-5</v>
      </c>
    </row>
    <row r="45" spans="1:3">
      <c r="A45">
        <f>+$A44+$A$1</f>
        <v>2.1000000000000014</v>
      </c>
      <c r="B45">
        <f>10^$A45</f>
        <v>125.89254117941721</v>
      </c>
      <c r="C45">
        <f>+$C$1/(1+$C$2*SQRT($B45)+$C$3*$B45^2)</f>
        <v>1.1448242972201449E-5</v>
      </c>
    </row>
    <row r="46" spans="1:3">
      <c r="A46">
        <f>+$A45+$A$1</f>
        <v>2.2000000000000015</v>
      </c>
      <c r="B46">
        <f>10^$A46</f>
        <v>158.48931924611196</v>
      </c>
      <c r="C46">
        <f>+$C$1/(1+$C$2*SQRT($B46)+$C$3*$B46^2)</f>
        <v>7.2277218624996912E-6</v>
      </c>
    </row>
    <row r="47" spans="1:3">
      <c r="A47">
        <f>+$A46+$A$1</f>
        <v>2.3000000000000016</v>
      </c>
      <c r="B47">
        <f>10^$A47</f>
        <v>199.52623149688873</v>
      </c>
      <c r="C47">
        <f>+$C$1/(1+$C$2*SQRT($B47)+$C$3*$B47^2)</f>
        <v>4.5623362303090347E-6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Lightning</vt:lpstr>
      <vt:lpstr>verify</vt:lpstr>
    </vt:vector>
  </TitlesOfParts>
  <Company>Customer Solutions BAE Systems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pukitepa</dc:creator>
  <cp:lastModifiedBy>pukitepa</cp:lastModifiedBy>
  <dcterms:created xsi:type="dcterms:W3CDTF">2012-06-07T18:37:17Z</dcterms:created>
  <dcterms:modified xsi:type="dcterms:W3CDTF">2012-11-05T19:12:42Z</dcterms:modified>
</cp:coreProperties>
</file>