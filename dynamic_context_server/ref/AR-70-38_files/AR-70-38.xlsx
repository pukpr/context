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9935" windowHeight="10575" activeTab="2"/>
  </bookViews>
  <sheets>
    <sheet name="highElevation-upperAir" sheetId="1" r:id="rId1"/>
    <sheet name="basicClimateDesignTypes" sheetId="2" r:id="rId2"/>
    <sheet name="rain" sheetId="3" r:id="rId3"/>
  </sheets>
  <definedNames>
    <definedName name="sec2II" localSheetId="0">'highElevation-upperAir'!$A$11</definedName>
    <definedName name="tab2_2" localSheetId="0">'highElevation-upperAir'!$A$1</definedName>
    <definedName name="tab2_5" localSheetId="1">basicClimateDesignTypes!$A$1</definedName>
    <definedName name="tab2_6" localSheetId="2">rain!$A$1</definedName>
  </definedNames>
  <calcPr calcId="125725"/>
</workbook>
</file>

<file path=xl/calcChain.xml><?xml version="1.0" encoding="utf-8"?>
<calcChain xmlns="http://schemas.openxmlformats.org/spreadsheetml/2006/main">
  <c r="G4" i="3"/>
  <c r="F4"/>
  <c r="E4"/>
  <c r="D4"/>
  <c r="C4"/>
  <c r="B4"/>
  <c r="F71" l="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8"/>
  <c r="D8" l="1"/>
  <c r="D12"/>
  <c r="D10"/>
  <c r="D7"/>
  <c r="D9"/>
  <c r="D11"/>
  <c r="G7"/>
  <c r="G9"/>
  <c r="G11"/>
  <c r="G8"/>
  <c r="G10"/>
  <c r="G12"/>
  <c r="I8" l="1"/>
  <c r="I7"/>
  <c r="I9" l="1"/>
</calcChain>
</file>

<file path=xl/comments1.xml><?xml version="1.0" encoding="utf-8"?>
<comments xmlns="http://schemas.openxmlformats.org/spreadsheetml/2006/main">
  <authors>
    <author>pukitepa</author>
  </authors>
  <commentList>
    <comment ref="G3" authorId="0">
      <text>
        <r>
          <rPr>
            <b/>
            <sz val="8"/>
            <color indexed="81"/>
            <rFont val="Tahoma"/>
            <family val="2"/>
          </rPr>
          <t>pukitepa:</t>
        </r>
        <r>
          <rPr>
            <sz val="8"/>
            <color indexed="81"/>
            <rFont val="Tahoma"/>
            <family val="2"/>
          </rPr>
          <t xml:space="preserve">
 The value is &lt;  1</t>
        </r>
      </text>
    </comment>
  </commentList>
</comments>
</file>

<file path=xl/sharedStrings.xml><?xml version="1.0" encoding="utf-8"?>
<sst xmlns="http://schemas.openxmlformats.org/spreadsheetml/2006/main" count="38" uniqueCount="37">
  <si>
    <t>Height or Elevation</t>
  </si>
  <si>
    <t>Pressure</t>
  </si>
  <si>
    <t>Temperature</t>
  </si>
  <si>
    <t>ft</t>
  </si>
  <si>
    <t>(m)</t>
  </si>
  <si>
    <t>Milibars (mb)</t>
  </si>
  <si>
    <r>
      <t xml:space="preserve">o </t>
    </r>
    <r>
      <rPr>
        <b/>
        <sz val="11"/>
        <color theme="1"/>
        <rFont val="Arial"/>
        <family val="2"/>
      </rPr>
      <t>F</t>
    </r>
  </si>
  <si>
    <r>
      <t xml:space="preserve">( </t>
    </r>
    <r>
      <rPr>
        <b/>
        <vertAlign val="superscript"/>
        <sz val="11"/>
        <color theme="1"/>
        <rFont val="Arial"/>
        <family val="2"/>
      </rPr>
      <t xml:space="preserve">o </t>
    </r>
    <r>
      <rPr>
        <b/>
        <sz val="11"/>
        <color theme="1"/>
        <rFont val="Arial"/>
        <family val="2"/>
      </rPr>
      <t>C)</t>
    </r>
  </si>
  <si>
    <t>(-41)</t>
  </si>
  <si>
    <t>(-47)</t>
  </si>
  <si>
    <t>(-56)</t>
  </si>
  <si>
    <t>(-66)</t>
  </si>
  <si>
    <t>(-72)</t>
  </si>
  <si>
    <t>(-76)</t>
  </si>
  <si>
    <t xml:space="preserve">Table 2-2. Elevation, pressure and temperature </t>
  </si>
  <si>
    <t xml:space="preserve">Table 2-5. Materials and High Humidity Deterioration </t>
  </si>
  <si>
    <t xml:space="preserve">Type Material </t>
  </si>
  <si>
    <t xml:space="preserve">Type of Site with the Highest Deterioration Rates </t>
  </si>
  <si>
    <t>Elastomers</t>
  </si>
  <si>
    <t>Open</t>
  </si>
  <si>
    <t>Polymers</t>
  </si>
  <si>
    <t>Textiles</t>
  </si>
  <si>
    <t>Forest</t>
  </si>
  <si>
    <t>Metals</t>
  </si>
  <si>
    <t>Coastal swamp (mangrove) and forest</t>
  </si>
  <si>
    <t>Number</t>
  </si>
  <si>
    <t>0.5 - 1.4</t>
  </si>
  <si>
    <t>1.5 - 2.4</t>
  </si>
  <si>
    <t>2.5 - 3.4</t>
  </si>
  <si>
    <t>3.5 - 4.4</t>
  </si>
  <si>
    <t>4.5 - 5.4</t>
  </si>
  <si>
    <t>5.5 - 6.4</t>
  </si>
  <si>
    <t>exp</t>
  </si>
  <si>
    <t>entroplet</t>
  </si>
  <si>
    <t>model</t>
  </si>
  <si>
    <r>
      <t xml:space="preserve">Data (per m </t>
    </r>
    <r>
      <rPr>
        <vertAlign val="superscript"/>
        <sz val="11"/>
        <color theme="1"/>
        <rFont val="Arial"/>
        <family val="2"/>
      </rPr>
      <t>3 )</t>
    </r>
  </si>
  <si>
    <t xml:space="preserve">Table 2-8. Drop Diameter Range (mm)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</si>
</sst>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20B2A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 70-38 Rainfall</a:t>
            </a:r>
            <a:r>
              <a:rPr lang="en-US" baseline="0"/>
              <a:t> </a:t>
            </a:r>
            <a:r>
              <a:rPr lang="en-US"/>
              <a:t>Drop Size</a:t>
            </a:r>
          </a:p>
        </c:rich>
      </c:tx>
      <c:layout>
        <c:manualLayout>
          <c:xMode val="edge"/>
          <c:yMode val="edge"/>
          <c:x val="0.38127819548872183"/>
          <c:y val="1.532567049808429E-2"/>
        </c:manualLayout>
      </c:layout>
    </c:title>
    <c:plotArea>
      <c:layout>
        <c:manualLayout>
          <c:layoutTarget val="inner"/>
          <c:xMode val="edge"/>
          <c:yMode val="edge"/>
          <c:x val="0.24136351706036746"/>
          <c:y val="5.0925925925925923E-2"/>
          <c:w val="0.6702073490813647"/>
          <c:h val="0.71640419947506562"/>
        </c:manualLayout>
      </c:layout>
      <c:barChart>
        <c:barDir val="bar"/>
        <c:grouping val="clustered"/>
        <c:ser>
          <c:idx val="0"/>
          <c:order val="0"/>
          <c:tx>
            <c:strRef>
              <c:f>rain!$A$3</c:f>
              <c:strCache>
                <c:ptCount val="1"/>
                <c:pt idx="0">
                  <c:v>Data (per m 3 )</c:v>
                </c:pt>
              </c:strCache>
            </c:strRef>
          </c:tx>
          <c:spPr>
            <a:ln>
              <a:noFill/>
            </a:ln>
          </c:spPr>
          <c:cat>
            <c:strRef>
              <c:f>rain!$B$2:$G$2</c:f>
              <c:strCache>
                <c:ptCount val="6"/>
                <c:pt idx="0">
                  <c:v>0.5 - 1.4</c:v>
                </c:pt>
                <c:pt idx="1">
                  <c:v>1.5 - 2.4</c:v>
                </c:pt>
                <c:pt idx="2">
                  <c:v>2.5 - 3.4</c:v>
                </c:pt>
                <c:pt idx="3">
                  <c:v>3.5 - 4.4</c:v>
                </c:pt>
                <c:pt idx="4">
                  <c:v>4.5 - 5.4</c:v>
                </c:pt>
                <c:pt idx="5">
                  <c:v>5.5 - 6.4</c:v>
                </c:pt>
              </c:strCache>
            </c:strRef>
          </c:cat>
          <c:val>
            <c:numRef>
              <c:f>rain!$B$3:$G$3</c:f>
              <c:numCache>
                <c:formatCode>General</c:formatCode>
                <c:ptCount val="6"/>
                <c:pt idx="0">
                  <c:v>2626</c:v>
                </c:pt>
                <c:pt idx="1">
                  <c:v>342</c:v>
                </c:pt>
                <c:pt idx="2">
                  <c:v>45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rain!$A$4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cat>
            <c:strRef>
              <c:f>rain!$B$2:$G$2</c:f>
              <c:strCache>
                <c:ptCount val="6"/>
                <c:pt idx="0">
                  <c:v>0.5 - 1.4</c:v>
                </c:pt>
                <c:pt idx="1">
                  <c:v>1.5 - 2.4</c:v>
                </c:pt>
                <c:pt idx="2">
                  <c:v>2.5 - 3.4</c:v>
                </c:pt>
                <c:pt idx="3">
                  <c:v>3.5 - 4.4</c:v>
                </c:pt>
                <c:pt idx="4">
                  <c:v>4.5 - 5.4</c:v>
                </c:pt>
                <c:pt idx="5">
                  <c:v>5.5 - 6.4</c:v>
                </c:pt>
              </c:strCache>
            </c:strRef>
          </c:cat>
          <c:val>
            <c:numRef>
              <c:f>rain!$B$4:$G$4</c:f>
              <c:numCache>
                <c:formatCode>General</c:formatCode>
                <c:ptCount val="6"/>
                <c:pt idx="0">
                  <c:v>2617.4408510083717</c:v>
                </c:pt>
                <c:pt idx="1">
                  <c:v>342.0961097050897</c:v>
                </c:pt>
                <c:pt idx="2">
                  <c:v>45.554505437617472</c:v>
                </c:pt>
                <c:pt idx="3">
                  <c:v>6.3718712639070363</c:v>
                </c:pt>
                <c:pt idx="4">
                  <c:v>1.0000646561675552</c:v>
                </c:pt>
                <c:pt idx="5">
                  <c:v>0.1938300861431812</c:v>
                </c:pt>
              </c:numCache>
            </c:numRef>
          </c:val>
        </c:ser>
        <c:axId val="110453888"/>
        <c:axId val="99713408"/>
      </c:barChart>
      <c:catAx>
        <c:axId val="11045388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Drop Size (mm)</a:t>
                </a:r>
              </a:p>
            </c:rich>
          </c:tx>
          <c:layout>
            <c:manualLayout>
              <c:xMode val="edge"/>
              <c:yMode val="edge"/>
              <c:x val="1.7529256211394628E-2"/>
              <c:y val="0.18942890759344738"/>
            </c:manualLayout>
          </c:layout>
        </c:title>
        <c:tickLblPos val="nextTo"/>
        <c:crossAx val="99713408"/>
        <c:crossesAt val="0"/>
        <c:auto val="1"/>
        <c:lblAlgn val="ctr"/>
        <c:lblOffset val="100"/>
      </c:catAx>
      <c:valAx>
        <c:axId val="99713408"/>
        <c:scaling>
          <c:logBase val="10"/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600"/>
                </a:pPr>
                <a:r>
                  <a:rPr lang="en-US" sz="1600"/>
                  <a:t>Count per m^3</a:t>
                </a:r>
              </a:p>
            </c:rich>
          </c:tx>
          <c:layout/>
        </c:title>
        <c:numFmt formatCode="General" sourceLinked="1"/>
        <c:tickLblPos val="nextTo"/>
        <c:crossAx val="11045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439938428749047"/>
          <c:y val="0.20507587413642261"/>
          <c:w val="0.23082726501292603"/>
          <c:h val="0.15711527438380546"/>
        </c:manualLayout>
      </c:layout>
    </c:legend>
    <c:plotVisOnly val="1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8</xdr:row>
      <xdr:rowOff>57150</xdr:rowOff>
    </xdr:from>
    <xdr:to>
      <xdr:col>16</xdr:col>
      <xdr:colOff>76200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0.22744</cdr:x>
      <cdr:y>0.10057</cdr:y>
    </cdr:from>
    <cdr:to>
      <cdr:x>0.3703</cdr:x>
      <cdr:y>0.16379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52525" y="333375"/>
          <a:ext cx="7239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count &lt; 1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F3" sqref="F3"/>
    </sheetView>
  </sheetViews>
  <sheetFormatPr defaultRowHeight="15"/>
  <sheetData>
    <row r="1" spans="1:5">
      <c r="A1" s="9" t="s">
        <v>14</v>
      </c>
      <c r="B1" s="10"/>
      <c r="C1" s="10"/>
      <c r="D1" s="10"/>
      <c r="E1" s="10"/>
    </row>
    <row r="2" spans="1:5" ht="30" customHeight="1">
      <c r="A2" s="11" t="s">
        <v>0</v>
      </c>
      <c r="B2" s="12"/>
      <c r="C2" s="1" t="s">
        <v>1</v>
      </c>
      <c r="D2" s="11" t="s">
        <v>2</v>
      </c>
      <c r="E2" s="12"/>
    </row>
    <row r="3" spans="1:5" ht="30">
      <c r="A3" s="1" t="s">
        <v>3</v>
      </c>
      <c r="B3" s="1" t="s">
        <v>4</v>
      </c>
      <c r="C3" s="1" t="s">
        <v>5</v>
      </c>
      <c r="D3" s="2" t="s">
        <v>6</v>
      </c>
      <c r="E3" s="1" t="s">
        <v>7</v>
      </c>
    </row>
    <row r="4" spans="1:5">
      <c r="A4" s="3">
        <v>10000</v>
      </c>
      <c r="B4" s="3">
        <v>-3048</v>
      </c>
      <c r="C4" s="4">
        <v>660</v>
      </c>
      <c r="D4" s="4">
        <v>-42</v>
      </c>
      <c r="E4" s="4" t="s">
        <v>8</v>
      </c>
    </row>
    <row r="5" spans="1:5">
      <c r="A5" s="3">
        <v>15000</v>
      </c>
      <c r="B5" s="3">
        <v>-4572</v>
      </c>
      <c r="C5" s="4">
        <v>520</v>
      </c>
      <c r="D5" s="4">
        <v>-53</v>
      </c>
      <c r="E5" s="4" t="s">
        <v>9</v>
      </c>
    </row>
    <row r="6" spans="1:5">
      <c r="A6" s="3">
        <v>20000</v>
      </c>
      <c r="B6" s="3">
        <v>-6096</v>
      </c>
      <c r="C6" s="4">
        <v>410</v>
      </c>
      <c r="D6" s="4">
        <v>-68</v>
      </c>
      <c r="E6" s="4" t="s">
        <v>10</v>
      </c>
    </row>
    <row r="7" spans="1:5">
      <c r="A7" s="3">
        <v>30000</v>
      </c>
      <c r="B7" s="3">
        <v>-9144</v>
      </c>
      <c r="C7" s="4">
        <v>255</v>
      </c>
      <c r="D7" s="4">
        <v>-87</v>
      </c>
      <c r="E7" s="4" t="s">
        <v>11</v>
      </c>
    </row>
    <row r="8" spans="1:5">
      <c r="A8" s="3">
        <v>40000</v>
      </c>
      <c r="B8" s="3">
        <v>-12192</v>
      </c>
      <c r="C8" s="4">
        <v>160</v>
      </c>
      <c r="D8" s="4">
        <v>-98</v>
      </c>
      <c r="E8" s="4" t="s">
        <v>12</v>
      </c>
    </row>
    <row r="9" spans="1:5">
      <c r="A9" s="3">
        <v>50000</v>
      </c>
      <c r="B9" s="3">
        <v>-15240</v>
      </c>
      <c r="C9" s="4">
        <v>100</v>
      </c>
      <c r="D9" s="4">
        <v>-105</v>
      </c>
      <c r="E9" s="4" t="s">
        <v>13</v>
      </c>
    </row>
  </sheetData>
  <mergeCells count="3">
    <mergeCell ref="A1:E1"/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2" sqref="A2:B6"/>
    </sheetView>
  </sheetViews>
  <sheetFormatPr defaultRowHeight="15"/>
  <cols>
    <col min="1" max="1" width="20" customWidth="1"/>
    <col min="2" max="2" width="58.42578125" customWidth="1"/>
  </cols>
  <sheetData>
    <row r="1" spans="1:2">
      <c r="A1" s="9" t="s">
        <v>15</v>
      </c>
      <c r="B1" s="10"/>
    </row>
    <row r="2" spans="1:2" ht="27.75" customHeight="1">
      <c r="A2" s="5" t="s">
        <v>16</v>
      </c>
      <c r="B2" s="5" t="s">
        <v>17</v>
      </c>
    </row>
    <row r="3" spans="1:2">
      <c r="A3" s="6" t="s">
        <v>18</v>
      </c>
      <c r="B3" s="6" t="s">
        <v>19</v>
      </c>
    </row>
    <row r="4" spans="1:2">
      <c r="A4" s="6" t="s">
        <v>20</v>
      </c>
      <c r="B4" s="6" t="s">
        <v>19</v>
      </c>
    </row>
    <row r="5" spans="1:2">
      <c r="A5" s="6" t="s">
        <v>21</v>
      </c>
      <c r="B5" s="6" t="s">
        <v>22</v>
      </c>
    </row>
    <row r="6" spans="1:2">
      <c r="A6" s="6" t="s">
        <v>23</v>
      </c>
      <c r="B6" s="6" t="s">
        <v>24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>
      <selection activeCell="K8" sqref="K8"/>
    </sheetView>
  </sheetViews>
  <sheetFormatPr defaultRowHeight="15"/>
  <cols>
    <col min="2" max="7" width="13.140625" bestFit="1" customWidth="1"/>
  </cols>
  <sheetData>
    <row r="1" spans="1:9">
      <c r="A1" s="9" t="s">
        <v>36</v>
      </c>
      <c r="B1" s="10"/>
      <c r="C1" s="10"/>
      <c r="D1" s="10"/>
      <c r="E1" s="10"/>
      <c r="F1" s="10"/>
      <c r="G1" s="10"/>
    </row>
    <row r="2" spans="1:9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</row>
    <row r="3" spans="1:9" ht="47.25">
      <c r="A3" s="7" t="s">
        <v>35</v>
      </c>
      <c r="B3" s="8">
        <v>2626</v>
      </c>
      <c r="C3" s="8">
        <v>342</v>
      </c>
      <c r="D3" s="8">
        <v>45</v>
      </c>
      <c r="E3" s="8">
        <v>6</v>
      </c>
      <c r="F3" s="8">
        <v>1</v>
      </c>
      <c r="G3" s="8"/>
      <c r="I3">
        <v>0.98599999999999999</v>
      </c>
    </row>
    <row r="4" spans="1:9">
      <c r="A4" s="13" t="s">
        <v>34</v>
      </c>
      <c r="B4" s="14">
        <f>+$G$7</f>
        <v>2617.4408510083717</v>
      </c>
      <c r="C4" s="14">
        <f>+$G$8</f>
        <v>342.0961097050897</v>
      </c>
      <c r="D4" s="14">
        <f>+$G$9</f>
        <v>45.554505437617472</v>
      </c>
      <c r="E4" s="14">
        <f>+$G$10</f>
        <v>6.3718712639070363</v>
      </c>
      <c r="F4" s="14">
        <f>+$G$11</f>
        <v>1.0000646561675552</v>
      </c>
      <c r="G4" s="14">
        <f>+$G$12</f>
        <v>0.1938300861431812</v>
      </c>
    </row>
    <row r="5" spans="1:9">
      <c r="B5">
        <v>9000</v>
      </c>
      <c r="C5">
        <v>2.1</v>
      </c>
      <c r="F5">
        <v>8643.0000000000036</v>
      </c>
      <c r="G5">
        <v>2.0453672195498638</v>
      </c>
      <c r="H5">
        <v>1.0038377298476968</v>
      </c>
      <c r="I5">
        <v>0.99515546875000571</v>
      </c>
    </row>
    <row r="6" spans="1:9">
      <c r="A6">
        <v>0.1</v>
      </c>
      <c r="B6" t="s">
        <v>32</v>
      </c>
      <c r="F6" t="s">
        <v>33</v>
      </c>
    </row>
    <row r="7" spans="1:9">
      <c r="A7">
        <v>0</v>
      </c>
      <c r="B7">
        <f>+$B$5*EXP(-$C$5*$A7)</f>
        <v>9000</v>
      </c>
      <c r="D7">
        <f>+B$12-B$21</f>
        <v>2673.6481833552448</v>
      </c>
      <c r="F7">
        <f>+$F$5*($I$5*EXP(-$G$5*$A7)+(1-$I$5)*EXP(-$H$5*$A7))</f>
        <v>8643.0000000000036</v>
      </c>
      <c r="G7">
        <f>+F$12-F$21</f>
        <v>2617.4408510083717</v>
      </c>
      <c r="I7">
        <f>+(ABS(LN($B$3/$G$7))+ABS(LN($C$3/$G$8))+ABS(LN($D$3/$G$9)))</f>
        <v>1.5792733893715449E-2</v>
      </c>
    </row>
    <row r="8" spans="1:9">
      <c r="A8">
        <f>+$A7+$A$6</f>
        <v>0.1</v>
      </c>
      <c r="B8">
        <f t="shared" ref="B8:B71" si="0">+$B$5*EXP(-$C$5*$A8)</f>
        <v>7295.258213731684</v>
      </c>
      <c r="D8">
        <f>+B$22-B$31</f>
        <v>327.40540693875676</v>
      </c>
      <c r="F8">
        <f t="shared" ref="F8:F71" si="1">+$F$5*($I$5*EXP(-$G$5*$A8)+(1-$I$5)*EXP(-$H$5*$A8))</f>
        <v>7048.005482655999</v>
      </c>
      <c r="G8">
        <f>+F$22-F$31</f>
        <v>342.0961097050897</v>
      </c>
      <c r="I8">
        <f>+(ABS(LN($E$3/$G$10))+ABS(LN($F$3/$G$11)))</f>
        <v>6.0198373288670941E-2</v>
      </c>
    </row>
    <row r="9" spans="1:9">
      <c r="A9">
        <f t="shared" ref="A9:A71" si="2">+$A8+$A$6</f>
        <v>0.2</v>
      </c>
      <c r="B9">
        <f t="shared" si="0"/>
        <v>5913.4213783355108</v>
      </c>
      <c r="D9">
        <f>+B$32-B$41</f>
        <v>40.092896724434183</v>
      </c>
      <c r="F9">
        <f t="shared" si="1"/>
        <v>5747.6875932708699</v>
      </c>
      <c r="G9">
        <f>+F$32-F$41</f>
        <v>45.554505437617472</v>
      </c>
      <c r="I9">
        <f>+$I$7+$I$8</f>
        <v>7.5991107182386386E-2</v>
      </c>
    </row>
    <row r="10" spans="1:9">
      <c r="A10">
        <f t="shared" si="2"/>
        <v>0.30000000000000004</v>
      </c>
      <c r="B10">
        <f t="shared" si="0"/>
        <v>4793.3262090620747</v>
      </c>
      <c r="D10">
        <f>+B$42-B$51</f>
        <v>4.909632931189873</v>
      </c>
      <c r="F10">
        <f t="shared" si="1"/>
        <v>4687.5726389446272</v>
      </c>
      <c r="G10">
        <f>+F$42-F$51</f>
        <v>6.3718712639070363</v>
      </c>
    </row>
    <row r="11" spans="1:9">
      <c r="A11">
        <f t="shared" si="2"/>
        <v>0.4</v>
      </c>
      <c r="B11">
        <f t="shared" si="0"/>
        <v>3885.3947108617172</v>
      </c>
      <c r="D11">
        <f>+B$52-B$61</f>
        <v>0.60121611278673126</v>
      </c>
      <c r="F11">
        <f t="shared" si="1"/>
        <v>3823.2599446243698</v>
      </c>
      <c r="G11">
        <f>+F$52-F$61</f>
        <v>1.0000646561675552</v>
      </c>
    </row>
    <row r="12" spans="1:9">
      <c r="A12">
        <f t="shared" si="2"/>
        <v>0.5</v>
      </c>
      <c r="B12">
        <f t="shared" si="0"/>
        <v>3149.4397420003979</v>
      </c>
      <c r="D12">
        <f>+B$62-B$71</f>
        <v>7.3622777780005588E-2</v>
      </c>
      <c r="F12">
        <f t="shared" si="1"/>
        <v>3118.5589064534852</v>
      </c>
      <c r="G12">
        <f>+F$62-F$71</f>
        <v>0.1938300861431812</v>
      </c>
    </row>
    <row r="13" spans="1:9">
      <c r="A13">
        <f t="shared" si="2"/>
        <v>0.6</v>
      </c>
      <c r="B13">
        <f t="shared" si="0"/>
        <v>2552.8862384979334</v>
      </c>
      <c r="F13">
        <f t="shared" si="1"/>
        <v>2543.9706142555092</v>
      </c>
    </row>
    <row r="14" spans="1:9">
      <c r="A14">
        <f t="shared" si="2"/>
        <v>0.7</v>
      </c>
      <c r="B14">
        <f t="shared" si="0"/>
        <v>2069.3293666805148</v>
      </c>
      <c r="F14">
        <f t="shared" si="1"/>
        <v>2075.4503092557779</v>
      </c>
    </row>
    <row r="15" spans="1:9">
      <c r="A15">
        <f t="shared" si="2"/>
        <v>0.79999999999999993</v>
      </c>
      <c r="B15">
        <f t="shared" si="0"/>
        <v>1677.3657843546898</v>
      </c>
      <c r="F15">
        <f t="shared" si="1"/>
        <v>1693.3987320618935</v>
      </c>
    </row>
    <row r="16" spans="1:9">
      <c r="A16">
        <f t="shared" si="2"/>
        <v>0.89999999999999991</v>
      </c>
      <c r="B16">
        <f t="shared" si="0"/>
        <v>1359.6462795273378</v>
      </c>
      <c r="F16">
        <f t="shared" si="1"/>
        <v>1381.8400242106973</v>
      </c>
    </row>
    <row r="17" spans="1:6">
      <c r="A17">
        <f t="shared" si="2"/>
        <v>0.99999999999999989</v>
      </c>
      <c r="B17">
        <f t="shared" si="0"/>
        <v>1102.1078542768375</v>
      </c>
      <c r="F17">
        <f t="shared" si="1"/>
        <v>1127.7516776048171</v>
      </c>
    </row>
    <row r="18" spans="1:6">
      <c r="A18">
        <f t="shared" si="2"/>
        <v>1.0999999999999999</v>
      </c>
      <c r="B18">
        <f t="shared" si="0"/>
        <v>893.35126403681124</v>
      </c>
      <c r="F18">
        <f t="shared" si="1"/>
        <v>920.5184086550056</v>
      </c>
    </row>
    <row r="19" spans="1:6">
      <c r="A19">
        <f t="shared" si="2"/>
        <v>1.2</v>
      </c>
      <c r="B19">
        <f t="shared" si="0"/>
        <v>724.13646074579196</v>
      </c>
      <c r="F19">
        <f t="shared" si="1"/>
        <v>751.48703585390717</v>
      </c>
    </row>
    <row r="20" spans="1:6">
      <c r="A20">
        <f t="shared" si="2"/>
        <v>1.3</v>
      </c>
      <c r="B20">
        <f t="shared" si="0"/>
        <v>586.97360701314744</v>
      </c>
      <c r="F20">
        <f t="shared" si="1"/>
        <v>613.60367920951342</v>
      </c>
    </row>
    <row r="21" spans="1:6">
      <c r="A21">
        <f t="shared" si="2"/>
        <v>1.4000000000000001</v>
      </c>
      <c r="B21">
        <f t="shared" si="0"/>
        <v>475.79155864515303</v>
      </c>
      <c r="F21">
        <f t="shared" si="1"/>
        <v>501.11805544511355</v>
      </c>
    </row>
    <row r="22" spans="1:6">
      <c r="A22">
        <f t="shared" si="2"/>
        <v>1.5000000000000002</v>
      </c>
      <c r="B22">
        <f t="shared" si="0"/>
        <v>385.6691418033613</v>
      </c>
      <c r="F22">
        <f t="shared" si="1"/>
        <v>409.34245918748172</v>
      </c>
    </row>
    <row r="23" spans="1:6">
      <c r="A23">
        <f t="shared" si="2"/>
        <v>1.6000000000000003</v>
      </c>
      <c r="B23">
        <f t="shared" si="0"/>
        <v>312.61733050264684</v>
      </c>
      <c r="F23">
        <f t="shared" si="1"/>
        <v>334.45531574446397</v>
      </c>
    </row>
    <row r="24" spans="1:6">
      <c r="A24">
        <f t="shared" si="2"/>
        <v>1.7000000000000004</v>
      </c>
      <c r="B24">
        <f t="shared" si="0"/>
        <v>253.40268312270064</v>
      </c>
      <c r="F24">
        <f t="shared" si="1"/>
        <v>273.34106187590294</v>
      </c>
    </row>
    <row r="25" spans="1:6">
      <c r="A25">
        <f t="shared" si="2"/>
        <v>1.8000000000000005</v>
      </c>
      <c r="B25">
        <f t="shared" si="0"/>
        <v>205.40422282583654</v>
      </c>
      <c r="F25">
        <f t="shared" si="1"/>
        <v>223.45963572305229</v>
      </c>
    </row>
    <row r="26" spans="1:6">
      <c r="A26">
        <f t="shared" si="2"/>
        <v>1.9000000000000006</v>
      </c>
      <c r="B26">
        <f t="shared" si="0"/>
        <v>166.49742707837297</v>
      </c>
      <c r="F26">
        <f t="shared" si="1"/>
        <v>182.74009978934291</v>
      </c>
    </row>
    <row r="27" spans="1:6">
      <c r="A27">
        <f t="shared" si="2"/>
        <v>2.0000000000000004</v>
      </c>
      <c r="B27">
        <f t="shared" si="0"/>
        <v>134.96019138429921</v>
      </c>
      <c r="F27">
        <f t="shared" si="1"/>
        <v>149.49393372788859</v>
      </c>
    </row>
    <row r="28" spans="1:6">
      <c r="A28">
        <f t="shared" si="2"/>
        <v>2.1000000000000005</v>
      </c>
      <c r="B28">
        <f t="shared" si="0"/>
        <v>109.39660496923432</v>
      </c>
      <c r="F28">
        <f t="shared" si="1"/>
        <v>122.34435920698147</v>
      </c>
    </row>
    <row r="29" spans="1:6">
      <c r="A29">
        <f t="shared" si="2"/>
        <v>2.2000000000000006</v>
      </c>
      <c r="B29">
        <f t="shared" si="0"/>
        <v>88.675164550685153</v>
      </c>
      <c r="F29">
        <f t="shared" si="1"/>
        <v>100.16873194777504</v>
      </c>
    </row>
    <row r="30" spans="1:6">
      <c r="A30">
        <f t="shared" si="2"/>
        <v>2.3000000000000007</v>
      </c>
      <c r="B30">
        <f t="shared" si="0"/>
        <v>71.878691393599397</v>
      </c>
      <c r="F30">
        <f t="shared" si="1"/>
        <v>82.051584402107352</v>
      </c>
    </row>
    <row r="31" spans="1:6">
      <c r="A31">
        <f t="shared" si="2"/>
        <v>2.4000000000000008</v>
      </c>
      <c r="B31">
        <f t="shared" si="0"/>
        <v>58.263734864604544</v>
      </c>
      <c r="F31">
        <f t="shared" si="1"/>
        <v>67.246349482392034</v>
      </c>
    </row>
    <row r="32" spans="1:6">
      <c r="A32">
        <f t="shared" si="2"/>
        <v>2.5000000000000009</v>
      </c>
      <c r="B32">
        <f t="shared" si="0"/>
        <v>47.227665592632377</v>
      </c>
      <c r="F32">
        <f t="shared" si="1"/>
        <v>55.144160031136281</v>
      </c>
    </row>
    <row r="33" spans="1:6">
      <c r="A33">
        <f t="shared" si="2"/>
        <v>2.600000000000001</v>
      </c>
      <c r="B33">
        <f t="shared" si="0"/>
        <v>38.282001703336029</v>
      </c>
      <c r="F33">
        <f t="shared" si="1"/>
        <v>45.248415616031707</v>
      </c>
    </row>
    <row r="34" spans="1:6">
      <c r="A34">
        <f t="shared" si="2"/>
        <v>2.7000000000000011</v>
      </c>
      <c r="B34">
        <f t="shared" si="0"/>
        <v>31.030787484928055</v>
      </c>
      <c r="F34">
        <f t="shared" si="1"/>
        <v>37.154050220374373</v>
      </c>
    </row>
    <row r="35" spans="1:6">
      <c r="A35">
        <f t="shared" si="2"/>
        <v>2.8000000000000012</v>
      </c>
      <c r="B35">
        <f t="shared" si="0"/>
        <v>25.153067475331525</v>
      </c>
      <c r="F35">
        <f t="shared" si="1"/>
        <v>30.530631625230761</v>
      </c>
    </row>
    <row r="36" spans="1:6">
      <c r="A36">
        <f t="shared" si="2"/>
        <v>2.9000000000000012</v>
      </c>
      <c r="B36">
        <f t="shared" si="0"/>
        <v>20.388680233328841</v>
      </c>
      <c r="F36">
        <f t="shared" si="1"/>
        <v>25.108584027872144</v>
      </c>
    </row>
    <row r="37" spans="1:6">
      <c r="A37">
        <f t="shared" si="2"/>
        <v>3.0000000000000013</v>
      </c>
      <c r="B37">
        <f t="shared" si="0"/>
        <v>16.526742993260104</v>
      </c>
      <c r="F37">
        <f t="shared" si="1"/>
        <v>20.667956457845957</v>
      </c>
    </row>
    <row r="38" spans="1:6">
      <c r="A38">
        <f t="shared" si="2"/>
        <v>3.1000000000000014</v>
      </c>
      <c r="B38">
        <f t="shared" si="0"/>
        <v>13.396317507534816</v>
      </c>
      <c r="F38">
        <f t="shared" si="1"/>
        <v>17.029266336881719</v>
      </c>
    </row>
    <row r="39" spans="1:6">
      <c r="A39">
        <f t="shared" si="2"/>
        <v>3.2000000000000015</v>
      </c>
      <c r="B39">
        <f t="shared" si="0"/>
        <v>10.858843925622326</v>
      </c>
      <c r="F39">
        <f t="shared" si="1"/>
        <v>14.046034563693896</v>
      </c>
    </row>
    <row r="40" spans="1:6">
      <c r="A40">
        <f t="shared" si="2"/>
        <v>3.3000000000000016</v>
      </c>
      <c r="B40">
        <f t="shared" si="0"/>
        <v>8.80200781555852</v>
      </c>
      <c r="F40">
        <f t="shared" si="1"/>
        <v>11.598699442648041</v>
      </c>
    </row>
    <row r="41" spans="1:6">
      <c r="A41">
        <f t="shared" si="2"/>
        <v>3.4000000000000017</v>
      </c>
      <c r="B41">
        <f t="shared" si="0"/>
        <v>7.13476886819819</v>
      </c>
      <c r="F41">
        <f t="shared" si="1"/>
        <v>9.5896545935188087</v>
      </c>
    </row>
    <row r="42" spans="1:6">
      <c r="A42">
        <f t="shared" si="2"/>
        <v>3.5000000000000018</v>
      </c>
      <c r="B42">
        <f t="shared" si="0"/>
        <v>5.7833312431999957</v>
      </c>
      <c r="F42">
        <f t="shared" si="1"/>
        <v>7.9392031047933047</v>
      </c>
    </row>
    <row r="43" spans="1:6">
      <c r="A43">
        <f t="shared" si="2"/>
        <v>3.6000000000000019</v>
      </c>
      <c r="B43">
        <f t="shared" si="0"/>
        <v>4.6878771949650933</v>
      </c>
      <c r="F43">
        <f t="shared" si="1"/>
        <v>6.5822586029264745</v>
      </c>
    </row>
    <row r="44" spans="1:6">
      <c r="A44">
        <f t="shared" si="2"/>
        <v>3.700000000000002</v>
      </c>
      <c r="B44">
        <f t="shared" si="0"/>
        <v>3.799919401281616</v>
      </c>
      <c r="F44">
        <f t="shared" si="1"/>
        <v>5.4656552165804628</v>
      </c>
    </row>
    <row r="45" spans="1:6">
      <c r="A45">
        <f t="shared" si="2"/>
        <v>3.800000000000002</v>
      </c>
      <c r="B45">
        <f t="shared" si="0"/>
        <v>3.0801548026353407</v>
      </c>
      <c r="F45">
        <f t="shared" si="1"/>
        <v>4.5459539319677962</v>
      </c>
    </row>
    <row r="46" spans="1:6">
      <c r="A46">
        <f t="shared" si="2"/>
        <v>3.9000000000000021</v>
      </c>
      <c r="B46">
        <f t="shared" si="0"/>
        <v>2.4967249581656183</v>
      </c>
      <c r="F46">
        <f t="shared" si="1"/>
        <v>3.7876536337545681</v>
      </c>
    </row>
    <row r="47" spans="1:6">
      <c r="A47">
        <f t="shared" si="2"/>
        <v>4.0000000000000018</v>
      </c>
      <c r="B47">
        <f t="shared" si="0"/>
        <v>2.0238059176096264</v>
      </c>
      <c r="F47">
        <f t="shared" si="1"/>
        <v>3.161732078294746</v>
      </c>
    </row>
    <row r="48" spans="1:6">
      <c r="A48">
        <f t="shared" si="2"/>
        <v>4.1000000000000014</v>
      </c>
      <c r="B48">
        <f t="shared" si="0"/>
        <v>1.6404651937156032</v>
      </c>
      <c r="F48">
        <f t="shared" si="1"/>
        <v>2.6444558635683988</v>
      </c>
    </row>
    <row r="49" spans="1:6">
      <c r="A49">
        <f t="shared" si="2"/>
        <v>4.2000000000000011</v>
      </c>
      <c r="B49">
        <f t="shared" si="0"/>
        <v>1.3297352420883004</v>
      </c>
      <c r="F49">
        <f t="shared" si="1"/>
        <v>2.216409722829594</v>
      </c>
    </row>
    <row r="50" spans="1:6">
      <c r="A50">
        <f t="shared" si="2"/>
        <v>4.3000000000000007</v>
      </c>
      <c r="B50">
        <f t="shared" si="0"/>
        <v>1.0778624385481301</v>
      </c>
      <c r="F50">
        <f t="shared" si="1"/>
        <v>1.8617046491493627</v>
      </c>
    </row>
    <row r="51" spans="1:6">
      <c r="A51">
        <f t="shared" si="2"/>
        <v>4.4000000000000004</v>
      </c>
      <c r="B51">
        <f t="shared" si="0"/>
        <v>0.87369831201012249</v>
      </c>
      <c r="F51">
        <f t="shared" si="1"/>
        <v>1.5673318408862686</v>
      </c>
    </row>
    <row r="52" spans="1:6">
      <c r="A52">
        <f t="shared" si="2"/>
        <v>4.5</v>
      </c>
      <c r="B52">
        <f t="shared" si="0"/>
        <v>0.70820608744615099</v>
      </c>
      <c r="F52">
        <f t="shared" si="1"/>
        <v>1.32263555752216</v>
      </c>
    </row>
    <row r="53" spans="1:6">
      <c r="A53">
        <f t="shared" si="2"/>
        <v>4.5999999999999996</v>
      </c>
      <c r="B53">
        <f t="shared" si="0"/>
        <v>0.57406069738403531</v>
      </c>
      <c r="F53">
        <f t="shared" si="1"/>
        <v>1.1188829470994219</v>
      </c>
    </row>
    <row r="54" spans="1:6">
      <c r="A54">
        <f t="shared" si="2"/>
        <v>4.6999999999999993</v>
      </c>
      <c r="B54">
        <f t="shared" si="0"/>
        <v>0.46532455753015839</v>
      </c>
      <c r="F54">
        <f t="shared" si="1"/>
        <v>0.94891295920724683</v>
      </c>
    </row>
    <row r="55" spans="1:6">
      <c r="A55">
        <f t="shared" si="2"/>
        <v>4.7999999999999989</v>
      </c>
      <c r="B55">
        <f t="shared" si="0"/>
        <v>0.37718475559699477</v>
      </c>
      <c r="F55">
        <f t="shared" si="1"/>
        <v>0.806849761041872</v>
      </c>
    </row>
    <row r="56" spans="1:6">
      <c r="A56">
        <f t="shared" si="2"/>
        <v>4.8999999999999986</v>
      </c>
      <c r="B56">
        <f t="shared" si="0"/>
        <v>0.30574002070703954</v>
      </c>
      <c r="F56">
        <f t="shared" si="1"/>
        <v>0.68786876703118738</v>
      </c>
    </row>
    <row r="57" spans="1:6">
      <c r="A57">
        <f t="shared" si="2"/>
        <v>4.9999999999999982</v>
      </c>
      <c r="B57">
        <f t="shared" si="0"/>
        <v>0.2478280441477253</v>
      </c>
      <c r="F57">
        <f t="shared" si="1"/>
        <v>0.58800558777091261</v>
      </c>
    </row>
    <row r="58" spans="1:6">
      <c r="A58">
        <f t="shared" si="2"/>
        <v>5.0999999999999979</v>
      </c>
      <c r="B58">
        <f t="shared" si="0"/>
        <v>0.20088550829575033</v>
      </c>
      <c r="F58">
        <f t="shared" si="1"/>
        <v>0.50399999359108238</v>
      </c>
    </row>
    <row r="59" spans="1:6">
      <c r="A59">
        <f t="shared" si="2"/>
        <v>5.1999999999999975</v>
      </c>
      <c r="B59">
        <f t="shared" si="0"/>
        <v>0.16283462826824871</v>
      </c>
      <c r="F59">
        <f t="shared" si="1"/>
        <v>0.43316844696296092</v>
      </c>
    </row>
    <row r="60" spans="1:6">
      <c r="A60">
        <f t="shared" si="2"/>
        <v>5.2999999999999972</v>
      </c>
      <c r="B60">
        <f t="shared" si="0"/>
        <v>0.1319911843726542</v>
      </c>
      <c r="F60">
        <f t="shared" si="1"/>
        <v>0.37329994730232258</v>
      </c>
    </row>
    <row r="61" spans="1:6">
      <c r="A61">
        <f t="shared" si="2"/>
        <v>5.3999999999999968</v>
      </c>
      <c r="B61">
        <f t="shared" si="0"/>
        <v>0.10698997465941976</v>
      </c>
      <c r="F61">
        <f t="shared" si="1"/>
        <v>0.3225709013546047</v>
      </c>
    </row>
    <row r="62" spans="1:6">
      <c r="A62">
        <f t="shared" si="2"/>
        <v>5.4999999999999964</v>
      </c>
      <c r="B62">
        <f t="shared" si="0"/>
        <v>8.6724387935675273E-2</v>
      </c>
      <c r="F62">
        <f t="shared" si="1"/>
        <v>0.27947552287576627</v>
      </c>
    </row>
    <row r="63" spans="1:6">
      <c r="A63">
        <f t="shared" si="2"/>
        <v>5.5999999999999961</v>
      </c>
      <c r="B63">
        <f t="shared" si="0"/>
        <v>7.0297422602065396E-2</v>
      </c>
      <c r="F63">
        <f t="shared" si="1"/>
        <v>0.24276890985459815</v>
      </c>
    </row>
    <row r="64" spans="1:6">
      <c r="A64">
        <f t="shared" si="2"/>
        <v>5.6999999999999957</v>
      </c>
      <c r="B64">
        <f t="shared" si="0"/>
        <v>5.6981983293542822E-2</v>
      </c>
      <c r="F64">
        <f t="shared" si="1"/>
        <v>0.21142047304130335</v>
      </c>
    </row>
    <row r="65" spans="1:6">
      <c r="A65">
        <f t="shared" si="2"/>
        <v>5.7999999999999954</v>
      </c>
      <c r="B65">
        <f t="shared" si="0"/>
        <v>4.6188697961882255E-2</v>
      </c>
      <c r="F65">
        <f t="shared" si="1"/>
        <v>0.18457581804780607</v>
      </c>
    </row>
    <row r="66" spans="1:6">
      <c r="A66">
        <f t="shared" si="2"/>
        <v>5.899999999999995</v>
      </c>
      <c r="B66">
        <f t="shared" si="0"/>
        <v>3.7439830909777073E-2</v>
      </c>
      <c r="F66">
        <f t="shared" si="1"/>
        <v>0.16152553269536163</v>
      </c>
    </row>
    <row r="67" spans="1:6">
      <c r="A67">
        <f t="shared" si="2"/>
        <v>5.9999999999999947</v>
      </c>
      <c r="B67">
        <f t="shared" si="0"/>
        <v>3.0348137107252985E-2</v>
      </c>
      <c r="F67">
        <f t="shared" si="1"/>
        <v>0.14167961621802541</v>
      </c>
    </row>
    <row r="68" spans="1:6">
      <c r="A68">
        <f t="shared" si="2"/>
        <v>6.0999999999999943</v>
      </c>
      <c r="B68">
        <f t="shared" si="0"/>
        <v>2.4599721833682538E-2</v>
      </c>
      <c r="F68">
        <f t="shared" si="1"/>
        <v>0.1245465192982609</v>
      </c>
    </row>
    <row r="69" spans="1:6">
      <c r="A69">
        <f t="shared" si="2"/>
        <v>6.199999999999994</v>
      </c>
      <c r="B69">
        <f t="shared" si="0"/>
        <v>1.9940146973631927E-2</v>
      </c>
      <c r="F69">
        <f t="shared" si="1"/>
        <v>0.10971595342329599</v>
      </c>
    </row>
    <row r="70" spans="1:6">
      <c r="A70">
        <f t="shared" si="2"/>
        <v>6.2999999999999936</v>
      </c>
      <c r="B70">
        <f t="shared" si="0"/>
        <v>1.6163168999156131E-2</v>
      </c>
      <c r="F70">
        <f t="shared" si="1"/>
        <v>9.6844782622840131E-2</v>
      </c>
    </row>
    <row r="71" spans="1:6">
      <c r="A71">
        <f t="shared" si="2"/>
        <v>6.3999999999999932</v>
      </c>
      <c r="B71">
        <f t="shared" si="0"/>
        <v>1.3101610155669687E-2</v>
      </c>
      <c r="F71">
        <f t="shared" si="1"/>
        <v>8.5645436732585067E-2</v>
      </c>
    </row>
  </sheetData>
  <mergeCells count="1">
    <mergeCell ref="A1:G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highElevation-upperAir</vt:lpstr>
      <vt:lpstr>basicClimateDesignTypes</vt:lpstr>
      <vt:lpstr>rain</vt:lpstr>
      <vt:lpstr>'highElevation-upperAir'!sec2II</vt:lpstr>
      <vt:lpstr>'highElevation-upperAir'!tab2_2</vt:lpstr>
      <vt:lpstr>basicClimateDesignTypes!tab2_5</vt:lpstr>
      <vt:lpstr>rain!tab2_6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pukitepa</cp:lastModifiedBy>
  <dcterms:created xsi:type="dcterms:W3CDTF">2012-10-21T14:01:59Z</dcterms:created>
  <dcterms:modified xsi:type="dcterms:W3CDTF">2012-10-25T14:23:53Z</dcterms:modified>
</cp:coreProperties>
</file>