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885" yWindow="1695" windowWidth="14715" windowHeight="11640" tabRatio="326"/>
  </bookViews>
  <sheets>
    <sheet name="aDaP" sheetId="1" r:id="rId1"/>
    <sheet name="Feuil2" sheetId="2" r:id="rId2"/>
    <sheet name="Feuil3" sheetId="3" r:id="rId3"/>
    <sheet name="Feuil4" sheetId="4" r:id="rId4"/>
    <sheet name="Feuil5" sheetId="5" r:id="rId5"/>
  </sheets>
  <calcPr calcId="125725"/>
</workbook>
</file>

<file path=xl/calcChain.xml><?xml version="1.0" encoding="utf-8"?>
<calcChain xmlns="http://schemas.openxmlformats.org/spreadsheetml/2006/main">
  <c r="D108" i="1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1"/>
  <c r="C10"/>
  <c r="C9"/>
  <c r="C8"/>
  <c r="C7"/>
  <c r="C6"/>
  <c r="B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</calcChain>
</file>

<file path=xl/sharedStrings.xml><?xml version="1.0" encoding="utf-8"?>
<sst xmlns="http://schemas.openxmlformats.org/spreadsheetml/2006/main" count="6" uniqueCount="6">
  <si>
    <t>year</t>
  </si>
  <si>
    <t>production oil Gb/a</t>
  </si>
  <si>
    <t>disc. O+C Gb/a</t>
  </si>
  <si>
    <t>aD G Tcf/a/6</t>
  </si>
  <si>
    <t>production gas Tcf/a/6</t>
  </si>
  <si>
    <t>Deficit</t>
  </si>
</sst>
</file>

<file path=xl/styles.xml><?xml version="1.0" encoding="utf-8"?>
<styleSheet xmlns="http://schemas.openxmlformats.org/spreadsheetml/2006/main">
  <fonts count="3">
    <font>
      <sz val="12"/>
      <name val="Times"/>
    </font>
    <font>
      <b/>
      <sz val="12"/>
      <name val="Times"/>
    </font>
    <font>
      <sz val="8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plotArea>
      <c:layout>
        <c:manualLayout>
          <c:layoutTarget val="inner"/>
          <c:xMode val="edge"/>
          <c:yMode val="edge"/>
          <c:x val="8.6567227267393937E-2"/>
          <c:y val="5.737704918032787E-2"/>
          <c:w val="0.67014974212172207"/>
          <c:h val="0.8401639344262295"/>
        </c:manualLayout>
      </c:layout>
      <c:scatterChart>
        <c:scatterStyle val="lineMarker"/>
        <c:ser>
          <c:idx val="0"/>
          <c:order val="0"/>
          <c:tx>
            <c:v>Discoveries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aDaP!$A$5:$A$108</c:f>
              <c:numCache>
                <c:formatCode>General</c:formatCode>
                <c:ptCount val="10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</c:numCache>
            </c:numRef>
          </c:xVal>
          <c:yVal>
            <c:numRef>
              <c:f>aDaP!$B$5:$B$108</c:f>
              <c:numCache>
                <c:formatCode>General</c:formatCode>
                <c:ptCount val="104"/>
                <c:pt idx="0">
                  <c:v>0</c:v>
                </c:pt>
                <c:pt idx="1">
                  <c:v>7.2672663930885513</c:v>
                </c:pt>
                <c:pt idx="2">
                  <c:v>1.2929000436681228</c:v>
                </c:pt>
                <c:pt idx="3">
                  <c:v>0.14028754966887647</c:v>
                </c:pt>
                <c:pt idx="4">
                  <c:v>1.2576565357142826</c:v>
                </c:pt>
                <c:pt idx="5">
                  <c:v>2.1734334988713364</c:v>
                </c:pt>
                <c:pt idx="6">
                  <c:v>1.2420265296803628</c:v>
                </c:pt>
                <c:pt idx="7">
                  <c:v>0.44459496535796461</c:v>
                </c:pt>
                <c:pt idx="8">
                  <c:v>1.5254469719626229</c:v>
                </c:pt>
                <c:pt idx="9">
                  <c:v>2.0996703073286085</c:v>
                </c:pt>
                <c:pt idx="10">
                  <c:v>2.4734607252264453</c:v>
                </c:pt>
                <c:pt idx="11">
                  <c:v>2.8962134624697313</c:v>
                </c:pt>
                <c:pt idx="12">
                  <c:v>1.9047319607843178</c:v>
                </c:pt>
                <c:pt idx="13">
                  <c:v>1.9020035483870927</c:v>
                </c:pt>
                <c:pt idx="14">
                  <c:v>2.1406742211055274</c:v>
                </c:pt>
                <c:pt idx="15">
                  <c:v>2.012293035623415</c:v>
                </c:pt>
                <c:pt idx="16">
                  <c:v>3.0320341237113411</c:v>
                </c:pt>
                <c:pt idx="17">
                  <c:v>2.0514917949980997</c:v>
                </c:pt>
                <c:pt idx="18">
                  <c:v>1.231931058201063</c:v>
                </c:pt>
                <c:pt idx="19">
                  <c:v>2.9279627345844474</c:v>
                </c:pt>
                <c:pt idx="20">
                  <c:v>3.0773928695652089</c:v>
                </c:pt>
                <c:pt idx="21">
                  <c:v>2.2476625344352641</c:v>
                </c:pt>
                <c:pt idx="22">
                  <c:v>2.7541363687150806</c:v>
                </c:pt>
                <c:pt idx="23">
                  <c:v>2.8391544894614071</c:v>
                </c:pt>
                <c:pt idx="24">
                  <c:v>2.6261429885057481</c:v>
                </c:pt>
                <c:pt idx="25">
                  <c:v>3.0984713411078673</c:v>
                </c:pt>
                <c:pt idx="26">
                  <c:v>12.170540307692306</c:v>
                </c:pt>
                <c:pt idx="27">
                  <c:v>20.955906924924946</c:v>
                </c:pt>
                <c:pt idx="28">
                  <c:v>41.414989439024396</c:v>
                </c:pt>
                <c:pt idx="29">
                  <c:v>6.2995125112447852</c:v>
                </c:pt>
                <c:pt idx="30">
                  <c:v>19.315331761006291</c:v>
                </c:pt>
                <c:pt idx="31">
                  <c:v>2.8311615645709196</c:v>
                </c:pt>
                <c:pt idx="32">
                  <c:v>5.4187680151923416</c:v>
                </c:pt>
                <c:pt idx="33">
                  <c:v>2.7970148514851587</c:v>
                </c:pt>
                <c:pt idx="34">
                  <c:v>3.2139374832214855</c:v>
                </c:pt>
                <c:pt idx="35">
                  <c:v>3.9829773754266284</c:v>
                </c:pt>
                <c:pt idx="36">
                  <c:v>22.290020131027234</c:v>
                </c:pt>
                <c:pt idx="37">
                  <c:v>10.86768205087003</c:v>
                </c:pt>
                <c:pt idx="38">
                  <c:v>69.64410665467625</c:v>
                </c:pt>
                <c:pt idx="39">
                  <c:v>5.4334761491464292</c:v>
                </c:pt>
                <c:pt idx="40">
                  <c:v>36.123333417910487</c:v>
                </c:pt>
                <c:pt idx="41">
                  <c:v>12.533817730038038</c:v>
                </c:pt>
                <c:pt idx="42">
                  <c:v>4.0528710068743408</c:v>
                </c:pt>
                <c:pt idx="43">
                  <c:v>2.6845747796256205</c:v>
                </c:pt>
                <c:pt idx="44">
                  <c:v>9.0177446906066621</c:v>
                </c:pt>
                <c:pt idx="45">
                  <c:v>15.860460063747155</c:v>
                </c:pt>
                <c:pt idx="46">
                  <c:v>4.3632244709581869</c:v>
                </c:pt>
                <c:pt idx="47">
                  <c:v>4.0050859391313338</c:v>
                </c:pt>
                <c:pt idx="48">
                  <c:v>140.02570188248927</c:v>
                </c:pt>
                <c:pt idx="49">
                  <c:v>20.155221569111859</c:v>
                </c:pt>
                <c:pt idx="50">
                  <c:v>11.259292637412727</c:v>
                </c:pt>
                <c:pt idx="51">
                  <c:v>41.390498503676099</c:v>
                </c:pt>
                <c:pt idx="52">
                  <c:v>6.2756331251572419</c:v>
                </c:pt>
                <c:pt idx="53">
                  <c:v>40.751121139232282</c:v>
                </c:pt>
                <c:pt idx="54">
                  <c:v>21.810292434667531</c:v>
                </c:pt>
                <c:pt idx="55">
                  <c:v>28.453887020119168</c:v>
                </c:pt>
                <c:pt idx="56">
                  <c:v>26.068335569409896</c:v>
                </c:pt>
                <c:pt idx="57">
                  <c:v>53.905467900350573</c:v>
                </c:pt>
                <c:pt idx="58">
                  <c:v>51.319710359868509</c:v>
                </c:pt>
                <c:pt idx="59">
                  <c:v>27.858044458970312</c:v>
                </c:pt>
                <c:pt idx="60">
                  <c:v>59.694611772057669</c:v>
                </c:pt>
                <c:pt idx="61">
                  <c:v>48.463952834402107</c:v>
                </c:pt>
                <c:pt idx="62">
                  <c:v>50.423987572940064</c:v>
                </c:pt>
                <c:pt idx="63">
                  <c:v>28.875617261955881</c:v>
                </c:pt>
                <c:pt idx="64">
                  <c:v>80.541308027809009</c:v>
                </c:pt>
                <c:pt idx="65">
                  <c:v>45.304776890909125</c:v>
                </c:pt>
                <c:pt idx="66">
                  <c:v>26.503682225677039</c:v>
                </c:pt>
                <c:pt idx="67">
                  <c:v>27.999879462509853</c:v>
                </c:pt>
                <c:pt idx="68">
                  <c:v>51.178783036163395</c:v>
                </c:pt>
                <c:pt idx="69">
                  <c:v>28.714141927089941</c:v>
                </c:pt>
                <c:pt idx="70">
                  <c:v>20.448197203794962</c:v>
                </c:pt>
                <c:pt idx="71">
                  <c:v>74.486124167880234</c:v>
                </c:pt>
                <c:pt idx="72">
                  <c:v>14.581348815373758</c:v>
                </c:pt>
                <c:pt idx="73">
                  <c:v>28.265151282255374</c:v>
                </c:pt>
                <c:pt idx="74">
                  <c:v>30.543846952047261</c:v>
                </c:pt>
                <c:pt idx="75">
                  <c:v>25.450709338811293</c:v>
                </c:pt>
                <c:pt idx="76">
                  <c:v>46.071667444711011</c:v>
                </c:pt>
                <c:pt idx="77">
                  <c:v>48.263508969705299</c:v>
                </c:pt>
                <c:pt idx="78">
                  <c:v>21.783025611320909</c:v>
                </c:pt>
                <c:pt idx="79">
                  <c:v>40.382971237399488</c:v>
                </c:pt>
                <c:pt idx="80">
                  <c:v>14.912814567776877</c:v>
                </c:pt>
                <c:pt idx="81">
                  <c:v>16.2900305860137</c:v>
                </c:pt>
                <c:pt idx="82">
                  <c:v>19.154062119800301</c:v>
                </c:pt>
                <c:pt idx="83">
                  <c:v>12.817823201258307</c:v>
                </c:pt>
                <c:pt idx="84">
                  <c:v>19.346113730817024</c:v>
                </c:pt>
                <c:pt idx="85">
                  <c:v>19.108749793652805</c:v>
                </c:pt>
                <c:pt idx="86">
                  <c:v>13.589974879575948</c:v>
                </c:pt>
                <c:pt idx="87">
                  <c:v>12.315757571069526</c:v>
                </c:pt>
                <c:pt idx="88">
                  <c:v>15.057688544654184</c:v>
                </c:pt>
                <c:pt idx="89">
                  <c:v>14.186516019496139</c:v>
                </c:pt>
                <c:pt idx="90">
                  <c:v>11.920030557862219</c:v>
                </c:pt>
                <c:pt idx="91">
                  <c:v>8.7822649616350645</c:v>
                </c:pt>
                <c:pt idx="92">
                  <c:v>7.5081740333334892</c:v>
                </c:pt>
                <c:pt idx="93">
                  <c:v>6.5602781050311023</c:v>
                </c:pt>
                <c:pt idx="94">
                  <c:v>7.8309662773585842</c:v>
                </c:pt>
                <c:pt idx="95">
                  <c:v>7.5011704628927873</c:v>
                </c:pt>
                <c:pt idx="96">
                  <c:v>11.286818790566485</c:v>
                </c:pt>
                <c:pt idx="97">
                  <c:v>7.3705089999998563</c:v>
                </c:pt>
                <c:pt idx="98">
                  <c:v>10.819441000000097</c:v>
                </c:pt>
                <c:pt idx="99">
                  <c:v>18.060481999999865</c:v>
                </c:pt>
                <c:pt idx="100">
                  <c:v>16.246747000000141</c:v>
                </c:pt>
                <c:pt idx="101">
                  <c:v>11.774413000000095</c:v>
                </c:pt>
                <c:pt idx="102">
                  <c:v>8.7213679999997566</c:v>
                </c:pt>
                <c:pt idx="103">
                  <c:v>8.0770119999999679</c:v>
                </c:pt>
              </c:numCache>
            </c:numRef>
          </c:yVal>
        </c:ser>
        <c:ser>
          <c:idx val="1"/>
          <c:order val="1"/>
          <c:tx>
            <c:v>Production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aDaP!$A$5:$A$108</c:f>
              <c:numCache>
                <c:formatCode>General</c:formatCode>
                <c:ptCount val="10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</c:numCache>
            </c:numRef>
          </c:xVal>
          <c:yVal>
            <c:numRef>
              <c:f>aDaP!$E$5:$E$108</c:f>
              <c:numCache>
                <c:formatCode>General</c:formatCode>
                <c:ptCount val="104"/>
                <c:pt idx="1">
                  <c:v>0.16739999999999977</c:v>
                </c:pt>
                <c:pt idx="2">
                  <c:v>0.18179999999999996</c:v>
                </c:pt>
                <c:pt idx="3">
                  <c:v>0.19490000000000007</c:v>
                </c:pt>
                <c:pt idx="4">
                  <c:v>0.21799999999999997</c:v>
                </c:pt>
                <c:pt idx="5">
                  <c:v>0.21509999999999962</c:v>
                </c:pt>
                <c:pt idx="6">
                  <c:v>0.21329999999999982</c:v>
                </c:pt>
                <c:pt idx="7">
                  <c:v>0.26420000000000021</c:v>
                </c:pt>
                <c:pt idx="8">
                  <c:v>0.28560000000000008</c:v>
                </c:pt>
                <c:pt idx="9">
                  <c:v>0.29869999999999974</c:v>
                </c:pt>
                <c:pt idx="10">
                  <c:v>0.32779999999999987</c:v>
                </c:pt>
                <c:pt idx="11">
                  <c:v>0.34440000000000026</c:v>
                </c:pt>
                <c:pt idx="12">
                  <c:v>0.35240000000000027</c:v>
                </c:pt>
                <c:pt idx="13">
                  <c:v>0.38529999999999998</c:v>
                </c:pt>
                <c:pt idx="14">
                  <c:v>0.40749999999999997</c:v>
                </c:pt>
                <c:pt idx="15">
                  <c:v>0.43200000000000038</c:v>
                </c:pt>
                <c:pt idx="16">
                  <c:v>0.45750000000000002</c:v>
                </c:pt>
                <c:pt idx="17">
                  <c:v>0.50289999999999946</c:v>
                </c:pt>
                <c:pt idx="18">
                  <c:v>0.50349999999999984</c:v>
                </c:pt>
                <c:pt idx="19">
                  <c:v>0.55589999999999939</c:v>
                </c:pt>
                <c:pt idx="20">
                  <c:v>0.68890000000000029</c:v>
                </c:pt>
                <c:pt idx="21">
                  <c:v>0.76600000000000179</c:v>
                </c:pt>
                <c:pt idx="22">
                  <c:v>0.85890000000000022</c:v>
                </c:pt>
                <c:pt idx="23">
                  <c:v>1.0156999999999989</c:v>
                </c:pt>
                <c:pt idx="24">
                  <c:v>1.0143000000000004</c:v>
                </c:pt>
                <c:pt idx="25">
                  <c:v>1.0678999999999998</c:v>
                </c:pt>
                <c:pt idx="26">
                  <c:v>1.0968</c:v>
                </c:pt>
                <c:pt idx="27">
                  <c:v>1.2629999999999999</c:v>
                </c:pt>
                <c:pt idx="28">
                  <c:v>1.325</c:v>
                </c:pt>
                <c:pt idx="29">
                  <c:v>1.4860000000000042</c:v>
                </c:pt>
                <c:pt idx="30">
                  <c:v>1.41</c:v>
                </c:pt>
                <c:pt idx="31">
                  <c:v>1.3730000000000011</c:v>
                </c:pt>
                <c:pt idx="32">
                  <c:v>1.31</c:v>
                </c:pt>
                <c:pt idx="33">
                  <c:v>1.4420000000000002</c:v>
                </c:pt>
                <c:pt idx="34">
                  <c:v>1.522000000000002</c:v>
                </c:pt>
                <c:pt idx="35">
                  <c:v>1.6539999999999999</c:v>
                </c:pt>
                <c:pt idx="36">
                  <c:v>1.7920000000000016</c:v>
                </c:pt>
                <c:pt idx="37">
                  <c:v>2.0390000000000015</c:v>
                </c:pt>
                <c:pt idx="38">
                  <c:v>1.9879999999999995</c:v>
                </c:pt>
                <c:pt idx="39">
                  <c:v>2.0859999999999985</c:v>
                </c:pt>
                <c:pt idx="40">
                  <c:v>2.15</c:v>
                </c:pt>
                <c:pt idx="41">
                  <c:v>2.2210000000000036</c:v>
                </c:pt>
                <c:pt idx="42">
                  <c:v>2.0930000000000035</c:v>
                </c:pt>
                <c:pt idx="43">
                  <c:v>2.2569999999999908</c:v>
                </c:pt>
                <c:pt idx="44">
                  <c:v>2.5930000000000035</c:v>
                </c:pt>
                <c:pt idx="45">
                  <c:v>2.5949999999999918</c:v>
                </c:pt>
                <c:pt idx="46">
                  <c:v>2.7450000000000001</c:v>
                </c:pt>
                <c:pt idx="47">
                  <c:v>3.0219999999999985</c:v>
                </c:pt>
                <c:pt idx="48">
                  <c:v>3.4329999999999998</c:v>
                </c:pt>
                <c:pt idx="49">
                  <c:v>3.4040000000000035</c:v>
                </c:pt>
                <c:pt idx="50">
                  <c:v>3.8029999999999973</c:v>
                </c:pt>
                <c:pt idx="51">
                  <c:v>4.2830000000000013</c:v>
                </c:pt>
                <c:pt idx="52">
                  <c:v>4.5190000000000055</c:v>
                </c:pt>
                <c:pt idx="53">
                  <c:v>4.798000000000016</c:v>
                </c:pt>
                <c:pt idx="54">
                  <c:v>5.0180000000000007</c:v>
                </c:pt>
                <c:pt idx="55">
                  <c:v>5.6260000000000048</c:v>
                </c:pt>
                <c:pt idx="56">
                  <c:v>6.1249999999999858</c:v>
                </c:pt>
                <c:pt idx="57">
                  <c:v>6.4390000000000072</c:v>
                </c:pt>
                <c:pt idx="58">
                  <c:v>6.6080000000000183</c:v>
                </c:pt>
                <c:pt idx="59">
                  <c:v>7.1340000000000003</c:v>
                </c:pt>
                <c:pt idx="60">
                  <c:v>7.6613499999999988</c:v>
                </c:pt>
                <c:pt idx="61">
                  <c:v>8.1942499999999967</c:v>
                </c:pt>
                <c:pt idx="62">
                  <c:v>8.8877500000000111</c:v>
                </c:pt>
                <c:pt idx="63">
                  <c:v>9.5374500000000353</c:v>
                </c:pt>
                <c:pt idx="64">
                  <c:v>10.285699999999991</c:v>
                </c:pt>
                <c:pt idx="65">
                  <c:v>11.070449999999994</c:v>
                </c:pt>
                <c:pt idx="66">
                  <c:v>12.030400000000014</c:v>
                </c:pt>
                <c:pt idx="67">
                  <c:v>12.917349999999999</c:v>
                </c:pt>
                <c:pt idx="68">
                  <c:v>14.099950000000007</c:v>
                </c:pt>
                <c:pt idx="69">
                  <c:v>15.220499999999987</c:v>
                </c:pt>
                <c:pt idx="70">
                  <c:v>16.748390000000001</c:v>
                </c:pt>
                <c:pt idx="71">
                  <c:v>17.709070000000025</c:v>
                </c:pt>
                <c:pt idx="72">
                  <c:v>18.665369999999996</c:v>
                </c:pt>
                <c:pt idx="73">
                  <c:v>20.322834999999998</c:v>
                </c:pt>
                <c:pt idx="74">
                  <c:v>20.336340000000007</c:v>
                </c:pt>
                <c:pt idx="75">
                  <c:v>19.282219999999995</c:v>
                </c:pt>
                <c:pt idx="76">
                  <c:v>20.930560000000014</c:v>
                </c:pt>
                <c:pt idx="77">
                  <c:v>21.793054999999981</c:v>
                </c:pt>
                <c:pt idx="78">
                  <c:v>21.957670000000007</c:v>
                </c:pt>
                <c:pt idx="79">
                  <c:v>22.876010000000008</c:v>
                </c:pt>
                <c:pt idx="80">
                  <c:v>21.754000000000019</c:v>
                </c:pt>
                <c:pt idx="81">
                  <c:v>20.467739999999992</c:v>
                </c:pt>
                <c:pt idx="82">
                  <c:v>19.520564999999976</c:v>
                </c:pt>
                <c:pt idx="83">
                  <c:v>19.438440000000014</c:v>
                </c:pt>
                <c:pt idx="84">
                  <c:v>19.888485000000003</c:v>
                </c:pt>
                <c:pt idx="85">
                  <c:v>19.703430000000026</c:v>
                </c:pt>
                <c:pt idx="86">
                  <c:v>20.52285500000005</c:v>
                </c:pt>
                <c:pt idx="87">
                  <c:v>20.683089999999993</c:v>
                </c:pt>
                <c:pt idx="88">
                  <c:v>21.439004999999952</c:v>
                </c:pt>
                <c:pt idx="89">
                  <c:v>21.849995000000035</c:v>
                </c:pt>
                <c:pt idx="90">
                  <c:v>22.106589999999983</c:v>
                </c:pt>
                <c:pt idx="91">
                  <c:v>21.975554999999986</c:v>
                </c:pt>
                <c:pt idx="92">
                  <c:v>21.977745000000027</c:v>
                </c:pt>
                <c:pt idx="93">
                  <c:v>21.986139999999978</c:v>
                </c:pt>
                <c:pt idx="94">
                  <c:v>22.261714999999981</c:v>
                </c:pt>
                <c:pt idx="95">
                  <c:v>22.752275000000054</c:v>
                </c:pt>
                <c:pt idx="96">
                  <c:v>23.254514999999969</c:v>
                </c:pt>
                <c:pt idx="97">
                  <c:v>23.976850000000013</c:v>
                </c:pt>
                <c:pt idx="98">
                  <c:v>24.426164999999969</c:v>
                </c:pt>
                <c:pt idx="99">
                  <c:v>24.042550000000006</c:v>
                </c:pt>
                <c:pt idx="100">
                  <c:v>24.893000000000029</c:v>
                </c:pt>
                <c:pt idx="101">
                  <c:v>24.822189999999978</c:v>
                </c:pt>
                <c:pt idx="102">
                  <c:v>24.300677999999948</c:v>
                </c:pt>
                <c:pt idx="103">
                  <c:v>25.303916999999956</c:v>
                </c:pt>
              </c:numCache>
            </c:numRef>
          </c:yVal>
        </c:ser>
        <c:ser>
          <c:idx val="2"/>
          <c:order val="2"/>
          <c:tx>
            <c:v>Delta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aDaP!$A$73:$A$108</c:f>
              <c:numCache>
                <c:formatCode>General</c:formatCode>
                <c:ptCount val="36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</c:numCache>
            </c:numRef>
          </c:xVal>
          <c:yVal>
            <c:numRef>
              <c:f>aDaP!$F$73:$F$108</c:f>
              <c:numCache>
                <c:formatCode>General</c:formatCode>
                <c:ptCount val="36"/>
                <c:pt idx="0">
                  <c:v>37.078833036163388</c:v>
                </c:pt>
                <c:pt idx="1">
                  <c:v>13.493641927089953</c:v>
                </c:pt>
                <c:pt idx="2">
                  <c:v>3.6998072037949612</c:v>
                </c:pt>
                <c:pt idx="3">
                  <c:v>56.777054167880209</c:v>
                </c:pt>
                <c:pt idx="4">
                  <c:v>-4.0840211846262378</c:v>
                </c:pt>
                <c:pt idx="5">
                  <c:v>7.9423162822553763</c:v>
                </c:pt>
                <c:pt idx="6">
                  <c:v>10.207506952047254</c:v>
                </c:pt>
                <c:pt idx="7">
                  <c:v>6.1684893388112982</c:v>
                </c:pt>
                <c:pt idx="8">
                  <c:v>25.141107444710997</c:v>
                </c:pt>
                <c:pt idx="9">
                  <c:v>26.470453969705318</c:v>
                </c:pt>
                <c:pt idx="10">
                  <c:v>-0.17464438867909848</c:v>
                </c:pt>
                <c:pt idx="11">
                  <c:v>17.50696123739948</c:v>
                </c:pt>
                <c:pt idx="12">
                  <c:v>-6.841185432223142</c:v>
                </c:pt>
                <c:pt idx="13">
                  <c:v>-4.1777094139862925</c:v>
                </c:pt>
                <c:pt idx="14">
                  <c:v>-0.36650288019967547</c:v>
                </c:pt>
                <c:pt idx="15">
                  <c:v>-6.6206167987417075</c:v>
                </c:pt>
                <c:pt idx="16">
                  <c:v>-0.54237126918297918</c:v>
                </c:pt>
                <c:pt idx="17">
                  <c:v>-0.59468020634722052</c:v>
                </c:pt>
                <c:pt idx="18">
                  <c:v>-6.9328801204241017</c:v>
                </c:pt>
                <c:pt idx="19">
                  <c:v>-8.3673324289304674</c:v>
                </c:pt>
                <c:pt idx="20">
                  <c:v>-6.3813164553457682</c:v>
                </c:pt>
                <c:pt idx="21">
                  <c:v>-7.6634789805038963</c:v>
                </c:pt>
                <c:pt idx="22">
                  <c:v>-10.186559442137764</c:v>
                </c:pt>
                <c:pt idx="23">
                  <c:v>-13.193290038364921</c:v>
                </c:pt>
                <c:pt idx="24">
                  <c:v>-14.469570966666538</c:v>
                </c:pt>
                <c:pt idx="25">
                  <c:v>-15.425861894968875</c:v>
                </c:pt>
                <c:pt idx="26">
                  <c:v>-14.430748722641397</c:v>
                </c:pt>
                <c:pt idx="27">
                  <c:v>-15.251104537107267</c:v>
                </c:pt>
                <c:pt idx="28">
                  <c:v>-11.967696209433484</c:v>
                </c:pt>
                <c:pt idx="29">
                  <c:v>-16.606341000000157</c:v>
                </c:pt>
                <c:pt idx="30">
                  <c:v>-13.606723999999872</c:v>
                </c:pt>
                <c:pt idx="31">
                  <c:v>-5.9820680000001403</c:v>
                </c:pt>
                <c:pt idx="32">
                  <c:v>-8.6462529999998878</c:v>
                </c:pt>
                <c:pt idx="33">
                  <c:v>-13.047776999999883</c:v>
                </c:pt>
                <c:pt idx="34">
                  <c:v>-15.579310000000191</c:v>
                </c:pt>
                <c:pt idx="35">
                  <c:v>-17.226904999999988</c:v>
                </c:pt>
              </c:numCache>
            </c:numRef>
          </c:yVal>
        </c:ser>
        <c:axId val="99280000"/>
        <c:axId val="99281536"/>
      </c:scatterChart>
      <c:valAx>
        <c:axId val="99280000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281536"/>
        <c:crossesAt val="-20"/>
        <c:crossBetween val="midCat"/>
      </c:valAx>
      <c:valAx>
        <c:axId val="99281536"/>
        <c:scaling>
          <c:orientation val="minMax"/>
          <c:min val="-2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2800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7819822629885"/>
          <c:y val="0.40368852459016391"/>
          <c:w val="0.18358222334292162"/>
          <c:h val="0.1495901639344262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plotArea>
      <c:layout>
        <c:manualLayout>
          <c:layoutTarget val="inner"/>
          <c:xMode val="edge"/>
          <c:yMode val="edge"/>
          <c:x val="8.4370791692048766E-2"/>
          <c:y val="7.5242807620514954E-2"/>
          <c:w val="0.75795399749578241"/>
          <c:h val="0.8519427572516370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aDaP!$B$84:$B$108</c:f>
              <c:numCache>
                <c:formatCode>General</c:formatCode>
                <c:ptCount val="25"/>
                <c:pt idx="0">
                  <c:v>40.382971237399488</c:v>
                </c:pt>
                <c:pt idx="1">
                  <c:v>14.912814567776877</c:v>
                </c:pt>
                <c:pt idx="2">
                  <c:v>16.2900305860137</c:v>
                </c:pt>
                <c:pt idx="3">
                  <c:v>19.154062119800301</c:v>
                </c:pt>
                <c:pt idx="4">
                  <c:v>12.817823201258307</c:v>
                </c:pt>
                <c:pt idx="5">
                  <c:v>19.346113730817024</c:v>
                </c:pt>
                <c:pt idx="6">
                  <c:v>19.108749793652805</c:v>
                </c:pt>
                <c:pt idx="7">
                  <c:v>13.589974879575948</c:v>
                </c:pt>
                <c:pt idx="8">
                  <c:v>12.315757571069526</c:v>
                </c:pt>
                <c:pt idx="9">
                  <c:v>15.057688544654184</c:v>
                </c:pt>
                <c:pt idx="10">
                  <c:v>14.186516019496139</c:v>
                </c:pt>
                <c:pt idx="11">
                  <c:v>11.920030557862219</c:v>
                </c:pt>
                <c:pt idx="12">
                  <c:v>8.7822649616350645</c:v>
                </c:pt>
                <c:pt idx="13">
                  <c:v>7.5081740333334892</c:v>
                </c:pt>
                <c:pt idx="14">
                  <c:v>6.5602781050311023</c:v>
                </c:pt>
                <c:pt idx="15">
                  <c:v>7.8309662773585842</c:v>
                </c:pt>
                <c:pt idx="16">
                  <c:v>7.5011704628927873</c:v>
                </c:pt>
                <c:pt idx="17">
                  <c:v>11.286818790566485</c:v>
                </c:pt>
                <c:pt idx="18">
                  <c:v>7.3705089999998563</c:v>
                </c:pt>
                <c:pt idx="19">
                  <c:v>10.819441000000097</c:v>
                </c:pt>
                <c:pt idx="20">
                  <c:v>18.060481999999865</c:v>
                </c:pt>
                <c:pt idx="21">
                  <c:v>16.246747000000141</c:v>
                </c:pt>
                <c:pt idx="22">
                  <c:v>11.774413000000095</c:v>
                </c:pt>
                <c:pt idx="23">
                  <c:v>8.7213679999997566</c:v>
                </c:pt>
                <c:pt idx="24">
                  <c:v>8.0770119999999679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aDaP!$E$84:$E$108</c:f>
              <c:numCache>
                <c:formatCode>General</c:formatCode>
                <c:ptCount val="25"/>
                <c:pt idx="0">
                  <c:v>22.876010000000008</c:v>
                </c:pt>
                <c:pt idx="1">
                  <c:v>21.754000000000019</c:v>
                </c:pt>
                <c:pt idx="2">
                  <c:v>20.467739999999992</c:v>
                </c:pt>
                <c:pt idx="3">
                  <c:v>19.520564999999976</c:v>
                </c:pt>
                <c:pt idx="4">
                  <c:v>19.438440000000014</c:v>
                </c:pt>
                <c:pt idx="5">
                  <c:v>19.888485000000003</c:v>
                </c:pt>
                <c:pt idx="6">
                  <c:v>19.703430000000026</c:v>
                </c:pt>
                <c:pt idx="7">
                  <c:v>20.52285500000005</c:v>
                </c:pt>
                <c:pt idx="8">
                  <c:v>20.683089999999993</c:v>
                </c:pt>
                <c:pt idx="9">
                  <c:v>21.439004999999952</c:v>
                </c:pt>
                <c:pt idx="10">
                  <c:v>21.849995000000035</c:v>
                </c:pt>
                <c:pt idx="11">
                  <c:v>22.106589999999983</c:v>
                </c:pt>
                <c:pt idx="12">
                  <c:v>21.975554999999986</c:v>
                </c:pt>
                <c:pt idx="13">
                  <c:v>21.977745000000027</c:v>
                </c:pt>
                <c:pt idx="14">
                  <c:v>21.986139999999978</c:v>
                </c:pt>
                <c:pt idx="15">
                  <c:v>22.261714999999981</c:v>
                </c:pt>
                <c:pt idx="16">
                  <c:v>22.752275000000054</c:v>
                </c:pt>
                <c:pt idx="17">
                  <c:v>23.254514999999969</c:v>
                </c:pt>
                <c:pt idx="18">
                  <c:v>23.976850000000013</c:v>
                </c:pt>
                <c:pt idx="19">
                  <c:v>24.426164999999969</c:v>
                </c:pt>
                <c:pt idx="20">
                  <c:v>24.042550000000006</c:v>
                </c:pt>
                <c:pt idx="21">
                  <c:v>24.893000000000029</c:v>
                </c:pt>
                <c:pt idx="22">
                  <c:v>24.822189999999978</c:v>
                </c:pt>
                <c:pt idx="23">
                  <c:v>24.300677999999948</c:v>
                </c:pt>
                <c:pt idx="24">
                  <c:v>25.303916999999956</c:v>
                </c:pt>
              </c:numCache>
            </c:numRef>
          </c:val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aDaP!$F$84:$F$108</c:f>
              <c:numCache>
                <c:formatCode>General</c:formatCode>
                <c:ptCount val="25"/>
                <c:pt idx="0">
                  <c:v>17.50696123739948</c:v>
                </c:pt>
                <c:pt idx="1">
                  <c:v>-6.841185432223142</c:v>
                </c:pt>
                <c:pt idx="2">
                  <c:v>-4.1777094139862925</c:v>
                </c:pt>
                <c:pt idx="3">
                  <c:v>-0.36650288019967547</c:v>
                </c:pt>
                <c:pt idx="4">
                  <c:v>-6.6206167987417075</c:v>
                </c:pt>
                <c:pt idx="5">
                  <c:v>-0.54237126918297918</c:v>
                </c:pt>
                <c:pt idx="6">
                  <c:v>-0.59468020634722052</c:v>
                </c:pt>
                <c:pt idx="7">
                  <c:v>-6.9328801204241017</c:v>
                </c:pt>
                <c:pt idx="8">
                  <c:v>-8.3673324289304674</c:v>
                </c:pt>
                <c:pt idx="9">
                  <c:v>-6.3813164553457682</c:v>
                </c:pt>
                <c:pt idx="10">
                  <c:v>-7.6634789805038963</c:v>
                </c:pt>
                <c:pt idx="11">
                  <c:v>-10.186559442137764</c:v>
                </c:pt>
                <c:pt idx="12">
                  <c:v>-13.193290038364921</c:v>
                </c:pt>
                <c:pt idx="13">
                  <c:v>-14.469570966666538</c:v>
                </c:pt>
                <c:pt idx="14">
                  <c:v>-15.425861894968875</c:v>
                </c:pt>
                <c:pt idx="15">
                  <c:v>-14.430748722641397</c:v>
                </c:pt>
                <c:pt idx="16">
                  <c:v>-15.251104537107267</c:v>
                </c:pt>
                <c:pt idx="17">
                  <c:v>-11.967696209433484</c:v>
                </c:pt>
                <c:pt idx="18">
                  <c:v>-16.606341000000157</c:v>
                </c:pt>
                <c:pt idx="19">
                  <c:v>-13.606723999999872</c:v>
                </c:pt>
                <c:pt idx="20">
                  <c:v>-5.9820680000001403</c:v>
                </c:pt>
                <c:pt idx="21">
                  <c:v>-8.6462529999998878</c:v>
                </c:pt>
                <c:pt idx="22">
                  <c:v>-13.047776999999883</c:v>
                </c:pt>
                <c:pt idx="23">
                  <c:v>-15.579310000000191</c:v>
                </c:pt>
                <c:pt idx="24">
                  <c:v>-17.226904999999988</c:v>
                </c:pt>
              </c:numCache>
            </c:numRef>
          </c:val>
        </c:ser>
        <c:axId val="96300416"/>
        <c:axId val="96306304"/>
      </c:barChart>
      <c:catAx>
        <c:axId val="9630041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306304"/>
        <c:crosses val="autoZero"/>
        <c:auto val="1"/>
        <c:lblAlgn val="ctr"/>
        <c:lblOffset val="100"/>
        <c:tickLblSkip val="2"/>
        <c:tickMarkSkip val="1"/>
      </c:catAx>
      <c:valAx>
        <c:axId val="963063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300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753919424705305"/>
          <c:y val="0.40291309887114457"/>
          <c:w val="0.13139713460237104"/>
          <c:h val="0.1990293620929750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plotArea>
      <c:layout>
        <c:manualLayout>
          <c:layoutTarget val="inner"/>
          <c:xMode val="edge"/>
          <c:yMode val="edge"/>
          <c:x val="0.10015507436570428"/>
          <c:y val="5.1400554097404488E-2"/>
          <c:w val="0.80694903762029746"/>
          <c:h val="0.8326195683872849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aDaP!$A$5:$A$108</c:f>
              <c:numCache>
                <c:formatCode>General</c:formatCode>
                <c:ptCount val="10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</c:numCache>
            </c:numRef>
          </c:xVal>
          <c:yVal>
            <c:numRef>
              <c:f>aDaP!$B$5:$B$108</c:f>
              <c:numCache>
                <c:formatCode>General</c:formatCode>
                <c:ptCount val="104"/>
                <c:pt idx="0">
                  <c:v>0</c:v>
                </c:pt>
                <c:pt idx="1">
                  <c:v>7.2672663930885513</c:v>
                </c:pt>
                <c:pt idx="2">
                  <c:v>1.2929000436681228</c:v>
                </c:pt>
                <c:pt idx="3">
                  <c:v>0.14028754966887647</c:v>
                </c:pt>
                <c:pt idx="4">
                  <c:v>1.2576565357142826</c:v>
                </c:pt>
                <c:pt idx="5">
                  <c:v>2.1734334988713364</c:v>
                </c:pt>
                <c:pt idx="6">
                  <c:v>1.2420265296803628</c:v>
                </c:pt>
                <c:pt idx="7">
                  <c:v>0.44459496535796461</c:v>
                </c:pt>
                <c:pt idx="8">
                  <c:v>1.5254469719626229</c:v>
                </c:pt>
                <c:pt idx="9">
                  <c:v>2.0996703073286085</c:v>
                </c:pt>
                <c:pt idx="10">
                  <c:v>2.4734607252264453</c:v>
                </c:pt>
                <c:pt idx="11">
                  <c:v>2.8962134624697313</c:v>
                </c:pt>
                <c:pt idx="12">
                  <c:v>1.9047319607843178</c:v>
                </c:pt>
                <c:pt idx="13">
                  <c:v>1.9020035483870927</c:v>
                </c:pt>
                <c:pt idx="14">
                  <c:v>2.1406742211055274</c:v>
                </c:pt>
                <c:pt idx="15">
                  <c:v>2.012293035623415</c:v>
                </c:pt>
                <c:pt idx="16">
                  <c:v>3.0320341237113411</c:v>
                </c:pt>
                <c:pt idx="17">
                  <c:v>2.0514917949980997</c:v>
                </c:pt>
                <c:pt idx="18">
                  <c:v>1.231931058201063</c:v>
                </c:pt>
                <c:pt idx="19">
                  <c:v>2.9279627345844474</c:v>
                </c:pt>
                <c:pt idx="20">
                  <c:v>3.0773928695652089</c:v>
                </c:pt>
                <c:pt idx="21">
                  <c:v>2.2476625344352641</c:v>
                </c:pt>
                <c:pt idx="22">
                  <c:v>2.7541363687150806</c:v>
                </c:pt>
                <c:pt idx="23">
                  <c:v>2.8391544894614071</c:v>
                </c:pt>
                <c:pt idx="24">
                  <c:v>2.6261429885057481</c:v>
                </c:pt>
                <c:pt idx="25">
                  <c:v>3.0984713411078673</c:v>
                </c:pt>
                <c:pt idx="26">
                  <c:v>12.170540307692306</c:v>
                </c:pt>
                <c:pt idx="27">
                  <c:v>20.955906924924946</c:v>
                </c:pt>
                <c:pt idx="28">
                  <c:v>41.414989439024396</c:v>
                </c:pt>
                <c:pt idx="29">
                  <c:v>6.2995125112447852</c:v>
                </c:pt>
                <c:pt idx="30">
                  <c:v>19.315331761006291</c:v>
                </c:pt>
                <c:pt idx="31">
                  <c:v>2.8311615645709196</c:v>
                </c:pt>
                <c:pt idx="32">
                  <c:v>5.4187680151923416</c:v>
                </c:pt>
                <c:pt idx="33">
                  <c:v>2.7970148514851587</c:v>
                </c:pt>
                <c:pt idx="34">
                  <c:v>3.2139374832214855</c:v>
                </c:pt>
                <c:pt idx="35">
                  <c:v>3.9829773754266284</c:v>
                </c:pt>
                <c:pt idx="36">
                  <c:v>22.290020131027234</c:v>
                </c:pt>
                <c:pt idx="37">
                  <c:v>10.86768205087003</c:v>
                </c:pt>
                <c:pt idx="38">
                  <c:v>69.64410665467625</c:v>
                </c:pt>
                <c:pt idx="39">
                  <c:v>5.4334761491464292</c:v>
                </c:pt>
                <c:pt idx="40">
                  <c:v>36.123333417910487</c:v>
                </c:pt>
                <c:pt idx="41">
                  <c:v>12.533817730038038</c:v>
                </c:pt>
                <c:pt idx="42">
                  <c:v>4.0528710068743408</c:v>
                </c:pt>
                <c:pt idx="43">
                  <c:v>2.6845747796256205</c:v>
                </c:pt>
                <c:pt idx="44">
                  <c:v>9.0177446906066621</c:v>
                </c:pt>
                <c:pt idx="45">
                  <c:v>15.860460063747155</c:v>
                </c:pt>
                <c:pt idx="46">
                  <c:v>4.3632244709581869</c:v>
                </c:pt>
                <c:pt idx="47">
                  <c:v>4.0050859391313338</c:v>
                </c:pt>
                <c:pt idx="48">
                  <c:v>140.02570188248927</c:v>
                </c:pt>
                <c:pt idx="49">
                  <c:v>20.155221569111859</c:v>
                </c:pt>
                <c:pt idx="50">
                  <c:v>11.259292637412727</c:v>
                </c:pt>
                <c:pt idx="51">
                  <c:v>41.390498503676099</c:v>
                </c:pt>
                <c:pt idx="52">
                  <c:v>6.2756331251572419</c:v>
                </c:pt>
                <c:pt idx="53">
                  <c:v>40.751121139232282</c:v>
                </c:pt>
                <c:pt idx="54">
                  <c:v>21.810292434667531</c:v>
                </c:pt>
                <c:pt idx="55">
                  <c:v>28.453887020119168</c:v>
                </c:pt>
                <c:pt idx="56">
                  <c:v>26.068335569409896</c:v>
                </c:pt>
                <c:pt idx="57">
                  <c:v>53.905467900350573</c:v>
                </c:pt>
                <c:pt idx="58">
                  <c:v>51.319710359868509</c:v>
                </c:pt>
                <c:pt idx="59">
                  <c:v>27.858044458970312</c:v>
                </c:pt>
                <c:pt idx="60">
                  <c:v>59.694611772057669</c:v>
                </c:pt>
                <c:pt idx="61">
                  <c:v>48.463952834402107</c:v>
                </c:pt>
                <c:pt idx="62">
                  <c:v>50.423987572940064</c:v>
                </c:pt>
                <c:pt idx="63">
                  <c:v>28.875617261955881</c:v>
                </c:pt>
                <c:pt idx="64">
                  <c:v>80.541308027809009</c:v>
                </c:pt>
                <c:pt idx="65">
                  <c:v>45.304776890909125</c:v>
                </c:pt>
                <c:pt idx="66">
                  <c:v>26.503682225677039</c:v>
                </c:pt>
                <c:pt idx="67">
                  <c:v>27.999879462509853</c:v>
                </c:pt>
                <c:pt idx="68">
                  <c:v>51.178783036163395</c:v>
                </c:pt>
                <c:pt idx="69">
                  <c:v>28.714141927089941</c:v>
                </c:pt>
                <c:pt idx="70">
                  <c:v>20.448197203794962</c:v>
                </c:pt>
                <c:pt idx="71">
                  <c:v>74.486124167880234</c:v>
                </c:pt>
                <c:pt idx="72">
                  <c:v>14.581348815373758</c:v>
                </c:pt>
                <c:pt idx="73">
                  <c:v>28.265151282255374</c:v>
                </c:pt>
                <c:pt idx="74">
                  <c:v>30.543846952047261</c:v>
                </c:pt>
                <c:pt idx="75">
                  <c:v>25.450709338811293</c:v>
                </c:pt>
                <c:pt idx="76">
                  <c:v>46.071667444711011</c:v>
                </c:pt>
                <c:pt idx="77">
                  <c:v>48.263508969705299</c:v>
                </c:pt>
                <c:pt idx="78">
                  <c:v>21.783025611320909</c:v>
                </c:pt>
                <c:pt idx="79">
                  <c:v>40.382971237399488</c:v>
                </c:pt>
                <c:pt idx="80">
                  <c:v>14.912814567776877</c:v>
                </c:pt>
                <c:pt idx="81">
                  <c:v>16.2900305860137</c:v>
                </c:pt>
                <c:pt idx="82">
                  <c:v>19.154062119800301</c:v>
                </c:pt>
                <c:pt idx="83">
                  <c:v>12.817823201258307</c:v>
                </c:pt>
                <c:pt idx="84">
                  <c:v>19.346113730817024</c:v>
                </c:pt>
                <c:pt idx="85">
                  <c:v>19.108749793652805</c:v>
                </c:pt>
                <c:pt idx="86">
                  <c:v>13.589974879575948</c:v>
                </c:pt>
                <c:pt idx="87">
                  <c:v>12.315757571069526</c:v>
                </c:pt>
                <c:pt idx="88">
                  <c:v>15.057688544654184</c:v>
                </c:pt>
                <c:pt idx="89">
                  <c:v>14.186516019496139</c:v>
                </c:pt>
                <c:pt idx="90">
                  <c:v>11.920030557862219</c:v>
                </c:pt>
                <c:pt idx="91">
                  <c:v>8.7822649616350645</c:v>
                </c:pt>
                <c:pt idx="92">
                  <c:v>7.5081740333334892</c:v>
                </c:pt>
                <c:pt idx="93">
                  <c:v>6.5602781050311023</c:v>
                </c:pt>
                <c:pt idx="94">
                  <c:v>7.8309662773585842</c:v>
                </c:pt>
                <c:pt idx="95">
                  <c:v>7.5011704628927873</c:v>
                </c:pt>
                <c:pt idx="96">
                  <c:v>11.286818790566485</c:v>
                </c:pt>
                <c:pt idx="97">
                  <c:v>7.3705089999998563</c:v>
                </c:pt>
                <c:pt idx="98">
                  <c:v>10.819441000000097</c:v>
                </c:pt>
                <c:pt idx="99">
                  <c:v>18.060481999999865</c:v>
                </c:pt>
                <c:pt idx="100">
                  <c:v>16.246747000000141</c:v>
                </c:pt>
                <c:pt idx="101">
                  <c:v>11.774413000000095</c:v>
                </c:pt>
                <c:pt idx="102">
                  <c:v>8.7213679999997566</c:v>
                </c:pt>
                <c:pt idx="103">
                  <c:v>8.0770119999999679</c:v>
                </c:pt>
              </c:numCache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square"/>
            <c:size val="3"/>
            <c:spPr>
              <a:solidFill>
                <a:sysClr val="window" lastClr="FFFFFF">
                  <a:alpha val="3000"/>
                </a:sysClr>
              </a:solidFill>
            </c:spPr>
          </c:marker>
          <c:xVal>
            <c:numRef>
              <c:f>aDaP!$A$5:$A$108</c:f>
              <c:numCache>
                <c:formatCode>General</c:formatCode>
                <c:ptCount val="10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</c:numCache>
            </c:numRef>
          </c:xVal>
          <c:yVal>
            <c:numRef>
              <c:f>aDaP!$C$5:$C$108</c:f>
              <c:numCache>
                <c:formatCode>General</c:formatCode>
                <c:ptCount val="104"/>
                <c:pt idx="0">
                  <c:v>0</c:v>
                </c:pt>
                <c:pt idx="1">
                  <c:v>7.2672663930885513</c:v>
                </c:pt>
                <c:pt idx="2">
                  <c:v>8.5601664367566741</c:v>
                </c:pt>
                <c:pt idx="3">
                  <c:v>8.7004539864255506</c:v>
                </c:pt>
                <c:pt idx="4">
                  <c:v>9.9581105221398332</c:v>
                </c:pt>
                <c:pt idx="5">
                  <c:v>12.13154402101117</c:v>
                </c:pt>
                <c:pt idx="6">
                  <c:v>13.373570550691532</c:v>
                </c:pt>
                <c:pt idx="7">
                  <c:v>13.818165516049497</c:v>
                </c:pt>
                <c:pt idx="8">
                  <c:v>15.34361248801212</c:v>
                </c:pt>
                <c:pt idx="9">
                  <c:v>17.443282795340728</c:v>
                </c:pt>
                <c:pt idx="10">
                  <c:v>19.916743520567174</c:v>
                </c:pt>
                <c:pt idx="11">
                  <c:v>22.812956983036905</c:v>
                </c:pt>
                <c:pt idx="12">
                  <c:v>24.717688943821223</c:v>
                </c:pt>
                <c:pt idx="13">
                  <c:v>26.619692492208316</c:v>
                </c:pt>
                <c:pt idx="14">
                  <c:v>28.760366713313843</c:v>
                </c:pt>
                <c:pt idx="15">
                  <c:v>30.772659748937258</c:v>
                </c:pt>
                <c:pt idx="16">
                  <c:v>33.804693872648599</c:v>
                </c:pt>
                <c:pt idx="17">
                  <c:v>35.856185667646699</c:v>
                </c:pt>
                <c:pt idx="18">
                  <c:v>37.088116725847762</c:v>
                </c:pt>
                <c:pt idx="19">
                  <c:v>40.016079460432209</c:v>
                </c:pt>
                <c:pt idx="20">
                  <c:v>43.093472329997418</c:v>
                </c:pt>
                <c:pt idx="21">
                  <c:v>45.341134864432682</c:v>
                </c:pt>
                <c:pt idx="22">
                  <c:v>48.095271233147763</c:v>
                </c:pt>
                <c:pt idx="23">
                  <c:v>50.93442572260917</c:v>
                </c:pt>
                <c:pt idx="24">
                  <c:v>53.560568711114918</c:v>
                </c:pt>
                <c:pt idx="25">
                  <c:v>56.659040052222785</c:v>
                </c:pt>
                <c:pt idx="26">
                  <c:v>68.829580359915099</c:v>
                </c:pt>
                <c:pt idx="27">
                  <c:v>89.785487284840045</c:v>
                </c:pt>
                <c:pt idx="28">
                  <c:v>131.20047672386443</c:v>
                </c:pt>
                <c:pt idx="29">
                  <c:v>137.49998923510921</c:v>
                </c:pt>
                <c:pt idx="30">
                  <c:v>156.8153209961155</c:v>
                </c:pt>
                <c:pt idx="31">
                  <c:v>159.64648256068642</c:v>
                </c:pt>
                <c:pt idx="32">
                  <c:v>165.06525057587876</c:v>
                </c:pt>
                <c:pt idx="33">
                  <c:v>167.86226542736392</c:v>
                </c:pt>
                <c:pt idx="34">
                  <c:v>171.07620291058541</c:v>
                </c:pt>
                <c:pt idx="35">
                  <c:v>175.05918028601204</c:v>
                </c:pt>
                <c:pt idx="36">
                  <c:v>197.34920041703927</c:v>
                </c:pt>
                <c:pt idx="37">
                  <c:v>208.2168824679093</c:v>
                </c:pt>
                <c:pt idx="38">
                  <c:v>277.86098912258558</c:v>
                </c:pt>
                <c:pt idx="39">
                  <c:v>283.29446527173201</c:v>
                </c:pt>
                <c:pt idx="40">
                  <c:v>319.4177986896425</c:v>
                </c:pt>
                <c:pt idx="41">
                  <c:v>331.95161641968053</c:v>
                </c:pt>
                <c:pt idx="42">
                  <c:v>336.00448742655487</c:v>
                </c:pt>
                <c:pt idx="43">
                  <c:v>338.68906220618049</c:v>
                </c:pt>
                <c:pt idx="44">
                  <c:v>347.70680689678716</c:v>
                </c:pt>
                <c:pt idx="45">
                  <c:v>363.56726696053431</c:v>
                </c:pt>
                <c:pt idx="46">
                  <c:v>367.9304914314925</c:v>
                </c:pt>
                <c:pt idx="47">
                  <c:v>371.93557737062383</c:v>
                </c:pt>
                <c:pt idx="48">
                  <c:v>511.9612792531131</c:v>
                </c:pt>
                <c:pt idx="49">
                  <c:v>532.11650082222491</c:v>
                </c:pt>
                <c:pt idx="50">
                  <c:v>543.37579345963763</c:v>
                </c:pt>
                <c:pt idx="51">
                  <c:v>584.76629196331373</c:v>
                </c:pt>
                <c:pt idx="52">
                  <c:v>591.04192508847098</c:v>
                </c:pt>
                <c:pt idx="53">
                  <c:v>631.79304622770326</c:v>
                </c:pt>
                <c:pt idx="54">
                  <c:v>653.60333866237079</c:v>
                </c:pt>
                <c:pt idx="55">
                  <c:v>682.05722568248996</c:v>
                </c:pt>
                <c:pt idx="56">
                  <c:v>708.12556125189985</c:v>
                </c:pt>
                <c:pt idx="57">
                  <c:v>762.03102915225043</c:v>
                </c:pt>
                <c:pt idx="58">
                  <c:v>813.35073951211893</c:v>
                </c:pt>
                <c:pt idx="59">
                  <c:v>841.20878397108925</c:v>
                </c:pt>
                <c:pt idx="60">
                  <c:v>900.90339574314692</c:v>
                </c:pt>
                <c:pt idx="61">
                  <c:v>949.36734857754902</c:v>
                </c:pt>
                <c:pt idx="62">
                  <c:v>999.79133615048909</c:v>
                </c:pt>
                <c:pt idx="63">
                  <c:v>1028.6669534124449</c:v>
                </c:pt>
                <c:pt idx="64">
                  <c:v>1109.2082614402539</c:v>
                </c:pt>
                <c:pt idx="65">
                  <c:v>1154.513038331163</c:v>
                </c:pt>
                <c:pt idx="66">
                  <c:v>1181.01672055684</c:v>
                </c:pt>
                <c:pt idx="67">
                  <c:v>1209.0166000193499</c:v>
                </c:pt>
                <c:pt idx="68">
                  <c:v>1260.1953830555133</c:v>
                </c:pt>
                <c:pt idx="69">
                  <c:v>1288.9095249826032</c:v>
                </c:pt>
                <c:pt idx="70">
                  <c:v>1309.3577221863982</c:v>
                </c:pt>
                <c:pt idx="71">
                  <c:v>1383.8438463542784</c:v>
                </c:pt>
                <c:pt idx="72">
                  <c:v>1398.4251951696522</c:v>
                </c:pt>
                <c:pt idx="73">
                  <c:v>1426.6903464519075</c:v>
                </c:pt>
                <c:pt idx="74">
                  <c:v>1457.2341934039548</c:v>
                </c:pt>
                <c:pt idx="75">
                  <c:v>1482.6849027427661</c:v>
                </c:pt>
                <c:pt idx="76">
                  <c:v>1528.7565701874771</c:v>
                </c:pt>
                <c:pt idx="77">
                  <c:v>1577.0200791571824</c:v>
                </c:pt>
                <c:pt idx="78">
                  <c:v>1598.8031047685033</c:v>
                </c:pt>
                <c:pt idx="79">
                  <c:v>1639.1860760059028</c:v>
                </c:pt>
                <c:pt idx="80">
                  <c:v>1654.0988905736797</c:v>
                </c:pt>
                <c:pt idx="81">
                  <c:v>1670.3889211596934</c:v>
                </c:pt>
                <c:pt idx="82">
                  <c:v>1689.5429832794937</c:v>
                </c:pt>
                <c:pt idx="83">
                  <c:v>1702.360806480752</c:v>
                </c:pt>
                <c:pt idx="84">
                  <c:v>1721.706920211569</c:v>
                </c:pt>
                <c:pt idx="85">
                  <c:v>1740.8156700052218</c:v>
                </c:pt>
                <c:pt idx="86">
                  <c:v>1754.4056448847978</c:v>
                </c:pt>
                <c:pt idx="87">
                  <c:v>1766.7214024558673</c:v>
                </c:pt>
                <c:pt idx="88">
                  <c:v>1781.7790910005215</c:v>
                </c:pt>
                <c:pt idx="89">
                  <c:v>1795.9656070200176</c:v>
                </c:pt>
                <c:pt idx="90">
                  <c:v>1807.8856375778798</c:v>
                </c:pt>
                <c:pt idx="91">
                  <c:v>1816.6679025395149</c:v>
                </c:pt>
                <c:pt idx="92">
                  <c:v>1824.1760765728484</c:v>
                </c:pt>
                <c:pt idx="93">
                  <c:v>1830.7363546778795</c:v>
                </c:pt>
                <c:pt idx="94">
                  <c:v>1838.5673209552381</c:v>
                </c:pt>
                <c:pt idx="95">
                  <c:v>1846.0684914181309</c:v>
                </c:pt>
                <c:pt idx="96">
                  <c:v>1857.3553102086973</c:v>
                </c:pt>
                <c:pt idx="97">
                  <c:v>1864.7258192086972</c:v>
                </c:pt>
                <c:pt idx="98">
                  <c:v>1875.5452602086973</c:v>
                </c:pt>
                <c:pt idx="99">
                  <c:v>1893.6057422086972</c:v>
                </c:pt>
                <c:pt idx="100">
                  <c:v>1909.8524892086973</c:v>
                </c:pt>
                <c:pt idx="101">
                  <c:v>1921.6269022086974</c:v>
                </c:pt>
                <c:pt idx="102">
                  <c:v>1930.3482702086972</c:v>
                </c:pt>
                <c:pt idx="103">
                  <c:v>1938.4252822086971</c:v>
                </c:pt>
              </c:numCache>
            </c:numRef>
          </c:yVal>
        </c:ser>
        <c:ser>
          <c:idx val="2"/>
          <c:order val="2"/>
          <c:marker>
            <c:symbol val="none"/>
          </c:marker>
          <c:xVal>
            <c:numRef>
              <c:f>aDaP!$A$5:$A$108</c:f>
              <c:numCache>
                <c:formatCode>General</c:formatCode>
                <c:ptCount val="10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</c:numCache>
            </c:numRef>
          </c:xVal>
          <c:yVal>
            <c:numRef>
              <c:f>aDaP!$D$5:$D$108</c:f>
              <c:numCache>
                <c:formatCode>General</c:formatCode>
                <c:ptCount val="104"/>
                <c:pt idx="0">
                  <c:v>3.0084971279764425</c:v>
                </c:pt>
                <c:pt idx="1">
                  <c:v>3.5241066199000968</c:v>
                </c:pt>
                <c:pt idx="2">
                  <c:v>4.1152618927670632</c:v>
                </c:pt>
                <c:pt idx="3">
                  <c:v>4.7911964888290699</c:v>
                </c:pt>
                <c:pt idx="4">
                  <c:v>5.562045969442357</c:v>
                </c:pt>
                <c:pt idx="5">
                  <c:v>6.4389112471416983</c:v>
                </c:pt>
                <c:pt idx="6">
                  <c:v>7.4339236390372054</c:v>
                </c:pt>
                <c:pt idx="7">
                  <c:v>8.5603112840466924</c:v>
                </c:pt>
                <c:pt idx="8">
                  <c:v>9.8324664820425145</c:v>
                </c:pt>
                <c:pt idx="9">
                  <c:v>11.266013417272667</c:v>
                </c:pt>
                <c:pt idx="10">
                  <c:v>12.877875620677438</c:v>
                </c:pt>
                <c:pt idx="11">
                  <c:v>14.686342405364458</c:v>
                </c:pt>
                <c:pt idx="12">
                  <c:v>16.711133376128444</c:v>
                </c:pt>
                <c:pt idx="13">
                  <c:v>18.973459967384304</c:v>
                </c:pt>
                <c:pt idx="14">
                  <c:v>21.496082804471587</c:v>
                </c:pt>
                <c:pt idx="15">
                  <c:v>24.303363511706316</c:v>
                </c:pt>
                <c:pt idx="16">
                  <c:v>27.421309408128614</c:v>
                </c:pt>
                <c:pt idx="17">
                  <c:v>30.877609340677928</c:v>
                </c:pt>
                <c:pt idx="18">
                  <c:v>34.701658707469171</c:v>
                </c:pt>
                <c:pt idx="19">
                  <c:v>38.924571524935899</c:v>
                </c:pt>
                <c:pt idx="20">
                  <c:v>43.579177197045269</c:v>
                </c:pt>
                <c:pt idx="21">
                  <c:v>48.699999459140955</c:v>
                </c:pt>
                <c:pt idx="22">
                  <c:v>54.323214801294384</c:v>
                </c:pt>
                <c:pt idx="23">
                  <c:v>60.486587536020203</c:v>
                </c:pt>
                <c:pt idx="24">
                  <c:v>67.229378574180146</c:v>
                </c:pt>
                <c:pt idx="25">
                  <c:v>74.592224923850836</c:v>
                </c:pt>
                <c:pt idx="26">
                  <c:v>82.616986944403692</c:v>
                </c:pt>
                <c:pt idx="27">
                  <c:v>91.346560487855768</c:v>
                </c:pt>
                <c:pt idx="28">
                  <c:v>100.82465125843017</c:v>
                </c:pt>
                <c:pt idx="29">
                  <c:v>111.09550903624839</c:v>
                </c:pt>
                <c:pt idx="30">
                  <c:v>122.2036198587313</c:v>
                </c:pt>
                <c:pt idx="31">
                  <c:v>134.19335484867176</c:v>
                </c:pt>
                <c:pt idx="32">
                  <c:v>147.10857513341045</c:v>
                </c:pt>
                <c:pt idx="33">
                  <c:v>160.99219322323293</c:v>
                </c:pt>
                <c:pt idx="34">
                  <c:v>175.88569231135992</c:v>
                </c:pt>
                <c:pt idx="35">
                  <c:v>191.82860621753156</c:v>
                </c:pt>
                <c:pt idx="36">
                  <c:v>208.85796410777991</c:v>
                </c:pt>
                <c:pt idx="37">
                  <c:v>227.00770565932277</c:v>
                </c:pt>
                <c:pt idx="38">
                  <c:v>246.30807396434886</c:v>
                </c:pt>
                <c:pt idx="39">
                  <c:v>266.78499512985962</c:v>
                </c:pt>
                <c:pt idx="40">
                  <c:v>288.45945516999956</c:v>
                </c:pt>
                <c:pt idx="41">
                  <c:v>311.34688632809764</c:v>
                </c:pt>
                <c:pt idx="42">
                  <c:v>335.45657632401424</c:v>
                </c:pt>
                <c:pt idx="43">
                  <c:v>360.79111510809139</c:v>
                </c:pt>
                <c:pt idx="44">
                  <c:v>387.34589442420446</c:v>
                </c:pt>
                <c:pt idx="45">
                  <c:v>415.10867575320947</c:v>
                </c:pt>
                <c:pt idx="46">
                  <c:v>444.05924194726026</c:v>
                </c:pt>
                <c:pt idx="47">
                  <c:v>474.16914701541282</c:v>
                </c:pt>
                <c:pt idx="48">
                  <c:v>505.40157704651034</c:v>
                </c:pt>
                <c:pt idx="49">
                  <c:v>537.71133315215639</c:v>
                </c:pt>
                <c:pt idx="50">
                  <c:v>571.04494461139734</c:v>
                </c:pt>
                <c:pt idx="51">
                  <c:v>605.3409171680504</c:v>
                </c:pt>
                <c:pt idx="52">
                  <c:v>640.53011777731933</c:v>
                </c:pt>
                <c:pt idx="53">
                  <c:v>676.53629316021352</c:v>
                </c:pt>
                <c:pt idx="54">
                  <c:v>713.27671546957367</c:v>
                </c:pt>
                <c:pt idx="55">
                  <c:v>750.66294438544753</c:v>
                </c:pt>
                <c:pt idx="56">
                  <c:v>788.60169123161972</c:v>
                </c:pt>
                <c:pt idx="57">
                  <c:v>826.9957674244481</c:v>
                </c:pt>
                <c:pt idx="58">
                  <c:v>865.74509689496119</c:v>
                </c:pt>
                <c:pt idx="59">
                  <c:v>904.74777019943917</c:v>
                </c:pt>
                <c:pt idx="60">
                  <c:v>943.90111694475979</c:v>
                </c:pt>
                <c:pt idx="61">
                  <c:v>983.10277294757475</c:v>
                </c:pt>
                <c:pt idx="62">
                  <c:v>1022.2517192151115</c:v>
                </c:pt>
                <c:pt idx="63">
                  <c:v>1061.2492713256511</c:v>
                </c:pt>
                <c:pt idx="64">
                  <c:v>1100</c:v>
                </c:pt>
                <c:pt idx="65">
                  <c:v>1138.4125664580595</c:v>
                </c:pt>
                <c:pt idx="66">
                  <c:v>1176.4004593885954</c:v>
                </c:pt>
                <c:pt idx="67">
                  <c:v>1213.8826238545464</c:v>
                </c:pt>
                <c:pt idx="68">
                  <c:v>1250.7839760390166</c:v>
                </c:pt>
                <c:pt idx="69">
                  <c:v>1287.0358012467825</c:v>
                </c:pt>
                <c:pt idx="70">
                  <c:v>1322.5760358703283</c:v>
                </c:pt>
                <c:pt idx="71">
                  <c:v>1357.3494369915286</c:v>
                </c:pt>
                <c:pt idx="72">
                  <c:v>1391.3076458334865</c:v>
                </c:pt>
                <c:pt idx="73">
                  <c:v>1424.4091533462724</c:v>
                </c:pt>
                <c:pt idx="74">
                  <c:v>1456.6191777803042</c:v>
                </c:pt>
                <c:pt idx="75">
                  <c:v>1487.9094651741707</c:v>
                </c:pt>
                <c:pt idx="76">
                  <c:v>1518.2580242851882</c:v>
                </c:pt>
                <c:pt idx="77">
                  <c:v>1547.6488076643973</c:v>
                </c:pt>
                <c:pt idx="78">
                  <c:v>1576.0713503791956</c:v>
                </c:pt>
                <c:pt idx="79">
                  <c:v>1603.5203773799699</c:v>
                </c:pt>
                <c:pt idx="80">
                  <c:v>1629.9953897584053</c:v>
                </c:pt>
                <c:pt idx="81">
                  <c:v>1655.5002392199519</c:v>
                </c:pt>
                <c:pt idx="82">
                  <c:v>1680.042699052291</c:v>
                </c:pt>
                <c:pt idx="83">
                  <c:v>1703.6340387702626</c:v>
                </c:pt>
                <c:pt idx="84">
                  <c:v>1726.2886085025618</c:v>
                </c:pt>
                <c:pt idx="85">
                  <c:v>1748.0234380949985</c:v>
                </c:pt>
                <c:pt idx="86">
                  <c:v>1768.8578548693499</c:v>
                </c:pt>
                <c:pt idx="87">
                  <c:v>1788.8131230178249</c:v>
                </c:pt>
                <c:pt idx="88">
                  <c:v>1807.9121067456274</c:v>
                </c:pt>
                <c:pt idx="89">
                  <c:v>1826.1789585065305</c:v>
                </c:pt>
                <c:pt idx="90">
                  <c:v>1843.6388330118236</c:v>
                </c:pt>
                <c:pt idx="91">
                  <c:v>1860.3176271304767</c:v>
                </c:pt>
                <c:pt idx="92">
                  <c:v>1876.2417453334938</c:v>
                </c:pt>
                <c:pt idx="93">
                  <c:v>1891.4378899616415</c:v>
                </c:pt>
                <c:pt idx="94">
                  <c:v>1905.9328753048287</c:v>
                </c:pt>
                <c:pt idx="95">
                  <c:v>1919.7534642644446</c:v>
                </c:pt>
                <c:pt idx="96">
                  <c:v>1932.92622621754</c:v>
                </c:pt>
                <c:pt idx="97">
                  <c:v>1945.4774146046339</c:v>
                </c:pt>
                <c:pt idx="98">
                  <c:v>1957.4328627123241</c:v>
                </c:pt>
                <c:pt idx="99">
                  <c:v>1968.8178961095068</c:v>
                </c:pt>
                <c:pt idx="100">
                  <c:v>1979.6572602143608</c:v>
                </c:pt>
                <c:pt idx="101">
                  <c:v>1989.9750615116932</c:v>
                </c:pt>
                <c:pt idx="102">
                  <c:v>1999.7947210008738</c:v>
                </c:pt>
                <c:pt idx="103">
                  <c:v>2009.1389385284022</c:v>
                </c:pt>
              </c:numCache>
            </c:numRef>
          </c:yVal>
        </c:ser>
        <c:axId val="99322496"/>
        <c:axId val="99320960"/>
      </c:scatterChart>
      <c:valAx>
        <c:axId val="99322496"/>
        <c:scaling>
          <c:orientation val="minMax"/>
        </c:scaling>
        <c:axPos val="b"/>
        <c:numFmt formatCode="General" sourceLinked="1"/>
        <c:tickLblPos val="nextTo"/>
        <c:crossAx val="99320960"/>
        <c:crosses val="autoZero"/>
        <c:crossBetween val="midCat"/>
      </c:valAx>
      <c:valAx>
        <c:axId val="99320960"/>
        <c:scaling>
          <c:orientation val="minMax"/>
        </c:scaling>
        <c:axPos val="l"/>
        <c:majorGridlines/>
        <c:numFmt formatCode="General" sourceLinked="1"/>
        <c:tickLblPos val="nextTo"/>
        <c:crossAx val="99322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6581933508311456"/>
          <c:y val="6.423884514435696E-2"/>
          <c:w val="0.12692357275565275"/>
          <c:h val="0.14154922415519977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82</xdr:row>
      <xdr:rowOff>76200</xdr:rowOff>
    </xdr:from>
    <xdr:to>
      <xdr:col>13</xdr:col>
      <xdr:colOff>390525</xdr:colOff>
      <xdr:row>105</xdr:row>
      <xdr:rowOff>123825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86</xdr:row>
      <xdr:rowOff>76200</xdr:rowOff>
    </xdr:from>
    <xdr:to>
      <xdr:col>11</xdr:col>
      <xdr:colOff>9525</xdr:colOff>
      <xdr:row>106</xdr:row>
      <xdr:rowOff>0</xdr:rowOff>
    </xdr:to>
    <xdr:graphicFrame macro="">
      <xdr:nvGraphicFramePr>
        <xdr:cNvPr id="102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866774</xdr:colOff>
      <xdr:row>9</xdr:row>
      <xdr:rowOff>133349</xdr:rowOff>
    </xdr:from>
    <xdr:to>
      <xdr:col>7</xdr:col>
      <xdr:colOff>1485899</xdr:colOff>
      <xdr:row>33</xdr:row>
      <xdr:rowOff>200024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>
      <pane ySplit="615" activePane="bottomLeft"/>
      <selection activeCell="D1" sqref="D1:D65536"/>
      <selection pane="bottomLeft" activeCell="A2" sqref="A2"/>
    </sheetView>
  </sheetViews>
  <sheetFormatPr defaultColWidth="11" defaultRowHeight="15.75"/>
  <cols>
    <col min="1" max="1" width="11" customWidth="1"/>
    <col min="2" max="2" width="13.75" bestFit="1" customWidth="1"/>
    <col min="3" max="4" width="13.75" customWidth="1"/>
    <col min="5" max="5" width="17.75" customWidth="1"/>
    <col min="6" max="6" width="12.625" bestFit="1" customWidth="1"/>
    <col min="7" max="7" width="11.875" bestFit="1" customWidth="1"/>
    <col min="8" max="8" width="19.5" bestFit="1" customWidth="1"/>
  </cols>
  <sheetData>
    <row r="1" spans="1:8">
      <c r="D1">
        <v>2200</v>
      </c>
    </row>
    <row r="2" spans="1:8">
      <c r="D2">
        <v>114</v>
      </c>
    </row>
    <row r="3" spans="1:8">
      <c r="D3">
        <v>8</v>
      </c>
    </row>
    <row r="4" spans="1:8" s="1" customFormat="1">
      <c r="A4" s="1" t="s">
        <v>0</v>
      </c>
      <c r="B4" s="1" t="s">
        <v>2</v>
      </c>
      <c r="E4" s="1" t="s">
        <v>1</v>
      </c>
      <c r="F4" s="1" t="s">
        <v>5</v>
      </c>
      <c r="G4" s="1" t="s">
        <v>3</v>
      </c>
      <c r="H4" s="1" t="s">
        <v>4</v>
      </c>
    </row>
    <row r="5" spans="1:8">
      <c r="A5">
        <v>1900</v>
      </c>
      <c r="B5">
        <v>0</v>
      </c>
      <c r="C5">
        <v>0</v>
      </c>
      <c r="D5">
        <f>+$D$1/(1+($D$2/($A5-1850))^$D$3)</f>
        <v>3.0084971279764425</v>
      </c>
      <c r="H5">
        <v>4.0161809385327187E-2</v>
      </c>
    </row>
    <row r="6" spans="1:8">
      <c r="A6">
        <v>1901</v>
      </c>
      <c r="B6">
        <v>7.2672663930885513</v>
      </c>
      <c r="C6">
        <f>+$B6+$C5</f>
        <v>7.2672663930885513</v>
      </c>
      <c r="D6">
        <f t="shared" ref="D6:D69" si="0">+$D$1/(1+($D$2/($A6-1850))^$D$3)</f>
        <v>3.5241066199000968</v>
      </c>
      <c r="E6">
        <v>0.16739999999999977</v>
      </c>
      <c r="F6">
        <f>+B6-E6</f>
        <v>7.0998663930885515</v>
      </c>
      <c r="G6">
        <v>0.9013362811375103</v>
      </c>
      <c r="H6">
        <v>5.3549079180436242E-2</v>
      </c>
    </row>
    <row r="7" spans="1:8">
      <c r="A7">
        <v>1902</v>
      </c>
      <c r="B7">
        <v>1.2929000436681228</v>
      </c>
      <c r="C7">
        <f t="shared" ref="C7:C70" si="1">+$B7+$C6</f>
        <v>8.5601664367566741</v>
      </c>
      <c r="D7">
        <f t="shared" si="0"/>
        <v>4.1152618927670632</v>
      </c>
      <c r="E7">
        <v>0.18179999999999996</v>
      </c>
      <c r="F7">
        <f t="shared" ref="F7:F70" si="2">+B7-E7</f>
        <v>1.1111000436681229</v>
      </c>
      <c r="G7">
        <v>0.22966784570596666</v>
      </c>
      <c r="H7">
        <v>4.9086655915399888E-2</v>
      </c>
    </row>
    <row r="8" spans="1:8">
      <c r="A8">
        <v>1903</v>
      </c>
      <c r="B8">
        <v>0.14028754966887647</v>
      </c>
      <c r="C8">
        <f t="shared" si="1"/>
        <v>8.7004539864255506</v>
      </c>
      <c r="D8">
        <f t="shared" si="0"/>
        <v>4.7911964888290699</v>
      </c>
      <c r="E8">
        <v>0.19490000000000007</v>
      </c>
      <c r="F8">
        <f t="shared" si="2"/>
        <v>-5.4612450331123608E-2</v>
      </c>
      <c r="G8">
        <v>1.1201192052979536E-2</v>
      </c>
      <c r="H8">
        <v>4.9086655915399888E-2</v>
      </c>
    </row>
    <row r="9" spans="1:8">
      <c r="A9">
        <v>1904</v>
      </c>
      <c r="B9">
        <v>1.2576565357142826</v>
      </c>
      <c r="C9">
        <f t="shared" si="1"/>
        <v>9.9581105221398332</v>
      </c>
      <c r="D9">
        <f t="shared" si="0"/>
        <v>5.562045969442357</v>
      </c>
      <c r="E9">
        <v>0.21799999999999997</v>
      </c>
      <c r="F9">
        <f t="shared" si="2"/>
        <v>1.0396565357142826</v>
      </c>
      <c r="G9">
        <v>1.9934499521860012</v>
      </c>
      <c r="H9">
        <v>5.3549079180436235E-2</v>
      </c>
    </row>
    <row r="10" spans="1:8">
      <c r="A10">
        <v>1905</v>
      </c>
      <c r="B10">
        <v>2.1734334988713364</v>
      </c>
      <c r="C10">
        <f t="shared" si="1"/>
        <v>12.13154402101117</v>
      </c>
      <c r="D10">
        <f t="shared" si="0"/>
        <v>6.4389112471416983</v>
      </c>
      <c r="E10">
        <v>0.21509999999999962</v>
      </c>
      <c r="F10">
        <f t="shared" si="2"/>
        <v>1.9583334988713368</v>
      </c>
      <c r="G10">
        <v>0.52463632054176124</v>
      </c>
      <c r="H10">
        <v>5.8011502445472589E-2</v>
      </c>
    </row>
    <row r="11" spans="1:8">
      <c r="A11">
        <v>1906</v>
      </c>
      <c r="B11">
        <v>1.2420265296803628</v>
      </c>
      <c r="C11">
        <f t="shared" si="1"/>
        <v>13.373570550691532</v>
      </c>
      <c r="D11">
        <f t="shared" si="0"/>
        <v>7.4339236390372054</v>
      </c>
      <c r="E11">
        <v>0.21329999999999982</v>
      </c>
      <c r="F11">
        <f t="shared" si="2"/>
        <v>1.0287265296803629</v>
      </c>
      <c r="G11">
        <v>0.21726567656012286</v>
      </c>
      <c r="H11">
        <v>6.6936348975545304E-2</v>
      </c>
    </row>
    <row r="12" spans="1:8">
      <c r="A12">
        <v>1907</v>
      </c>
      <c r="B12">
        <v>0.44459496535796461</v>
      </c>
      <c r="C12">
        <f t="shared" si="1"/>
        <v>13.818165516049497</v>
      </c>
      <c r="D12">
        <f t="shared" si="0"/>
        <v>8.5603112840466924</v>
      </c>
      <c r="E12">
        <v>0.26420000000000021</v>
      </c>
      <c r="F12">
        <f t="shared" si="2"/>
        <v>0.1803949653579644</v>
      </c>
      <c r="G12">
        <v>0.11420281755196093</v>
      </c>
      <c r="H12">
        <v>7.1398772240581637E-2</v>
      </c>
    </row>
    <row r="13" spans="1:8">
      <c r="A13">
        <v>1908</v>
      </c>
      <c r="B13">
        <v>1.5254469719626229</v>
      </c>
      <c r="C13">
        <f t="shared" si="1"/>
        <v>15.34361248801212</v>
      </c>
      <c r="D13">
        <f t="shared" si="0"/>
        <v>9.8324664820425145</v>
      </c>
      <c r="E13">
        <v>0.28560000000000008</v>
      </c>
      <c r="F13">
        <f t="shared" si="2"/>
        <v>1.2398469719626228</v>
      </c>
      <c r="G13">
        <v>0.2283641292834897</v>
      </c>
      <c r="H13">
        <v>6.6936348975545304E-2</v>
      </c>
    </row>
    <row r="14" spans="1:8">
      <c r="A14">
        <v>1909</v>
      </c>
      <c r="B14">
        <v>2.0996703073286085</v>
      </c>
      <c r="C14">
        <f t="shared" si="1"/>
        <v>17.443282795340728</v>
      </c>
      <c r="D14">
        <f t="shared" si="0"/>
        <v>11.266013417272667</v>
      </c>
      <c r="E14">
        <v>0.29869999999999974</v>
      </c>
      <c r="F14">
        <f t="shared" si="2"/>
        <v>1.8009703073286087</v>
      </c>
      <c r="G14">
        <v>0.73698458635550601</v>
      </c>
      <c r="H14">
        <v>8.0323618770654345E-2</v>
      </c>
    </row>
    <row r="15" spans="1:8">
      <c r="A15">
        <v>1910</v>
      </c>
      <c r="B15">
        <v>2.4734607252264453</v>
      </c>
      <c r="C15">
        <f t="shared" si="1"/>
        <v>19.916743520567174</v>
      </c>
      <c r="D15">
        <f t="shared" si="0"/>
        <v>12.877875620677438</v>
      </c>
      <c r="E15">
        <v>0.32779999999999987</v>
      </c>
      <c r="F15">
        <f t="shared" si="2"/>
        <v>2.1456607252264455</v>
      </c>
      <c r="G15">
        <v>1.5407347380675791</v>
      </c>
      <c r="H15">
        <v>8.4786042035690679E-2</v>
      </c>
    </row>
    <row r="16" spans="1:8">
      <c r="A16">
        <v>1911</v>
      </c>
      <c r="B16">
        <v>2.8962134624697313</v>
      </c>
      <c r="C16">
        <f t="shared" si="1"/>
        <v>22.812956983036905</v>
      </c>
      <c r="D16">
        <f t="shared" si="0"/>
        <v>14.686342405364458</v>
      </c>
      <c r="E16">
        <v>0.34440000000000026</v>
      </c>
      <c r="F16">
        <f t="shared" si="2"/>
        <v>2.5518134624697311</v>
      </c>
      <c r="G16">
        <v>0.26789229217110488</v>
      </c>
      <c r="H16">
        <v>8.924846530072704E-2</v>
      </c>
    </row>
    <row r="17" spans="1:8">
      <c r="A17">
        <v>1912</v>
      </c>
      <c r="B17">
        <v>1.9047319607843178</v>
      </c>
      <c r="C17">
        <f t="shared" si="1"/>
        <v>24.717688943821223</v>
      </c>
      <c r="D17">
        <f t="shared" si="0"/>
        <v>16.711133376128444</v>
      </c>
      <c r="E17">
        <v>0.35240000000000027</v>
      </c>
      <c r="F17">
        <f t="shared" si="2"/>
        <v>1.5523319607843176</v>
      </c>
      <c r="G17">
        <v>0.61721928104575241</v>
      </c>
      <c r="H17">
        <v>9.3710888565763387E-2</v>
      </c>
    </row>
    <row r="18" spans="1:8">
      <c r="A18">
        <v>1913</v>
      </c>
      <c r="B18">
        <v>1.9020035483870927</v>
      </c>
      <c r="C18">
        <f t="shared" si="1"/>
        <v>26.619692492208316</v>
      </c>
      <c r="D18">
        <f t="shared" si="0"/>
        <v>18.973459967384304</v>
      </c>
      <c r="E18">
        <v>0.38529999999999998</v>
      </c>
      <c r="F18">
        <f t="shared" si="2"/>
        <v>1.5167035483870928</v>
      </c>
      <c r="G18">
        <v>0.86441306720429978</v>
      </c>
      <c r="H18">
        <v>9.8173311830799734E-2</v>
      </c>
    </row>
    <row r="19" spans="1:8">
      <c r="A19">
        <v>1914</v>
      </c>
      <c r="B19">
        <v>2.1406742211055274</v>
      </c>
      <c r="C19">
        <f t="shared" si="1"/>
        <v>28.760366713313843</v>
      </c>
      <c r="D19">
        <f t="shared" si="0"/>
        <v>21.496082804471587</v>
      </c>
      <c r="E19">
        <v>0.40749999999999997</v>
      </c>
      <c r="F19">
        <f t="shared" si="2"/>
        <v>1.7331742211055274</v>
      </c>
      <c r="G19">
        <v>0.37923942287269696</v>
      </c>
      <c r="H19">
        <v>0.10263573509583607</v>
      </c>
    </row>
    <row r="20" spans="1:8">
      <c r="A20">
        <v>1915</v>
      </c>
      <c r="B20">
        <v>2.012293035623415</v>
      </c>
      <c r="C20">
        <f t="shared" si="1"/>
        <v>30.772659748937258</v>
      </c>
      <c r="D20">
        <f t="shared" si="0"/>
        <v>24.303363511706316</v>
      </c>
      <c r="E20">
        <v>0.43200000000000038</v>
      </c>
      <c r="F20">
        <f t="shared" si="2"/>
        <v>1.5802930356234146</v>
      </c>
      <c r="G20">
        <v>0.2163063053435117</v>
      </c>
      <c r="H20">
        <v>0.10709815836087243</v>
      </c>
    </row>
    <row r="21" spans="1:8">
      <c r="A21">
        <v>1916</v>
      </c>
      <c r="B21">
        <v>3.0320341237113411</v>
      </c>
      <c r="C21">
        <f t="shared" si="1"/>
        <v>33.804693872648599</v>
      </c>
      <c r="D21">
        <f t="shared" si="0"/>
        <v>27.421309408128614</v>
      </c>
      <c r="E21">
        <v>0.45750000000000002</v>
      </c>
      <c r="F21">
        <f t="shared" si="2"/>
        <v>2.574534123711341</v>
      </c>
      <c r="G21">
        <v>2.5442600584192441</v>
      </c>
      <c r="H21">
        <v>0.12941027468605421</v>
      </c>
    </row>
    <row r="22" spans="1:8">
      <c r="A22">
        <v>1917</v>
      </c>
      <c r="B22">
        <v>2.0514917949980997</v>
      </c>
      <c r="C22">
        <f t="shared" si="1"/>
        <v>35.856185667646699</v>
      </c>
      <c r="D22">
        <f t="shared" si="0"/>
        <v>30.877609340677928</v>
      </c>
      <c r="E22">
        <v>0.50289999999999946</v>
      </c>
      <c r="F22">
        <f t="shared" si="2"/>
        <v>1.5485917949981003</v>
      </c>
      <c r="G22">
        <v>0.68375916835979567</v>
      </c>
      <c r="H22">
        <v>0.1383351212161269</v>
      </c>
    </row>
    <row r="23" spans="1:8">
      <c r="A23">
        <v>1918</v>
      </c>
      <c r="B23">
        <v>1.231931058201063</v>
      </c>
      <c r="C23">
        <f t="shared" si="1"/>
        <v>37.088116725847762</v>
      </c>
      <c r="D23">
        <f t="shared" si="0"/>
        <v>34.701658707469171</v>
      </c>
      <c r="E23">
        <v>0.50349999999999984</v>
      </c>
      <c r="F23">
        <f t="shared" si="2"/>
        <v>0.72843105820106313</v>
      </c>
      <c r="G23">
        <v>5.3131423483245115</v>
      </c>
      <c r="H23">
        <v>0.12941027468605421</v>
      </c>
    </row>
    <row r="24" spans="1:8">
      <c r="A24">
        <v>1919</v>
      </c>
      <c r="B24">
        <v>2.9279627345844474</v>
      </c>
      <c r="C24">
        <f t="shared" si="1"/>
        <v>40.016079460432209</v>
      </c>
      <c r="D24">
        <f t="shared" si="0"/>
        <v>38.924571524935899</v>
      </c>
      <c r="E24">
        <v>0.55589999999999939</v>
      </c>
      <c r="F24">
        <f t="shared" si="2"/>
        <v>2.3720627345844481</v>
      </c>
      <c r="G24">
        <v>0.67165711349419155</v>
      </c>
      <c r="H24">
        <v>0.13387269795109058</v>
      </c>
    </row>
    <row r="25" spans="1:8">
      <c r="A25">
        <v>1920</v>
      </c>
      <c r="B25">
        <v>3.0773928695652089</v>
      </c>
      <c r="C25">
        <f t="shared" si="1"/>
        <v>43.093472329997418</v>
      </c>
      <c r="D25">
        <f t="shared" si="0"/>
        <v>43.579177197045269</v>
      </c>
      <c r="E25">
        <v>0.68890000000000029</v>
      </c>
      <c r="F25">
        <f t="shared" si="2"/>
        <v>2.3884928695652086</v>
      </c>
      <c r="G25">
        <v>0.30893131289855091</v>
      </c>
      <c r="H25">
        <v>0.14725996774619957</v>
      </c>
    </row>
    <row r="26" spans="1:8">
      <c r="A26">
        <v>1921</v>
      </c>
      <c r="B26">
        <v>2.2476625344352641</v>
      </c>
      <c r="C26">
        <f t="shared" si="1"/>
        <v>45.341134864432682</v>
      </c>
      <c r="D26">
        <f t="shared" si="0"/>
        <v>48.699999459140955</v>
      </c>
      <c r="E26">
        <v>0.76600000000000179</v>
      </c>
      <c r="F26">
        <f t="shared" si="2"/>
        <v>1.4816625344352623</v>
      </c>
      <c r="G26">
        <v>0.44735724517906306</v>
      </c>
      <c r="H26">
        <v>0.12048542815598148</v>
      </c>
    </row>
    <row r="27" spans="1:8">
      <c r="A27">
        <v>1922</v>
      </c>
      <c r="B27">
        <v>2.7541363687150806</v>
      </c>
      <c r="C27">
        <f t="shared" si="1"/>
        <v>48.095271233147763</v>
      </c>
      <c r="D27">
        <f t="shared" si="0"/>
        <v>54.323214801294384</v>
      </c>
      <c r="E27">
        <v>0.85890000000000022</v>
      </c>
      <c r="F27">
        <f t="shared" si="2"/>
        <v>1.8952363687150804</v>
      </c>
      <c r="G27">
        <v>8.3277730214152754</v>
      </c>
      <c r="H27">
        <v>0.1383351212161269</v>
      </c>
    </row>
    <row r="28" spans="1:8">
      <c r="A28">
        <v>1923</v>
      </c>
      <c r="B28">
        <v>2.8391544894614071</v>
      </c>
      <c r="C28">
        <f t="shared" si="1"/>
        <v>50.93442572260917</v>
      </c>
      <c r="D28">
        <f t="shared" si="0"/>
        <v>60.486587536020203</v>
      </c>
      <c r="E28">
        <v>1.0156999999999989</v>
      </c>
      <c r="F28">
        <f t="shared" si="2"/>
        <v>1.8234544894614082</v>
      </c>
      <c r="G28">
        <v>0.46604282018007837</v>
      </c>
      <c r="H28">
        <v>0.18295935386649043</v>
      </c>
    </row>
    <row r="29" spans="1:8">
      <c r="A29">
        <v>1924</v>
      </c>
      <c r="B29">
        <v>2.6261429885057481</v>
      </c>
      <c r="C29">
        <f t="shared" si="1"/>
        <v>53.560568711114918</v>
      </c>
      <c r="D29">
        <f t="shared" si="0"/>
        <v>67.229378574180146</v>
      </c>
      <c r="E29">
        <v>1.0143000000000004</v>
      </c>
      <c r="F29">
        <f t="shared" si="2"/>
        <v>1.6118429885057477</v>
      </c>
      <c r="G29">
        <v>1.3725755383141802</v>
      </c>
      <c r="H29">
        <v>0.20527147019167213</v>
      </c>
    </row>
    <row r="30" spans="1:8">
      <c r="A30">
        <v>1925</v>
      </c>
      <c r="B30">
        <v>3.0984713411078673</v>
      </c>
      <c r="C30">
        <f t="shared" si="1"/>
        <v>56.659040052222785</v>
      </c>
      <c r="D30">
        <f t="shared" si="0"/>
        <v>74.592224923850836</v>
      </c>
      <c r="E30">
        <v>1.0678999999999998</v>
      </c>
      <c r="F30">
        <f t="shared" si="2"/>
        <v>2.0305713411078674</v>
      </c>
      <c r="G30">
        <v>1.0186681938775521</v>
      </c>
      <c r="H30">
        <v>0.21419631672174483</v>
      </c>
    </row>
    <row r="31" spans="1:8">
      <c r="A31">
        <v>1926</v>
      </c>
      <c r="B31">
        <v>12.170540307692306</v>
      </c>
      <c r="C31">
        <f t="shared" si="1"/>
        <v>68.829580359915099</v>
      </c>
      <c r="D31">
        <f t="shared" si="0"/>
        <v>82.616986944403692</v>
      </c>
      <c r="E31">
        <v>1.0968</v>
      </c>
      <c r="F31">
        <f t="shared" si="2"/>
        <v>11.073740307692306</v>
      </c>
      <c r="G31">
        <v>2.1890621923076949</v>
      </c>
      <c r="H31">
        <v>0.23650843304692659</v>
      </c>
    </row>
    <row r="32" spans="1:8">
      <c r="A32">
        <v>1927</v>
      </c>
      <c r="B32">
        <v>20.955906924924946</v>
      </c>
      <c r="C32">
        <f t="shared" si="1"/>
        <v>89.785487284840045</v>
      </c>
      <c r="D32">
        <f t="shared" si="0"/>
        <v>91.346560487855768</v>
      </c>
      <c r="E32">
        <v>1.2629999999999999</v>
      </c>
      <c r="F32">
        <f t="shared" si="2"/>
        <v>19.692906924924948</v>
      </c>
      <c r="G32">
        <v>5.1598721956956979</v>
      </c>
      <c r="H32">
        <v>0.25882054937210835</v>
      </c>
    </row>
    <row r="33" spans="1:8">
      <c r="A33">
        <v>1928</v>
      </c>
      <c r="B33">
        <v>41.414989439024396</v>
      </c>
      <c r="C33">
        <f t="shared" si="1"/>
        <v>131.20047672386443</v>
      </c>
      <c r="D33">
        <f t="shared" si="0"/>
        <v>100.82465125843017</v>
      </c>
      <c r="E33">
        <v>1.325</v>
      </c>
      <c r="F33">
        <f t="shared" si="2"/>
        <v>40.089989439024393</v>
      </c>
      <c r="G33">
        <v>10.688223212601628</v>
      </c>
      <c r="H33">
        <v>0.28113266569729001</v>
      </c>
    </row>
    <row r="34" spans="1:8">
      <c r="A34">
        <v>1929</v>
      </c>
      <c r="B34">
        <v>6.2995125112447852</v>
      </c>
      <c r="C34">
        <f t="shared" si="1"/>
        <v>137.49998923510921</v>
      </c>
      <c r="D34">
        <f t="shared" si="0"/>
        <v>111.09550903624839</v>
      </c>
      <c r="E34">
        <v>1.4860000000000042</v>
      </c>
      <c r="F34">
        <f t="shared" si="2"/>
        <v>4.813512511244781</v>
      </c>
      <c r="G34">
        <v>1.8588128209491259</v>
      </c>
      <c r="H34">
        <v>0.34806901467283535</v>
      </c>
    </row>
    <row r="35" spans="1:8">
      <c r="A35">
        <v>1930</v>
      </c>
      <c r="B35">
        <v>19.315331761006291</v>
      </c>
      <c r="C35">
        <f t="shared" si="1"/>
        <v>156.8153209961155</v>
      </c>
      <c r="D35">
        <f t="shared" si="0"/>
        <v>122.2036198587313</v>
      </c>
      <c r="E35">
        <v>1.41</v>
      </c>
      <c r="F35">
        <f t="shared" si="2"/>
        <v>17.905331761006291</v>
      </c>
      <c r="G35">
        <v>4.0549626253139905</v>
      </c>
      <c r="H35">
        <v>0.35253143793787167</v>
      </c>
    </row>
    <row r="36" spans="1:8">
      <c r="A36">
        <v>1931</v>
      </c>
      <c r="B36">
        <v>2.8311615645709196</v>
      </c>
      <c r="C36">
        <f t="shared" si="1"/>
        <v>159.64648256068642</v>
      </c>
      <c r="D36">
        <f t="shared" si="0"/>
        <v>134.19335484867176</v>
      </c>
      <c r="E36">
        <v>1.3730000000000011</v>
      </c>
      <c r="F36">
        <f t="shared" si="2"/>
        <v>1.4581615645709185</v>
      </c>
      <c r="G36">
        <v>1.2831950794047771</v>
      </c>
      <c r="H36">
        <v>0.3079072052875082</v>
      </c>
    </row>
    <row r="37" spans="1:8">
      <c r="A37">
        <v>1932</v>
      </c>
      <c r="B37">
        <v>5.4187680151923416</v>
      </c>
      <c r="C37">
        <f t="shared" si="1"/>
        <v>165.06525057587876</v>
      </c>
      <c r="D37">
        <f t="shared" si="0"/>
        <v>147.10857513341045</v>
      </c>
      <c r="E37">
        <v>1.31</v>
      </c>
      <c r="F37">
        <f t="shared" si="2"/>
        <v>4.1087680151923411</v>
      </c>
      <c r="G37">
        <v>3.789658829004324</v>
      </c>
      <c r="H37">
        <v>0.28559508896232644</v>
      </c>
    </row>
    <row r="38" spans="1:8">
      <c r="A38">
        <v>1933</v>
      </c>
      <c r="B38">
        <v>2.7970148514851587</v>
      </c>
      <c r="C38">
        <f t="shared" si="1"/>
        <v>167.86226542736392</v>
      </c>
      <c r="D38">
        <f t="shared" si="0"/>
        <v>160.99219322323293</v>
      </c>
      <c r="E38">
        <v>1.4420000000000002</v>
      </c>
      <c r="F38">
        <f t="shared" si="2"/>
        <v>1.3550148514851585</v>
      </c>
      <c r="G38">
        <v>1.3394464698459814</v>
      </c>
      <c r="H38">
        <v>0.29005751222736281</v>
      </c>
    </row>
    <row r="39" spans="1:8">
      <c r="A39">
        <v>1934</v>
      </c>
      <c r="B39">
        <v>3.2139374832214855</v>
      </c>
      <c r="C39">
        <f t="shared" si="1"/>
        <v>171.07620291058541</v>
      </c>
      <c r="D39">
        <f t="shared" si="0"/>
        <v>175.88569231135992</v>
      </c>
      <c r="E39">
        <v>1.522000000000002</v>
      </c>
      <c r="F39">
        <f t="shared" si="2"/>
        <v>1.6919374832214835</v>
      </c>
      <c r="G39">
        <v>1.7662800950783009</v>
      </c>
      <c r="H39">
        <v>0.33021932161269002</v>
      </c>
    </row>
    <row r="40" spans="1:8">
      <c r="A40">
        <v>1935</v>
      </c>
      <c r="B40">
        <v>3.9829773754266284</v>
      </c>
      <c r="C40">
        <f t="shared" si="1"/>
        <v>175.05918028601204</v>
      </c>
      <c r="D40">
        <f t="shared" si="0"/>
        <v>191.82860621753156</v>
      </c>
      <c r="E40">
        <v>1.6539999999999999</v>
      </c>
      <c r="F40">
        <f t="shared" si="2"/>
        <v>2.3289773754266285</v>
      </c>
      <c r="G40">
        <v>2.5600008774004692</v>
      </c>
      <c r="H40">
        <v>0.35253143793787178</v>
      </c>
    </row>
    <row r="41" spans="1:8">
      <c r="A41">
        <v>1936</v>
      </c>
      <c r="B41">
        <v>22.290020131027234</v>
      </c>
      <c r="C41">
        <f t="shared" si="1"/>
        <v>197.34920041703927</v>
      </c>
      <c r="D41">
        <f t="shared" si="0"/>
        <v>208.85796410777991</v>
      </c>
      <c r="E41">
        <v>1.7920000000000016</v>
      </c>
      <c r="F41">
        <f t="shared" si="2"/>
        <v>20.498020131027232</v>
      </c>
      <c r="G41">
        <v>12.64375410185184</v>
      </c>
      <c r="H41">
        <v>0.43285505670852603</v>
      </c>
    </row>
    <row r="42" spans="1:8">
      <c r="A42">
        <v>1937</v>
      </c>
      <c r="B42">
        <v>10.86768205087003</v>
      </c>
      <c r="C42">
        <f t="shared" si="1"/>
        <v>208.2168824679093</v>
      </c>
      <c r="D42">
        <f t="shared" si="0"/>
        <v>227.00770565932277</v>
      </c>
      <c r="E42">
        <v>2.0390000000000015</v>
      </c>
      <c r="F42">
        <f t="shared" si="2"/>
        <v>8.8286820508700288</v>
      </c>
      <c r="G42">
        <v>4.9389913416154911</v>
      </c>
      <c r="H42">
        <v>0.48194171262392593</v>
      </c>
    </row>
    <row r="43" spans="1:8">
      <c r="A43">
        <v>1938</v>
      </c>
      <c r="B43">
        <v>69.64410665467625</v>
      </c>
      <c r="C43">
        <f t="shared" si="1"/>
        <v>277.86098912258558</v>
      </c>
      <c r="D43">
        <f t="shared" si="0"/>
        <v>246.30807396434886</v>
      </c>
      <c r="E43">
        <v>1.9879999999999995</v>
      </c>
      <c r="F43">
        <f t="shared" si="2"/>
        <v>67.65610665467625</v>
      </c>
      <c r="G43">
        <v>15.890366069964529</v>
      </c>
      <c r="H43">
        <v>0.46409201956378054</v>
      </c>
    </row>
    <row r="44" spans="1:8">
      <c r="A44">
        <v>1939</v>
      </c>
      <c r="B44">
        <v>5.4334761491464292</v>
      </c>
      <c r="C44">
        <f t="shared" si="1"/>
        <v>283.29446527173201</v>
      </c>
      <c r="D44">
        <f t="shared" si="0"/>
        <v>266.78499512985962</v>
      </c>
      <c r="E44">
        <v>2.0859999999999985</v>
      </c>
      <c r="F44">
        <f t="shared" si="2"/>
        <v>3.3474761491464307</v>
      </c>
      <c r="G44">
        <v>3.4654715998055394</v>
      </c>
      <c r="H44">
        <v>0.49979140568407132</v>
      </c>
    </row>
    <row r="45" spans="1:8">
      <c r="A45">
        <v>1940</v>
      </c>
      <c r="B45">
        <v>36.123333417910487</v>
      </c>
      <c r="C45">
        <f t="shared" si="1"/>
        <v>319.4177986896425</v>
      </c>
      <c r="D45">
        <f t="shared" si="0"/>
        <v>288.45945516999956</v>
      </c>
      <c r="E45">
        <v>2.15</v>
      </c>
      <c r="F45">
        <f t="shared" si="2"/>
        <v>33.973333417910489</v>
      </c>
      <c r="G45">
        <v>9.5677838175993344</v>
      </c>
      <c r="H45">
        <v>0.51764109874421671</v>
      </c>
    </row>
    <row r="46" spans="1:8">
      <c r="A46">
        <v>1941</v>
      </c>
      <c r="B46">
        <v>12.533817730038038</v>
      </c>
      <c r="C46">
        <f t="shared" si="1"/>
        <v>331.95161641968053</v>
      </c>
      <c r="D46">
        <f t="shared" si="0"/>
        <v>311.34688632809764</v>
      </c>
      <c r="E46">
        <v>2.2210000000000036</v>
      </c>
      <c r="F46">
        <f t="shared" si="2"/>
        <v>10.312817730038034</v>
      </c>
      <c r="G46">
        <v>9.3486072355849075</v>
      </c>
      <c r="H46">
        <v>0.55334048486450749</v>
      </c>
    </row>
    <row r="47" spans="1:8">
      <c r="A47">
        <v>1942</v>
      </c>
      <c r="B47">
        <v>4.0528710068743408</v>
      </c>
      <c r="C47">
        <f t="shared" si="1"/>
        <v>336.00448742655487</v>
      </c>
      <c r="D47">
        <f t="shared" si="0"/>
        <v>335.45657632401424</v>
      </c>
      <c r="E47">
        <v>2.0930000000000035</v>
      </c>
      <c r="F47">
        <f t="shared" si="2"/>
        <v>1.9598710068743372</v>
      </c>
      <c r="G47">
        <v>2.1284747454050716</v>
      </c>
      <c r="H47">
        <v>0.58011502445472563</v>
      </c>
    </row>
    <row r="48" spans="1:8">
      <c r="A48">
        <v>1943</v>
      </c>
      <c r="B48">
        <v>2.6845747796256205</v>
      </c>
      <c r="C48">
        <f t="shared" si="1"/>
        <v>338.68906220618049</v>
      </c>
      <c r="D48">
        <f t="shared" si="0"/>
        <v>360.79111510809139</v>
      </c>
      <c r="E48">
        <v>2.2569999999999908</v>
      </c>
      <c r="F48">
        <f t="shared" si="2"/>
        <v>0.42757477962562973</v>
      </c>
      <c r="G48">
        <v>2.0454549358766201</v>
      </c>
      <c r="H48">
        <v>0.64705137343027086</v>
      </c>
    </row>
    <row r="49" spans="1:8">
      <c r="A49">
        <v>1944</v>
      </c>
      <c r="B49">
        <v>9.0177446906066621</v>
      </c>
      <c r="C49">
        <f t="shared" si="1"/>
        <v>347.70680689678716</v>
      </c>
      <c r="D49">
        <f t="shared" si="0"/>
        <v>387.34589442420446</v>
      </c>
      <c r="E49">
        <v>2.5930000000000035</v>
      </c>
      <c r="F49">
        <f t="shared" si="2"/>
        <v>6.4247446906066585</v>
      </c>
      <c r="G49">
        <v>3.3057199506796735</v>
      </c>
      <c r="H49">
        <v>0.70060045261070703</v>
      </c>
    </row>
    <row r="50" spans="1:8">
      <c r="A50">
        <v>1945</v>
      </c>
      <c r="B50">
        <v>15.860460063747155</v>
      </c>
      <c r="C50">
        <f t="shared" si="1"/>
        <v>363.56726696053431</v>
      </c>
      <c r="D50">
        <f t="shared" si="0"/>
        <v>415.10867575320947</v>
      </c>
      <c r="E50">
        <v>2.5949999999999918</v>
      </c>
      <c r="F50">
        <f t="shared" si="2"/>
        <v>13.265460063747163</v>
      </c>
      <c r="G50">
        <v>6.3379351859446729</v>
      </c>
      <c r="H50">
        <v>0.7541495317911433</v>
      </c>
    </row>
    <row r="51" spans="1:8">
      <c r="A51">
        <v>1946</v>
      </c>
      <c r="B51">
        <v>4.3632244709581869</v>
      </c>
      <c r="C51">
        <f t="shared" si="1"/>
        <v>367.9304914314925</v>
      </c>
      <c r="D51">
        <f t="shared" si="0"/>
        <v>444.05924194726026</v>
      </c>
      <c r="E51">
        <v>2.7450000000000001</v>
      </c>
      <c r="F51">
        <f t="shared" si="2"/>
        <v>1.6182244709581868</v>
      </c>
      <c r="G51">
        <v>3.3494509068693787</v>
      </c>
      <c r="H51">
        <v>0.78538649464639776</v>
      </c>
    </row>
    <row r="52" spans="1:8">
      <c r="A52">
        <v>1947</v>
      </c>
      <c r="B52">
        <v>4.0050859391313338</v>
      </c>
      <c r="C52">
        <f t="shared" si="1"/>
        <v>371.93557737062383</v>
      </c>
      <c r="D52">
        <f t="shared" si="0"/>
        <v>474.16914701541282</v>
      </c>
      <c r="E52">
        <v>3.0219999999999985</v>
      </c>
      <c r="F52">
        <f t="shared" si="2"/>
        <v>0.98308593913133535</v>
      </c>
      <c r="G52">
        <v>4.2833420003200331</v>
      </c>
      <c r="H52">
        <v>0.8746349599471247</v>
      </c>
    </row>
    <row r="53" spans="1:8">
      <c r="A53">
        <v>1948</v>
      </c>
      <c r="B53">
        <v>140.02570188248927</v>
      </c>
      <c r="C53">
        <f t="shared" si="1"/>
        <v>511.9612792531131</v>
      </c>
      <c r="D53">
        <f t="shared" si="0"/>
        <v>505.40157704651034</v>
      </c>
      <c r="E53">
        <v>3.4329999999999998</v>
      </c>
      <c r="F53">
        <f t="shared" si="2"/>
        <v>136.59270188248928</v>
      </c>
      <c r="G53">
        <v>38.318426732385547</v>
      </c>
      <c r="H53">
        <v>0.98173311830799725</v>
      </c>
    </row>
    <row r="54" spans="1:8">
      <c r="A54">
        <v>1949</v>
      </c>
      <c r="B54">
        <v>20.155221569111859</v>
      </c>
      <c r="C54">
        <f t="shared" si="1"/>
        <v>532.11650082222491</v>
      </c>
      <c r="D54">
        <f t="shared" si="0"/>
        <v>537.71133315215639</v>
      </c>
      <c r="E54">
        <v>3.4040000000000035</v>
      </c>
      <c r="F54">
        <f t="shared" si="2"/>
        <v>16.751221569111856</v>
      </c>
      <c r="G54">
        <v>10.684588604722649</v>
      </c>
      <c r="H54">
        <v>1.0442070440185061</v>
      </c>
    </row>
    <row r="55" spans="1:8">
      <c r="A55">
        <v>1950</v>
      </c>
      <c r="B55">
        <v>11.259292637412727</v>
      </c>
      <c r="C55">
        <f t="shared" si="1"/>
        <v>543.37579345963763</v>
      </c>
      <c r="D55">
        <f t="shared" si="0"/>
        <v>571.04494461139734</v>
      </c>
      <c r="E55">
        <v>3.8029999999999973</v>
      </c>
      <c r="F55">
        <f t="shared" si="2"/>
        <v>7.4562926374127301</v>
      </c>
      <c r="G55">
        <v>6.7572396751822907</v>
      </c>
      <c r="H55">
        <v>1.2182415513549236</v>
      </c>
    </row>
    <row r="56" spans="1:8">
      <c r="A56">
        <v>1951</v>
      </c>
      <c r="B56">
        <v>41.390498503676099</v>
      </c>
      <c r="C56">
        <f t="shared" si="1"/>
        <v>584.76629196331373</v>
      </c>
      <c r="D56">
        <f t="shared" si="0"/>
        <v>605.3409171680504</v>
      </c>
      <c r="E56">
        <v>4.2830000000000013</v>
      </c>
      <c r="F56">
        <f t="shared" si="2"/>
        <v>37.107498503676098</v>
      </c>
      <c r="G56">
        <v>6.2239826131463474</v>
      </c>
      <c r="H56">
        <v>1.3533333333333317</v>
      </c>
    </row>
    <row r="57" spans="1:8">
      <c r="A57">
        <v>1952</v>
      </c>
      <c r="B57">
        <v>6.2756331251572419</v>
      </c>
      <c r="C57">
        <f t="shared" si="1"/>
        <v>591.04192508847098</v>
      </c>
      <c r="D57">
        <f t="shared" si="0"/>
        <v>640.53011777731933</v>
      </c>
      <c r="E57">
        <v>4.5190000000000055</v>
      </c>
      <c r="F57">
        <f t="shared" si="2"/>
        <v>1.7566331251572365</v>
      </c>
      <c r="G57">
        <v>7.4782866608983625</v>
      </c>
      <c r="H57">
        <v>1.4633333333333347</v>
      </c>
    </row>
    <row r="58" spans="1:8">
      <c r="A58">
        <v>1953</v>
      </c>
      <c r="B58">
        <v>40.751121139232282</v>
      </c>
      <c r="C58">
        <f t="shared" si="1"/>
        <v>631.79304622770326</v>
      </c>
      <c r="D58">
        <f t="shared" si="0"/>
        <v>676.53629316021352</v>
      </c>
      <c r="E58">
        <v>4.798000000000016</v>
      </c>
      <c r="F58">
        <f t="shared" si="2"/>
        <v>35.953121139232266</v>
      </c>
      <c r="G58">
        <v>11.222012520452466</v>
      </c>
      <c r="H58">
        <v>1.576666666666668</v>
      </c>
    </row>
    <row r="59" spans="1:8">
      <c r="A59">
        <v>1954</v>
      </c>
      <c r="B59">
        <v>21.810292434667531</v>
      </c>
      <c r="C59">
        <f t="shared" si="1"/>
        <v>653.60333866237079</v>
      </c>
      <c r="D59">
        <f t="shared" si="0"/>
        <v>713.27671546957367</v>
      </c>
      <c r="E59">
        <v>5.0180000000000007</v>
      </c>
      <c r="F59">
        <f t="shared" si="2"/>
        <v>16.79229243466753</v>
      </c>
      <c r="G59">
        <v>12.55014571358862</v>
      </c>
      <c r="H59">
        <v>1.6533333333333324</v>
      </c>
    </row>
    <row r="60" spans="1:8">
      <c r="A60">
        <v>1955</v>
      </c>
      <c r="B60">
        <v>28.453887020119168</v>
      </c>
      <c r="C60">
        <f t="shared" si="1"/>
        <v>682.05722568248996</v>
      </c>
      <c r="D60">
        <f t="shared" si="0"/>
        <v>750.66294438544753</v>
      </c>
      <c r="E60">
        <v>5.6260000000000048</v>
      </c>
      <c r="F60">
        <f t="shared" si="2"/>
        <v>22.827887020119164</v>
      </c>
      <c r="G60">
        <v>6.5946240742329678</v>
      </c>
      <c r="H60">
        <v>1.7849999999999999</v>
      </c>
    </row>
    <row r="61" spans="1:8">
      <c r="A61">
        <v>1956</v>
      </c>
      <c r="B61">
        <v>26.068335569409896</v>
      </c>
      <c r="C61">
        <f t="shared" si="1"/>
        <v>708.12556125189985</v>
      </c>
      <c r="D61">
        <f t="shared" si="0"/>
        <v>788.60169123161972</v>
      </c>
      <c r="E61">
        <v>6.1249999999999858</v>
      </c>
      <c r="F61">
        <f t="shared" si="2"/>
        <v>19.943335569409911</v>
      </c>
      <c r="G61">
        <v>11.962398544632492</v>
      </c>
      <c r="H61">
        <v>1.9366666666666674</v>
      </c>
    </row>
    <row r="62" spans="1:8">
      <c r="A62">
        <v>1957</v>
      </c>
      <c r="B62">
        <v>53.905467900350573</v>
      </c>
      <c r="C62">
        <f t="shared" si="1"/>
        <v>762.03102915225043</v>
      </c>
      <c r="D62">
        <f t="shared" si="0"/>
        <v>826.9957674244481</v>
      </c>
      <c r="E62">
        <v>6.4390000000000072</v>
      </c>
      <c r="F62">
        <f t="shared" si="2"/>
        <v>47.466467900350565</v>
      </c>
      <c r="G62">
        <v>30.292772652130793</v>
      </c>
      <c r="H62">
        <v>2.1133333333333297</v>
      </c>
    </row>
    <row r="63" spans="1:8">
      <c r="A63">
        <v>1958</v>
      </c>
      <c r="B63">
        <v>51.319710359868509</v>
      </c>
      <c r="C63">
        <f t="shared" si="1"/>
        <v>813.35073951211893</v>
      </c>
      <c r="D63">
        <f t="shared" si="0"/>
        <v>865.74509689496119</v>
      </c>
      <c r="E63">
        <v>6.6080000000000183</v>
      </c>
      <c r="F63">
        <f t="shared" si="2"/>
        <v>44.711710359868491</v>
      </c>
      <c r="G63">
        <v>23.035957841788786</v>
      </c>
      <c r="H63">
        <v>2.2966666666666669</v>
      </c>
    </row>
    <row r="64" spans="1:8">
      <c r="A64">
        <v>1959</v>
      </c>
      <c r="B64">
        <v>27.858044458970312</v>
      </c>
      <c r="C64">
        <f t="shared" si="1"/>
        <v>841.20878397108925</v>
      </c>
      <c r="D64">
        <f t="shared" si="0"/>
        <v>904.74777019943917</v>
      </c>
      <c r="E64">
        <v>7.1340000000000003</v>
      </c>
      <c r="F64">
        <f t="shared" si="2"/>
        <v>20.724044458970312</v>
      </c>
      <c r="G64">
        <v>27.939074202437212</v>
      </c>
      <c r="H64">
        <v>2.56666666666667</v>
      </c>
    </row>
    <row r="65" spans="1:8">
      <c r="A65">
        <v>1960</v>
      </c>
      <c r="B65">
        <v>59.694611772057669</v>
      </c>
      <c r="C65">
        <f t="shared" si="1"/>
        <v>900.90339574314692</v>
      </c>
      <c r="D65">
        <f t="shared" si="0"/>
        <v>943.90111694475979</v>
      </c>
      <c r="E65">
        <v>7.6613499999999988</v>
      </c>
      <c r="F65">
        <f t="shared" si="2"/>
        <v>52.033261772057671</v>
      </c>
      <c r="G65">
        <v>13.392083863513506</v>
      </c>
      <c r="H65">
        <v>2.82</v>
      </c>
    </row>
    <row r="66" spans="1:8">
      <c r="A66">
        <v>1961</v>
      </c>
      <c r="B66">
        <v>48.463952834402107</v>
      </c>
      <c r="C66">
        <f t="shared" si="1"/>
        <v>949.36734857754902</v>
      </c>
      <c r="D66">
        <f t="shared" si="0"/>
        <v>983.10277294757475</v>
      </c>
      <c r="E66">
        <v>8.1942499999999967</v>
      </c>
      <c r="F66">
        <f t="shared" si="2"/>
        <v>40.269702834402111</v>
      </c>
      <c r="G66">
        <v>17.239048540623571</v>
      </c>
      <c r="H66">
        <v>3.0649999999999999</v>
      </c>
    </row>
    <row r="67" spans="1:8">
      <c r="A67">
        <v>1962</v>
      </c>
      <c r="B67">
        <v>50.423987572940064</v>
      </c>
      <c r="C67">
        <f t="shared" si="1"/>
        <v>999.79133615048909</v>
      </c>
      <c r="D67">
        <f t="shared" si="0"/>
        <v>1022.2517192151115</v>
      </c>
      <c r="E67">
        <v>8.8877500000000111</v>
      </c>
      <c r="F67">
        <f t="shared" si="2"/>
        <v>41.536237572940053</v>
      </c>
      <c r="G67">
        <v>16.591160842376951</v>
      </c>
      <c r="H67">
        <v>3.3483333333333363</v>
      </c>
    </row>
    <row r="68" spans="1:8">
      <c r="A68">
        <v>1963</v>
      </c>
      <c r="B68">
        <v>28.875617261955881</v>
      </c>
      <c r="C68">
        <f t="shared" si="1"/>
        <v>1028.6669534124449</v>
      </c>
      <c r="D68">
        <f t="shared" si="0"/>
        <v>1061.2492713256511</v>
      </c>
      <c r="E68">
        <v>9.5374500000000353</v>
      </c>
      <c r="F68">
        <f t="shared" si="2"/>
        <v>19.338167261955846</v>
      </c>
      <c r="G68">
        <v>15.573388172625698</v>
      </c>
      <c r="H68">
        <v>3.5033333333333303</v>
      </c>
    </row>
    <row r="69" spans="1:8">
      <c r="A69">
        <v>1964</v>
      </c>
      <c r="B69">
        <v>80.541308027809009</v>
      </c>
      <c r="C69">
        <f t="shared" si="1"/>
        <v>1109.2082614402539</v>
      </c>
      <c r="D69">
        <f t="shared" si="0"/>
        <v>1100</v>
      </c>
      <c r="E69">
        <v>10.285699999999991</v>
      </c>
      <c r="F69">
        <f t="shared" si="2"/>
        <v>70.255608027809018</v>
      </c>
      <c r="G69">
        <v>43.9744923136127</v>
      </c>
      <c r="H69">
        <v>3.8149999999999999</v>
      </c>
    </row>
    <row r="70" spans="1:8">
      <c r="A70">
        <v>1965</v>
      </c>
      <c r="B70">
        <v>45.304776890909125</v>
      </c>
      <c r="C70">
        <f t="shared" si="1"/>
        <v>1154.513038331163</v>
      </c>
      <c r="D70">
        <f t="shared" ref="D70:D108" si="3">+$D$1/(1+($D$2/($A70-1850))^$D$3)</f>
        <v>1138.4125664580595</v>
      </c>
      <c r="E70">
        <v>11.070449999999994</v>
      </c>
      <c r="F70">
        <f t="shared" si="2"/>
        <v>34.234326890909131</v>
      </c>
      <c r="G70">
        <v>34.104477098973632</v>
      </c>
      <c r="H70">
        <v>4.0800000000000054</v>
      </c>
    </row>
    <row r="71" spans="1:8">
      <c r="A71">
        <v>1966</v>
      </c>
      <c r="B71">
        <v>26.503682225677039</v>
      </c>
      <c r="C71">
        <f t="shared" ref="C71:C108" si="4">+$B71+$C70</f>
        <v>1181.01672055684</v>
      </c>
      <c r="D71">
        <f t="shared" si="3"/>
        <v>1176.4004593885954</v>
      </c>
      <c r="E71">
        <v>12.030400000000014</v>
      </c>
      <c r="F71">
        <f t="shared" ref="F71:F108" si="5">+B71-E71</f>
        <v>14.473282225677025</v>
      </c>
      <c r="G71">
        <v>79.788019962681176</v>
      </c>
      <c r="H71">
        <v>4.4083333333333314</v>
      </c>
    </row>
    <row r="72" spans="1:8">
      <c r="A72">
        <v>1967</v>
      </c>
      <c r="B72">
        <v>27.999879462509853</v>
      </c>
      <c r="C72">
        <f t="shared" si="4"/>
        <v>1209.0166000193499</v>
      </c>
      <c r="D72">
        <f t="shared" si="3"/>
        <v>1213.8826238545464</v>
      </c>
      <c r="E72">
        <v>12.917349999999999</v>
      </c>
      <c r="F72">
        <f t="shared" si="5"/>
        <v>15.082529462509854</v>
      </c>
      <c r="G72">
        <v>27.53694368695642</v>
      </c>
      <c r="H72">
        <v>4.7233333333333292</v>
      </c>
    </row>
    <row r="73" spans="1:8">
      <c r="A73">
        <v>1968</v>
      </c>
      <c r="B73">
        <v>51.178783036163395</v>
      </c>
      <c r="C73">
        <f t="shared" si="4"/>
        <v>1260.1953830555133</v>
      </c>
      <c r="D73">
        <f t="shared" si="3"/>
        <v>1250.7839760390166</v>
      </c>
      <c r="E73">
        <v>14.099950000000007</v>
      </c>
      <c r="F73">
        <f t="shared" si="5"/>
        <v>37.078833036163388</v>
      </c>
      <c r="G73">
        <v>31.501048184486081</v>
      </c>
      <c r="H73">
        <v>5.2333333333333343</v>
      </c>
    </row>
    <row r="74" spans="1:8">
      <c r="A74">
        <v>1969</v>
      </c>
      <c r="B74">
        <v>28.714141927089941</v>
      </c>
      <c r="C74">
        <f t="shared" si="4"/>
        <v>1288.9095249826032</v>
      </c>
      <c r="D74">
        <f t="shared" si="3"/>
        <v>1287.0358012467825</v>
      </c>
      <c r="E74">
        <v>15.220499999999987</v>
      </c>
      <c r="F74">
        <f t="shared" si="5"/>
        <v>13.493641927089953</v>
      </c>
      <c r="G74">
        <v>51.479817249397001</v>
      </c>
      <c r="H74">
        <v>5.7316666666666691</v>
      </c>
    </row>
    <row r="75" spans="1:8">
      <c r="A75">
        <v>1970</v>
      </c>
      <c r="B75">
        <v>20.448197203794962</v>
      </c>
      <c r="C75">
        <f t="shared" si="4"/>
        <v>1309.3577221863982</v>
      </c>
      <c r="D75">
        <f t="shared" si="3"/>
        <v>1322.5760358703283</v>
      </c>
      <c r="E75">
        <v>16.748390000000001</v>
      </c>
      <c r="F75">
        <f t="shared" si="5"/>
        <v>3.6998072037949612</v>
      </c>
      <c r="G75">
        <v>19.406528531225604</v>
      </c>
      <c r="H75">
        <v>6.3483333333333292</v>
      </c>
    </row>
    <row r="76" spans="1:8">
      <c r="A76">
        <v>1971</v>
      </c>
      <c r="B76">
        <v>74.486124167880234</v>
      </c>
      <c r="C76">
        <f t="shared" si="4"/>
        <v>1383.8438463542784</v>
      </c>
      <c r="D76">
        <f t="shared" si="3"/>
        <v>1357.3494369915286</v>
      </c>
      <c r="E76">
        <v>17.709070000000025</v>
      </c>
      <c r="F76">
        <f t="shared" si="5"/>
        <v>56.777054167880209</v>
      </c>
      <c r="G76">
        <v>286.20006832611216</v>
      </c>
      <c r="H76">
        <v>6.8650000000000091</v>
      </c>
    </row>
    <row r="77" spans="1:8">
      <c r="A77">
        <v>1972</v>
      </c>
      <c r="B77">
        <v>14.581348815373758</v>
      </c>
      <c r="C77">
        <f t="shared" si="4"/>
        <v>1398.4251951696522</v>
      </c>
      <c r="D77">
        <f t="shared" si="3"/>
        <v>1391.3076458334865</v>
      </c>
      <c r="E77">
        <v>18.665369999999996</v>
      </c>
      <c r="F77">
        <f t="shared" si="5"/>
        <v>-4.0840211846262378</v>
      </c>
      <c r="G77">
        <v>18.808883648914161</v>
      </c>
      <c r="H77">
        <v>7.2683333333333309</v>
      </c>
    </row>
    <row r="78" spans="1:8">
      <c r="A78">
        <v>1973</v>
      </c>
      <c r="B78">
        <v>28.265151282255374</v>
      </c>
      <c r="C78">
        <f t="shared" si="4"/>
        <v>1426.6903464519075</v>
      </c>
      <c r="D78">
        <f t="shared" si="3"/>
        <v>1424.4091533462724</v>
      </c>
      <c r="E78">
        <v>20.322834999999998</v>
      </c>
      <c r="F78">
        <f t="shared" si="5"/>
        <v>7.9423162822553763</v>
      </c>
      <c r="G78">
        <v>40.734449251292745</v>
      </c>
      <c r="H78">
        <v>7.6883333333333326</v>
      </c>
    </row>
    <row r="79" spans="1:8">
      <c r="A79">
        <v>1974</v>
      </c>
      <c r="B79">
        <v>30.543846952047261</v>
      </c>
      <c r="C79">
        <f t="shared" si="4"/>
        <v>1457.2341934039548</v>
      </c>
      <c r="D79">
        <f t="shared" si="3"/>
        <v>1456.6191777803042</v>
      </c>
      <c r="E79">
        <v>20.336340000000007</v>
      </c>
      <c r="F79">
        <f t="shared" si="5"/>
        <v>10.207506952047254</v>
      </c>
      <c r="G79">
        <v>31.729699550008945</v>
      </c>
      <c r="H79">
        <v>7.8616666666666646</v>
      </c>
    </row>
    <row r="80" spans="1:8">
      <c r="A80">
        <v>1975</v>
      </c>
      <c r="B80">
        <v>25.450709338811293</v>
      </c>
      <c r="C80">
        <f t="shared" si="4"/>
        <v>1482.6849027427661</v>
      </c>
      <c r="D80">
        <f t="shared" si="3"/>
        <v>1487.9094651741707</v>
      </c>
      <c r="E80">
        <v>19.282219999999995</v>
      </c>
      <c r="F80">
        <f t="shared" si="5"/>
        <v>6.1684893388112982</v>
      </c>
      <c r="G80">
        <v>16.351586447210821</v>
      </c>
      <c r="H80">
        <v>7.8683333333333394</v>
      </c>
    </row>
    <row r="81" spans="1:8">
      <c r="A81">
        <v>1976</v>
      </c>
      <c r="B81">
        <v>46.071667444711011</v>
      </c>
      <c r="C81">
        <f t="shared" si="4"/>
        <v>1528.7565701874771</v>
      </c>
      <c r="D81">
        <f t="shared" si="3"/>
        <v>1518.2580242851882</v>
      </c>
      <c r="E81">
        <v>20.930560000000014</v>
      </c>
      <c r="F81">
        <f t="shared" si="5"/>
        <v>25.141107444710997</v>
      </c>
      <c r="G81">
        <v>30.644739561310416</v>
      </c>
      <c r="H81">
        <v>8.2433333333333394</v>
      </c>
    </row>
    <row r="82" spans="1:8">
      <c r="A82">
        <v>1977</v>
      </c>
      <c r="B82">
        <v>48.263508969705299</v>
      </c>
      <c r="C82">
        <f t="shared" si="4"/>
        <v>1577.0200791571824</v>
      </c>
      <c r="D82">
        <f t="shared" si="3"/>
        <v>1547.6488076643973</v>
      </c>
      <c r="E82">
        <v>21.793054999999981</v>
      </c>
      <c r="F82">
        <f t="shared" si="5"/>
        <v>26.470453969705318</v>
      </c>
      <c r="G82">
        <v>24.383316986530872</v>
      </c>
      <c r="H82">
        <v>8.3499999999999943</v>
      </c>
    </row>
    <row r="83" spans="1:8">
      <c r="A83">
        <v>1978</v>
      </c>
      <c r="B83">
        <v>21.783025611320909</v>
      </c>
      <c r="C83">
        <f t="shared" si="4"/>
        <v>1598.8031047685033</v>
      </c>
      <c r="D83">
        <f t="shared" si="3"/>
        <v>1576.0713503791956</v>
      </c>
      <c r="E83">
        <v>21.957670000000007</v>
      </c>
      <c r="F83">
        <f t="shared" si="5"/>
        <v>-0.17464438867909848</v>
      </c>
      <c r="G83">
        <v>15.344565557972828</v>
      </c>
      <c r="H83">
        <v>8.625</v>
      </c>
    </row>
    <row r="84" spans="1:8">
      <c r="A84">
        <v>1979</v>
      </c>
      <c r="B84">
        <v>40.382971237399488</v>
      </c>
      <c r="C84">
        <f t="shared" si="4"/>
        <v>1639.1860760059028</v>
      </c>
      <c r="D84">
        <f t="shared" si="3"/>
        <v>1603.5203773799699</v>
      </c>
      <c r="E84">
        <v>22.876010000000008</v>
      </c>
      <c r="F84">
        <f t="shared" si="5"/>
        <v>17.50696123739948</v>
      </c>
      <c r="G84">
        <v>29.648787729175183</v>
      </c>
      <c r="H84">
        <v>9.6116666666666788</v>
      </c>
    </row>
    <row r="85" spans="1:8">
      <c r="A85">
        <v>1980</v>
      </c>
      <c r="B85">
        <v>14.912814567776877</v>
      </c>
      <c r="C85">
        <f t="shared" si="4"/>
        <v>1654.0988905736797</v>
      </c>
      <c r="D85">
        <f t="shared" si="3"/>
        <v>1629.9953897584053</v>
      </c>
      <c r="E85">
        <v>21.754000000000019</v>
      </c>
      <c r="F85">
        <f t="shared" si="5"/>
        <v>-6.841185432223142</v>
      </c>
      <c r="G85">
        <v>11.988461827962965</v>
      </c>
      <c r="H85">
        <v>9.7583333333333258</v>
      </c>
    </row>
    <row r="86" spans="1:8">
      <c r="A86">
        <v>1981</v>
      </c>
      <c r="B86">
        <v>16.2900305860137</v>
      </c>
      <c r="C86">
        <f t="shared" si="4"/>
        <v>1670.3889211596934</v>
      </c>
      <c r="D86">
        <f t="shared" si="3"/>
        <v>1655.5002392199519</v>
      </c>
      <c r="E86">
        <v>20.467739999999992</v>
      </c>
      <c r="F86">
        <f t="shared" si="5"/>
        <v>-4.1777094139862925</v>
      </c>
      <c r="G86">
        <v>14.456386221588218</v>
      </c>
      <c r="H86">
        <v>9.6966666666666583</v>
      </c>
    </row>
    <row r="87" spans="1:8">
      <c r="A87">
        <v>1982</v>
      </c>
      <c r="B87">
        <v>19.154062119800301</v>
      </c>
      <c r="C87">
        <f t="shared" si="4"/>
        <v>1689.5429832794937</v>
      </c>
      <c r="D87">
        <f t="shared" si="3"/>
        <v>1680.042699052291</v>
      </c>
      <c r="E87">
        <v>19.520564999999976</v>
      </c>
      <c r="F87">
        <f t="shared" si="5"/>
        <v>-0.36650288019967547</v>
      </c>
      <c r="G87">
        <v>15.160242509338559</v>
      </c>
      <c r="H87">
        <v>9.2799999999999994</v>
      </c>
    </row>
    <row r="88" spans="1:8">
      <c r="A88">
        <v>1983</v>
      </c>
      <c r="B88">
        <v>12.817823201258307</v>
      </c>
      <c r="C88">
        <f t="shared" si="4"/>
        <v>1702.360806480752</v>
      </c>
      <c r="D88">
        <f t="shared" si="3"/>
        <v>1703.6340387702626</v>
      </c>
      <c r="E88">
        <v>19.438440000000014</v>
      </c>
      <c r="F88">
        <f t="shared" si="5"/>
        <v>-6.6206167987417075</v>
      </c>
      <c r="G88">
        <v>10.627704430491804</v>
      </c>
      <c r="H88">
        <v>9.2183333333333337</v>
      </c>
    </row>
    <row r="89" spans="1:8">
      <c r="A89">
        <v>1984</v>
      </c>
      <c r="B89">
        <v>19.346113730817024</v>
      </c>
      <c r="C89">
        <f t="shared" si="4"/>
        <v>1721.706920211569</v>
      </c>
      <c r="D89">
        <f t="shared" si="3"/>
        <v>1726.2886085025618</v>
      </c>
      <c r="E89">
        <v>19.888485000000003</v>
      </c>
      <c r="F89">
        <f t="shared" si="5"/>
        <v>-0.54237126918297918</v>
      </c>
      <c r="G89">
        <v>12.607506913316229</v>
      </c>
      <c r="H89">
        <v>10.015000000000001</v>
      </c>
    </row>
    <row r="90" spans="1:8">
      <c r="A90">
        <v>1985</v>
      </c>
      <c r="B90">
        <v>19.108749793652805</v>
      </c>
      <c r="C90">
        <f t="shared" si="4"/>
        <v>1740.8156700052218</v>
      </c>
      <c r="D90">
        <f t="shared" si="3"/>
        <v>1748.0234380949985</v>
      </c>
      <c r="E90">
        <v>19.703430000000026</v>
      </c>
      <c r="F90">
        <f t="shared" si="5"/>
        <v>-0.59468020634722052</v>
      </c>
      <c r="G90">
        <v>10.999307441398969</v>
      </c>
      <c r="H90">
        <v>10.436666666666667</v>
      </c>
    </row>
    <row r="91" spans="1:8">
      <c r="A91">
        <v>1986</v>
      </c>
      <c r="B91">
        <v>13.589974879575948</v>
      </c>
      <c r="C91">
        <f t="shared" si="4"/>
        <v>1754.4056448847978</v>
      </c>
      <c r="D91">
        <f t="shared" si="3"/>
        <v>1768.8578548693499</v>
      </c>
      <c r="E91">
        <v>20.52285500000005</v>
      </c>
      <c r="F91">
        <f t="shared" si="5"/>
        <v>-6.9328801204241017</v>
      </c>
      <c r="G91">
        <v>13.690976673600744</v>
      </c>
      <c r="H91">
        <v>10.631666666666661</v>
      </c>
    </row>
    <row r="92" spans="1:8">
      <c r="A92">
        <v>1987</v>
      </c>
      <c r="B92">
        <v>12.315757571069526</v>
      </c>
      <c r="C92">
        <f t="shared" si="4"/>
        <v>1766.7214024558673</v>
      </c>
      <c r="D92">
        <f t="shared" si="3"/>
        <v>1788.8131230178249</v>
      </c>
      <c r="E92">
        <v>20.683089999999993</v>
      </c>
      <c r="F92">
        <f t="shared" si="5"/>
        <v>-8.3673324289304674</v>
      </c>
      <c r="G92">
        <v>9.0517748392876456</v>
      </c>
      <c r="H92">
        <v>11.401666666666671</v>
      </c>
    </row>
    <row r="93" spans="1:8">
      <c r="A93">
        <v>1988</v>
      </c>
      <c r="B93">
        <v>15.057688544654184</v>
      </c>
      <c r="C93">
        <f t="shared" si="4"/>
        <v>1781.7790910005215</v>
      </c>
      <c r="D93">
        <f t="shared" si="3"/>
        <v>1807.9121067456274</v>
      </c>
      <c r="E93">
        <v>21.439004999999952</v>
      </c>
      <c r="F93">
        <f t="shared" si="5"/>
        <v>-6.3813164553457682</v>
      </c>
      <c r="G93">
        <v>21.75646509132298</v>
      </c>
      <c r="H93">
        <v>11.886666666666684</v>
      </c>
    </row>
    <row r="94" spans="1:8">
      <c r="A94">
        <v>1989</v>
      </c>
      <c r="B94">
        <v>14.186516019496139</v>
      </c>
      <c r="C94">
        <f t="shared" si="4"/>
        <v>1795.9656070200176</v>
      </c>
      <c r="D94">
        <f t="shared" si="3"/>
        <v>1826.1789585065305</v>
      </c>
      <c r="E94">
        <v>21.849995000000035</v>
      </c>
      <c r="F94">
        <f t="shared" si="5"/>
        <v>-7.6634789805038963</v>
      </c>
      <c r="G94">
        <v>11.502794356752474</v>
      </c>
      <c r="H94">
        <v>12.391666666666623</v>
      </c>
    </row>
    <row r="95" spans="1:8">
      <c r="A95">
        <v>1990</v>
      </c>
      <c r="B95">
        <v>11.920030557862219</v>
      </c>
      <c r="C95">
        <f t="shared" si="4"/>
        <v>1807.8856375778798</v>
      </c>
      <c r="D95">
        <f t="shared" si="3"/>
        <v>1843.6388330118236</v>
      </c>
      <c r="E95">
        <v>22.106589999999983</v>
      </c>
      <c r="F95">
        <f t="shared" si="5"/>
        <v>-10.186559442137764</v>
      </c>
      <c r="G95">
        <v>9.8333834367613235</v>
      </c>
      <c r="H95">
        <v>12.53666666666669</v>
      </c>
    </row>
    <row r="96" spans="1:8">
      <c r="A96">
        <v>1991</v>
      </c>
      <c r="B96">
        <v>8.7822649616350645</v>
      </c>
      <c r="C96">
        <f t="shared" si="4"/>
        <v>1816.6679025395149</v>
      </c>
      <c r="D96">
        <f t="shared" si="3"/>
        <v>1860.3176271304767</v>
      </c>
      <c r="E96">
        <v>21.975554999999986</v>
      </c>
      <c r="F96">
        <f t="shared" si="5"/>
        <v>-13.193290038364921</v>
      </c>
      <c r="G96">
        <v>7.1830708892896382</v>
      </c>
      <c r="H96">
        <v>12.686666666666667</v>
      </c>
    </row>
    <row r="97" spans="1:8">
      <c r="A97">
        <v>1992</v>
      </c>
      <c r="B97">
        <v>7.5081740333334892</v>
      </c>
      <c r="C97">
        <f t="shared" si="4"/>
        <v>1824.1760765728484</v>
      </c>
      <c r="D97">
        <f t="shared" si="3"/>
        <v>1876.2417453334938</v>
      </c>
      <c r="E97">
        <v>21.977745000000027</v>
      </c>
      <c r="F97">
        <f t="shared" si="5"/>
        <v>-14.469570966666538</v>
      </c>
      <c r="G97">
        <v>7.8011526023233273</v>
      </c>
      <c r="H97">
        <v>12.761666666666656</v>
      </c>
    </row>
    <row r="98" spans="1:8">
      <c r="A98">
        <v>1993</v>
      </c>
      <c r="B98">
        <v>6.5602781050311023</v>
      </c>
      <c r="C98">
        <f t="shared" si="4"/>
        <v>1830.7363546778795</v>
      </c>
      <c r="D98">
        <f t="shared" si="3"/>
        <v>1891.4378899616415</v>
      </c>
      <c r="E98">
        <v>21.986139999999978</v>
      </c>
      <c r="F98">
        <f t="shared" si="5"/>
        <v>-15.425861894968875</v>
      </c>
      <c r="G98">
        <v>8.0955289275671021</v>
      </c>
      <c r="H98">
        <v>12.856666666666683</v>
      </c>
    </row>
    <row r="99" spans="1:8">
      <c r="A99">
        <v>1994</v>
      </c>
      <c r="B99">
        <v>7.8309662773585842</v>
      </c>
      <c r="C99">
        <f t="shared" si="4"/>
        <v>1838.5673209552381</v>
      </c>
      <c r="D99">
        <f t="shared" si="3"/>
        <v>1905.9328753048287</v>
      </c>
      <c r="E99">
        <v>22.261714999999981</v>
      </c>
      <c r="F99">
        <f t="shared" si="5"/>
        <v>-14.430748722641397</v>
      </c>
      <c r="G99">
        <v>7.3622969922378161</v>
      </c>
      <c r="H99">
        <v>12.99</v>
      </c>
    </row>
    <row r="100" spans="1:8">
      <c r="A100">
        <v>1995</v>
      </c>
      <c r="B100">
        <v>7.5011704628927873</v>
      </c>
      <c r="C100">
        <f t="shared" si="4"/>
        <v>1846.0684914181309</v>
      </c>
      <c r="D100">
        <f t="shared" si="3"/>
        <v>1919.7534642644446</v>
      </c>
      <c r="E100">
        <v>22.752275000000054</v>
      </c>
      <c r="F100">
        <f t="shared" si="5"/>
        <v>-15.251104537107267</v>
      </c>
      <c r="G100">
        <v>9.1200265284317084</v>
      </c>
      <c r="H100">
        <v>13.17</v>
      </c>
    </row>
    <row r="101" spans="1:8">
      <c r="A101">
        <v>1996</v>
      </c>
      <c r="B101">
        <v>11.286818790566485</v>
      </c>
      <c r="C101">
        <f t="shared" si="4"/>
        <v>1857.3553102086973</v>
      </c>
      <c r="D101">
        <f t="shared" si="3"/>
        <v>1932.92622621754</v>
      </c>
      <c r="E101">
        <v>23.254514999999969</v>
      </c>
      <c r="F101">
        <f t="shared" si="5"/>
        <v>-11.967696209433484</v>
      </c>
      <c r="G101">
        <v>10.01137202758423</v>
      </c>
      <c r="H101">
        <v>13.781666666666695</v>
      </c>
    </row>
    <row r="102" spans="1:8">
      <c r="A102">
        <v>1997</v>
      </c>
      <c r="B102">
        <v>7.3705089999998563</v>
      </c>
      <c r="C102">
        <f t="shared" si="4"/>
        <v>1864.7258192086972</v>
      </c>
      <c r="D102">
        <f t="shared" si="3"/>
        <v>1945.4774146046339</v>
      </c>
      <c r="E102">
        <v>23.976850000000013</v>
      </c>
      <c r="F102">
        <f t="shared" si="5"/>
        <v>-16.606341000000157</v>
      </c>
      <c r="G102">
        <v>13.238954224481631</v>
      </c>
      <c r="H102">
        <v>13.748333333333278</v>
      </c>
    </row>
    <row r="103" spans="1:8">
      <c r="A103">
        <v>1998</v>
      </c>
      <c r="B103">
        <v>10.819441000000097</v>
      </c>
      <c r="C103">
        <f t="shared" si="4"/>
        <v>1875.5452602086973</v>
      </c>
      <c r="D103">
        <f t="shared" si="3"/>
        <v>1957.4328627123241</v>
      </c>
      <c r="E103">
        <v>24.426164999999969</v>
      </c>
      <c r="F103">
        <f t="shared" si="5"/>
        <v>-13.606723999999872</v>
      </c>
      <c r="G103">
        <v>12.359232130000237</v>
      </c>
      <c r="H103">
        <v>13.966666666666697</v>
      </c>
    </row>
    <row r="104" spans="1:8">
      <c r="A104">
        <v>1999</v>
      </c>
      <c r="B104">
        <v>18.060481999999865</v>
      </c>
      <c r="C104">
        <f t="shared" si="4"/>
        <v>1893.6057422086972</v>
      </c>
      <c r="D104">
        <f t="shared" si="3"/>
        <v>1968.8178961095068</v>
      </c>
      <c r="E104">
        <v>24.042550000000006</v>
      </c>
      <c r="F104">
        <f t="shared" si="5"/>
        <v>-5.9820680000001403</v>
      </c>
      <c r="G104">
        <v>20.35890058333348</v>
      </c>
      <c r="H104">
        <v>14.486606666666603</v>
      </c>
    </row>
    <row r="105" spans="1:8">
      <c r="A105">
        <v>2000</v>
      </c>
      <c r="B105">
        <v>16.246747000000141</v>
      </c>
      <c r="C105">
        <f t="shared" si="4"/>
        <v>1909.8524892086973</v>
      </c>
      <c r="D105">
        <f t="shared" si="3"/>
        <v>1979.6572602143608</v>
      </c>
      <c r="E105">
        <v>24.893000000000029</v>
      </c>
      <c r="F105">
        <f t="shared" si="5"/>
        <v>-8.6462529999998878</v>
      </c>
      <c r="G105">
        <v>24.122065508333208</v>
      </c>
      <c r="H105">
        <v>14.96280999999999</v>
      </c>
    </row>
    <row r="106" spans="1:8">
      <c r="A106">
        <v>2001</v>
      </c>
      <c r="B106">
        <v>11.774413000000095</v>
      </c>
      <c r="C106">
        <f t="shared" si="4"/>
        <v>1921.6269022086974</v>
      </c>
      <c r="D106">
        <f t="shared" si="3"/>
        <v>1989.9750615116932</v>
      </c>
      <c r="E106">
        <v>24.822189999999978</v>
      </c>
      <c r="F106">
        <f t="shared" si="5"/>
        <v>-13.047776999999883</v>
      </c>
      <c r="G106">
        <v>10.572656204999703</v>
      </c>
      <c r="H106">
        <v>15.332494166666663</v>
      </c>
    </row>
    <row r="107" spans="1:8">
      <c r="A107">
        <v>2002</v>
      </c>
      <c r="B107">
        <v>8.7213679999997566</v>
      </c>
      <c r="C107">
        <f t="shared" si="4"/>
        <v>1930.3482702086972</v>
      </c>
      <c r="D107">
        <f t="shared" si="3"/>
        <v>1999.7947210008738</v>
      </c>
      <c r="E107">
        <v>24.300677999999948</v>
      </c>
      <c r="F107">
        <f t="shared" si="5"/>
        <v>-15.579310000000191</v>
      </c>
      <c r="G107">
        <v>6.9491164416667743</v>
      </c>
      <c r="H107">
        <v>15.551798333333295</v>
      </c>
    </row>
    <row r="108" spans="1:8">
      <c r="A108">
        <v>2003</v>
      </c>
      <c r="B108">
        <v>8.0770119999999679</v>
      </c>
      <c r="C108">
        <f t="shared" si="4"/>
        <v>1938.4252822086971</v>
      </c>
      <c r="D108">
        <f t="shared" si="3"/>
        <v>2009.1389385284022</v>
      </c>
      <c r="E108">
        <v>25.303916999999956</v>
      </c>
      <c r="F108">
        <f t="shared" si="5"/>
        <v>-17.226904999999988</v>
      </c>
      <c r="G108">
        <v>4.6674700000000939</v>
      </c>
      <c r="H108">
        <v>15.833333333333371</v>
      </c>
    </row>
    <row r="109" spans="1:8">
      <c r="B109">
        <f>+SUM(B6:B108)</f>
        <v>1938.4252822086971</v>
      </c>
    </row>
  </sheetData>
  <phoneticPr fontId="2" type="noConversion"/>
  <pageMargins left="0.75" right="0.75" top="1" bottom="1" header="0.4921259845" footer="0.492125984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5.75"/>
  <sheetData/>
  <phoneticPr fontId="2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5.75"/>
  <sheetData/>
  <phoneticPr fontId="2" type="noConversion"/>
  <pageMargins left="0.75" right="0.75" top="1" bottom="1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5.75"/>
  <sheetData/>
  <phoneticPr fontId="2" type="noConversion"/>
  <pageMargins left="0.75" right="0.75" top="1" bottom="1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" defaultRowHeight="15.75"/>
  <sheetData/>
  <phoneticPr fontId="2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aDaP</vt:lpstr>
      <vt:lpstr>Feuil2</vt:lpstr>
      <vt:lpstr>Feuil3</vt:lpstr>
      <vt:lpstr>Feuil4</vt:lpstr>
      <vt:lpstr>Feuil5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laherrere</dc:creator>
  <cp:lastModifiedBy>pukitepa</cp:lastModifiedBy>
  <dcterms:created xsi:type="dcterms:W3CDTF">2004-04-09T19:40:54Z</dcterms:created>
  <dcterms:modified xsi:type="dcterms:W3CDTF">2013-03-11T18:02:41Z</dcterms:modified>
</cp:coreProperties>
</file>