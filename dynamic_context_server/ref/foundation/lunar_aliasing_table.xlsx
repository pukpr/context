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p\github\context\dynamic_context_server\ref\foundation\"/>
    </mc:Choice>
  </mc:AlternateContent>
  <bookViews>
    <workbookView xWindow="0" yWindow="0" windowWidth="18825" windowHeight="9060"/>
  </bookViews>
  <sheets>
    <sheet name="Sheet1" sheetId="1" r:id="rId1"/>
    <sheet name="Sheet7" sheetId="7" r:id="rId2"/>
    <sheet name="Sheet8" sheetId="8" r:id="rId3"/>
    <sheet name="Sheet6" sheetId="6" r:id="rId4"/>
    <sheet name="Sheet2" sheetId="2" r:id="rId5"/>
    <sheet name="Sheet3" sheetId="3" r:id="rId6"/>
    <sheet name="Sheet4" sheetId="4" r:id="rId7"/>
    <sheet name="Sheet5" sheetId="5" r:id="rId8"/>
  </sheets>
  <definedNames>
    <definedName name="solver_adj" localSheetId="7" hidden="1">Sheet5!$H$1,Sheet5!$J$1,Sheet5!$M$1</definedName>
    <definedName name="solver_cvg" localSheetId="7" hidden="1">0.0001</definedName>
    <definedName name="solver_drv" localSheetId="7" hidden="1">1</definedName>
    <definedName name="solver_eng" localSheetId="7" hidden="1">3</definedName>
    <definedName name="solver_est" localSheetId="7" hidden="1">1</definedName>
    <definedName name="solver_itr" localSheetId="7" hidden="1">2147483647</definedName>
    <definedName name="solver_lhs1" localSheetId="7" hidden="1">Sheet5!$H$1</definedName>
    <definedName name="solver_lhs10" localSheetId="7" hidden="1">Sheet5!$L$1</definedName>
    <definedName name="solver_lhs11" localSheetId="7" hidden="1">Sheet5!$M$1</definedName>
    <definedName name="solver_lhs12" localSheetId="7" hidden="1">Sheet5!$M$1</definedName>
    <definedName name="solver_lhs2" localSheetId="7" hidden="1">Sheet5!$H$1</definedName>
    <definedName name="solver_lhs3" localSheetId="7" hidden="1">Sheet5!$I$1</definedName>
    <definedName name="solver_lhs4" localSheetId="7" hidden="1">Sheet5!$I$1</definedName>
    <definedName name="solver_lhs5" localSheetId="7" hidden="1">Sheet5!$J$1</definedName>
    <definedName name="solver_lhs6" localSheetId="7" hidden="1">Sheet5!$J$1</definedName>
    <definedName name="solver_lhs7" localSheetId="7" hidden="1">Sheet5!$K$1</definedName>
    <definedName name="solver_lhs8" localSheetId="7" hidden="1">Sheet5!$K$1</definedName>
    <definedName name="solver_lhs9" localSheetId="7" hidden="1">Sheet5!$L$1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12</definedName>
    <definedName name="solver_nwt" localSheetId="7" hidden="1">1</definedName>
    <definedName name="solver_opt" localSheetId="7" hidden="1">Sheet5!$I$3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10" localSheetId="7" hidden="1">3</definedName>
    <definedName name="solver_rel11" localSheetId="7" hidden="1">1</definedName>
    <definedName name="solver_rel12" localSheetId="7" hidden="1">3</definedName>
    <definedName name="solver_rel2" localSheetId="7" hidden="1">3</definedName>
    <definedName name="solver_rel3" localSheetId="7" hidden="1">1</definedName>
    <definedName name="solver_rel4" localSheetId="7" hidden="1">3</definedName>
    <definedName name="solver_rel5" localSheetId="7" hidden="1">1</definedName>
    <definedName name="solver_rel6" localSheetId="7" hidden="1">3</definedName>
    <definedName name="solver_rel7" localSheetId="7" hidden="1">1</definedName>
    <definedName name="solver_rel8" localSheetId="7" hidden="1">3</definedName>
    <definedName name="solver_rel9" localSheetId="7" hidden="1">1</definedName>
    <definedName name="solver_rhs1" localSheetId="7" hidden="1">13.7</definedName>
    <definedName name="solver_rhs10" localSheetId="7" hidden="1">-7</definedName>
    <definedName name="solver_rhs11" localSheetId="7" hidden="1">100</definedName>
    <definedName name="solver_rhs12" localSheetId="7" hidden="1">0</definedName>
    <definedName name="solver_rhs2" localSheetId="7" hidden="1">13.6</definedName>
    <definedName name="solver_rhs3" localSheetId="7" hidden="1">7</definedName>
    <definedName name="solver_rhs4" localSheetId="7" hidden="1">-7</definedName>
    <definedName name="solver_rhs5" localSheetId="7" hidden="1">100</definedName>
    <definedName name="solver_rhs6" localSheetId="7" hidden="1">0</definedName>
    <definedName name="solver_rhs7" localSheetId="7" hidden="1">14</definedName>
    <definedName name="solver_rhs8" localSheetId="7" hidden="1">13</definedName>
    <definedName name="solver_rhs9" localSheetId="7" hidden="1">7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1</definedName>
    <definedName name="solver_val" localSheetId="7" hidden="1">0</definedName>
    <definedName name="solver_ver" localSheetId="7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1" i="1" l="1"/>
  <c r="K140" i="1" l="1"/>
  <c r="K138" i="1"/>
  <c r="L138" i="1"/>
  <c r="K143" i="1"/>
  <c r="J136" i="1"/>
  <c r="J137" i="1"/>
  <c r="J135" i="1"/>
  <c r="J134" i="1" s="1"/>
  <c r="I134" i="1"/>
  <c r="I141" i="1"/>
  <c r="I140" i="1" s="1"/>
  <c r="I139" i="1"/>
  <c r="I138" i="1" s="1"/>
  <c r="I137" i="1"/>
  <c r="I136" i="1" s="1"/>
  <c r="J139" i="1" l="1"/>
  <c r="J138" i="1" s="1"/>
  <c r="J141" i="1"/>
  <c r="J140" i="1" s="1"/>
  <c r="Y26" i="1" l="1"/>
  <c r="E1" i="1" l="1"/>
  <c r="C60" i="1" l="1"/>
  <c r="R115" i="1"/>
  <c r="R114" i="1"/>
  <c r="P116" i="1"/>
  <c r="Q116" i="1" s="1"/>
  <c r="Q115" i="1"/>
  <c r="Q114" i="1"/>
  <c r="P115" i="1"/>
  <c r="P114" i="1"/>
  <c r="O113" i="1"/>
  <c r="C106" i="1"/>
  <c r="E106" i="1"/>
  <c r="C105" i="1"/>
  <c r="E105" i="1" s="1"/>
  <c r="C104" i="1"/>
  <c r="E104" i="1" s="1"/>
  <c r="C103" i="1"/>
  <c r="E103" i="1" s="1"/>
  <c r="C102" i="1"/>
  <c r="E102" i="1"/>
  <c r="C101" i="1"/>
  <c r="E101" i="1"/>
  <c r="C100" i="1"/>
  <c r="E100" i="1" s="1"/>
  <c r="E99" i="1"/>
  <c r="E98" i="1"/>
  <c r="E97" i="1"/>
  <c r="E96" i="1"/>
  <c r="E95" i="1"/>
  <c r="C99" i="1"/>
  <c r="C98" i="1"/>
  <c r="C97" i="1"/>
  <c r="C96" i="1"/>
  <c r="C95" i="1"/>
  <c r="C94" i="1"/>
  <c r="E94" i="1" s="1"/>
  <c r="B91" i="1"/>
  <c r="B7" i="1"/>
  <c r="A4" i="8" l="1"/>
  <c r="B4" i="8" s="1"/>
  <c r="B3" i="8"/>
  <c r="N8" i="7"/>
  <c r="M19" i="7"/>
  <c r="M20" i="7" s="1"/>
  <c r="N14" i="7"/>
  <c r="M17" i="7"/>
  <c r="M18" i="7" s="1"/>
  <c r="M15" i="7"/>
  <c r="M16" i="7" s="1"/>
  <c r="M13" i="7"/>
  <c r="M14" i="7" s="1"/>
  <c r="M11" i="7"/>
  <c r="M12" i="7" s="1"/>
  <c r="M10" i="7"/>
  <c r="M9" i="7"/>
  <c r="M8" i="7"/>
  <c r="L4" i="7"/>
  <c r="M4" i="7"/>
  <c r="L5" i="7"/>
  <c r="L6" i="7"/>
  <c r="A5" i="8" l="1"/>
  <c r="B5" i="8" l="1"/>
  <c r="A6" i="8"/>
  <c r="A7" i="8" l="1"/>
  <c r="B6" i="8"/>
  <c r="A8" i="8" l="1"/>
  <c r="B7" i="8"/>
  <c r="A9" i="8" l="1"/>
  <c r="B8" i="8"/>
  <c r="A10" i="8" l="1"/>
  <c r="B9" i="8"/>
  <c r="A11" i="8" l="1"/>
  <c r="B10" i="8"/>
  <c r="A12" i="8" l="1"/>
  <c r="B11" i="8"/>
  <c r="A13" i="8" l="1"/>
  <c r="B12" i="8"/>
  <c r="A14" i="8" l="1"/>
  <c r="B13" i="8"/>
  <c r="A15" i="8" l="1"/>
  <c r="B14" i="8"/>
  <c r="A16" i="8" l="1"/>
  <c r="B15" i="8"/>
  <c r="A17" i="8" l="1"/>
  <c r="B16" i="8"/>
  <c r="A18" i="8" l="1"/>
  <c r="B17" i="8"/>
  <c r="A19" i="8" l="1"/>
  <c r="B18" i="8"/>
  <c r="A20" i="8" l="1"/>
  <c r="B19" i="8"/>
  <c r="A21" i="8" l="1"/>
  <c r="B20" i="8"/>
  <c r="A22" i="8" l="1"/>
  <c r="B21" i="8"/>
  <c r="A23" i="8" l="1"/>
  <c r="B22" i="8"/>
  <c r="A24" i="8" l="1"/>
  <c r="B23" i="8"/>
  <c r="A25" i="8" l="1"/>
  <c r="B24" i="8"/>
  <c r="A26" i="8" l="1"/>
  <c r="B25" i="8"/>
  <c r="A27" i="8" l="1"/>
  <c r="B26" i="8"/>
  <c r="A28" i="8" l="1"/>
  <c r="B27" i="8"/>
  <c r="A29" i="8" l="1"/>
  <c r="B28" i="8"/>
  <c r="A30" i="8" l="1"/>
  <c r="B29" i="8"/>
  <c r="A31" i="8" l="1"/>
  <c r="B30" i="8"/>
  <c r="A32" i="8" l="1"/>
  <c r="B31" i="8"/>
  <c r="A33" i="8" l="1"/>
  <c r="B32" i="8"/>
  <c r="A34" i="8" l="1"/>
  <c r="B33" i="8"/>
  <c r="A35" i="8" l="1"/>
  <c r="B34" i="8"/>
  <c r="A36" i="8" l="1"/>
  <c r="B35" i="8"/>
  <c r="A37" i="8" l="1"/>
  <c r="B36" i="8"/>
  <c r="A38" i="8" l="1"/>
  <c r="B37" i="8"/>
  <c r="A39" i="8" l="1"/>
  <c r="B38" i="8"/>
  <c r="A40" i="8" l="1"/>
  <c r="B39" i="8"/>
  <c r="A41" i="8" l="1"/>
  <c r="B40" i="8"/>
  <c r="A42" i="8" l="1"/>
  <c r="B41" i="8"/>
  <c r="A43" i="8" l="1"/>
  <c r="B42" i="8"/>
  <c r="A44" i="8" l="1"/>
  <c r="B43" i="8"/>
  <c r="A45" i="8" l="1"/>
  <c r="B44" i="8"/>
  <c r="A46" i="8" l="1"/>
  <c r="B45" i="8"/>
  <c r="A47" i="8" l="1"/>
  <c r="B46" i="8"/>
  <c r="A48" i="8" l="1"/>
  <c r="B47" i="8"/>
  <c r="A49" i="8" l="1"/>
  <c r="B48" i="8"/>
  <c r="A50" i="8" l="1"/>
  <c r="B49" i="8"/>
  <c r="A51" i="8" l="1"/>
  <c r="B50" i="8"/>
  <c r="A52" i="8" l="1"/>
  <c r="B51" i="8"/>
  <c r="A53" i="8" l="1"/>
  <c r="B52" i="8"/>
  <c r="A54" i="8" l="1"/>
  <c r="B53" i="8"/>
  <c r="A55" i="8" l="1"/>
  <c r="B54" i="8"/>
  <c r="A56" i="8" l="1"/>
  <c r="B55" i="8"/>
  <c r="A57" i="8" l="1"/>
  <c r="B56" i="8"/>
  <c r="A58" i="8" l="1"/>
  <c r="B57" i="8"/>
  <c r="A59" i="8" l="1"/>
  <c r="B58" i="8"/>
  <c r="A60" i="8" l="1"/>
  <c r="B59" i="8"/>
  <c r="A61" i="8" l="1"/>
  <c r="B60" i="8"/>
  <c r="A62" i="8" l="1"/>
  <c r="B61" i="8"/>
  <c r="A63" i="8" l="1"/>
  <c r="B62" i="8"/>
  <c r="A64" i="8" l="1"/>
  <c r="B63" i="8"/>
  <c r="A65" i="8" l="1"/>
  <c r="B64" i="8"/>
  <c r="A66" i="8" l="1"/>
  <c r="B65" i="8"/>
  <c r="A67" i="8" l="1"/>
  <c r="B66" i="8"/>
  <c r="A68" i="8" l="1"/>
  <c r="B67" i="8"/>
  <c r="A69" i="8" l="1"/>
  <c r="B68" i="8"/>
  <c r="A70" i="8" l="1"/>
  <c r="B69" i="8"/>
  <c r="A71" i="8" l="1"/>
  <c r="B70" i="8"/>
  <c r="A72" i="8" l="1"/>
  <c r="B71" i="8"/>
  <c r="A73" i="8" l="1"/>
  <c r="B72" i="8"/>
  <c r="A74" i="8" l="1"/>
  <c r="B73" i="8"/>
  <c r="A75" i="8" l="1"/>
  <c r="B74" i="8"/>
  <c r="A76" i="8" l="1"/>
  <c r="B75" i="8"/>
  <c r="A77" i="8" l="1"/>
  <c r="B76" i="8"/>
  <c r="A78" i="8" l="1"/>
  <c r="B77" i="8"/>
  <c r="A79" i="8" l="1"/>
  <c r="B78" i="8"/>
  <c r="A80" i="8" l="1"/>
  <c r="B79" i="8"/>
  <c r="A81" i="8" l="1"/>
  <c r="B80" i="8"/>
  <c r="A82" i="8" l="1"/>
  <c r="B81" i="8"/>
  <c r="A83" i="8" l="1"/>
  <c r="B82" i="8"/>
  <c r="A84" i="8" l="1"/>
  <c r="B83" i="8"/>
  <c r="A85" i="8" l="1"/>
  <c r="B84" i="8"/>
  <c r="A86" i="8" l="1"/>
  <c r="B85" i="8"/>
  <c r="A87" i="8" l="1"/>
  <c r="B86" i="8"/>
  <c r="A88" i="8" l="1"/>
  <c r="B87" i="8"/>
  <c r="A89" i="8" l="1"/>
  <c r="B88" i="8"/>
  <c r="A90" i="8" l="1"/>
  <c r="B89" i="8"/>
  <c r="A91" i="8" l="1"/>
  <c r="B90" i="8"/>
  <c r="A92" i="8" l="1"/>
  <c r="B91" i="8"/>
  <c r="A93" i="8" l="1"/>
  <c r="B92" i="8"/>
  <c r="A94" i="8" l="1"/>
  <c r="B93" i="8"/>
  <c r="A95" i="8" l="1"/>
  <c r="B94" i="8"/>
  <c r="A96" i="8" l="1"/>
  <c r="B95" i="8"/>
  <c r="A97" i="8" l="1"/>
  <c r="B96" i="8"/>
  <c r="A98" i="8" l="1"/>
  <c r="B97" i="8"/>
  <c r="A99" i="8" l="1"/>
  <c r="B98" i="8"/>
  <c r="A100" i="8" l="1"/>
  <c r="B99" i="8"/>
  <c r="A101" i="8" l="1"/>
  <c r="B100" i="8"/>
  <c r="A102" i="8" l="1"/>
  <c r="B101" i="8"/>
  <c r="A103" i="8" l="1"/>
  <c r="B102" i="8"/>
  <c r="A104" i="8" l="1"/>
  <c r="B103" i="8"/>
  <c r="A105" i="8" l="1"/>
  <c r="B104" i="8"/>
  <c r="A106" i="8" l="1"/>
  <c r="B105" i="8"/>
  <c r="A107" i="8" l="1"/>
  <c r="B106" i="8"/>
  <c r="A108" i="8" l="1"/>
  <c r="B107" i="8"/>
  <c r="A109" i="8" l="1"/>
  <c r="B108" i="8"/>
  <c r="A110" i="8" l="1"/>
  <c r="B109" i="8"/>
  <c r="A111" i="8" l="1"/>
  <c r="B110" i="8"/>
  <c r="A112" i="8" l="1"/>
  <c r="B111" i="8"/>
  <c r="A113" i="8" l="1"/>
  <c r="B112" i="8"/>
  <c r="A114" i="8" l="1"/>
  <c r="B113" i="8"/>
  <c r="A115" i="8" l="1"/>
  <c r="B114" i="8"/>
  <c r="A116" i="8" l="1"/>
  <c r="B115" i="8"/>
  <c r="A117" i="8" l="1"/>
  <c r="B116" i="8"/>
  <c r="A118" i="8" l="1"/>
  <c r="B117" i="8"/>
  <c r="A119" i="8" l="1"/>
  <c r="B118" i="8"/>
  <c r="A120" i="8" l="1"/>
  <c r="B119" i="8"/>
  <c r="A121" i="8" l="1"/>
  <c r="B120" i="8"/>
  <c r="A122" i="8" l="1"/>
  <c r="B121" i="8"/>
  <c r="A123" i="8" l="1"/>
  <c r="B122" i="8"/>
  <c r="A124" i="8" l="1"/>
  <c r="B123" i="8"/>
  <c r="A125" i="8" l="1"/>
  <c r="B124" i="8"/>
  <c r="A126" i="8" l="1"/>
  <c r="B125" i="8"/>
  <c r="A127" i="8" l="1"/>
  <c r="B126" i="8"/>
  <c r="A128" i="8" l="1"/>
  <c r="B127" i="8"/>
  <c r="A129" i="8" l="1"/>
  <c r="B128" i="8"/>
  <c r="A130" i="8" l="1"/>
  <c r="B129" i="8"/>
  <c r="A131" i="8" l="1"/>
  <c r="B130" i="8"/>
  <c r="A132" i="8" l="1"/>
  <c r="B131" i="8"/>
  <c r="A133" i="8" l="1"/>
  <c r="B132" i="8"/>
  <c r="A134" i="8" l="1"/>
  <c r="B133" i="8"/>
  <c r="A135" i="8" l="1"/>
  <c r="B134" i="8"/>
  <c r="A136" i="8" l="1"/>
  <c r="B135" i="8"/>
  <c r="A137" i="8" l="1"/>
  <c r="B136" i="8"/>
  <c r="A138" i="8" l="1"/>
  <c r="B137" i="8"/>
  <c r="A139" i="8" l="1"/>
  <c r="B138" i="8"/>
  <c r="A140" i="8" l="1"/>
  <c r="B139" i="8"/>
  <c r="A141" i="8" l="1"/>
  <c r="B140" i="8"/>
  <c r="A142" i="8" l="1"/>
  <c r="B141" i="8"/>
  <c r="A143" i="8" l="1"/>
  <c r="B142" i="8"/>
  <c r="A144" i="8" l="1"/>
  <c r="B143" i="8"/>
  <c r="A145" i="8" l="1"/>
  <c r="B144" i="8"/>
  <c r="A146" i="8" l="1"/>
  <c r="B145" i="8"/>
  <c r="A147" i="8" l="1"/>
  <c r="B146" i="8"/>
  <c r="A148" i="8" l="1"/>
  <c r="B147" i="8"/>
  <c r="A149" i="8" l="1"/>
  <c r="B148" i="8"/>
  <c r="A150" i="8" l="1"/>
  <c r="B149" i="8"/>
  <c r="A151" i="8" l="1"/>
  <c r="B150" i="8"/>
  <c r="A152" i="8" l="1"/>
  <c r="B151" i="8"/>
  <c r="A153" i="8" l="1"/>
  <c r="B152" i="8"/>
  <c r="A154" i="8" l="1"/>
  <c r="B153" i="8"/>
  <c r="A155" i="8" l="1"/>
  <c r="B154" i="8"/>
  <c r="A156" i="8" l="1"/>
  <c r="B155" i="8"/>
  <c r="A157" i="8" l="1"/>
  <c r="B156" i="8"/>
  <c r="A158" i="8" l="1"/>
  <c r="B157" i="8"/>
  <c r="A159" i="8" l="1"/>
  <c r="B158" i="8"/>
  <c r="A160" i="8" l="1"/>
  <c r="B159" i="8"/>
  <c r="A161" i="8" l="1"/>
  <c r="B160" i="8"/>
  <c r="A162" i="8" l="1"/>
  <c r="B161" i="8"/>
  <c r="A163" i="8" l="1"/>
  <c r="B162" i="8"/>
  <c r="A164" i="8" l="1"/>
  <c r="B163" i="8"/>
  <c r="A165" i="8" l="1"/>
  <c r="B164" i="8"/>
  <c r="A166" i="8" l="1"/>
  <c r="B165" i="8"/>
  <c r="A167" i="8" l="1"/>
  <c r="B166" i="8"/>
  <c r="A168" i="8" l="1"/>
  <c r="B167" i="8"/>
  <c r="A169" i="8" l="1"/>
  <c r="B168" i="8"/>
  <c r="A170" i="8" l="1"/>
  <c r="B169" i="8"/>
  <c r="A171" i="8" l="1"/>
  <c r="B170" i="8"/>
  <c r="A172" i="8" l="1"/>
  <c r="B171" i="8"/>
  <c r="A173" i="8" l="1"/>
  <c r="B172" i="8"/>
  <c r="A174" i="8" l="1"/>
  <c r="B173" i="8"/>
  <c r="A175" i="8" l="1"/>
  <c r="B174" i="8"/>
  <c r="A176" i="8" l="1"/>
  <c r="B175" i="8"/>
  <c r="A177" i="8" l="1"/>
  <c r="B176" i="8"/>
  <c r="A178" i="8" l="1"/>
  <c r="B177" i="8"/>
  <c r="A179" i="8" l="1"/>
  <c r="B178" i="8"/>
  <c r="A180" i="8" l="1"/>
  <c r="B179" i="8"/>
  <c r="A181" i="8" l="1"/>
  <c r="B180" i="8"/>
  <c r="A182" i="8" l="1"/>
  <c r="B181" i="8"/>
  <c r="A183" i="8" l="1"/>
  <c r="B182" i="8"/>
  <c r="A184" i="8" l="1"/>
  <c r="B183" i="8"/>
  <c r="A185" i="8" l="1"/>
  <c r="B184" i="8"/>
  <c r="A186" i="8" l="1"/>
  <c r="B185" i="8"/>
  <c r="A187" i="8" l="1"/>
  <c r="B186" i="8"/>
  <c r="A188" i="8" l="1"/>
  <c r="B187" i="8"/>
  <c r="A189" i="8" l="1"/>
  <c r="B188" i="8"/>
  <c r="A190" i="8" l="1"/>
  <c r="B189" i="8"/>
  <c r="A191" i="8" l="1"/>
  <c r="B190" i="8"/>
  <c r="A192" i="8" l="1"/>
  <c r="B191" i="8"/>
  <c r="A193" i="8" l="1"/>
  <c r="B192" i="8"/>
  <c r="A194" i="8" l="1"/>
  <c r="B193" i="8"/>
  <c r="A195" i="8" l="1"/>
  <c r="B194" i="8"/>
  <c r="A196" i="8" l="1"/>
  <c r="B195" i="8"/>
  <c r="A197" i="8" l="1"/>
  <c r="B196" i="8"/>
  <c r="A198" i="8" l="1"/>
  <c r="B197" i="8"/>
  <c r="A199" i="8" l="1"/>
  <c r="B198" i="8"/>
  <c r="A200" i="8" l="1"/>
  <c r="B199" i="8"/>
  <c r="A201" i="8" l="1"/>
  <c r="B200" i="8"/>
  <c r="A202" i="8" l="1"/>
  <c r="B201" i="8"/>
  <c r="A203" i="8" l="1"/>
  <c r="B202" i="8"/>
  <c r="A204" i="8" l="1"/>
  <c r="B203" i="8"/>
  <c r="A205" i="8" l="1"/>
  <c r="B204" i="8"/>
  <c r="A206" i="8" l="1"/>
  <c r="B205" i="8"/>
  <c r="A207" i="8" l="1"/>
  <c r="B206" i="8"/>
  <c r="A208" i="8" l="1"/>
  <c r="B207" i="8"/>
  <c r="A209" i="8" l="1"/>
  <c r="B208" i="8"/>
  <c r="A210" i="8" l="1"/>
  <c r="B209" i="8"/>
  <c r="A211" i="8" l="1"/>
  <c r="B210" i="8"/>
  <c r="A212" i="8" l="1"/>
  <c r="B211" i="8"/>
  <c r="A213" i="8" l="1"/>
  <c r="B212" i="8"/>
  <c r="A214" i="8" l="1"/>
  <c r="B213" i="8"/>
  <c r="A215" i="8" l="1"/>
  <c r="B214" i="8"/>
  <c r="A216" i="8" l="1"/>
  <c r="B215" i="8"/>
  <c r="A217" i="8" l="1"/>
  <c r="B216" i="8"/>
  <c r="A218" i="8" l="1"/>
  <c r="B217" i="8"/>
  <c r="A219" i="8" l="1"/>
  <c r="B218" i="8"/>
  <c r="A220" i="8" l="1"/>
  <c r="B219" i="8"/>
  <c r="A221" i="8" l="1"/>
  <c r="B220" i="8"/>
  <c r="A222" i="8" l="1"/>
  <c r="B221" i="8"/>
  <c r="A223" i="8" l="1"/>
  <c r="B222" i="8"/>
  <c r="A224" i="8" l="1"/>
  <c r="B223" i="8"/>
  <c r="A225" i="8" l="1"/>
  <c r="B224" i="8"/>
  <c r="A226" i="8" l="1"/>
  <c r="B225" i="8"/>
  <c r="A227" i="8" l="1"/>
  <c r="B226" i="8"/>
  <c r="A228" i="8" l="1"/>
  <c r="B227" i="8"/>
  <c r="A229" i="8" l="1"/>
  <c r="B228" i="8"/>
  <c r="A230" i="8" l="1"/>
  <c r="B229" i="8"/>
  <c r="A231" i="8" l="1"/>
  <c r="B230" i="8"/>
  <c r="A232" i="8" l="1"/>
  <c r="B231" i="8"/>
  <c r="A233" i="8" l="1"/>
  <c r="B232" i="8"/>
  <c r="A234" i="8" l="1"/>
  <c r="B233" i="8"/>
  <c r="A235" i="8" l="1"/>
  <c r="B234" i="8"/>
  <c r="A236" i="8" l="1"/>
  <c r="B235" i="8"/>
  <c r="A237" i="8" l="1"/>
  <c r="B236" i="8"/>
  <c r="A238" i="8" l="1"/>
  <c r="B237" i="8"/>
  <c r="A239" i="8" l="1"/>
  <c r="B238" i="8"/>
  <c r="A240" i="8" l="1"/>
  <c r="B239" i="8"/>
  <c r="A241" i="8" l="1"/>
  <c r="B240" i="8"/>
  <c r="A242" i="8" l="1"/>
  <c r="B241" i="8"/>
  <c r="A243" i="8" l="1"/>
  <c r="B242" i="8"/>
  <c r="A244" i="8" l="1"/>
  <c r="B243" i="8"/>
  <c r="A245" i="8" l="1"/>
  <c r="B244" i="8"/>
  <c r="A246" i="8" l="1"/>
  <c r="B245" i="8"/>
  <c r="A247" i="8" l="1"/>
  <c r="B246" i="8"/>
  <c r="A248" i="8" l="1"/>
  <c r="B247" i="8"/>
  <c r="A249" i="8" l="1"/>
  <c r="B248" i="8"/>
  <c r="A250" i="8" l="1"/>
  <c r="B249" i="8"/>
  <c r="A251" i="8" l="1"/>
  <c r="B250" i="8"/>
  <c r="A252" i="8" l="1"/>
  <c r="B251" i="8"/>
  <c r="A253" i="8" l="1"/>
  <c r="B252" i="8"/>
  <c r="A254" i="8" l="1"/>
  <c r="B253" i="8"/>
  <c r="A255" i="8" l="1"/>
  <c r="B254" i="8"/>
  <c r="A256" i="8" l="1"/>
  <c r="B255" i="8"/>
  <c r="A257" i="8" l="1"/>
  <c r="B256" i="8"/>
  <c r="A258" i="8" l="1"/>
  <c r="B257" i="8"/>
  <c r="A259" i="8" l="1"/>
  <c r="B258" i="8"/>
  <c r="A260" i="8" l="1"/>
  <c r="B259" i="8"/>
  <c r="A261" i="8" l="1"/>
  <c r="B260" i="8"/>
  <c r="A262" i="8" l="1"/>
  <c r="B261" i="8"/>
  <c r="A263" i="8" l="1"/>
  <c r="B262" i="8"/>
  <c r="A264" i="8" l="1"/>
  <c r="B263" i="8"/>
  <c r="A265" i="8" l="1"/>
  <c r="B264" i="8"/>
  <c r="A266" i="8" l="1"/>
  <c r="B265" i="8"/>
  <c r="A267" i="8" l="1"/>
  <c r="B266" i="8"/>
  <c r="A268" i="8" l="1"/>
  <c r="B267" i="8"/>
  <c r="A269" i="8" l="1"/>
  <c r="B268" i="8"/>
  <c r="A270" i="8" l="1"/>
  <c r="B269" i="8"/>
  <c r="A271" i="8" l="1"/>
  <c r="B270" i="8"/>
  <c r="A272" i="8" l="1"/>
  <c r="B271" i="8"/>
  <c r="A273" i="8" l="1"/>
  <c r="B272" i="8"/>
  <c r="A274" i="8" l="1"/>
  <c r="B273" i="8"/>
  <c r="A275" i="8" l="1"/>
  <c r="B274" i="8"/>
  <c r="A276" i="8" l="1"/>
  <c r="B275" i="8"/>
  <c r="A277" i="8" l="1"/>
  <c r="B276" i="8"/>
  <c r="A278" i="8" l="1"/>
  <c r="B277" i="8"/>
  <c r="A279" i="8" l="1"/>
  <c r="B278" i="8"/>
  <c r="A280" i="8" l="1"/>
  <c r="B279" i="8"/>
  <c r="A281" i="8" l="1"/>
  <c r="B280" i="8"/>
  <c r="A282" i="8" l="1"/>
  <c r="B281" i="8"/>
  <c r="A283" i="8" l="1"/>
  <c r="B282" i="8"/>
  <c r="A284" i="8" l="1"/>
  <c r="B283" i="8"/>
  <c r="A285" i="8" l="1"/>
  <c r="B284" i="8"/>
  <c r="A286" i="8" l="1"/>
  <c r="B285" i="8"/>
  <c r="A287" i="8" l="1"/>
  <c r="B286" i="8"/>
  <c r="A288" i="8" l="1"/>
  <c r="B287" i="8"/>
  <c r="A289" i="8" l="1"/>
  <c r="B288" i="8"/>
  <c r="A290" i="8" l="1"/>
  <c r="B289" i="8"/>
  <c r="A291" i="8" l="1"/>
  <c r="B290" i="8"/>
  <c r="A292" i="8" l="1"/>
  <c r="B291" i="8"/>
  <c r="A293" i="8" l="1"/>
  <c r="B292" i="8"/>
  <c r="A294" i="8" l="1"/>
  <c r="B293" i="8"/>
  <c r="A295" i="8" l="1"/>
  <c r="B294" i="8"/>
  <c r="A296" i="8" l="1"/>
  <c r="B295" i="8"/>
  <c r="A297" i="8" l="1"/>
  <c r="B296" i="8"/>
  <c r="A298" i="8" l="1"/>
  <c r="B297" i="8"/>
  <c r="A299" i="8" l="1"/>
  <c r="B298" i="8"/>
  <c r="A300" i="8" l="1"/>
  <c r="B299" i="8"/>
  <c r="A301" i="8" l="1"/>
  <c r="B300" i="8"/>
  <c r="A302" i="8" l="1"/>
  <c r="B301" i="8"/>
  <c r="A303" i="8" l="1"/>
  <c r="B302" i="8"/>
  <c r="A304" i="8" l="1"/>
  <c r="B303" i="8"/>
  <c r="A305" i="8" l="1"/>
  <c r="B304" i="8"/>
  <c r="A306" i="8" l="1"/>
  <c r="B305" i="8"/>
  <c r="A307" i="8" l="1"/>
  <c r="B306" i="8"/>
  <c r="A308" i="8" l="1"/>
  <c r="B307" i="8"/>
  <c r="A309" i="8" l="1"/>
  <c r="B308" i="8"/>
  <c r="A310" i="8" l="1"/>
  <c r="B309" i="8"/>
  <c r="A311" i="8" l="1"/>
  <c r="B310" i="8"/>
  <c r="A312" i="8" l="1"/>
  <c r="B311" i="8"/>
  <c r="A313" i="8" l="1"/>
  <c r="B312" i="8"/>
  <c r="A314" i="8" l="1"/>
  <c r="B313" i="8"/>
  <c r="A315" i="8" l="1"/>
  <c r="B314" i="8"/>
  <c r="A316" i="8" l="1"/>
  <c r="B315" i="8"/>
  <c r="A317" i="8" l="1"/>
  <c r="B316" i="8"/>
  <c r="A318" i="8" l="1"/>
  <c r="B317" i="8"/>
  <c r="A319" i="8" l="1"/>
  <c r="B318" i="8"/>
  <c r="A320" i="8" l="1"/>
  <c r="B319" i="8"/>
  <c r="A321" i="8" l="1"/>
  <c r="B320" i="8"/>
  <c r="A322" i="8" l="1"/>
  <c r="B321" i="8"/>
  <c r="A323" i="8" l="1"/>
  <c r="B322" i="8"/>
  <c r="A324" i="8" l="1"/>
  <c r="B323" i="8"/>
  <c r="A325" i="8" l="1"/>
  <c r="B324" i="8"/>
  <c r="A326" i="8" l="1"/>
  <c r="B325" i="8"/>
  <c r="A327" i="8" l="1"/>
  <c r="B326" i="8"/>
  <c r="A328" i="8" l="1"/>
  <c r="B327" i="8"/>
  <c r="A329" i="8" l="1"/>
  <c r="B328" i="8"/>
  <c r="A330" i="8" l="1"/>
  <c r="B329" i="8"/>
  <c r="A331" i="8" l="1"/>
  <c r="B330" i="8"/>
  <c r="A332" i="8" l="1"/>
  <c r="B331" i="8"/>
  <c r="A333" i="8" l="1"/>
  <c r="B332" i="8"/>
  <c r="A334" i="8" l="1"/>
  <c r="B333" i="8"/>
  <c r="A335" i="8" l="1"/>
  <c r="B334" i="8"/>
  <c r="A336" i="8" l="1"/>
  <c r="B335" i="8"/>
  <c r="A337" i="8" l="1"/>
  <c r="B336" i="8"/>
  <c r="A338" i="8" l="1"/>
  <c r="B337" i="8"/>
  <c r="A339" i="8" l="1"/>
  <c r="B338" i="8"/>
  <c r="A340" i="8" l="1"/>
  <c r="B339" i="8"/>
  <c r="A341" i="8" l="1"/>
  <c r="B340" i="8"/>
  <c r="A342" i="8" l="1"/>
  <c r="B341" i="8"/>
  <c r="A343" i="8" l="1"/>
  <c r="B342" i="8"/>
  <c r="A344" i="8" l="1"/>
  <c r="B343" i="8"/>
  <c r="A345" i="8" l="1"/>
  <c r="B344" i="8"/>
  <c r="A346" i="8" l="1"/>
  <c r="B345" i="8"/>
  <c r="A347" i="8" l="1"/>
  <c r="B346" i="8"/>
  <c r="A348" i="8" l="1"/>
  <c r="B347" i="8"/>
  <c r="A349" i="8" l="1"/>
  <c r="B348" i="8"/>
  <c r="A350" i="8" l="1"/>
  <c r="B349" i="8"/>
  <c r="A351" i="8" l="1"/>
  <c r="B350" i="8"/>
  <c r="A352" i="8" l="1"/>
  <c r="B351" i="8"/>
  <c r="A353" i="8" l="1"/>
  <c r="B352" i="8"/>
  <c r="A354" i="8" l="1"/>
  <c r="B353" i="8"/>
  <c r="A355" i="8" l="1"/>
  <c r="B354" i="8"/>
  <c r="A356" i="8" l="1"/>
  <c r="B355" i="8"/>
  <c r="A357" i="8" l="1"/>
  <c r="B356" i="8"/>
  <c r="A358" i="8" l="1"/>
  <c r="B357" i="8"/>
  <c r="A359" i="8" l="1"/>
  <c r="B358" i="8"/>
  <c r="A360" i="8" l="1"/>
  <c r="B359" i="8"/>
  <c r="A361" i="8" l="1"/>
  <c r="B360" i="8"/>
  <c r="A362" i="8" l="1"/>
  <c r="B361" i="8"/>
  <c r="A363" i="8" l="1"/>
  <c r="B362" i="8"/>
  <c r="A364" i="8" l="1"/>
  <c r="B363" i="8"/>
  <c r="A365" i="8" l="1"/>
  <c r="B364" i="8"/>
  <c r="A366" i="8" l="1"/>
  <c r="B365" i="8"/>
  <c r="A367" i="8" l="1"/>
  <c r="B366" i="8"/>
  <c r="A368" i="8" l="1"/>
  <c r="B367" i="8"/>
  <c r="A369" i="8" l="1"/>
  <c r="B368" i="8"/>
  <c r="A370" i="8" l="1"/>
  <c r="B369" i="8"/>
  <c r="A371" i="8" l="1"/>
  <c r="B370" i="8"/>
  <c r="A372" i="8" l="1"/>
  <c r="B371" i="8"/>
  <c r="A373" i="8" l="1"/>
  <c r="B372" i="8"/>
  <c r="A374" i="8" l="1"/>
  <c r="B373" i="8"/>
  <c r="A375" i="8" l="1"/>
  <c r="B374" i="8"/>
  <c r="A376" i="8" l="1"/>
  <c r="B375" i="8"/>
  <c r="A377" i="8" l="1"/>
  <c r="B376" i="8"/>
  <c r="A378" i="8" l="1"/>
  <c r="B377" i="8"/>
  <c r="A379" i="8" l="1"/>
  <c r="B378" i="8"/>
  <c r="A380" i="8" l="1"/>
  <c r="B379" i="8"/>
  <c r="A381" i="8" l="1"/>
  <c r="B380" i="8"/>
  <c r="A382" i="8" l="1"/>
  <c r="B381" i="8"/>
  <c r="A383" i="8" l="1"/>
  <c r="B382" i="8"/>
  <c r="A384" i="8" l="1"/>
  <c r="B383" i="8"/>
  <c r="A385" i="8" l="1"/>
  <c r="B384" i="8"/>
  <c r="A386" i="8" l="1"/>
  <c r="B385" i="8"/>
  <c r="A387" i="8" l="1"/>
  <c r="B386" i="8"/>
  <c r="A388" i="8" l="1"/>
  <c r="B387" i="8"/>
  <c r="A389" i="8" l="1"/>
  <c r="B388" i="8"/>
  <c r="A390" i="8" l="1"/>
  <c r="B389" i="8"/>
  <c r="A391" i="8" l="1"/>
  <c r="B390" i="8"/>
  <c r="A392" i="8" l="1"/>
  <c r="B391" i="8"/>
  <c r="A393" i="8" l="1"/>
  <c r="B392" i="8"/>
  <c r="A394" i="8" l="1"/>
  <c r="B393" i="8"/>
  <c r="A395" i="8" l="1"/>
  <c r="B394" i="8"/>
  <c r="A396" i="8" l="1"/>
  <c r="B395" i="8"/>
  <c r="A397" i="8" l="1"/>
  <c r="B396" i="8"/>
  <c r="A398" i="8" l="1"/>
  <c r="B397" i="8"/>
  <c r="A399" i="8" l="1"/>
  <c r="B398" i="8"/>
  <c r="A400" i="8" l="1"/>
  <c r="B399" i="8"/>
  <c r="A401" i="8" l="1"/>
  <c r="B400" i="8"/>
  <c r="A402" i="8" l="1"/>
  <c r="B401" i="8"/>
  <c r="A403" i="8" l="1"/>
  <c r="B402" i="8"/>
  <c r="A404" i="8" l="1"/>
  <c r="B403" i="8"/>
  <c r="A405" i="8" l="1"/>
  <c r="B404" i="8"/>
  <c r="A406" i="8" l="1"/>
  <c r="B405" i="8"/>
  <c r="A407" i="8" l="1"/>
  <c r="B406" i="8"/>
  <c r="A408" i="8" l="1"/>
  <c r="B407" i="8"/>
  <c r="A409" i="8" l="1"/>
  <c r="B408" i="8"/>
  <c r="A410" i="8" l="1"/>
  <c r="B409" i="8"/>
  <c r="A411" i="8" l="1"/>
  <c r="B410" i="8"/>
  <c r="A412" i="8" l="1"/>
  <c r="B411" i="8"/>
  <c r="A413" i="8" l="1"/>
  <c r="B412" i="8"/>
  <c r="A414" i="8" l="1"/>
  <c r="B413" i="8"/>
  <c r="A415" i="8" l="1"/>
  <c r="B414" i="8"/>
  <c r="A416" i="8" l="1"/>
  <c r="B415" i="8"/>
  <c r="A417" i="8" l="1"/>
  <c r="B416" i="8"/>
  <c r="A418" i="8" l="1"/>
  <c r="B417" i="8"/>
  <c r="A419" i="8" l="1"/>
  <c r="B418" i="8"/>
  <c r="A420" i="8" l="1"/>
  <c r="B419" i="8"/>
  <c r="A421" i="8" l="1"/>
  <c r="B420" i="8"/>
  <c r="A422" i="8" l="1"/>
  <c r="B421" i="8"/>
  <c r="A423" i="8" l="1"/>
  <c r="B422" i="8"/>
  <c r="A424" i="8" l="1"/>
  <c r="B423" i="8"/>
  <c r="A425" i="8" l="1"/>
  <c r="B424" i="8"/>
  <c r="A426" i="8" l="1"/>
  <c r="B425" i="8"/>
  <c r="A427" i="8" l="1"/>
  <c r="B426" i="8"/>
  <c r="A428" i="8" l="1"/>
  <c r="B427" i="8"/>
  <c r="A429" i="8" l="1"/>
  <c r="B428" i="8"/>
  <c r="A430" i="8" l="1"/>
  <c r="B429" i="8"/>
  <c r="A431" i="8" l="1"/>
  <c r="B430" i="8"/>
  <c r="A432" i="8" l="1"/>
  <c r="B431" i="8"/>
  <c r="A433" i="8" l="1"/>
  <c r="B432" i="8"/>
  <c r="A434" i="8" l="1"/>
  <c r="B433" i="8"/>
  <c r="A435" i="8" l="1"/>
  <c r="B434" i="8"/>
  <c r="A436" i="8" l="1"/>
  <c r="B435" i="8"/>
  <c r="A437" i="8" l="1"/>
  <c r="B436" i="8"/>
  <c r="A438" i="8" l="1"/>
  <c r="B437" i="8"/>
  <c r="A439" i="8" l="1"/>
  <c r="B438" i="8"/>
  <c r="A440" i="8" l="1"/>
  <c r="B439" i="8"/>
  <c r="A441" i="8" l="1"/>
  <c r="B440" i="8"/>
  <c r="A442" i="8" l="1"/>
  <c r="B441" i="8"/>
  <c r="A443" i="8" l="1"/>
  <c r="B442" i="8"/>
  <c r="A444" i="8" l="1"/>
  <c r="B443" i="8"/>
  <c r="A445" i="8" l="1"/>
  <c r="B444" i="8"/>
  <c r="A446" i="8" l="1"/>
  <c r="B445" i="8"/>
  <c r="A447" i="8" l="1"/>
  <c r="B446" i="8"/>
  <c r="A448" i="8" l="1"/>
  <c r="B447" i="8"/>
  <c r="A449" i="8" l="1"/>
  <c r="B448" i="8"/>
  <c r="A450" i="8" l="1"/>
  <c r="B449" i="8"/>
  <c r="A451" i="8" l="1"/>
  <c r="B450" i="8"/>
  <c r="A452" i="8" l="1"/>
  <c r="B451" i="8"/>
  <c r="A453" i="8" l="1"/>
  <c r="B452" i="8"/>
  <c r="A454" i="8" l="1"/>
  <c r="B453" i="8"/>
  <c r="A455" i="8" l="1"/>
  <c r="B454" i="8"/>
  <c r="A456" i="8" l="1"/>
  <c r="B455" i="8"/>
  <c r="A457" i="8" l="1"/>
  <c r="B456" i="8"/>
  <c r="A458" i="8" l="1"/>
  <c r="B457" i="8"/>
  <c r="A459" i="8" l="1"/>
  <c r="B458" i="8"/>
  <c r="A460" i="8" l="1"/>
  <c r="B459" i="8"/>
  <c r="A461" i="8" l="1"/>
  <c r="B460" i="8"/>
  <c r="A462" i="8" l="1"/>
  <c r="B461" i="8"/>
  <c r="A463" i="8" l="1"/>
  <c r="B462" i="8"/>
  <c r="A464" i="8" l="1"/>
  <c r="B463" i="8"/>
  <c r="A465" i="8" l="1"/>
  <c r="B464" i="8"/>
  <c r="A466" i="8" l="1"/>
  <c r="B465" i="8"/>
  <c r="A467" i="8" l="1"/>
  <c r="B466" i="8"/>
  <c r="A468" i="8" l="1"/>
  <c r="B467" i="8"/>
  <c r="A469" i="8" l="1"/>
  <c r="B468" i="8"/>
  <c r="A470" i="8" l="1"/>
  <c r="B469" i="8"/>
  <c r="A471" i="8" l="1"/>
  <c r="B470" i="8"/>
  <c r="A472" i="8" l="1"/>
  <c r="B471" i="8"/>
  <c r="A473" i="8" l="1"/>
  <c r="B472" i="8"/>
  <c r="A474" i="8" l="1"/>
  <c r="B473" i="8"/>
  <c r="A475" i="8" l="1"/>
  <c r="B474" i="8"/>
  <c r="A476" i="8" l="1"/>
  <c r="B475" i="8"/>
  <c r="A477" i="8" l="1"/>
  <c r="B476" i="8"/>
  <c r="A478" i="8" l="1"/>
  <c r="B477" i="8"/>
  <c r="A479" i="8" l="1"/>
  <c r="B478" i="8"/>
  <c r="A480" i="8" l="1"/>
  <c r="B479" i="8"/>
  <c r="A481" i="8" l="1"/>
  <c r="B480" i="8"/>
  <c r="A482" i="8" l="1"/>
  <c r="B481" i="8"/>
  <c r="A483" i="8" l="1"/>
  <c r="B482" i="8"/>
  <c r="A484" i="8" l="1"/>
  <c r="B483" i="8"/>
  <c r="A485" i="8" l="1"/>
  <c r="B484" i="8"/>
  <c r="A486" i="8" l="1"/>
  <c r="B485" i="8"/>
  <c r="A487" i="8" l="1"/>
  <c r="B486" i="8"/>
  <c r="A488" i="8" l="1"/>
  <c r="B487" i="8"/>
  <c r="A489" i="8" l="1"/>
  <c r="B488" i="8"/>
  <c r="A490" i="8" l="1"/>
  <c r="B489" i="8"/>
  <c r="A491" i="8" l="1"/>
  <c r="B490" i="8"/>
  <c r="A492" i="8" l="1"/>
  <c r="B491" i="8"/>
  <c r="A493" i="8" l="1"/>
  <c r="B492" i="8"/>
  <c r="A494" i="8" l="1"/>
  <c r="B493" i="8"/>
  <c r="A495" i="8" l="1"/>
  <c r="B494" i="8"/>
  <c r="A496" i="8" l="1"/>
  <c r="B495" i="8"/>
  <c r="A497" i="8" l="1"/>
  <c r="B496" i="8"/>
  <c r="A498" i="8" l="1"/>
  <c r="B497" i="8"/>
  <c r="A499" i="8" l="1"/>
  <c r="B498" i="8"/>
  <c r="A500" i="8" l="1"/>
  <c r="B499" i="8"/>
  <c r="A501" i="8" l="1"/>
  <c r="B500" i="8"/>
  <c r="A502" i="8" l="1"/>
  <c r="B501" i="8"/>
  <c r="A503" i="8" l="1"/>
  <c r="B502" i="8"/>
  <c r="A504" i="8" l="1"/>
  <c r="B503" i="8"/>
  <c r="A505" i="8" l="1"/>
  <c r="B504" i="8"/>
  <c r="A506" i="8" l="1"/>
  <c r="B505" i="8"/>
  <c r="A507" i="8" l="1"/>
  <c r="B506" i="8"/>
  <c r="A508" i="8" l="1"/>
  <c r="B507" i="8"/>
  <c r="A509" i="8" l="1"/>
  <c r="B508" i="8"/>
  <c r="A510" i="8" l="1"/>
  <c r="B509" i="8"/>
  <c r="A511" i="8" l="1"/>
  <c r="B510" i="8"/>
  <c r="A512" i="8" l="1"/>
  <c r="B511" i="8"/>
  <c r="A513" i="8" l="1"/>
  <c r="B512" i="8"/>
  <c r="A514" i="8" l="1"/>
  <c r="B513" i="8"/>
  <c r="A515" i="8" l="1"/>
  <c r="B514" i="8"/>
  <c r="A516" i="8" l="1"/>
  <c r="B515" i="8"/>
  <c r="A517" i="8" l="1"/>
  <c r="B516" i="8"/>
  <c r="A518" i="8" l="1"/>
  <c r="B517" i="8"/>
  <c r="A519" i="8" l="1"/>
  <c r="B518" i="8"/>
  <c r="A520" i="8" l="1"/>
  <c r="B519" i="8"/>
  <c r="A521" i="8" l="1"/>
  <c r="B520" i="8"/>
  <c r="A522" i="8" l="1"/>
  <c r="B521" i="8"/>
  <c r="A523" i="8" l="1"/>
  <c r="B522" i="8"/>
  <c r="A524" i="8" l="1"/>
  <c r="B523" i="8"/>
  <c r="A525" i="8" l="1"/>
  <c r="B524" i="8"/>
  <c r="A526" i="8" l="1"/>
  <c r="B525" i="8"/>
  <c r="A527" i="8" l="1"/>
  <c r="B526" i="8"/>
  <c r="A528" i="8" l="1"/>
  <c r="B527" i="8"/>
  <c r="A529" i="8" l="1"/>
  <c r="B528" i="8"/>
  <c r="A530" i="8" l="1"/>
  <c r="B529" i="8"/>
  <c r="A531" i="8" l="1"/>
  <c r="B530" i="8"/>
  <c r="A532" i="8" l="1"/>
  <c r="B531" i="8"/>
  <c r="A533" i="8" l="1"/>
  <c r="B532" i="8"/>
  <c r="A534" i="8" l="1"/>
  <c r="B533" i="8"/>
  <c r="A535" i="8" l="1"/>
  <c r="B534" i="8"/>
  <c r="A536" i="8" l="1"/>
  <c r="B535" i="8"/>
  <c r="A537" i="8" l="1"/>
  <c r="B536" i="8"/>
  <c r="A538" i="8" l="1"/>
  <c r="B537" i="8"/>
  <c r="A539" i="8" l="1"/>
  <c r="B538" i="8"/>
  <c r="A540" i="8" l="1"/>
  <c r="B539" i="8"/>
  <c r="A541" i="8" l="1"/>
  <c r="B540" i="8"/>
  <c r="A542" i="8" l="1"/>
  <c r="B541" i="8"/>
  <c r="A543" i="8" l="1"/>
  <c r="B542" i="8"/>
  <c r="A544" i="8" l="1"/>
  <c r="B543" i="8"/>
  <c r="A545" i="8" l="1"/>
  <c r="B544" i="8"/>
  <c r="A546" i="8" l="1"/>
  <c r="B545" i="8"/>
  <c r="A547" i="8" l="1"/>
  <c r="B546" i="8"/>
  <c r="A548" i="8" l="1"/>
  <c r="B547" i="8"/>
  <c r="A549" i="8" l="1"/>
  <c r="B548" i="8"/>
  <c r="A550" i="8" l="1"/>
  <c r="B549" i="8"/>
  <c r="A551" i="8" l="1"/>
  <c r="B550" i="8"/>
  <c r="A552" i="8" l="1"/>
  <c r="B551" i="8"/>
  <c r="A553" i="8" l="1"/>
  <c r="B552" i="8"/>
  <c r="A554" i="8" l="1"/>
  <c r="B553" i="8"/>
  <c r="A555" i="8" l="1"/>
  <c r="B554" i="8"/>
  <c r="A556" i="8" l="1"/>
  <c r="B555" i="8"/>
  <c r="A557" i="8" l="1"/>
  <c r="B556" i="8"/>
  <c r="A558" i="8" l="1"/>
  <c r="B557" i="8"/>
  <c r="A559" i="8" l="1"/>
  <c r="B558" i="8"/>
  <c r="A560" i="8" l="1"/>
  <c r="B559" i="8"/>
  <c r="A561" i="8" l="1"/>
  <c r="B560" i="8"/>
  <c r="A562" i="8" l="1"/>
  <c r="B561" i="8"/>
  <c r="A563" i="8" l="1"/>
  <c r="B562" i="8"/>
  <c r="A564" i="8" l="1"/>
  <c r="B563" i="8"/>
  <c r="A565" i="8" l="1"/>
  <c r="B564" i="8"/>
  <c r="A566" i="8" l="1"/>
  <c r="B565" i="8"/>
  <c r="A567" i="8" l="1"/>
  <c r="B566" i="8"/>
  <c r="A568" i="8" l="1"/>
  <c r="B567" i="8"/>
  <c r="A569" i="8" l="1"/>
  <c r="B568" i="8"/>
  <c r="A570" i="8" l="1"/>
  <c r="B569" i="8"/>
  <c r="A571" i="8" l="1"/>
  <c r="B570" i="8"/>
  <c r="A572" i="8" l="1"/>
  <c r="B571" i="8"/>
  <c r="A573" i="8" l="1"/>
  <c r="B572" i="8"/>
  <c r="A574" i="8" l="1"/>
  <c r="B573" i="8"/>
  <c r="A575" i="8" l="1"/>
  <c r="B574" i="8"/>
  <c r="A576" i="8" l="1"/>
  <c r="B575" i="8"/>
  <c r="A577" i="8" l="1"/>
  <c r="B576" i="8"/>
  <c r="A578" i="8" l="1"/>
  <c r="B577" i="8"/>
  <c r="A579" i="8" l="1"/>
  <c r="B578" i="8"/>
  <c r="A580" i="8" l="1"/>
  <c r="B579" i="8"/>
  <c r="A581" i="8" l="1"/>
  <c r="B580" i="8"/>
  <c r="A582" i="8" l="1"/>
  <c r="B581" i="8"/>
  <c r="A583" i="8" l="1"/>
  <c r="B582" i="8"/>
  <c r="A584" i="8" l="1"/>
  <c r="B583" i="8"/>
  <c r="A585" i="8" l="1"/>
  <c r="B584" i="8"/>
  <c r="A586" i="8" l="1"/>
  <c r="B585" i="8"/>
  <c r="A587" i="8" l="1"/>
  <c r="B586" i="8"/>
  <c r="A588" i="8" l="1"/>
  <c r="B587" i="8"/>
  <c r="A589" i="8" l="1"/>
  <c r="B588" i="8"/>
  <c r="A590" i="8" l="1"/>
  <c r="B589" i="8"/>
  <c r="A591" i="8" l="1"/>
  <c r="B590" i="8"/>
  <c r="A592" i="8" l="1"/>
  <c r="B591" i="8"/>
  <c r="F13" i="6"/>
  <c r="F12" i="6"/>
  <c r="F11" i="6"/>
  <c r="F10" i="6"/>
  <c r="F9" i="6"/>
  <c r="F8" i="6"/>
  <c r="F7" i="6"/>
  <c r="F6" i="6"/>
  <c r="F5" i="6"/>
  <c r="E8" i="6"/>
  <c r="E9" i="6" s="1"/>
  <c r="E10" i="6" s="1"/>
  <c r="E11" i="6" s="1"/>
  <c r="E12" i="6" s="1"/>
  <c r="E13" i="6" s="1"/>
  <c r="E7" i="6"/>
  <c r="E6" i="6"/>
  <c r="E5" i="6"/>
  <c r="F1" i="6"/>
  <c r="F2" i="6"/>
  <c r="F4" i="6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B13" i="1"/>
  <c r="N24" i="5"/>
  <c r="M24" i="5"/>
  <c r="L24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N25" i="5"/>
  <c r="M25" i="5"/>
  <c r="A593" i="8" l="1"/>
  <c r="B592" i="8"/>
  <c r="I3" i="5"/>
  <c r="A594" i="8" l="1"/>
  <c r="B593" i="8"/>
  <c r="F26" i="4"/>
  <c r="G25" i="4"/>
  <c r="F24" i="4"/>
  <c r="B274" i="4"/>
  <c r="C274" i="4" s="1"/>
  <c r="B273" i="4"/>
  <c r="C273" i="4" s="1"/>
  <c r="B272" i="4"/>
  <c r="C272" i="4" s="1"/>
  <c r="B271" i="4"/>
  <c r="C271" i="4" s="1"/>
  <c r="B270" i="4"/>
  <c r="C270" i="4" s="1"/>
  <c r="B269" i="4"/>
  <c r="C269" i="4" s="1"/>
  <c r="B268" i="4"/>
  <c r="C268" i="4" s="1"/>
  <c r="B267" i="4"/>
  <c r="C267" i="4" s="1"/>
  <c r="B266" i="4"/>
  <c r="C266" i="4" s="1"/>
  <c r="B265" i="4"/>
  <c r="C265" i="4" s="1"/>
  <c r="B264" i="4"/>
  <c r="C264" i="4" s="1"/>
  <c r="B263" i="4"/>
  <c r="C263" i="4" s="1"/>
  <c r="B262" i="4"/>
  <c r="C262" i="4" s="1"/>
  <c r="B261" i="4"/>
  <c r="C261" i="4" s="1"/>
  <c r="B260" i="4"/>
  <c r="C260" i="4" s="1"/>
  <c r="B259" i="4"/>
  <c r="C259" i="4" s="1"/>
  <c r="B258" i="4"/>
  <c r="C258" i="4" s="1"/>
  <c r="B257" i="4"/>
  <c r="C257" i="4" s="1"/>
  <c r="B256" i="4"/>
  <c r="C256" i="4" s="1"/>
  <c r="B255" i="4"/>
  <c r="C255" i="4" s="1"/>
  <c r="B254" i="4"/>
  <c r="C254" i="4" s="1"/>
  <c r="B253" i="4"/>
  <c r="C253" i="4" s="1"/>
  <c r="B252" i="4"/>
  <c r="C252" i="4" s="1"/>
  <c r="B251" i="4"/>
  <c r="C251" i="4" s="1"/>
  <c r="B250" i="4"/>
  <c r="C250" i="4" s="1"/>
  <c r="B249" i="4"/>
  <c r="C249" i="4" s="1"/>
  <c r="B248" i="4"/>
  <c r="C248" i="4" s="1"/>
  <c r="B247" i="4"/>
  <c r="C247" i="4" s="1"/>
  <c r="B246" i="4"/>
  <c r="C246" i="4" s="1"/>
  <c r="B245" i="4"/>
  <c r="C245" i="4" s="1"/>
  <c r="B244" i="4"/>
  <c r="C244" i="4" s="1"/>
  <c r="B243" i="4"/>
  <c r="C243" i="4" s="1"/>
  <c r="B242" i="4"/>
  <c r="C242" i="4" s="1"/>
  <c r="B241" i="4"/>
  <c r="C241" i="4" s="1"/>
  <c r="B240" i="4"/>
  <c r="C240" i="4" s="1"/>
  <c r="B239" i="4"/>
  <c r="C239" i="4" s="1"/>
  <c r="B238" i="4"/>
  <c r="C238" i="4" s="1"/>
  <c r="B237" i="4"/>
  <c r="C237" i="4" s="1"/>
  <c r="B236" i="4"/>
  <c r="C236" i="4" s="1"/>
  <c r="B235" i="4"/>
  <c r="C235" i="4" s="1"/>
  <c r="B234" i="4"/>
  <c r="C234" i="4" s="1"/>
  <c r="B233" i="4"/>
  <c r="C233" i="4" s="1"/>
  <c r="B232" i="4"/>
  <c r="C232" i="4" s="1"/>
  <c r="B231" i="4"/>
  <c r="C231" i="4" s="1"/>
  <c r="B230" i="4"/>
  <c r="C230" i="4" s="1"/>
  <c r="B229" i="4"/>
  <c r="C229" i="4" s="1"/>
  <c r="B228" i="4"/>
  <c r="C228" i="4" s="1"/>
  <c r="B227" i="4"/>
  <c r="C227" i="4" s="1"/>
  <c r="B226" i="4"/>
  <c r="C226" i="4" s="1"/>
  <c r="B225" i="4"/>
  <c r="C225" i="4" s="1"/>
  <c r="B224" i="4"/>
  <c r="C224" i="4" s="1"/>
  <c r="B223" i="4"/>
  <c r="C223" i="4" s="1"/>
  <c r="B222" i="4"/>
  <c r="C222" i="4" s="1"/>
  <c r="B221" i="4"/>
  <c r="C221" i="4" s="1"/>
  <c r="B220" i="4"/>
  <c r="C220" i="4" s="1"/>
  <c r="B219" i="4"/>
  <c r="C219" i="4" s="1"/>
  <c r="B218" i="4"/>
  <c r="C218" i="4" s="1"/>
  <c r="B217" i="4"/>
  <c r="C217" i="4" s="1"/>
  <c r="B216" i="4"/>
  <c r="C216" i="4" s="1"/>
  <c r="B215" i="4"/>
  <c r="C215" i="4" s="1"/>
  <c r="B214" i="4"/>
  <c r="C214" i="4" s="1"/>
  <c r="B213" i="4"/>
  <c r="C213" i="4" s="1"/>
  <c r="B212" i="4"/>
  <c r="C212" i="4" s="1"/>
  <c r="B211" i="4"/>
  <c r="C211" i="4" s="1"/>
  <c r="B210" i="4"/>
  <c r="C210" i="4" s="1"/>
  <c r="B209" i="4"/>
  <c r="C209" i="4" s="1"/>
  <c r="B208" i="4"/>
  <c r="C208" i="4" s="1"/>
  <c r="B207" i="4"/>
  <c r="C207" i="4" s="1"/>
  <c r="B206" i="4"/>
  <c r="C206" i="4" s="1"/>
  <c r="B205" i="4"/>
  <c r="C205" i="4" s="1"/>
  <c r="B204" i="4"/>
  <c r="C204" i="4" s="1"/>
  <c r="B203" i="4"/>
  <c r="C203" i="4" s="1"/>
  <c r="B202" i="4"/>
  <c r="C202" i="4" s="1"/>
  <c r="B201" i="4"/>
  <c r="C201" i="4" s="1"/>
  <c r="B200" i="4"/>
  <c r="C200" i="4" s="1"/>
  <c r="B199" i="4"/>
  <c r="C199" i="4" s="1"/>
  <c r="B198" i="4"/>
  <c r="C198" i="4" s="1"/>
  <c r="B197" i="4"/>
  <c r="C197" i="4" s="1"/>
  <c r="B196" i="4"/>
  <c r="C196" i="4" s="1"/>
  <c r="B195" i="4"/>
  <c r="C195" i="4" s="1"/>
  <c r="B194" i="4"/>
  <c r="C194" i="4" s="1"/>
  <c r="B193" i="4"/>
  <c r="C193" i="4" s="1"/>
  <c r="B192" i="4"/>
  <c r="C192" i="4" s="1"/>
  <c r="B191" i="4"/>
  <c r="C191" i="4" s="1"/>
  <c r="B190" i="4"/>
  <c r="C190" i="4" s="1"/>
  <c r="B189" i="4"/>
  <c r="C189" i="4" s="1"/>
  <c r="B188" i="4"/>
  <c r="C188" i="4" s="1"/>
  <c r="B187" i="4"/>
  <c r="C187" i="4" s="1"/>
  <c r="B186" i="4"/>
  <c r="C186" i="4" s="1"/>
  <c r="B185" i="4"/>
  <c r="C185" i="4" s="1"/>
  <c r="B184" i="4"/>
  <c r="C184" i="4" s="1"/>
  <c r="B183" i="4"/>
  <c r="C183" i="4" s="1"/>
  <c r="B182" i="4"/>
  <c r="C182" i="4" s="1"/>
  <c r="B181" i="4"/>
  <c r="C181" i="4" s="1"/>
  <c r="B180" i="4"/>
  <c r="C180" i="4" s="1"/>
  <c r="B179" i="4"/>
  <c r="C179" i="4" s="1"/>
  <c r="B178" i="4"/>
  <c r="C178" i="4" s="1"/>
  <c r="B177" i="4"/>
  <c r="C177" i="4" s="1"/>
  <c r="B176" i="4"/>
  <c r="C176" i="4" s="1"/>
  <c r="B175" i="4"/>
  <c r="C175" i="4" s="1"/>
  <c r="B174" i="4"/>
  <c r="C174" i="4" s="1"/>
  <c r="B173" i="4"/>
  <c r="C173" i="4" s="1"/>
  <c r="B172" i="4"/>
  <c r="C172" i="4" s="1"/>
  <c r="B171" i="4"/>
  <c r="C171" i="4" s="1"/>
  <c r="B170" i="4"/>
  <c r="C170" i="4" s="1"/>
  <c r="B169" i="4"/>
  <c r="C169" i="4" s="1"/>
  <c r="B168" i="4"/>
  <c r="C168" i="4" s="1"/>
  <c r="B167" i="4"/>
  <c r="C167" i="4" s="1"/>
  <c r="B166" i="4"/>
  <c r="C166" i="4" s="1"/>
  <c r="B165" i="4"/>
  <c r="C165" i="4" s="1"/>
  <c r="B164" i="4"/>
  <c r="C164" i="4" s="1"/>
  <c r="B163" i="4"/>
  <c r="C163" i="4" s="1"/>
  <c r="B162" i="4"/>
  <c r="C162" i="4" s="1"/>
  <c r="B161" i="4"/>
  <c r="C161" i="4" s="1"/>
  <c r="B160" i="4"/>
  <c r="C160" i="4" s="1"/>
  <c r="B159" i="4"/>
  <c r="C159" i="4" s="1"/>
  <c r="B158" i="4"/>
  <c r="C158" i="4" s="1"/>
  <c r="B157" i="4"/>
  <c r="C157" i="4" s="1"/>
  <c r="B156" i="4"/>
  <c r="C156" i="4" s="1"/>
  <c r="B155" i="4"/>
  <c r="C155" i="4" s="1"/>
  <c r="B154" i="4"/>
  <c r="C154" i="4" s="1"/>
  <c r="B153" i="4"/>
  <c r="C153" i="4" s="1"/>
  <c r="B152" i="4"/>
  <c r="C152" i="4" s="1"/>
  <c r="B151" i="4"/>
  <c r="C151" i="4" s="1"/>
  <c r="B150" i="4"/>
  <c r="C150" i="4" s="1"/>
  <c r="B149" i="4"/>
  <c r="C149" i="4" s="1"/>
  <c r="B148" i="4"/>
  <c r="C148" i="4" s="1"/>
  <c r="B147" i="4"/>
  <c r="C147" i="4" s="1"/>
  <c r="B146" i="4"/>
  <c r="C146" i="4" s="1"/>
  <c r="B145" i="4"/>
  <c r="C145" i="4" s="1"/>
  <c r="B144" i="4"/>
  <c r="C144" i="4" s="1"/>
  <c r="B143" i="4"/>
  <c r="C143" i="4" s="1"/>
  <c r="B142" i="4"/>
  <c r="C142" i="4" s="1"/>
  <c r="B141" i="4"/>
  <c r="C141" i="4" s="1"/>
  <c r="B140" i="4"/>
  <c r="C140" i="4" s="1"/>
  <c r="B139" i="4"/>
  <c r="C139" i="4" s="1"/>
  <c r="B138" i="4"/>
  <c r="C138" i="4" s="1"/>
  <c r="B137" i="4"/>
  <c r="C137" i="4" s="1"/>
  <c r="B136" i="4"/>
  <c r="C136" i="4" s="1"/>
  <c r="B135" i="4"/>
  <c r="C135" i="4" s="1"/>
  <c r="B134" i="4"/>
  <c r="C134" i="4" s="1"/>
  <c r="B133" i="4"/>
  <c r="C133" i="4" s="1"/>
  <c r="B132" i="4"/>
  <c r="C132" i="4" s="1"/>
  <c r="B131" i="4"/>
  <c r="C131" i="4" s="1"/>
  <c r="B130" i="4"/>
  <c r="C130" i="4" s="1"/>
  <c r="B129" i="4"/>
  <c r="C129" i="4" s="1"/>
  <c r="B128" i="4"/>
  <c r="C128" i="4" s="1"/>
  <c r="B127" i="4"/>
  <c r="C127" i="4" s="1"/>
  <c r="B126" i="4"/>
  <c r="C126" i="4" s="1"/>
  <c r="B125" i="4"/>
  <c r="C125" i="4" s="1"/>
  <c r="B124" i="4"/>
  <c r="C124" i="4" s="1"/>
  <c r="B123" i="4"/>
  <c r="C123" i="4" s="1"/>
  <c r="B122" i="4"/>
  <c r="C122" i="4" s="1"/>
  <c r="B121" i="4"/>
  <c r="C121" i="4" s="1"/>
  <c r="B120" i="4"/>
  <c r="C120" i="4" s="1"/>
  <c r="B119" i="4"/>
  <c r="C119" i="4" s="1"/>
  <c r="B118" i="4"/>
  <c r="C118" i="4" s="1"/>
  <c r="B117" i="4"/>
  <c r="C117" i="4" s="1"/>
  <c r="B116" i="4"/>
  <c r="C116" i="4" s="1"/>
  <c r="B115" i="4"/>
  <c r="C115" i="4" s="1"/>
  <c r="B114" i="4"/>
  <c r="C114" i="4" s="1"/>
  <c r="B113" i="4"/>
  <c r="C113" i="4" s="1"/>
  <c r="B112" i="4"/>
  <c r="C112" i="4" s="1"/>
  <c r="B111" i="4"/>
  <c r="C111" i="4" s="1"/>
  <c r="B110" i="4"/>
  <c r="C110" i="4" s="1"/>
  <c r="B109" i="4"/>
  <c r="C109" i="4" s="1"/>
  <c r="B108" i="4"/>
  <c r="C108" i="4" s="1"/>
  <c r="B107" i="4"/>
  <c r="C107" i="4" s="1"/>
  <c r="B106" i="4"/>
  <c r="C106" i="4" s="1"/>
  <c r="B105" i="4"/>
  <c r="C105" i="4" s="1"/>
  <c r="B104" i="4"/>
  <c r="C104" i="4" s="1"/>
  <c r="B103" i="4"/>
  <c r="C103" i="4" s="1"/>
  <c r="B102" i="4"/>
  <c r="C102" i="4" s="1"/>
  <c r="B101" i="4"/>
  <c r="C101" i="4" s="1"/>
  <c r="B100" i="4"/>
  <c r="C100" i="4" s="1"/>
  <c r="B99" i="4"/>
  <c r="C99" i="4" s="1"/>
  <c r="B98" i="4"/>
  <c r="C98" i="4" s="1"/>
  <c r="B97" i="4"/>
  <c r="C97" i="4" s="1"/>
  <c r="B96" i="4"/>
  <c r="C96" i="4" s="1"/>
  <c r="B95" i="4"/>
  <c r="C95" i="4" s="1"/>
  <c r="B94" i="4"/>
  <c r="C94" i="4" s="1"/>
  <c r="B93" i="4"/>
  <c r="C93" i="4" s="1"/>
  <c r="B92" i="4"/>
  <c r="C92" i="4" s="1"/>
  <c r="B91" i="4"/>
  <c r="C91" i="4" s="1"/>
  <c r="B90" i="4"/>
  <c r="C90" i="4" s="1"/>
  <c r="B89" i="4"/>
  <c r="C89" i="4" s="1"/>
  <c r="B88" i="4"/>
  <c r="C88" i="4" s="1"/>
  <c r="B87" i="4"/>
  <c r="C87" i="4" s="1"/>
  <c r="B86" i="4"/>
  <c r="C86" i="4" s="1"/>
  <c r="B85" i="4"/>
  <c r="C85" i="4" s="1"/>
  <c r="B84" i="4"/>
  <c r="C84" i="4" s="1"/>
  <c r="B83" i="4"/>
  <c r="C83" i="4" s="1"/>
  <c r="B82" i="4"/>
  <c r="C82" i="4" s="1"/>
  <c r="B81" i="4"/>
  <c r="C81" i="4" s="1"/>
  <c r="B80" i="4"/>
  <c r="C80" i="4" s="1"/>
  <c r="B79" i="4"/>
  <c r="C79" i="4" s="1"/>
  <c r="B78" i="4"/>
  <c r="C78" i="4" s="1"/>
  <c r="B77" i="4"/>
  <c r="C77" i="4" s="1"/>
  <c r="B76" i="4"/>
  <c r="C76" i="4" s="1"/>
  <c r="B75" i="4"/>
  <c r="C75" i="4" s="1"/>
  <c r="B74" i="4"/>
  <c r="C74" i="4" s="1"/>
  <c r="B73" i="4"/>
  <c r="C73" i="4" s="1"/>
  <c r="B72" i="4"/>
  <c r="C72" i="4" s="1"/>
  <c r="B71" i="4"/>
  <c r="C71" i="4" s="1"/>
  <c r="B70" i="4"/>
  <c r="C70" i="4" s="1"/>
  <c r="B69" i="4"/>
  <c r="C69" i="4" s="1"/>
  <c r="B68" i="4"/>
  <c r="C68" i="4" s="1"/>
  <c r="B67" i="4"/>
  <c r="C67" i="4" s="1"/>
  <c r="B66" i="4"/>
  <c r="C66" i="4" s="1"/>
  <c r="B65" i="4"/>
  <c r="C65" i="4" s="1"/>
  <c r="B64" i="4"/>
  <c r="C64" i="4" s="1"/>
  <c r="B63" i="4"/>
  <c r="C63" i="4" s="1"/>
  <c r="B62" i="4"/>
  <c r="C62" i="4" s="1"/>
  <c r="B61" i="4"/>
  <c r="C61" i="4" s="1"/>
  <c r="B60" i="4"/>
  <c r="C60" i="4" s="1"/>
  <c r="B59" i="4"/>
  <c r="C59" i="4" s="1"/>
  <c r="B58" i="4"/>
  <c r="C58" i="4" s="1"/>
  <c r="B57" i="4"/>
  <c r="C57" i="4" s="1"/>
  <c r="B56" i="4"/>
  <c r="C56" i="4" s="1"/>
  <c r="B55" i="4"/>
  <c r="C55" i="4" s="1"/>
  <c r="B54" i="4"/>
  <c r="C54" i="4" s="1"/>
  <c r="B53" i="4"/>
  <c r="C53" i="4" s="1"/>
  <c r="B52" i="4"/>
  <c r="C52" i="4" s="1"/>
  <c r="B51" i="4"/>
  <c r="C51" i="4" s="1"/>
  <c r="B50" i="4"/>
  <c r="C50" i="4" s="1"/>
  <c r="B49" i="4"/>
  <c r="C49" i="4" s="1"/>
  <c r="B48" i="4"/>
  <c r="C48" i="4" s="1"/>
  <c r="B47" i="4"/>
  <c r="C47" i="4" s="1"/>
  <c r="B46" i="4"/>
  <c r="C46" i="4" s="1"/>
  <c r="B45" i="4"/>
  <c r="C45" i="4" s="1"/>
  <c r="B44" i="4"/>
  <c r="C44" i="4" s="1"/>
  <c r="B43" i="4"/>
  <c r="C43" i="4" s="1"/>
  <c r="B42" i="4"/>
  <c r="C42" i="4" s="1"/>
  <c r="B41" i="4"/>
  <c r="C41" i="4" s="1"/>
  <c r="B40" i="4"/>
  <c r="C40" i="4" s="1"/>
  <c r="B39" i="4"/>
  <c r="C39" i="4" s="1"/>
  <c r="B38" i="4"/>
  <c r="C38" i="4" s="1"/>
  <c r="B37" i="4"/>
  <c r="C37" i="4" s="1"/>
  <c r="B36" i="4"/>
  <c r="C36" i="4" s="1"/>
  <c r="B35" i="4"/>
  <c r="C35" i="4" s="1"/>
  <c r="B34" i="4"/>
  <c r="C34" i="4" s="1"/>
  <c r="B33" i="4"/>
  <c r="C33" i="4" s="1"/>
  <c r="B32" i="4"/>
  <c r="C32" i="4" s="1"/>
  <c r="B31" i="4"/>
  <c r="C31" i="4" s="1"/>
  <c r="B30" i="4"/>
  <c r="C30" i="4" s="1"/>
  <c r="B29" i="4"/>
  <c r="C29" i="4" s="1"/>
  <c r="B28" i="4"/>
  <c r="C28" i="4" s="1"/>
  <c r="B27" i="4"/>
  <c r="C27" i="4" s="1"/>
  <c r="B26" i="4"/>
  <c r="C26" i="4" s="1"/>
  <c r="B25" i="4"/>
  <c r="C25" i="4" s="1"/>
  <c r="B24" i="4"/>
  <c r="C24" i="4" s="1"/>
  <c r="B23" i="4"/>
  <c r="C23" i="4" s="1"/>
  <c r="B22" i="4"/>
  <c r="C22" i="4" s="1"/>
  <c r="B21" i="4"/>
  <c r="C21" i="4" s="1"/>
  <c r="B20" i="4"/>
  <c r="C20" i="4" s="1"/>
  <c r="B19" i="4"/>
  <c r="C19" i="4" s="1"/>
  <c r="B18" i="4"/>
  <c r="C18" i="4" s="1"/>
  <c r="B17" i="4"/>
  <c r="C17" i="4" s="1"/>
  <c r="B16" i="4"/>
  <c r="C16" i="4" s="1"/>
  <c r="B15" i="4"/>
  <c r="C15" i="4" s="1"/>
  <c r="B14" i="4"/>
  <c r="C14" i="4" s="1"/>
  <c r="B13" i="4"/>
  <c r="C13" i="4" s="1"/>
  <c r="B12" i="4"/>
  <c r="C12" i="4" s="1"/>
  <c r="B11" i="4"/>
  <c r="C11" i="4" s="1"/>
  <c r="B10" i="4"/>
  <c r="C10" i="4" s="1"/>
  <c r="B9" i="4"/>
  <c r="C9" i="4" s="1"/>
  <c r="B8" i="4"/>
  <c r="C8" i="4" s="1"/>
  <c r="B7" i="4"/>
  <c r="C7" i="4" s="1"/>
  <c r="B6" i="4"/>
  <c r="C6" i="4" s="1"/>
  <c r="B5" i="4"/>
  <c r="C5" i="4" s="1"/>
  <c r="B4" i="4"/>
  <c r="C4" i="4" s="1"/>
  <c r="B3" i="4"/>
  <c r="C3" i="4" s="1"/>
  <c r="B2" i="4"/>
  <c r="C2" i="4" s="1"/>
  <c r="A1" i="4"/>
  <c r="G4" i="3"/>
  <c r="H4" i="3" s="1"/>
  <c r="I2" i="3"/>
  <c r="I3" i="4"/>
  <c r="G6" i="4"/>
  <c r="A595" i="8" l="1"/>
  <c r="B594" i="8"/>
  <c r="G10" i="3"/>
  <c r="G9" i="3"/>
  <c r="G8" i="3"/>
  <c r="G7" i="3"/>
  <c r="G6" i="3"/>
  <c r="G5" i="3"/>
  <c r="G3" i="3"/>
  <c r="I29" i="3"/>
  <c r="H29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K89" i="1"/>
  <c r="K90" i="1"/>
  <c r="A596" i="8" l="1"/>
  <c r="B595" i="8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  <c r="B47" i="1"/>
  <c r="C47" i="1" s="1"/>
  <c r="D47" i="1" s="1"/>
  <c r="E47" i="1" s="1"/>
  <c r="F47" i="1" s="1"/>
  <c r="G47" i="1" s="1"/>
  <c r="C45" i="1"/>
  <c r="D45" i="1" s="1"/>
  <c r="E45" i="1" s="1"/>
  <c r="B45" i="1"/>
  <c r="B39" i="1"/>
  <c r="B41" i="1" s="1"/>
  <c r="C41" i="1" s="1"/>
  <c r="D41" i="1" s="1"/>
  <c r="E41" i="1" s="1"/>
  <c r="F41" i="1" s="1"/>
  <c r="G41" i="1" s="1"/>
  <c r="B33" i="1"/>
  <c r="B35" i="1" s="1"/>
  <c r="C35" i="1" s="1"/>
  <c r="D35" i="1" s="1"/>
  <c r="E35" i="1" s="1"/>
  <c r="F35" i="1" s="1"/>
  <c r="G35" i="1" s="1"/>
  <c r="B51" i="1"/>
  <c r="B53" i="1" s="1"/>
  <c r="C53" i="1" s="1"/>
  <c r="D53" i="1" s="1"/>
  <c r="B23" i="1"/>
  <c r="C23" i="1" s="1"/>
  <c r="D23" i="1" s="1"/>
  <c r="E23" i="1" s="1"/>
  <c r="B19" i="1"/>
  <c r="C19" i="1" s="1"/>
  <c r="D19" i="1" s="1"/>
  <c r="E19" i="1" s="1"/>
  <c r="F19" i="1" s="1"/>
  <c r="G19" i="1" s="1"/>
  <c r="C13" i="1"/>
  <c r="D13" i="1" s="1"/>
  <c r="E13" i="1" s="1"/>
  <c r="F13" i="1" s="1"/>
  <c r="G13" i="1" s="1"/>
  <c r="C7" i="1"/>
  <c r="D7" i="1" s="1"/>
  <c r="C17" i="1"/>
  <c r="D17" i="1" s="1"/>
  <c r="E17" i="1" s="1"/>
  <c r="C11" i="1"/>
  <c r="D11" i="1" s="1"/>
  <c r="E11" i="1" s="1"/>
  <c r="F11" i="1" s="1"/>
  <c r="G11" i="1" s="1"/>
  <c r="H11" i="1" s="1"/>
  <c r="I11" i="1" s="1"/>
  <c r="J11" i="1" s="1"/>
  <c r="C5" i="1"/>
  <c r="D5" i="1" s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W6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C81" i="1"/>
  <c r="C79" i="1"/>
  <c r="D79" i="1" s="1"/>
  <c r="E79" i="1" s="1"/>
  <c r="F79" i="1" s="1"/>
  <c r="G79" i="1" s="1"/>
  <c r="H79" i="1" s="1"/>
  <c r="I79" i="1" s="1"/>
  <c r="J79" i="1" s="1"/>
  <c r="K79" i="1" s="1"/>
  <c r="C77" i="1"/>
  <c r="B76" i="1"/>
  <c r="C75" i="1"/>
  <c r="D75" i="1" s="1"/>
  <c r="E75" i="1" s="1"/>
  <c r="F75" i="1" s="1"/>
  <c r="G75" i="1" s="1"/>
  <c r="H75" i="1" s="1"/>
  <c r="B74" i="1"/>
  <c r="C73" i="1"/>
  <c r="C71" i="1"/>
  <c r="B69" i="1"/>
  <c r="C69" i="1" s="1"/>
  <c r="D69" i="1" s="1"/>
  <c r="E69" i="1" s="1"/>
  <c r="F69" i="1" s="1"/>
  <c r="G69" i="1" s="1"/>
  <c r="H69" i="1" s="1"/>
  <c r="B67" i="1"/>
  <c r="C67" i="1" s="1"/>
  <c r="B65" i="1"/>
  <c r="C65" i="1" s="1"/>
  <c r="D65" i="1" s="1"/>
  <c r="E65" i="1" s="1"/>
  <c r="F65" i="1" s="1"/>
  <c r="G65" i="1" s="1"/>
  <c r="H65" i="1" s="1"/>
  <c r="B63" i="1"/>
  <c r="C63" i="1" s="1"/>
  <c r="D63" i="1" s="1"/>
  <c r="E63" i="1" s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V62" i="1"/>
  <c r="C59" i="1"/>
  <c r="D59" i="1" s="1"/>
  <c r="E59" i="1" s="1"/>
  <c r="F59" i="1" s="1"/>
  <c r="G59" i="1" s="1"/>
  <c r="H59" i="1" s="1"/>
  <c r="I59" i="1" s="1"/>
  <c r="J59" i="1" s="1"/>
  <c r="K59" i="1" s="1"/>
  <c r="C57" i="1"/>
  <c r="C55" i="1"/>
  <c r="C49" i="1"/>
  <c r="D49" i="1" s="1"/>
  <c r="E49" i="1" s="1"/>
  <c r="F49" i="1" s="1"/>
  <c r="G49" i="1" s="1"/>
  <c r="H49" i="1" s="1"/>
  <c r="C43" i="1"/>
  <c r="D43" i="1" s="1"/>
  <c r="E43" i="1" s="1"/>
  <c r="F43" i="1" s="1"/>
  <c r="G43" i="1" s="1"/>
  <c r="H43" i="1" s="1"/>
  <c r="I43" i="1" s="1"/>
  <c r="I44" i="1" s="1"/>
  <c r="C37" i="1"/>
  <c r="D37" i="1" s="1"/>
  <c r="E37" i="1" s="1"/>
  <c r="F37" i="1" s="1"/>
  <c r="G37" i="1" s="1"/>
  <c r="H37" i="1" s="1"/>
  <c r="I37" i="1" s="1"/>
  <c r="C31" i="1"/>
  <c r="D31" i="1" s="1"/>
  <c r="E31" i="1" s="1"/>
  <c r="F31" i="1" s="1"/>
  <c r="G31" i="1" s="1"/>
  <c r="H31" i="1" s="1"/>
  <c r="H32" i="1" s="1"/>
  <c r="B25" i="1"/>
  <c r="C21" i="1"/>
  <c r="D21" i="1" s="1"/>
  <c r="E21" i="1" s="1"/>
  <c r="F21" i="1" s="1"/>
  <c r="G21" i="1" s="1"/>
  <c r="H21" i="1" s="1"/>
  <c r="H22" i="1" s="1"/>
  <c r="C15" i="1"/>
  <c r="D15" i="1" s="1"/>
  <c r="E15" i="1" s="1"/>
  <c r="C9" i="1"/>
  <c r="D9" i="1" s="1"/>
  <c r="E9" i="1" s="1"/>
  <c r="F9" i="1" s="1"/>
  <c r="G9" i="1" s="1"/>
  <c r="H9" i="1" s="1"/>
  <c r="I9" i="1" s="1"/>
  <c r="J9" i="1" s="1"/>
  <c r="C3" i="1"/>
  <c r="D3" i="1" s="1"/>
  <c r="E3" i="1" s="1"/>
  <c r="F3" i="1" s="1"/>
  <c r="G3" i="1" s="1"/>
  <c r="H3" i="1" s="1"/>
  <c r="I3" i="1" s="1"/>
  <c r="J3" i="1" s="1"/>
  <c r="E55" i="1" l="1"/>
  <c r="F55" i="1" s="1"/>
  <c r="G55" i="1" s="1"/>
  <c r="H55" i="1" s="1"/>
  <c r="I55" i="1" s="1"/>
  <c r="I56" i="1" s="1"/>
  <c r="D55" i="1"/>
  <c r="A597" i="8"/>
  <c r="B596" i="8"/>
  <c r="G48" i="1"/>
  <c r="H47" i="1"/>
  <c r="E46" i="1"/>
  <c r="F45" i="1"/>
  <c r="G42" i="1"/>
  <c r="H41" i="1"/>
  <c r="C39" i="1"/>
  <c r="D39" i="1" s="1"/>
  <c r="E39" i="1" s="1"/>
  <c r="C33" i="1"/>
  <c r="D33" i="1" s="1"/>
  <c r="E33" i="1" s="1"/>
  <c r="E34" i="1"/>
  <c r="F33" i="1"/>
  <c r="G36" i="1"/>
  <c r="H35" i="1"/>
  <c r="K6" i="1"/>
  <c r="L6" i="1"/>
  <c r="T6" i="1"/>
  <c r="B27" i="1"/>
  <c r="E53" i="1"/>
  <c r="F53" i="1" s="1"/>
  <c r="G53" i="1" s="1"/>
  <c r="H53" i="1" s="1"/>
  <c r="C51" i="1"/>
  <c r="E24" i="1"/>
  <c r="F23" i="1"/>
  <c r="G20" i="1"/>
  <c r="H19" i="1"/>
  <c r="G14" i="1"/>
  <c r="H13" i="1"/>
  <c r="E7" i="1"/>
  <c r="F7" i="1" s="1"/>
  <c r="G7" i="1" s="1"/>
  <c r="G8" i="1" s="1"/>
  <c r="M6" i="1"/>
  <c r="U6" i="1"/>
  <c r="N6" i="1"/>
  <c r="V6" i="1"/>
  <c r="I12" i="1"/>
  <c r="O6" i="1"/>
  <c r="H12" i="1"/>
  <c r="P6" i="1"/>
  <c r="G6" i="1"/>
  <c r="Q6" i="1"/>
  <c r="H6" i="1"/>
  <c r="J6" i="1"/>
  <c r="R6" i="1"/>
  <c r="I6" i="1"/>
  <c r="S6" i="1"/>
  <c r="E18" i="1"/>
  <c r="F17" i="1"/>
  <c r="K11" i="1"/>
  <c r="J12" i="1"/>
  <c r="F15" i="1"/>
  <c r="E16" i="1"/>
  <c r="I75" i="1"/>
  <c r="J75" i="1" s="1"/>
  <c r="K75" i="1" s="1"/>
  <c r="L75" i="1" s="1"/>
  <c r="M75" i="1" s="1"/>
  <c r="N75" i="1" s="1"/>
  <c r="O75" i="1" s="1"/>
  <c r="P75" i="1" s="1"/>
  <c r="D81" i="1"/>
  <c r="E81" i="1" s="1"/>
  <c r="F81" i="1" s="1"/>
  <c r="G81" i="1" s="1"/>
  <c r="H81" i="1" s="1"/>
  <c r="I81" i="1" s="1"/>
  <c r="J81" i="1" s="1"/>
  <c r="K81" i="1" s="1"/>
  <c r="L81" i="1" s="1"/>
  <c r="M81" i="1" s="1"/>
  <c r="N81" i="1" s="1"/>
  <c r="I49" i="1"/>
  <c r="J49" i="1" s="1"/>
  <c r="D71" i="1"/>
  <c r="E71" i="1" s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I65" i="1"/>
  <c r="J65" i="1" s="1"/>
  <c r="K65" i="1" s="1"/>
  <c r="L65" i="1" s="1"/>
  <c r="M65" i="1" s="1"/>
  <c r="N65" i="1" s="1"/>
  <c r="N66" i="1" s="1"/>
  <c r="D77" i="1"/>
  <c r="E77" i="1" s="1"/>
  <c r="F77" i="1" s="1"/>
  <c r="G77" i="1" s="1"/>
  <c r="H77" i="1" s="1"/>
  <c r="I77" i="1" s="1"/>
  <c r="J77" i="1" s="1"/>
  <c r="K77" i="1" s="1"/>
  <c r="D67" i="1"/>
  <c r="E67" i="1" s="1"/>
  <c r="F67" i="1" s="1"/>
  <c r="G67" i="1" s="1"/>
  <c r="H67" i="1" s="1"/>
  <c r="I67" i="1" s="1"/>
  <c r="J67" i="1" s="1"/>
  <c r="K67" i="1" s="1"/>
  <c r="L67" i="1" s="1"/>
  <c r="M67" i="1" s="1"/>
  <c r="N67" i="1" s="1"/>
  <c r="I69" i="1"/>
  <c r="J69" i="1" s="1"/>
  <c r="K69" i="1" s="1"/>
  <c r="L69" i="1" s="1"/>
  <c r="M69" i="1" s="1"/>
  <c r="N69" i="1" s="1"/>
  <c r="D73" i="1"/>
  <c r="E73" i="1" s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D57" i="1"/>
  <c r="E57" i="1" s="1"/>
  <c r="F57" i="1" s="1"/>
  <c r="G57" i="1" s="1"/>
  <c r="H57" i="1" s="1"/>
  <c r="I57" i="1" s="1"/>
  <c r="J57" i="1" s="1"/>
  <c r="K57" i="1" s="1"/>
  <c r="C61" i="1"/>
  <c r="D61" i="1" s="1"/>
  <c r="E61" i="1" s="1"/>
  <c r="F61" i="1" s="1"/>
  <c r="G61" i="1" s="1"/>
  <c r="H61" i="1" s="1"/>
  <c r="I61" i="1" s="1"/>
  <c r="J61" i="1" s="1"/>
  <c r="K61" i="1" s="1"/>
  <c r="K62" i="1" s="1"/>
  <c r="C25" i="1"/>
  <c r="K9" i="1"/>
  <c r="J10" i="1"/>
  <c r="I31" i="1"/>
  <c r="O64" i="1"/>
  <c r="P63" i="1"/>
  <c r="I21" i="1"/>
  <c r="K60" i="1"/>
  <c r="L59" i="1"/>
  <c r="K3" i="1"/>
  <c r="J4" i="1"/>
  <c r="K80" i="1"/>
  <c r="L79" i="1"/>
  <c r="J43" i="1"/>
  <c r="J37" i="1"/>
  <c r="I38" i="1"/>
  <c r="B62" i="1"/>
  <c r="J55" i="1" l="1"/>
  <c r="K55" i="1" s="1"/>
  <c r="A598" i="8"/>
  <c r="B597" i="8"/>
  <c r="F46" i="1"/>
  <c r="G45" i="1"/>
  <c r="H48" i="1"/>
  <c r="I47" i="1"/>
  <c r="H42" i="1"/>
  <c r="I41" i="1"/>
  <c r="E40" i="1"/>
  <c r="F39" i="1"/>
  <c r="H36" i="1"/>
  <c r="I35" i="1"/>
  <c r="F34" i="1"/>
  <c r="G33" i="1"/>
  <c r="B29" i="1"/>
  <c r="C29" i="1" s="1"/>
  <c r="D29" i="1" s="1"/>
  <c r="E29" i="1" s="1"/>
  <c r="F29" i="1" s="1"/>
  <c r="G29" i="1" s="1"/>
  <c r="C27" i="1"/>
  <c r="D27" i="1" s="1"/>
  <c r="E27" i="1" s="1"/>
  <c r="D51" i="1"/>
  <c r="E51" i="1" s="1"/>
  <c r="G54" i="1"/>
  <c r="H54" i="1"/>
  <c r="I53" i="1"/>
  <c r="F24" i="1"/>
  <c r="G23" i="1"/>
  <c r="H20" i="1"/>
  <c r="I19" i="1"/>
  <c r="H14" i="1"/>
  <c r="I13" i="1"/>
  <c r="H7" i="1"/>
  <c r="I7" i="1" s="1"/>
  <c r="F18" i="1"/>
  <c r="G17" i="1"/>
  <c r="O76" i="1"/>
  <c r="L11" i="1"/>
  <c r="K12" i="1"/>
  <c r="I50" i="1"/>
  <c r="M70" i="1"/>
  <c r="O81" i="1"/>
  <c r="O82" i="1" s="1"/>
  <c r="N82" i="1"/>
  <c r="L61" i="1"/>
  <c r="M61" i="1" s="1"/>
  <c r="O65" i="1"/>
  <c r="O66" i="1" s="1"/>
  <c r="O74" i="1"/>
  <c r="P73" i="1"/>
  <c r="Q73" i="1" s="1"/>
  <c r="L77" i="1"/>
  <c r="L78" i="1" s="1"/>
  <c r="K78" i="1"/>
  <c r="O67" i="1"/>
  <c r="P67" i="1" s="1"/>
  <c r="N68" i="1"/>
  <c r="K58" i="1"/>
  <c r="L57" i="1"/>
  <c r="L58" i="1" s="1"/>
  <c r="O72" i="1"/>
  <c r="P71" i="1"/>
  <c r="Q71" i="1" s="1"/>
  <c r="G15" i="1"/>
  <c r="F16" i="1"/>
  <c r="D25" i="1"/>
  <c r="E25" i="1" s="1"/>
  <c r="F25" i="1" s="1"/>
  <c r="G25" i="1" s="1"/>
  <c r="H25" i="1" s="1"/>
  <c r="I25" i="1" s="1"/>
  <c r="I26" i="1" s="1"/>
  <c r="L3" i="1"/>
  <c r="K4" i="1"/>
  <c r="L80" i="1"/>
  <c r="M79" i="1"/>
  <c r="J38" i="1"/>
  <c r="K37" i="1"/>
  <c r="J44" i="1"/>
  <c r="K43" i="1"/>
  <c r="J50" i="1"/>
  <c r="K49" i="1"/>
  <c r="N70" i="1"/>
  <c r="O69" i="1"/>
  <c r="M59" i="1"/>
  <c r="L60" i="1"/>
  <c r="J31" i="1"/>
  <c r="I32" i="1"/>
  <c r="P76" i="1"/>
  <c r="Q75" i="1"/>
  <c r="J56" i="1"/>
  <c r="L9" i="1"/>
  <c r="K10" i="1"/>
  <c r="P64" i="1"/>
  <c r="Q63" i="1"/>
  <c r="J21" i="1"/>
  <c r="I22" i="1"/>
  <c r="A599" i="8" l="1"/>
  <c r="B598" i="8"/>
  <c r="I48" i="1"/>
  <c r="J47" i="1"/>
  <c r="H45" i="1"/>
  <c r="G46" i="1"/>
  <c r="F40" i="1"/>
  <c r="G39" i="1"/>
  <c r="I42" i="1"/>
  <c r="J41" i="1"/>
  <c r="H33" i="1"/>
  <c r="G34" i="1"/>
  <c r="J35" i="1"/>
  <c r="I36" i="1"/>
  <c r="E52" i="1"/>
  <c r="F51" i="1"/>
  <c r="F52" i="1" s="1"/>
  <c r="F27" i="1"/>
  <c r="E28" i="1"/>
  <c r="G30" i="1"/>
  <c r="H29" i="1"/>
  <c r="I54" i="1"/>
  <c r="J53" i="1"/>
  <c r="G24" i="1"/>
  <c r="H23" i="1"/>
  <c r="I20" i="1"/>
  <c r="J19" i="1"/>
  <c r="I14" i="1"/>
  <c r="J13" i="1"/>
  <c r="H8" i="1"/>
  <c r="I8" i="1"/>
  <c r="J7" i="1"/>
  <c r="M77" i="1"/>
  <c r="M78" i="1" s="1"/>
  <c r="G18" i="1"/>
  <c r="H17" i="1"/>
  <c r="L62" i="1"/>
  <c r="M11" i="1"/>
  <c r="L12" i="1"/>
  <c r="O68" i="1"/>
  <c r="P81" i="1"/>
  <c r="Q81" i="1" s="1"/>
  <c r="P74" i="1"/>
  <c r="P72" i="1"/>
  <c r="M57" i="1"/>
  <c r="N57" i="1" s="1"/>
  <c r="P65" i="1"/>
  <c r="P66" i="1" s="1"/>
  <c r="J25" i="1"/>
  <c r="J26" i="1" s="1"/>
  <c r="H15" i="1"/>
  <c r="H16" i="1" s="1"/>
  <c r="G16" i="1"/>
  <c r="Q76" i="1"/>
  <c r="R75" i="1"/>
  <c r="M62" i="1"/>
  <c r="N61" i="1"/>
  <c r="L43" i="1"/>
  <c r="K44" i="1"/>
  <c r="M80" i="1"/>
  <c r="N79" i="1"/>
  <c r="K31" i="1"/>
  <c r="J32" i="1"/>
  <c r="Q67" i="1"/>
  <c r="P68" i="1"/>
  <c r="J22" i="1"/>
  <c r="K21" i="1"/>
  <c r="L55" i="1"/>
  <c r="K56" i="1"/>
  <c r="P69" i="1"/>
  <c r="O70" i="1"/>
  <c r="L37" i="1"/>
  <c r="K38" i="1"/>
  <c r="R73" i="1"/>
  <c r="Q74" i="1"/>
  <c r="L10" i="1"/>
  <c r="M9" i="1"/>
  <c r="M60" i="1"/>
  <c r="N59" i="1"/>
  <c r="R71" i="1"/>
  <c r="Q72" i="1"/>
  <c r="R63" i="1"/>
  <c r="Q64" i="1"/>
  <c r="L49" i="1"/>
  <c r="K50" i="1"/>
  <c r="M3" i="1"/>
  <c r="L4" i="1"/>
  <c r="A600" i="8" l="1"/>
  <c r="B599" i="8"/>
  <c r="J48" i="1"/>
  <c r="K47" i="1"/>
  <c r="I45" i="1"/>
  <c r="H46" i="1"/>
  <c r="J42" i="1"/>
  <c r="K41" i="1"/>
  <c r="H39" i="1"/>
  <c r="G40" i="1"/>
  <c r="J36" i="1"/>
  <c r="K35" i="1"/>
  <c r="I33" i="1"/>
  <c r="H34" i="1"/>
  <c r="H30" i="1"/>
  <c r="I29" i="1"/>
  <c r="F28" i="1"/>
  <c r="G27" i="1"/>
  <c r="G51" i="1"/>
  <c r="G52" i="1" s="1"/>
  <c r="J54" i="1"/>
  <c r="K53" i="1"/>
  <c r="I23" i="1"/>
  <c r="H24" i="1"/>
  <c r="J20" i="1"/>
  <c r="K19" i="1"/>
  <c r="J14" i="1"/>
  <c r="K13" i="1"/>
  <c r="J8" i="1"/>
  <c r="K7" i="1"/>
  <c r="N77" i="1"/>
  <c r="O77" i="1" s="1"/>
  <c r="I17" i="1"/>
  <c r="H18" i="1"/>
  <c r="M58" i="1"/>
  <c r="M12" i="1"/>
  <c r="N11" i="1"/>
  <c r="P82" i="1"/>
  <c r="Q65" i="1"/>
  <c r="Q66" i="1" s="1"/>
  <c r="K25" i="1"/>
  <c r="L25" i="1" s="1"/>
  <c r="M25" i="1" s="1"/>
  <c r="M37" i="1"/>
  <c r="L38" i="1"/>
  <c r="Q68" i="1"/>
  <c r="R67" i="1"/>
  <c r="M43" i="1"/>
  <c r="L44" i="1"/>
  <c r="Q69" i="1"/>
  <c r="P70" i="1"/>
  <c r="L31" i="1"/>
  <c r="K32" i="1"/>
  <c r="R81" i="1"/>
  <c r="Q82" i="1"/>
  <c r="N60" i="1"/>
  <c r="O59" i="1"/>
  <c r="I15" i="1"/>
  <c r="S75" i="1"/>
  <c r="R76" i="1"/>
  <c r="M10" i="1"/>
  <c r="N9" i="1"/>
  <c r="R64" i="1"/>
  <c r="S63" i="1"/>
  <c r="R74" i="1"/>
  <c r="S73" i="1"/>
  <c r="M55" i="1"/>
  <c r="L56" i="1"/>
  <c r="L21" i="1"/>
  <c r="K22" i="1"/>
  <c r="N80" i="1"/>
  <c r="O79" i="1"/>
  <c r="O61" i="1"/>
  <c r="N62" i="1"/>
  <c r="N58" i="1"/>
  <c r="O57" i="1"/>
  <c r="N3" i="1"/>
  <c r="M4" i="1"/>
  <c r="M49" i="1"/>
  <c r="L50" i="1"/>
  <c r="R72" i="1"/>
  <c r="S71" i="1"/>
  <c r="A601" i="8" l="1"/>
  <c r="B600" i="8"/>
  <c r="K48" i="1"/>
  <c r="L47" i="1"/>
  <c r="I46" i="1"/>
  <c r="J45" i="1"/>
  <c r="K42" i="1"/>
  <c r="L41" i="1"/>
  <c r="I39" i="1"/>
  <c r="H40" i="1"/>
  <c r="H51" i="1"/>
  <c r="I51" i="1" s="1"/>
  <c r="I34" i="1"/>
  <c r="J33" i="1"/>
  <c r="K36" i="1"/>
  <c r="L35" i="1"/>
  <c r="I30" i="1"/>
  <c r="J29" i="1"/>
  <c r="H27" i="1"/>
  <c r="G28" i="1"/>
  <c r="K54" i="1"/>
  <c r="L53" i="1"/>
  <c r="J23" i="1"/>
  <c r="I24" i="1"/>
  <c r="N78" i="1"/>
  <c r="K20" i="1"/>
  <c r="L19" i="1"/>
  <c r="K14" i="1"/>
  <c r="L13" i="1"/>
  <c r="K8" i="1"/>
  <c r="L7" i="1"/>
  <c r="J17" i="1"/>
  <c r="I18" i="1"/>
  <c r="N12" i="1"/>
  <c r="O11" i="1"/>
  <c r="R65" i="1"/>
  <c r="S65" i="1" s="1"/>
  <c r="L26" i="1"/>
  <c r="K26" i="1"/>
  <c r="M31" i="1"/>
  <c r="L32" i="1"/>
  <c r="N43" i="1"/>
  <c r="M44" i="1"/>
  <c r="O62" i="1"/>
  <c r="P61" i="1"/>
  <c r="I16" i="1"/>
  <c r="J15" i="1"/>
  <c r="Q70" i="1"/>
  <c r="R69" i="1"/>
  <c r="R68" i="1"/>
  <c r="S67" i="1"/>
  <c r="O9" i="1"/>
  <c r="N10" i="1"/>
  <c r="O60" i="1"/>
  <c r="P59" i="1"/>
  <c r="O78" i="1"/>
  <c r="P77" i="1"/>
  <c r="O3" i="1"/>
  <c r="N4" i="1"/>
  <c r="O58" i="1"/>
  <c r="P57" i="1"/>
  <c r="M38" i="1"/>
  <c r="N37" i="1"/>
  <c r="M50" i="1"/>
  <c r="N49" i="1"/>
  <c r="P79" i="1"/>
  <c r="O80" i="1"/>
  <c r="L22" i="1"/>
  <c r="M21" i="1"/>
  <c r="N55" i="1"/>
  <c r="M56" i="1"/>
  <c r="R82" i="1"/>
  <c r="S81" i="1"/>
  <c r="N25" i="1"/>
  <c r="M26" i="1"/>
  <c r="H52" i="1" l="1"/>
  <c r="A602" i="8"/>
  <c r="B601" i="8"/>
  <c r="J46" i="1"/>
  <c r="K45" i="1"/>
  <c r="L48" i="1"/>
  <c r="M47" i="1"/>
  <c r="J39" i="1"/>
  <c r="I40" i="1"/>
  <c r="M41" i="1"/>
  <c r="L42" i="1"/>
  <c r="L36" i="1"/>
  <c r="M35" i="1"/>
  <c r="K33" i="1"/>
  <c r="J34" i="1"/>
  <c r="I27" i="1"/>
  <c r="H28" i="1"/>
  <c r="K29" i="1"/>
  <c r="J30" i="1"/>
  <c r="L54" i="1"/>
  <c r="M53" i="1"/>
  <c r="I52" i="1"/>
  <c r="J51" i="1"/>
  <c r="K23" i="1"/>
  <c r="J24" i="1"/>
  <c r="L20" i="1"/>
  <c r="M19" i="1"/>
  <c r="L14" i="1"/>
  <c r="M13" i="1"/>
  <c r="L8" i="1"/>
  <c r="M7" i="1"/>
  <c r="R66" i="1"/>
  <c r="J18" i="1"/>
  <c r="K17" i="1"/>
  <c r="O12" i="1"/>
  <c r="P11" i="1"/>
  <c r="N50" i="1"/>
  <c r="O49" i="1"/>
  <c r="P78" i="1"/>
  <c r="Q77" i="1"/>
  <c r="M22" i="1"/>
  <c r="N21" i="1"/>
  <c r="N38" i="1"/>
  <c r="O37" i="1"/>
  <c r="P60" i="1"/>
  <c r="Q59" i="1"/>
  <c r="P62" i="1"/>
  <c r="Q61" i="1"/>
  <c r="P58" i="1"/>
  <c r="Q57" i="1"/>
  <c r="R70" i="1"/>
  <c r="S69" i="1"/>
  <c r="O25" i="1"/>
  <c r="N26" i="1"/>
  <c r="P9" i="1"/>
  <c r="O10" i="1"/>
  <c r="N44" i="1"/>
  <c r="O43" i="1"/>
  <c r="N56" i="1"/>
  <c r="O55" i="1"/>
  <c r="J16" i="1"/>
  <c r="K15" i="1"/>
  <c r="P80" i="1"/>
  <c r="Q79" i="1"/>
  <c r="O4" i="1"/>
  <c r="P3" i="1"/>
  <c r="M32" i="1"/>
  <c r="N31" i="1"/>
  <c r="A603" i="8" l="1"/>
  <c r="B602" i="8"/>
  <c r="M48" i="1"/>
  <c r="N47" i="1"/>
  <c r="K46" i="1"/>
  <c r="L45" i="1"/>
  <c r="J40" i="1"/>
  <c r="K39" i="1"/>
  <c r="M42" i="1"/>
  <c r="N41" i="1"/>
  <c r="K34" i="1"/>
  <c r="L33" i="1"/>
  <c r="M36" i="1"/>
  <c r="N35" i="1"/>
  <c r="K30" i="1"/>
  <c r="L29" i="1"/>
  <c r="J27" i="1"/>
  <c r="I28" i="1"/>
  <c r="K51" i="1"/>
  <c r="J52" i="1"/>
  <c r="M54" i="1"/>
  <c r="N53" i="1"/>
  <c r="L23" i="1"/>
  <c r="K24" i="1"/>
  <c r="M20" i="1"/>
  <c r="N19" i="1"/>
  <c r="M14" i="1"/>
  <c r="N13" i="1"/>
  <c r="M8" i="1"/>
  <c r="N7" i="1"/>
  <c r="L17" i="1"/>
  <c r="K18" i="1"/>
  <c r="Q11" i="1"/>
  <c r="Q12" i="1" s="1"/>
  <c r="P12" i="1"/>
  <c r="R61" i="1"/>
  <c r="Q62" i="1"/>
  <c r="P4" i="1"/>
  <c r="Q3" i="1"/>
  <c r="O26" i="1"/>
  <c r="P25" i="1"/>
  <c r="K16" i="1"/>
  <c r="L15" i="1"/>
  <c r="Q60" i="1"/>
  <c r="R59" i="1"/>
  <c r="R77" i="1"/>
  <c r="Q78" i="1"/>
  <c r="W62" i="1"/>
  <c r="Q80" i="1"/>
  <c r="R79" i="1"/>
  <c r="N32" i="1"/>
  <c r="O31" i="1"/>
  <c r="Q58" i="1"/>
  <c r="R57" i="1"/>
  <c r="O38" i="1"/>
  <c r="P37" i="1"/>
  <c r="P49" i="1"/>
  <c r="O50" i="1"/>
  <c r="N22" i="1"/>
  <c r="O21" i="1"/>
  <c r="P55" i="1"/>
  <c r="O56" i="1"/>
  <c r="P43" i="1"/>
  <c r="O44" i="1"/>
  <c r="Q9" i="1"/>
  <c r="Q10" i="1" s="1"/>
  <c r="P10" i="1"/>
  <c r="A604" i="8" l="1"/>
  <c r="B603" i="8"/>
  <c r="N48" i="1"/>
  <c r="O47" i="1"/>
  <c r="L46" i="1"/>
  <c r="M45" i="1"/>
  <c r="K40" i="1"/>
  <c r="L39" i="1"/>
  <c r="N42" i="1"/>
  <c r="O41" i="1"/>
  <c r="N36" i="1"/>
  <c r="O35" i="1"/>
  <c r="L34" i="1"/>
  <c r="M33" i="1"/>
  <c r="J28" i="1"/>
  <c r="K27" i="1"/>
  <c r="L30" i="1"/>
  <c r="M29" i="1"/>
  <c r="K52" i="1"/>
  <c r="L51" i="1"/>
  <c r="N54" i="1"/>
  <c r="O53" i="1"/>
  <c r="M23" i="1"/>
  <c r="L24" i="1"/>
  <c r="N20" i="1"/>
  <c r="O19" i="1"/>
  <c r="N14" i="1"/>
  <c r="O13" i="1"/>
  <c r="N8" i="1"/>
  <c r="O7" i="1"/>
  <c r="M17" i="1"/>
  <c r="L18" i="1"/>
  <c r="R11" i="1"/>
  <c r="R12" i="1" s="1"/>
  <c r="R9" i="1"/>
  <c r="R10" i="1" s="1"/>
  <c r="L16" i="1"/>
  <c r="M15" i="1"/>
  <c r="R80" i="1"/>
  <c r="S79" i="1"/>
  <c r="S80" i="1" s="1"/>
  <c r="P26" i="1"/>
  <c r="Q25" i="1"/>
  <c r="Q37" i="1"/>
  <c r="P38" i="1"/>
  <c r="Q49" i="1"/>
  <c r="P50" i="1"/>
  <c r="Q4" i="1"/>
  <c r="R3" i="1"/>
  <c r="R62" i="1"/>
  <c r="S61" i="1"/>
  <c r="R58" i="1"/>
  <c r="S57" i="1"/>
  <c r="P21" i="1"/>
  <c r="O22" i="1"/>
  <c r="R78" i="1"/>
  <c r="S77" i="1"/>
  <c r="S78" i="1" s="1"/>
  <c r="Q55" i="1"/>
  <c r="P56" i="1"/>
  <c r="R60" i="1"/>
  <c r="S59" i="1"/>
  <c r="Q43" i="1"/>
  <c r="P44" i="1"/>
  <c r="P31" i="1"/>
  <c r="O32" i="1"/>
  <c r="A605" i="8" l="1"/>
  <c r="B604" i="8"/>
  <c r="M46" i="1"/>
  <c r="N45" i="1"/>
  <c r="O48" i="1"/>
  <c r="P47" i="1"/>
  <c r="L40" i="1"/>
  <c r="M39" i="1"/>
  <c r="O42" i="1"/>
  <c r="P41" i="1"/>
  <c r="O36" i="1"/>
  <c r="P35" i="1"/>
  <c r="M34" i="1"/>
  <c r="N33" i="1"/>
  <c r="M30" i="1"/>
  <c r="N29" i="1"/>
  <c r="K28" i="1"/>
  <c r="L27" i="1"/>
  <c r="O54" i="1"/>
  <c r="P53" i="1"/>
  <c r="L52" i="1"/>
  <c r="M51" i="1"/>
  <c r="M24" i="1"/>
  <c r="N23" i="1"/>
  <c r="O20" i="1"/>
  <c r="P19" i="1"/>
  <c r="O14" i="1"/>
  <c r="P13" i="1"/>
  <c r="O8" i="1"/>
  <c r="P7" i="1"/>
  <c r="M18" i="1"/>
  <c r="N17" i="1"/>
  <c r="S11" i="1"/>
  <c r="S12" i="1" s="1"/>
  <c r="S3" i="1"/>
  <c r="R4" i="1"/>
  <c r="R49" i="1"/>
  <c r="Q50" i="1"/>
  <c r="M16" i="1"/>
  <c r="N15" i="1"/>
  <c r="R25" i="1"/>
  <c r="Q26" i="1"/>
  <c r="Q21" i="1"/>
  <c r="R21" i="1" s="1"/>
  <c r="S21" i="1" s="1"/>
  <c r="P22" i="1"/>
  <c r="P32" i="1"/>
  <c r="Q31" i="1"/>
  <c r="Q56" i="1"/>
  <c r="R55" i="1"/>
  <c r="Q44" i="1"/>
  <c r="R43" i="1"/>
  <c r="R37" i="1"/>
  <c r="Q38" i="1"/>
  <c r="S9" i="1"/>
  <c r="S10" i="1" s="1"/>
  <c r="A606" i="8" l="1"/>
  <c r="B605" i="8"/>
  <c r="P48" i="1"/>
  <c r="Q47" i="1"/>
  <c r="N46" i="1"/>
  <c r="O45" i="1"/>
  <c r="Q41" i="1"/>
  <c r="P42" i="1"/>
  <c r="M40" i="1"/>
  <c r="N39" i="1"/>
  <c r="N34" i="1"/>
  <c r="O33" i="1"/>
  <c r="P36" i="1"/>
  <c r="Q35" i="1"/>
  <c r="L28" i="1"/>
  <c r="M27" i="1"/>
  <c r="N30" i="1"/>
  <c r="O29" i="1"/>
  <c r="M52" i="1"/>
  <c r="N51" i="1"/>
  <c r="P54" i="1"/>
  <c r="Q53" i="1"/>
  <c r="N24" i="1"/>
  <c r="O23" i="1"/>
  <c r="P20" i="1"/>
  <c r="Q19" i="1"/>
  <c r="P14" i="1"/>
  <c r="Q13" i="1"/>
  <c r="P8" i="1"/>
  <c r="Q7" i="1"/>
  <c r="Q8" i="1" s="1"/>
  <c r="N18" i="1"/>
  <c r="O17" i="1"/>
  <c r="T11" i="1"/>
  <c r="T12" i="1" s="1"/>
  <c r="R56" i="1"/>
  <c r="S55" i="1"/>
  <c r="N16" i="1"/>
  <c r="O15" i="1"/>
  <c r="T9" i="1"/>
  <c r="T10" i="1" s="1"/>
  <c r="R50" i="1"/>
  <c r="S49" i="1"/>
  <c r="Q32" i="1"/>
  <c r="R31" i="1"/>
  <c r="R38" i="1"/>
  <c r="S37" i="1"/>
  <c r="R44" i="1"/>
  <c r="S43" i="1"/>
  <c r="S25" i="1"/>
  <c r="R26" i="1"/>
  <c r="T3" i="1"/>
  <c r="S4" i="1"/>
  <c r="A607" i="8" l="1"/>
  <c r="B606" i="8"/>
  <c r="P45" i="1"/>
  <c r="O46" i="1"/>
  <c r="Q48" i="1"/>
  <c r="R47" i="1"/>
  <c r="Q42" i="1"/>
  <c r="R41" i="1"/>
  <c r="N40" i="1"/>
  <c r="O39" i="1"/>
  <c r="R35" i="1"/>
  <c r="Q36" i="1"/>
  <c r="P33" i="1"/>
  <c r="P34" i="1" s="1"/>
  <c r="O34" i="1"/>
  <c r="P29" i="1"/>
  <c r="O30" i="1"/>
  <c r="M28" i="1"/>
  <c r="N27" i="1"/>
  <c r="Q54" i="1"/>
  <c r="R53" i="1"/>
  <c r="N52" i="1"/>
  <c r="O51" i="1"/>
  <c r="O24" i="1"/>
  <c r="P23" i="1"/>
  <c r="Q20" i="1"/>
  <c r="R19" i="1"/>
  <c r="Q14" i="1"/>
  <c r="R13" i="1"/>
  <c r="R7" i="1"/>
  <c r="O18" i="1"/>
  <c r="P17" i="1"/>
  <c r="U11" i="1"/>
  <c r="U12" i="1" s="1"/>
  <c r="T37" i="1"/>
  <c r="S38" i="1"/>
  <c r="O16" i="1"/>
  <c r="P15" i="1"/>
  <c r="T4" i="1"/>
  <c r="U3" i="1"/>
  <c r="T43" i="1"/>
  <c r="S44" i="1"/>
  <c r="T55" i="1"/>
  <c r="S56" i="1"/>
  <c r="R32" i="1"/>
  <c r="S31" i="1"/>
  <c r="T49" i="1"/>
  <c r="S50" i="1"/>
  <c r="T25" i="1"/>
  <c r="S26" i="1"/>
  <c r="U9" i="1"/>
  <c r="U10" i="1" s="1"/>
  <c r="A608" i="8" l="1"/>
  <c r="B607" i="8"/>
  <c r="Q45" i="1"/>
  <c r="P46" i="1"/>
  <c r="R48" i="1"/>
  <c r="S47" i="1"/>
  <c r="P39" i="1"/>
  <c r="O40" i="1"/>
  <c r="R42" i="1"/>
  <c r="S41" i="1"/>
  <c r="Q33" i="1"/>
  <c r="R36" i="1"/>
  <c r="S35" i="1"/>
  <c r="N28" i="1"/>
  <c r="O27" i="1"/>
  <c r="P30" i="1"/>
  <c r="Q29" i="1"/>
  <c r="P51" i="1"/>
  <c r="O52" i="1"/>
  <c r="R54" i="1"/>
  <c r="S53" i="1"/>
  <c r="Q23" i="1"/>
  <c r="P24" i="1"/>
  <c r="R20" i="1"/>
  <c r="S19" i="1"/>
  <c r="R14" i="1"/>
  <c r="S13" i="1"/>
  <c r="R8" i="1"/>
  <c r="S7" i="1"/>
  <c r="Q17" i="1"/>
  <c r="P18" i="1"/>
  <c r="V11" i="1"/>
  <c r="V12" i="1" s="1"/>
  <c r="Q15" i="1"/>
  <c r="P16" i="1"/>
  <c r="V3" i="1"/>
  <c r="U4" i="1"/>
  <c r="S32" i="1"/>
  <c r="T31" i="1"/>
  <c r="V9" i="1"/>
  <c r="V10" i="1" s="1"/>
  <c r="U49" i="1"/>
  <c r="T50" i="1"/>
  <c r="U55" i="1"/>
  <c r="T56" i="1"/>
  <c r="U25" i="1"/>
  <c r="T26" i="1"/>
  <c r="U43" i="1"/>
  <c r="T44" i="1"/>
  <c r="U37" i="1"/>
  <c r="T38" i="1"/>
  <c r="A609" i="8" l="1"/>
  <c r="B608" i="8"/>
  <c r="T47" i="1"/>
  <c r="S48" i="1"/>
  <c r="Q46" i="1"/>
  <c r="R45" i="1"/>
  <c r="S42" i="1"/>
  <c r="T41" i="1"/>
  <c r="Q39" i="1"/>
  <c r="P40" i="1"/>
  <c r="Q34" i="1"/>
  <c r="R33" i="1"/>
  <c r="S36" i="1"/>
  <c r="T35" i="1"/>
  <c r="Q30" i="1"/>
  <c r="R29" i="1"/>
  <c r="P27" i="1"/>
  <c r="O28" i="1"/>
  <c r="S54" i="1"/>
  <c r="T53" i="1"/>
  <c r="Q51" i="1"/>
  <c r="P52" i="1"/>
  <c r="R23" i="1"/>
  <c r="Q24" i="1"/>
  <c r="S20" i="1"/>
  <c r="T19" i="1"/>
  <c r="S14" i="1"/>
  <c r="T13" i="1"/>
  <c r="S8" i="1"/>
  <c r="T7" i="1"/>
  <c r="R17" i="1"/>
  <c r="Q18" i="1"/>
  <c r="W11" i="1"/>
  <c r="W12" i="1" s="1"/>
  <c r="U31" i="1"/>
  <c r="T32" i="1"/>
  <c r="U50" i="1"/>
  <c r="V49" i="1"/>
  <c r="W3" i="1"/>
  <c r="W4" i="1" s="1"/>
  <c r="V4" i="1"/>
  <c r="V43" i="1"/>
  <c r="U44" i="1"/>
  <c r="V25" i="1"/>
  <c r="U26" i="1"/>
  <c r="U38" i="1"/>
  <c r="V37" i="1"/>
  <c r="W9" i="1"/>
  <c r="W10" i="1" s="1"/>
  <c r="V55" i="1"/>
  <c r="U56" i="1"/>
  <c r="R15" i="1"/>
  <c r="Q16" i="1"/>
  <c r="A610" i="8" l="1"/>
  <c r="B609" i="8"/>
  <c r="T48" i="1"/>
  <c r="U47" i="1"/>
  <c r="S45" i="1"/>
  <c r="R46" i="1"/>
  <c r="Q40" i="1"/>
  <c r="R39" i="1"/>
  <c r="U41" i="1"/>
  <c r="T42" i="1"/>
  <c r="R34" i="1"/>
  <c r="S33" i="1"/>
  <c r="T36" i="1"/>
  <c r="U35" i="1"/>
  <c r="Q27" i="1"/>
  <c r="P28" i="1"/>
  <c r="R30" i="1"/>
  <c r="S29" i="1"/>
  <c r="Q52" i="1"/>
  <c r="R51" i="1"/>
  <c r="T54" i="1"/>
  <c r="U53" i="1"/>
  <c r="S23" i="1"/>
  <c r="R24" i="1"/>
  <c r="U19" i="1"/>
  <c r="T20" i="1"/>
  <c r="T14" i="1"/>
  <c r="U13" i="1"/>
  <c r="T8" i="1"/>
  <c r="U7" i="1"/>
  <c r="R18" i="1"/>
  <c r="S17" i="1"/>
  <c r="V56" i="1"/>
  <c r="W55" i="1"/>
  <c r="W56" i="1" s="1"/>
  <c r="V50" i="1"/>
  <c r="W49" i="1"/>
  <c r="W50" i="1" s="1"/>
  <c r="V26" i="1"/>
  <c r="W25" i="1"/>
  <c r="W26" i="1" s="1"/>
  <c r="V38" i="1"/>
  <c r="W37" i="1"/>
  <c r="W38" i="1" s="1"/>
  <c r="R16" i="1"/>
  <c r="S15" i="1"/>
  <c r="V44" i="1"/>
  <c r="W43" i="1"/>
  <c r="W44" i="1" s="1"/>
  <c r="U32" i="1"/>
  <c r="V31" i="1"/>
  <c r="A611" i="8" l="1"/>
  <c r="B610" i="8"/>
  <c r="U48" i="1"/>
  <c r="V47" i="1"/>
  <c r="T45" i="1"/>
  <c r="S46" i="1"/>
  <c r="U42" i="1"/>
  <c r="V41" i="1"/>
  <c r="R40" i="1"/>
  <c r="S39" i="1"/>
  <c r="S34" i="1"/>
  <c r="T33" i="1"/>
  <c r="U36" i="1"/>
  <c r="V35" i="1"/>
  <c r="S30" i="1"/>
  <c r="T29" i="1"/>
  <c r="Q28" i="1"/>
  <c r="R27" i="1"/>
  <c r="U54" i="1"/>
  <c r="V53" i="1"/>
  <c r="R52" i="1"/>
  <c r="S51" i="1"/>
  <c r="T23" i="1"/>
  <c r="S24" i="1"/>
  <c r="U20" i="1"/>
  <c r="V19" i="1"/>
  <c r="U14" i="1"/>
  <c r="V13" i="1"/>
  <c r="U8" i="1"/>
  <c r="V7" i="1"/>
  <c r="S18" i="1"/>
  <c r="T17" i="1"/>
  <c r="T15" i="1"/>
  <c r="S16" i="1"/>
  <c r="W31" i="1"/>
  <c r="W32" i="1" s="1"/>
  <c r="V32" i="1"/>
  <c r="A612" i="8" l="1"/>
  <c r="B611" i="8"/>
  <c r="V48" i="1"/>
  <c r="W47" i="1"/>
  <c r="W48" i="1" s="1"/>
  <c r="U45" i="1"/>
  <c r="T46" i="1"/>
  <c r="S40" i="1"/>
  <c r="T39" i="1"/>
  <c r="V42" i="1"/>
  <c r="W41" i="1"/>
  <c r="W42" i="1" s="1"/>
  <c r="V36" i="1"/>
  <c r="W35" i="1"/>
  <c r="W36" i="1" s="1"/>
  <c r="T34" i="1"/>
  <c r="U33" i="1"/>
  <c r="T30" i="1"/>
  <c r="U29" i="1"/>
  <c r="R28" i="1"/>
  <c r="S27" i="1"/>
  <c r="S52" i="1"/>
  <c r="T51" i="1"/>
  <c r="V54" i="1"/>
  <c r="W53" i="1"/>
  <c r="W54" i="1" s="1"/>
  <c r="T24" i="1"/>
  <c r="U23" i="1"/>
  <c r="V20" i="1"/>
  <c r="W19" i="1"/>
  <c r="W20" i="1" s="1"/>
  <c r="V14" i="1"/>
  <c r="W13" i="1"/>
  <c r="W14" i="1" s="1"/>
  <c r="V8" i="1"/>
  <c r="W7" i="1"/>
  <c r="W8" i="1" s="1"/>
  <c r="U17" i="1"/>
  <c r="T18" i="1"/>
  <c r="T16" i="1"/>
  <c r="U15" i="1"/>
  <c r="A613" i="8" l="1"/>
  <c r="B612" i="8"/>
  <c r="U46" i="1"/>
  <c r="V45" i="1"/>
  <c r="T40" i="1"/>
  <c r="U39" i="1"/>
  <c r="U34" i="1"/>
  <c r="V33" i="1"/>
  <c r="S28" i="1"/>
  <c r="T27" i="1"/>
  <c r="U30" i="1"/>
  <c r="V29" i="1"/>
  <c r="T52" i="1"/>
  <c r="U51" i="1"/>
  <c r="U24" i="1"/>
  <c r="V23" i="1"/>
  <c r="V17" i="1"/>
  <c r="U18" i="1"/>
  <c r="U16" i="1"/>
  <c r="V15" i="1"/>
  <c r="A614" i="8" l="1"/>
  <c r="B613" i="8"/>
  <c r="V46" i="1"/>
  <c r="W45" i="1"/>
  <c r="W46" i="1" s="1"/>
  <c r="V39" i="1"/>
  <c r="U40" i="1"/>
  <c r="V34" i="1"/>
  <c r="W33" i="1"/>
  <c r="W34" i="1" s="1"/>
  <c r="V30" i="1"/>
  <c r="W29" i="1"/>
  <c r="W30" i="1" s="1"/>
  <c r="U27" i="1"/>
  <c r="T28" i="1"/>
  <c r="U52" i="1"/>
  <c r="V51" i="1"/>
  <c r="V24" i="1"/>
  <c r="W23" i="1"/>
  <c r="W24" i="1" s="1"/>
  <c r="V18" i="1"/>
  <c r="W17" i="1"/>
  <c r="W18" i="1" s="1"/>
  <c r="V16" i="1"/>
  <c r="W15" i="1"/>
  <c r="W16" i="1" s="1"/>
  <c r="A615" i="8" l="1"/>
  <c r="B614" i="8"/>
  <c r="V40" i="1"/>
  <c r="W39" i="1"/>
  <c r="W40" i="1" s="1"/>
  <c r="V27" i="1"/>
  <c r="U28" i="1"/>
  <c r="V52" i="1"/>
  <c r="W51" i="1"/>
  <c r="W52" i="1" s="1"/>
  <c r="A616" i="8" l="1"/>
  <c r="B615" i="8"/>
  <c r="W27" i="1"/>
  <c r="W28" i="1" s="1"/>
  <c r="V28" i="1"/>
  <c r="A617" i="8" l="1"/>
  <c r="B616" i="8"/>
  <c r="A618" i="8" l="1"/>
  <c r="B617" i="8"/>
  <c r="A619" i="8" l="1"/>
  <c r="B618" i="8"/>
  <c r="A620" i="8" l="1"/>
  <c r="B619" i="8"/>
  <c r="A621" i="8" l="1"/>
  <c r="B620" i="8"/>
  <c r="A622" i="8" l="1"/>
  <c r="B621" i="8"/>
  <c r="A623" i="8" l="1"/>
  <c r="B622" i="8"/>
  <c r="A624" i="8" l="1"/>
  <c r="B623" i="8"/>
  <c r="A625" i="8" l="1"/>
  <c r="B624" i="8"/>
  <c r="A626" i="8" l="1"/>
  <c r="B625" i="8"/>
  <c r="A627" i="8" l="1"/>
  <c r="B626" i="8"/>
  <c r="A628" i="8" l="1"/>
  <c r="B627" i="8"/>
  <c r="A629" i="8" l="1"/>
  <c r="B628" i="8"/>
  <c r="A630" i="8" l="1"/>
  <c r="B629" i="8"/>
  <c r="A631" i="8" l="1"/>
  <c r="B630" i="8"/>
  <c r="A632" i="8" l="1"/>
  <c r="B631" i="8"/>
  <c r="A633" i="8" l="1"/>
  <c r="B632" i="8"/>
  <c r="A634" i="8" l="1"/>
  <c r="B633" i="8"/>
  <c r="A635" i="8" l="1"/>
  <c r="B634" i="8"/>
  <c r="A636" i="8" l="1"/>
  <c r="B635" i="8"/>
  <c r="A637" i="8" l="1"/>
  <c r="B636" i="8"/>
  <c r="A638" i="8" l="1"/>
  <c r="B637" i="8"/>
  <c r="A639" i="8" l="1"/>
  <c r="B638" i="8"/>
  <c r="A640" i="8" l="1"/>
  <c r="B639" i="8"/>
  <c r="A641" i="8" l="1"/>
  <c r="B640" i="8"/>
  <c r="A642" i="8" l="1"/>
  <c r="B641" i="8"/>
  <c r="A643" i="8" l="1"/>
  <c r="B642" i="8"/>
  <c r="A644" i="8" l="1"/>
  <c r="B643" i="8"/>
  <c r="A645" i="8" l="1"/>
  <c r="B644" i="8"/>
  <c r="A646" i="8" l="1"/>
  <c r="B645" i="8"/>
  <c r="A647" i="8" l="1"/>
  <c r="B646" i="8"/>
  <c r="A648" i="8" l="1"/>
  <c r="B647" i="8"/>
  <c r="A649" i="8" l="1"/>
  <c r="B648" i="8"/>
  <c r="A650" i="8" l="1"/>
  <c r="B649" i="8"/>
  <c r="A651" i="8" l="1"/>
  <c r="B650" i="8"/>
  <c r="A652" i="8" l="1"/>
  <c r="B651" i="8"/>
  <c r="A653" i="8" l="1"/>
  <c r="B652" i="8"/>
  <c r="A654" i="8" l="1"/>
  <c r="B653" i="8"/>
  <c r="A655" i="8" l="1"/>
  <c r="B654" i="8"/>
  <c r="A656" i="8" l="1"/>
  <c r="B655" i="8"/>
  <c r="A657" i="8" l="1"/>
  <c r="B656" i="8"/>
  <c r="A658" i="8" l="1"/>
  <c r="B657" i="8"/>
  <c r="A659" i="8" l="1"/>
  <c r="B658" i="8"/>
  <c r="A660" i="8" l="1"/>
  <c r="B659" i="8"/>
  <c r="A661" i="8" l="1"/>
  <c r="B660" i="8"/>
  <c r="A662" i="8" l="1"/>
  <c r="B661" i="8"/>
  <c r="A663" i="8" l="1"/>
  <c r="B662" i="8"/>
  <c r="A664" i="8" l="1"/>
  <c r="B663" i="8"/>
  <c r="A665" i="8" l="1"/>
  <c r="B664" i="8"/>
  <c r="A666" i="8" l="1"/>
  <c r="B665" i="8"/>
  <c r="A667" i="8" l="1"/>
  <c r="B666" i="8"/>
  <c r="A668" i="8" l="1"/>
  <c r="B667" i="8"/>
  <c r="A669" i="8" l="1"/>
  <c r="B668" i="8"/>
  <c r="A670" i="8" l="1"/>
  <c r="B669" i="8"/>
  <c r="A671" i="8" l="1"/>
  <c r="B670" i="8"/>
  <c r="A672" i="8" l="1"/>
  <c r="B671" i="8"/>
  <c r="A673" i="8" l="1"/>
  <c r="B672" i="8"/>
  <c r="A674" i="8" l="1"/>
  <c r="B673" i="8"/>
  <c r="A675" i="8" l="1"/>
  <c r="B674" i="8"/>
  <c r="A676" i="8" l="1"/>
  <c r="B675" i="8"/>
  <c r="A677" i="8" l="1"/>
  <c r="B676" i="8"/>
  <c r="A678" i="8" l="1"/>
  <c r="B677" i="8"/>
  <c r="A679" i="8" l="1"/>
  <c r="B678" i="8"/>
  <c r="A680" i="8" l="1"/>
  <c r="B679" i="8"/>
  <c r="A681" i="8" l="1"/>
  <c r="B680" i="8"/>
  <c r="A682" i="8" l="1"/>
  <c r="B681" i="8"/>
  <c r="A683" i="8" l="1"/>
  <c r="B682" i="8"/>
  <c r="A684" i="8" l="1"/>
  <c r="B683" i="8"/>
  <c r="A685" i="8" l="1"/>
  <c r="B684" i="8"/>
  <c r="A686" i="8" l="1"/>
  <c r="B685" i="8"/>
  <c r="A687" i="8" l="1"/>
  <c r="B686" i="8"/>
  <c r="A688" i="8" l="1"/>
  <c r="B687" i="8"/>
  <c r="A689" i="8" l="1"/>
  <c r="B688" i="8"/>
  <c r="A690" i="8" l="1"/>
  <c r="B689" i="8"/>
  <c r="A691" i="8" l="1"/>
  <c r="B690" i="8"/>
  <c r="A692" i="8" l="1"/>
  <c r="B691" i="8"/>
  <c r="A693" i="8" l="1"/>
  <c r="B692" i="8"/>
  <c r="A694" i="8" l="1"/>
  <c r="B693" i="8"/>
  <c r="A695" i="8" l="1"/>
  <c r="B694" i="8"/>
  <c r="A696" i="8" l="1"/>
  <c r="B695" i="8"/>
  <c r="A697" i="8" l="1"/>
  <c r="B696" i="8"/>
  <c r="A698" i="8" l="1"/>
  <c r="B697" i="8"/>
  <c r="A699" i="8" l="1"/>
  <c r="B698" i="8"/>
  <c r="A700" i="8" l="1"/>
  <c r="B699" i="8"/>
  <c r="A701" i="8" l="1"/>
  <c r="B700" i="8"/>
  <c r="A702" i="8" l="1"/>
  <c r="B701" i="8"/>
  <c r="A703" i="8" l="1"/>
  <c r="B702" i="8"/>
  <c r="A704" i="8" l="1"/>
  <c r="B703" i="8"/>
  <c r="A705" i="8" l="1"/>
  <c r="B704" i="8"/>
  <c r="A706" i="8" l="1"/>
  <c r="B705" i="8"/>
  <c r="A707" i="8" l="1"/>
  <c r="B706" i="8"/>
  <c r="A708" i="8" l="1"/>
  <c r="B707" i="8"/>
  <c r="A709" i="8" l="1"/>
  <c r="B708" i="8"/>
  <c r="A710" i="8" l="1"/>
  <c r="B709" i="8"/>
  <c r="A711" i="8" l="1"/>
  <c r="B710" i="8"/>
  <c r="A712" i="8" l="1"/>
  <c r="B711" i="8"/>
  <c r="A713" i="8" l="1"/>
  <c r="B712" i="8"/>
  <c r="A714" i="8" l="1"/>
  <c r="B713" i="8"/>
  <c r="A715" i="8" l="1"/>
  <c r="B714" i="8"/>
  <c r="A716" i="8" l="1"/>
  <c r="B715" i="8"/>
  <c r="A717" i="8" l="1"/>
  <c r="B716" i="8"/>
  <c r="A718" i="8" l="1"/>
  <c r="B717" i="8"/>
  <c r="A719" i="8" l="1"/>
  <c r="B718" i="8"/>
  <c r="A720" i="8" l="1"/>
  <c r="B719" i="8"/>
  <c r="A721" i="8" l="1"/>
  <c r="B720" i="8"/>
  <c r="A722" i="8" l="1"/>
  <c r="B721" i="8"/>
  <c r="A723" i="8" l="1"/>
  <c r="B722" i="8"/>
  <c r="A724" i="8" l="1"/>
  <c r="B723" i="8"/>
  <c r="A725" i="8" l="1"/>
  <c r="B724" i="8"/>
  <c r="A726" i="8" l="1"/>
  <c r="B725" i="8"/>
  <c r="A727" i="8" l="1"/>
  <c r="B726" i="8"/>
  <c r="A728" i="8" l="1"/>
  <c r="B727" i="8"/>
  <c r="A729" i="8" l="1"/>
  <c r="B728" i="8"/>
  <c r="A730" i="8" l="1"/>
  <c r="B729" i="8"/>
  <c r="A731" i="8" l="1"/>
  <c r="B730" i="8"/>
  <c r="A732" i="8" l="1"/>
  <c r="B731" i="8"/>
  <c r="A733" i="8" l="1"/>
  <c r="B732" i="8"/>
  <c r="A734" i="8" l="1"/>
  <c r="B733" i="8"/>
  <c r="A735" i="8" l="1"/>
  <c r="B734" i="8"/>
  <c r="A736" i="8" l="1"/>
  <c r="B735" i="8"/>
  <c r="A737" i="8" l="1"/>
  <c r="B736" i="8"/>
  <c r="A738" i="8" l="1"/>
  <c r="B737" i="8"/>
  <c r="A739" i="8" l="1"/>
  <c r="B738" i="8"/>
  <c r="A740" i="8" l="1"/>
  <c r="B739" i="8"/>
  <c r="A741" i="8" l="1"/>
  <c r="B740" i="8"/>
  <c r="A742" i="8" l="1"/>
  <c r="B741" i="8"/>
  <c r="A743" i="8" l="1"/>
  <c r="B742" i="8"/>
  <c r="A744" i="8" l="1"/>
  <c r="B743" i="8"/>
  <c r="A745" i="8" l="1"/>
  <c r="B744" i="8"/>
  <c r="A746" i="8" l="1"/>
  <c r="B745" i="8"/>
  <c r="A747" i="8" l="1"/>
  <c r="B746" i="8"/>
  <c r="A748" i="8" l="1"/>
  <c r="B747" i="8"/>
  <c r="A749" i="8" l="1"/>
  <c r="B748" i="8"/>
  <c r="A750" i="8" l="1"/>
  <c r="B749" i="8"/>
  <c r="A751" i="8" l="1"/>
  <c r="B750" i="8"/>
  <c r="A752" i="8" l="1"/>
  <c r="B751" i="8"/>
  <c r="A753" i="8" l="1"/>
  <c r="B752" i="8"/>
  <c r="A754" i="8" l="1"/>
  <c r="B753" i="8"/>
  <c r="A755" i="8" l="1"/>
  <c r="B754" i="8"/>
  <c r="A756" i="8" l="1"/>
  <c r="B755" i="8"/>
  <c r="A757" i="8" l="1"/>
  <c r="B756" i="8"/>
  <c r="A758" i="8" l="1"/>
  <c r="B757" i="8"/>
  <c r="A759" i="8" l="1"/>
  <c r="B758" i="8"/>
  <c r="A760" i="8" l="1"/>
  <c r="B759" i="8"/>
  <c r="A761" i="8" l="1"/>
  <c r="B760" i="8"/>
  <c r="A762" i="8" l="1"/>
  <c r="B761" i="8"/>
  <c r="A763" i="8" l="1"/>
  <c r="B762" i="8"/>
  <c r="A764" i="8" l="1"/>
  <c r="B763" i="8"/>
  <c r="A765" i="8" l="1"/>
  <c r="B764" i="8"/>
  <c r="A766" i="8" l="1"/>
  <c r="B765" i="8"/>
  <c r="A767" i="8" l="1"/>
  <c r="B766" i="8"/>
  <c r="A768" i="8" l="1"/>
  <c r="B767" i="8"/>
  <c r="A769" i="8" l="1"/>
  <c r="B768" i="8"/>
  <c r="A770" i="8" l="1"/>
  <c r="B769" i="8"/>
  <c r="A771" i="8" l="1"/>
  <c r="B770" i="8"/>
  <c r="A772" i="8" l="1"/>
  <c r="B771" i="8"/>
  <c r="A773" i="8" l="1"/>
  <c r="B772" i="8"/>
  <c r="A774" i="8" l="1"/>
  <c r="B773" i="8"/>
  <c r="A775" i="8" l="1"/>
  <c r="B774" i="8"/>
  <c r="A776" i="8" l="1"/>
  <c r="B775" i="8"/>
  <c r="A777" i="8" l="1"/>
  <c r="B776" i="8"/>
  <c r="A778" i="8" l="1"/>
  <c r="B777" i="8"/>
  <c r="A779" i="8" l="1"/>
  <c r="B778" i="8"/>
  <c r="A780" i="8" l="1"/>
  <c r="B779" i="8"/>
  <c r="A781" i="8" l="1"/>
  <c r="B780" i="8"/>
  <c r="A782" i="8" l="1"/>
  <c r="B781" i="8"/>
  <c r="A783" i="8" l="1"/>
  <c r="B782" i="8"/>
  <c r="A784" i="8" l="1"/>
  <c r="B783" i="8"/>
  <c r="A785" i="8" l="1"/>
  <c r="B784" i="8"/>
  <c r="A786" i="8" l="1"/>
  <c r="B785" i="8"/>
  <c r="A787" i="8" l="1"/>
  <c r="B786" i="8"/>
  <c r="A788" i="8" l="1"/>
  <c r="B787" i="8"/>
  <c r="A789" i="8" l="1"/>
  <c r="B788" i="8"/>
  <c r="A790" i="8" l="1"/>
  <c r="B789" i="8"/>
  <c r="A791" i="8" l="1"/>
  <c r="B790" i="8"/>
  <c r="A792" i="8" l="1"/>
  <c r="B791" i="8"/>
  <c r="A793" i="8" l="1"/>
  <c r="B792" i="8"/>
  <c r="A794" i="8" l="1"/>
  <c r="B793" i="8"/>
  <c r="A795" i="8" l="1"/>
  <c r="B794" i="8"/>
  <c r="A796" i="8" l="1"/>
  <c r="B795" i="8"/>
  <c r="A797" i="8" l="1"/>
  <c r="B796" i="8"/>
  <c r="A798" i="8" l="1"/>
  <c r="B797" i="8"/>
  <c r="A799" i="8" l="1"/>
  <c r="B798" i="8"/>
  <c r="A800" i="8" l="1"/>
  <c r="B799" i="8"/>
  <c r="A801" i="8" l="1"/>
  <c r="B800" i="8"/>
  <c r="A802" i="8" l="1"/>
  <c r="B801" i="8"/>
  <c r="A803" i="8" l="1"/>
  <c r="B802" i="8"/>
  <c r="A804" i="8" l="1"/>
  <c r="B803" i="8"/>
  <c r="A805" i="8" l="1"/>
  <c r="B804" i="8"/>
  <c r="A806" i="8" l="1"/>
  <c r="B805" i="8"/>
  <c r="A807" i="8" l="1"/>
  <c r="B806" i="8"/>
  <c r="A808" i="8" l="1"/>
  <c r="B807" i="8"/>
  <c r="A809" i="8" l="1"/>
  <c r="B808" i="8"/>
  <c r="A810" i="8" l="1"/>
  <c r="B809" i="8"/>
  <c r="A811" i="8" l="1"/>
  <c r="B810" i="8"/>
  <c r="A812" i="8" l="1"/>
  <c r="B811" i="8"/>
  <c r="A813" i="8" l="1"/>
  <c r="B812" i="8"/>
  <c r="A814" i="8" l="1"/>
  <c r="B813" i="8"/>
  <c r="A815" i="8" l="1"/>
  <c r="B814" i="8"/>
  <c r="A816" i="8" l="1"/>
  <c r="B815" i="8"/>
  <c r="A817" i="8" l="1"/>
  <c r="B816" i="8"/>
  <c r="A818" i="8" l="1"/>
  <c r="B817" i="8"/>
  <c r="A819" i="8" l="1"/>
  <c r="B818" i="8"/>
  <c r="A820" i="8" l="1"/>
  <c r="B819" i="8"/>
  <c r="A821" i="8" l="1"/>
  <c r="B820" i="8"/>
  <c r="A822" i="8" l="1"/>
  <c r="B821" i="8"/>
  <c r="A823" i="8" l="1"/>
  <c r="B822" i="8"/>
  <c r="A824" i="8" l="1"/>
  <c r="B823" i="8"/>
  <c r="A825" i="8" l="1"/>
  <c r="B824" i="8"/>
  <c r="A826" i="8" l="1"/>
  <c r="B825" i="8"/>
  <c r="A827" i="8" l="1"/>
  <c r="B826" i="8"/>
  <c r="A828" i="8" l="1"/>
  <c r="B827" i="8"/>
  <c r="A829" i="8" l="1"/>
  <c r="B828" i="8"/>
  <c r="A830" i="8" l="1"/>
  <c r="B829" i="8"/>
  <c r="A831" i="8" l="1"/>
  <c r="B830" i="8"/>
  <c r="A832" i="8" l="1"/>
  <c r="B831" i="8"/>
  <c r="A833" i="8" l="1"/>
  <c r="B832" i="8"/>
  <c r="A834" i="8" l="1"/>
  <c r="B833" i="8"/>
  <c r="A835" i="8" l="1"/>
  <c r="B834" i="8"/>
  <c r="A836" i="8" l="1"/>
  <c r="B835" i="8"/>
  <c r="A837" i="8" l="1"/>
  <c r="B836" i="8"/>
  <c r="A838" i="8" l="1"/>
  <c r="B837" i="8"/>
  <c r="A839" i="8" l="1"/>
  <c r="B838" i="8"/>
  <c r="A840" i="8" l="1"/>
  <c r="B839" i="8"/>
  <c r="A841" i="8" l="1"/>
  <c r="B840" i="8"/>
  <c r="A842" i="8" l="1"/>
  <c r="B841" i="8"/>
  <c r="A843" i="8" l="1"/>
  <c r="B842" i="8"/>
  <c r="A844" i="8" l="1"/>
  <c r="B843" i="8"/>
  <c r="A845" i="8" l="1"/>
  <c r="B844" i="8"/>
  <c r="A846" i="8" l="1"/>
  <c r="B845" i="8"/>
  <c r="A847" i="8" l="1"/>
  <c r="B846" i="8"/>
  <c r="A848" i="8" l="1"/>
  <c r="B847" i="8"/>
  <c r="A849" i="8" l="1"/>
  <c r="B848" i="8"/>
  <c r="A850" i="8" l="1"/>
  <c r="B849" i="8"/>
  <c r="A851" i="8" l="1"/>
  <c r="B850" i="8"/>
  <c r="A852" i="8" l="1"/>
  <c r="B851" i="8"/>
  <c r="A853" i="8" l="1"/>
  <c r="B852" i="8"/>
  <c r="A854" i="8" l="1"/>
  <c r="B853" i="8"/>
  <c r="A855" i="8" l="1"/>
  <c r="B854" i="8"/>
  <c r="A856" i="8" l="1"/>
  <c r="B855" i="8"/>
  <c r="A857" i="8" l="1"/>
  <c r="B856" i="8"/>
  <c r="A858" i="8" l="1"/>
  <c r="B857" i="8"/>
  <c r="A859" i="8" l="1"/>
  <c r="B858" i="8"/>
  <c r="A860" i="8" l="1"/>
  <c r="B859" i="8"/>
  <c r="A861" i="8" l="1"/>
  <c r="B860" i="8"/>
  <c r="A862" i="8" l="1"/>
  <c r="B861" i="8"/>
  <c r="A863" i="8" l="1"/>
  <c r="B862" i="8"/>
  <c r="A864" i="8" l="1"/>
  <c r="B863" i="8"/>
  <c r="A865" i="8" l="1"/>
  <c r="B864" i="8"/>
  <c r="A866" i="8" l="1"/>
  <c r="B865" i="8"/>
  <c r="A867" i="8" l="1"/>
  <c r="B866" i="8"/>
  <c r="A868" i="8" l="1"/>
  <c r="B867" i="8"/>
  <c r="A869" i="8" l="1"/>
  <c r="B868" i="8"/>
  <c r="A870" i="8" l="1"/>
  <c r="B869" i="8"/>
  <c r="A871" i="8" l="1"/>
  <c r="B870" i="8"/>
  <c r="A872" i="8" l="1"/>
  <c r="B871" i="8"/>
  <c r="A873" i="8" l="1"/>
  <c r="B872" i="8"/>
  <c r="A874" i="8" l="1"/>
  <c r="B873" i="8"/>
  <c r="A875" i="8" l="1"/>
  <c r="B874" i="8"/>
  <c r="A876" i="8" l="1"/>
  <c r="B875" i="8"/>
  <c r="A877" i="8" l="1"/>
  <c r="B876" i="8"/>
  <c r="A878" i="8" l="1"/>
  <c r="B877" i="8"/>
  <c r="A879" i="8" l="1"/>
  <c r="B878" i="8"/>
  <c r="A880" i="8" l="1"/>
  <c r="B879" i="8"/>
  <c r="A881" i="8" l="1"/>
  <c r="B880" i="8"/>
  <c r="A882" i="8" l="1"/>
  <c r="B881" i="8"/>
  <c r="A883" i="8" l="1"/>
  <c r="B882" i="8"/>
  <c r="A884" i="8" l="1"/>
  <c r="B883" i="8"/>
  <c r="A885" i="8" l="1"/>
  <c r="B884" i="8"/>
  <c r="A886" i="8" l="1"/>
  <c r="B885" i="8"/>
  <c r="A887" i="8" l="1"/>
  <c r="B886" i="8"/>
  <c r="A888" i="8" l="1"/>
  <c r="B887" i="8"/>
  <c r="A889" i="8" l="1"/>
  <c r="B888" i="8"/>
  <c r="A890" i="8" l="1"/>
  <c r="B889" i="8"/>
  <c r="A891" i="8" l="1"/>
  <c r="B890" i="8"/>
  <c r="A892" i="8" l="1"/>
  <c r="B891" i="8"/>
  <c r="A893" i="8" l="1"/>
  <c r="B892" i="8"/>
  <c r="A894" i="8" l="1"/>
  <c r="B893" i="8"/>
  <c r="A895" i="8" l="1"/>
  <c r="B894" i="8"/>
  <c r="A896" i="8" l="1"/>
  <c r="B895" i="8"/>
  <c r="A897" i="8" l="1"/>
  <c r="B896" i="8"/>
  <c r="A898" i="8" l="1"/>
  <c r="B897" i="8"/>
  <c r="A899" i="8" l="1"/>
  <c r="B898" i="8"/>
  <c r="A900" i="8" l="1"/>
  <c r="B899" i="8"/>
  <c r="A901" i="8" l="1"/>
  <c r="B900" i="8"/>
  <c r="A902" i="8" l="1"/>
  <c r="B901" i="8"/>
  <c r="A903" i="8" l="1"/>
  <c r="B902" i="8"/>
  <c r="A904" i="8" l="1"/>
  <c r="B903" i="8"/>
  <c r="A905" i="8" l="1"/>
  <c r="B904" i="8"/>
  <c r="A906" i="8" l="1"/>
  <c r="B905" i="8"/>
  <c r="A907" i="8" l="1"/>
  <c r="B906" i="8"/>
  <c r="A908" i="8" l="1"/>
  <c r="B907" i="8"/>
  <c r="A909" i="8" l="1"/>
  <c r="B908" i="8"/>
  <c r="A910" i="8" l="1"/>
  <c r="B909" i="8"/>
  <c r="A911" i="8" l="1"/>
  <c r="B910" i="8"/>
  <c r="A912" i="8" l="1"/>
  <c r="B911" i="8"/>
  <c r="A913" i="8" l="1"/>
  <c r="B912" i="8"/>
  <c r="A914" i="8" l="1"/>
  <c r="B913" i="8"/>
  <c r="A915" i="8" l="1"/>
  <c r="B914" i="8"/>
  <c r="A916" i="8" l="1"/>
  <c r="B915" i="8"/>
  <c r="A917" i="8" l="1"/>
  <c r="B916" i="8"/>
  <c r="A918" i="8" l="1"/>
  <c r="B917" i="8"/>
  <c r="A919" i="8" l="1"/>
  <c r="B918" i="8"/>
  <c r="A920" i="8" l="1"/>
  <c r="B919" i="8"/>
  <c r="A921" i="8" l="1"/>
  <c r="B920" i="8"/>
  <c r="A922" i="8" l="1"/>
  <c r="B921" i="8"/>
  <c r="A923" i="8" l="1"/>
  <c r="B922" i="8"/>
  <c r="A924" i="8" l="1"/>
  <c r="B923" i="8"/>
  <c r="A925" i="8" l="1"/>
  <c r="B924" i="8"/>
  <c r="A926" i="8" l="1"/>
  <c r="B925" i="8"/>
  <c r="A927" i="8" l="1"/>
  <c r="B926" i="8"/>
  <c r="A928" i="8" l="1"/>
  <c r="B927" i="8"/>
  <c r="A929" i="8" l="1"/>
  <c r="B928" i="8"/>
  <c r="A930" i="8" l="1"/>
  <c r="B929" i="8"/>
  <c r="A931" i="8" l="1"/>
  <c r="B930" i="8"/>
  <c r="A932" i="8" l="1"/>
  <c r="B931" i="8"/>
  <c r="A933" i="8" l="1"/>
  <c r="B932" i="8"/>
  <c r="A934" i="8" l="1"/>
  <c r="B933" i="8"/>
  <c r="A935" i="8" l="1"/>
  <c r="B934" i="8"/>
  <c r="A936" i="8" l="1"/>
  <c r="B935" i="8"/>
  <c r="A937" i="8" l="1"/>
  <c r="B936" i="8"/>
  <c r="A938" i="8" l="1"/>
  <c r="B937" i="8"/>
  <c r="A939" i="8" l="1"/>
  <c r="B938" i="8"/>
  <c r="A940" i="8" l="1"/>
  <c r="B939" i="8"/>
  <c r="A941" i="8" l="1"/>
  <c r="B940" i="8"/>
  <c r="A942" i="8" l="1"/>
  <c r="B941" i="8"/>
  <c r="A943" i="8" l="1"/>
  <c r="B942" i="8"/>
  <c r="A944" i="8" l="1"/>
  <c r="B943" i="8"/>
  <c r="A945" i="8" l="1"/>
  <c r="B944" i="8"/>
  <c r="A946" i="8" l="1"/>
  <c r="B945" i="8"/>
  <c r="A947" i="8" l="1"/>
  <c r="B946" i="8"/>
  <c r="A948" i="8" l="1"/>
  <c r="B947" i="8"/>
  <c r="A949" i="8" l="1"/>
  <c r="B948" i="8"/>
  <c r="A950" i="8" l="1"/>
  <c r="B949" i="8"/>
  <c r="A951" i="8" l="1"/>
  <c r="B950" i="8"/>
  <c r="A952" i="8" l="1"/>
  <c r="B951" i="8"/>
  <c r="A953" i="8" l="1"/>
  <c r="B952" i="8"/>
  <c r="A954" i="8" l="1"/>
  <c r="B953" i="8"/>
  <c r="A955" i="8" l="1"/>
  <c r="B954" i="8"/>
  <c r="A956" i="8" l="1"/>
  <c r="B955" i="8"/>
  <c r="A957" i="8" l="1"/>
  <c r="B956" i="8"/>
  <c r="A958" i="8" l="1"/>
  <c r="B957" i="8"/>
  <c r="A959" i="8" l="1"/>
  <c r="B958" i="8"/>
  <c r="A960" i="8" l="1"/>
  <c r="B959" i="8"/>
  <c r="A961" i="8" l="1"/>
  <c r="B960" i="8"/>
  <c r="A962" i="8" l="1"/>
  <c r="B961" i="8"/>
  <c r="A963" i="8" l="1"/>
  <c r="B962" i="8"/>
  <c r="A964" i="8" l="1"/>
  <c r="B963" i="8"/>
  <c r="A965" i="8" l="1"/>
  <c r="B964" i="8"/>
  <c r="A966" i="8" l="1"/>
  <c r="B965" i="8"/>
  <c r="A967" i="8" l="1"/>
  <c r="B966" i="8"/>
  <c r="A968" i="8" l="1"/>
  <c r="B967" i="8"/>
  <c r="A969" i="8" l="1"/>
  <c r="B968" i="8"/>
  <c r="A970" i="8" l="1"/>
  <c r="B969" i="8"/>
  <c r="A971" i="8" l="1"/>
  <c r="B970" i="8"/>
  <c r="A972" i="8" l="1"/>
  <c r="B971" i="8"/>
  <c r="A973" i="8" l="1"/>
  <c r="B972" i="8"/>
  <c r="A974" i="8" l="1"/>
  <c r="B973" i="8"/>
  <c r="A975" i="8" l="1"/>
  <c r="B974" i="8"/>
  <c r="A976" i="8" l="1"/>
  <c r="B975" i="8"/>
  <c r="A977" i="8" l="1"/>
  <c r="B976" i="8"/>
  <c r="A978" i="8" l="1"/>
  <c r="B977" i="8"/>
  <c r="A979" i="8" l="1"/>
  <c r="B978" i="8"/>
  <c r="A980" i="8" l="1"/>
  <c r="B979" i="8"/>
  <c r="A981" i="8" l="1"/>
  <c r="B980" i="8"/>
  <c r="A982" i="8" l="1"/>
  <c r="B981" i="8"/>
  <c r="A983" i="8" l="1"/>
  <c r="B982" i="8"/>
  <c r="A984" i="8" l="1"/>
  <c r="B983" i="8"/>
  <c r="A985" i="8" l="1"/>
  <c r="B984" i="8"/>
  <c r="A986" i="8" l="1"/>
  <c r="B985" i="8"/>
  <c r="A987" i="8" l="1"/>
  <c r="B986" i="8"/>
  <c r="A988" i="8" l="1"/>
  <c r="B987" i="8"/>
  <c r="A989" i="8" l="1"/>
  <c r="B988" i="8"/>
  <c r="A990" i="8" l="1"/>
  <c r="B989" i="8"/>
  <c r="A991" i="8" l="1"/>
  <c r="B990" i="8"/>
  <c r="A992" i="8" l="1"/>
  <c r="B991" i="8"/>
  <c r="A993" i="8" l="1"/>
  <c r="B992" i="8"/>
  <c r="A994" i="8" l="1"/>
  <c r="B993" i="8"/>
  <c r="A995" i="8" l="1"/>
  <c r="B994" i="8"/>
  <c r="A996" i="8" l="1"/>
  <c r="B995" i="8"/>
  <c r="A997" i="8" l="1"/>
  <c r="B996" i="8"/>
  <c r="A998" i="8" l="1"/>
  <c r="B997" i="8"/>
  <c r="A999" i="8" l="1"/>
  <c r="B998" i="8"/>
  <c r="A1000" i="8" l="1"/>
  <c r="B999" i="8"/>
  <c r="A1001" i="8" l="1"/>
  <c r="B1000" i="8"/>
  <c r="A1002" i="8" l="1"/>
  <c r="B1001" i="8"/>
  <c r="A1003" i="8" l="1"/>
  <c r="B1002" i="8"/>
  <c r="A1004" i="8" l="1"/>
  <c r="B1003" i="8"/>
  <c r="A1005" i="8" l="1"/>
  <c r="B1004" i="8"/>
  <c r="A1006" i="8" l="1"/>
  <c r="B1005" i="8"/>
  <c r="A1007" i="8" l="1"/>
  <c r="B1006" i="8"/>
  <c r="A1008" i="8" l="1"/>
  <c r="B1007" i="8"/>
  <c r="A1009" i="8" l="1"/>
  <c r="B1008" i="8"/>
  <c r="A1010" i="8" l="1"/>
  <c r="B1009" i="8"/>
  <c r="A1011" i="8" l="1"/>
  <c r="B1010" i="8"/>
  <c r="A1012" i="8" l="1"/>
  <c r="B1011" i="8"/>
  <c r="A1013" i="8" l="1"/>
  <c r="B1012" i="8"/>
  <c r="A1014" i="8" l="1"/>
  <c r="B1013" i="8"/>
  <c r="A1015" i="8" l="1"/>
  <c r="B1014" i="8"/>
  <c r="A1016" i="8" l="1"/>
  <c r="B1015" i="8"/>
  <c r="A1017" i="8" l="1"/>
  <c r="B1016" i="8"/>
  <c r="A1018" i="8" l="1"/>
  <c r="B1017" i="8"/>
  <c r="A1019" i="8" l="1"/>
  <c r="B1018" i="8"/>
  <c r="A1020" i="8" l="1"/>
  <c r="B1019" i="8"/>
  <c r="A1021" i="8" l="1"/>
  <c r="B1020" i="8"/>
  <c r="A1022" i="8" l="1"/>
  <c r="B1021" i="8"/>
  <c r="A1023" i="8" l="1"/>
  <c r="B1022" i="8"/>
  <c r="A1024" i="8" l="1"/>
  <c r="B1023" i="8"/>
  <c r="A1025" i="8" l="1"/>
  <c r="B1024" i="8"/>
  <c r="A1026" i="8" l="1"/>
  <c r="B1025" i="8"/>
  <c r="A1027" i="8" l="1"/>
  <c r="B1026" i="8"/>
  <c r="A1028" i="8" l="1"/>
  <c r="B1027" i="8"/>
  <c r="A1029" i="8" l="1"/>
  <c r="B1028" i="8"/>
  <c r="A1030" i="8" l="1"/>
  <c r="B1029" i="8"/>
  <c r="A1031" i="8" l="1"/>
  <c r="B1030" i="8"/>
  <c r="A1032" i="8" l="1"/>
  <c r="B1031" i="8"/>
  <c r="A1033" i="8" l="1"/>
  <c r="B1032" i="8"/>
  <c r="A1034" i="8" l="1"/>
  <c r="B1033" i="8"/>
  <c r="A1035" i="8" l="1"/>
  <c r="B1034" i="8"/>
  <c r="A1036" i="8" l="1"/>
  <c r="B1035" i="8"/>
  <c r="A1037" i="8" l="1"/>
  <c r="B1036" i="8"/>
  <c r="A1038" i="8" l="1"/>
  <c r="B1037" i="8"/>
  <c r="A1039" i="8" l="1"/>
  <c r="B1038" i="8"/>
  <c r="A1040" i="8" l="1"/>
  <c r="B1039" i="8"/>
  <c r="A1041" i="8" l="1"/>
  <c r="B1040" i="8"/>
  <c r="A1042" i="8" l="1"/>
  <c r="B1041" i="8"/>
  <c r="A1043" i="8" l="1"/>
  <c r="B1042" i="8"/>
  <c r="A1044" i="8" l="1"/>
  <c r="B1043" i="8"/>
  <c r="A1045" i="8" l="1"/>
  <c r="B1044" i="8"/>
  <c r="A1046" i="8" l="1"/>
  <c r="B1045" i="8"/>
  <c r="A1047" i="8" l="1"/>
  <c r="B1046" i="8"/>
  <c r="A1048" i="8" l="1"/>
  <c r="B1047" i="8"/>
  <c r="A1049" i="8" l="1"/>
  <c r="B1048" i="8"/>
  <c r="A1050" i="8" l="1"/>
  <c r="B1049" i="8"/>
  <c r="A1051" i="8" l="1"/>
  <c r="B1050" i="8"/>
  <c r="A1052" i="8" l="1"/>
  <c r="B1051" i="8"/>
  <c r="A1053" i="8" l="1"/>
  <c r="B1052" i="8"/>
  <c r="A1054" i="8" l="1"/>
  <c r="B1053" i="8"/>
  <c r="A1055" i="8" l="1"/>
  <c r="B1054" i="8"/>
  <c r="A1056" i="8" l="1"/>
  <c r="B1055" i="8"/>
  <c r="A1057" i="8" l="1"/>
  <c r="B1056" i="8"/>
  <c r="A1058" i="8" l="1"/>
  <c r="B1057" i="8"/>
  <c r="A1059" i="8" l="1"/>
  <c r="B1058" i="8"/>
  <c r="A1060" i="8" l="1"/>
  <c r="B1059" i="8"/>
  <c r="A1061" i="8" l="1"/>
  <c r="B1060" i="8"/>
  <c r="A1062" i="8" l="1"/>
  <c r="B1061" i="8"/>
  <c r="A1063" i="8" l="1"/>
  <c r="B1062" i="8"/>
  <c r="A1064" i="8" l="1"/>
  <c r="B1063" i="8"/>
  <c r="A1065" i="8" l="1"/>
  <c r="B1064" i="8"/>
  <c r="A1066" i="8" l="1"/>
  <c r="B1065" i="8"/>
  <c r="A1067" i="8" l="1"/>
  <c r="B1066" i="8"/>
  <c r="A1068" i="8" l="1"/>
  <c r="B1067" i="8"/>
  <c r="A1069" i="8" l="1"/>
  <c r="B1068" i="8"/>
  <c r="A1070" i="8" l="1"/>
  <c r="B1069" i="8"/>
  <c r="A1071" i="8" l="1"/>
  <c r="B1070" i="8"/>
  <c r="A1072" i="8" l="1"/>
  <c r="B1071" i="8"/>
  <c r="A1073" i="8" l="1"/>
  <c r="B1072" i="8"/>
  <c r="A1074" i="8" l="1"/>
  <c r="B1073" i="8"/>
  <c r="A1075" i="8" l="1"/>
  <c r="B1074" i="8"/>
  <c r="A1076" i="8" l="1"/>
  <c r="B1075" i="8"/>
  <c r="A1077" i="8" l="1"/>
  <c r="B1076" i="8"/>
  <c r="A1078" i="8" l="1"/>
  <c r="B1077" i="8"/>
  <c r="A1079" i="8" l="1"/>
  <c r="B1078" i="8"/>
  <c r="A1080" i="8" l="1"/>
  <c r="B1079" i="8"/>
  <c r="A1081" i="8" l="1"/>
  <c r="B1080" i="8"/>
  <c r="A1082" i="8" l="1"/>
  <c r="B1081" i="8"/>
  <c r="A1083" i="8" l="1"/>
  <c r="B1082" i="8"/>
  <c r="A1084" i="8" l="1"/>
  <c r="B1083" i="8"/>
  <c r="A1085" i="8" l="1"/>
  <c r="B1084" i="8"/>
  <c r="A1086" i="8" l="1"/>
  <c r="B1085" i="8"/>
  <c r="A1087" i="8" l="1"/>
  <c r="B1086" i="8"/>
  <c r="A1088" i="8" l="1"/>
  <c r="B1087" i="8"/>
  <c r="A1089" i="8" l="1"/>
  <c r="B1088" i="8"/>
  <c r="A1090" i="8" l="1"/>
  <c r="B1089" i="8"/>
  <c r="A1091" i="8" l="1"/>
  <c r="B1090" i="8"/>
  <c r="A1092" i="8" l="1"/>
  <c r="B1091" i="8"/>
  <c r="A1093" i="8" l="1"/>
  <c r="B1092" i="8"/>
  <c r="A1094" i="8" l="1"/>
  <c r="B1093" i="8"/>
  <c r="A1095" i="8" l="1"/>
  <c r="B1094" i="8"/>
  <c r="A1096" i="8" l="1"/>
  <c r="B1095" i="8"/>
  <c r="A1097" i="8" l="1"/>
  <c r="B1096" i="8"/>
  <c r="A1098" i="8" l="1"/>
  <c r="B1097" i="8"/>
  <c r="A1099" i="8" l="1"/>
  <c r="B1098" i="8"/>
  <c r="A1100" i="8" l="1"/>
  <c r="B1099" i="8"/>
  <c r="A1101" i="8" l="1"/>
  <c r="B1100" i="8"/>
  <c r="A1102" i="8" l="1"/>
  <c r="B1101" i="8"/>
  <c r="A1103" i="8" l="1"/>
  <c r="B1102" i="8"/>
  <c r="A1104" i="8" l="1"/>
  <c r="B1103" i="8"/>
  <c r="A1105" i="8" l="1"/>
  <c r="B1104" i="8"/>
  <c r="A1106" i="8" l="1"/>
  <c r="B1105" i="8"/>
  <c r="A1107" i="8" l="1"/>
  <c r="B1106" i="8"/>
  <c r="A1108" i="8" l="1"/>
  <c r="B1107" i="8"/>
  <c r="A1109" i="8" l="1"/>
  <c r="B1108" i="8"/>
  <c r="A1110" i="8" l="1"/>
  <c r="B1109" i="8"/>
  <c r="A1111" i="8" l="1"/>
  <c r="B1110" i="8"/>
  <c r="A1112" i="8" l="1"/>
  <c r="B1111" i="8"/>
  <c r="A1113" i="8" l="1"/>
  <c r="B1112" i="8"/>
  <c r="A1114" i="8" l="1"/>
  <c r="B1113" i="8"/>
  <c r="A1115" i="8" l="1"/>
  <c r="B1114" i="8"/>
  <c r="A1116" i="8" l="1"/>
  <c r="B1115" i="8"/>
  <c r="A1117" i="8" l="1"/>
  <c r="B1116" i="8"/>
  <c r="A1118" i="8" l="1"/>
  <c r="B1117" i="8"/>
  <c r="A1119" i="8" l="1"/>
  <c r="B1118" i="8"/>
  <c r="A1120" i="8" l="1"/>
  <c r="B1119" i="8"/>
  <c r="A1121" i="8" l="1"/>
  <c r="B1120" i="8"/>
  <c r="A1122" i="8" l="1"/>
  <c r="B1121" i="8"/>
  <c r="A1123" i="8" l="1"/>
  <c r="B1122" i="8"/>
  <c r="A1124" i="8" l="1"/>
  <c r="B1123" i="8"/>
  <c r="A1125" i="8" l="1"/>
  <c r="B1124" i="8"/>
  <c r="A1126" i="8" l="1"/>
  <c r="B1125" i="8"/>
  <c r="A1127" i="8" l="1"/>
  <c r="B1126" i="8"/>
  <c r="A1128" i="8" l="1"/>
  <c r="B1127" i="8"/>
  <c r="A1129" i="8" l="1"/>
  <c r="B1128" i="8"/>
  <c r="A1130" i="8" l="1"/>
  <c r="B1129" i="8"/>
  <c r="A1131" i="8" l="1"/>
  <c r="B1130" i="8"/>
  <c r="A1132" i="8" l="1"/>
  <c r="B1131" i="8"/>
  <c r="A1133" i="8" l="1"/>
  <c r="B1132" i="8"/>
  <c r="A1134" i="8" l="1"/>
  <c r="B1133" i="8"/>
  <c r="A1135" i="8" l="1"/>
  <c r="B1134" i="8"/>
  <c r="A1136" i="8" l="1"/>
  <c r="B1135" i="8"/>
  <c r="A1137" i="8" l="1"/>
  <c r="B1136" i="8"/>
  <c r="A1138" i="8" l="1"/>
  <c r="B1137" i="8"/>
  <c r="A1139" i="8" l="1"/>
  <c r="B1138" i="8"/>
  <c r="A1140" i="8" l="1"/>
  <c r="B1139" i="8"/>
  <c r="A1141" i="8" l="1"/>
  <c r="B1140" i="8"/>
  <c r="A1142" i="8" l="1"/>
  <c r="B1141" i="8"/>
  <c r="A1143" i="8" l="1"/>
  <c r="B1142" i="8"/>
  <c r="A1144" i="8" l="1"/>
  <c r="B1143" i="8"/>
  <c r="A1145" i="8" l="1"/>
  <c r="B1144" i="8"/>
  <c r="A1146" i="8" l="1"/>
  <c r="B1145" i="8"/>
  <c r="A1147" i="8" l="1"/>
  <c r="B1146" i="8"/>
  <c r="A1148" i="8" l="1"/>
  <c r="B1147" i="8"/>
  <c r="A1149" i="8" l="1"/>
  <c r="B1148" i="8"/>
  <c r="A1150" i="8" l="1"/>
  <c r="B1149" i="8"/>
  <c r="A1151" i="8" l="1"/>
  <c r="B1150" i="8"/>
  <c r="A1152" i="8" l="1"/>
  <c r="B1151" i="8"/>
  <c r="A1153" i="8" l="1"/>
  <c r="B1152" i="8"/>
  <c r="A1154" i="8" l="1"/>
  <c r="B1153" i="8"/>
  <c r="A1155" i="8" l="1"/>
  <c r="B1154" i="8"/>
  <c r="A1156" i="8" l="1"/>
  <c r="B1155" i="8"/>
  <c r="A1157" i="8" l="1"/>
  <c r="B1156" i="8"/>
  <c r="A1158" i="8" l="1"/>
  <c r="B1157" i="8"/>
  <c r="A1159" i="8" l="1"/>
  <c r="B1158" i="8"/>
  <c r="A1160" i="8" l="1"/>
  <c r="B1159" i="8"/>
  <c r="A1161" i="8" l="1"/>
  <c r="B1160" i="8"/>
  <c r="A1162" i="8" l="1"/>
  <c r="B1161" i="8"/>
  <c r="A1163" i="8" l="1"/>
  <c r="B1162" i="8"/>
  <c r="A1164" i="8" l="1"/>
  <c r="B1163" i="8"/>
  <c r="A1165" i="8" l="1"/>
  <c r="B1164" i="8"/>
  <c r="A1166" i="8" l="1"/>
  <c r="B1165" i="8"/>
  <c r="A1167" i="8" l="1"/>
  <c r="B1166" i="8"/>
  <c r="A1168" i="8" l="1"/>
  <c r="B1167" i="8"/>
  <c r="A1169" i="8" l="1"/>
  <c r="B1168" i="8"/>
  <c r="A1170" i="8" l="1"/>
  <c r="B1169" i="8"/>
  <c r="A1171" i="8" l="1"/>
  <c r="B1170" i="8"/>
  <c r="A1172" i="8" l="1"/>
  <c r="B1171" i="8"/>
  <c r="A1173" i="8" l="1"/>
  <c r="B1172" i="8"/>
  <c r="A1174" i="8" l="1"/>
  <c r="B1173" i="8"/>
  <c r="A1175" i="8" l="1"/>
  <c r="B1174" i="8"/>
  <c r="A1176" i="8" l="1"/>
  <c r="B1175" i="8"/>
  <c r="A1177" i="8" l="1"/>
  <c r="B1176" i="8"/>
  <c r="A1178" i="8" l="1"/>
  <c r="B1177" i="8"/>
  <c r="A1179" i="8" l="1"/>
  <c r="B1178" i="8"/>
  <c r="A1180" i="8" l="1"/>
  <c r="B1179" i="8"/>
  <c r="A1181" i="8" l="1"/>
  <c r="B1180" i="8"/>
  <c r="A1182" i="8" l="1"/>
  <c r="B1181" i="8"/>
  <c r="A1183" i="8" l="1"/>
  <c r="B1182" i="8"/>
  <c r="A1184" i="8" l="1"/>
  <c r="B1183" i="8"/>
  <c r="A1185" i="8" l="1"/>
  <c r="B1184" i="8"/>
  <c r="A1186" i="8" l="1"/>
  <c r="B1185" i="8"/>
  <c r="A1187" i="8" l="1"/>
  <c r="B1186" i="8"/>
  <c r="A1188" i="8" l="1"/>
  <c r="B1187" i="8"/>
  <c r="A1189" i="8" l="1"/>
  <c r="B1188" i="8"/>
  <c r="A1190" i="8" l="1"/>
  <c r="B1189" i="8"/>
  <c r="A1191" i="8" l="1"/>
  <c r="B1190" i="8"/>
  <c r="A1192" i="8" l="1"/>
  <c r="B1191" i="8"/>
  <c r="A1193" i="8" l="1"/>
  <c r="B1192" i="8"/>
  <c r="A1194" i="8" l="1"/>
  <c r="B1193" i="8"/>
  <c r="A1195" i="8" l="1"/>
  <c r="B1194" i="8"/>
  <c r="A1196" i="8" l="1"/>
  <c r="B1195" i="8"/>
  <c r="A1197" i="8" l="1"/>
  <c r="B1196" i="8"/>
  <c r="A1198" i="8" l="1"/>
  <c r="B1197" i="8"/>
  <c r="A1199" i="8" l="1"/>
  <c r="B1198" i="8"/>
  <c r="A1200" i="8" l="1"/>
  <c r="B1199" i="8"/>
  <c r="A1201" i="8" l="1"/>
  <c r="B1200" i="8"/>
  <c r="A1202" i="8" l="1"/>
  <c r="B1201" i="8"/>
  <c r="A1203" i="8" l="1"/>
  <c r="B1202" i="8"/>
  <c r="A1204" i="8" l="1"/>
  <c r="B1203" i="8"/>
  <c r="A1205" i="8" l="1"/>
  <c r="B1204" i="8"/>
  <c r="A1206" i="8" l="1"/>
  <c r="B1205" i="8"/>
  <c r="A1207" i="8" l="1"/>
  <c r="B1206" i="8"/>
  <c r="A1208" i="8" l="1"/>
  <c r="B1207" i="8"/>
  <c r="A1209" i="8" l="1"/>
  <c r="B1208" i="8"/>
  <c r="A1210" i="8" l="1"/>
  <c r="B1209" i="8"/>
  <c r="A1211" i="8" l="1"/>
  <c r="B1210" i="8"/>
  <c r="A1212" i="8" l="1"/>
  <c r="B1211" i="8"/>
  <c r="A1213" i="8" l="1"/>
  <c r="B1212" i="8"/>
  <c r="A1214" i="8" l="1"/>
  <c r="B1213" i="8"/>
  <c r="A1215" i="8" l="1"/>
  <c r="B1214" i="8"/>
  <c r="A1216" i="8" l="1"/>
  <c r="B1215" i="8"/>
  <c r="A1217" i="8" l="1"/>
  <c r="B1216" i="8"/>
  <c r="A1218" i="8" l="1"/>
  <c r="B1217" i="8"/>
  <c r="A1219" i="8" l="1"/>
  <c r="B1218" i="8"/>
  <c r="A1220" i="8" l="1"/>
  <c r="B1219" i="8"/>
  <c r="A1221" i="8" l="1"/>
  <c r="B1220" i="8"/>
  <c r="A1222" i="8" l="1"/>
  <c r="B1221" i="8"/>
  <c r="A1223" i="8" l="1"/>
  <c r="B1222" i="8"/>
  <c r="A1224" i="8" l="1"/>
  <c r="B1223" i="8"/>
  <c r="A1225" i="8" l="1"/>
  <c r="B1224" i="8"/>
  <c r="A1226" i="8" l="1"/>
  <c r="B1225" i="8"/>
  <c r="A1227" i="8" l="1"/>
  <c r="B1226" i="8"/>
  <c r="A1228" i="8" l="1"/>
  <c r="B1227" i="8"/>
  <c r="A1229" i="8" l="1"/>
  <c r="B1228" i="8"/>
  <c r="A1230" i="8" l="1"/>
  <c r="B1229" i="8"/>
  <c r="A1231" i="8" l="1"/>
  <c r="B1230" i="8"/>
  <c r="A1232" i="8" l="1"/>
  <c r="B1231" i="8"/>
  <c r="A1233" i="8" l="1"/>
  <c r="B1232" i="8"/>
  <c r="A1234" i="8" l="1"/>
  <c r="B1233" i="8"/>
  <c r="A1235" i="8" l="1"/>
  <c r="B1234" i="8"/>
  <c r="A1236" i="8" l="1"/>
  <c r="B1235" i="8"/>
  <c r="A1237" i="8" l="1"/>
  <c r="B1236" i="8"/>
  <c r="A1238" i="8" l="1"/>
  <c r="B1237" i="8"/>
  <c r="A1239" i="8" l="1"/>
  <c r="B1238" i="8"/>
  <c r="A1240" i="8" l="1"/>
  <c r="B1239" i="8"/>
  <c r="A1241" i="8" l="1"/>
  <c r="B1240" i="8"/>
  <c r="A1242" i="8" l="1"/>
  <c r="B1241" i="8"/>
  <c r="A1243" i="8" l="1"/>
  <c r="B1242" i="8"/>
  <c r="A1244" i="8" l="1"/>
  <c r="B1244" i="8" s="1"/>
  <c r="B1243" i="8"/>
  <c r="Q113" i="1"/>
</calcChain>
</file>

<file path=xl/sharedStrings.xml><?xml version="1.0" encoding="utf-8"?>
<sst xmlns="http://schemas.openxmlformats.org/spreadsheetml/2006/main" count="73" uniqueCount="43">
  <si>
    <t>day</t>
  </si>
  <si>
    <t>anomalous</t>
  </si>
  <si>
    <t>tropical</t>
  </si>
  <si>
    <t>draconic</t>
  </si>
  <si>
    <t>evection</t>
  </si>
  <si>
    <t>Mf'</t>
  </si>
  <si>
    <t>??</t>
  </si>
  <si>
    <t>synodic</t>
  </si>
  <si>
    <t>1..815</t>
  </si>
  <si>
    <t>MStm</t>
  </si>
  <si>
    <t>Mf'2</t>
  </si>
  <si>
    <t>Mf'3</t>
  </si>
  <si>
    <t>Mf'4</t>
  </si>
  <si>
    <t>T1</t>
  </si>
  <si>
    <t>T2</t>
  </si>
  <si>
    <t>19    13</t>
  </si>
  <si>
    <t>2.33 2.24</t>
  </si>
  <si>
    <t>1.79 1.76</t>
  </si>
  <si>
    <t>Year</t>
  </si>
  <si>
    <t>Month</t>
  </si>
  <si>
    <t>Day</t>
  </si>
  <si>
    <t>JD</t>
  </si>
  <si>
    <t>Lunar Dec</t>
  </si>
  <si>
    <t>Mo</t>
  </si>
  <si>
    <t>Syn</t>
  </si>
  <si>
    <t>x</t>
  </si>
  <si>
    <t>=</t>
  </si>
  <si>
    <t>22.8494355460597*cos(5.51010962196246</t>
  </si>
  <si>
    <t>-</t>
  </si>
  <si>
    <t>+</t>
  </si>
  <si>
    <t>1.43398705239995*cos(1.26534816685224</t>
  </si>
  <si>
    <t>4.89747271464779*cos(0.593156238746528</t>
  </si>
  <si>
    <t>year</t>
  </si>
  <si>
    <t>Lunar</t>
  </si>
  <si>
    <t>Dec</t>
  </si>
  <si>
    <t>Lat</t>
  </si>
  <si>
    <t>x = 0.322182098361698*cos(1.19114416337932 + 96.2590919862281*t) - 0.263130528080723*cos(1.04150996818846*t) - 5.1219708677764*cos(0.59783196030108 - 84.332930431439*t)</t>
  </si>
  <si>
    <t>0.32022992170585*cos(1.23908107962848</t>
  </si>
  <si>
    <t>0.278909059176752*cos(1.04153326116054*t)</t>
  </si>
  <si>
    <t>5.13058294585234*cos(0.5922050453021</t>
  </si>
  <si>
    <t>84.3328837849482*t)</t>
  </si>
  <si>
    <t>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</si>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</sst>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/>
    <xf numFmtId="0" fontId="0" fillId="3" borderId="0" xfId="0" applyFill="1"/>
    <xf numFmtId="0" fontId="1" fillId="4" borderId="0" xfId="0" applyFont="1" applyFill="1"/>
    <xf numFmtId="164" fontId="0" fillId="0" borderId="0" xfId="0" applyNumberFormat="1"/>
    <xf numFmtId="0" fontId="4" fillId="6" borderId="0" xfId="0" applyFont="1" applyFill="1"/>
    <xf numFmtId="0" fontId="4" fillId="5" borderId="0" xfId="0" applyFont="1" applyFill="1" applyAlignment="1">
      <alignment vertical="center" wrapText="1"/>
    </xf>
    <xf numFmtId="0" fontId="4" fillId="5" borderId="0" xfId="0" applyFont="1" applyFill="1"/>
    <xf numFmtId="0" fontId="3" fillId="4" borderId="0" xfId="0" applyFont="1" applyFill="1"/>
    <xf numFmtId="0" fontId="0" fillId="4" borderId="0" xfId="0" applyFill="1"/>
    <xf numFmtId="0" fontId="0" fillId="2" borderId="0" xfId="0" applyFill="1"/>
    <xf numFmtId="0" fontId="0" fillId="7" borderId="0" xfId="0" applyFill="1" applyAlignment="1">
      <alignment vertical="center" wrapText="1"/>
    </xf>
    <xf numFmtId="0" fontId="4" fillId="7" borderId="0" xfId="0" applyFont="1" applyFill="1"/>
    <xf numFmtId="0" fontId="0" fillId="7" borderId="0" xfId="0" applyFill="1"/>
    <xf numFmtId="0" fontId="0" fillId="4" borderId="0" xfId="0" applyFont="1" applyFill="1"/>
    <xf numFmtId="0" fontId="0" fillId="8" borderId="0" xfId="0" applyFill="1"/>
    <xf numFmtId="0" fontId="5" fillId="0" borderId="0" xfId="0" applyFont="1" applyFill="1"/>
    <xf numFmtId="0" fontId="6" fillId="0" borderId="0" xfId="0" applyFont="1" applyFill="1"/>
    <xf numFmtId="164" fontId="6" fillId="0" borderId="0" xfId="0" applyNumberFormat="1" applyFont="1" applyFill="1"/>
    <xf numFmtId="165" fontId="6" fillId="0" borderId="0" xfId="0" applyNumberFormat="1" applyFont="1" applyFill="1"/>
    <xf numFmtId="0" fontId="0" fillId="0" borderId="0" xfId="0" applyFill="1"/>
    <xf numFmtId="0" fontId="6" fillId="4" borderId="0" xfId="0" applyFont="1" applyFill="1"/>
    <xf numFmtId="164" fontId="6" fillId="4" borderId="0" xfId="0" applyNumberFormat="1" applyFont="1" applyFill="1"/>
    <xf numFmtId="0" fontId="0" fillId="0" borderId="0" xfId="0" applyFont="1" applyFill="1"/>
    <xf numFmtId="164" fontId="0" fillId="0" borderId="0" xfId="0" applyNumberFormat="1" applyFont="1" applyFill="1"/>
    <xf numFmtId="164" fontId="0" fillId="4" borderId="0" xfId="0" applyNumberFormat="1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wrapText="1"/>
    </xf>
    <xf numFmtId="0" fontId="0" fillId="9" borderId="0" xfId="0" applyFill="1"/>
    <xf numFmtId="0" fontId="4" fillId="9" borderId="0" xfId="0" applyFont="1" applyFill="1"/>
    <xf numFmtId="0" fontId="4" fillId="3" borderId="0" xfId="0" applyFont="1" applyFill="1"/>
    <xf numFmtId="0" fontId="4" fillId="4" borderId="0" xfId="0" applyFont="1" applyFill="1"/>
    <xf numFmtId="164" fontId="7" fillId="4" borderId="0" xfId="0" applyNumberFormat="1" applyFont="1" applyFill="1"/>
    <xf numFmtId="0" fontId="8" fillId="0" borderId="0" xfId="0" applyFont="1"/>
    <xf numFmtId="0" fontId="8" fillId="0" borderId="0" xfId="0" applyFont="1" applyFill="1"/>
    <xf numFmtId="0" fontId="7" fillId="4" borderId="0" xfId="0" applyFon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Sheet1!$J$94:$J$99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</c:numCache>
            </c:numRef>
          </c:xVal>
          <c:yVal>
            <c:numRef>
              <c:f>Sheet1!$K$94:$K$99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848880"/>
        <c:axId val="888849664"/>
      </c:scatterChart>
      <c:valAx>
        <c:axId val="888848880"/>
        <c:scaling>
          <c:orientation val="minMax"/>
          <c:max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849664"/>
        <c:crosses val="autoZero"/>
        <c:crossBetween val="midCat"/>
      </c:valAx>
      <c:valAx>
        <c:axId val="888849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848880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Sheet8!$B$2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Sheet8!$A$3:$A$1863</c:f>
              <c:numCache>
                <c:formatCode>General</c:formatCode>
                <c:ptCount val="1861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1.8000000000000002E-2</c:v>
                </c:pt>
                <c:pt idx="10">
                  <c:v>2.0000000000000004E-2</c:v>
                </c:pt>
                <c:pt idx="11">
                  <c:v>2.2000000000000006E-2</c:v>
                </c:pt>
                <c:pt idx="12">
                  <c:v>2.4000000000000007E-2</c:v>
                </c:pt>
                <c:pt idx="13">
                  <c:v>2.6000000000000009E-2</c:v>
                </c:pt>
                <c:pt idx="14">
                  <c:v>2.8000000000000011E-2</c:v>
                </c:pt>
                <c:pt idx="15">
                  <c:v>3.0000000000000013E-2</c:v>
                </c:pt>
                <c:pt idx="16">
                  <c:v>3.2000000000000015E-2</c:v>
                </c:pt>
                <c:pt idx="17">
                  <c:v>3.4000000000000016E-2</c:v>
                </c:pt>
                <c:pt idx="18">
                  <c:v>3.6000000000000018E-2</c:v>
                </c:pt>
                <c:pt idx="19">
                  <c:v>3.800000000000002E-2</c:v>
                </c:pt>
                <c:pt idx="20">
                  <c:v>4.0000000000000022E-2</c:v>
                </c:pt>
                <c:pt idx="21">
                  <c:v>4.2000000000000023E-2</c:v>
                </c:pt>
                <c:pt idx="22">
                  <c:v>4.4000000000000025E-2</c:v>
                </c:pt>
                <c:pt idx="23">
                  <c:v>4.6000000000000027E-2</c:v>
                </c:pt>
                <c:pt idx="24">
                  <c:v>4.8000000000000029E-2</c:v>
                </c:pt>
                <c:pt idx="25">
                  <c:v>5.0000000000000031E-2</c:v>
                </c:pt>
                <c:pt idx="26">
                  <c:v>5.2000000000000032E-2</c:v>
                </c:pt>
                <c:pt idx="27">
                  <c:v>5.4000000000000034E-2</c:v>
                </c:pt>
                <c:pt idx="28">
                  <c:v>5.6000000000000036E-2</c:v>
                </c:pt>
                <c:pt idx="29">
                  <c:v>5.8000000000000038E-2</c:v>
                </c:pt>
                <c:pt idx="30">
                  <c:v>6.0000000000000039E-2</c:v>
                </c:pt>
                <c:pt idx="31">
                  <c:v>6.2000000000000041E-2</c:v>
                </c:pt>
                <c:pt idx="32">
                  <c:v>6.4000000000000043E-2</c:v>
                </c:pt>
                <c:pt idx="33">
                  <c:v>6.6000000000000045E-2</c:v>
                </c:pt>
                <c:pt idx="34">
                  <c:v>6.8000000000000047E-2</c:v>
                </c:pt>
                <c:pt idx="35">
                  <c:v>7.0000000000000048E-2</c:v>
                </c:pt>
                <c:pt idx="36">
                  <c:v>7.200000000000005E-2</c:v>
                </c:pt>
                <c:pt idx="37">
                  <c:v>7.4000000000000052E-2</c:v>
                </c:pt>
                <c:pt idx="38">
                  <c:v>7.6000000000000054E-2</c:v>
                </c:pt>
                <c:pt idx="39">
                  <c:v>7.8000000000000055E-2</c:v>
                </c:pt>
                <c:pt idx="40">
                  <c:v>8.0000000000000057E-2</c:v>
                </c:pt>
                <c:pt idx="41">
                  <c:v>8.2000000000000059E-2</c:v>
                </c:pt>
                <c:pt idx="42">
                  <c:v>8.4000000000000061E-2</c:v>
                </c:pt>
                <c:pt idx="43">
                  <c:v>8.6000000000000063E-2</c:v>
                </c:pt>
                <c:pt idx="44">
                  <c:v>8.8000000000000064E-2</c:v>
                </c:pt>
                <c:pt idx="45">
                  <c:v>9.0000000000000066E-2</c:v>
                </c:pt>
                <c:pt idx="46">
                  <c:v>9.2000000000000068E-2</c:v>
                </c:pt>
                <c:pt idx="47">
                  <c:v>9.400000000000007E-2</c:v>
                </c:pt>
                <c:pt idx="48">
                  <c:v>9.6000000000000071E-2</c:v>
                </c:pt>
                <c:pt idx="49">
                  <c:v>9.8000000000000073E-2</c:v>
                </c:pt>
                <c:pt idx="50">
                  <c:v>0.10000000000000007</c:v>
                </c:pt>
                <c:pt idx="51">
                  <c:v>0.10200000000000008</c:v>
                </c:pt>
                <c:pt idx="52">
                  <c:v>0.10400000000000008</c:v>
                </c:pt>
                <c:pt idx="53">
                  <c:v>0.10600000000000008</c:v>
                </c:pt>
                <c:pt idx="54">
                  <c:v>0.10800000000000008</c:v>
                </c:pt>
                <c:pt idx="55">
                  <c:v>0.11000000000000008</c:v>
                </c:pt>
                <c:pt idx="56">
                  <c:v>0.11200000000000009</c:v>
                </c:pt>
                <c:pt idx="57">
                  <c:v>0.11400000000000009</c:v>
                </c:pt>
                <c:pt idx="58">
                  <c:v>0.11600000000000009</c:v>
                </c:pt>
                <c:pt idx="59">
                  <c:v>0.11800000000000009</c:v>
                </c:pt>
                <c:pt idx="60">
                  <c:v>0.12000000000000009</c:v>
                </c:pt>
                <c:pt idx="61">
                  <c:v>0.12200000000000009</c:v>
                </c:pt>
                <c:pt idx="62">
                  <c:v>0.1240000000000001</c:v>
                </c:pt>
                <c:pt idx="63">
                  <c:v>0.12600000000000008</c:v>
                </c:pt>
                <c:pt idx="64">
                  <c:v>0.12800000000000009</c:v>
                </c:pt>
                <c:pt idx="65">
                  <c:v>0.13000000000000009</c:v>
                </c:pt>
                <c:pt idx="66">
                  <c:v>0.13200000000000009</c:v>
                </c:pt>
                <c:pt idx="67">
                  <c:v>0.13400000000000009</c:v>
                </c:pt>
                <c:pt idx="68">
                  <c:v>0.13600000000000009</c:v>
                </c:pt>
                <c:pt idx="69">
                  <c:v>0.13800000000000009</c:v>
                </c:pt>
                <c:pt idx="70">
                  <c:v>0.1400000000000001</c:v>
                </c:pt>
                <c:pt idx="71">
                  <c:v>0.1420000000000001</c:v>
                </c:pt>
                <c:pt idx="72">
                  <c:v>0.1440000000000001</c:v>
                </c:pt>
                <c:pt idx="73">
                  <c:v>0.1460000000000001</c:v>
                </c:pt>
                <c:pt idx="74">
                  <c:v>0.1480000000000001</c:v>
                </c:pt>
                <c:pt idx="75">
                  <c:v>0.15000000000000011</c:v>
                </c:pt>
                <c:pt idx="76">
                  <c:v>0.15200000000000011</c:v>
                </c:pt>
                <c:pt idx="77">
                  <c:v>0.15400000000000011</c:v>
                </c:pt>
                <c:pt idx="78">
                  <c:v>0.15600000000000011</c:v>
                </c:pt>
                <c:pt idx="79">
                  <c:v>0.15800000000000011</c:v>
                </c:pt>
                <c:pt idx="80">
                  <c:v>0.16000000000000011</c:v>
                </c:pt>
                <c:pt idx="81">
                  <c:v>0.16200000000000012</c:v>
                </c:pt>
                <c:pt idx="82">
                  <c:v>0.16400000000000012</c:v>
                </c:pt>
                <c:pt idx="83">
                  <c:v>0.16600000000000012</c:v>
                </c:pt>
                <c:pt idx="84">
                  <c:v>0.16800000000000012</c:v>
                </c:pt>
                <c:pt idx="85">
                  <c:v>0.17000000000000012</c:v>
                </c:pt>
                <c:pt idx="86">
                  <c:v>0.17200000000000013</c:v>
                </c:pt>
                <c:pt idx="87">
                  <c:v>0.17400000000000013</c:v>
                </c:pt>
                <c:pt idx="88">
                  <c:v>0.17600000000000013</c:v>
                </c:pt>
                <c:pt idx="89">
                  <c:v>0.17800000000000013</c:v>
                </c:pt>
                <c:pt idx="90">
                  <c:v>0.18000000000000013</c:v>
                </c:pt>
                <c:pt idx="91">
                  <c:v>0.18200000000000013</c:v>
                </c:pt>
                <c:pt idx="92">
                  <c:v>0.18400000000000014</c:v>
                </c:pt>
                <c:pt idx="93">
                  <c:v>0.18600000000000014</c:v>
                </c:pt>
                <c:pt idx="94">
                  <c:v>0.18800000000000014</c:v>
                </c:pt>
                <c:pt idx="95">
                  <c:v>0.19000000000000014</c:v>
                </c:pt>
                <c:pt idx="96">
                  <c:v>0.19200000000000014</c:v>
                </c:pt>
                <c:pt idx="97">
                  <c:v>0.19400000000000014</c:v>
                </c:pt>
                <c:pt idx="98">
                  <c:v>0.19600000000000015</c:v>
                </c:pt>
                <c:pt idx="99">
                  <c:v>0.19800000000000015</c:v>
                </c:pt>
                <c:pt idx="100">
                  <c:v>0.20000000000000015</c:v>
                </c:pt>
                <c:pt idx="101">
                  <c:v>0.20200000000000015</c:v>
                </c:pt>
                <c:pt idx="102">
                  <c:v>0.20400000000000015</c:v>
                </c:pt>
                <c:pt idx="103">
                  <c:v>0.20600000000000016</c:v>
                </c:pt>
                <c:pt idx="104">
                  <c:v>0.20800000000000016</c:v>
                </c:pt>
                <c:pt idx="105">
                  <c:v>0.21000000000000016</c:v>
                </c:pt>
                <c:pt idx="106">
                  <c:v>0.21200000000000016</c:v>
                </c:pt>
                <c:pt idx="107">
                  <c:v>0.21400000000000016</c:v>
                </c:pt>
                <c:pt idx="108">
                  <c:v>0.21600000000000016</c:v>
                </c:pt>
                <c:pt idx="109">
                  <c:v>0.21800000000000017</c:v>
                </c:pt>
                <c:pt idx="110">
                  <c:v>0.22000000000000017</c:v>
                </c:pt>
                <c:pt idx="111">
                  <c:v>0.22200000000000017</c:v>
                </c:pt>
                <c:pt idx="112">
                  <c:v>0.22400000000000017</c:v>
                </c:pt>
                <c:pt idx="113">
                  <c:v>0.22600000000000017</c:v>
                </c:pt>
                <c:pt idx="114">
                  <c:v>0.22800000000000017</c:v>
                </c:pt>
                <c:pt idx="115">
                  <c:v>0.23000000000000018</c:v>
                </c:pt>
                <c:pt idx="116">
                  <c:v>0.23200000000000018</c:v>
                </c:pt>
                <c:pt idx="117">
                  <c:v>0.23400000000000018</c:v>
                </c:pt>
                <c:pt idx="118">
                  <c:v>0.23600000000000018</c:v>
                </c:pt>
                <c:pt idx="119">
                  <c:v>0.23800000000000018</c:v>
                </c:pt>
                <c:pt idx="120">
                  <c:v>0.24000000000000019</c:v>
                </c:pt>
                <c:pt idx="121">
                  <c:v>0.24200000000000019</c:v>
                </c:pt>
                <c:pt idx="122">
                  <c:v>0.24400000000000019</c:v>
                </c:pt>
                <c:pt idx="123">
                  <c:v>0.24600000000000019</c:v>
                </c:pt>
                <c:pt idx="124">
                  <c:v>0.24800000000000019</c:v>
                </c:pt>
                <c:pt idx="125">
                  <c:v>0.25000000000000017</c:v>
                </c:pt>
                <c:pt idx="126">
                  <c:v>0.25200000000000017</c:v>
                </c:pt>
                <c:pt idx="127">
                  <c:v>0.25400000000000017</c:v>
                </c:pt>
                <c:pt idx="128">
                  <c:v>0.25600000000000017</c:v>
                </c:pt>
                <c:pt idx="129">
                  <c:v>0.25800000000000017</c:v>
                </c:pt>
                <c:pt idx="130">
                  <c:v>0.26000000000000018</c:v>
                </c:pt>
                <c:pt idx="131">
                  <c:v>0.26200000000000018</c:v>
                </c:pt>
                <c:pt idx="132">
                  <c:v>0.26400000000000018</c:v>
                </c:pt>
                <c:pt idx="133">
                  <c:v>0.26600000000000018</c:v>
                </c:pt>
                <c:pt idx="134">
                  <c:v>0.26800000000000018</c:v>
                </c:pt>
                <c:pt idx="135">
                  <c:v>0.27000000000000018</c:v>
                </c:pt>
                <c:pt idx="136">
                  <c:v>0.27200000000000019</c:v>
                </c:pt>
                <c:pt idx="137">
                  <c:v>0.27400000000000019</c:v>
                </c:pt>
                <c:pt idx="138">
                  <c:v>0.27600000000000019</c:v>
                </c:pt>
                <c:pt idx="139">
                  <c:v>0.27800000000000019</c:v>
                </c:pt>
                <c:pt idx="140">
                  <c:v>0.28000000000000019</c:v>
                </c:pt>
                <c:pt idx="141">
                  <c:v>0.28200000000000019</c:v>
                </c:pt>
                <c:pt idx="142">
                  <c:v>0.2840000000000002</c:v>
                </c:pt>
                <c:pt idx="143">
                  <c:v>0.2860000000000002</c:v>
                </c:pt>
                <c:pt idx="144">
                  <c:v>0.2880000000000002</c:v>
                </c:pt>
                <c:pt idx="145">
                  <c:v>0.2900000000000002</c:v>
                </c:pt>
                <c:pt idx="146">
                  <c:v>0.2920000000000002</c:v>
                </c:pt>
                <c:pt idx="147">
                  <c:v>0.29400000000000021</c:v>
                </c:pt>
                <c:pt idx="148">
                  <c:v>0.29600000000000021</c:v>
                </c:pt>
                <c:pt idx="149">
                  <c:v>0.29800000000000021</c:v>
                </c:pt>
                <c:pt idx="150">
                  <c:v>0.30000000000000021</c:v>
                </c:pt>
                <c:pt idx="151">
                  <c:v>0.30200000000000021</c:v>
                </c:pt>
                <c:pt idx="152">
                  <c:v>0.30400000000000021</c:v>
                </c:pt>
                <c:pt idx="153">
                  <c:v>0.30600000000000022</c:v>
                </c:pt>
                <c:pt idx="154">
                  <c:v>0.30800000000000022</c:v>
                </c:pt>
                <c:pt idx="155">
                  <c:v>0.31000000000000022</c:v>
                </c:pt>
                <c:pt idx="156">
                  <c:v>0.31200000000000022</c:v>
                </c:pt>
                <c:pt idx="157">
                  <c:v>0.31400000000000022</c:v>
                </c:pt>
                <c:pt idx="158">
                  <c:v>0.31600000000000023</c:v>
                </c:pt>
                <c:pt idx="159">
                  <c:v>0.31800000000000023</c:v>
                </c:pt>
                <c:pt idx="160">
                  <c:v>0.32000000000000023</c:v>
                </c:pt>
                <c:pt idx="161">
                  <c:v>0.32200000000000023</c:v>
                </c:pt>
                <c:pt idx="162">
                  <c:v>0.32400000000000023</c:v>
                </c:pt>
                <c:pt idx="163">
                  <c:v>0.32600000000000023</c:v>
                </c:pt>
                <c:pt idx="164">
                  <c:v>0.32800000000000024</c:v>
                </c:pt>
                <c:pt idx="165">
                  <c:v>0.33000000000000024</c:v>
                </c:pt>
                <c:pt idx="166">
                  <c:v>0.33200000000000024</c:v>
                </c:pt>
                <c:pt idx="167">
                  <c:v>0.33400000000000024</c:v>
                </c:pt>
                <c:pt idx="168">
                  <c:v>0.33600000000000024</c:v>
                </c:pt>
                <c:pt idx="169">
                  <c:v>0.33800000000000024</c:v>
                </c:pt>
                <c:pt idx="170">
                  <c:v>0.34000000000000025</c:v>
                </c:pt>
                <c:pt idx="171">
                  <c:v>0.34200000000000025</c:v>
                </c:pt>
                <c:pt idx="172">
                  <c:v>0.34400000000000025</c:v>
                </c:pt>
                <c:pt idx="173">
                  <c:v>0.34600000000000025</c:v>
                </c:pt>
                <c:pt idx="174">
                  <c:v>0.34800000000000025</c:v>
                </c:pt>
                <c:pt idx="175">
                  <c:v>0.35000000000000026</c:v>
                </c:pt>
                <c:pt idx="176">
                  <c:v>0.35200000000000026</c:v>
                </c:pt>
                <c:pt idx="177">
                  <c:v>0.35400000000000026</c:v>
                </c:pt>
                <c:pt idx="178">
                  <c:v>0.35600000000000026</c:v>
                </c:pt>
                <c:pt idx="179">
                  <c:v>0.35800000000000026</c:v>
                </c:pt>
                <c:pt idx="180">
                  <c:v>0.36000000000000026</c:v>
                </c:pt>
                <c:pt idx="181">
                  <c:v>0.36200000000000027</c:v>
                </c:pt>
                <c:pt idx="182">
                  <c:v>0.36400000000000027</c:v>
                </c:pt>
                <c:pt idx="183">
                  <c:v>0.36600000000000027</c:v>
                </c:pt>
                <c:pt idx="184">
                  <c:v>0.36800000000000027</c:v>
                </c:pt>
                <c:pt idx="185">
                  <c:v>0.37000000000000027</c:v>
                </c:pt>
                <c:pt idx="186">
                  <c:v>0.37200000000000027</c:v>
                </c:pt>
                <c:pt idx="187">
                  <c:v>0.37400000000000028</c:v>
                </c:pt>
                <c:pt idx="188">
                  <c:v>0.37600000000000028</c:v>
                </c:pt>
                <c:pt idx="189">
                  <c:v>0.37800000000000028</c:v>
                </c:pt>
                <c:pt idx="190">
                  <c:v>0.38000000000000028</c:v>
                </c:pt>
                <c:pt idx="191">
                  <c:v>0.38200000000000028</c:v>
                </c:pt>
                <c:pt idx="192">
                  <c:v>0.38400000000000029</c:v>
                </c:pt>
                <c:pt idx="193">
                  <c:v>0.38600000000000029</c:v>
                </c:pt>
                <c:pt idx="194">
                  <c:v>0.38800000000000029</c:v>
                </c:pt>
                <c:pt idx="195">
                  <c:v>0.39000000000000029</c:v>
                </c:pt>
                <c:pt idx="196">
                  <c:v>0.39200000000000029</c:v>
                </c:pt>
                <c:pt idx="197">
                  <c:v>0.39400000000000029</c:v>
                </c:pt>
                <c:pt idx="198">
                  <c:v>0.3960000000000003</c:v>
                </c:pt>
                <c:pt idx="199">
                  <c:v>0.3980000000000003</c:v>
                </c:pt>
                <c:pt idx="200">
                  <c:v>0.4000000000000003</c:v>
                </c:pt>
                <c:pt idx="201">
                  <c:v>0.4020000000000003</c:v>
                </c:pt>
                <c:pt idx="202">
                  <c:v>0.4040000000000003</c:v>
                </c:pt>
                <c:pt idx="203">
                  <c:v>0.40600000000000031</c:v>
                </c:pt>
                <c:pt idx="204">
                  <c:v>0.40800000000000031</c:v>
                </c:pt>
                <c:pt idx="205">
                  <c:v>0.41000000000000031</c:v>
                </c:pt>
                <c:pt idx="206">
                  <c:v>0.41200000000000031</c:v>
                </c:pt>
                <c:pt idx="207">
                  <c:v>0.41400000000000031</c:v>
                </c:pt>
                <c:pt idx="208">
                  <c:v>0.41600000000000031</c:v>
                </c:pt>
                <c:pt idx="209">
                  <c:v>0.41800000000000032</c:v>
                </c:pt>
                <c:pt idx="210">
                  <c:v>0.42000000000000032</c:v>
                </c:pt>
                <c:pt idx="211">
                  <c:v>0.42200000000000032</c:v>
                </c:pt>
                <c:pt idx="212">
                  <c:v>0.42400000000000032</c:v>
                </c:pt>
                <c:pt idx="213">
                  <c:v>0.42600000000000032</c:v>
                </c:pt>
                <c:pt idx="214">
                  <c:v>0.42800000000000032</c:v>
                </c:pt>
                <c:pt idx="215">
                  <c:v>0.43000000000000033</c:v>
                </c:pt>
                <c:pt idx="216">
                  <c:v>0.43200000000000033</c:v>
                </c:pt>
                <c:pt idx="217">
                  <c:v>0.43400000000000033</c:v>
                </c:pt>
                <c:pt idx="218">
                  <c:v>0.43600000000000033</c:v>
                </c:pt>
                <c:pt idx="219">
                  <c:v>0.43800000000000033</c:v>
                </c:pt>
                <c:pt idx="220">
                  <c:v>0.44000000000000034</c:v>
                </c:pt>
                <c:pt idx="221">
                  <c:v>0.44200000000000034</c:v>
                </c:pt>
                <c:pt idx="222">
                  <c:v>0.44400000000000034</c:v>
                </c:pt>
                <c:pt idx="223">
                  <c:v>0.44600000000000034</c:v>
                </c:pt>
                <c:pt idx="224">
                  <c:v>0.44800000000000034</c:v>
                </c:pt>
                <c:pt idx="225">
                  <c:v>0.45000000000000034</c:v>
                </c:pt>
                <c:pt idx="226">
                  <c:v>0.45200000000000035</c:v>
                </c:pt>
                <c:pt idx="227">
                  <c:v>0.45400000000000035</c:v>
                </c:pt>
                <c:pt idx="228">
                  <c:v>0.45600000000000035</c:v>
                </c:pt>
                <c:pt idx="229">
                  <c:v>0.45800000000000035</c:v>
                </c:pt>
                <c:pt idx="230">
                  <c:v>0.46000000000000035</c:v>
                </c:pt>
                <c:pt idx="231">
                  <c:v>0.46200000000000035</c:v>
                </c:pt>
                <c:pt idx="232">
                  <c:v>0.46400000000000036</c:v>
                </c:pt>
                <c:pt idx="233">
                  <c:v>0.46600000000000036</c:v>
                </c:pt>
                <c:pt idx="234">
                  <c:v>0.46800000000000036</c:v>
                </c:pt>
                <c:pt idx="235">
                  <c:v>0.47000000000000036</c:v>
                </c:pt>
                <c:pt idx="236">
                  <c:v>0.47200000000000036</c:v>
                </c:pt>
                <c:pt idx="237">
                  <c:v>0.47400000000000037</c:v>
                </c:pt>
                <c:pt idx="238">
                  <c:v>0.47600000000000037</c:v>
                </c:pt>
                <c:pt idx="239">
                  <c:v>0.47800000000000037</c:v>
                </c:pt>
                <c:pt idx="240">
                  <c:v>0.48000000000000037</c:v>
                </c:pt>
                <c:pt idx="241">
                  <c:v>0.48200000000000037</c:v>
                </c:pt>
                <c:pt idx="242">
                  <c:v>0.48400000000000037</c:v>
                </c:pt>
                <c:pt idx="243">
                  <c:v>0.48600000000000038</c:v>
                </c:pt>
                <c:pt idx="244">
                  <c:v>0.48800000000000038</c:v>
                </c:pt>
                <c:pt idx="245">
                  <c:v>0.49000000000000038</c:v>
                </c:pt>
                <c:pt idx="246">
                  <c:v>0.49200000000000038</c:v>
                </c:pt>
                <c:pt idx="247">
                  <c:v>0.49400000000000038</c:v>
                </c:pt>
                <c:pt idx="248">
                  <c:v>0.49600000000000039</c:v>
                </c:pt>
                <c:pt idx="249">
                  <c:v>0.49800000000000039</c:v>
                </c:pt>
                <c:pt idx="250">
                  <c:v>0.50000000000000033</c:v>
                </c:pt>
                <c:pt idx="251">
                  <c:v>0.50200000000000033</c:v>
                </c:pt>
                <c:pt idx="252">
                  <c:v>0.50400000000000034</c:v>
                </c:pt>
                <c:pt idx="253">
                  <c:v>0.50600000000000034</c:v>
                </c:pt>
                <c:pt idx="254">
                  <c:v>0.50800000000000034</c:v>
                </c:pt>
                <c:pt idx="255">
                  <c:v>0.51000000000000034</c:v>
                </c:pt>
                <c:pt idx="256">
                  <c:v>0.51200000000000034</c:v>
                </c:pt>
                <c:pt idx="257">
                  <c:v>0.51400000000000035</c:v>
                </c:pt>
                <c:pt idx="258">
                  <c:v>0.51600000000000035</c:v>
                </c:pt>
                <c:pt idx="259">
                  <c:v>0.51800000000000035</c:v>
                </c:pt>
                <c:pt idx="260">
                  <c:v>0.52000000000000035</c:v>
                </c:pt>
                <c:pt idx="261">
                  <c:v>0.52200000000000035</c:v>
                </c:pt>
                <c:pt idx="262">
                  <c:v>0.52400000000000035</c:v>
                </c:pt>
                <c:pt idx="263">
                  <c:v>0.52600000000000036</c:v>
                </c:pt>
                <c:pt idx="264">
                  <c:v>0.52800000000000036</c:v>
                </c:pt>
                <c:pt idx="265">
                  <c:v>0.53000000000000036</c:v>
                </c:pt>
                <c:pt idx="266">
                  <c:v>0.53200000000000036</c:v>
                </c:pt>
                <c:pt idx="267">
                  <c:v>0.53400000000000036</c:v>
                </c:pt>
                <c:pt idx="268">
                  <c:v>0.53600000000000037</c:v>
                </c:pt>
                <c:pt idx="269">
                  <c:v>0.53800000000000037</c:v>
                </c:pt>
                <c:pt idx="270">
                  <c:v>0.54000000000000037</c:v>
                </c:pt>
                <c:pt idx="271">
                  <c:v>0.54200000000000037</c:v>
                </c:pt>
                <c:pt idx="272">
                  <c:v>0.54400000000000037</c:v>
                </c:pt>
                <c:pt idx="273">
                  <c:v>0.54600000000000037</c:v>
                </c:pt>
                <c:pt idx="274">
                  <c:v>0.54800000000000038</c:v>
                </c:pt>
                <c:pt idx="275">
                  <c:v>0.55000000000000038</c:v>
                </c:pt>
                <c:pt idx="276">
                  <c:v>0.55200000000000038</c:v>
                </c:pt>
                <c:pt idx="277">
                  <c:v>0.55400000000000038</c:v>
                </c:pt>
                <c:pt idx="278">
                  <c:v>0.55600000000000038</c:v>
                </c:pt>
                <c:pt idx="279">
                  <c:v>0.55800000000000038</c:v>
                </c:pt>
                <c:pt idx="280">
                  <c:v>0.56000000000000039</c:v>
                </c:pt>
                <c:pt idx="281">
                  <c:v>0.56200000000000039</c:v>
                </c:pt>
                <c:pt idx="282">
                  <c:v>0.56400000000000039</c:v>
                </c:pt>
                <c:pt idx="283">
                  <c:v>0.56600000000000039</c:v>
                </c:pt>
                <c:pt idx="284">
                  <c:v>0.56800000000000039</c:v>
                </c:pt>
                <c:pt idx="285">
                  <c:v>0.5700000000000004</c:v>
                </c:pt>
                <c:pt idx="286">
                  <c:v>0.5720000000000004</c:v>
                </c:pt>
                <c:pt idx="287">
                  <c:v>0.5740000000000004</c:v>
                </c:pt>
                <c:pt idx="288">
                  <c:v>0.5760000000000004</c:v>
                </c:pt>
                <c:pt idx="289">
                  <c:v>0.5780000000000004</c:v>
                </c:pt>
                <c:pt idx="290">
                  <c:v>0.5800000000000004</c:v>
                </c:pt>
                <c:pt idx="291">
                  <c:v>0.58200000000000041</c:v>
                </c:pt>
                <c:pt idx="292">
                  <c:v>0.58400000000000041</c:v>
                </c:pt>
                <c:pt idx="293">
                  <c:v>0.58600000000000041</c:v>
                </c:pt>
                <c:pt idx="294">
                  <c:v>0.58800000000000041</c:v>
                </c:pt>
                <c:pt idx="295">
                  <c:v>0.59000000000000041</c:v>
                </c:pt>
                <c:pt idx="296">
                  <c:v>0.59200000000000041</c:v>
                </c:pt>
                <c:pt idx="297">
                  <c:v>0.59400000000000042</c:v>
                </c:pt>
                <c:pt idx="298">
                  <c:v>0.59600000000000042</c:v>
                </c:pt>
                <c:pt idx="299">
                  <c:v>0.59800000000000042</c:v>
                </c:pt>
                <c:pt idx="300">
                  <c:v>0.60000000000000042</c:v>
                </c:pt>
                <c:pt idx="301">
                  <c:v>0.60200000000000042</c:v>
                </c:pt>
                <c:pt idx="302">
                  <c:v>0.60400000000000043</c:v>
                </c:pt>
                <c:pt idx="303">
                  <c:v>0.60600000000000043</c:v>
                </c:pt>
                <c:pt idx="304">
                  <c:v>0.60800000000000043</c:v>
                </c:pt>
                <c:pt idx="305">
                  <c:v>0.61000000000000043</c:v>
                </c:pt>
                <c:pt idx="306">
                  <c:v>0.61200000000000043</c:v>
                </c:pt>
                <c:pt idx="307">
                  <c:v>0.61400000000000043</c:v>
                </c:pt>
                <c:pt idx="308">
                  <c:v>0.61600000000000044</c:v>
                </c:pt>
                <c:pt idx="309">
                  <c:v>0.61800000000000044</c:v>
                </c:pt>
                <c:pt idx="310">
                  <c:v>0.62000000000000044</c:v>
                </c:pt>
                <c:pt idx="311">
                  <c:v>0.62200000000000044</c:v>
                </c:pt>
                <c:pt idx="312">
                  <c:v>0.62400000000000044</c:v>
                </c:pt>
                <c:pt idx="313">
                  <c:v>0.62600000000000044</c:v>
                </c:pt>
                <c:pt idx="314">
                  <c:v>0.62800000000000045</c:v>
                </c:pt>
                <c:pt idx="315">
                  <c:v>0.63000000000000045</c:v>
                </c:pt>
                <c:pt idx="316">
                  <c:v>0.63200000000000045</c:v>
                </c:pt>
                <c:pt idx="317">
                  <c:v>0.63400000000000045</c:v>
                </c:pt>
                <c:pt idx="318">
                  <c:v>0.63600000000000045</c:v>
                </c:pt>
                <c:pt idx="319">
                  <c:v>0.63800000000000046</c:v>
                </c:pt>
                <c:pt idx="320">
                  <c:v>0.64000000000000046</c:v>
                </c:pt>
                <c:pt idx="321">
                  <c:v>0.64200000000000046</c:v>
                </c:pt>
                <c:pt idx="322">
                  <c:v>0.64400000000000046</c:v>
                </c:pt>
                <c:pt idx="323">
                  <c:v>0.64600000000000046</c:v>
                </c:pt>
                <c:pt idx="324">
                  <c:v>0.64800000000000046</c:v>
                </c:pt>
                <c:pt idx="325">
                  <c:v>0.65000000000000047</c:v>
                </c:pt>
                <c:pt idx="326">
                  <c:v>0.65200000000000047</c:v>
                </c:pt>
                <c:pt idx="327">
                  <c:v>0.65400000000000047</c:v>
                </c:pt>
                <c:pt idx="328">
                  <c:v>0.65600000000000047</c:v>
                </c:pt>
                <c:pt idx="329">
                  <c:v>0.65800000000000047</c:v>
                </c:pt>
                <c:pt idx="330">
                  <c:v>0.66000000000000048</c:v>
                </c:pt>
                <c:pt idx="331">
                  <c:v>0.66200000000000048</c:v>
                </c:pt>
                <c:pt idx="332">
                  <c:v>0.66400000000000048</c:v>
                </c:pt>
                <c:pt idx="333">
                  <c:v>0.66600000000000048</c:v>
                </c:pt>
                <c:pt idx="334">
                  <c:v>0.66800000000000048</c:v>
                </c:pt>
                <c:pt idx="335">
                  <c:v>0.67000000000000048</c:v>
                </c:pt>
                <c:pt idx="336">
                  <c:v>0.67200000000000049</c:v>
                </c:pt>
                <c:pt idx="337">
                  <c:v>0.67400000000000049</c:v>
                </c:pt>
                <c:pt idx="338">
                  <c:v>0.67600000000000049</c:v>
                </c:pt>
                <c:pt idx="339">
                  <c:v>0.67800000000000049</c:v>
                </c:pt>
                <c:pt idx="340">
                  <c:v>0.68000000000000049</c:v>
                </c:pt>
                <c:pt idx="341">
                  <c:v>0.68200000000000049</c:v>
                </c:pt>
                <c:pt idx="342">
                  <c:v>0.6840000000000005</c:v>
                </c:pt>
                <c:pt idx="343">
                  <c:v>0.6860000000000005</c:v>
                </c:pt>
                <c:pt idx="344">
                  <c:v>0.6880000000000005</c:v>
                </c:pt>
                <c:pt idx="345">
                  <c:v>0.6900000000000005</c:v>
                </c:pt>
                <c:pt idx="346">
                  <c:v>0.6920000000000005</c:v>
                </c:pt>
                <c:pt idx="347">
                  <c:v>0.69400000000000051</c:v>
                </c:pt>
                <c:pt idx="348">
                  <c:v>0.69600000000000051</c:v>
                </c:pt>
                <c:pt idx="349">
                  <c:v>0.69800000000000051</c:v>
                </c:pt>
                <c:pt idx="350">
                  <c:v>0.70000000000000051</c:v>
                </c:pt>
                <c:pt idx="351">
                  <c:v>0.70200000000000051</c:v>
                </c:pt>
                <c:pt idx="352">
                  <c:v>0.70400000000000051</c:v>
                </c:pt>
                <c:pt idx="353">
                  <c:v>0.70600000000000052</c:v>
                </c:pt>
                <c:pt idx="354">
                  <c:v>0.70800000000000052</c:v>
                </c:pt>
                <c:pt idx="355">
                  <c:v>0.71000000000000052</c:v>
                </c:pt>
                <c:pt idx="356">
                  <c:v>0.71200000000000052</c:v>
                </c:pt>
                <c:pt idx="357">
                  <c:v>0.71400000000000052</c:v>
                </c:pt>
                <c:pt idx="358">
                  <c:v>0.71600000000000052</c:v>
                </c:pt>
                <c:pt idx="359">
                  <c:v>0.71800000000000053</c:v>
                </c:pt>
                <c:pt idx="360">
                  <c:v>0.72000000000000053</c:v>
                </c:pt>
                <c:pt idx="361">
                  <c:v>0.72200000000000053</c:v>
                </c:pt>
                <c:pt idx="362">
                  <c:v>0.72400000000000053</c:v>
                </c:pt>
                <c:pt idx="363">
                  <c:v>0.72600000000000053</c:v>
                </c:pt>
                <c:pt idx="364">
                  <c:v>0.72800000000000054</c:v>
                </c:pt>
                <c:pt idx="365">
                  <c:v>0.73000000000000054</c:v>
                </c:pt>
                <c:pt idx="366">
                  <c:v>0.73200000000000054</c:v>
                </c:pt>
                <c:pt idx="367">
                  <c:v>0.73400000000000054</c:v>
                </c:pt>
                <c:pt idx="368">
                  <c:v>0.73600000000000054</c:v>
                </c:pt>
                <c:pt idx="369">
                  <c:v>0.73800000000000054</c:v>
                </c:pt>
                <c:pt idx="370">
                  <c:v>0.74000000000000055</c:v>
                </c:pt>
                <c:pt idx="371">
                  <c:v>0.74200000000000055</c:v>
                </c:pt>
                <c:pt idx="372">
                  <c:v>0.74400000000000055</c:v>
                </c:pt>
                <c:pt idx="373">
                  <c:v>0.74600000000000055</c:v>
                </c:pt>
                <c:pt idx="374">
                  <c:v>0.74800000000000055</c:v>
                </c:pt>
                <c:pt idx="375">
                  <c:v>0.75000000000000056</c:v>
                </c:pt>
                <c:pt idx="376">
                  <c:v>0.75200000000000056</c:v>
                </c:pt>
                <c:pt idx="377">
                  <c:v>0.75400000000000056</c:v>
                </c:pt>
                <c:pt idx="378">
                  <c:v>0.75600000000000056</c:v>
                </c:pt>
                <c:pt idx="379">
                  <c:v>0.75800000000000056</c:v>
                </c:pt>
                <c:pt idx="380">
                  <c:v>0.76000000000000056</c:v>
                </c:pt>
                <c:pt idx="381">
                  <c:v>0.76200000000000057</c:v>
                </c:pt>
                <c:pt idx="382">
                  <c:v>0.76400000000000057</c:v>
                </c:pt>
                <c:pt idx="383">
                  <c:v>0.76600000000000057</c:v>
                </c:pt>
                <c:pt idx="384">
                  <c:v>0.76800000000000057</c:v>
                </c:pt>
                <c:pt idx="385">
                  <c:v>0.77000000000000057</c:v>
                </c:pt>
                <c:pt idx="386">
                  <c:v>0.77200000000000057</c:v>
                </c:pt>
                <c:pt idx="387">
                  <c:v>0.77400000000000058</c:v>
                </c:pt>
                <c:pt idx="388">
                  <c:v>0.77600000000000058</c:v>
                </c:pt>
                <c:pt idx="389">
                  <c:v>0.77800000000000058</c:v>
                </c:pt>
                <c:pt idx="390">
                  <c:v>0.78000000000000058</c:v>
                </c:pt>
                <c:pt idx="391">
                  <c:v>0.78200000000000058</c:v>
                </c:pt>
                <c:pt idx="392">
                  <c:v>0.78400000000000059</c:v>
                </c:pt>
                <c:pt idx="393">
                  <c:v>0.78600000000000059</c:v>
                </c:pt>
                <c:pt idx="394">
                  <c:v>0.78800000000000059</c:v>
                </c:pt>
                <c:pt idx="395">
                  <c:v>0.79000000000000059</c:v>
                </c:pt>
                <c:pt idx="396">
                  <c:v>0.79200000000000059</c:v>
                </c:pt>
                <c:pt idx="397">
                  <c:v>0.79400000000000059</c:v>
                </c:pt>
                <c:pt idx="398">
                  <c:v>0.7960000000000006</c:v>
                </c:pt>
                <c:pt idx="399">
                  <c:v>0.7980000000000006</c:v>
                </c:pt>
                <c:pt idx="400">
                  <c:v>0.8000000000000006</c:v>
                </c:pt>
                <c:pt idx="401">
                  <c:v>0.8020000000000006</c:v>
                </c:pt>
                <c:pt idx="402">
                  <c:v>0.8040000000000006</c:v>
                </c:pt>
                <c:pt idx="403">
                  <c:v>0.8060000000000006</c:v>
                </c:pt>
                <c:pt idx="404">
                  <c:v>0.80800000000000061</c:v>
                </c:pt>
                <c:pt idx="405">
                  <c:v>0.81000000000000061</c:v>
                </c:pt>
                <c:pt idx="406">
                  <c:v>0.81200000000000061</c:v>
                </c:pt>
                <c:pt idx="407">
                  <c:v>0.81400000000000061</c:v>
                </c:pt>
                <c:pt idx="408">
                  <c:v>0.81600000000000061</c:v>
                </c:pt>
                <c:pt idx="409">
                  <c:v>0.81800000000000062</c:v>
                </c:pt>
                <c:pt idx="410">
                  <c:v>0.82000000000000062</c:v>
                </c:pt>
                <c:pt idx="411">
                  <c:v>0.82200000000000062</c:v>
                </c:pt>
                <c:pt idx="412">
                  <c:v>0.82400000000000062</c:v>
                </c:pt>
                <c:pt idx="413">
                  <c:v>0.82600000000000062</c:v>
                </c:pt>
                <c:pt idx="414">
                  <c:v>0.82800000000000062</c:v>
                </c:pt>
                <c:pt idx="415">
                  <c:v>0.83000000000000063</c:v>
                </c:pt>
                <c:pt idx="416">
                  <c:v>0.83200000000000063</c:v>
                </c:pt>
                <c:pt idx="417">
                  <c:v>0.83400000000000063</c:v>
                </c:pt>
                <c:pt idx="418">
                  <c:v>0.83600000000000063</c:v>
                </c:pt>
                <c:pt idx="419">
                  <c:v>0.83800000000000063</c:v>
                </c:pt>
                <c:pt idx="420">
                  <c:v>0.84000000000000064</c:v>
                </c:pt>
                <c:pt idx="421">
                  <c:v>0.84200000000000064</c:v>
                </c:pt>
                <c:pt idx="422">
                  <c:v>0.84400000000000064</c:v>
                </c:pt>
                <c:pt idx="423">
                  <c:v>0.84600000000000064</c:v>
                </c:pt>
                <c:pt idx="424">
                  <c:v>0.84800000000000064</c:v>
                </c:pt>
                <c:pt idx="425">
                  <c:v>0.85000000000000064</c:v>
                </c:pt>
                <c:pt idx="426">
                  <c:v>0.85200000000000065</c:v>
                </c:pt>
                <c:pt idx="427">
                  <c:v>0.85400000000000065</c:v>
                </c:pt>
                <c:pt idx="428">
                  <c:v>0.85600000000000065</c:v>
                </c:pt>
                <c:pt idx="429">
                  <c:v>0.85800000000000065</c:v>
                </c:pt>
                <c:pt idx="430">
                  <c:v>0.86000000000000065</c:v>
                </c:pt>
                <c:pt idx="431">
                  <c:v>0.86200000000000065</c:v>
                </c:pt>
                <c:pt idx="432">
                  <c:v>0.86400000000000066</c:v>
                </c:pt>
                <c:pt idx="433">
                  <c:v>0.86600000000000066</c:v>
                </c:pt>
                <c:pt idx="434">
                  <c:v>0.86800000000000066</c:v>
                </c:pt>
                <c:pt idx="435">
                  <c:v>0.87000000000000066</c:v>
                </c:pt>
                <c:pt idx="436">
                  <c:v>0.87200000000000066</c:v>
                </c:pt>
                <c:pt idx="437">
                  <c:v>0.87400000000000067</c:v>
                </c:pt>
                <c:pt idx="438">
                  <c:v>0.87600000000000067</c:v>
                </c:pt>
                <c:pt idx="439">
                  <c:v>0.87800000000000067</c:v>
                </c:pt>
                <c:pt idx="440">
                  <c:v>0.88000000000000067</c:v>
                </c:pt>
                <c:pt idx="441">
                  <c:v>0.88200000000000067</c:v>
                </c:pt>
                <c:pt idx="442">
                  <c:v>0.88400000000000067</c:v>
                </c:pt>
                <c:pt idx="443">
                  <c:v>0.88600000000000068</c:v>
                </c:pt>
                <c:pt idx="444">
                  <c:v>0.88800000000000068</c:v>
                </c:pt>
                <c:pt idx="445">
                  <c:v>0.89000000000000068</c:v>
                </c:pt>
                <c:pt idx="446">
                  <c:v>0.89200000000000068</c:v>
                </c:pt>
                <c:pt idx="447">
                  <c:v>0.89400000000000068</c:v>
                </c:pt>
                <c:pt idx="448">
                  <c:v>0.89600000000000068</c:v>
                </c:pt>
                <c:pt idx="449">
                  <c:v>0.89800000000000069</c:v>
                </c:pt>
                <c:pt idx="450">
                  <c:v>0.90000000000000069</c:v>
                </c:pt>
                <c:pt idx="451">
                  <c:v>0.90200000000000069</c:v>
                </c:pt>
                <c:pt idx="452">
                  <c:v>0.90400000000000069</c:v>
                </c:pt>
                <c:pt idx="453">
                  <c:v>0.90600000000000069</c:v>
                </c:pt>
                <c:pt idx="454">
                  <c:v>0.9080000000000007</c:v>
                </c:pt>
                <c:pt idx="455">
                  <c:v>0.9100000000000007</c:v>
                </c:pt>
                <c:pt idx="456">
                  <c:v>0.9120000000000007</c:v>
                </c:pt>
                <c:pt idx="457">
                  <c:v>0.9140000000000007</c:v>
                </c:pt>
                <c:pt idx="458">
                  <c:v>0.9160000000000007</c:v>
                </c:pt>
                <c:pt idx="459">
                  <c:v>0.9180000000000007</c:v>
                </c:pt>
                <c:pt idx="460">
                  <c:v>0.92000000000000071</c:v>
                </c:pt>
                <c:pt idx="461">
                  <c:v>0.92200000000000071</c:v>
                </c:pt>
                <c:pt idx="462">
                  <c:v>0.92400000000000071</c:v>
                </c:pt>
                <c:pt idx="463">
                  <c:v>0.92600000000000071</c:v>
                </c:pt>
                <c:pt idx="464">
                  <c:v>0.92800000000000071</c:v>
                </c:pt>
                <c:pt idx="465">
                  <c:v>0.93000000000000071</c:v>
                </c:pt>
                <c:pt idx="466">
                  <c:v>0.93200000000000072</c:v>
                </c:pt>
                <c:pt idx="467">
                  <c:v>0.93400000000000072</c:v>
                </c:pt>
                <c:pt idx="468">
                  <c:v>0.93600000000000072</c:v>
                </c:pt>
                <c:pt idx="469">
                  <c:v>0.93800000000000072</c:v>
                </c:pt>
                <c:pt idx="470">
                  <c:v>0.94000000000000072</c:v>
                </c:pt>
                <c:pt idx="471">
                  <c:v>0.94200000000000073</c:v>
                </c:pt>
                <c:pt idx="472">
                  <c:v>0.94400000000000073</c:v>
                </c:pt>
                <c:pt idx="473">
                  <c:v>0.94600000000000073</c:v>
                </c:pt>
                <c:pt idx="474">
                  <c:v>0.94800000000000073</c:v>
                </c:pt>
                <c:pt idx="475">
                  <c:v>0.95000000000000073</c:v>
                </c:pt>
                <c:pt idx="476">
                  <c:v>0.95200000000000073</c:v>
                </c:pt>
                <c:pt idx="477">
                  <c:v>0.95400000000000074</c:v>
                </c:pt>
                <c:pt idx="478">
                  <c:v>0.95600000000000074</c:v>
                </c:pt>
                <c:pt idx="479">
                  <c:v>0.95800000000000074</c:v>
                </c:pt>
                <c:pt idx="480">
                  <c:v>0.96000000000000074</c:v>
                </c:pt>
                <c:pt idx="481">
                  <c:v>0.96200000000000074</c:v>
                </c:pt>
                <c:pt idx="482">
                  <c:v>0.96400000000000075</c:v>
                </c:pt>
                <c:pt idx="483">
                  <c:v>0.96600000000000075</c:v>
                </c:pt>
                <c:pt idx="484">
                  <c:v>0.96800000000000075</c:v>
                </c:pt>
                <c:pt idx="485">
                  <c:v>0.97000000000000075</c:v>
                </c:pt>
                <c:pt idx="486">
                  <c:v>0.97200000000000075</c:v>
                </c:pt>
                <c:pt idx="487">
                  <c:v>0.97400000000000075</c:v>
                </c:pt>
                <c:pt idx="488">
                  <c:v>0.97600000000000076</c:v>
                </c:pt>
                <c:pt idx="489">
                  <c:v>0.97800000000000076</c:v>
                </c:pt>
                <c:pt idx="490">
                  <c:v>0.98000000000000076</c:v>
                </c:pt>
                <c:pt idx="491">
                  <c:v>0.98200000000000076</c:v>
                </c:pt>
                <c:pt idx="492">
                  <c:v>0.98400000000000076</c:v>
                </c:pt>
                <c:pt idx="493">
                  <c:v>0.98600000000000076</c:v>
                </c:pt>
                <c:pt idx="494">
                  <c:v>0.98800000000000077</c:v>
                </c:pt>
                <c:pt idx="495">
                  <c:v>0.99000000000000077</c:v>
                </c:pt>
                <c:pt idx="496">
                  <c:v>0.99200000000000077</c:v>
                </c:pt>
                <c:pt idx="497">
                  <c:v>0.99400000000000077</c:v>
                </c:pt>
                <c:pt idx="498">
                  <c:v>0.99600000000000077</c:v>
                </c:pt>
                <c:pt idx="499">
                  <c:v>0.99800000000000078</c:v>
                </c:pt>
                <c:pt idx="500">
                  <c:v>1.0000000000000007</c:v>
                </c:pt>
                <c:pt idx="501">
                  <c:v>1.0020000000000007</c:v>
                </c:pt>
                <c:pt idx="502">
                  <c:v>1.0040000000000007</c:v>
                </c:pt>
                <c:pt idx="503">
                  <c:v>1.0060000000000007</c:v>
                </c:pt>
                <c:pt idx="504">
                  <c:v>1.0080000000000007</c:v>
                </c:pt>
                <c:pt idx="505">
                  <c:v>1.0100000000000007</c:v>
                </c:pt>
                <c:pt idx="506">
                  <c:v>1.0120000000000007</c:v>
                </c:pt>
                <c:pt idx="507">
                  <c:v>1.0140000000000007</c:v>
                </c:pt>
                <c:pt idx="508">
                  <c:v>1.0160000000000007</c:v>
                </c:pt>
                <c:pt idx="509">
                  <c:v>1.0180000000000007</c:v>
                </c:pt>
                <c:pt idx="510">
                  <c:v>1.0200000000000007</c:v>
                </c:pt>
                <c:pt idx="511">
                  <c:v>1.0220000000000007</c:v>
                </c:pt>
                <c:pt idx="512">
                  <c:v>1.0240000000000007</c:v>
                </c:pt>
                <c:pt idx="513">
                  <c:v>1.0260000000000007</c:v>
                </c:pt>
                <c:pt idx="514">
                  <c:v>1.0280000000000007</c:v>
                </c:pt>
                <c:pt idx="515">
                  <c:v>1.0300000000000007</c:v>
                </c:pt>
                <c:pt idx="516">
                  <c:v>1.0320000000000007</c:v>
                </c:pt>
                <c:pt idx="517">
                  <c:v>1.0340000000000007</c:v>
                </c:pt>
                <c:pt idx="518">
                  <c:v>1.0360000000000007</c:v>
                </c:pt>
                <c:pt idx="519">
                  <c:v>1.0380000000000007</c:v>
                </c:pt>
                <c:pt idx="520">
                  <c:v>1.0400000000000007</c:v>
                </c:pt>
                <c:pt idx="521">
                  <c:v>1.0420000000000007</c:v>
                </c:pt>
                <c:pt idx="522">
                  <c:v>1.0440000000000007</c:v>
                </c:pt>
                <c:pt idx="523">
                  <c:v>1.0460000000000007</c:v>
                </c:pt>
                <c:pt idx="524">
                  <c:v>1.0480000000000007</c:v>
                </c:pt>
                <c:pt idx="525">
                  <c:v>1.0500000000000007</c:v>
                </c:pt>
                <c:pt idx="526">
                  <c:v>1.0520000000000007</c:v>
                </c:pt>
                <c:pt idx="527">
                  <c:v>1.0540000000000007</c:v>
                </c:pt>
                <c:pt idx="528">
                  <c:v>1.0560000000000007</c:v>
                </c:pt>
                <c:pt idx="529">
                  <c:v>1.0580000000000007</c:v>
                </c:pt>
                <c:pt idx="530">
                  <c:v>1.0600000000000007</c:v>
                </c:pt>
                <c:pt idx="531">
                  <c:v>1.0620000000000007</c:v>
                </c:pt>
                <c:pt idx="532">
                  <c:v>1.0640000000000007</c:v>
                </c:pt>
                <c:pt idx="533">
                  <c:v>1.0660000000000007</c:v>
                </c:pt>
                <c:pt idx="534">
                  <c:v>1.0680000000000007</c:v>
                </c:pt>
                <c:pt idx="535">
                  <c:v>1.0700000000000007</c:v>
                </c:pt>
                <c:pt idx="536">
                  <c:v>1.0720000000000007</c:v>
                </c:pt>
                <c:pt idx="537">
                  <c:v>1.0740000000000007</c:v>
                </c:pt>
                <c:pt idx="538">
                  <c:v>1.0760000000000007</c:v>
                </c:pt>
                <c:pt idx="539">
                  <c:v>1.0780000000000007</c:v>
                </c:pt>
                <c:pt idx="540">
                  <c:v>1.0800000000000007</c:v>
                </c:pt>
                <c:pt idx="541">
                  <c:v>1.0820000000000007</c:v>
                </c:pt>
                <c:pt idx="542">
                  <c:v>1.0840000000000007</c:v>
                </c:pt>
                <c:pt idx="543">
                  <c:v>1.0860000000000007</c:v>
                </c:pt>
                <c:pt idx="544">
                  <c:v>1.0880000000000007</c:v>
                </c:pt>
                <c:pt idx="545">
                  <c:v>1.0900000000000007</c:v>
                </c:pt>
                <c:pt idx="546">
                  <c:v>1.0920000000000007</c:v>
                </c:pt>
                <c:pt idx="547">
                  <c:v>1.0940000000000007</c:v>
                </c:pt>
                <c:pt idx="548">
                  <c:v>1.0960000000000008</c:v>
                </c:pt>
                <c:pt idx="549">
                  <c:v>1.0980000000000008</c:v>
                </c:pt>
                <c:pt idx="550">
                  <c:v>1.1000000000000008</c:v>
                </c:pt>
                <c:pt idx="551">
                  <c:v>1.1020000000000008</c:v>
                </c:pt>
                <c:pt idx="552">
                  <c:v>1.1040000000000008</c:v>
                </c:pt>
                <c:pt idx="553">
                  <c:v>1.1060000000000008</c:v>
                </c:pt>
                <c:pt idx="554">
                  <c:v>1.1080000000000008</c:v>
                </c:pt>
                <c:pt idx="555">
                  <c:v>1.1100000000000008</c:v>
                </c:pt>
                <c:pt idx="556">
                  <c:v>1.1120000000000008</c:v>
                </c:pt>
                <c:pt idx="557">
                  <c:v>1.1140000000000008</c:v>
                </c:pt>
                <c:pt idx="558">
                  <c:v>1.1160000000000008</c:v>
                </c:pt>
                <c:pt idx="559">
                  <c:v>1.1180000000000008</c:v>
                </c:pt>
                <c:pt idx="560">
                  <c:v>1.1200000000000008</c:v>
                </c:pt>
                <c:pt idx="561">
                  <c:v>1.1220000000000008</c:v>
                </c:pt>
                <c:pt idx="562">
                  <c:v>1.1240000000000008</c:v>
                </c:pt>
                <c:pt idx="563">
                  <c:v>1.1260000000000008</c:v>
                </c:pt>
                <c:pt idx="564">
                  <c:v>1.1280000000000008</c:v>
                </c:pt>
                <c:pt idx="565">
                  <c:v>1.1300000000000008</c:v>
                </c:pt>
                <c:pt idx="566">
                  <c:v>1.1320000000000008</c:v>
                </c:pt>
                <c:pt idx="567">
                  <c:v>1.1340000000000008</c:v>
                </c:pt>
                <c:pt idx="568">
                  <c:v>1.1360000000000008</c:v>
                </c:pt>
                <c:pt idx="569">
                  <c:v>1.1380000000000008</c:v>
                </c:pt>
                <c:pt idx="570">
                  <c:v>1.1400000000000008</c:v>
                </c:pt>
                <c:pt idx="571">
                  <c:v>1.1420000000000008</c:v>
                </c:pt>
                <c:pt idx="572">
                  <c:v>1.1440000000000008</c:v>
                </c:pt>
                <c:pt idx="573">
                  <c:v>1.1460000000000008</c:v>
                </c:pt>
                <c:pt idx="574">
                  <c:v>1.1480000000000008</c:v>
                </c:pt>
                <c:pt idx="575">
                  <c:v>1.1500000000000008</c:v>
                </c:pt>
                <c:pt idx="576">
                  <c:v>1.1520000000000008</c:v>
                </c:pt>
                <c:pt idx="577">
                  <c:v>1.1540000000000008</c:v>
                </c:pt>
                <c:pt idx="578">
                  <c:v>1.1560000000000008</c:v>
                </c:pt>
                <c:pt idx="579">
                  <c:v>1.1580000000000008</c:v>
                </c:pt>
                <c:pt idx="580">
                  <c:v>1.1600000000000008</c:v>
                </c:pt>
                <c:pt idx="581">
                  <c:v>1.1620000000000008</c:v>
                </c:pt>
                <c:pt idx="582">
                  <c:v>1.1640000000000008</c:v>
                </c:pt>
                <c:pt idx="583">
                  <c:v>1.1660000000000008</c:v>
                </c:pt>
                <c:pt idx="584">
                  <c:v>1.1680000000000008</c:v>
                </c:pt>
                <c:pt idx="585">
                  <c:v>1.1700000000000008</c:v>
                </c:pt>
                <c:pt idx="586">
                  <c:v>1.1720000000000008</c:v>
                </c:pt>
                <c:pt idx="587">
                  <c:v>1.1740000000000008</c:v>
                </c:pt>
                <c:pt idx="588">
                  <c:v>1.1760000000000008</c:v>
                </c:pt>
                <c:pt idx="589">
                  <c:v>1.1780000000000008</c:v>
                </c:pt>
                <c:pt idx="590">
                  <c:v>1.1800000000000008</c:v>
                </c:pt>
                <c:pt idx="591">
                  <c:v>1.1820000000000008</c:v>
                </c:pt>
                <c:pt idx="592">
                  <c:v>1.1840000000000008</c:v>
                </c:pt>
                <c:pt idx="593">
                  <c:v>1.1860000000000008</c:v>
                </c:pt>
                <c:pt idx="594">
                  <c:v>1.1880000000000008</c:v>
                </c:pt>
                <c:pt idx="595">
                  <c:v>1.1900000000000008</c:v>
                </c:pt>
                <c:pt idx="596">
                  <c:v>1.1920000000000008</c:v>
                </c:pt>
                <c:pt idx="597">
                  <c:v>1.1940000000000008</c:v>
                </c:pt>
                <c:pt idx="598">
                  <c:v>1.1960000000000008</c:v>
                </c:pt>
                <c:pt idx="599">
                  <c:v>1.1980000000000008</c:v>
                </c:pt>
                <c:pt idx="600">
                  <c:v>1.2000000000000008</c:v>
                </c:pt>
                <c:pt idx="601">
                  <c:v>1.2020000000000008</c:v>
                </c:pt>
                <c:pt idx="602">
                  <c:v>1.2040000000000008</c:v>
                </c:pt>
                <c:pt idx="603">
                  <c:v>1.2060000000000008</c:v>
                </c:pt>
                <c:pt idx="604">
                  <c:v>1.2080000000000009</c:v>
                </c:pt>
                <c:pt idx="605">
                  <c:v>1.2100000000000009</c:v>
                </c:pt>
                <c:pt idx="606">
                  <c:v>1.2120000000000009</c:v>
                </c:pt>
                <c:pt idx="607">
                  <c:v>1.2140000000000009</c:v>
                </c:pt>
                <c:pt idx="608">
                  <c:v>1.2160000000000009</c:v>
                </c:pt>
                <c:pt idx="609">
                  <c:v>1.2180000000000009</c:v>
                </c:pt>
                <c:pt idx="610">
                  <c:v>1.2200000000000009</c:v>
                </c:pt>
                <c:pt idx="611">
                  <c:v>1.2220000000000009</c:v>
                </c:pt>
                <c:pt idx="612">
                  <c:v>1.2240000000000009</c:v>
                </c:pt>
                <c:pt idx="613">
                  <c:v>1.2260000000000009</c:v>
                </c:pt>
                <c:pt idx="614">
                  <c:v>1.2280000000000009</c:v>
                </c:pt>
                <c:pt idx="615">
                  <c:v>1.2300000000000009</c:v>
                </c:pt>
                <c:pt idx="616">
                  <c:v>1.2320000000000009</c:v>
                </c:pt>
                <c:pt idx="617">
                  <c:v>1.2340000000000009</c:v>
                </c:pt>
                <c:pt idx="618">
                  <c:v>1.2360000000000009</c:v>
                </c:pt>
                <c:pt idx="619">
                  <c:v>1.2380000000000009</c:v>
                </c:pt>
                <c:pt idx="620">
                  <c:v>1.2400000000000009</c:v>
                </c:pt>
                <c:pt idx="621">
                  <c:v>1.2420000000000009</c:v>
                </c:pt>
                <c:pt idx="622">
                  <c:v>1.2440000000000009</c:v>
                </c:pt>
                <c:pt idx="623">
                  <c:v>1.2460000000000009</c:v>
                </c:pt>
                <c:pt idx="624">
                  <c:v>1.2480000000000009</c:v>
                </c:pt>
                <c:pt idx="625">
                  <c:v>1.2500000000000009</c:v>
                </c:pt>
                <c:pt idx="626">
                  <c:v>1.2520000000000009</c:v>
                </c:pt>
                <c:pt idx="627">
                  <c:v>1.2540000000000009</c:v>
                </c:pt>
                <c:pt idx="628">
                  <c:v>1.2560000000000009</c:v>
                </c:pt>
                <c:pt idx="629">
                  <c:v>1.2580000000000009</c:v>
                </c:pt>
                <c:pt idx="630">
                  <c:v>1.2600000000000009</c:v>
                </c:pt>
                <c:pt idx="631">
                  <c:v>1.2620000000000009</c:v>
                </c:pt>
                <c:pt idx="632">
                  <c:v>1.2640000000000009</c:v>
                </c:pt>
                <c:pt idx="633">
                  <c:v>1.2660000000000009</c:v>
                </c:pt>
                <c:pt idx="634">
                  <c:v>1.2680000000000009</c:v>
                </c:pt>
                <c:pt idx="635">
                  <c:v>1.2700000000000009</c:v>
                </c:pt>
                <c:pt idx="636">
                  <c:v>1.2720000000000009</c:v>
                </c:pt>
                <c:pt idx="637">
                  <c:v>1.2740000000000009</c:v>
                </c:pt>
                <c:pt idx="638">
                  <c:v>1.2760000000000009</c:v>
                </c:pt>
                <c:pt idx="639">
                  <c:v>1.2780000000000009</c:v>
                </c:pt>
                <c:pt idx="640">
                  <c:v>1.2800000000000009</c:v>
                </c:pt>
                <c:pt idx="641">
                  <c:v>1.2820000000000009</c:v>
                </c:pt>
                <c:pt idx="642">
                  <c:v>1.2840000000000009</c:v>
                </c:pt>
                <c:pt idx="643">
                  <c:v>1.2860000000000009</c:v>
                </c:pt>
                <c:pt idx="644">
                  <c:v>1.2880000000000009</c:v>
                </c:pt>
                <c:pt idx="645">
                  <c:v>1.2900000000000009</c:v>
                </c:pt>
                <c:pt idx="646">
                  <c:v>1.2920000000000009</c:v>
                </c:pt>
                <c:pt idx="647">
                  <c:v>1.2940000000000009</c:v>
                </c:pt>
                <c:pt idx="648">
                  <c:v>1.2960000000000009</c:v>
                </c:pt>
                <c:pt idx="649">
                  <c:v>1.2980000000000009</c:v>
                </c:pt>
                <c:pt idx="650">
                  <c:v>1.3000000000000009</c:v>
                </c:pt>
                <c:pt idx="651">
                  <c:v>1.3020000000000009</c:v>
                </c:pt>
                <c:pt idx="652">
                  <c:v>1.3040000000000009</c:v>
                </c:pt>
                <c:pt idx="653">
                  <c:v>1.3060000000000009</c:v>
                </c:pt>
                <c:pt idx="654">
                  <c:v>1.3080000000000009</c:v>
                </c:pt>
                <c:pt idx="655">
                  <c:v>1.3100000000000009</c:v>
                </c:pt>
                <c:pt idx="656">
                  <c:v>1.3120000000000009</c:v>
                </c:pt>
                <c:pt idx="657">
                  <c:v>1.3140000000000009</c:v>
                </c:pt>
                <c:pt idx="658">
                  <c:v>1.3160000000000009</c:v>
                </c:pt>
                <c:pt idx="659">
                  <c:v>1.3180000000000009</c:v>
                </c:pt>
                <c:pt idx="660">
                  <c:v>1.320000000000001</c:v>
                </c:pt>
                <c:pt idx="661">
                  <c:v>1.322000000000001</c:v>
                </c:pt>
                <c:pt idx="662">
                  <c:v>1.324000000000001</c:v>
                </c:pt>
                <c:pt idx="663">
                  <c:v>1.326000000000001</c:v>
                </c:pt>
                <c:pt idx="664">
                  <c:v>1.328000000000001</c:v>
                </c:pt>
                <c:pt idx="665">
                  <c:v>1.330000000000001</c:v>
                </c:pt>
                <c:pt idx="666">
                  <c:v>1.332000000000001</c:v>
                </c:pt>
                <c:pt idx="667">
                  <c:v>1.334000000000001</c:v>
                </c:pt>
                <c:pt idx="668">
                  <c:v>1.336000000000001</c:v>
                </c:pt>
                <c:pt idx="669">
                  <c:v>1.338000000000001</c:v>
                </c:pt>
                <c:pt idx="670">
                  <c:v>1.340000000000001</c:v>
                </c:pt>
                <c:pt idx="671">
                  <c:v>1.342000000000001</c:v>
                </c:pt>
                <c:pt idx="672">
                  <c:v>1.344000000000001</c:v>
                </c:pt>
                <c:pt idx="673">
                  <c:v>1.346000000000001</c:v>
                </c:pt>
                <c:pt idx="674">
                  <c:v>1.348000000000001</c:v>
                </c:pt>
                <c:pt idx="675">
                  <c:v>1.350000000000001</c:v>
                </c:pt>
                <c:pt idx="676">
                  <c:v>1.352000000000001</c:v>
                </c:pt>
                <c:pt idx="677">
                  <c:v>1.354000000000001</c:v>
                </c:pt>
                <c:pt idx="678">
                  <c:v>1.356000000000001</c:v>
                </c:pt>
                <c:pt idx="679">
                  <c:v>1.358000000000001</c:v>
                </c:pt>
                <c:pt idx="680">
                  <c:v>1.360000000000001</c:v>
                </c:pt>
                <c:pt idx="681">
                  <c:v>1.362000000000001</c:v>
                </c:pt>
                <c:pt idx="682">
                  <c:v>1.364000000000001</c:v>
                </c:pt>
                <c:pt idx="683">
                  <c:v>1.366000000000001</c:v>
                </c:pt>
                <c:pt idx="684">
                  <c:v>1.368000000000001</c:v>
                </c:pt>
                <c:pt idx="685">
                  <c:v>1.370000000000001</c:v>
                </c:pt>
                <c:pt idx="686">
                  <c:v>1.372000000000001</c:v>
                </c:pt>
                <c:pt idx="687">
                  <c:v>1.374000000000001</c:v>
                </c:pt>
                <c:pt idx="688">
                  <c:v>1.376000000000001</c:v>
                </c:pt>
                <c:pt idx="689">
                  <c:v>1.378000000000001</c:v>
                </c:pt>
                <c:pt idx="690">
                  <c:v>1.380000000000001</c:v>
                </c:pt>
                <c:pt idx="691">
                  <c:v>1.382000000000001</c:v>
                </c:pt>
                <c:pt idx="692">
                  <c:v>1.384000000000001</c:v>
                </c:pt>
                <c:pt idx="693">
                  <c:v>1.386000000000001</c:v>
                </c:pt>
                <c:pt idx="694">
                  <c:v>1.388000000000001</c:v>
                </c:pt>
                <c:pt idx="695">
                  <c:v>1.390000000000001</c:v>
                </c:pt>
                <c:pt idx="696">
                  <c:v>1.392000000000001</c:v>
                </c:pt>
                <c:pt idx="697">
                  <c:v>1.394000000000001</c:v>
                </c:pt>
                <c:pt idx="698">
                  <c:v>1.396000000000001</c:v>
                </c:pt>
                <c:pt idx="699">
                  <c:v>1.398000000000001</c:v>
                </c:pt>
                <c:pt idx="700">
                  <c:v>1.400000000000001</c:v>
                </c:pt>
                <c:pt idx="701">
                  <c:v>1.402000000000001</c:v>
                </c:pt>
                <c:pt idx="702">
                  <c:v>1.404000000000001</c:v>
                </c:pt>
                <c:pt idx="703">
                  <c:v>1.406000000000001</c:v>
                </c:pt>
                <c:pt idx="704">
                  <c:v>1.408000000000001</c:v>
                </c:pt>
                <c:pt idx="705">
                  <c:v>1.410000000000001</c:v>
                </c:pt>
                <c:pt idx="706">
                  <c:v>1.412000000000001</c:v>
                </c:pt>
                <c:pt idx="707">
                  <c:v>1.414000000000001</c:v>
                </c:pt>
                <c:pt idx="708">
                  <c:v>1.416000000000001</c:v>
                </c:pt>
                <c:pt idx="709">
                  <c:v>1.418000000000001</c:v>
                </c:pt>
                <c:pt idx="710">
                  <c:v>1.420000000000001</c:v>
                </c:pt>
                <c:pt idx="711">
                  <c:v>1.422000000000001</c:v>
                </c:pt>
                <c:pt idx="712">
                  <c:v>1.424000000000001</c:v>
                </c:pt>
                <c:pt idx="713">
                  <c:v>1.426000000000001</c:v>
                </c:pt>
                <c:pt idx="714">
                  <c:v>1.428000000000001</c:v>
                </c:pt>
                <c:pt idx="715">
                  <c:v>1.430000000000001</c:v>
                </c:pt>
                <c:pt idx="716">
                  <c:v>1.432000000000001</c:v>
                </c:pt>
                <c:pt idx="717">
                  <c:v>1.4340000000000011</c:v>
                </c:pt>
                <c:pt idx="718">
                  <c:v>1.4360000000000011</c:v>
                </c:pt>
                <c:pt idx="719">
                  <c:v>1.4380000000000011</c:v>
                </c:pt>
                <c:pt idx="720">
                  <c:v>1.4400000000000011</c:v>
                </c:pt>
                <c:pt idx="721">
                  <c:v>1.4420000000000011</c:v>
                </c:pt>
                <c:pt idx="722">
                  <c:v>1.4440000000000011</c:v>
                </c:pt>
                <c:pt idx="723">
                  <c:v>1.4460000000000011</c:v>
                </c:pt>
                <c:pt idx="724">
                  <c:v>1.4480000000000011</c:v>
                </c:pt>
                <c:pt idx="725">
                  <c:v>1.4500000000000011</c:v>
                </c:pt>
                <c:pt idx="726">
                  <c:v>1.4520000000000011</c:v>
                </c:pt>
                <c:pt idx="727">
                  <c:v>1.4540000000000011</c:v>
                </c:pt>
                <c:pt idx="728">
                  <c:v>1.4560000000000011</c:v>
                </c:pt>
                <c:pt idx="729">
                  <c:v>1.4580000000000011</c:v>
                </c:pt>
                <c:pt idx="730">
                  <c:v>1.4600000000000011</c:v>
                </c:pt>
                <c:pt idx="731">
                  <c:v>1.4620000000000011</c:v>
                </c:pt>
                <c:pt idx="732">
                  <c:v>1.4640000000000011</c:v>
                </c:pt>
                <c:pt idx="733">
                  <c:v>1.4660000000000011</c:v>
                </c:pt>
                <c:pt idx="734">
                  <c:v>1.4680000000000011</c:v>
                </c:pt>
                <c:pt idx="735">
                  <c:v>1.4700000000000011</c:v>
                </c:pt>
                <c:pt idx="736">
                  <c:v>1.4720000000000011</c:v>
                </c:pt>
                <c:pt idx="737">
                  <c:v>1.4740000000000011</c:v>
                </c:pt>
                <c:pt idx="738">
                  <c:v>1.4760000000000011</c:v>
                </c:pt>
                <c:pt idx="739">
                  <c:v>1.4780000000000011</c:v>
                </c:pt>
                <c:pt idx="740">
                  <c:v>1.4800000000000011</c:v>
                </c:pt>
                <c:pt idx="741">
                  <c:v>1.4820000000000011</c:v>
                </c:pt>
                <c:pt idx="742">
                  <c:v>1.4840000000000011</c:v>
                </c:pt>
                <c:pt idx="743">
                  <c:v>1.4860000000000011</c:v>
                </c:pt>
                <c:pt idx="744">
                  <c:v>1.4880000000000011</c:v>
                </c:pt>
                <c:pt idx="745">
                  <c:v>1.4900000000000011</c:v>
                </c:pt>
                <c:pt idx="746">
                  <c:v>1.4920000000000011</c:v>
                </c:pt>
                <c:pt idx="747">
                  <c:v>1.4940000000000011</c:v>
                </c:pt>
                <c:pt idx="748">
                  <c:v>1.4960000000000011</c:v>
                </c:pt>
                <c:pt idx="749">
                  <c:v>1.4980000000000011</c:v>
                </c:pt>
                <c:pt idx="750">
                  <c:v>1.5000000000000011</c:v>
                </c:pt>
                <c:pt idx="751">
                  <c:v>1.5020000000000011</c:v>
                </c:pt>
                <c:pt idx="752">
                  <c:v>1.5040000000000011</c:v>
                </c:pt>
                <c:pt idx="753">
                  <c:v>1.5060000000000011</c:v>
                </c:pt>
                <c:pt idx="754">
                  <c:v>1.5080000000000011</c:v>
                </c:pt>
                <c:pt idx="755">
                  <c:v>1.5100000000000011</c:v>
                </c:pt>
                <c:pt idx="756">
                  <c:v>1.5120000000000011</c:v>
                </c:pt>
                <c:pt idx="757">
                  <c:v>1.5140000000000011</c:v>
                </c:pt>
                <c:pt idx="758">
                  <c:v>1.5160000000000011</c:v>
                </c:pt>
                <c:pt idx="759">
                  <c:v>1.5180000000000011</c:v>
                </c:pt>
                <c:pt idx="760">
                  <c:v>1.5200000000000011</c:v>
                </c:pt>
                <c:pt idx="761">
                  <c:v>1.5220000000000011</c:v>
                </c:pt>
                <c:pt idx="762">
                  <c:v>1.5240000000000011</c:v>
                </c:pt>
                <c:pt idx="763">
                  <c:v>1.5260000000000011</c:v>
                </c:pt>
                <c:pt idx="764">
                  <c:v>1.5280000000000011</c:v>
                </c:pt>
                <c:pt idx="765">
                  <c:v>1.5300000000000011</c:v>
                </c:pt>
                <c:pt idx="766">
                  <c:v>1.5320000000000011</c:v>
                </c:pt>
                <c:pt idx="767">
                  <c:v>1.5340000000000011</c:v>
                </c:pt>
                <c:pt idx="768">
                  <c:v>1.5360000000000011</c:v>
                </c:pt>
                <c:pt idx="769">
                  <c:v>1.5380000000000011</c:v>
                </c:pt>
                <c:pt idx="770">
                  <c:v>1.5400000000000011</c:v>
                </c:pt>
                <c:pt idx="771">
                  <c:v>1.5420000000000011</c:v>
                </c:pt>
                <c:pt idx="772">
                  <c:v>1.5440000000000011</c:v>
                </c:pt>
                <c:pt idx="773">
                  <c:v>1.5460000000000012</c:v>
                </c:pt>
                <c:pt idx="774">
                  <c:v>1.5480000000000012</c:v>
                </c:pt>
                <c:pt idx="775">
                  <c:v>1.5500000000000012</c:v>
                </c:pt>
                <c:pt idx="776">
                  <c:v>1.5520000000000012</c:v>
                </c:pt>
                <c:pt idx="777">
                  <c:v>1.5540000000000012</c:v>
                </c:pt>
                <c:pt idx="778">
                  <c:v>1.5560000000000012</c:v>
                </c:pt>
                <c:pt idx="779">
                  <c:v>1.5580000000000012</c:v>
                </c:pt>
                <c:pt idx="780">
                  <c:v>1.5600000000000012</c:v>
                </c:pt>
                <c:pt idx="781">
                  <c:v>1.5620000000000012</c:v>
                </c:pt>
                <c:pt idx="782">
                  <c:v>1.5640000000000012</c:v>
                </c:pt>
                <c:pt idx="783">
                  <c:v>1.5660000000000012</c:v>
                </c:pt>
                <c:pt idx="784">
                  <c:v>1.5680000000000012</c:v>
                </c:pt>
                <c:pt idx="785">
                  <c:v>1.5700000000000012</c:v>
                </c:pt>
                <c:pt idx="786">
                  <c:v>1.5720000000000012</c:v>
                </c:pt>
                <c:pt idx="787">
                  <c:v>1.5740000000000012</c:v>
                </c:pt>
                <c:pt idx="788">
                  <c:v>1.5760000000000012</c:v>
                </c:pt>
                <c:pt idx="789">
                  <c:v>1.5780000000000012</c:v>
                </c:pt>
                <c:pt idx="790">
                  <c:v>1.5800000000000012</c:v>
                </c:pt>
                <c:pt idx="791">
                  <c:v>1.5820000000000012</c:v>
                </c:pt>
                <c:pt idx="792">
                  <c:v>1.5840000000000012</c:v>
                </c:pt>
                <c:pt idx="793">
                  <c:v>1.5860000000000012</c:v>
                </c:pt>
                <c:pt idx="794">
                  <c:v>1.5880000000000012</c:v>
                </c:pt>
                <c:pt idx="795">
                  <c:v>1.5900000000000012</c:v>
                </c:pt>
                <c:pt idx="796">
                  <c:v>1.5920000000000012</c:v>
                </c:pt>
                <c:pt idx="797">
                  <c:v>1.5940000000000012</c:v>
                </c:pt>
                <c:pt idx="798">
                  <c:v>1.5960000000000012</c:v>
                </c:pt>
                <c:pt idx="799">
                  <c:v>1.5980000000000012</c:v>
                </c:pt>
                <c:pt idx="800">
                  <c:v>1.6000000000000012</c:v>
                </c:pt>
                <c:pt idx="801">
                  <c:v>1.6020000000000012</c:v>
                </c:pt>
                <c:pt idx="802">
                  <c:v>1.6040000000000012</c:v>
                </c:pt>
                <c:pt idx="803">
                  <c:v>1.6060000000000012</c:v>
                </c:pt>
                <c:pt idx="804">
                  <c:v>1.6080000000000012</c:v>
                </c:pt>
                <c:pt idx="805">
                  <c:v>1.6100000000000012</c:v>
                </c:pt>
                <c:pt idx="806">
                  <c:v>1.6120000000000012</c:v>
                </c:pt>
                <c:pt idx="807">
                  <c:v>1.6140000000000012</c:v>
                </c:pt>
                <c:pt idx="808">
                  <c:v>1.6160000000000012</c:v>
                </c:pt>
                <c:pt idx="809">
                  <c:v>1.6180000000000012</c:v>
                </c:pt>
                <c:pt idx="810">
                  <c:v>1.6200000000000012</c:v>
                </c:pt>
                <c:pt idx="811">
                  <c:v>1.6220000000000012</c:v>
                </c:pt>
                <c:pt idx="812">
                  <c:v>1.6240000000000012</c:v>
                </c:pt>
                <c:pt idx="813">
                  <c:v>1.6260000000000012</c:v>
                </c:pt>
                <c:pt idx="814">
                  <c:v>1.6280000000000012</c:v>
                </c:pt>
                <c:pt idx="815">
                  <c:v>1.6300000000000012</c:v>
                </c:pt>
                <c:pt idx="816">
                  <c:v>1.6320000000000012</c:v>
                </c:pt>
                <c:pt idx="817">
                  <c:v>1.6340000000000012</c:v>
                </c:pt>
                <c:pt idx="818">
                  <c:v>1.6360000000000012</c:v>
                </c:pt>
                <c:pt idx="819">
                  <c:v>1.6380000000000012</c:v>
                </c:pt>
                <c:pt idx="820">
                  <c:v>1.6400000000000012</c:v>
                </c:pt>
                <c:pt idx="821">
                  <c:v>1.6420000000000012</c:v>
                </c:pt>
                <c:pt idx="822">
                  <c:v>1.6440000000000012</c:v>
                </c:pt>
                <c:pt idx="823">
                  <c:v>1.6460000000000012</c:v>
                </c:pt>
                <c:pt idx="824">
                  <c:v>1.6480000000000012</c:v>
                </c:pt>
                <c:pt idx="825">
                  <c:v>1.6500000000000012</c:v>
                </c:pt>
                <c:pt idx="826">
                  <c:v>1.6520000000000012</c:v>
                </c:pt>
                <c:pt idx="827">
                  <c:v>1.6540000000000012</c:v>
                </c:pt>
                <c:pt idx="828">
                  <c:v>1.6560000000000012</c:v>
                </c:pt>
                <c:pt idx="829">
                  <c:v>1.6580000000000013</c:v>
                </c:pt>
                <c:pt idx="830">
                  <c:v>1.6600000000000013</c:v>
                </c:pt>
                <c:pt idx="831">
                  <c:v>1.6620000000000013</c:v>
                </c:pt>
                <c:pt idx="832">
                  <c:v>1.6640000000000013</c:v>
                </c:pt>
                <c:pt idx="833">
                  <c:v>1.6660000000000013</c:v>
                </c:pt>
                <c:pt idx="834">
                  <c:v>1.6680000000000013</c:v>
                </c:pt>
                <c:pt idx="835">
                  <c:v>1.6700000000000013</c:v>
                </c:pt>
                <c:pt idx="836">
                  <c:v>1.6720000000000013</c:v>
                </c:pt>
                <c:pt idx="837">
                  <c:v>1.6740000000000013</c:v>
                </c:pt>
                <c:pt idx="838">
                  <c:v>1.6760000000000013</c:v>
                </c:pt>
                <c:pt idx="839">
                  <c:v>1.6780000000000013</c:v>
                </c:pt>
                <c:pt idx="840">
                  <c:v>1.6800000000000013</c:v>
                </c:pt>
                <c:pt idx="841">
                  <c:v>1.6820000000000013</c:v>
                </c:pt>
                <c:pt idx="842">
                  <c:v>1.6840000000000013</c:v>
                </c:pt>
                <c:pt idx="843">
                  <c:v>1.6860000000000013</c:v>
                </c:pt>
                <c:pt idx="844">
                  <c:v>1.6880000000000013</c:v>
                </c:pt>
                <c:pt idx="845">
                  <c:v>1.6900000000000013</c:v>
                </c:pt>
                <c:pt idx="846">
                  <c:v>1.6920000000000013</c:v>
                </c:pt>
                <c:pt idx="847">
                  <c:v>1.6940000000000013</c:v>
                </c:pt>
                <c:pt idx="848">
                  <c:v>1.6960000000000013</c:v>
                </c:pt>
                <c:pt idx="849">
                  <c:v>1.6980000000000013</c:v>
                </c:pt>
                <c:pt idx="850">
                  <c:v>1.7000000000000013</c:v>
                </c:pt>
                <c:pt idx="851">
                  <c:v>1.7020000000000013</c:v>
                </c:pt>
                <c:pt idx="852">
                  <c:v>1.7040000000000013</c:v>
                </c:pt>
                <c:pt idx="853">
                  <c:v>1.7060000000000013</c:v>
                </c:pt>
                <c:pt idx="854">
                  <c:v>1.7080000000000013</c:v>
                </c:pt>
                <c:pt idx="855">
                  <c:v>1.7100000000000013</c:v>
                </c:pt>
                <c:pt idx="856">
                  <c:v>1.7120000000000013</c:v>
                </c:pt>
                <c:pt idx="857">
                  <c:v>1.7140000000000013</c:v>
                </c:pt>
                <c:pt idx="858">
                  <c:v>1.7160000000000013</c:v>
                </c:pt>
                <c:pt idx="859">
                  <c:v>1.7180000000000013</c:v>
                </c:pt>
                <c:pt idx="860">
                  <c:v>1.7200000000000013</c:v>
                </c:pt>
                <c:pt idx="861">
                  <c:v>1.7220000000000013</c:v>
                </c:pt>
                <c:pt idx="862">
                  <c:v>1.7240000000000013</c:v>
                </c:pt>
                <c:pt idx="863">
                  <c:v>1.7260000000000013</c:v>
                </c:pt>
                <c:pt idx="864">
                  <c:v>1.7280000000000013</c:v>
                </c:pt>
                <c:pt idx="865">
                  <c:v>1.7300000000000013</c:v>
                </c:pt>
                <c:pt idx="866">
                  <c:v>1.7320000000000013</c:v>
                </c:pt>
                <c:pt idx="867">
                  <c:v>1.7340000000000013</c:v>
                </c:pt>
                <c:pt idx="868">
                  <c:v>1.7360000000000013</c:v>
                </c:pt>
                <c:pt idx="869">
                  <c:v>1.7380000000000013</c:v>
                </c:pt>
                <c:pt idx="870">
                  <c:v>1.7400000000000013</c:v>
                </c:pt>
                <c:pt idx="871">
                  <c:v>1.7420000000000013</c:v>
                </c:pt>
                <c:pt idx="872">
                  <c:v>1.7440000000000013</c:v>
                </c:pt>
                <c:pt idx="873">
                  <c:v>1.7460000000000013</c:v>
                </c:pt>
                <c:pt idx="874">
                  <c:v>1.7480000000000013</c:v>
                </c:pt>
                <c:pt idx="875">
                  <c:v>1.7500000000000013</c:v>
                </c:pt>
                <c:pt idx="876">
                  <c:v>1.7520000000000013</c:v>
                </c:pt>
                <c:pt idx="877">
                  <c:v>1.7540000000000013</c:v>
                </c:pt>
                <c:pt idx="878">
                  <c:v>1.7560000000000013</c:v>
                </c:pt>
                <c:pt idx="879">
                  <c:v>1.7580000000000013</c:v>
                </c:pt>
                <c:pt idx="880">
                  <c:v>1.7600000000000013</c:v>
                </c:pt>
                <c:pt idx="881">
                  <c:v>1.7620000000000013</c:v>
                </c:pt>
                <c:pt idx="882">
                  <c:v>1.7640000000000013</c:v>
                </c:pt>
                <c:pt idx="883">
                  <c:v>1.7660000000000013</c:v>
                </c:pt>
                <c:pt idx="884">
                  <c:v>1.7680000000000013</c:v>
                </c:pt>
                <c:pt idx="885">
                  <c:v>1.7700000000000014</c:v>
                </c:pt>
                <c:pt idx="886">
                  <c:v>1.7720000000000014</c:v>
                </c:pt>
                <c:pt idx="887">
                  <c:v>1.7740000000000014</c:v>
                </c:pt>
                <c:pt idx="888">
                  <c:v>1.7760000000000014</c:v>
                </c:pt>
                <c:pt idx="889">
                  <c:v>1.7780000000000014</c:v>
                </c:pt>
                <c:pt idx="890">
                  <c:v>1.7800000000000014</c:v>
                </c:pt>
                <c:pt idx="891">
                  <c:v>1.7820000000000014</c:v>
                </c:pt>
                <c:pt idx="892">
                  <c:v>1.7840000000000014</c:v>
                </c:pt>
                <c:pt idx="893">
                  <c:v>1.7860000000000014</c:v>
                </c:pt>
                <c:pt idx="894">
                  <c:v>1.7880000000000014</c:v>
                </c:pt>
                <c:pt idx="895">
                  <c:v>1.7900000000000014</c:v>
                </c:pt>
                <c:pt idx="896">
                  <c:v>1.7920000000000014</c:v>
                </c:pt>
                <c:pt idx="897">
                  <c:v>1.7940000000000014</c:v>
                </c:pt>
                <c:pt idx="898">
                  <c:v>1.7960000000000014</c:v>
                </c:pt>
                <c:pt idx="899">
                  <c:v>1.7980000000000014</c:v>
                </c:pt>
                <c:pt idx="900">
                  <c:v>1.8000000000000014</c:v>
                </c:pt>
                <c:pt idx="901">
                  <c:v>1.8020000000000014</c:v>
                </c:pt>
                <c:pt idx="902">
                  <c:v>1.8040000000000014</c:v>
                </c:pt>
                <c:pt idx="903">
                  <c:v>1.8060000000000014</c:v>
                </c:pt>
                <c:pt idx="904">
                  <c:v>1.8080000000000014</c:v>
                </c:pt>
                <c:pt idx="905">
                  <c:v>1.8100000000000014</c:v>
                </c:pt>
                <c:pt idx="906">
                  <c:v>1.8120000000000014</c:v>
                </c:pt>
                <c:pt idx="907">
                  <c:v>1.8140000000000014</c:v>
                </c:pt>
                <c:pt idx="908">
                  <c:v>1.8160000000000014</c:v>
                </c:pt>
                <c:pt idx="909">
                  <c:v>1.8180000000000014</c:v>
                </c:pt>
                <c:pt idx="910">
                  <c:v>1.8200000000000014</c:v>
                </c:pt>
                <c:pt idx="911">
                  <c:v>1.8220000000000014</c:v>
                </c:pt>
                <c:pt idx="912">
                  <c:v>1.8240000000000014</c:v>
                </c:pt>
                <c:pt idx="913">
                  <c:v>1.8260000000000014</c:v>
                </c:pt>
                <c:pt idx="914">
                  <c:v>1.8280000000000014</c:v>
                </c:pt>
                <c:pt idx="915">
                  <c:v>1.8300000000000014</c:v>
                </c:pt>
                <c:pt idx="916">
                  <c:v>1.8320000000000014</c:v>
                </c:pt>
                <c:pt idx="917">
                  <c:v>1.8340000000000014</c:v>
                </c:pt>
                <c:pt idx="918">
                  <c:v>1.8360000000000014</c:v>
                </c:pt>
                <c:pt idx="919">
                  <c:v>1.8380000000000014</c:v>
                </c:pt>
                <c:pt idx="920">
                  <c:v>1.8400000000000014</c:v>
                </c:pt>
                <c:pt idx="921">
                  <c:v>1.8420000000000014</c:v>
                </c:pt>
                <c:pt idx="922">
                  <c:v>1.8440000000000014</c:v>
                </c:pt>
                <c:pt idx="923">
                  <c:v>1.8460000000000014</c:v>
                </c:pt>
                <c:pt idx="924">
                  <c:v>1.8480000000000014</c:v>
                </c:pt>
                <c:pt idx="925">
                  <c:v>1.8500000000000014</c:v>
                </c:pt>
                <c:pt idx="926">
                  <c:v>1.8520000000000014</c:v>
                </c:pt>
                <c:pt idx="927">
                  <c:v>1.8540000000000014</c:v>
                </c:pt>
                <c:pt idx="928">
                  <c:v>1.8560000000000014</c:v>
                </c:pt>
                <c:pt idx="929">
                  <c:v>1.8580000000000014</c:v>
                </c:pt>
                <c:pt idx="930">
                  <c:v>1.8600000000000014</c:v>
                </c:pt>
                <c:pt idx="931">
                  <c:v>1.8620000000000014</c:v>
                </c:pt>
                <c:pt idx="932">
                  <c:v>1.8640000000000014</c:v>
                </c:pt>
                <c:pt idx="933">
                  <c:v>1.8660000000000014</c:v>
                </c:pt>
                <c:pt idx="934">
                  <c:v>1.8680000000000014</c:v>
                </c:pt>
                <c:pt idx="935">
                  <c:v>1.8700000000000014</c:v>
                </c:pt>
                <c:pt idx="936">
                  <c:v>1.8720000000000014</c:v>
                </c:pt>
                <c:pt idx="937">
                  <c:v>1.8740000000000014</c:v>
                </c:pt>
                <c:pt idx="938">
                  <c:v>1.8760000000000014</c:v>
                </c:pt>
                <c:pt idx="939">
                  <c:v>1.8780000000000014</c:v>
                </c:pt>
                <c:pt idx="940">
                  <c:v>1.8800000000000014</c:v>
                </c:pt>
                <c:pt idx="941">
                  <c:v>1.8820000000000014</c:v>
                </c:pt>
                <c:pt idx="942">
                  <c:v>1.8840000000000015</c:v>
                </c:pt>
                <c:pt idx="943">
                  <c:v>1.8860000000000015</c:v>
                </c:pt>
                <c:pt idx="944">
                  <c:v>1.8880000000000015</c:v>
                </c:pt>
                <c:pt idx="945">
                  <c:v>1.8900000000000015</c:v>
                </c:pt>
                <c:pt idx="946">
                  <c:v>1.8920000000000015</c:v>
                </c:pt>
                <c:pt idx="947">
                  <c:v>1.8940000000000015</c:v>
                </c:pt>
                <c:pt idx="948">
                  <c:v>1.8960000000000015</c:v>
                </c:pt>
                <c:pt idx="949">
                  <c:v>1.8980000000000015</c:v>
                </c:pt>
                <c:pt idx="950">
                  <c:v>1.9000000000000015</c:v>
                </c:pt>
                <c:pt idx="951">
                  <c:v>1.9020000000000015</c:v>
                </c:pt>
                <c:pt idx="952">
                  <c:v>1.9040000000000015</c:v>
                </c:pt>
                <c:pt idx="953">
                  <c:v>1.9060000000000015</c:v>
                </c:pt>
                <c:pt idx="954">
                  <c:v>1.9080000000000015</c:v>
                </c:pt>
                <c:pt idx="955">
                  <c:v>1.9100000000000015</c:v>
                </c:pt>
                <c:pt idx="956">
                  <c:v>1.9120000000000015</c:v>
                </c:pt>
                <c:pt idx="957">
                  <c:v>1.9140000000000015</c:v>
                </c:pt>
                <c:pt idx="958">
                  <c:v>1.9160000000000015</c:v>
                </c:pt>
                <c:pt idx="959">
                  <c:v>1.9180000000000015</c:v>
                </c:pt>
                <c:pt idx="960">
                  <c:v>1.9200000000000015</c:v>
                </c:pt>
                <c:pt idx="961">
                  <c:v>1.9220000000000015</c:v>
                </c:pt>
                <c:pt idx="962">
                  <c:v>1.9240000000000015</c:v>
                </c:pt>
                <c:pt idx="963">
                  <c:v>1.9260000000000015</c:v>
                </c:pt>
                <c:pt idx="964">
                  <c:v>1.9280000000000015</c:v>
                </c:pt>
                <c:pt idx="965">
                  <c:v>1.9300000000000015</c:v>
                </c:pt>
                <c:pt idx="966">
                  <c:v>1.9320000000000015</c:v>
                </c:pt>
                <c:pt idx="967">
                  <c:v>1.9340000000000015</c:v>
                </c:pt>
                <c:pt idx="968">
                  <c:v>1.9360000000000015</c:v>
                </c:pt>
                <c:pt idx="969">
                  <c:v>1.9380000000000015</c:v>
                </c:pt>
                <c:pt idx="970">
                  <c:v>1.9400000000000015</c:v>
                </c:pt>
                <c:pt idx="971">
                  <c:v>1.9420000000000015</c:v>
                </c:pt>
                <c:pt idx="972">
                  <c:v>1.9440000000000015</c:v>
                </c:pt>
                <c:pt idx="973">
                  <c:v>1.9460000000000015</c:v>
                </c:pt>
                <c:pt idx="974">
                  <c:v>1.9480000000000015</c:v>
                </c:pt>
                <c:pt idx="975">
                  <c:v>1.9500000000000015</c:v>
                </c:pt>
                <c:pt idx="976">
                  <c:v>1.9520000000000015</c:v>
                </c:pt>
                <c:pt idx="977">
                  <c:v>1.9540000000000015</c:v>
                </c:pt>
                <c:pt idx="978">
                  <c:v>1.9560000000000015</c:v>
                </c:pt>
                <c:pt idx="979">
                  <c:v>1.9580000000000015</c:v>
                </c:pt>
                <c:pt idx="980">
                  <c:v>1.9600000000000015</c:v>
                </c:pt>
                <c:pt idx="981">
                  <c:v>1.9620000000000015</c:v>
                </c:pt>
                <c:pt idx="982">
                  <c:v>1.9640000000000015</c:v>
                </c:pt>
                <c:pt idx="983">
                  <c:v>1.9660000000000015</c:v>
                </c:pt>
                <c:pt idx="984">
                  <c:v>1.9680000000000015</c:v>
                </c:pt>
                <c:pt idx="985">
                  <c:v>1.9700000000000015</c:v>
                </c:pt>
                <c:pt idx="986">
                  <c:v>1.9720000000000015</c:v>
                </c:pt>
                <c:pt idx="987">
                  <c:v>1.9740000000000015</c:v>
                </c:pt>
                <c:pt idx="988">
                  <c:v>1.9760000000000015</c:v>
                </c:pt>
                <c:pt idx="989">
                  <c:v>1.9780000000000015</c:v>
                </c:pt>
                <c:pt idx="990">
                  <c:v>1.9800000000000015</c:v>
                </c:pt>
                <c:pt idx="991">
                  <c:v>1.9820000000000015</c:v>
                </c:pt>
                <c:pt idx="992">
                  <c:v>1.9840000000000015</c:v>
                </c:pt>
                <c:pt idx="993">
                  <c:v>1.9860000000000015</c:v>
                </c:pt>
                <c:pt idx="994">
                  <c:v>1.9880000000000015</c:v>
                </c:pt>
                <c:pt idx="995">
                  <c:v>1.9900000000000015</c:v>
                </c:pt>
                <c:pt idx="996">
                  <c:v>1.9920000000000015</c:v>
                </c:pt>
                <c:pt idx="997">
                  <c:v>1.9940000000000015</c:v>
                </c:pt>
                <c:pt idx="998">
                  <c:v>1.9960000000000016</c:v>
                </c:pt>
                <c:pt idx="999">
                  <c:v>1.9980000000000016</c:v>
                </c:pt>
                <c:pt idx="1000">
                  <c:v>2.0000000000000013</c:v>
                </c:pt>
                <c:pt idx="1001">
                  <c:v>2.0020000000000011</c:v>
                </c:pt>
                <c:pt idx="1002">
                  <c:v>2.0040000000000009</c:v>
                </c:pt>
                <c:pt idx="1003">
                  <c:v>2.0060000000000007</c:v>
                </c:pt>
                <c:pt idx="1004">
                  <c:v>2.0080000000000005</c:v>
                </c:pt>
                <c:pt idx="1005">
                  <c:v>2.0100000000000002</c:v>
                </c:pt>
                <c:pt idx="1006">
                  <c:v>2.012</c:v>
                </c:pt>
                <c:pt idx="1007">
                  <c:v>2.0139999999999998</c:v>
                </c:pt>
                <c:pt idx="1008">
                  <c:v>2.0159999999999996</c:v>
                </c:pt>
                <c:pt idx="1009">
                  <c:v>2.0179999999999993</c:v>
                </c:pt>
                <c:pt idx="1010">
                  <c:v>2.0199999999999991</c:v>
                </c:pt>
                <c:pt idx="1011">
                  <c:v>2.0219999999999989</c:v>
                </c:pt>
                <c:pt idx="1012">
                  <c:v>2.0239999999999987</c:v>
                </c:pt>
                <c:pt idx="1013">
                  <c:v>2.0259999999999985</c:v>
                </c:pt>
                <c:pt idx="1014">
                  <c:v>2.0279999999999982</c:v>
                </c:pt>
                <c:pt idx="1015">
                  <c:v>2.029999999999998</c:v>
                </c:pt>
                <c:pt idx="1016">
                  <c:v>2.0319999999999978</c:v>
                </c:pt>
                <c:pt idx="1017">
                  <c:v>2.0339999999999976</c:v>
                </c:pt>
                <c:pt idx="1018">
                  <c:v>2.0359999999999974</c:v>
                </c:pt>
                <c:pt idx="1019">
                  <c:v>2.0379999999999971</c:v>
                </c:pt>
                <c:pt idx="1020">
                  <c:v>2.0399999999999969</c:v>
                </c:pt>
                <c:pt idx="1021">
                  <c:v>2.0419999999999967</c:v>
                </c:pt>
                <c:pt idx="1022">
                  <c:v>2.0439999999999965</c:v>
                </c:pt>
                <c:pt idx="1023">
                  <c:v>2.0459999999999963</c:v>
                </c:pt>
                <c:pt idx="1024">
                  <c:v>2.047999999999996</c:v>
                </c:pt>
                <c:pt idx="1025">
                  <c:v>2.0499999999999958</c:v>
                </c:pt>
                <c:pt idx="1026">
                  <c:v>2.0519999999999956</c:v>
                </c:pt>
                <c:pt idx="1027">
                  <c:v>2.0539999999999954</c:v>
                </c:pt>
                <c:pt idx="1028">
                  <c:v>2.0559999999999952</c:v>
                </c:pt>
                <c:pt idx="1029">
                  <c:v>2.0579999999999949</c:v>
                </c:pt>
                <c:pt idx="1030">
                  <c:v>2.0599999999999947</c:v>
                </c:pt>
                <c:pt idx="1031">
                  <c:v>2.0619999999999945</c:v>
                </c:pt>
                <c:pt idx="1032">
                  <c:v>2.0639999999999943</c:v>
                </c:pt>
                <c:pt idx="1033">
                  <c:v>2.0659999999999941</c:v>
                </c:pt>
                <c:pt idx="1034">
                  <c:v>2.0679999999999938</c:v>
                </c:pt>
                <c:pt idx="1035">
                  <c:v>2.0699999999999936</c:v>
                </c:pt>
                <c:pt idx="1036">
                  <c:v>2.0719999999999934</c:v>
                </c:pt>
                <c:pt idx="1037">
                  <c:v>2.0739999999999932</c:v>
                </c:pt>
                <c:pt idx="1038">
                  <c:v>2.075999999999993</c:v>
                </c:pt>
                <c:pt idx="1039">
                  <c:v>2.0779999999999927</c:v>
                </c:pt>
                <c:pt idx="1040">
                  <c:v>2.0799999999999925</c:v>
                </c:pt>
                <c:pt idx="1041">
                  <c:v>2.0819999999999923</c:v>
                </c:pt>
                <c:pt idx="1042">
                  <c:v>2.0839999999999921</c:v>
                </c:pt>
                <c:pt idx="1043">
                  <c:v>2.0859999999999919</c:v>
                </c:pt>
                <c:pt idx="1044">
                  <c:v>2.0879999999999916</c:v>
                </c:pt>
                <c:pt idx="1045">
                  <c:v>2.0899999999999914</c:v>
                </c:pt>
                <c:pt idx="1046">
                  <c:v>2.0919999999999912</c:v>
                </c:pt>
                <c:pt idx="1047">
                  <c:v>2.093999999999991</c:v>
                </c:pt>
                <c:pt idx="1048">
                  <c:v>2.0959999999999908</c:v>
                </c:pt>
                <c:pt idx="1049">
                  <c:v>2.0979999999999905</c:v>
                </c:pt>
                <c:pt idx="1050">
                  <c:v>2.0999999999999903</c:v>
                </c:pt>
                <c:pt idx="1051">
                  <c:v>2.1019999999999901</c:v>
                </c:pt>
                <c:pt idx="1052">
                  <c:v>2.1039999999999899</c:v>
                </c:pt>
                <c:pt idx="1053">
                  <c:v>2.1059999999999897</c:v>
                </c:pt>
                <c:pt idx="1054">
                  <c:v>2.1079999999999894</c:v>
                </c:pt>
                <c:pt idx="1055">
                  <c:v>2.1099999999999892</c:v>
                </c:pt>
                <c:pt idx="1056">
                  <c:v>2.111999999999989</c:v>
                </c:pt>
                <c:pt idx="1057">
                  <c:v>2.1139999999999888</c:v>
                </c:pt>
                <c:pt idx="1058">
                  <c:v>2.1159999999999886</c:v>
                </c:pt>
                <c:pt idx="1059">
                  <c:v>2.1179999999999883</c:v>
                </c:pt>
                <c:pt idx="1060">
                  <c:v>2.1199999999999881</c:v>
                </c:pt>
                <c:pt idx="1061">
                  <c:v>2.1219999999999879</c:v>
                </c:pt>
                <c:pt idx="1062">
                  <c:v>2.1239999999999877</c:v>
                </c:pt>
                <c:pt idx="1063">
                  <c:v>2.1259999999999875</c:v>
                </c:pt>
                <c:pt idx="1064">
                  <c:v>2.1279999999999872</c:v>
                </c:pt>
                <c:pt idx="1065">
                  <c:v>2.129999999999987</c:v>
                </c:pt>
                <c:pt idx="1066">
                  <c:v>2.1319999999999868</c:v>
                </c:pt>
                <c:pt idx="1067">
                  <c:v>2.1339999999999866</c:v>
                </c:pt>
                <c:pt idx="1068">
                  <c:v>2.1359999999999864</c:v>
                </c:pt>
                <c:pt idx="1069">
                  <c:v>2.1379999999999861</c:v>
                </c:pt>
                <c:pt idx="1070">
                  <c:v>2.1399999999999859</c:v>
                </c:pt>
                <c:pt idx="1071">
                  <c:v>2.1419999999999857</c:v>
                </c:pt>
                <c:pt idx="1072">
                  <c:v>2.1439999999999855</c:v>
                </c:pt>
                <c:pt idx="1073">
                  <c:v>2.1459999999999853</c:v>
                </c:pt>
                <c:pt idx="1074">
                  <c:v>2.147999999999985</c:v>
                </c:pt>
                <c:pt idx="1075">
                  <c:v>2.1499999999999848</c:v>
                </c:pt>
                <c:pt idx="1076">
                  <c:v>2.1519999999999846</c:v>
                </c:pt>
                <c:pt idx="1077">
                  <c:v>2.1539999999999844</c:v>
                </c:pt>
                <c:pt idx="1078">
                  <c:v>2.1559999999999842</c:v>
                </c:pt>
                <c:pt idx="1079">
                  <c:v>2.1579999999999839</c:v>
                </c:pt>
                <c:pt idx="1080">
                  <c:v>2.1599999999999837</c:v>
                </c:pt>
                <c:pt idx="1081">
                  <c:v>2.1619999999999835</c:v>
                </c:pt>
                <c:pt idx="1082">
                  <c:v>2.1639999999999833</c:v>
                </c:pt>
                <c:pt idx="1083">
                  <c:v>2.1659999999999831</c:v>
                </c:pt>
                <c:pt idx="1084">
                  <c:v>2.1679999999999828</c:v>
                </c:pt>
                <c:pt idx="1085">
                  <c:v>2.1699999999999826</c:v>
                </c:pt>
                <c:pt idx="1086">
                  <c:v>2.1719999999999824</c:v>
                </c:pt>
                <c:pt idx="1087">
                  <c:v>2.1739999999999822</c:v>
                </c:pt>
                <c:pt idx="1088">
                  <c:v>2.1759999999999819</c:v>
                </c:pt>
                <c:pt idx="1089">
                  <c:v>2.1779999999999817</c:v>
                </c:pt>
                <c:pt idx="1090">
                  <c:v>2.1799999999999815</c:v>
                </c:pt>
                <c:pt idx="1091">
                  <c:v>2.1819999999999813</c:v>
                </c:pt>
                <c:pt idx="1092">
                  <c:v>2.1839999999999811</c:v>
                </c:pt>
                <c:pt idx="1093">
                  <c:v>2.1859999999999808</c:v>
                </c:pt>
                <c:pt idx="1094">
                  <c:v>2.1879999999999806</c:v>
                </c:pt>
                <c:pt idx="1095">
                  <c:v>2.1899999999999804</c:v>
                </c:pt>
                <c:pt idx="1096">
                  <c:v>2.1919999999999802</c:v>
                </c:pt>
                <c:pt idx="1097">
                  <c:v>2.19399999999998</c:v>
                </c:pt>
                <c:pt idx="1098">
                  <c:v>2.1959999999999797</c:v>
                </c:pt>
                <c:pt idx="1099">
                  <c:v>2.1979999999999795</c:v>
                </c:pt>
                <c:pt idx="1100">
                  <c:v>2.1999999999999793</c:v>
                </c:pt>
                <c:pt idx="1101">
                  <c:v>2.2019999999999791</c:v>
                </c:pt>
                <c:pt idx="1102">
                  <c:v>2.2039999999999789</c:v>
                </c:pt>
                <c:pt idx="1103">
                  <c:v>2.2059999999999786</c:v>
                </c:pt>
                <c:pt idx="1104">
                  <c:v>2.2079999999999784</c:v>
                </c:pt>
                <c:pt idx="1105">
                  <c:v>2.2099999999999782</c:v>
                </c:pt>
                <c:pt idx="1106">
                  <c:v>2.211999999999978</c:v>
                </c:pt>
                <c:pt idx="1107">
                  <c:v>2.2139999999999778</c:v>
                </c:pt>
                <c:pt idx="1108">
                  <c:v>2.2159999999999775</c:v>
                </c:pt>
                <c:pt idx="1109">
                  <c:v>2.2179999999999773</c:v>
                </c:pt>
                <c:pt idx="1110">
                  <c:v>2.2199999999999771</c:v>
                </c:pt>
                <c:pt idx="1111">
                  <c:v>2.2219999999999769</c:v>
                </c:pt>
                <c:pt idx="1112">
                  <c:v>2.2239999999999767</c:v>
                </c:pt>
                <c:pt idx="1113">
                  <c:v>2.2259999999999764</c:v>
                </c:pt>
                <c:pt idx="1114">
                  <c:v>2.2279999999999762</c:v>
                </c:pt>
                <c:pt idx="1115">
                  <c:v>2.229999999999976</c:v>
                </c:pt>
                <c:pt idx="1116">
                  <c:v>2.2319999999999758</c:v>
                </c:pt>
                <c:pt idx="1117">
                  <c:v>2.2339999999999756</c:v>
                </c:pt>
                <c:pt idx="1118">
                  <c:v>2.2359999999999753</c:v>
                </c:pt>
                <c:pt idx="1119">
                  <c:v>2.2379999999999751</c:v>
                </c:pt>
                <c:pt idx="1120">
                  <c:v>2.2399999999999749</c:v>
                </c:pt>
                <c:pt idx="1121">
                  <c:v>2.2419999999999747</c:v>
                </c:pt>
                <c:pt idx="1122">
                  <c:v>2.2439999999999745</c:v>
                </c:pt>
                <c:pt idx="1123">
                  <c:v>2.2459999999999742</c:v>
                </c:pt>
                <c:pt idx="1124">
                  <c:v>2.247999999999974</c:v>
                </c:pt>
                <c:pt idx="1125">
                  <c:v>2.2499999999999738</c:v>
                </c:pt>
                <c:pt idx="1126">
                  <c:v>2.2519999999999736</c:v>
                </c:pt>
                <c:pt idx="1127">
                  <c:v>2.2539999999999734</c:v>
                </c:pt>
                <c:pt idx="1128">
                  <c:v>2.2559999999999731</c:v>
                </c:pt>
                <c:pt idx="1129">
                  <c:v>2.2579999999999729</c:v>
                </c:pt>
                <c:pt idx="1130">
                  <c:v>2.2599999999999727</c:v>
                </c:pt>
                <c:pt idx="1131">
                  <c:v>2.2619999999999725</c:v>
                </c:pt>
                <c:pt idx="1132">
                  <c:v>2.2639999999999723</c:v>
                </c:pt>
                <c:pt idx="1133">
                  <c:v>2.265999999999972</c:v>
                </c:pt>
                <c:pt idx="1134">
                  <c:v>2.2679999999999718</c:v>
                </c:pt>
                <c:pt idx="1135">
                  <c:v>2.2699999999999716</c:v>
                </c:pt>
                <c:pt idx="1136">
                  <c:v>2.2719999999999714</c:v>
                </c:pt>
                <c:pt idx="1137">
                  <c:v>2.2739999999999712</c:v>
                </c:pt>
                <c:pt idx="1138">
                  <c:v>2.2759999999999709</c:v>
                </c:pt>
                <c:pt idx="1139">
                  <c:v>2.2779999999999707</c:v>
                </c:pt>
                <c:pt idx="1140">
                  <c:v>2.2799999999999705</c:v>
                </c:pt>
                <c:pt idx="1141">
                  <c:v>2.2819999999999703</c:v>
                </c:pt>
                <c:pt idx="1142">
                  <c:v>2.2839999999999701</c:v>
                </c:pt>
                <c:pt idx="1143">
                  <c:v>2.2859999999999698</c:v>
                </c:pt>
                <c:pt idx="1144">
                  <c:v>2.2879999999999696</c:v>
                </c:pt>
                <c:pt idx="1145">
                  <c:v>2.2899999999999694</c:v>
                </c:pt>
                <c:pt idx="1146">
                  <c:v>2.2919999999999692</c:v>
                </c:pt>
                <c:pt idx="1147">
                  <c:v>2.293999999999969</c:v>
                </c:pt>
                <c:pt idx="1148">
                  <c:v>2.2959999999999687</c:v>
                </c:pt>
                <c:pt idx="1149">
                  <c:v>2.2979999999999685</c:v>
                </c:pt>
                <c:pt idx="1150">
                  <c:v>2.2999999999999683</c:v>
                </c:pt>
                <c:pt idx="1151">
                  <c:v>2.3019999999999681</c:v>
                </c:pt>
                <c:pt idx="1152">
                  <c:v>2.3039999999999679</c:v>
                </c:pt>
                <c:pt idx="1153">
                  <c:v>2.3059999999999676</c:v>
                </c:pt>
                <c:pt idx="1154">
                  <c:v>2.3079999999999674</c:v>
                </c:pt>
                <c:pt idx="1155">
                  <c:v>2.3099999999999672</c:v>
                </c:pt>
                <c:pt idx="1156">
                  <c:v>2.311999999999967</c:v>
                </c:pt>
                <c:pt idx="1157">
                  <c:v>2.3139999999999668</c:v>
                </c:pt>
                <c:pt idx="1158">
                  <c:v>2.3159999999999665</c:v>
                </c:pt>
                <c:pt idx="1159">
                  <c:v>2.3179999999999663</c:v>
                </c:pt>
                <c:pt idx="1160">
                  <c:v>2.3199999999999661</c:v>
                </c:pt>
                <c:pt idx="1161">
                  <c:v>2.3219999999999659</c:v>
                </c:pt>
                <c:pt idx="1162">
                  <c:v>2.3239999999999656</c:v>
                </c:pt>
                <c:pt idx="1163">
                  <c:v>2.3259999999999654</c:v>
                </c:pt>
                <c:pt idx="1164">
                  <c:v>2.3279999999999652</c:v>
                </c:pt>
                <c:pt idx="1165">
                  <c:v>2.329999999999965</c:v>
                </c:pt>
                <c:pt idx="1166">
                  <c:v>2.3319999999999648</c:v>
                </c:pt>
                <c:pt idx="1167">
                  <c:v>2.3339999999999645</c:v>
                </c:pt>
                <c:pt idx="1168">
                  <c:v>2.3359999999999643</c:v>
                </c:pt>
                <c:pt idx="1169">
                  <c:v>2.3379999999999641</c:v>
                </c:pt>
                <c:pt idx="1170">
                  <c:v>2.3399999999999639</c:v>
                </c:pt>
                <c:pt idx="1171">
                  <c:v>2.3419999999999637</c:v>
                </c:pt>
                <c:pt idx="1172">
                  <c:v>2.3439999999999634</c:v>
                </c:pt>
                <c:pt idx="1173">
                  <c:v>2.3459999999999632</c:v>
                </c:pt>
                <c:pt idx="1174">
                  <c:v>2.347999999999963</c:v>
                </c:pt>
                <c:pt idx="1175">
                  <c:v>2.3499999999999628</c:v>
                </c:pt>
                <c:pt idx="1176">
                  <c:v>2.3519999999999626</c:v>
                </c:pt>
                <c:pt idx="1177">
                  <c:v>2.3539999999999623</c:v>
                </c:pt>
                <c:pt idx="1178">
                  <c:v>2.3559999999999621</c:v>
                </c:pt>
                <c:pt idx="1179">
                  <c:v>2.3579999999999619</c:v>
                </c:pt>
                <c:pt idx="1180">
                  <c:v>2.3599999999999617</c:v>
                </c:pt>
                <c:pt idx="1181">
                  <c:v>2.3619999999999615</c:v>
                </c:pt>
                <c:pt idx="1182">
                  <c:v>2.3639999999999612</c:v>
                </c:pt>
                <c:pt idx="1183">
                  <c:v>2.365999999999961</c:v>
                </c:pt>
                <c:pt idx="1184">
                  <c:v>2.3679999999999608</c:v>
                </c:pt>
                <c:pt idx="1185">
                  <c:v>2.3699999999999606</c:v>
                </c:pt>
                <c:pt idx="1186">
                  <c:v>2.3719999999999604</c:v>
                </c:pt>
                <c:pt idx="1187">
                  <c:v>2.3739999999999601</c:v>
                </c:pt>
                <c:pt idx="1188">
                  <c:v>2.3759999999999599</c:v>
                </c:pt>
                <c:pt idx="1189">
                  <c:v>2.3779999999999597</c:v>
                </c:pt>
                <c:pt idx="1190">
                  <c:v>2.3799999999999595</c:v>
                </c:pt>
                <c:pt idx="1191">
                  <c:v>2.3819999999999593</c:v>
                </c:pt>
                <c:pt idx="1192">
                  <c:v>2.383999999999959</c:v>
                </c:pt>
                <c:pt idx="1193">
                  <c:v>2.3859999999999588</c:v>
                </c:pt>
                <c:pt idx="1194">
                  <c:v>2.3879999999999586</c:v>
                </c:pt>
                <c:pt idx="1195">
                  <c:v>2.3899999999999584</c:v>
                </c:pt>
                <c:pt idx="1196">
                  <c:v>2.3919999999999582</c:v>
                </c:pt>
                <c:pt idx="1197">
                  <c:v>2.3939999999999579</c:v>
                </c:pt>
                <c:pt idx="1198">
                  <c:v>2.3959999999999577</c:v>
                </c:pt>
                <c:pt idx="1199">
                  <c:v>2.3979999999999575</c:v>
                </c:pt>
                <c:pt idx="1200">
                  <c:v>2.3999999999999573</c:v>
                </c:pt>
                <c:pt idx="1201">
                  <c:v>2.4019999999999571</c:v>
                </c:pt>
                <c:pt idx="1202">
                  <c:v>2.4039999999999568</c:v>
                </c:pt>
                <c:pt idx="1203">
                  <c:v>2.4059999999999566</c:v>
                </c:pt>
                <c:pt idx="1204">
                  <c:v>2.4079999999999564</c:v>
                </c:pt>
                <c:pt idx="1205">
                  <c:v>2.4099999999999562</c:v>
                </c:pt>
                <c:pt idx="1206">
                  <c:v>2.411999999999956</c:v>
                </c:pt>
                <c:pt idx="1207">
                  <c:v>2.4139999999999557</c:v>
                </c:pt>
                <c:pt idx="1208">
                  <c:v>2.4159999999999555</c:v>
                </c:pt>
                <c:pt idx="1209">
                  <c:v>2.4179999999999553</c:v>
                </c:pt>
                <c:pt idx="1210">
                  <c:v>2.4199999999999551</c:v>
                </c:pt>
                <c:pt idx="1211">
                  <c:v>2.4219999999999549</c:v>
                </c:pt>
                <c:pt idx="1212">
                  <c:v>2.4239999999999546</c:v>
                </c:pt>
                <c:pt idx="1213">
                  <c:v>2.4259999999999544</c:v>
                </c:pt>
                <c:pt idx="1214">
                  <c:v>2.4279999999999542</c:v>
                </c:pt>
                <c:pt idx="1215">
                  <c:v>2.429999999999954</c:v>
                </c:pt>
                <c:pt idx="1216">
                  <c:v>2.4319999999999538</c:v>
                </c:pt>
                <c:pt idx="1217">
                  <c:v>2.4339999999999535</c:v>
                </c:pt>
                <c:pt idx="1218">
                  <c:v>2.4359999999999533</c:v>
                </c:pt>
                <c:pt idx="1219">
                  <c:v>2.4379999999999531</c:v>
                </c:pt>
                <c:pt idx="1220">
                  <c:v>2.4399999999999529</c:v>
                </c:pt>
                <c:pt idx="1221">
                  <c:v>2.4419999999999527</c:v>
                </c:pt>
                <c:pt idx="1222">
                  <c:v>2.4439999999999524</c:v>
                </c:pt>
                <c:pt idx="1223">
                  <c:v>2.4459999999999522</c:v>
                </c:pt>
                <c:pt idx="1224">
                  <c:v>2.447999999999952</c:v>
                </c:pt>
                <c:pt idx="1225">
                  <c:v>2.4499999999999518</c:v>
                </c:pt>
                <c:pt idx="1226">
                  <c:v>2.4519999999999516</c:v>
                </c:pt>
                <c:pt idx="1227">
                  <c:v>2.4539999999999513</c:v>
                </c:pt>
                <c:pt idx="1228">
                  <c:v>2.4559999999999511</c:v>
                </c:pt>
                <c:pt idx="1229">
                  <c:v>2.4579999999999509</c:v>
                </c:pt>
                <c:pt idx="1230">
                  <c:v>2.4599999999999507</c:v>
                </c:pt>
                <c:pt idx="1231">
                  <c:v>2.4619999999999505</c:v>
                </c:pt>
                <c:pt idx="1232">
                  <c:v>2.4639999999999502</c:v>
                </c:pt>
                <c:pt idx="1233">
                  <c:v>2.46599999999995</c:v>
                </c:pt>
                <c:pt idx="1234">
                  <c:v>2.4679999999999498</c:v>
                </c:pt>
                <c:pt idx="1235">
                  <c:v>2.4699999999999496</c:v>
                </c:pt>
                <c:pt idx="1236">
                  <c:v>2.4719999999999493</c:v>
                </c:pt>
                <c:pt idx="1237">
                  <c:v>2.4739999999999491</c:v>
                </c:pt>
                <c:pt idx="1238">
                  <c:v>2.4759999999999489</c:v>
                </c:pt>
                <c:pt idx="1239">
                  <c:v>2.4779999999999487</c:v>
                </c:pt>
                <c:pt idx="1240">
                  <c:v>2.4799999999999485</c:v>
                </c:pt>
                <c:pt idx="1241">
                  <c:v>2.4819999999999482</c:v>
                </c:pt>
              </c:numCache>
            </c:numRef>
          </c:xVal>
          <c:yVal>
            <c:numRef>
              <c:f>Sheet8!$B$3:$B$1863</c:f>
              <c:numCache>
                <c:formatCode>General</c:formatCode>
                <c:ptCount val="1861"/>
                <c:pt idx="0">
                  <c:v>-4.4082997170925973</c:v>
                </c:pt>
                <c:pt idx="1">
                  <c:v>-4.8138691373888074</c:v>
                </c:pt>
                <c:pt idx="2">
                  <c:v>-5.0877578446778156</c:v>
                </c:pt>
                <c:pt idx="3">
                  <c:v>-5.2217570785035141</c:v>
                </c:pt>
                <c:pt idx="4">
                  <c:v>-5.2116400039255169</c:v>
                </c:pt>
                <c:pt idx="5">
                  <c:v>-5.0572831376399412</c:v>
                </c:pt>
                <c:pt idx="6">
                  <c:v>-4.7626712717496158</c:v>
                </c:pt>
                <c:pt idx="7">
                  <c:v>-4.3357857505363118</c:v>
                </c:pt>
                <c:pt idx="8">
                  <c:v>-3.788379266302536</c:v>
                </c:pt>
                <c:pt idx="9">
                  <c:v>-3.1356435612260367</c:v>
                </c:pt>
                <c:pt idx="10">
                  <c:v>-2.3957794617946662</c:v>
                </c:pt>
                <c:pt idx="11">
                  <c:v>-1.5894814444948757</c:v>
                </c:pt>
                <c:pt idx="12">
                  <c:v>-0.73935135733832524</c:v>
                </c:pt>
                <c:pt idx="13">
                  <c:v>0.13074206732228522</c:v>
                </c:pt>
                <c:pt idx="14">
                  <c:v>0.99633973448587754</c:v>
                </c:pt>
                <c:pt idx="15">
                  <c:v>1.8330855455383306</c:v>
                </c:pt>
                <c:pt idx="16">
                  <c:v>2.617416919321907</c:v>
                </c:pt>
                <c:pt idx="17">
                  <c:v>3.3272328801797681</c:v>
                </c:pt>
                <c:pt idx="18">
                  <c:v>3.9425207542813849</c:v>
                </c:pt>
                <c:pt idx="19">
                  <c:v>4.4459236899558228</c:v>
                </c:pt>
                <c:pt idx="20">
                  <c:v>4.8232328969067293</c:v>
                </c:pt>
                <c:pt idx="21">
                  <c:v>5.063790635401582</c:v>
                </c:pt>
                <c:pt idx="22">
                  <c:v>5.1607925191911717</c:v>
                </c:pt>
                <c:pt idx="23">
                  <c:v>5.1114805531458929</c:v>
                </c:pt>
                <c:pt idx="24">
                  <c:v>4.9172214273034784</c:v>
                </c:pt>
                <c:pt idx="25">
                  <c:v>4.583467845208836</c:v>
                </c:pt>
                <c:pt idx="26">
                  <c:v>4.1196039836785614</c:v>
                </c:pt>
                <c:pt idx="27">
                  <c:v>3.538679469238466</c:v>
                </c:pt>
                <c:pt idx="28">
                  <c:v>2.8570394201436731</c:v>
                </c:pt>
                <c:pt idx="29">
                  <c:v>2.0938610523114205</c:v>
                </c:pt>
                <c:pt idx="30">
                  <c:v>1.270609998970595</c:v>
                </c:pt>
                <c:pt idx="31">
                  <c:v>0.41043177210939902</c:v>
                </c:pt>
                <c:pt idx="32">
                  <c:v>-0.46250436577493592</c:v>
                </c:pt>
                <c:pt idx="33">
                  <c:v>-1.32369050078469</c:v>
                </c:pt>
                <c:pt idx="34">
                  <c:v>-2.1489746968219197</c:v>
                </c:pt>
                <c:pt idx="35">
                  <c:v>-2.9152454439224793</c:v>
                </c:pt>
                <c:pt idx="36">
                  <c:v>-3.6010865039766289</c:v>
                </c:pt>
                <c:pt idx="37">
                  <c:v>-4.1873835724935926</c:v>
                </c:pt>
                <c:pt idx="38">
                  <c:v>-4.6578655428128801</c:v>
                </c:pt>
                <c:pt idx="39">
                  <c:v>-4.9995650154334426</c:v>
                </c:pt>
                <c:pt idx="40">
                  <c:v>-5.2031849872392151</c:v>
                </c:pt>
                <c:pt idx="41">
                  <c:v>-5.2633613182938337</c:v>
                </c:pt>
                <c:pt idx="42">
                  <c:v>-5.1788135319822395</c:v>
                </c:pt>
                <c:pt idx="43">
                  <c:v>-4.9523796736385624</c:v>
                </c:pt>
                <c:pt idx="44">
                  <c:v>-4.5909342434682516</c:v>
                </c:pt>
                <c:pt idx="45">
                  <c:v>-4.1051915381554434</c:v>
                </c:pt>
                <c:pt idx="46">
                  <c:v>-3.5093999878594873</c:v>
                </c:pt>
                <c:pt idx="47">
                  <c:v>-2.8209361690434882</c:v>
                </c:pt>
                <c:pt idx="48">
                  <c:v>-2.059810020939612</c:v>
                </c:pt>
                <c:pt idx="49">
                  <c:v>-1.2480953136296158</c:v>
                </c:pt>
                <c:pt idx="50">
                  <c:v>-0.40930153718033624</c:v>
                </c:pt>
                <c:pt idx="51">
                  <c:v>0.43229495618705682</c:v>
                </c:pt>
                <c:pt idx="52">
                  <c:v>1.2523415684819237</c:v>
                </c:pt>
                <c:pt idx="53">
                  <c:v>2.0271022249644752</c:v>
                </c:pt>
                <c:pt idx="54">
                  <c:v>2.7341326288284407</c:v>
                </c:pt>
                <c:pt idx="55">
                  <c:v>3.3529188317028007</c:v>
                </c:pt>
                <c:pt idx="56">
                  <c:v>3.8654609913348019</c:v>
                </c:pt>
                <c:pt idx="57">
                  <c:v>4.2567857435467378</c:v>
                </c:pt>
                <c:pt idx="58">
                  <c:v>4.5153726416607487</c:v>
                </c:pt>
                <c:pt idx="59">
                  <c:v>4.6334825555566779</c:v>
                </c:pt>
                <c:pt idx="60">
                  <c:v>4.6073787051466581</c:v>
                </c:pt>
                <c:pt idx="61">
                  <c:v>4.4374340503437333</c:v>
                </c:pt>
                <c:pt idx="62">
                  <c:v>4.1281219850846025</c:v>
                </c:pt>
                <c:pt idx="63">
                  <c:v>3.6878905950962033</c:v>
                </c:pt>
                <c:pt idx="64">
                  <c:v>3.1289240438705073</c:v>
                </c:pt>
                <c:pt idx="65">
                  <c:v>2.4667978549387701</c:v>
                </c:pt>
                <c:pt idx="66">
                  <c:v>1.7200378700926469</c:v>
                </c:pt>
                <c:pt idx="67">
                  <c:v>0.90959539721449456</c:v>
                </c:pt>
                <c:pt idx="68">
                  <c:v>5.8253440257441058E-2</c:v>
                </c:pt>
                <c:pt idx="69">
                  <c:v>-0.81001913985722362</c:v>
                </c:pt>
                <c:pt idx="70">
                  <c:v>-1.6707472066033806</c:v>
                </c:pt>
                <c:pt idx="71">
                  <c:v>-2.4996433867186876</c:v>
                </c:pt>
                <c:pt idx="72">
                  <c:v>-3.2732968711994062</c:v>
                </c:pt>
                <c:pt idx="73">
                  <c:v>-3.9698374313829783</c:v>
                </c:pt>
                <c:pt idx="74">
                  <c:v>-4.5695558061759183</c:v>
                </c:pt>
                <c:pt idx="75">
                  <c:v>-5.055462854382724</c:v>
                </c:pt>
                <c:pt idx="76">
                  <c:v>-5.413771603660301</c:v>
                </c:pt>
                <c:pt idx="77">
                  <c:v>-5.6342885155491258</c:v>
                </c:pt>
                <c:pt idx="78">
                  <c:v>-5.7107028622234619</c:v>
                </c:pt>
                <c:pt idx="79">
                  <c:v>-5.6407660019443959</c:v>
                </c:pt>
                <c:pt idx="80">
                  <c:v>-5.4263554646344012</c:v>
                </c:pt>
                <c:pt idx="81">
                  <c:v>-5.0734220278471716</c:v>
                </c:pt>
                <c:pt idx="82">
                  <c:v>-4.5918212839101455</c:v>
                </c:pt>
                <c:pt idx="83">
                  <c:v>-3.9950344769317438</c:v>
                </c:pt>
                <c:pt idx="84">
                  <c:v>-3.299786530662129</c:v>
                </c:pt>
                <c:pt idx="85">
                  <c:v>-2.525572105695435</c:v>
                </c:pt>
                <c:pt idx="86">
                  <c:v>-1.6941031344024675</c:v>
                </c:pt>
                <c:pt idx="87">
                  <c:v>-0.82869351021643323</c:v>
                </c:pt>
                <c:pt idx="88">
                  <c:v>4.6401608778505854E-2</c:v>
                </c:pt>
                <c:pt idx="89">
                  <c:v>0.90667313419605255</c:v>
                </c:pt>
                <c:pt idx="90">
                  <c:v>1.7280525161297142</c:v>
                </c:pt>
                <c:pt idx="91">
                  <c:v>2.4875936406324484</c:v>
                </c:pt>
                <c:pt idx="92">
                  <c:v>3.1641228071794023</c:v>
                </c:pt>
                <c:pt idx="93">
                  <c:v>3.7388383435383075</c:v>
                </c:pt>
                <c:pt idx="94">
                  <c:v>4.195842845012419</c:v>
                </c:pt>
                <c:pt idx="95">
                  <c:v>4.5225929373892573</c:v>
                </c:pt>
                <c:pt idx="96">
                  <c:v>4.7102538038504447</c:v>
                </c:pt>
                <c:pt idx="97">
                  <c:v>4.7539484191349413</c:v>
                </c:pt>
                <c:pt idx="98">
                  <c:v>4.6528944226855682</c:v>
                </c:pt>
                <c:pt idx="99">
                  <c:v>4.4104247515314778</c:v>
                </c:pt>
                <c:pt idx="100">
                  <c:v>4.0338914527600318</c:v>
                </c:pt>
                <c:pt idx="101">
                  <c:v>3.5344554109786066</c:v>
                </c:pt>
                <c:pt idx="102">
                  <c:v>2.9267679640617743</c:v>
                </c:pt>
                <c:pt idx="103">
                  <c:v>2.2285534488278933</c:v>
                </c:pt>
                <c:pt idx="104">
                  <c:v>1.4601045300087747</c:v>
                </c:pt>
                <c:pt idx="105">
                  <c:v>0.6437046411677283</c:v>
                </c:pt>
                <c:pt idx="106">
                  <c:v>-0.19700606516587368</c:v>
                </c:pt>
                <c:pt idx="107">
                  <c:v>-1.0377032576523646</c:v>
                </c:pt>
                <c:pt idx="108">
                  <c:v>-1.8540703637582403</c:v>
                </c:pt>
                <c:pt idx="109">
                  <c:v>-2.6224902615569823</c:v>
                </c:pt>
                <c:pt idx="110">
                  <c:v>-3.3207170895029394</c:v>
                </c:pt>
                <c:pt idx="111">
                  <c:v>-3.9285091023428196</c:v>
                </c:pt>
                <c:pt idx="112">
                  <c:v>-4.4282046069984018</c:v>
                </c:pt>
                <c:pt idx="113">
                  <c:v>-4.8052246278354929</c:v>
                </c:pt>
                <c:pt idx="114">
                  <c:v>-5.0484880303771567</c:v>
                </c:pt>
                <c:pt idx="115">
                  <c:v>-5.1507273171993662</c:v>
                </c:pt>
                <c:pt idx="116">
                  <c:v>-5.1086961289484654</c:v>
                </c:pt>
                <c:pt idx="117">
                  <c:v>-4.923262557128937</c:v>
                </c:pt>
                <c:pt idx="118">
                  <c:v>-4.5993856162922677</c:v>
                </c:pt>
                <c:pt idx="119">
                  <c:v>-4.1459755395306175</c:v>
                </c:pt>
                <c:pt idx="120">
                  <c:v>-3.5756418586229248</c:v>
                </c:pt>
                <c:pt idx="121">
                  <c:v>-2.9043364152111675</c:v>
                </c:pt>
                <c:pt idx="122">
                  <c:v>-2.1509014316056914</c:v>
                </c:pt>
                <c:pt idx="123">
                  <c:v>-1.3365354645922687</c:v>
                </c:pt>
                <c:pt idx="124">
                  <c:v>-0.48419239645863166</c:v>
                </c:pt>
                <c:pt idx="125">
                  <c:v>0.38206948177748884</c:v>
                </c:pt>
                <c:pt idx="126">
                  <c:v>1.2377698232199428</c:v>
                </c:pt>
                <c:pt idx="127">
                  <c:v>2.0587006498055977</c:v>
                </c:pt>
                <c:pt idx="128">
                  <c:v>2.8216131417235273</c:v>
                </c:pt>
                <c:pt idx="129">
                  <c:v>3.5048773007575917</c:v>
                </c:pt>
                <c:pt idx="130">
                  <c:v>4.0890957662985663</c:v>
                </c:pt>
                <c:pt idx="131">
                  <c:v>4.5576543636250122</c:v>
                </c:pt>
                <c:pt idx="132">
                  <c:v>4.897193759310122</c:v>
                </c:pt>
                <c:pt idx="133">
                  <c:v>5.0979888373248015</c:v>
                </c:pt>
                <c:pt idx="134">
                  <c:v>5.1542250280400959</c:v>
                </c:pt>
                <c:pt idx="135">
                  <c:v>5.0641637465665097</c:v>
                </c:pt>
                <c:pt idx="136">
                  <c:v>4.8301922437132436</c:v>
                </c:pt>
                <c:pt idx="137">
                  <c:v>4.4587564529972639</c:v>
                </c:pt>
                <c:pt idx="138">
                  <c:v>3.9601787374887776</c:v>
                </c:pt>
                <c:pt idx="139">
                  <c:v>3.3483657066123511</c:v>
                </c:pt>
                <c:pt idx="140">
                  <c:v>2.6404143926314467</c:v>
                </c:pt>
                <c:pt idx="141">
                  <c:v>1.8561279608926085</c:v>
                </c:pt>
                <c:pt idx="142">
                  <c:v>1.0174546951344852</c:v>
                </c:pt>
                <c:pt idx="143">
                  <c:v>0.14786617641733213</c:v>
                </c:pt>
                <c:pt idx="144">
                  <c:v>-0.72830770029071779</c:v>
                </c:pt>
                <c:pt idx="145">
                  <c:v>-1.5865680030932399</c:v>
                </c:pt>
                <c:pt idx="146">
                  <c:v>-2.4029407756903525</c:v>
                </c:pt>
                <c:pt idx="147">
                  <c:v>-3.1546560932433052</c:v>
                </c:pt>
                <c:pt idx="148">
                  <c:v>-3.8207928940544278</c:v>
                </c:pt>
                <c:pt idx="149">
                  <c:v>-4.3828712910314618</c:v>
                </c:pt>
                <c:pt idx="150">
                  <c:v>-4.8253755576388997</c:v>
                </c:pt>
                <c:pt idx="151">
                  <c:v>-5.1361929507033368</c:v>
                </c:pt>
                <c:pt idx="152">
                  <c:v>-5.3069559211915278</c:v>
                </c:pt>
                <c:pt idx="153">
                  <c:v>-5.3332780061222067</c:v>
                </c:pt>
                <c:pt idx="154">
                  <c:v>-5.2148767122853394</c:v>
                </c:pt>
                <c:pt idx="155">
                  <c:v>-4.9555799097844142</c:v>
                </c:pt>
                <c:pt idx="156">
                  <c:v>-4.5632155595619803</c:v>
                </c:pt>
                <c:pt idx="157">
                  <c:v>-4.0493879101841035</c:v>
                </c:pt>
                <c:pt idx="158">
                  <c:v>-3.4291465212738168</c:v>
                </c:pt>
                <c:pt idx="159">
                  <c:v>-2.7205575126501387</c:v>
                </c:pt>
                <c:pt idx="160">
                  <c:v>-1.9441892131232819</c:v>
                </c:pt>
                <c:pt idx="161">
                  <c:v>-1.1225268122640921</c:v>
                </c:pt>
                <c:pt idx="162">
                  <c:v>-0.2793326333595289</c:v>
                </c:pt>
                <c:pt idx="163">
                  <c:v>0.56102981099821603</c:v>
                </c:pt>
                <c:pt idx="164">
                  <c:v>1.3742887914615924</c:v>
                </c:pt>
                <c:pt idx="165">
                  <c:v>2.1369546902342158</c:v>
                </c:pt>
                <c:pt idx="166">
                  <c:v>2.8269880879337634</c:v>
                </c:pt>
                <c:pt idx="167">
                  <c:v>3.4244266431951518</c:v>
                </c:pt>
                <c:pt idx="168">
                  <c:v>3.9119529688658972</c:v>
                </c:pt>
                <c:pt idx="169">
                  <c:v>4.2753873833985789</c:v>
                </c:pt>
                <c:pt idx="170">
                  <c:v>4.5040915483537871</c:v>
                </c:pt>
                <c:pt idx="171">
                  <c:v>4.5912715322721764</c:v>
                </c:pt>
                <c:pt idx="172">
                  <c:v>4.534171695771108</c:v>
                </c:pt>
                <c:pt idx="173">
                  <c:v>4.3341538915529929</c:v>
                </c:pt>
                <c:pt idx="174">
                  <c:v>3.9966597281306857</c:v>
                </c:pt>
                <c:pt idx="175">
                  <c:v>3.5310569650961092</c:v>
                </c:pt>
                <c:pt idx="176">
                  <c:v>2.9503743964843077</c:v>
                </c:pt>
                <c:pt idx="177">
                  <c:v>2.270932743878431</c:v>
                </c:pt>
                <c:pt idx="178">
                  <c:v>1.5118820325328364</c:v>
                </c:pt>
                <c:pt idx="179">
                  <c:v>0.69465857819068233</c:v>
                </c:pt>
                <c:pt idx="180">
                  <c:v>-0.1576230058960652</c:v>
                </c:pt>
                <c:pt idx="181">
                  <c:v>-1.0208255277337506</c:v>
                </c:pt>
                <c:pt idx="182">
                  <c:v>-1.8704740523070278</c:v>
                </c:pt>
                <c:pt idx="183">
                  <c:v>-2.6824504187240747</c:v>
                </c:pt>
                <c:pt idx="184">
                  <c:v>-3.4336777281611308</c:v>
                </c:pt>
                <c:pt idx="185">
                  <c:v>-4.1027753762838488</c:v>
                </c:pt>
                <c:pt idx="186">
                  <c:v>-4.6706660394626169</c:v>
                </c:pt>
                <c:pt idx="187">
                  <c:v>-5.1211173873584332</c:v>
                </c:pt>
                <c:pt idx="188">
                  <c:v>-5.4412031466463837</c:v>
                </c:pt>
                <c:pt idx="189">
                  <c:v>-5.6216704291997122</c:v>
                </c:pt>
                <c:pt idx="190">
                  <c:v>-5.6572028980286619</c:v>
                </c:pt>
                <c:pt idx="191">
                  <c:v>-5.5465723001638167</c:v>
                </c:pt>
                <c:pt idx="192">
                  <c:v>-5.2926740636037612</c:v>
                </c:pt>
                <c:pt idx="193">
                  <c:v>-4.9024459455040201</c:v>
                </c:pt>
                <c:pt idx="194">
                  <c:v>-4.3866720375952495</c:v>
                </c:pt>
                <c:pt idx="195">
                  <c:v>-3.7596776881930367</c:v>
                </c:pt>
                <c:pt idx="196">
                  <c:v>-3.0389239957684193</c:v>
                </c:pt>
                <c:pt idx="197">
                  <c:v>-2.2445133790301997</c:v>
                </c:pt>
                <c:pt idx="198">
                  <c:v>-1.3986202519463495</c:v>
                </c:pt>
                <c:pt idx="199">
                  <c:v>-0.52486295748051526</c:v>
                </c:pt>
                <c:pt idx="200">
                  <c:v>0.35236521927176745</c:v>
                </c:pt>
                <c:pt idx="201">
                  <c:v>1.2085869767087161</c:v>
                </c:pt>
                <c:pt idx="202">
                  <c:v>2.0199342568179781</c:v>
                </c:pt>
                <c:pt idx="203">
                  <c:v>2.7638241693713921</c:v>
                </c:pt>
                <c:pt idx="204">
                  <c:v>3.4195984020088077</c:v>
                </c:pt>
                <c:pt idx="205">
                  <c:v>3.9691079744424123</c:v>
                </c:pt>
                <c:pt idx="206">
                  <c:v>4.3972267463107988</c:v>
                </c:pt>
                <c:pt idx="207">
                  <c:v>4.6922791103466706</c:v>
                </c:pt>
                <c:pt idx="208">
                  <c:v>4.8463697380961657</c:v>
                </c:pt>
                <c:pt idx="209">
                  <c:v>4.8556060253232518</c:v>
                </c:pt>
                <c:pt idx="210">
                  <c:v>4.7202069295494624</c:v>
                </c:pt>
                <c:pt idx="211">
                  <c:v>4.4444951164907129</c:v>
                </c:pt>
                <c:pt idx="212">
                  <c:v>4.0367726439495462</c:v>
                </c:pt>
                <c:pt idx="213">
                  <c:v>3.5090837170118543</c:v>
                </c:pt>
                <c:pt idx="214">
                  <c:v>2.8768712533737317</c:v>
                </c:pt>
                <c:pt idx="215">
                  <c:v>2.1585370113294209</c:v>
                </c:pt>
                <c:pt idx="216">
                  <c:v>1.374917769850039</c:v>
                </c:pt>
                <c:pt idx="217">
                  <c:v>0.54869243260492329</c:v>
                </c:pt>
                <c:pt idx="218">
                  <c:v>-0.29626311189810139</c:v>
                </c:pt>
                <c:pt idx="219">
                  <c:v>-1.135555059278593</c:v>
                </c:pt>
                <c:pt idx="220">
                  <c:v>-1.9449654097925011</c:v>
                </c:pt>
                <c:pt idx="221">
                  <c:v>-2.701140647159721</c:v>
                </c:pt>
                <c:pt idx="222">
                  <c:v>-3.3822558257554274</c:v>
                </c:pt>
                <c:pt idx="223">
                  <c:v>-3.968635214336302</c:v>
                </c:pt>
                <c:pt idx="224">
                  <c:v>-4.4433118776482026</c:v>
                </c:pt>
                <c:pt idx="225">
                  <c:v>-4.7925103104824922</c:v>
                </c:pt>
                <c:pt idx="226">
                  <c:v>-5.0060384228244441</c:v>
                </c:pt>
                <c:pt idx="227">
                  <c:v>-5.0775777476841935</c:v>
                </c:pt>
                <c:pt idx="228">
                  <c:v>-5.004863631991511</c:v>
                </c:pt>
                <c:pt idx="229">
                  <c:v>-4.7897502935868026</c:v>
                </c:pt>
                <c:pt idx="230">
                  <c:v>-4.4381588952250457</c:v>
                </c:pt>
                <c:pt idx="231">
                  <c:v>-3.9599101068818752</c:v>
                </c:pt>
                <c:pt idx="232">
                  <c:v>-3.3684459062758871</c:v>
                </c:pt>
                <c:pt idx="233">
                  <c:v>-2.6804485113457082</c:v>
                </c:pt>
                <c:pt idx="234">
                  <c:v>-1.9153672582219441</c:v>
                </c:pt>
                <c:pt idx="235">
                  <c:v>-1.094866851141</c:v>
                </c:pt>
                <c:pt idx="236">
                  <c:v>-0.24221264260784101</c:v>
                </c:pt>
                <c:pt idx="237">
                  <c:v>0.61838961042174667</c:v>
                </c:pt>
                <c:pt idx="238">
                  <c:v>1.4624807762252785</c:v>
                </c:pt>
                <c:pt idx="239">
                  <c:v>2.2660426652134897</c:v>
                </c:pt>
                <c:pt idx="240">
                  <c:v>3.006179928243474</c:v>
                </c:pt>
                <c:pt idx="241">
                  <c:v>3.6617701826627611</c:v>
                </c:pt>
                <c:pt idx="242">
                  <c:v>4.2140639137974887</c:v>
                </c:pt>
                <c:pt idx="243">
                  <c:v>4.6472171246878613</c:v>
                </c:pt>
                <c:pt idx="244">
                  <c:v>4.9487416152179176</c:v>
                </c:pt>
                <c:pt idx="245">
                  <c:v>5.1098601092193103</c:v>
                </c:pt>
                <c:pt idx="246">
                  <c:v>5.1257561483191383</c:v>
                </c:pt>
                <c:pt idx="247">
                  <c:v>4.9957116576120475</c:v>
                </c:pt>
                <c:pt idx="248">
                  <c:v>4.7231282759177882</c:v>
                </c:pt>
                <c:pt idx="249">
                  <c:v>4.3154318419666469</c:v>
                </c:pt>
                <c:pt idx="250">
                  <c:v>3.783862743722104</c:v>
                </c:pt>
                <c:pt idx="251">
                  <c:v>3.1431580770968637</c:v>
                </c:pt>
                <c:pt idx="252">
                  <c:v>2.4111346306179096</c:v>
                </c:pt>
                <c:pt idx="253">
                  <c:v>1.6081845270131085</c:v>
                </c:pt>
                <c:pt idx="254">
                  <c:v>0.75669783134945268</c:v>
                </c:pt>
                <c:pt idx="255">
                  <c:v>-0.11957149209115939</c:v>
                </c:pt>
                <c:pt idx="256">
                  <c:v>-0.99617828438399836</c:v>
                </c:pt>
                <c:pt idx="257">
                  <c:v>-1.8486784710834643</c:v>
                </c:pt>
                <c:pt idx="258">
                  <c:v>-2.6533212736026961</c:v>
                </c:pt>
                <c:pt idx="259">
                  <c:v>-3.387721712606715</c:v>
                </c:pt>
                <c:pt idx="260">
                  <c:v>-4.0314943226159121</c:v>
                </c:pt>
                <c:pt idx="261">
                  <c:v>-4.566830097963698</c:v>
                </c:pt>
                <c:pt idx="262">
                  <c:v>-4.9790003014677255</c:v>
                </c:pt>
                <c:pt idx="263">
                  <c:v>-5.2567728429223912</c:v>
                </c:pt>
                <c:pt idx="264">
                  <c:v>-5.3927294158967092</c:v>
                </c:pt>
                <c:pt idx="265">
                  <c:v>-5.383474397896614</c:v>
                </c:pt>
                <c:pt idx="266">
                  <c:v>-5.2297295907919867</c:v>
                </c:pt>
                <c:pt idx="267">
                  <c:v>-4.9363121183316414</c:v>
                </c:pt>
                <c:pt idx="268">
                  <c:v>-4.5119961136246145</c:v>
                </c:pt>
                <c:pt idx="269">
                  <c:v>-3.9692621275394604</c:v>
                </c:pt>
                <c:pt idx="270">
                  <c:v>-3.3239413754649392</c:v>
                </c:pt>
                <c:pt idx="271">
                  <c:v>-2.5947649243476016</c:v>
                </c:pt>
                <c:pt idx="272">
                  <c:v>-1.8028306196769983</c:v>
                </c:pt>
                <c:pt idx="273">
                  <c:v>-0.97100288655800615</c:v>
                </c:pt>
                <c:pt idx="274">
                  <c:v>-0.12326244394491109</c:v>
                </c:pt>
                <c:pt idx="275">
                  <c:v>0.71597560755712419</c:v>
                </c:pt>
                <c:pt idx="276">
                  <c:v>1.5225559665206463</c:v>
                </c:pt>
                <c:pt idx="277">
                  <c:v>2.2732698743658371</c:v>
                </c:pt>
                <c:pt idx="278">
                  <c:v>2.9465149273743645</c:v>
                </c:pt>
                <c:pt idx="279">
                  <c:v>3.5229092271299134</c:v>
                </c:pt>
                <c:pt idx="280">
                  <c:v>3.9858424356283564</c:v>
                </c:pt>
                <c:pt idx="281">
                  <c:v>4.3219480922618896</c:v>
                </c:pt>
                <c:pt idx="282">
                  <c:v>4.5214837848068212</c:v>
                </c:pt>
                <c:pt idx="283">
                  <c:v>4.5786083820100352</c:v>
                </c:pt>
                <c:pt idx="284">
                  <c:v>4.4915484571403086</c:v>
                </c:pt>
                <c:pt idx="285">
                  <c:v>4.262649177026189</c:v>
                </c:pt>
                <c:pt idx="286">
                  <c:v>3.8983082103786013</c:v>
                </c:pt>
                <c:pt idx="287">
                  <c:v>3.4087945295238891</c:v>
                </c:pt>
                <c:pt idx="288">
                  <c:v>2.8079572468162626</c:v>
                </c:pt>
                <c:pt idx="289">
                  <c:v>2.1128327482341227</c:v>
                </c:pt>
                <c:pt idx="290">
                  <c:v>1.3431612734047771</c:v>
                </c:pt>
                <c:pt idx="291">
                  <c:v>0.52082666162196845</c:v>
                </c:pt>
                <c:pt idx="292">
                  <c:v>-0.33076483563429881</c:v>
                </c:pt>
                <c:pt idx="293">
                  <c:v>-1.1873490454873739</c:v>
                </c:pt>
                <c:pt idx="294">
                  <c:v>-2.0244928082607831</c:v>
                </c:pt>
                <c:pt idx="295">
                  <c:v>-2.8182878023126783</c:v>
                </c:pt>
                <c:pt idx="296">
                  <c:v>-3.5460295664256605</c:v>
                </c:pt>
                <c:pt idx="297">
                  <c:v>-4.1868624468521318</c:v>
                </c:pt>
                <c:pt idx="298">
                  <c:v>-4.722372162888905</c:v>
                </c:pt>
                <c:pt idx="299">
                  <c:v>-5.1371091711745303</c:v>
                </c:pt>
                <c:pt idx="300">
                  <c:v>-5.419027972593736</c:v>
                </c:pt>
                <c:pt idx="301">
                  <c:v>-5.5598298910007857</c:v>
                </c:pt>
                <c:pt idx="302">
                  <c:v>-5.5551995922422623</c:v>
                </c:pt>
                <c:pt idx="303">
                  <c:v>-5.4049286274293031</c:v>
                </c:pt>
                <c:pt idx="304">
                  <c:v>-5.1129224904965715</c:v>
                </c:pt>
                <c:pt idx="305">
                  <c:v>-4.6870909858018202</c:v>
                </c:pt>
                <c:pt idx="306">
                  <c:v>-4.1391250130466295</c:v>
                </c:pt>
                <c:pt idx="307">
                  <c:v>-3.4841661001522715</c:v>
                </c:pt>
                <c:pt idx="308">
                  <c:v>-2.7403780584258892</c:v>
                </c:pt>
                <c:pt idx="309">
                  <c:v>-1.9284329120156798</c:v>
                </c:pt>
                <c:pt idx="310">
                  <c:v>-1.070925686452737</c:v>
                </c:pt>
                <c:pt idx="311">
                  <c:v>-0.19173465996111491</c:v>
                </c:pt>
                <c:pt idx="312">
                  <c:v>0.68465477110331752</c:v>
                </c:pt>
                <c:pt idx="313">
                  <c:v>1.5338434287825158</c:v>
                </c:pt>
                <c:pt idx="314">
                  <c:v>2.3322092200019022</c:v>
                </c:pt>
                <c:pt idx="315">
                  <c:v>3.0575759311834547</c:v>
                </c:pt>
                <c:pt idx="316">
                  <c:v>3.6898409756346853</c:v>
                </c:pt>
                <c:pt idx="317">
                  <c:v>4.2115442833592036</c:v>
                </c:pt>
                <c:pt idx="318">
                  <c:v>4.6083621933835817</c:v>
                </c:pt>
                <c:pt idx="319">
                  <c:v>4.869512337188203</c:v>
                </c:pt>
                <c:pt idx="320">
                  <c:v>4.9880580279607383</c:v>
                </c:pt>
                <c:pt idx="321">
                  <c:v>4.961103522461924</c:v>
                </c:pt>
                <c:pt idx="322">
                  <c:v>4.7898746193645989</c:v>
                </c:pt>
                <c:pt idx="323">
                  <c:v>4.4796823120981069</c:v>
                </c:pt>
                <c:pt idx="324">
                  <c:v>4.0397705331469567</c:v>
                </c:pt>
                <c:pt idx="325">
                  <c:v>3.4830523162216527</c:v>
                </c:pt>
                <c:pt idx="326">
                  <c:v>2.8257418693819756</c:v>
                </c:pt>
                <c:pt idx="327">
                  <c:v>2.0868930061794022</c:v>
                </c:pt>
                <c:pt idx="328">
                  <c:v>1.2878570393556454</c:v>
                </c:pt>
                <c:pt idx="329">
                  <c:v>0.45167552717305492</c:v>
                </c:pt>
                <c:pt idx="330">
                  <c:v>-0.39757488881131742</c:v>
                </c:pt>
                <c:pt idx="331">
                  <c:v>-1.235466956243876</c:v>
                </c:pt>
                <c:pt idx="332">
                  <c:v>-2.0379171648408683</c:v>
                </c:pt>
                <c:pt idx="333">
                  <c:v>-2.7818702695487878</c:v>
                </c:pt>
                <c:pt idx="334">
                  <c:v>-3.4459545531546061</c:v>
                </c:pt>
                <c:pt idx="335">
                  <c:v>-4.0110892282104595</c:v>
                </c:pt>
                <c:pt idx="336">
                  <c:v>-4.4610267367410241</c:v>
                </c:pt>
                <c:pt idx="337">
                  <c:v>-4.7828145541486258</c:v>
                </c:pt>
                <c:pt idx="338">
                  <c:v>-4.967163388566469</c:v>
                </c:pt>
                <c:pt idx="339">
                  <c:v>-5.0087113237942766</c:v>
                </c:pt>
                <c:pt idx="340">
                  <c:v>-4.9061764074718957</c:v>
                </c:pt>
                <c:pt idx="341">
                  <c:v>-4.6623933524847976</c:v>
                </c:pt>
                <c:pt idx="342">
                  <c:v>-4.2842333088836648</c:v>
                </c:pt>
                <c:pt idx="343">
                  <c:v>-3.7824089824857929</c:v>
                </c:pt>
                <c:pt idx="344">
                  <c:v>-3.171170630615149</c:v>
                </c:pt>
                <c:pt idx="345">
                  <c:v>-2.4679015627683865</c:v>
                </c:pt>
                <c:pt idx="346">
                  <c:v>-1.6926246264630198</c:v>
                </c:pt>
                <c:pt idx="347">
                  <c:v>-0.86743368517020392</c:v>
                </c:pt>
                <c:pt idx="348">
                  <c:v>-1.5866224354146322E-2</c:v>
                </c:pt>
                <c:pt idx="349">
                  <c:v>0.83776510719954733</c:v>
                </c:pt>
                <c:pt idx="350">
                  <c:v>1.669063047810218</c:v>
                </c:pt>
                <c:pt idx="351">
                  <c:v>2.4542387648250146</c:v>
                </c:pt>
                <c:pt idx="352">
                  <c:v>3.1707877167597913</c:v>
                </c:pt>
                <c:pt idx="353">
                  <c:v>3.7981291516499165</c:v>
                </c:pt>
                <c:pt idx="354">
                  <c:v>4.3181910893444142</c:v>
                </c:pt>
                <c:pt idx="355">
                  <c:v>4.7159241824003066</c:v>
                </c:pt>
                <c:pt idx="356">
                  <c:v>4.9797298684454416</c:v>
                </c:pt>
                <c:pt idx="357">
                  <c:v>5.1017906590927264</c:v>
                </c:pt>
                <c:pt idx="358">
                  <c:v>5.078293187685202</c:v>
                </c:pt>
                <c:pt idx="359">
                  <c:v>4.9095376815067171</c:v>
                </c:pt>
                <c:pt idx="360">
                  <c:v>4.5999307472383766</c:v>
                </c:pt>
                <c:pt idx="361">
                  <c:v>4.1578616698996029</c:v>
                </c:pt>
                <c:pt idx="362">
                  <c:v>3.5954657313039449</c:v>
                </c:pt>
                <c:pt idx="363">
                  <c:v>2.9282812603638355</c:v>
                </c:pt>
                <c:pt idx="364">
                  <c:v>2.1748101433972153</c:v>
                </c:pt>
                <c:pt idx="365">
                  <c:v>1.3559942623317756</c:v>
                </c:pt>
                <c:pt idx="366">
                  <c:v>0.49462271461551011</c:v>
                </c:pt>
                <c:pt idx="367">
                  <c:v>-0.38531336699275348</c:v>
                </c:pt>
                <c:pt idx="368">
                  <c:v>-1.2593000895056712</c:v>
                </c:pt>
                <c:pt idx="369">
                  <c:v>-2.1029948968452072</c:v>
                </c:pt>
                <c:pt idx="370">
                  <c:v>-2.8929157956035603</c:v>
                </c:pt>
                <c:pt idx="371">
                  <c:v>-3.60710615428082</c:v>
                </c:pt>
                <c:pt idx="372">
                  <c:v>-4.2257562141064975</c:v>
                </c:pt>
                <c:pt idx="373">
                  <c:v>-4.7317636781066277</c:v>
                </c:pt>
                <c:pt idx="374">
                  <c:v>-5.1112174740579999</c:v>
                </c:pt>
                <c:pt idx="375">
                  <c:v>-5.3537909673142066</c:v>
                </c:pt>
                <c:pt idx="376">
                  <c:v>-5.4530334693078588</c:v>
                </c:pt>
                <c:pt idx="377">
                  <c:v>-5.4065517739020139</c:v>
                </c:pt>
                <c:pt idx="378">
                  <c:v>-5.21607657475964</c:v>
                </c:pt>
                <c:pt idx="379">
                  <c:v>-4.8874118839499747</c:v>
                </c:pt>
                <c:pt idx="380">
                  <c:v>-4.4302688923918883</c:v>
                </c:pt>
                <c:pt idx="381">
                  <c:v>-3.857988992212761</c:v>
                </c:pt>
                <c:pt idx="382">
                  <c:v>-3.1871638266033093</c:v>
                </c:pt>
                <c:pt idx="383">
                  <c:v>-2.4371631550020925</c:v>
                </c:pt>
                <c:pt idx="384">
                  <c:v>-1.6295839375139121</c:v>
                </c:pt>
                <c:pt idx="385">
                  <c:v>-0.78763627810741421</c:v>
                </c:pt>
                <c:pt idx="386">
                  <c:v>6.4516342098702717E-2</c:v>
                </c:pt>
                <c:pt idx="387">
                  <c:v>0.90244381311772259</c:v>
                </c:pt>
                <c:pt idx="388">
                  <c:v>1.7021436321036876</c:v>
                </c:pt>
                <c:pt idx="389">
                  <c:v>2.4407229210137391</c:v>
                </c:pt>
                <c:pt idx="390">
                  <c:v>3.0970488669011189</c:v>
                </c:pt>
                <c:pt idx="391">
                  <c:v>3.652349122305464</c:v>
                </c:pt>
                <c:pt idx="392">
                  <c:v>4.090745123682491</c:v>
                </c:pt>
                <c:pt idx="393">
                  <c:v>4.3997031899702161</c:v>
                </c:pt>
                <c:pt idx="394">
                  <c:v>4.5703905971738648</c:v>
                </c:pt>
                <c:pt idx="395">
                  <c:v>4.5979265220362491</c:v>
                </c:pt>
                <c:pt idx="396">
                  <c:v>4.4815207318897681</c:v>
                </c:pt>
                <c:pt idx="397">
                  <c:v>4.2244960839749641</c:v>
                </c:pt>
                <c:pt idx="398">
                  <c:v>3.8341941954275178</c:v>
                </c:pt>
                <c:pt idx="399">
                  <c:v>3.3217669611831862</c:v>
                </c:pt>
                <c:pt idx="400">
                  <c:v>2.701859837114803</c:v>
                </c:pt>
                <c:pt idx="401">
                  <c:v>1.9921958778413504</c:v>
                </c:pt>
                <c:pt idx="402">
                  <c:v>1.2130723356421651</c:v>
                </c:pt>
                <c:pt idx="403">
                  <c:v>0.38678410882528091</c:v>
                </c:pt>
                <c:pt idx="404">
                  <c:v>-0.46300959570825545</c:v>
                </c:pt>
                <c:pt idx="405">
                  <c:v>-1.311957409017372</c:v>
                </c:pt>
                <c:pt idx="406">
                  <c:v>-2.1357076773643797</c:v>
                </c:pt>
                <c:pt idx="407">
                  <c:v>-2.910600431446646</c:v>
                </c:pt>
                <c:pt idx="408">
                  <c:v>-3.6143398060154825</c:v>
                </c:pt>
                <c:pt idx="409">
                  <c:v>-4.2266278228338265</c:v>
                </c:pt>
                <c:pt idx="410">
                  <c:v>-4.7297415461986727</c:v>
                </c:pt>
                <c:pt idx="411">
                  <c:v>-5.1090372271291962</c:v>
                </c:pt>
                <c:pt idx="412">
                  <c:v>-5.3533671242021752</c:v>
                </c:pt>
                <c:pt idx="413">
                  <c:v>-5.4553971670950858</c:v>
                </c:pt>
                <c:pt idx="414">
                  <c:v>-5.4118164428501263</c:v>
                </c:pt>
                <c:pt idx="415">
                  <c:v>-5.2234325548328462</c:v>
                </c:pt>
                <c:pt idx="416">
                  <c:v>-4.8951501432044235</c:v>
                </c:pt>
                <c:pt idx="417">
                  <c:v>-4.4358331715329298</c:v>
                </c:pt>
                <c:pt idx="418">
                  <c:v>-3.8580548828332262</c:v>
                </c:pt>
                <c:pt idx="419">
                  <c:v>-3.1777425162280215</c:v>
                </c:pt>
                <c:pt idx="420">
                  <c:v>-2.4137268620911509</c:v>
                </c:pt>
                <c:pt idx="421">
                  <c:v>-1.5872094342003142</c:v>
                </c:pt>
                <c:pt idx="422">
                  <c:v>-0.72116237544978257</c:v>
                </c:pt>
                <c:pt idx="423">
                  <c:v>0.16032187730758382</c:v>
                </c:pt>
                <c:pt idx="424">
                  <c:v>1.0327127178780298</c:v>
                </c:pt>
                <c:pt idx="425">
                  <c:v>1.8717359312031252</c:v>
                </c:pt>
                <c:pt idx="426">
                  <c:v>2.6540609831498112</c:v>
                </c:pt>
                <c:pt idx="427">
                  <c:v>3.3579615393992444</c:v>
                </c:pt>
                <c:pt idx="428">
                  <c:v>3.9639304729582805</c:v>
                </c:pt>
                <c:pt idx="429">
                  <c:v>4.4552319114114249</c:v>
                </c:pt>
                <c:pt idx="430">
                  <c:v>4.8183746618155769</c:v>
                </c:pt>
                <c:pt idx="431">
                  <c:v>5.0434935824114904</c:v>
                </c:pt>
                <c:pt idx="432">
                  <c:v>5.1246280827573898</c:v>
                </c:pt>
                <c:pt idx="433">
                  <c:v>5.0598898533363581</c:v>
                </c:pt>
                <c:pt idx="434">
                  <c:v>4.8515150692985554</c:v>
                </c:pt>
                <c:pt idx="435">
                  <c:v>4.50579959155115</c:v>
                </c:pt>
                <c:pt idx="436">
                  <c:v>4.0329190088564326</c:v>
                </c:pt>
                <c:pt idx="437">
                  <c:v>3.4466386327061151</c:v>
                </c:pt>
                <c:pt idx="438">
                  <c:v>2.763921679755037</c:v>
                </c:pt>
                <c:pt idx="439">
                  <c:v>2.0044467658897842</c:v>
                </c:pt>
                <c:pt idx="440">
                  <c:v>1.1900484095728205</c:v>
                </c:pt>
                <c:pt idx="441">
                  <c:v>0.34409642690801356</c:v>
                </c:pt>
                <c:pt idx="442">
                  <c:v>-0.50916816509371565</c:v>
                </c:pt>
                <c:pt idx="443">
                  <c:v>-1.3453218865151224</c:v>
                </c:pt>
                <c:pt idx="444">
                  <c:v>-2.140452624219884</c:v>
                </c:pt>
                <c:pt idx="445">
                  <c:v>-2.8718388594380584</c:v>
                </c:pt>
                <c:pt idx="446">
                  <c:v>-3.518595014189474</c:v>
                </c:pt>
                <c:pt idx="447">
                  <c:v>-4.0622645993773379</c:v>
                </c:pt>
                <c:pt idx="448">
                  <c:v>-4.4873443291352171</c:v>
                </c:pt>
                <c:pt idx="449">
                  <c:v>-4.7817243255734212</c:v>
                </c:pt>
                <c:pt idx="450">
                  <c:v>-4.9370319198236272</c:v>
                </c:pt>
                <c:pt idx="451">
                  <c:v>-4.948869291631536</c:v>
                </c:pt>
                <c:pt idx="452">
                  <c:v>-4.8169382030301175</c:v>
                </c:pt>
                <c:pt idx="453">
                  <c:v>-4.5450482863246568</c:v>
                </c:pt>
                <c:pt idx="454">
                  <c:v>-4.1410086517793614</c:v>
                </c:pt>
                <c:pt idx="455">
                  <c:v>-3.6164058922098068</c:v>
                </c:pt>
                <c:pt idx="456">
                  <c:v>-2.9862747861639525</c:v>
                </c:pt>
                <c:pt idx="457">
                  <c:v>-2.2686710470004239</c:v>
                </c:pt>
                <c:pt idx="458">
                  <c:v>-1.4841582455106423</c:v>
                </c:pt>
                <c:pt idx="459">
                  <c:v>-0.65522346986677993</c:v>
                </c:pt>
                <c:pt idx="460">
                  <c:v>0.19436169052386496</c:v>
                </c:pt>
                <c:pt idx="461">
                  <c:v>1.0402166986296042</c:v>
                </c:pt>
                <c:pt idx="462">
                  <c:v>1.8580449849956309</c:v>
                </c:pt>
                <c:pt idx="463">
                  <c:v>2.6243245556486121</c:v>
                </c:pt>
                <c:pt idx="464">
                  <c:v>3.3169766890403722</c:v>
                </c:pt>
                <c:pt idx="465">
                  <c:v>3.9159937399666123</c:v>
                </c:pt>
                <c:pt idx="466">
                  <c:v>4.4040082287413274</c:v>
                </c:pt>
                <c:pt idx="467">
                  <c:v>4.7667870600572071</c:v>
                </c:pt>
                <c:pt idx="468">
                  <c:v>4.9936368406394225</c:v>
                </c:pt>
                <c:pt idx="469">
                  <c:v>5.0777087876989828</c:v>
                </c:pt>
                <c:pt idx="470">
                  <c:v>5.0161945697156129</c:v>
                </c:pt>
                <c:pt idx="471">
                  <c:v>4.8104075163533473</c:v>
                </c:pt>
                <c:pt idx="472">
                  <c:v>4.4657468874926414</c:v>
                </c:pt>
                <c:pt idx="473">
                  <c:v>3.9915462101211903</c:v>
                </c:pt>
                <c:pt idx="474">
                  <c:v>3.4008099819728534</c:v>
                </c:pt>
                <c:pt idx="475">
                  <c:v>2.7098462089651023</c:v>
                </c:pt>
                <c:pt idx="476">
                  <c:v>1.9378051997431101</c:v>
                </c:pt>
                <c:pt idx="477">
                  <c:v>1.1061377010953866</c:v>
                </c:pt>
                <c:pt idx="478">
                  <c:v>0.23798774715063598</c:v>
                </c:pt>
                <c:pt idx="479">
                  <c:v>-0.64246255186275847</c:v>
                </c:pt>
                <c:pt idx="480">
                  <c:v>-1.5106776915052109</c:v>
                </c:pt>
                <c:pt idx="481">
                  <c:v>-2.3424634994416098</c:v>
                </c:pt>
                <c:pt idx="482">
                  <c:v>-3.1146521948404953</c:v>
                </c:pt>
                <c:pt idx="483">
                  <c:v>-3.8057583437997322</c:v>
                </c:pt>
                <c:pt idx="484">
                  <c:v>-4.3965870996455454</c:v>
                </c:pt>
                <c:pt idx="485">
                  <c:v>-4.870777471041241</c:v>
                </c:pt>
                <c:pt idx="486">
                  <c:v>-5.2152652046783663</c:v>
                </c:pt>
                <c:pt idx="487">
                  <c:v>-5.4206521505857843</c:v>
                </c:pt>
                <c:pt idx="488">
                  <c:v>-5.4814716320310337</c:v>
                </c:pt>
                <c:pt idx="489">
                  <c:v>-5.3963422932875558</c:v>
                </c:pt>
                <c:pt idx="490">
                  <c:v>-5.1680060634372751</c:v>
                </c:pt>
                <c:pt idx="491">
                  <c:v>-4.8032491630520759</c:v>
                </c:pt>
                <c:pt idx="492">
                  <c:v>-4.3127083997139133</c:v>
                </c:pt>
                <c:pt idx="493">
                  <c:v>-3.7105682536923323</c:v>
                </c:pt>
                <c:pt idx="494">
                  <c:v>-3.0141573543127982</c:v>
                </c:pt>
                <c:pt idx="495">
                  <c:v>-2.2434558026617228</c:v>
                </c:pt>
                <c:pt idx="496">
                  <c:v>-1.4205273262517819</c:v>
                </c:pt>
                <c:pt idx="497">
                  <c:v>-0.56889238431814659</c:v>
                </c:pt>
                <c:pt idx="498">
                  <c:v>0.2871399820109044</c:v>
                </c:pt>
                <c:pt idx="499">
                  <c:v>1.123162589873389</c:v>
                </c:pt>
                <c:pt idx="500">
                  <c:v>1.9153632480637834</c:v>
                </c:pt>
                <c:pt idx="501">
                  <c:v>2.641200910434971</c:v>
                </c:pt>
                <c:pt idx="502">
                  <c:v>3.2800456583230648</c:v>
                </c:pt>
                <c:pt idx="503">
                  <c:v>3.8137643478988661</c:v>
                </c:pt>
                <c:pt idx="504">
                  <c:v>4.2272353007520538</c:v>
                </c:pt>
                <c:pt idx="505">
                  <c:v>4.5087774301626773</c:v>
                </c:pt>
                <c:pt idx="506">
                  <c:v>4.6504816242323814</c:v>
                </c:pt>
                <c:pt idx="507">
                  <c:v>4.6484349814141828</c:v>
                </c:pt>
                <c:pt idx="508">
                  <c:v>4.5028315352490305</c:v>
                </c:pt>
                <c:pt idx="509">
                  <c:v>4.217966326977737</c:v>
                </c:pt>
                <c:pt idx="510">
                  <c:v>3.802112995706143</c:v>
                </c:pt>
                <c:pt idx="511">
                  <c:v>3.2672883619904232</c:v>
                </c:pt>
                <c:pt idx="512">
                  <c:v>2.628910688244992</c:v>
                </c:pt>
                <c:pt idx="513">
                  <c:v>1.9053613172213175</c:v>
                </c:pt>
                <c:pt idx="514">
                  <c:v>1.1174621323165157</c:v>
                </c:pt>
                <c:pt idx="515">
                  <c:v>0.28788367280502153</c:v>
                </c:pt>
                <c:pt idx="516">
                  <c:v>-0.55949929456195757</c:v>
                </c:pt>
                <c:pt idx="517">
                  <c:v>-1.4002864546474869</c:v>
                </c:pt>
                <c:pt idx="518">
                  <c:v>-2.2102456084487505</c:v>
                </c:pt>
                <c:pt idx="519">
                  <c:v>-2.9660016322430782</c:v>
                </c:pt>
                <c:pt idx="520">
                  <c:v>-3.6457011738742007</c:v>
                </c:pt>
                <c:pt idx="521">
                  <c:v>-4.2296342170774475</c:v>
                </c:pt>
                <c:pt idx="522">
                  <c:v>-4.7007948686679129</c:v>
                </c:pt>
                <c:pt idx="523">
                  <c:v>-5.0453654481386252</c:v>
                </c:pt>
                <c:pt idx="524">
                  <c:v>-5.2531101357946142</c:v>
                </c:pt>
                <c:pt idx="525">
                  <c:v>-5.3176670022040096</c:v>
                </c:pt>
                <c:pt idx="526">
                  <c:v>-5.2367301256421177</c:v>
                </c:pt>
                <c:pt idx="527">
                  <c:v>-5.0121166234874464</c:v>
                </c:pt>
                <c:pt idx="528">
                  <c:v>-4.6497166896746105</c:v>
                </c:pt>
                <c:pt idx="529">
                  <c:v>-4.159328050621224</c:v>
                </c:pt>
                <c:pt idx="530">
                  <c:v>-3.5543795322918093</c:v>
                </c:pt>
                <c:pt idx="531">
                  <c:v>-2.8515515781462391</c:v>
                </c:pt>
                <c:pt idx="532">
                  <c:v>-2.0703044823235732</c:v>
                </c:pt>
                <c:pt idx="533">
                  <c:v>-1.232327721536024</c:v>
                </c:pt>
                <c:pt idx="534">
                  <c:v>-0.36092600845657169</c:v>
                </c:pt>
                <c:pt idx="535">
                  <c:v>0.51964051467809036</c:v>
                </c:pt>
                <c:pt idx="536">
                  <c:v>1.3848432219238811</c:v>
                </c:pt>
                <c:pt idx="537">
                  <c:v>2.2105795982992471</c:v>
                </c:pt>
                <c:pt idx="538">
                  <c:v>2.9738557754409531</c:v>
                </c:pt>
                <c:pt idx="539">
                  <c:v>3.6534376425467157</c:v>
                </c:pt>
                <c:pt idx="540">
                  <c:v>4.2304520586258745</c:v>
                </c:pt>
                <c:pt idx="541">
                  <c:v>4.6889211080932762</c:v>
                </c:pt>
                <c:pt idx="542">
                  <c:v>5.0162142418545486</c:v>
                </c:pt>
                <c:pt idx="543">
                  <c:v>5.2034054763231214</c:v>
                </c:pt>
                <c:pt idx="544">
                  <c:v>5.2455255171392308</c:v>
                </c:pt>
                <c:pt idx="545">
                  <c:v>5.1417016562681503</c:v>
                </c:pt>
                <c:pt idx="546">
                  <c:v>4.8951814760066359</c:v>
                </c:pt>
                <c:pt idx="547">
                  <c:v>4.513239690837108</c:v>
                </c:pt>
                <c:pt idx="548">
                  <c:v>4.006970774454766</c:v>
                </c:pt>
                <c:pt idx="549">
                  <c:v>3.3909732605346772</c:v>
                </c:pt>
                <c:pt idx="550">
                  <c:v>2.6829346799123073</c:v>
                </c:pt>
                <c:pt idx="551">
                  <c:v>1.9031289165816525</c:v>
                </c:pt>
                <c:pt idx="552">
                  <c:v>1.0738402502401296</c:v>
                </c:pt>
                <c:pt idx="553">
                  <c:v>0.2187304334991956</c:v>
                </c:pt>
                <c:pt idx="554">
                  <c:v>-0.63783323171472484</c:v>
                </c:pt>
                <c:pt idx="555">
                  <c:v>-1.4714697474879297</c:v>
                </c:pt>
                <c:pt idx="556">
                  <c:v>-2.2584765666003506</c:v>
                </c:pt>
                <c:pt idx="557">
                  <c:v>-2.9765023881864141</c:v>
                </c:pt>
                <c:pt idx="558">
                  <c:v>-3.6051815075352378</c:v>
                </c:pt>
                <c:pt idx="559">
                  <c:v>-4.1267117166459659</c:v>
                </c:pt>
                <c:pt idx="560">
                  <c:v>-4.5263593545658738</c:v>
                </c:pt>
                <c:pt idx="561">
                  <c:v>-4.7928771744197798</c:v>
                </c:pt>
                <c:pt idx="562">
                  <c:v>-4.9188231687060284</c:v>
                </c:pt>
                <c:pt idx="563">
                  <c:v>-4.9007713056465541</c:v>
                </c:pt>
                <c:pt idx="564">
                  <c:v>-4.7394081973560374</c:v>
                </c:pt>
                <c:pt idx="565">
                  <c:v>-4.4395129582618642</c:v>
                </c:pt>
                <c:pt idx="566">
                  <c:v>-4.0098208276743037</c:v>
                </c:pt>
                <c:pt idx="567">
                  <c:v>-3.4627744295786775</c:v>
                </c:pt>
                <c:pt idx="568">
                  <c:v>-2.8141697319645318</c:v>
                </c:pt>
                <c:pt idx="569">
                  <c:v>-2.0827067568036814</c:v>
                </c:pt>
                <c:pt idx="570">
                  <c:v>-1.2894577953187314</c:v>
                </c:pt>
                <c:pt idx="571">
                  <c:v>-0.45726822471153056</c:v>
                </c:pt>
                <c:pt idx="572">
                  <c:v>0.38989306440283256</c:v>
                </c:pt>
                <c:pt idx="573">
                  <c:v>1.227615190288998</c:v>
                </c:pt>
                <c:pt idx="574">
                  <c:v>2.0317394055619338</c:v>
                </c:pt>
                <c:pt idx="575">
                  <c:v>2.7790461213945403</c:v>
                </c:pt>
                <c:pt idx="576">
                  <c:v>3.4479153273711027</c:v>
                </c:pt>
                <c:pt idx="577">
                  <c:v>4.0189416587797719</c:v>
                </c:pt>
                <c:pt idx="578">
                  <c:v>4.4754866501235249</c:v>
                </c:pt>
                <c:pt idx="579">
                  <c:v>4.8041524962013282</c:v>
                </c:pt>
                <c:pt idx="580">
                  <c:v>4.995163869671619</c:v>
                </c:pt>
                <c:pt idx="581">
                  <c:v>5.0426469533451197</c:v>
                </c:pt>
                <c:pt idx="582">
                  <c:v>4.9447977625028718</c:v>
                </c:pt>
                <c:pt idx="583">
                  <c:v>4.7039349745153309</c:v>
                </c:pt>
                <c:pt idx="584">
                  <c:v>4.3264357607745447</c:v>
                </c:pt>
                <c:pt idx="585">
                  <c:v>3.8225564364197875</c:v>
                </c:pt>
                <c:pt idx="586">
                  <c:v>3.2061430123001999</c:v>
                </c:pt>
                <c:pt idx="587">
                  <c:v>2.4942398583009622</c:v>
                </c:pt>
                <c:pt idx="588">
                  <c:v>1.7066075788777439</c:v>
                </c:pt>
                <c:pt idx="589">
                  <c:v>0.86516377833364855</c:v>
                </c:pt>
                <c:pt idx="590">
                  <c:v>-6.6374181013073852E-3</c:v>
                </c:pt>
                <c:pt idx="591">
                  <c:v>-0.8844694830722335</c:v>
                </c:pt>
                <c:pt idx="592">
                  <c:v>-1.7438224028219123</c:v>
                </c:pt>
                <c:pt idx="593">
                  <c:v>-2.5606968429836829</c:v>
                </c:pt>
                <c:pt idx="594">
                  <c:v>-3.3122838684476794</c:v>
                </c:pt>
                <c:pt idx="595">
                  <c:v>-3.9776109311247021</c:v>
                </c:pt>
                <c:pt idx="596">
                  <c:v>-4.5381357965983851</c:v>
                </c:pt>
                <c:pt idx="597">
                  <c:v>-4.9782715579949111</c:v>
                </c:pt>
                <c:pt idx="598">
                  <c:v>-5.2858278409898283</c:v>
                </c:pt>
                <c:pt idx="599">
                  <c:v>-5.452355682210813</c:v>
                </c:pt>
                <c:pt idx="600">
                  <c:v>-5.4733862968821558</c:v>
                </c:pt>
                <c:pt idx="601">
                  <c:v>-5.348556962815433</c:v>
                </c:pt>
                <c:pt idx="602">
                  <c:v>-5.081620451316553</c:v>
                </c:pt>
                <c:pt idx="603">
                  <c:v>-4.6803377403376611</c:v>
                </c:pt>
                <c:pt idx="604">
                  <c:v>-4.1562570574617199</c:v>
                </c:pt>
                <c:pt idx="605">
                  <c:v>-3.524385526064409</c:v>
                </c:pt>
                <c:pt idx="606">
                  <c:v>-2.8027627357048468</c:v>
                </c:pt>
                <c:pt idx="607">
                  <c:v>-2.011948340954496</c:v>
                </c:pt>
                <c:pt idx="608">
                  <c:v>-1.1744382325009211</c:v>
                </c:pt>
                <c:pt idx="609">
                  <c:v>-0.31402585121598936</c:v>
                </c:pt>
                <c:pt idx="610">
                  <c:v>0.54487322755975753</c:v>
                </c:pt>
                <c:pt idx="611">
                  <c:v>1.377914270176344</c:v>
                </c:pt>
                <c:pt idx="612">
                  <c:v>2.1615142538876859</c:v>
                </c:pt>
                <c:pt idx="613">
                  <c:v>2.8735210218596645</c:v>
                </c:pt>
                <c:pt idx="614">
                  <c:v>3.4938417333155347</c:v>
                </c:pt>
                <c:pt idx="615">
                  <c:v>4.005012773727838</c:v>
                </c:pt>
                <c:pt idx="616">
                  <c:v>4.3926949517085676</c:v>
                </c:pt>
                <c:pt idx="617">
                  <c:v>4.6460799299979669</c:v>
                </c:pt>
                <c:pt idx="618">
                  <c:v>4.7581963575232473</c:v>
                </c:pt>
                <c:pt idx="619">
                  <c:v>4.726107016377</c:v>
                </c:pt>
                <c:pt idx="620">
                  <c:v>4.5509913909589281</c:v>
                </c:pt>
                <c:pt idx="621">
                  <c:v>4.2381113186358856</c:v>
                </c:pt>
                <c:pt idx="622">
                  <c:v>3.7966606998067109</c:v>
                </c:pt>
                <c:pt idx="623">
                  <c:v>3.2395035360263997</c:v>
                </c:pt>
                <c:pt idx="624">
                  <c:v>2.5828077344522482</c:v>
                </c:pt>
                <c:pt idx="625">
                  <c:v>1.8455850753677434</c:v>
                </c:pt>
                <c:pt idx="626">
                  <c:v>1.049150402948412</c:v>
                </c:pt>
                <c:pt idx="627">
                  <c:v>0.21651539217332075</c:v>
                </c:pt>
                <c:pt idx="628">
                  <c:v>-0.62826589822085044</c:v>
                </c:pt>
                <c:pt idx="629">
                  <c:v>-1.4607811082966577</c:v>
                </c:pt>
                <c:pt idx="630">
                  <c:v>-2.2569538752799532</c:v>
                </c:pt>
                <c:pt idx="631">
                  <c:v>-2.9937286379299533</c:v>
                </c:pt>
                <c:pt idx="632">
                  <c:v>-3.6497265064169957</c:v>
                </c:pt>
                <c:pt idx="633">
                  <c:v>-4.2058535782696804</c:v>
                </c:pt>
                <c:pt idx="634">
                  <c:v>-4.645844430462633</c:v>
                </c:pt>
                <c:pt idx="635">
                  <c:v>-4.9567253573834416</c:v>
                </c:pt>
                <c:pt idx="636">
                  <c:v>-5.1291842020244172</c:v>
                </c:pt>
                <c:pt idx="637">
                  <c:v>-5.1578362786573084</c:v>
                </c:pt>
                <c:pt idx="638">
                  <c:v>-5.0413788342263848</c:v>
                </c:pt>
                <c:pt idx="639">
                  <c:v>-4.7826296590481503</c:v>
                </c:pt>
                <c:pt idx="640">
                  <c:v>-4.3884487453527665</c:v>
                </c:pt>
                <c:pt idx="641">
                  <c:v>-3.8695452114287638</c:v>
                </c:pt>
                <c:pt idx="642">
                  <c:v>-3.2401749654375553</c:v>
                </c:pt>
                <c:pt idx="643">
                  <c:v>-2.5177376839287957</c:v>
                </c:pt>
                <c:pt idx="644">
                  <c:v>-1.7222845377065477</c:v>
                </c:pt>
                <c:pt idx="645">
                  <c:v>-0.87595063086278246</c:v>
                </c:pt>
                <c:pt idx="646">
                  <c:v>-2.3282556210923455E-3</c:v>
                </c:pt>
                <c:pt idx="647">
                  <c:v>0.87420125452926079</c:v>
                </c:pt>
                <c:pt idx="648">
                  <c:v>1.7291581157585503</c:v>
                </c:pt>
                <c:pt idx="649">
                  <c:v>2.5386575340726192</c:v>
                </c:pt>
                <c:pt idx="650">
                  <c:v>3.2800863188784279</c:v>
                </c:pt>
                <c:pt idx="651">
                  <c:v>3.9327434714229272</c:v>
                </c:pt>
                <c:pt idx="652">
                  <c:v>4.4784265717932419</c:v>
                </c:pt>
                <c:pt idx="653">
                  <c:v>4.9019473262104905</c:v>
                </c:pt>
                <c:pt idx="654">
                  <c:v>5.1915616465922998</c:v>
                </c:pt>
                <c:pt idx="655">
                  <c:v>5.3393020597421073</c:v>
                </c:pt>
                <c:pt idx="656">
                  <c:v>5.3412030152184045</c:v>
                </c:pt>
                <c:pt idx="657">
                  <c:v>5.1974127002769244</c:v>
                </c:pt>
                <c:pt idx="658">
                  <c:v>4.9121881910101486</c:v>
                </c:pt>
                <c:pt idx="659">
                  <c:v>4.493774079522459</c:v>
                </c:pt>
                <c:pt idx="660">
                  <c:v>3.9541680237164609</c:v>
                </c:pt>
                <c:pt idx="661">
                  <c:v>3.3087798751803388</c:v>
                </c:pt>
                <c:pt idx="662">
                  <c:v>2.5759940606872003</c:v>
                </c:pt>
                <c:pt idx="663">
                  <c:v>1.776647638232649</c:v>
                </c:pt>
                <c:pt idx="664">
                  <c:v>0.9334388414356849</c:v>
                </c:pt>
                <c:pt idx="665">
                  <c:v>7.0282898592949256E-2</c:v>
                </c:pt>
                <c:pt idx="666">
                  <c:v>-0.788366591265526</c:v>
                </c:pt>
                <c:pt idx="667">
                  <c:v>-1.6182114657852915</c:v>
                </c:pt>
                <c:pt idx="668">
                  <c:v>-2.395798300037129</c:v>
                </c:pt>
                <c:pt idx="669">
                  <c:v>-3.0991836387172826</c:v>
                </c:pt>
                <c:pt idx="670">
                  <c:v>-3.7085562813176054</c:v>
                </c:pt>
                <c:pt idx="671">
                  <c:v>-4.2067989609809873</c:v>
                </c:pt>
                <c:pt idx="672">
                  <c:v>-4.5799734781282027</c:v>
                </c:pt>
                <c:pt idx="673">
                  <c:v>-4.8177155226698725</c:v>
                </c:pt>
                <c:pt idx="674">
                  <c:v>-4.9135279820300495</c:v>
                </c:pt>
                <c:pt idx="675">
                  <c:v>-4.8649644135579351</c:v>
                </c:pt>
                <c:pt idx="676">
                  <c:v>-4.6736974774110767</c:v>
                </c:pt>
                <c:pt idx="677">
                  <c:v>-4.3454703911824826</c:v>
                </c:pt>
                <c:pt idx="678">
                  <c:v>-3.889932787742973</c:v>
                </c:pt>
                <c:pt idx="679">
                  <c:v>-3.320365638749188</c:v>
                </c:pt>
                <c:pt idx="680">
                  <c:v>-2.653303054908402</c:v>
                </c:pt>
                <c:pt idx="681">
                  <c:v>-1.9080617010336511</c:v>
                </c:pt>
                <c:pt idx="682">
                  <c:v>-1.1061911860925024</c:v>
                </c:pt>
                <c:pt idx="683">
                  <c:v>-0.2708610314365591</c:v>
                </c:pt>
                <c:pt idx="684">
                  <c:v>0.57379837946892798</c:v>
                </c:pt>
                <c:pt idx="685">
                  <c:v>1.4033821602983245</c:v>
                </c:pt>
                <c:pt idx="686">
                  <c:v>2.1939051054008365</c:v>
                </c:pt>
                <c:pt idx="687">
                  <c:v>2.9224839907382743</c:v>
                </c:pt>
                <c:pt idx="688">
                  <c:v>3.5679886224880155</c:v>
                </c:pt>
                <c:pt idx="689">
                  <c:v>4.1116431504606537</c:v>
                </c:pt>
                <c:pt idx="690">
                  <c:v>4.5375605749506054</c:v>
                </c:pt>
                <c:pt idx="691">
                  <c:v>4.8331952716216611</c:v>
                </c:pt>
                <c:pt idx="692">
                  <c:v>4.9897006857271755</c:v>
                </c:pt>
                <c:pt idx="693">
                  <c:v>5.0021820383360076</c:v>
                </c:pt>
                <c:pt idx="694">
                  <c:v>4.8698368669021033</c:v>
                </c:pt>
                <c:pt idx="695">
                  <c:v>4.595979405907733</c:v>
                </c:pt>
                <c:pt idx="696">
                  <c:v>4.1879481100846121</c:v>
                </c:pt>
                <c:pt idx="697">
                  <c:v>3.6568989393047424</c:v>
                </c:pt>
                <c:pt idx="698">
                  <c:v>3.0174902665080809</c:v>
                </c:pt>
                <c:pt idx="699">
                  <c:v>2.2874683459767962</c:v>
                </c:pt>
                <c:pt idx="700">
                  <c:v>1.4871651015799783</c:v>
                </c:pt>
                <c:pt idx="701">
                  <c:v>0.638922483193473</c:v>
                </c:pt>
                <c:pt idx="702">
                  <c:v>-0.23354027627455007</c:v>
                </c:pt>
                <c:pt idx="703">
                  <c:v>-1.1057985501108287</c:v>
                </c:pt>
                <c:pt idx="704">
                  <c:v>-1.9534142889302972</c:v>
                </c:pt>
                <c:pt idx="705">
                  <c:v>-2.7526284392147615</c:v>
                </c:pt>
                <c:pt idx="706">
                  <c:v>-3.4810341618262473</c:v>
                </c:pt>
                <c:pt idx="707">
                  <c:v>-4.1182117477354181</c:v>
                </c:pt>
                <c:pt idx="708">
                  <c:v>-4.6463072150124338</c:v>
                </c:pt>
                <c:pt idx="709">
                  <c:v>-5.0505381692341826</c:v>
                </c:pt>
                <c:pt idx="710">
                  <c:v>-5.3196125735054034</c:v>
                </c:pt>
                <c:pt idx="711">
                  <c:v>-5.4460485457002727</c:v>
                </c:pt>
                <c:pt idx="712">
                  <c:v>-5.4263861091631016</c:v>
                </c:pt>
                <c:pt idx="713">
                  <c:v>-5.2612848892500423</c:v>
                </c:pt>
                <c:pt idx="714">
                  <c:v>-4.9555049847327197</c:v>
                </c:pt>
                <c:pt idx="715">
                  <c:v>-4.5177715583600087</c:v>
                </c:pt>
                <c:pt idx="716">
                  <c:v>-3.9605269906964171</c:v>
                </c:pt>
                <c:pt idx="717">
                  <c:v>-3.2995776320757031</c:v>
                </c:pt>
                <c:pt idx="718">
                  <c:v>-2.5536451785701582</c:v>
                </c:pt>
                <c:pt idx="719">
                  <c:v>-1.7438354043947366</c:v>
                </c:pt>
                <c:pt idx="720">
                  <c:v>-0.89303932832369182</c:v>
                </c:pt>
                <c:pt idx="721">
                  <c:v>-2.5283808946346575E-2</c:v>
                </c:pt>
                <c:pt idx="722">
                  <c:v>0.83495000149148424</c:v>
                </c:pt>
                <c:pt idx="723">
                  <c:v>1.6634210030390297</c:v>
                </c:pt>
                <c:pt idx="724">
                  <c:v>2.4368155892203922</c:v>
                </c:pt>
                <c:pt idx="725">
                  <c:v>3.1334086751567796</c:v>
                </c:pt>
                <c:pt idx="726">
                  <c:v>3.7336795542814367</c:v>
                </c:pt>
                <c:pt idx="727">
                  <c:v>4.2208651076053085</c:v>
                </c:pt>
                <c:pt idx="728">
                  <c:v>4.5814346677715649</c:v>
                </c:pt>
                <c:pt idx="729">
                  <c:v>4.805473063926855</c:v>
                </c:pt>
                <c:pt idx="730">
                  <c:v>4.8869609796164095</c:v>
                </c:pt>
                <c:pt idx="731">
                  <c:v>4.8239446705170419</c:v>
                </c:pt>
                <c:pt idx="732">
                  <c:v>4.6185902291323737</c:v>
                </c:pt>
                <c:pt idx="733">
                  <c:v>4.2771208604667645</c:v>
                </c:pt>
                <c:pt idx="734">
                  <c:v>3.8096389531644661</c:v>
                </c:pt>
                <c:pt idx="735">
                  <c:v>3.2298380004095852</c:v>
                </c:pt>
                <c:pt idx="736">
                  <c:v>2.5546125512321334</c:v>
                </c:pt>
                <c:pt idx="737">
                  <c:v>1.8035772670236432</c:v>
                </c:pt>
                <c:pt idx="738">
                  <c:v>0.99850873789717431</c:v>
                </c:pt>
                <c:pt idx="739">
                  <c:v>0.16272590580687993</c:v>
                </c:pt>
                <c:pt idx="740">
                  <c:v>-0.67957331613989713</c:v>
                </c:pt>
                <c:pt idx="741">
                  <c:v>-1.5040003954521373</c:v>
                </c:pt>
                <c:pt idx="742">
                  <c:v>-2.286669961591469</c:v>
                </c:pt>
                <c:pt idx="743">
                  <c:v>-3.0048793211993856</c:v>
                </c:pt>
                <c:pt idx="744">
                  <c:v>-3.6377544163729549</c:v>
                </c:pt>
                <c:pt idx="745">
                  <c:v>-4.1668438874922193</c:v>
                </c:pt>
                <c:pt idx="746">
                  <c:v>-4.5766443749308312</c:v>
                </c:pt>
                <c:pt idx="747">
                  <c:v>-4.8550421454877215</c:v>
                </c:pt>
                <c:pt idx="748">
                  <c:v>-4.9936585041831103</c:v>
                </c:pt>
                <c:pt idx="749">
                  <c:v>-4.9880891827625424</c:v>
                </c:pt>
                <c:pt idx="750">
                  <c:v>-4.8380309053517916</c:v>
                </c:pt>
                <c:pt idx="751">
                  <c:v>-4.5472915337990685</c:v>
                </c:pt>
                <c:pt idx="752">
                  <c:v>-4.1236834994537865</c:v>
                </c:pt>
                <c:pt idx="753">
                  <c:v>-3.5788035406846896</c:v>
                </c:pt>
                <c:pt idx="754">
                  <c:v>-2.9277049923204572</c:v>
                </c:pt>
                <c:pt idx="755">
                  <c:v>-2.1884719228232394</c:v>
                </c:pt>
                <c:pt idx="756">
                  <c:v>-1.3817072008251972</c:v>
                </c:pt>
                <c:pt idx="757">
                  <c:v>-0.52994901560970742</c:v>
                </c:pt>
                <c:pt idx="758">
                  <c:v>0.34296759313743397</c:v>
                </c:pt>
                <c:pt idx="759">
                  <c:v>1.2125860800730528</c:v>
                </c:pt>
                <c:pt idx="760">
                  <c:v>2.0545214504368197</c:v>
                </c:pt>
                <c:pt idx="761">
                  <c:v>2.8451513618700552</c:v>
                </c:pt>
                <c:pt idx="762">
                  <c:v>3.5622856610965488</c:v>
                </c:pt>
                <c:pt idx="763">
                  <c:v>4.1857953565162171</c:v>
                </c:pt>
                <c:pt idx="764">
                  <c:v>4.6981831787126564</c:v>
                </c:pt>
                <c:pt idx="765">
                  <c:v>5.0850795383715806</c:v>
                </c:pt>
                <c:pt idx="766">
                  <c:v>5.3356498080809018</c:v>
                </c:pt>
                <c:pt idx="767">
                  <c:v>5.4429013708787988</c:v>
                </c:pt>
                <c:pt idx="768">
                  <c:v>5.4038817228004392</c:v>
                </c:pt>
                <c:pt idx="769">
                  <c:v>5.2197620083290657</c:v>
                </c:pt>
                <c:pt idx="770">
                  <c:v>4.8958036188416969</c:v>
                </c:pt>
                <c:pt idx="771">
                  <c:v>4.4412088025776519</c:v>
                </c:pt>
                <c:pt idx="772">
                  <c:v>3.8688595261780154</c:v>
                </c:pt>
                <c:pt idx="773">
                  <c:v>3.1949519990222597</c:v>
                </c:pt>
                <c:pt idx="774">
                  <c:v>2.438537232435793</c:v>
                </c:pt>
                <c:pt idx="775">
                  <c:v>1.6209806723181261</c:v>
                </c:pt>
                <c:pt idx="776">
                  <c:v>0.76535624017554649</c:v>
                </c:pt>
                <c:pt idx="777">
                  <c:v>-0.10420802123439221</c:v>
                </c:pt>
                <c:pt idx="778">
                  <c:v>-0.9632141282610307</c:v>
                </c:pt>
                <c:pt idx="779">
                  <c:v>-1.7874887471633667</c:v>
                </c:pt>
                <c:pt idx="780">
                  <c:v>-2.5538684846451059</c:v>
                </c:pt>
                <c:pt idx="781">
                  <c:v>-3.2408564316620279</c:v>
                </c:pt>
                <c:pt idx="782">
                  <c:v>-3.829231330187167</c:v>
                </c:pt>
                <c:pt idx="783">
                  <c:v>-4.3025920774949462</c:v>
                </c:pt>
                <c:pt idx="784">
                  <c:v>-4.647822117975374</c:v>
                </c:pt>
                <c:pt idx="785">
                  <c:v>-4.8554605463986436</c:v>
                </c:pt>
                <c:pt idx="786">
                  <c:v>-4.9199693944052099</c:v>
                </c:pt>
                <c:pt idx="787">
                  <c:v>-4.8398895186311757</c:v>
                </c:pt>
                <c:pt idx="788">
                  <c:v>-4.6178806706723474</c:v>
                </c:pt>
                <c:pt idx="789">
                  <c:v>-4.2606446163076965</c:v>
                </c:pt>
                <c:pt idx="790">
                  <c:v>-3.7787334907447057</c:v>
                </c:pt>
                <c:pt idx="791">
                  <c:v>-3.1862488339155144</c:v>
                </c:pt>
                <c:pt idx="792">
                  <c:v>-2.5004398525933453</c:v>
                </c:pt>
                <c:pt idx="793">
                  <c:v>-1.7412123162562692</c:v>
                </c:pt>
                <c:pt idx="794">
                  <c:v>-0.93056203003234284</c:v>
                </c:pt>
                <c:pt idx="795">
                  <c:v>-9.1948968714402543E-2</c:v>
                </c:pt>
                <c:pt idx="796">
                  <c:v>0.75037015999601964</c:v>
                </c:pt>
                <c:pt idx="797">
                  <c:v>1.5720319749904723</c:v>
                </c:pt>
                <c:pt idx="798">
                  <c:v>2.3492595138861443</c:v>
                </c:pt>
                <c:pt idx="799">
                  <c:v>3.059538681583915</c:v>
                </c:pt>
                <c:pt idx="800">
                  <c:v>3.6822588514111256</c:v>
                </c:pt>
                <c:pt idx="801">
                  <c:v>4.1992994324088455</c:v>
                </c:pt>
                <c:pt idx="802">
                  <c:v>4.595545749886762</c:v>
                </c:pt>
                <c:pt idx="803">
                  <c:v>4.8593195925836561</c:v>
                </c:pt>
                <c:pt idx="804">
                  <c:v>4.9827122016785426</c:v>
                </c:pt>
                <c:pt idx="805">
                  <c:v>4.9618102457819395</c:v>
                </c:pt>
                <c:pt idx="806">
                  <c:v>4.7968083632994096</c:v>
                </c:pt>
                <c:pt idx="807">
                  <c:v>4.4920050730076486</c:v>
                </c:pt>
                <c:pt idx="808">
                  <c:v>4.0556821639450309</c:v>
                </c:pt>
                <c:pt idx="809">
                  <c:v>3.4998709828415508</c:v>
                </c:pt>
                <c:pt idx="810">
                  <c:v>2.8400122474439637</c:v>
                </c:pt>
                <c:pt idx="811">
                  <c:v>2.0945190361177559</c:v>
                </c:pt>
                <c:pt idx="812">
                  <c:v>1.2842553522620475</c:v>
                </c:pt>
                <c:pt idx="813">
                  <c:v>0.4319450583675789</c:v>
                </c:pt>
                <c:pt idx="814">
                  <c:v>-0.43847204904501791</c:v>
                </c:pt>
                <c:pt idx="815">
                  <c:v>-1.3025187519180699</c:v>
                </c:pt>
                <c:pt idx="816">
                  <c:v>-2.1358742570059897</c:v>
                </c:pt>
                <c:pt idx="817">
                  <c:v>-2.9150636870368394</c:v>
                </c:pt>
                <c:pt idx="818">
                  <c:v>-3.6181236509510368</c:v>
                </c:pt>
                <c:pt idx="819">
                  <c:v>-4.2252250060814847</c:v>
                </c:pt>
                <c:pt idx="820">
                  <c:v>-4.7192351397590944</c:v>
                </c:pt>
                <c:pt idx="821">
                  <c:v>-5.0862038139983037</c:v>
                </c:pt>
                <c:pt idx="822">
                  <c:v>-5.3157587859456434</c:v>
                </c:pt>
                <c:pt idx="823">
                  <c:v>-5.4013999770828018</c:v>
                </c:pt>
                <c:pt idx="824">
                  <c:v>-5.3406838431215231</c:v>
                </c:pt>
                <c:pt idx="825">
                  <c:v>-5.1352927123905809</c:v>
                </c:pt>
                <c:pt idx="826">
                  <c:v>-4.7909871248727978</c:v>
                </c:pt>
                <c:pt idx="827">
                  <c:v>-4.3174425242575341</c:v>
                </c:pt>
                <c:pt idx="828">
                  <c:v>-3.7279749371985442</c:v>
                </c:pt>
                <c:pt idx="829">
                  <c:v>-3.0391634242754288</c:v>
                </c:pt>
                <c:pt idx="830">
                  <c:v>-2.2703800165346895</c:v>
                </c:pt>
                <c:pt idx="831">
                  <c:v>-1.4432404767994191</c:v>
                </c:pt>
                <c:pt idx="832">
                  <c:v>-0.58099147168412757</c:v>
                </c:pt>
                <c:pt idx="833">
                  <c:v>0.29214845534827671</c:v>
                </c:pt>
                <c:pt idx="834">
                  <c:v>1.1516754086804613</c:v>
                </c:pt>
                <c:pt idx="835">
                  <c:v>1.9734946816676755</c:v>
                </c:pt>
                <c:pt idx="836">
                  <c:v>2.7346036056506748</c:v>
                </c:pt>
                <c:pt idx="837">
                  <c:v>3.4137433304085301</c:v>
                </c:pt>
                <c:pt idx="838">
                  <c:v>3.9920010416227028</c:v>
                </c:pt>
                <c:pt idx="839">
                  <c:v>4.4533455278109102</c:v>
                </c:pt>
                <c:pt idx="840">
                  <c:v>4.7850809010198194</c:v>
                </c:pt>
                <c:pt idx="841">
                  <c:v>4.9782055986551015</c:v>
                </c:pt>
                <c:pt idx="842">
                  <c:v>5.0276664822327062</c:v>
                </c:pt>
                <c:pt idx="843">
                  <c:v>4.9325008262619354</c:v>
                </c:pt>
                <c:pt idx="844">
                  <c:v>4.695862172418555</c:v>
                </c:pt>
                <c:pt idx="845">
                  <c:v>4.3249293203220809</c:v>
                </c:pt>
                <c:pt idx="846">
                  <c:v>3.8307010430530908</c:v>
                </c:pt>
                <c:pt idx="847">
                  <c:v>3.2276823588934644</c:v>
                </c:pt>
                <c:pt idx="848">
                  <c:v>2.5334712686030771</c:v>
                </c:pt>
                <c:pt idx="849">
                  <c:v>1.76825769250047</c:v>
                </c:pt>
                <c:pt idx="850">
                  <c:v>0.95424883352167755</c:v>
                </c:pt>
                <c:pt idx="851">
                  <c:v>0.11503728057427742</c:v>
                </c:pt>
                <c:pt idx="852">
                  <c:v>-0.72507020839899949</c:v>
                </c:pt>
                <c:pt idx="853">
                  <c:v>-1.5417441882760774</c:v>
                </c:pt>
                <c:pt idx="854">
                  <c:v>-2.3113246430422674</c:v>
                </c:pt>
                <c:pt idx="855">
                  <c:v>-3.0114940880463159</c:v>
                </c:pt>
                <c:pt idx="856">
                  <c:v>-3.6219125494464848</c:v>
                </c:pt>
                <c:pt idx="857">
                  <c:v>-4.1247963941002963</c:v>
                </c:pt>
                <c:pt idx="858">
                  <c:v>-4.5054245768125085</c:v>
                </c:pt>
                <c:pt idx="859">
                  <c:v>-4.7525579319186582</c:v>
                </c:pt>
                <c:pt idx="860">
                  <c:v>-4.8587596041869467</c:v>
                </c:pt>
                <c:pt idx="861">
                  <c:v>-4.8206075199140397</c:v>
                </c:pt>
                <c:pt idx="862">
                  <c:v>-4.6387928632423394</c:v>
                </c:pt>
                <c:pt idx="863">
                  <c:v>-4.3181017581743895</c:v>
                </c:pt>
                <c:pt idx="864">
                  <c:v>-3.8672806716751658</c:v>
                </c:pt>
                <c:pt idx="865">
                  <c:v>-3.2987893535581088</c:v>
                </c:pt>
                <c:pt idx="866">
                  <c:v>-2.6284483208753691</c:v>
                </c:pt>
                <c:pt idx="867">
                  <c:v>-1.8749908876907313</c:v>
                </c:pt>
                <c:pt idx="868">
                  <c:v>-1.0595324504472727</c:v>
                </c:pt>
                <c:pt idx="869">
                  <c:v>-0.20497208776172421</c:v>
                </c:pt>
                <c:pt idx="870">
                  <c:v>0.66465654526855489</c:v>
                </c:pt>
                <c:pt idx="871">
                  <c:v>1.5248666088117848</c:v>
                </c:pt>
                <c:pt idx="872">
                  <c:v>2.3514124200655617</c:v>
                </c:pt>
                <c:pt idx="873">
                  <c:v>3.1209770411600344</c:v>
                </c:pt>
                <c:pt idx="874">
                  <c:v>3.8118336006977867</c:v>
                </c:pt>
                <c:pt idx="875">
                  <c:v>4.4044615815626758</c:v>
                </c:pt>
                <c:pt idx="876">
                  <c:v>4.8821005854062447</c:v>
                </c:pt>
                <c:pt idx="877">
                  <c:v>5.2312258583556055</c:v>
                </c:pt>
                <c:pt idx="878">
                  <c:v>5.4419320826355291</c:v>
                </c:pt>
                <c:pt idx="879">
                  <c:v>5.5082145419583384</c:v>
                </c:pt>
                <c:pt idx="880">
                  <c:v>5.4281396808188882</c:v>
                </c:pt>
                <c:pt idx="881">
                  <c:v>5.2039002165926096</c:v>
                </c:pt>
                <c:pt idx="882">
                  <c:v>4.8417532394926557</c:v>
                </c:pt>
                <c:pt idx="883">
                  <c:v>4.3518430560161585</c:v>
                </c:pt>
                <c:pt idx="884">
                  <c:v>3.7479138022623268</c:v>
                </c:pt>
                <c:pt idx="885">
                  <c:v>3.046919981607747</c:v>
                </c:pt>
                <c:pt idx="886">
                  <c:v>2.2685459779062103</c:v>
                </c:pt>
                <c:pt idx="887">
                  <c:v>1.4346481784238625</c:v>
                </c:pt>
                <c:pt idx="888">
                  <c:v>0.56863553682238388</c:v>
                </c:pt>
                <c:pt idx="889">
                  <c:v>-0.30519384665814764</c:v>
                </c:pt>
                <c:pt idx="890">
                  <c:v>-1.1623413026774674</c:v>
                </c:pt>
                <c:pt idx="891">
                  <c:v>-1.978801789066615</c:v>
                </c:pt>
                <c:pt idx="892">
                  <c:v>-2.731744007807881</c:v>
                </c:pt>
                <c:pt idx="893">
                  <c:v>-3.400157144469385</c:v>
                </c:pt>
                <c:pt idx="894">
                  <c:v>-3.9654458793426803</c:v>
                </c:pt>
                <c:pt idx="895">
                  <c:v>-4.4119567878417723</c:v>
                </c:pt>
                <c:pt idx="896">
                  <c:v>-4.7274211951481728</c:v>
                </c:pt>
                <c:pt idx="897">
                  <c:v>-4.903301921363683</c:v>
                </c:pt>
                <c:pt idx="898">
                  <c:v>-4.9350340812677738</c:v>
                </c:pt>
                <c:pt idx="899">
                  <c:v>-4.8221531097407171</c:v>
                </c:pt>
                <c:pt idx="900">
                  <c:v>-4.568306384672681</c:v>
                </c:pt>
                <c:pt idx="901">
                  <c:v>-4.1811481228910425</c:v>
                </c:pt>
                <c:pt idx="902">
                  <c:v>-3.6721205375396382</c:v>
                </c:pt>
                <c:pt idx="903">
                  <c:v>-3.0561274734124022</c:v>
                </c:pt>
                <c:pt idx="904">
                  <c:v>-2.3511097883616108</c:v>
                </c:pt>
                <c:pt idx="905">
                  <c:v>-1.5775345374670173</c:v>
                </c:pt>
                <c:pt idx="906">
                  <c:v>-0.75781246301480787</c:v>
                </c:pt>
                <c:pt idx="907">
                  <c:v>8.4339671929492849E-2</c:v>
                </c:pt>
                <c:pt idx="908">
                  <c:v>0.92457380320529081</c:v>
                </c:pt>
                <c:pt idx="909">
                  <c:v>1.7386031837945601</c:v>
                </c:pt>
                <c:pt idx="910">
                  <c:v>2.5028932379967368</c:v>
                </c:pt>
                <c:pt idx="911">
                  <c:v>3.1953310390676317</c:v>
                </c:pt>
                <c:pt idx="912">
                  <c:v>3.7958544046421387</c:v>
                </c:pt>
                <c:pt idx="913">
                  <c:v>4.2870227504537466</c:v>
                </c:pt>
                <c:pt idx="914">
                  <c:v>4.6545134959552215</c:v>
                </c:pt>
                <c:pt idx="915">
                  <c:v>4.8875299284984415</c:v>
                </c:pt>
                <c:pt idx="916">
                  <c:v>4.9791089457821558</c:v>
                </c:pt>
                <c:pt idx="917">
                  <c:v>4.9263199380069951</c:v>
                </c:pt>
                <c:pt idx="918">
                  <c:v>4.730349160926524</c:v>
                </c:pt>
                <c:pt idx="919">
                  <c:v>4.3964672010674404</c:v>
                </c:pt>
                <c:pt idx="920">
                  <c:v>3.9338804525695159</c:v>
                </c:pt>
                <c:pt idx="921">
                  <c:v>3.35547081718925</c:v>
                </c:pt>
                <c:pt idx="922">
                  <c:v>2.6774310115948627</c:v>
                </c:pt>
                <c:pt idx="923">
                  <c:v>1.9188058291010326</c:v>
                </c:pt>
                <c:pt idx="924">
                  <c:v>1.1009523723710124</c:v>
                </c:pt>
                <c:pt idx="925">
                  <c:v>0.24693457357583468</c:v>
                </c:pt>
                <c:pt idx="926">
                  <c:v>-0.61913081622181587</c:v>
                </c:pt>
                <c:pt idx="927">
                  <c:v>-1.4727582090338307</c:v>
                </c:pt>
                <c:pt idx="928">
                  <c:v>-2.2897877229131796</c:v>
                </c:pt>
                <c:pt idx="929">
                  <c:v>-3.047070575519208</c:v>
                </c:pt>
                <c:pt idx="930">
                  <c:v>-3.7231258772166069</c:v>
                </c:pt>
                <c:pt idx="931">
                  <c:v>-4.2987501840258737</c:v>
                </c:pt>
                <c:pt idx="932">
                  <c:v>-4.757562511118687</c:v>
                </c:pt>
                <c:pt idx="933">
                  <c:v>-5.0864693389073228</c:v>
                </c:pt>
                <c:pt idx="934">
                  <c:v>-5.2760364141200657</c:v>
                </c:pt>
                <c:pt idx="935">
                  <c:v>-5.3207567931574244</c:v>
                </c:pt>
                <c:pt idx="936">
                  <c:v>-5.2192075194280276</c:v>
                </c:pt>
                <c:pt idx="937">
                  <c:v>-4.9740904866964728</c:v>
                </c:pt>
                <c:pt idx="938">
                  <c:v>-4.5921563270522761</c:v>
                </c:pt>
                <c:pt idx="939">
                  <c:v>-4.0840134816534208</c:v>
                </c:pt>
                <c:pt idx="940">
                  <c:v>-3.4638278706964352</c:v>
                </c:pt>
                <c:pt idx="941">
                  <c:v>-2.7489216836526484</c:v>
                </c:pt>
                <c:pt idx="942">
                  <c:v>-1.9592826735652311</c:v>
                </c:pt>
                <c:pt idx="943">
                  <c:v>-1.1169978788938812</c:v>
                </c:pt>
                <c:pt idx="944">
                  <c:v>-0.24562784092938719</c:v>
                </c:pt>
                <c:pt idx="945">
                  <c:v>0.63046092667436804</c:v>
                </c:pt>
                <c:pt idx="946">
                  <c:v>1.4867862751061764</c:v>
                </c:pt>
                <c:pt idx="947">
                  <c:v>2.2994439761587531</c:v>
                </c:pt>
                <c:pt idx="948">
                  <c:v>3.0457848172368531</c:v>
                </c:pt>
                <c:pt idx="949">
                  <c:v>3.7050560236723533</c:v>
                </c:pt>
                <c:pt idx="950">
                  <c:v>4.25898880902239</c:v>
                </c:pt>
                <c:pt idx="951">
                  <c:v>4.6923153831237556</c:v>
                </c:pt>
                <c:pt idx="952">
                  <c:v>4.9932007498836963</c:v>
                </c:pt>
                <c:pt idx="953">
                  <c:v>5.1535770452611738</c:v>
                </c:pt>
                <c:pt idx="954">
                  <c:v>5.1693709320005743</c:v>
                </c:pt>
                <c:pt idx="955">
                  <c:v>5.0406176029211922</c:v>
                </c:pt>
                <c:pt idx="956">
                  <c:v>4.7714581627894876</c:v>
                </c:pt>
                <c:pt idx="957">
                  <c:v>4.3700204686770334</c:v>
                </c:pt>
                <c:pt idx="958">
                  <c:v>3.848186816296101</c:v>
                </c:pt>
                <c:pt idx="959">
                  <c:v>3.2212550712320089</c:v>
                </c:pt>
                <c:pt idx="960">
                  <c:v>2.5075028681213838</c:v>
                </c:pt>
                <c:pt idx="961">
                  <c:v>1.7276672518175411</c:v>
                </c:pt>
                <c:pt idx="962">
                  <c:v>0.90435453438080327</c:v>
                </c:pt>
                <c:pt idx="963">
                  <c:v>6.1397122206752364E-2</c:v>
                </c:pt>
                <c:pt idx="964">
                  <c:v>-0.77682442743777824</c:v>
                </c:pt>
                <c:pt idx="965">
                  <c:v>-1.5860748744718145</c:v>
                </c:pt>
                <c:pt idx="966">
                  <c:v>-2.3429536021661033</c:v>
                </c:pt>
                <c:pt idx="967">
                  <c:v>-3.0255601931816201</c:v>
                </c:pt>
                <c:pt idx="968">
                  <c:v>-3.6141173808696925</c:v>
                </c:pt>
                <c:pt idx="969">
                  <c:v>-4.0915336911179887</c:v>
                </c:pt>
                <c:pt idx="970">
                  <c:v>-4.4438898018407453</c:v>
                </c:pt>
                <c:pt idx="971">
                  <c:v>-4.6608348123640271</c:v>
                </c:pt>
                <c:pt idx="972">
                  <c:v>-4.7358811720078373</c:v>
                </c:pt>
                <c:pt idx="973">
                  <c:v>-4.6665898935277097</c:v>
                </c:pt>
                <c:pt idx="974">
                  <c:v>-4.4546407911313928</c:v>
                </c:pt>
                <c:pt idx="975">
                  <c:v>-4.1057857461385208</c:v>
                </c:pt>
                <c:pt idx="976">
                  <c:v>-3.6296863233928769</c:v>
                </c:pt>
                <c:pt idx="977">
                  <c:v>-3.0396403440383377</c:v>
                </c:pt>
                <c:pt idx="978">
                  <c:v>-2.3522051720681412</c:v>
                </c:pt>
                <c:pt idx="979">
                  <c:v>-1.5867284037085942</c:v>
                </c:pt>
                <c:pt idx="980">
                  <c:v>-0.76479927698476835</c:v>
                </c:pt>
                <c:pt idx="981">
                  <c:v>9.0363630837586917E-2</c:v>
                </c:pt>
                <c:pt idx="982">
                  <c:v>0.95457104171997287</c:v>
                </c:pt>
                <c:pt idx="983">
                  <c:v>1.8033492596389928</c:v>
                </c:pt>
                <c:pt idx="984">
                  <c:v>2.6126346212025782</c:v>
                </c:pt>
                <c:pt idx="985">
                  <c:v>3.359456405465953</c:v>
                </c:pt>
                <c:pt idx="986">
                  <c:v>4.0225888215232857</c:v>
                </c:pt>
                <c:pt idx="987">
                  <c:v>4.5831535697126968</c:v>
                </c:pt>
                <c:pt idx="988">
                  <c:v>5.0251558747060567</c:v>
                </c:pt>
                <c:pt idx="989">
                  <c:v>5.3359387765470716</c:v>
                </c:pt>
                <c:pt idx="990">
                  <c:v>5.506542785278814</c:v>
                </c:pt>
                <c:pt idx="991">
                  <c:v>5.5319606903432428</c:v>
                </c:pt>
                <c:pt idx="992">
                  <c:v>5.411280291208536</c:v>
                </c:pt>
                <c:pt idx="993">
                  <c:v>5.1477109962604821</c:v>
                </c:pt>
                <c:pt idx="994">
                  <c:v>4.7484935326038835</c:v>
                </c:pt>
                <c:pt idx="995">
                  <c:v>4.224695326535385</c:v>
                </c:pt>
                <c:pt idx="996">
                  <c:v>3.5908973589247775</c:v>
                </c:pt>
                <c:pt idx="997">
                  <c:v>2.8647813794972468</c:v>
                </c:pt>
                <c:pt idx="998">
                  <c:v>2.0666291916462378</c:v>
                </c:pt>
                <c:pt idx="999">
                  <c:v>1.2187482146609707</c:v>
                </c:pt>
                <c:pt idx="1000">
                  <c:v>0.34483962232845733</c:v>
                </c:pt>
                <c:pt idx="1001">
                  <c:v>-0.5306730136291552</c:v>
                </c:pt>
                <c:pt idx="1002">
                  <c:v>-1.3833355261225089</c:v>
                </c:pt>
                <c:pt idx="1003">
                  <c:v>-2.1893557720303312</c:v>
                </c:pt>
                <c:pt idx="1004">
                  <c:v>-2.9262774160588907</c:v>
                </c:pt>
                <c:pt idx="1005">
                  <c:v>-3.5736157616151702</c:v>
                </c:pt>
                <c:pt idx="1006">
                  <c:v>-4.113437588460604</c:v>
                </c:pt>
                <c:pt idx="1007">
                  <c:v>-4.5308685461737115</c:v>
                </c:pt>
                <c:pt idx="1008">
                  <c:v>-4.814513708587187</c:v>
                </c:pt>
                <c:pt idx="1009">
                  <c:v>-4.956779359014706</c:v>
                </c:pt>
                <c:pt idx="1010">
                  <c:v>-4.9540868793081962</c:v>
                </c:pt>
                <c:pt idx="1011">
                  <c:v>-4.8069726780195552</c:v>
                </c:pt>
                <c:pt idx="1012">
                  <c:v>-4.5200713272787016</c:v>
                </c:pt>
                <c:pt idx="1013">
                  <c:v>-4.1019823926449446</c:v>
                </c:pt>
                <c:pt idx="1014">
                  <c:v>-3.5650247410733926</c:v>
                </c:pt>
                <c:pt idx="1015">
                  <c:v>-2.9248853055739876</c:v>
                </c:pt>
                <c:pt idx="1016">
                  <c:v>-2.200172280503403</c:v>
                </c:pt>
                <c:pt idx="1017">
                  <c:v>-1.4118854337005566</c:v>
                </c:pt>
                <c:pt idx="1018">
                  <c:v>-0.58281857388763758</c:v>
                </c:pt>
                <c:pt idx="1019">
                  <c:v>0.26308886285938099</c:v>
                </c:pt>
                <c:pt idx="1020">
                  <c:v>1.1014326998426098</c:v>
                </c:pt>
                <c:pt idx="1021">
                  <c:v>1.9080380504717336</c:v>
                </c:pt>
                <c:pt idx="1022">
                  <c:v>2.6596467909109633</c:v>
                </c:pt>
                <c:pt idx="1023">
                  <c:v>3.3345789588572696</c:v>
                </c:pt>
                <c:pt idx="1024">
                  <c:v>3.9133493028571578</c:v>
                </c:pt>
                <c:pt idx="1025">
                  <c:v>4.3792214796384163</c:v>
                </c:pt>
                <c:pt idx="1026">
                  <c:v>4.7186841667610793</c:v>
                </c:pt>
                <c:pt idx="1027">
                  <c:v>4.9218355742332252</c:v>
                </c:pt>
                <c:pt idx="1028">
                  <c:v>4.9826654387026075</c:v>
                </c:pt>
                <c:pt idx="1029">
                  <c:v>4.8992264936289738</c:v>
                </c:pt>
                <c:pt idx="1030">
                  <c:v>4.673690545878153</c:v>
                </c:pt>
                <c:pt idx="1031">
                  <c:v>4.3122875644318635</c:v>
                </c:pt>
                <c:pt idx="1032">
                  <c:v>3.8251295074147444</c:v>
                </c:pt>
                <c:pt idx="1033">
                  <c:v>3.2259238851669716</c:v>
                </c:pt>
                <c:pt idx="1034">
                  <c:v>2.5315851867840244</c:v>
                </c:pt>
                <c:pt idx="1035">
                  <c:v>1.761755196585052</c:v>
                </c:pt>
                <c:pt idx="1036">
                  <c:v>0.93824581307078014</c:v>
                </c:pt>
                <c:pt idx="1037">
                  <c:v>8.4420182705740698E-2</c:v>
                </c:pt>
                <c:pt idx="1038">
                  <c:v>-0.77547028813224483</c:v>
                </c:pt>
                <c:pt idx="1039">
                  <c:v>-1.6169742271496605</c:v>
                </c:pt>
                <c:pt idx="1040">
                  <c:v>-2.4161343616542132</c:v>
                </c:pt>
                <c:pt idx="1041">
                  <c:v>-3.1501676570335371</c:v>
                </c:pt>
                <c:pt idx="1042">
                  <c:v>-3.7981122245637979</c:v>
                </c:pt>
                <c:pt idx="1043">
                  <c:v>-4.3414226377062537</c:v>
                </c:pt>
                <c:pt idx="1044">
                  <c:v>-4.7644967599305934</c:v>
                </c:pt>
                <c:pt idx="1045">
                  <c:v>-5.0551191305445524</c:v>
                </c:pt>
                <c:pt idx="1046">
                  <c:v>-5.2048083228505355</c:v>
                </c:pt>
                <c:pt idx="1047">
                  <c:v>-5.2090584139849181</c:v>
                </c:pt>
                <c:pt idx="1048">
                  <c:v>-5.0674677106972288</c:v>
                </c:pt>
                <c:pt idx="1049">
                  <c:v>-4.7837510748060739</c:v>
                </c:pt>
                <c:pt idx="1050">
                  <c:v>-4.3656354953271403</c:v>
                </c:pt>
                <c:pt idx="1051">
                  <c:v>-3.8246418675557341</c:v>
                </c:pt>
                <c:pt idx="1052">
                  <c:v>-3.175759168672573</c:v>
                </c:pt>
                <c:pt idx="1053">
                  <c:v>-2.437020273071445</c:v>
                </c:pt>
                <c:pt idx="1054">
                  <c:v>-1.6289914419250342</c:v>
                </c:pt>
                <c:pt idx="1055">
                  <c:v>-0.77418997128762568</c:v>
                </c:pt>
                <c:pt idx="1056">
                  <c:v>0.10355347825058653</c:v>
                </c:pt>
                <c:pt idx="1057">
                  <c:v>0.97976977753982231</c:v>
                </c:pt>
                <c:pt idx="1058">
                  <c:v>1.8300443013373044</c:v>
                </c:pt>
                <c:pt idx="1059">
                  <c:v>2.630708315245311</c:v>
                </c:pt>
                <c:pt idx="1060">
                  <c:v>3.3595091602392984</c:v>
                </c:pt>
                <c:pt idx="1061">
                  <c:v>3.9962402197580449</c:v>
                </c:pt>
                <c:pt idx="1062">
                  <c:v>4.5233127958299013</c:v>
                </c:pt>
                <c:pt idx="1063">
                  <c:v>4.9262536694607046</c:v>
                </c:pt>
                <c:pt idx="1064">
                  <c:v>5.1941142297065666</c:v>
                </c:pt>
                <c:pt idx="1065">
                  <c:v>5.3197795656518894</c:v>
                </c:pt>
                <c:pt idx="1066">
                  <c:v>5.3001687546679515</c:v>
                </c:pt>
                <c:pt idx="1067">
                  <c:v>5.136320668270101</c:v>
                </c:pt>
                <c:pt idx="1068">
                  <c:v>4.8333628659770831</c:v>
                </c:pt>
                <c:pt idx="1069">
                  <c:v>4.4003644655996421</c:v>
                </c:pt>
                <c:pt idx="1070">
                  <c:v>3.8500771711720412</c:v>
                </c:pt>
                <c:pt idx="1071">
                  <c:v>3.19857181384398</c:v>
                </c:pt>
                <c:pt idx="1072">
                  <c:v>2.4647807263824708</c:v>
                </c:pt>
                <c:pt idx="1073">
                  <c:v>1.6699589443422196</c:v>
                </c:pt>
                <c:pt idx="1074">
                  <c:v>0.83707953059330475</c:v>
                </c:pt>
                <c:pt idx="1075">
                  <c:v>-9.8198106185606315E-3</c:v>
                </c:pt>
                <c:pt idx="1076">
                  <c:v>-0.84632028162717832</c:v>
                </c:pt>
                <c:pt idx="1077">
                  <c:v>-1.6483162970300589</c:v>
                </c:pt>
                <c:pt idx="1078">
                  <c:v>-2.3927008376975114</c:v>
                </c:pt>
                <c:pt idx="1079">
                  <c:v>-3.0580223979782368</c:v>
                </c:pt>
                <c:pt idx="1080">
                  <c:v>-3.6250948774088085</c:v>
                </c:pt>
                <c:pt idx="1081">
                  <c:v>-4.0775431039575949</c:v>
                </c:pt>
                <c:pt idx="1082">
                  <c:v>-4.4022685029177939</c:v>
                </c:pt>
                <c:pt idx="1083">
                  <c:v>-4.5898216921680524</c:v>
                </c:pt>
                <c:pt idx="1084">
                  <c:v>-4.6346714263088913</c:v>
                </c:pt>
                <c:pt idx="1085">
                  <c:v>-4.5353622541766629</c:v>
                </c:pt>
                <c:pt idx="1086">
                  <c:v>-4.2945564129455782</c:v>
                </c:pt>
                <c:pt idx="1087">
                  <c:v>-3.9189587677983031</c:v>
                </c:pt>
                <c:pt idx="1088">
                  <c:v>-3.4191269257247763</c:v>
                </c:pt>
                <c:pt idx="1089">
                  <c:v>-2.8091719111836762</c:v>
                </c:pt>
                <c:pt idx="1090">
                  <c:v>-2.1063578976340844</c:v>
                </c:pt>
                <c:pt idx="1091">
                  <c:v>-1.3306123541501691</c:v>
                </c:pt>
                <c:pt idx="1092">
                  <c:v>-0.50396050916029977</c:v>
                </c:pt>
                <c:pt idx="1093">
                  <c:v>0.35009981837040677</c:v>
                </c:pt>
                <c:pt idx="1094">
                  <c:v>1.2072652772439421</c:v>
                </c:pt>
                <c:pt idx="1095">
                  <c:v>2.043116999553789</c:v>
                </c:pt>
                <c:pt idx="1096">
                  <c:v>2.8338139892921319</c:v>
                </c:pt>
                <c:pt idx="1097">
                  <c:v>3.5567702038402915</c:v>
                </c:pt>
                <c:pt idx="1098">
                  <c:v>4.1912961106346103</c:v>
                </c:pt>
                <c:pt idx="1099">
                  <c:v>4.7191865092026504</c:v>
                </c:pt>
                <c:pt idx="1100">
                  <c:v>5.1252379334883704</c:v>
                </c:pt>
                <c:pt idx="1101">
                  <c:v>5.3976809476548944</c:v>
                </c:pt>
                <c:pt idx="1102">
                  <c:v>5.5285150636496629</c:v>
                </c:pt>
                <c:pt idx="1103">
                  <c:v>5.5137367722102537</c:v>
                </c:pt>
                <c:pt idx="1104">
                  <c:v>5.3534542122439888</c:v>
                </c:pt>
                <c:pt idx="1105">
                  <c:v>5.0518852205506422</c:v>
                </c:pt>
                <c:pt idx="1106">
                  <c:v>4.6172388133697382</c:v>
                </c:pt>
                <c:pt idx="1107">
                  <c:v>4.0614834593015487</c:v>
                </c:pt>
                <c:pt idx="1108">
                  <c:v>3.4000087158820813</c:v>
                </c:pt>
                <c:pt idx="1109">
                  <c:v>2.6511898283144619</c:v>
                </c:pt>
                <c:pt idx="1110">
                  <c:v>1.8358676426841418</c:v>
                </c:pt>
                <c:pt idx="1111">
                  <c:v>0.97675858925195724</c:v>
                </c:pt>
                <c:pt idx="1112">
                  <c:v>9.7811475934127423E-2</c:v>
                </c:pt>
                <c:pt idx="1113">
                  <c:v>-0.77647065849449448</c:v>
                </c:pt>
                <c:pt idx="1114">
                  <c:v>-1.6217243904228424</c:v>
                </c:pt>
                <c:pt idx="1115">
                  <c:v>-2.4144157701532589</c:v>
                </c:pt>
                <c:pt idx="1116">
                  <c:v>-3.1325066201237299</c:v>
                </c:pt>
                <c:pt idx="1117">
                  <c:v>-3.7560783680830729</c:v>
                </c:pt>
                <c:pt idx="1118">
                  <c:v>-4.2678957159442188</c:v>
                </c:pt>
                <c:pt idx="1119">
                  <c:v>-4.6538941525782338</c:v>
                </c:pt>
                <c:pt idx="1120">
                  <c:v>-4.9035774801964074</c:v>
                </c:pt>
                <c:pt idx="1121">
                  <c:v>-5.0103140778444688</c:v>
                </c:pt>
                <c:pt idx="1122">
                  <c:v>-4.9715234994302815</c:v>
                </c:pt>
                <c:pt idx="1123">
                  <c:v>-4.788748116052032</c:v>
                </c:pt>
                <c:pt idx="1124">
                  <c:v>-4.4676077748655567</c:v>
                </c:pt>
                <c:pt idx="1125">
                  <c:v>-4.0176387667287861</c:v>
                </c:pt>
                <c:pt idx="1126">
                  <c:v>-3.4520216781688973</c:v>
                </c:pt>
                <c:pt idx="1127">
                  <c:v>-2.7872058566473705</c:v>
                </c:pt>
                <c:pt idx="1128">
                  <c:v>-2.0424411521584154</c:v>
                </c:pt>
                <c:pt idx="1129">
                  <c:v>-1.2392302296075213</c:v>
                </c:pt>
                <c:pt idx="1130">
                  <c:v>-0.40071700050939552</c:v>
                </c:pt>
                <c:pt idx="1131">
                  <c:v>0.44897146466104021</c:v>
                </c:pt>
                <c:pt idx="1132">
                  <c:v>1.2854108620864437</c:v>
                </c:pt>
                <c:pt idx="1133">
                  <c:v>2.0845739469713536</c:v>
                </c:pt>
                <c:pt idx="1134">
                  <c:v>2.8235134842137266</c:v>
                </c:pt>
                <c:pt idx="1135">
                  <c:v>3.4810144710870081</c:v>
                </c:pt>
                <c:pt idx="1136">
                  <c:v>4.0381971179814489</c:v>
                </c:pt>
                <c:pt idx="1137">
                  <c:v>4.4790534710601655</c:v>
                </c:pt>
                <c:pt idx="1138">
                  <c:v>4.7909024442668589</c:v>
                </c:pt>
                <c:pt idx="1139">
                  <c:v>4.9647503440323311</c:v>
                </c:pt>
                <c:pt idx="1140">
                  <c:v>4.9955466525244008</c:v>
                </c:pt>
                <c:pt idx="1141">
                  <c:v>4.8823278082494941</c:v>
                </c:pt>
                <c:pt idx="1142">
                  <c:v>4.6282449018617573</c:v>
                </c:pt>
                <c:pt idx="1143">
                  <c:v>4.240474499941711</c:v>
                </c:pt>
                <c:pt idx="1144">
                  <c:v>3.730015126760605</c:v>
                </c:pt>
                <c:pt idx="1145">
                  <c:v>3.1113751795006839</c:v>
                </c:pt>
                <c:pt idx="1146">
                  <c:v>2.4021611339415356</c:v>
                </c:pt>
                <c:pt idx="1147">
                  <c:v>1.6225777277975313</c:v>
                </c:pt>
                <c:pt idx="1148">
                  <c:v>0.79485430737361606</c:v>
                </c:pt>
                <c:pt idx="1149">
                  <c:v>-5.7386380918822491E-2</c:v>
                </c:pt>
                <c:pt idx="1150">
                  <c:v>-0.90979903884827928</c:v>
                </c:pt>
                <c:pt idx="1151">
                  <c:v>-1.7380072637817794</c:v>
                </c:pt>
                <c:pt idx="1152">
                  <c:v>-2.5182959696216667</c:v>
                </c:pt>
                <c:pt idx="1153">
                  <c:v>-3.2282851277083626</c:v>
                </c:pt>
                <c:pt idx="1154">
                  <c:v>-3.8475657039811701</c:v>
                </c:pt>
                <c:pt idx="1155">
                  <c:v>-4.3582797412932024</c:v>
                </c:pt>
                <c:pt idx="1156">
                  <c:v>-4.7456281206978854</c:v>
                </c:pt>
                <c:pt idx="1157">
                  <c:v>-4.9982915877733607</c:v>
                </c:pt>
                <c:pt idx="1158">
                  <c:v>-5.1087530913956103</c:v>
                </c:pt>
                <c:pt idx="1159">
                  <c:v>-5.0735122829524304</c:v>
                </c:pt>
                <c:pt idx="1160">
                  <c:v>-4.8931860843228474</c:v>
                </c:pt>
                <c:pt idx="1161">
                  <c:v>-4.5724924661829647</c:v>
                </c:pt>
                <c:pt idx="1162">
                  <c:v>-4.1201178925742834</c:v>
                </c:pt>
                <c:pt idx="1163">
                  <c:v>-3.5484721891201199</c:v>
                </c:pt>
                <c:pt idx="1164">
                  <c:v>-2.8733377871045436</c:v>
                </c:pt>
                <c:pt idx="1165">
                  <c:v>-2.1134232931655479</c:v>
                </c:pt>
                <c:pt idx="1166">
                  <c:v>-1.2898340495217604</c:v>
                </c:pt>
                <c:pt idx="1167">
                  <c:v>-0.42547470540269738</c:v>
                </c:pt>
                <c:pt idx="1168">
                  <c:v>0.45559925018387226</c:v>
                </c:pt>
                <c:pt idx="1169">
                  <c:v>1.3288625957840077</c:v>
                </c:pt>
                <c:pt idx="1170">
                  <c:v>2.1700148000924906</c:v>
                </c:pt>
                <c:pt idx="1171">
                  <c:v>2.9556680571271001</c:v>
                </c:pt>
                <c:pt idx="1172">
                  <c:v>3.6640094126158411</c:v>
                </c:pt>
                <c:pt idx="1173">
                  <c:v>4.275418195564491</c:v>
                </c:pt>
                <c:pt idx="1174">
                  <c:v>4.7730212374406555</c:v>
                </c:pt>
                <c:pt idx="1175">
                  <c:v>5.1431701270314125</c:v>
                </c:pt>
                <c:pt idx="1176">
                  <c:v>5.3758269616801755</c:v>
                </c:pt>
                <c:pt idx="1177">
                  <c:v>5.4648476524995333</c:v>
                </c:pt>
                <c:pt idx="1178">
                  <c:v>5.4081547485778527</c:v>
                </c:pt>
                <c:pt idx="1179">
                  <c:v>5.2077948806434708</c:v>
                </c:pt>
                <c:pt idx="1180">
                  <c:v>4.869879199128869</c:v>
                </c:pt>
                <c:pt idx="1181">
                  <c:v>4.4044085021576631</c:v>
                </c:pt>
                <c:pt idx="1182">
                  <c:v>3.8249880214221568</c:v>
                </c:pt>
                <c:pt idx="1183">
                  <c:v>3.1484399653478121</c:v>
                </c:pt>
                <c:pt idx="1184">
                  <c:v>2.3943248204900653</c:v>
                </c:pt>
                <c:pt idx="1185">
                  <c:v>1.5843850014216838</c:v>
                </c:pt>
                <c:pt idx="1186">
                  <c:v>0.74192664296863542</c:v>
                </c:pt>
                <c:pt idx="1187">
                  <c:v>-0.10884291601254614</c:v>
                </c:pt>
                <c:pt idx="1188">
                  <c:v>-0.94350315085450753</c:v>
                </c:pt>
                <c:pt idx="1189">
                  <c:v>-1.7381143413252234</c:v>
                </c:pt>
                <c:pt idx="1190">
                  <c:v>-2.4698978347137577</c:v>
                </c:pt>
                <c:pt idx="1191">
                  <c:v>-3.1178832724340153</c:v>
                </c:pt>
                <c:pt idx="1192">
                  <c:v>-3.6635044087235933</c:v>
                </c:pt>
                <c:pt idx="1193">
                  <c:v>-4.0911266093117682</c:v>
                </c:pt>
                <c:pt idx="1194">
                  <c:v>-4.3884910572230966</c:v>
                </c:pt>
                <c:pt idx="1195">
                  <c:v>-4.5470630571164454</c:v>
                </c:pt>
                <c:pt idx="1196">
                  <c:v>-4.5622745516459595</c:v>
                </c:pt>
                <c:pt idx="1197">
                  <c:v>-4.4336539660089391</c:v>
                </c:pt>
                <c:pt idx="1198">
                  <c:v>-4.1648396948939661</c:v>
                </c:pt>
                <c:pt idx="1199">
                  <c:v>-3.7634768487015591</c:v>
                </c:pt>
                <c:pt idx="1200">
                  <c:v>-3.2410001894431399</c:v>
                </c:pt>
                <c:pt idx="1201">
                  <c:v>-2.6123094170882073</c:v>
                </c:pt>
                <c:pt idx="1202">
                  <c:v>-1.8953460226470278</c:v>
                </c:pt>
                <c:pt idx="1203">
                  <c:v>-1.1105837182261329</c:v>
                </c:pt>
                <c:pt idx="1204">
                  <c:v>-0.28044690737506728</c:v>
                </c:pt>
                <c:pt idx="1205">
                  <c:v>0.57132629835558291</c:v>
                </c:pt>
                <c:pt idx="1206">
                  <c:v>1.4203584365824982</c:v>
                </c:pt>
                <c:pt idx="1207">
                  <c:v>2.242325283918758</c:v>
                </c:pt>
                <c:pt idx="1208">
                  <c:v>3.0136470196330896</c:v>
                </c:pt>
                <c:pt idx="1209">
                  <c:v>3.7121583444950588</c:v>
                </c:pt>
                <c:pt idx="1210">
                  <c:v>4.317738533144551</c:v>
                </c:pt>
                <c:pt idx="1211">
                  <c:v>4.8128835351760912</c:v>
                </c:pt>
                <c:pt idx="1212">
                  <c:v>5.1832038845697479</c:v>
                </c:pt>
                <c:pt idx="1213">
                  <c:v>5.4178342824747503</c:v>
                </c:pt>
                <c:pt idx="1214">
                  <c:v>5.5097432249035441</c:v>
                </c:pt>
                <c:pt idx="1215">
                  <c:v>5.4559338834800872</c:v>
                </c:pt>
                <c:pt idx="1216">
                  <c:v>5.2575305335123206</c:v>
                </c:pt>
                <c:pt idx="1217">
                  <c:v>4.9197480717316777</c:v>
                </c:pt>
                <c:pt idx="1218">
                  <c:v>4.4517454838828456</c:v>
                </c:pt>
                <c:pt idx="1219">
                  <c:v>3.8663674157910473</c:v>
                </c:pt>
                <c:pt idx="1220">
                  <c:v>3.1797811771145525</c:v>
                </c:pt>
                <c:pt idx="1221">
                  <c:v>2.4110194745752627</c:v>
                </c:pt>
                <c:pt idx="1222">
                  <c:v>1.5814418468374636</c:v>
                </c:pt>
                <c:pt idx="1223">
                  <c:v>0.71413008043473736</c:v>
                </c:pt>
                <c:pt idx="1224">
                  <c:v>-0.16676524024218065</c:v>
                </c:pt>
                <c:pt idx="1225">
                  <c:v>-1.0367085090768895</c:v>
                </c:pt>
                <c:pt idx="1226">
                  <c:v>-1.8714737999991133</c:v>
                </c:pt>
                <c:pt idx="1227">
                  <c:v>-2.6478307838441446</c:v>
                </c:pt>
                <c:pt idx="1228">
                  <c:v>-3.3442023990604848</c:v>
                </c:pt>
                <c:pt idx="1229">
                  <c:v>-3.9412756166379852</c:v>
                </c:pt>
                <c:pt idx="1230">
                  <c:v>-4.4225479708016628</c:v>
                </c:pt>
                <c:pt idx="1231">
                  <c:v>-4.7747943499686096</c:v>
                </c:pt>
                <c:pt idx="1232">
                  <c:v>-4.9884408054508347</c:v>
                </c:pt>
                <c:pt idx="1233">
                  <c:v>-5.0578347741937613</c:v>
                </c:pt>
                <c:pt idx="1234">
                  <c:v>-4.9814040515671243</c:v>
                </c:pt>
                <c:pt idx="1235">
                  <c:v>-4.7617000074469544</c:v>
                </c:pt>
                <c:pt idx="1236">
                  <c:v>-4.4053238239346673</c:v>
                </c:pt>
                <c:pt idx="1237">
                  <c:v>-3.9227378528249592</c:v>
                </c:pt>
                <c:pt idx="1238">
                  <c:v>-3.3279674511339041</c:v>
                </c:pt>
                <c:pt idx="1239">
                  <c:v>-2.6382017611126187</c:v>
                </c:pt>
                <c:pt idx="1240">
                  <c:v>-1.8733047689840334</c:v>
                </c:pt>
                <c:pt idx="1241">
                  <c:v>-1.0552505227674358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850448"/>
        <c:axId val="888841040"/>
      </c:scatterChart>
      <c:valAx>
        <c:axId val="888850448"/>
        <c:scaling>
          <c:orientation val="minMax"/>
          <c:max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841040"/>
        <c:crosses val="autoZero"/>
        <c:crossBetween val="midCat"/>
      </c:valAx>
      <c:valAx>
        <c:axId val="88884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850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Lunar Dec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Sheet3!$D$2:$D$234</c:f>
              <c:numCache>
                <c:formatCode>General</c:formatCode>
                <c:ptCount val="233"/>
                <c:pt idx="0">
                  <c:v>2415099.5688399998</c:v>
                </c:pt>
                <c:pt idx="1">
                  <c:v>2415286.0140999998</c:v>
                </c:pt>
                <c:pt idx="2">
                  <c:v>2415464.8081100001</c:v>
                </c:pt>
                <c:pt idx="3">
                  <c:v>2415651.2563</c:v>
                </c:pt>
                <c:pt idx="4">
                  <c:v>2415830.0532399998</c:v>
                </c:pt>
                <c:pt idx="5">
                  <c:v>2416016.4968400002</c:v>
                </c:pt>
                <c:pt idx="6">
                  <c:v>2416195.3020000001</c:v>
                </c:pt>
                <c:pt idx="7">
                  <c:v>2416381.73875</c:v>
                </c:pt>
                <c:pt idx="8">
                  <c:v>2416560.54073</c:v>
                </c:pt>
                <c:pt idx="9">
                  <c:v>2416746.9863300002</c:v>
                </c:pt>
                <c:pt idx="10">
                  <c:v>2416925.7900100001</c:v>
                </c:pt>
                <c:pt idx="11">
                  <c:v>2417112.2291999999</c:v>
                </c:pt>
                <c:pt idx="12">
                  <c:v>2417291.0367399999</c:v>
                </c:pt>
                <c:pt idx="13">
                  <c:v>2417477.46881</c:v>
                </c:pt>
                <c:pt idx="14">
                  <c:v>2417656.2729699998</c:v>
                </c:pt>
                <c:pt idx="15">
                  <c:v>2417842.7145799999</c:v>
                </c:pt>
                <c:pt idx="16">
                  <c:v>2418021.5189800002</c:v>
                </c:pt>
                <c:pt idx="17">
                  <c:v>2418207.9572000001</c:v>
                </c:pt>
                <c:pt idx="18">
                  <c:v>2418386.7590600001</c:v>
                </c:pt>
                <c:pt idx="19">
                  <c:v>2418573.19765</c:v>
                </c:pt>
                <c:pt idx="20">
                  <c:v>2418752.0020599999</c:v>
                </c:pt>
                <c:pt idx="21">
                  <c:v>2418938.4380800002</c:v>
                </c:pt>
                <c:pt idx="22">
                  <c:v>2419117.24615</c:v>
                </c:pt>
                <c:pt idx="23">
                  <c:v>2419303.6789000002</c:v>
                </c:pt>
                <c:pt idx="24">
                  <c:v>2419482.4787599999</c:v>
                </c:pt>
                <c:pt idx="25">
                  <c:v>2419668.9222900001</c:v>
                </c:pt>
                <c:pt idx="26">
                  <c:v>2419847.7208599998</c:v>
                </c:pt>
                <c:pt idx="27">
                  <c:v>2420034.1616799999</c:v>
                </c:pt>
                <c:pt idx="28">
                  <c:v>2420212.96582</c:v>
                </c:pt>
                <c:pt idx="29">
                  <c:v>2420399.3985100002</c:v>
                </c:pt>
                <c:pt idx="30">
                  <c:v>2420578.2023100001</c:v>
                </c:pt>
                <c:pt idx="31">
                  <c:v>2420764.64157</c:v>
                </c:pt>
                <c:pt idx="32">
                  <c:v>2420943.4492600001</c:v>
                </c:pt>
                <c:pt idx="33">
                  <c:v>2421129.8852900001</c:v>
                </c:pt>
                <c:pt idx="34">
                  <c:v>2421308.69257</c:v>
                </c:pt>
                <c:pt idx="35">
                  <c:v>2421495.1251500002</c:v>
                </c:pt>
                <c:pt idx="36">
                  <c:v>2421673.9345</c:v>
                </c:pt>
                <c:pt idx="37">
                  <c:v>2421860.3650799999</c:v>
                </c:pt>
                <c:pt idx="38">
                  <c:v>2422039.1799900001</c:v>
                </c:pt>
                <c:pt idx="39">
                  <c:v>2422225.6079299999</c:v>
                </c:pt>
                <c:pt idx="40">
                  <c:v>2422404.4161999999</c:v>
                </c:pt>
                <c:pt idx="41">
                  <c:v>2422590.8529099999</c:v>
                </c:pt>
                <c:pt idx="42">
                  <c:v>2422769.66047</c:v>
                </c:pt>
                <c:pt idx="43">
                  <c:v>2422956.0970800002</c:v>
                </c:pt>
                <c:pt idx="44">
                  <c:v>2423134.9087700001</c:v>
                </c:pt>
                <c:pt idx="45">
                  <c:v>2423321.3400099999</c:v>
                </c:pt>
                <c:pt idx="46">
                  <c:v>2423500.1449899999</c:v>
                </c:pt>
                <c:pt idx="47">
                  <c:v>2423686.5858300002</c:v>
                </c:pt>
                <c:pt idx="48">
                  <c:v>2423865.389</c:v>
                </c:pt>
                <c:pt idx="49">
                  <c:v>2424051.8321500001</c:v>
                </c:pt>
                <c:pt idx="50">
                  <c:v>2424230.6334699998</c:v>
                </c:pt>
                <c:pt idx="51">
                  <c:v>2424417.0718200002</c:v>
                </c:pt>
                <c:pt idx="52">
                  <c:v>2424595.8758299998</c:v>
                </c:pt>
                <c:pt idx="53">
                  <c:v>2424782.3101599999</c:v>
                </c:pt>
                <c:pt idx="54">
                  <c:v>2424961.12439</c:v>
                </c:pt>
                <c:pt idx="55">
                  <c:v>2425147.5534399999</c:v>
                </c:pt>
                <c:pt idx="56">
                  <c:v>2425326.3640700001</c:v>
                </c:pt>
                <c:pt idx="57">
                  <c:v>2425512.7955</c:v>
                </c:pt>
                <c:pt idx="58">
                  <c:v>2425691.6075499998</c:v>
                </c:pt>
                <c:pt idx="59">
                  <c:v>2425878.0363400001</c:v>
                </c:pt>
                <c:pt idx="60">
                  <c:v>2426056.85402</c:v>
                </c:pt>
                <c:pt idx="61">
                  <c:v>2426243.2749700001</c:v>
                </c:pt>
                <c:pt idx="62">
                  <c:v>2426422.0877299998</c:v>
                </c:pt>
                <c:pt idx="63">
                  <c:v>2426608.5162</c:v>
                </c:pt>
                <c:pt idx="64">
                  <c:v>2426787.3289100002</c:v>
                </c:pt>
                <c:pt idx="65">
                  <c:v>2426973.7610499999</c:v>
                </c:pt>
                <c:pt idx="66">
                  <c:v>2427152.5716200001</c:v>
                </c:pt>
                <c:pt idx="67">
                  <c:v>2427339.0008100001</c:v>
                </c:pt>
                <c:pt idx="68">
                  <c:v>2427517.8110600002</c:v>
                </c:pt>
                <c:pt idx="69">
                  <c:v>2427704.23973</c:v>
                </c:pt>
                <c:pt idx="70">
                  <c:v>2427883.0540200002</c:v>
                </c:pt>
                <c:pt idx="71">
                  <c:v>2428069.4848500001</c:v>
                </c:pt>
                <c:pt idx="72">
                  <c:v>2428248.2901900001</c:v>
                </c:pt>
                <c:pt idx="73">
                  <c:v>2428434.7263799999</c:v>
                </c:pt>
                <c:pt idx="74">
                  <c:v>2428613.53131</c:v>
                </c:pt>
                <c:pt idx="75">
                  <c:v>2428799.9673299999</c:v>
                </c:pt>
                <c:pt idx="76">
                  <c:v>2428978.7799300002</c:v>
                </c:pt>
                <c:pt idx="77">
                  <c:v>2429165.2080000001</c:v>
                </c:pt>
                <c:pt idx="78">
                  <c:v>2429344.0197800002</c:v>
                </c:pt>
                <c:pt idx="79">
                  <c:v>2429530.45102</c:v>
                </c:pt>
                <c:pt idx="80">
                  <c:v>2429709.2664899998</c:v>
                </c:pt>
                <c:pt idx="81">
                  <c:v>2429895.69833</c:v>
                </c:pt>
                <c:pt idx="82">
                  <c:v>2430074.5141699999</c:v>
                </c:pt>
                <c:pt idx="83">
                  <c:v>2430260.9394299998</c:v>
                </c:pt>
                <c:pt idx="84">
                  <c:v>2430439.7574</c:v>
                </c:pt>
                <c:pt idx="85">
                  <c:v>2430626.1781100002</c:v>
                </c:pt>
                <c:pt idx="86">
                  <c:v>2430805.00183</c:v>
                </c:pt>
                <c:pt idx="87">
                  <c:v>2430991.4248299999</c:v>
                </c:pt>
                <c:pt idx="88">
                  <c:v>2431170.2420899998</c:v>
                </c:pt>
                <c:pt idx="89">
                  <c:v>2431356.66781</c:v>
                </c:pt>
                <c:pt idx="90">
                  <c:v>2431535.4841800001</c:v>
                </c:pt>
                <c:pt idx="91">
                  <c:v>2431721.9095800002</c:v>
                </c:pt>
                <c:pt idx="92">
                  <c:v>2431900.73104</c:v>
                </c:pt>
                <c:pt idx="93">
                  <c:v>2432087.1532299998</c:v>
                </c:pt>
                <c:pt idx="94">
                  <c:v>2432265.9671499999</c:v>
                </c:pt>
                <c:pt idx="95">
                  <c:v>2432452.39488</c:v>
                </c:pt>
                <c:pt idx="96">
                  <c:v>2432631.2061100001</c:v>
                </c:pt>
                <c:pt idx="97">
                  <c:v>2432817.6400799998</c:v>
                </c:pt>
                <c:pt idx="98">
                  <c:v>2432996.4500299999</c:v>
                </c:pt>
                <c:pt idx="99">
                  <c:v>2433182.8790600002</c:v>
                </c:pt>
                <c:pt idx="100">
                  <c:v>2433361.6910899999</c:v>
                </c:pt>
                <c:pt idx="101">
                  <c:v>2433548.1135999998</c:v>
                </c:pt>
                <c:pt idx="102">
                  <c:v>2433726.9345399998</c:v>
                </c:pt>
                <c:pt idx="103">
                  <c:v>2433913.3589400002</c:v>
                </c:pt>
                <c:pt idx="104">
                  <c:v>2434092.1762299999</c:v>
                </c:pt>
                <c:pt idx="105">
                  <c:v>2434278.5997799998</c:v>
                </c:pt>
                <c:pt idx="106">
                  <c:v>2434457.4170300001</c:v>
                </c:pt>
                <c:pt idx="107">
                  <c:v>2434643.8374399999</c:v>
                </c:pt>
                <c:pt idx="108">
                  <c:v>2434822.6621099999</c:v>
                </c:pt>
                <c:pt idx="109">
                  <c:v>2435009.0800600001</c:v>
                </c:pt>
                <c:pt idx="110">
                  <c:v>2435187.8993899999</c:v>
                </c:pt>
                <c:pt idx="111">
                  <c:v>2435374.3200699999</c:v>
                </c:pt>
                <c:pt idx="112">
                  <c:v>2435553.1390999998</c:v>
                </c:pt>
                <c:pt idx="113">
                  <c:v>2435739.5660199998</c:v>
                </c:pt>
                <c:pt idx="114">
                  <c:v>2435918.3864600002</c:v>
                </c:pt>
                <c:pt idx="115">
                  <c:v>2436104.8097799998</c:v>
                </c:pt>
                <c:pt idx="116">
                  <c:v>2436283.62904</c:v>
                </c:pt>
                <c:pt idx="117">
                  <c:v>2436470.04782</c:v>
                </c:pt>
                <c:pt idx="118">
                  <c:v>2436648.8712200001</c:v>
                </c:pt>
                <c:pt idx="119">
                  <c:v>2436835.2975499998</c:v>
                </c:pt>
                <c:pt idx="120">
                  <c:v>2437014.1129700001</c:v>
                </c:pt>
                <c:pt idx="121">
                  <c:v>2437200.5408800002</c:v>
                </c:pt>
                <c:pt idx="122">
                  <c:v>2437379.3556400002</c:v>
                </c:pt>
                <c:pt idx="123">
                  <c:v>2437565.7794900001</c:v>
                </c:pt>
                <c:pt idx="124">
                  <c:v>2437744.6038700002</c:v>
                </c:pt>
                <c:pt idx="125">
                  <c:v>2437931.0244700001</c:v>
                </c:pt>
                <c:pt idx="126">
                  <c:v>2438109.8470100001</c:v>
                </c:pt>
                <c:pt idx="127">
                  <c:v>2438296.26633</c:v>
                </c:pt>
                <c:pt idx="128">
                  <c:v>2438475.0902</c:v>
                </c:pt>
                <c:pt idx="129">
                  <c:v>2438661.5115899998</c:v>
                </c:pt>
                <c:pt idx="130">
                  <c:v>2438840.33666</c:v>
                </c:pt>
                <c:pt idx="131">
                  <c:v>2439026.7541800002</c:v>
                </c:pt>
                <c:pt idx="132">
                  <c:v>2439205.5784300002</c:v>
                </c:pt>
                <c:pt idx="133">
                  <c:v>2439391.9883099999</c:v>
                </c:pt>
                <c:pt idx="134">
                  <c:v>2439570.8172499998</c:v>
                </c:pt>
                <c:pt idx="135">
                  <c:v>2439757.23477</c:v>
                </c:pt>
                <c:pt idx="136">
                  <c:v>2439936.0569699998</c:v>
                </c:pt>
                <c:pt idx="137">
                  <c:v>2440122.4765300001</c:v>
                </c:pt>
                <c:pt idx="138">
                  <c:v>2440301.2973000002</c:v>
                </c:pt>
                <c:pt idx="139">
                  <c:v>2440487.7131500002</c:v>
                </c:pt>
                <c:pt idx="140">
                  <c:v>2440666.5391299999</c:v>
                </c:pt>
                <c:pt idx="141">
                  <c:v>2440852.9576300001</c:v>
                </c:pt>
                <c:pt idx="142">
                  <c:v>2441031.7765000002</c:v>
                </c:pt>
                <c:pt idx="143">
                  <c:v>2441218.1978600002</c:v>
                </c:pt>
                <c:pt idx="144">
                  <c:v>2441397.0148800001</c:v>
                </c:pt>
                <c:pt idx="145">
                  <c:v>2441583.4394299998</c:v>
                </c:pt>
                <c:pt idx="146">
                  <c:v>2441762.2586699999</c:v>
                </c:pt>
                <c:pt idx="147">
                  <c:v>2441948.6813500002</c:v>
                </c:pt>
                <c:pt idx="148">
                  <c:v>2442127.5046199998</c:v>
                </c:pt>
                <c:pt idx="149">
                  <c:v>2442313.9155899999</c:v>
                </c:pt>
                <c:pt idx="150">
                  <c:v>2442492.7477099998</c:v>
                </c:pt>
                <c:pt idx="151">
                  <c:v>2442679.1633600001</c:v>
                </c:pt>
                <c:pt idx="152">
                  <c:v>2442857.99279</c:v>
                </c:pt>
                <c:pt idx="153">
                  <c:v>2443044.4084800002</c:v>
                </c:pt>
                <c:pt idx="154">
                  <c:v>2443223.2376999999</c:v>
                </c:pt>
                <c:pt idx="155">
                  <c:v>2443409.6453399998</c:v>
                </c:pt>
                <c:pt idx="156">
                  <c:v>2443588.48166</c:v>
                </c:pt>
                <c:pt idx="157">
                  <c:v>2443774.8926599999</c:v>
                </c:pt>
                <c:pt idx="158">
                  <c:v>2443953.72358</c:v>
                </c:pt>
                <c:pt idx="159">
                  <c:v>2444140.1364000002</c:v>
                </c:pt>
                <c:pt idx="160">
                  <c:v>2444318.9650699999</c:v>
                </c:pt>
                <c:pt idx="161">
                  <c:v>2444505.38105</c:v>
                </c:pt>
                <c:pt idx="162">
                  <c:v>2444684.2103200001</c:v>
                </c:pt>
                <c:pt idx="163">
                  <c:v>2444870.6286200001</c:v>
                </c:pt>
                <c:pt idx="164">
                  <c:v>2445049.4554499998</c:v>
                </c:pt>
                <c:pt idx="165">
                  <c:v>2445235.8654299998</c:v>
                </c:pt>
                <c:pt idx="166">
                  <c:v>2445414.6935899998</c:v>
                </c:pt>
                <c:pt idx="167">
                  <c:v>2445601.1122499998</c:v>
                </c:pt>
                <c:pt idx="168">
                  <c:v>2445779.93358</c:v>
                </c:pt>
                <c:pt idx="169">
                  <c:v>2445966.3561800001</c:v>
                </c:pt>
                <c:pt idx="170">
                  <c:v>2446145.1762199998</c:v>
                </c:pt>
                <c:pt idx="171">
                  <c:v>2446331.5885200002</c:v>
                </c:pt>
                <c:pt idx="172">
                  <c:v>2446510.4185500001</c:v>
                </c:pt>
                <c:pt idx="173">
                  <c:v>2446696.83256</c:v>
                </c:pt>
                <c:pt idx="174">
                  <c:v>2446875.6611000001</c:v>
                </c:pt>
                <c:pt idx="175">
                  <c:v>2447062.0731100002</c:v>
                </c:pt>
                <c:pt idx="176">
                  <c:v>2447240.9018199998</c:v>
                </c:pt>
                <c:pt idx="177">
                  <c:v>2447427.31171</c:v>
                </c:pt>
                <c:pt idx="178">
                  <c:v>2447606.14463</c:v>
                </c:pt>
                <c:pt idx="179">
                  <c:v>2447792.55529</c:v>
                </c:pt>
                <c:pt idx="180">
                  <c:v>2447971.38839</c:v>
                </c:pt>
                <c:pt idx="181">
                  <c:v>2448157.7885500002</c:v>
                </c:pt>
                <c:pt idx="182">
                  <c:v>2448336.62635</c:v>
                </c:pt>
                <c:pt idx="183">
                  <c:v>2448523.0334000001</c:v>
                </c:pt>
                <c:pt idx="184">
                  <c:v>2448701.8667100002</c:v>
                </c:pt>
                <c:pt idx="185">
                  <c:v>2448888.2797099999</c:v>
                </c:pt>
                <c:pt idx="186">
                  <c:v>2449067.1115600001</c:v>
                </c:pt>
                <c:pt idx="187">
                  <c:v>2449253.5156100001</c:v>
                </c:pt>
                <c:pt idx="188">
                  <c:v>2449432.3527899999</c:v>
                </c:pt>
                <c:pt idx="189">
                  <c:v>2449618.7633600002</c:v>
                </c:pt>
                <c:pt idx="190">
                  <c:v>2449797.5933599998</c:v>
                </c:pt>
                <c:pt idx="191">
                  <c:v>2449984.0090299998</c:v>
                </c:pt>
                <c:pt idx="192">
                  <c:v>2450162.8354699998</c:v>
                </c:pt>
                <c:pt idx="193">
                  <c:v>2450349.2500800001</c:v>
                </c:pt>
                <c:pt idx="194">
                  <c:v>2450528.0796300001</c:v>
                </c:pt>
                <c:pt idx="195">
                  <c:v>2450714.49707</c:v>
                </c:pt>
                <c:pt idx="196">
                  <c:v>2450893.3295399998</c:v>
                </c:pt>
                <c:pt idx="197">
                  <c:v>2451079.7341700001</c:v>
                </c:pt>
                <c:pt idx="198">
                  <c:v>2451258.5734799998</c:v>
                </c:pt>
                <c:pt idx="199">
                  <c:v>2451444.9802199998</c:v>
                </c:pt>
                <c:pt idx="200">
                  <c:v>2451623.8161499999</c:v>
                </c:pt>
                <c:pt idx="201">
                  <c:v>2451810.22749</c:v>
                </c:pt>
                <c:pt idx="202">
                  <c:v>2451989.0629599998</c:v>
                </c:pt>
                <c:pt idx="203">
                  <c:v>2452175.46141</c:v>
                </c:pt>
                <c:pt idx="204">
                  <c:v>2452354.30284</c:v>
                </c:pt>
                <c:pt idx="205">
                  <c:v>2452540.7050899998</c:v>
                </c:pt>
                <c:pt idx="206">
                  <c:v>2452719.5414499999</c:v>
                </c:pt>
                <c:pt idx="207">
                  <c:v>2452905.94912</c:v>
                </c:pt>
                <c:pt idx="208">
                  <c:v>2453084.7837</c:v>
                </c:pt>
                <c:pt idx="209">
                  <c:v>2453271.18731</c:v>
                </c:pt>
                <c:pt idx="210">
                  <c:v>2453450.0231300001</c:v>
                </c:pt>
                <c:pt idx="211">
                  <c:v>2453636.4326599999</c:v>
                </c:pt>
                <c:pt idx="212">
                  <c:v>2453815.2676599999</c:v>
                </c:pt>
                <c:pt idx="213">
                  <c:v>2454001.6688999999</c:v>
                </c:pt>
                <c:pt idx="214">
                  <c:v>2454180.5050300001</c:v>
                </c:pt>
                <c:pt idx="215">
                  <c:v>2454366.9104599999</c:v>
                </c:pt>
                <c:pt idx="216">
                  <c:v>2454545.74175</c:v>
                </c:pt>
                <c:pt idx="217">
                  <c:v>2454732.15576</c:v>
                </c:pt>
                <c:pt idx="218">
                  <c:v>2454910.9885</c:v>
                </c:pt>
                <c:pt idx="219">
                  <c:v>2455097.3877699999</c:v>
                </c:pt>
                <c:pt idx="220">
                  <c:v>2455276.2305399999</c:v>
                </c:pt>
                <c:pt idx="221">
                  <c:v>2455462.63111</c:v>
                </c:pt>
                <c:pt idx="222">
                  <c:v>2455641.4725600001</c:v>
                </c:pt>
                <c:pt idx="223">
                  <c:v>2455827.8780399999</c:v>
                </c:pt>
                <c:pt idx="224">
                  <c:v>2456006.7181600002</c:v>
                </c:pt>
                <c:pt idx="225">
                  <c:v>2456193.1171599999</c:v>
                </c:pt>
                <c:pt idx="226">
                  <c:v>2456371.9594700001</c:v>
                </c:pt>
                <c:pt idx="227">
                  <c:v>2456558.3637799998</c:v>
                </c:pt>
                <c:pt idx="228">
                  <c:v>2456737.2061100001</c:v>
                </c:pt>
                <c:pt idx="229">
                  <c:v>2456923.6033100002</c:v>
                </c:pt>
                <c:pt idx="230">
                  <c:v>2457102.4477900001</c:v>
                </c:pt>
                <c:pt idx="231">
                  <c:v>2457288.8473800002</c:v>
                </c:pt>
                <c:pt idx="232">
                  <c:v>2457467.6874000002</c:v>
                </c:pt>
              </c:numCache>
            </c:numRef>
          </c:xVal>
          <c:yVal>
            <c:numRef>
              <c:f>Sheet3!$F$2:$F$234</c:f>
              <c:numCache>
                <c:formatCode>General</c:formatCode>
                <c:ptCount val="233"/>
                <c:pt idx="0">
                  <c:v>-21.035399999999999</c:v>
                </c:pt>
                <c:pt idx="1">
                  <c:v>-3.6122999999999998</c:v>
                </c:pt>
                <c:pt idx="2">
                  <c:v>6.7918000000000003</c:v>
                </c:pt>
                <c:pt idx="3">
                  <c:v>-15.8225</c:v>
                </c:pt>
                <c:pt idx="4">
                  <c:v>6.6543000000000001</c:v>
                </c:pt>
                <c:pt idx="5">
                  <c:v>18.1938</c:v>
                </c:pt>
                <c:pt idx="6">
                  <c:v>-18.4954</c:v>
                </c:pt>
                <c:pt idx="7">
                  <c:v>-12.635400000000001</c:v>
                </c:pt>
                <c:pt idx="8">
                  <c:v>11.3285</c:v>
                </c:pt>
                <c:pt idx="9">
                  <c:v>-5.8114999999999997</c:v>
                </c:pt>
                <c:pt idx="10">
                  <c:v>0.55149999999999999</c:v>
                </c:pt>
                <c:pt idx="11">
                  <c:v>17.6738</c:v>
                </c:pt>
                <c:pt idx="12">
                  <c:v>-15.546900000000001</c:v>
                </c:pt>
                <c:pt idx="13">
                  <c:v>-18.709299999999999</c:v>
                </c:pt>
                <c:pt idx="14">
                  <c:v>20.139099999999999</c:v>
                </c:pt>
                <c:pt idx="15">
                  <c:v>5.9751000000000003</c:v>
                </c:pt>
                <c:pt idx="16">
                  <c:v>-9.3557000000000006</c:v>
                </c:pt>
                <c:pt idx="17">
                  <c:v>12.9436</c:v>
                </c:pt>
                <c:pt idx="18">
                  <c:v>-8.7021999999999995</c:v>
                </c:pt>
                <c:pt idx="19">
                  <c:v>-26.4895</c:v>
                </c:pt>
                <c:pt idx="20">
                  <c:v>21.375499999999999</c:v>
                </c:pt>
                <c:pt idx="21">
                  <c:v>21.691700000000001</c:v>
                </c:pt>
                <c:pt idx="22">
                  <c:v>-26.1082</c:v>
                </c:pt>
                <c:pt idx="23">
                  <c:v>-7.2305999999999999</c:v>
                </c:pt>
                <c:pt idx="24">
                  <c:v>8.9967000000000006</c:v>
                </c:pt>
                <c:pt idx="25">
                  <c:v>-16.9878</c:v>
                </c:pt>
                <c:pt idx="26">
                  <c:v>8.0279000000000007</c:v>
                </c:pt>
                <c:pt idx="27">
                  <c:v>27.7745</c:v>
                </c:pt>
                <c:pt idx="28">
                  <c:v>-24.161300000000001</c:v>
                </c:pt>
                <c:pt idx="29">
                  <c:v>-24.820900000000002</c:v>
                </c:pt>
                <c:pt idx="30">
                  <c:v>25.870699999999999</c:v>
                </c:pt>
                <c:pt idx="31">
                  <c:v>6.5804</c:v>
                </c:pt>
                <c:pt idx="32">
                  <c:v>-11.2197</c:v>
                </c:pt>
                <c:pt idx="33">
                  <c:v>14.277900000000001</c:v>
                </c:pt>
                <c:pt idx="34">
                  <c:v>-7.9931999999999999</c:v>
                </c:pt>
                <c:pt idx="35">
                  <c:v>-25.368600000000001</c:v>
                </c:pt>
                <c:pt idx="36">
                  <c:v>18.8172</c:v>
                </c:pt>
                <c:pt idx="37">
                  <c:v>18.578199999999999</c:v>
                </c:pt>
                <c:pt idx="38">
                  <c:v>-20.416399999999999</c:v>
                </c:pt>
                <c:pt idx="39">
                  <c:v>-4.2194000000000003</c:v>
                </c:pt>
                <c:pt idx="40">
                  <c:v>4.6420000000000003</c:v>
                </c:pt>
                <c:pt idx="41">
                  <c:v>-14.6388</c:v>
                </c:pt>
                <c:pt idx="42">
                  <c:v>8.4291999999999998</c:v>
                </c:pt>
                <c:pt idx="43">
                  <c:v>17.268599999999999</c:v>
                </c:pt>
                <c:pt idx="44">
                  <c:v>-18.416499999999999</c:v>
                </c:pt>
                <c:pt idx="45">
                  <c:v>-11.5924</c:v>
                </c:pt>
                <c:pt idx="46">
                  <c:v>11.557</c:v>
                </c:pt>
                <c:pt idx="47">
                  <c:v>-5.6656000000000004</c:v>
                </c:pt>
                <c:pt idx="48">
                  <c:v>2.8134000000000001</c:v>
                </c:pt>
                <c:pt idx="49">
                  <c:v>18.400099999999998</c:v>
                </c:pt>
                <c:pt idx="50">
                  <c:v>-17.2654</c:v>
                </c:pt>
                <c:pt idx="51">
                  <c:v>-17.833300000000001</c:v>
                </c:pt>
                <c:pt idx="52">
                  <c:v>20.8032</c:v>
                </c:pt>
                <c:pt idx="53">
                  <c:v>5.3667999999999996</c:v>
                </c:pt>
                <c:pt idx="54">
                  <c:v>-9.7181999999999995</c:v>
                </c:pt>
                <c:pt idx="55">
                  <c:v>11.835800000000001</c:v>
                </c:pt>
                <c:pt idx="56">
                  <c:v>-10.621499999999999</c:v>
                </c:pt>
                <c:pt idx="57">
                  <c:v>-26.464700000000001</c:v>
                </c:pt>
                <c:pt idx="58">
                  <c:v>22.6784</c:v>
                </c:pt>
                <c:pt idx="59">
                  <c:v>19.7803</c:v>
                </c:pt>
                <c:pt idx="60">
                  <c:v>-27.796199999999999</c:v>
                </c:pt>
                <c:pt idx="61">
                  <c:v>-7.1848999999999998</c:v>
                </c:pt>
                <c:pt idx="62">
                  <c:v>9.8588000000000005</c:v>
                </c:pt>
                <c:pt idx="63">
                  <c:v>-15.347300000000001</c:v>
                </c:pt>
                <c:pt idx="64">
                  <c:v>10.179</c:v>
                </c:pt>
                <c:pt idx="65">
                  <c:v>28.162500000000001</c:v>
                </c:pt>
                <c:pt idx="66">
                  <c:v>-24.450600000000001</c:v>
                </c:pt>
                <c:pt idx="67">
                  <c:v>-23.083500000000001</c:v>
                </c:pt>
                <c:pt idx="68">
                  <c:v>26.002600000000001</c:v>
                </c:pt>
                <c:pt idx="69">
                  <c:v>6.2656999999999998</c:v>
                </c:pt>
                <c:pt idx="70">
                  <c:v>-10.922700000000001</c:v>
                </c:pt>
                <c:pt idx="71">
                  <c:v>11.902900000000001</c:v>
                </c:pt>
                <c:pt idx="72">
                  <c:v>-9.9481000000000002</c:v>
                </c:pt>
                <c:pt idx="73">
                  <c:v>-24.1845</c:v>
                </c:pt>
                <c:pt idx="74">
                  <c:v>18.7881</c:v>
                </c:pt>
                <c:pt idx="75">
                  <c:v>16.203399999999998</c:v>
                </c:pt>
                <c:pt idx="76">
                  <c:v>-20.779599999999999</c:v>
                </c:pt>
                <c:pt idx="77">
                  <c:v>-3.6015000000000001</c:v>
                </c:pt>
                <c:pt idx="78">
                  <c:v>3.9942000000000002</c:v>
                </c:pt>
                <c:pt idx="79">
                  <c:v>-13.7745</c:v>
                </c:pt>
                <c:pt idx="80">
                  <c:v>10.6196</c:v>
                </c:pt>
                <c:pt idx="81">
                  <c:v>17.1556</c:v>
                </c:pt>
                <c:pt idx="82">
                  <c:v>-18.457899999999999</c:v>
                </c:pt>
                <c:pt idx="83">
                  <c:v>-9.5076000000000001</c:v>
                </c:pt>
                <c:pt idx="84">
                  <c:v>12.1357</c:v>
                </c:pt>
                <c:pt idx="85">
                  <c:v>-6.5364000000000004</c:v>
                </c:pt>
                <c:pt idx="86">
                  <c:v>3.6389</c:v>
                </c:pt>
                <c:pt idx="87">
                  <c:v>18.1919</c:v>
                </c:pt>
                <c:pt idx="88">
                  <c:v>-19.079899999999999</c:v>
                </c:pt>
                <c:pt idx="89">
                  <c:v>-17.197500000000002</c:v>
                </c:pt>
                <c:pt idx="90">
                  <c:v>21.603300000000001</c:v>
                </c:pt>
                <c:pt idx="91">
                  <c:v>3.2481</c:v>
                </c:pt>
                <c:pt idx="92">
                  <c:v>-11.747299999999999</c:v>
                </c:pt>
                <c:pt idx="93">
                  <c:v>12.115500000000001</c:v>
                </c:pt>
                <c:pt idx="94">
                  <c:v>-11.2607</c:v>
                </c:pt>
                <c:pt idx="95">
                  <c:v>-27.063700000000001</c:v>
                </c:pt>
                <c:pt idx="96">
                  <c:v>24.764900000000001</c:v>
                </c:pt>
                <c:pt idx="97">
                  <c:v>19.5947</c:v>
                </c:pt>
                <c:pt idx="98">
                  <c:v>-28.261500000000002</c:v>
                </c:pt>
                <c:pt idx="99">
                  <c:v>-5.2789000000000001</c:v>
                </c:pt>
                <c:pt idx="100">
                  <c:v>11.786099999999999</c:v>
                </c:pt>
                <c:pt idx="101">
                  <c:v>-14.597899999999999</c:v>
                </c:pt>
                <c:pt idx="102">
                  <c:v>10.1556</c:v>
                </c:pt>
                <c:pt idx="103">
                  <c:v>27.079799999999999</c:v>
                </c:pt>
                <c:pt idx="104">
                  <c:v>-25.630199999999999</c:v>
                </c:pt>
                <c:pt idx="105">
                  <c:v>-21.2653</c:v>
                </c:pt>
                <c:pt idx="106">
                  <c:v>26.069299999999998</c:v>
                </c:pt>
                <c:pt idx="107">
                  <c:v>4.1649000000000003</c:v>
                </c:pt>
                <c:pt idx="108">
                  <c:v>-12.372400000000001</c:v>
                </c:pt>
                <c:pt idx="109">
                  <c:v>11.0436</c:v>
                </c:pt>
                <c:pt idx="110">
                  <c:v>-10.469900000000001</c:v>
                </c:pt>
                <c:pt idx="111">
                  <c:v>-23.7224</c:v>
                </c:pt>
                <c:pt idx="112">
                  <c:v>19.737100000000002</c:v>
                </c:pt>
                <c:pt idx="113">
                  <c:v>14.6381</c:v>
                </c:pt>
                <c:pt idx="114">
                  <c:v>-20.3598</c:v>
                </c:pt>
                <c:pt idx="115">
                  <c:v>-1.5256000000000001</c:v>
                </c:pt>
                <c:pt idx="116">
                  <c:v>4.3041999999999998</c:v>
                </c:pt>
                <c:pt idx="117">
                  <c:v>-13.299799999999999</c:v>
                </c:pt>
                <c:pt idx="118">
                  <c:v>11.4076</c:v>
                </c:pt>
                <c:pt idx="119">
                  <c:v>16.910499999999999</c:v>
                </c:pt>
                <c:pt idx="120">
                  <c:v>-18.725000000000001</c:v>
                </c:pt>
                <c:pt idx="121">
                  <c:v>-7.2926000000000002</c:v>
                </c:pt>
                <c:pt idx="122">
                  <c:v>12.758599999999999</c:v>
                </c:pt>
                <c:pt idx="123">
                  <c:v>-8.6605000000000008</c:v>
                </c:pt>
                <c:pt idx="124">
                  <c:v>3.3738000000000001</c:v>
                </c:pt>
                <c:pt idx="125">
                  <c:v>18.6188</c:v>
                </c:pt>
                <c:pt idx="126">
                  <c:v>-20.721399999999999</c:v>
                </c:pt>
                <c:pt idx="127">
                  <c:v>-18.617100000000001</c:v>
                </c:pt>
                <c:pt idx="128">
                  <c:v>21.922899999999998</c:v>
                </c:pt>
                <c:pt idx="129">
                  <c:v>1.3347</c:v>
                </c:pt>
                <c:pt idx="130">
                  <c:v>-13.496700000000001</c:v>
                </c:pt>
                <c:pt idx="131">
                  <c:v>14.055300000000001</c:v>
                </c:pt>
                <c:pt idx="132">
                  <c:v>-9.8428000000000004</c:v>
                </c:pt>
                <c:pt idx="133">
                  <c:v>-26.7926</c:v>
                </c:pt>
                <c:pt idx="134">
                  <c:v>25.349499999999999</c:v>
                </c:pt>
                <c:pt idx="135">
                  <c:v>20.443899999999999</c:v>
                </c:pt>
                <c:pt idx="136">
                  <c:v>-27.882200000000001</c:v>
                </c:pt>
                <c:pt idx="137">
                  <c:v>-3.1183000000000001</c:v>
                </c:pt>
                <c:pt idx="138">
                  <c:v>13.8796</c:v>
                </c:pt>
                <c:pt idx="139">
                  <c:v>-16.000499999999999</c:v>
                </c:pt>
                <c:pt idx="140">
                  <c:v>8.6539999999999999</c:v>
                </c:pt>
                <c:pt idx="141">
                  <c:v>26.393599999999999</c:v>
                </c:pt>
                <c:pt idx="142">
                  <c:v>-26.818300000000001</c:v>
                </c:pt>
                <c:pt idx="143">
                  <c:v>-21.8627</c:v>
                </c:pt>
                <c:pt idx="144">
                  <c:v>25.466899999999999</c:v>
                </c:pt>
                <c:pt idx="145">
                  <c:v>2.1404999999999998</c:v>
                </c:pt>
                <c:pt idx="146">
                  <c:v>-13.5007</c:v>
                </c:pt>
                <c:pt idx="147">
                  <c:v>12.099299999999999</c:v>
                </c:pt>
                <c:pt idx="148">
                  <c:v>-9.0158000000000005</c:v>
                </c:pt>
                <c:pt idx="149">
                  <c:v>-22.440300000000001</c:v>
                </c:pt>
                <c:pt idx="150">
                  <c:v>19.734100000000002</c:v>
                </c:pt>
                <c:pt idx="151">
                  <c:v>13.790800000000001</c:v>
                </c:pt>
                <c:pt idx="152">
                  <c:v>-19.3659</c:v>
                </c:pt>
                <c:pt idx="153">
                  <c:v>0.77980000000000005</c:v>
                </c:pt>
                <c:pt idx="154">
                  <c:v>4.7923999999999998</c:v>
                </c:pt>
                <c:pt idx="155">
                  <c:v>-14.2812</c:v>
                </c:pt>
                <c:pt idx="156">
                  <c:v>11.4895</c:v>
                </c:pt>
                <c:pt idx="157">
                  <c:v>17.2669</c:v>
                </c:pt>
                <c:pt idx="158">
                  <c:v>-19.092300000000002</c:v>
                </c:pt>
                <c:pt idx="159">
                  <c:v>-6.7378999999999998</c:v>
                </c:pt>
                <c:pt idx="160">
                  <c:v>12.4475</c:v>
                </c:pt>
                <c:pt idx="161">
                  <c:v>-11.2049</c:v>
                </c:pt>
                <c:pt idx="162">
                  <c:v>2.6356000000000002</c:v>
                </c:pt>
                <c:pt idx="163">
                  <c:v>19.632899999999999</c:v>
                </c:pt>
                <c:pt idx="164">
                  <c:v>-20.6935</c:v>
                </c:pt>
                <c:pt idx="165">
                  <c:v>-20.130400000000002</c:v>
                </c:pt>
                <c:pt idx="166">
                  <c:v>21.042999999999999</c:v>
                </c:pt>
                <c:pt idx="167">
                  <c:v>1.1026</c:v>
                </c:pt>
                <c:pt idx="168">
                  <c:v>-13.8111</c:v>
                </c:pt>
                <c:pt idx="169">
                  <c:v>16.1355</c:v>
                </c:pt>
                <c:pt idx="170">
                  <c:v>-8.2787000000000006</c:v>
                </c:pt>
                <c:pt idx="171">
                  <c:v>-27.232700000000001</c:v>
                </c:pt>
                <c:pt idx="172">
                  <c:v>25.810099999999998</c:v>
                </c:pt>
                <c:pt idx="173">
                  <c:v>22.625299999999999</c:v>
                </c:pt>
                <c:pt idx="174">
                  <c:v>-27.362400000000001</c:v>
                </c:pt>
                <c:pt idx="175">
                  <c:v>-2.9859</c:v>
                </c:pt>
                <c:pt idx="176">
                  <c:v>14.454599999999999</c:v>
                </c:pt>
                <c:pt idx="177">
                  <c:v>-18.570900000000002</c:v>
                </c:pt>
                <c:pt idx="178">
                  <c:v>6.3204000000000002</c:v>
                </c:pt>
                <c:pt idx="179">
                  <c:v>25.912400000000002</c:v>
                </c:pt>
                <c:pt idx="180">
                  <c:v>-25.737300000000001</c:v>
                </c:pt>
                <c:pt idx="181">
                  <c:v>-22.6844</c:v>
                </c:pt>
                <c:pt idx="182">
                  <c:v>23.629200000000001</c:v>
                </c:pt>
                <c:pt idx="183">
                  <c:v>1.6144000000000001</c:v>
                </c:pt>
                <c:pt idx="184">
                  <c:v>-13.4961</c:v>
                </c:pt>
                <c:pt idx="185">
                  <c:v>13.8916</c:v>
                </c:pt>
                <c:pt idx="186">
                  <c:v>-7.3708999999999998</c:v>
                </c:pt>
                <c:pt idx="187">
                  <c:v>-21.717600000000001</c:v>
                </c:pt>
                <c:pt idx="188">
                  <c:v>19.670400000000001</c:v>
                </c:pt>
                <c:pt idx="189">
                  <c:v>14.241300000000001</c:v>
                </c:pt>
                <c:pt idx="190">
                  <c:v>-18.0566</c:v>
                </c:pt>
                <c:pt idx="191">
                  <c:v>1.9278</c:v>
                </c:pt>
                <c:pt idx="192">
                  <c:v>4.2991000000000001</c:v>
                </c:pt>
                <c:pt idx="193">
                  <c:v>-16.220700000000001</c:v>
                </c:pt>
                <c:pt idx="194">
                  <c:v>10.815099999999999</c:v>
                </c:pt>
                <c:pt idx="195">
                  <c:v>17.3598</c:v>
                </c:pt>
                <c:pt idx="196">
                  <c:v>-18.7346</c:v>
                </c:pt>
                <c:pt idx="197">
                  <c:v>-7.2314999999999996</c:v>
                </c:pt>
                <c:pt idx="198">
                  <c:v>10.5962</c:v>
                </c:pt>
                <c:pt idx="199">
                  <c:v>-12.190200000000001</c:v>
                </c:pt>
                <c:pt idx="200">
                  <c:v>2.6806000000000001</c:v>
                </c:pt>
                <c:pt idx="201">
                  <c:v>20.706700000000001</c:v>
                </c:pt>
                <c:pt idx="202">
                  <c:v>-20.623999999999999</c:v>
                </c:pt>
                <c:pt idx="203">
                  <c:v>-21.3766</c:v>
                </c:pt>
                <c:pt idx="204">
                  <c:v>21.438199999999998</c:v>
                </c:pt>
                <c:pt idx="205">
                  <c:v>2.5217999999999998</c:v>
                </c:pt>
                <c:pt idx="206">
                  <c:v>-12.529500000000001</c:v>
                </c:pt>
                <c:pt idx="207">
                  <c:v>17.579899999999999</c:v>
                </c:pt>
                <c:pt idx="208">
                  <c:v>-7.5518000000000001</c:v>
                </c:pt>
                <c:pt idx="209">
                  <c:v>-28.5776</c:v>
                </c:pt>
                <c:pt idx="210">
                  <c:v>24.616</c:v>
                </c:pt>
                <c:pt idx="211">
                  <c:v>24.071899999999999</c:v>
                </c:pt>
                <c:pt idx="212">
                  <c:v>-26.151299999999999</c:v>
                </c:pt>
                <c:pt idx="213">
                  <c:v>-4.5808</c:v>
                </c:pt>
                <c:pt idx="214">
                  <c:v>12.6343</c:v>
                </c:pt>
                <c:pt idx="215">
                  <c:v>-18.986599999999999</c:v>
                </c:pt>
                <c:pt idx="216">
                  <c:v>5.1101999999999999</c:v>
                </c:pt>
                <c:pt idx="217">
                  <c:v>25.8474</c:v>
                </c:pt>
                <c:pt idx="218">
                  <c:v>-24.4634</c:v>
                </c:pt>
                <c:pt idx="219">
                  <c:v>-23.4161</c:v>
                </c:pt>
                <c:pt idx="220">
                  <c:v>22.6768</c:v>
                </c:pt>
                <c:pt idx="221">
                  <c:v>2.7063999999999999</c:v>
                </c:pt>
                <c:pt idx="222">
                  <c:v>-12.0791</c:v>
                </c:pt>
                <c:pt idx="223">
                  <c:v>15.1373</c:v>
                </c:pt>
                <c:pt idx="224">
                  <c:v>-6.5486000000000004</c:v>
                </c:pt>
                <c:pt idx="225">
                  <c:v>-21.7791</c:v>
                </c:pt>
                <c:pt idx="226">
                  <c:v>18.563500000000001</c:v>
                </c:pt>
                <c:pt idx="227">
                  <c:v>14.430999999999999</c:v>
                </c:pt>
                <c:pt idx="228">
                  <c:v>-15.946899999999999</c:v>
                </c:pt>
                <c:pt idx="229">
                  <c:v>1.7946</c:v>
                </c:pt>
                <c:pt idx="230">
                  <c:v>2.4561000000000002</c:v>
                </c:pt>
                <c:pt idx="231">
                  <c:v>-16.965800000000002</c:v>
                </c:pt>
                <c:pt idx="232">
                  <c:v>10.6387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842608"/>
        <c:axId val="888856328"/>
      </c:scatterChart>
      <c:valAx>
        <c:axId val="888842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856328"/>
        <c:crosses val="autoZero"/>
        <c:crossBetween val="midCat"/>
      </c:valAx>
      <c:valAx>
        <c:axId val="88885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84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Lunar Dec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Sheet3!$E$2:$E$234</c:f>
              <c:numCache>
                <c:formatCode>General</c:formatCode>
                <c:ptCount val="233"/>
                <c:pt idx="0">
                  <c:v>1900.3074961258562</c:v>
                </c:pt>
                <c:pt idx="1">
                  <c:v>1900.8129719473663</c:v>
                </c:pt>
                <c:pt idx="2">
                  <c:v>1901.3074961258562</c:v>
                </c:pt>
                <c:pt idx="3">
                  <c:v>1901.8129719473663</c:v>
                </c:pt>
                <c:pt idx="4">
                  <c:v>1902.3074961258562</c:v>
                </c:pt>
                <c:pt idx="5">
                  <c:v>1902.8129719473663</c:v>
                </c:pt>
                <c:pt idx="6">
                  <c:v>1903.3074961258562</c:v>
                </c:pt>
                <c:pt idx="7">
                  <c:v>1903.8157098581214</c:v>
                </c:pt>
                <c:pt idx="8">
                  <c:v>1904.3074961258562</c:v>
                </c:pt>
                <c:pt idx="9">
                  <c:v>1904.8129719473663</c:v>
                </c:pt>
                <c:pt idx="10">
                  <c:v>1905.3074961258562</c:v>
                </c:pt>
                <c:pt idx="11">
                  <c:v>1905.8129719473663</c:v>
                </c:pt>
                <c:pt idx="12">
                  <c:v>1906.3074961258562</c:v>
                </c:pt>
                <c:pt idx="13">
                  <c:v>1906.8129719473663</c:v>
                </c:pt>
                <c:pt idx="14">
                  <c:v>1907.3074961258562</c:v>
                </c:pt>
                <c:pt idx="15">
                  <c:v>1907.8157098581214</c:v>
                </c:pt>
                <c:pt idx="16">
                  <c:v>1908.3074961258562</c:v>
                </c:pt>
                <c:pt idx="17">
                  <c:v>1908.8129719473663</c:v>
                </c:pt>
                <c:pt idx="18">
                  <c:v>1909.3074961258562</c:v>
                </c:pt>
                <c:pt idx="19">
                  <c:v>1909.8129719473663</c:v>
                </c:pt>
                <c:pt idx="20">
                  <c:v>1910.3074961258562</c:v>
                </c:pt>
                <c:pt idx="21">
                  <c:v>1910.8129719473663</c:v>
                </c:pt>
                <c:pt idx="22">
                  <c:v>1911.3074961258562</c:v>
                </c:pt>
                <c:pt idx="23">
                  <c:v>1911.8157098581214</c:v>
                </c:pt>
                <c:pt idx="24">
                  <c:v>1912.3047582151012</c:v>
                </c:pt>
                <c:pt idx="25">
                  <c:v>1912.8129719473663</c:v>
                </c:pt>
                <c:pt idx="26">
                  <c:v>1913.3074961258562</c:v>
                </c:pt>
                <c:pt idx="27">
                  <c:v>1913.8129719473663</c:v>
                </c:pt>
                <c:pt idx="28">
                  <c:v>1914.3074961258562</c:v>
                </c:pt>
                <c:pt idx="29">
                  <c:v>1914.8129719473663</c:v>
                </c:pt>
                <c:pt idx="30">
                  <c:v>1915.3074961258562</c:v>
                </c:pt>
                <c:pt idx="31">
                  <c:v>1915.8157098581214</c:v>
                </c:pt>
                <c:pt idx="32">
                  <c:v>1916.3047582151012</c:v>
                </c:pt>
                <c:pt idx="33">
                  <c:v>1916.8129719473663</c:v>
                </c:pt>
                <c:pt idx="34">
                  <c:v>1917.3074961258562</c:v>
                </c:pt>
                <c:pt idx="35">
                  <c:v>1917.8129719473663</c:v>
                </c:pt>
                <c:pt idx="36">
                  <c:v>1918.3074961258562</c:v>
                </c:pt>
                <c:pt idx="37">
                  <c:v>1918.8129719473663</c:v>
                </c:pt>
                <c:pt idx="38">
                  <c:v>1919.3074961258562</c:v>
                </c:pt>
                <c:pt idx="39">
                  <c:v>1919.8157098581214</c:v>
                </c:pt>
                <c:pt idx="40">
                  <c:v>1920.3047582151012</c:v>
                </c:pt>
                <c:pt idx="41">
                  <c:v>1920.8129719473663</c:v>
                </c:pt>
                <c:pt idx="42">
                  <c:v>1921.3074961258562</c:v>
                </c:pt>
                <c:pt idx="43">
                  <c:v>1921.8129719473663</c:v>
                </c:pt>
                <c:pt idx="44">
                  <c:v>1922.3074961258562</c:v>
                </c:pt>
                <c:pt idx="45">
                  <c:v>1922.8129719473663</c:v>
                </c:pt>
                <c:pt idx="46">
                  <c:v>1923.3074961258562</c:v>
                </c:pt>
                <c:pt idx="47">
                  <c:v>1923.8157098581214</c:v>
                </c:pt>
                <c:pt idx="48">
                  <c:v>1924.3047582151012</c:v>
                </c:pt>
                <c:pt idx="49">
                  <c:v>1924.8129719473663</c:v>
                </c:pt>
                <c:pt idx="50">
                  <c:v>1925.3074961258562</c:v>
                </c:pt>
                <c:pt idx="51">
                  <c:v>1925.8129719473663</c:v>
                </c:pt>
                <c:pt idx="52">
                  <c:v>1926.3074961258562</c:v>
                </c:pt>
                <c:pt idx="53">
                  <c:v>1926.8129719473663</c:v>
                </c:pt>
                <c:pt idx="54">
                  <c:v>1927.3074961258562</c:v>
                </c:pt>
                <c:pt idx="55">
                  <c:v>1927.8157098581214</c:v>
                </c:pt>
                <c:pt idx="56">
                  <c:v>1928.3047582151012</c:v>
                </c:pt>
                <c:pt idx="57">
                  <c:v>1928.8129719473663</c:v>
                </c:pt>
                <c:pt idx="58">
                  <c:v>1929.3074961258562</c:v>
                </c:pt>
                <c:pt idx="59">
                  <c:v>1929.8129719473663</c:v>
                </c:pt>
                <c:pt idx="60">
                  <c:v>1930.3074961258562</c:v>
                </c:pt>
                <c:pt idx="61">
                  <c:v>1930.8129719473663</c:v>
                </c:pt>
                <c:pt idx="62">
                  <c:v>1931.3074961258562</c:v>
                </c:pt>
                <c:pt idx="63">
                  <c:v>1931.8157098581214</c:v>
                </c:pt>
                <c:pt idx="64">
                  <c:v>1932.3047582151012</c:v>
                </c:pt>
                <c:pt idx="65">
                  <c:v>1932.8129719473663</c:v>
                </c:pt>
                <c:pt idx="66">
                  <c:v>1933.3074961258562</c:v>
                </c:pt>
                <c:pt idx="67">
                  <c:v>1933.8129719473663</c:v>
                </c:pt>
                <c:pt idx="68">
                  <c:v>1934.3074961258562</c:v>
                </c:pt>
                <c:pt idx="69">
                  <c:v>1934.8129719473663</c:v>
                </c:pt>
                <c:pt idx="70">
                  <c:v>1935.3074961258562</c:v>
                </c:pt>
                <c:pt idx="71">
                  <c:v>1935.8129719473663</c:v>
                </c:pt>
                <c:pt idx="72">
                  <c:v>1936.3047582151012</c:v>
                </c:pt>
                <c:pt idx="73">
                  <c:v>1936.8129719473663</c:v>
                </c:pt>
                <c:pt idx="74">
                  <c:v>1937.3074961258562</c:v>
                </c:pt>
                <c:pt idx="75">
                  <c:v>1937.8129719473663</c:v>
                </c:pt>
                <c:pt idx="76">
                  <c:v>1938.3074961258562</c:v>
                </c:pt>
                <c:pt idx="77">
                  <c:v>1938.8129719473663</c:v>
                </c:pt>
                <c:pt idx="78">
                  <c:v>1939.3074961258562</c:v>
                </c:pt>
                <c:pt idx="79">
                  <c:v>1939.8129719473663</c:v>
                </c:pt>
                <c:pt idx="80">
                  <c:v>1940.3047582151012</c:v>
                </c:pt>
                <c:pt idx="81">
                  <c:v>1940.8129719473663</c:v>
                </c:pt>
                <c:pt idx="82">
                  <c:v>1941.3074961258562</c:v>
                </c:pt>
                <c:pt idx="83">
                  <c:v>1941.8129719473663</c:v>
                </c:pt>
                <c:pt idx="84">
                  <c:v>1942.3074961258562</c:v>
                </c:pt>
                <c:pt idx="85">
                  <c:v>1942.8129719473663</c:v>
                </c:pt>
                <c:pt idx="86">
                  <c:v>1943.3074961258562</c:v>
                </c:pt>
                <c:pt idx="87">
                  <c:v>1943.8129719473663</c:v>
                </c:pt>
                <c:pt idx="88">
                  <c:v>1944.3047582151012</c:v>
                </c:pt>
                <c:pt idx="89">
                  <c:v>1944.8129719473663</c:v>
                </c:pt>
                <c:pt idx="90">
                  <c:v>1945.3047582151012</c:v>
                </c:pt>
                <c:pt idx="91">
                  <c:v>1945.8129719473663</c:v>
                </c:pt>
                <c:pt idx="92">
                  <c:v>1946.3074961258562</c:v>
                </c:pt>
                <c:pt idx="93">
                  <c:v>1946.8129719473663</c:v>
                </c:pt>
                <c:pt idx="94">
                  <c:v>1947.3074961258562</c:v>
                </c:pt>
                <c:pt idx="95">
                  <c:v>1947.8129719473663</c:v>
                </c:pt>
                <c:pt idx="96">
                  <c:v>1948.3047582151012</c:v>
                </c:pt>
                <c:pt idx="97">
                  <c:v>1948.8129719473663</c:v>
                </c:pt>
                <c:pt idx="98">
                  <c:v>1949.3047582151012</c:v>
                </c:pt>
                <c:pt idx="99">
                  <c:v>1949.8129719473663</c:v>
                </c:pt>
                <c:pt idx="100">
                  <c:v>1950.3074961258562</c:v>
                </c:pt>
                <c:pt idx="101">
                  <c:v>1950.8129719473663</c:v>
                </c:pt>
                <c:pt idx="102">
                  <c:v>1951.3074961258562</c:v>
                </c:pt>
                <c:pt idx="103">
                  <c:v>1951.8129719473663</c:v>
                </c:pt>
                <c:pt idx="104">
                  <c:v>1952.3047582151012</c:v>
                </c:pt>
                <c:pt idx="105">
                  <c:v>1952.8129719473663</c:v>
                </c:pt>
                <c:pt idx="106">
                  <c:v>1953.3047582151012</c:v>
                </c:pt>
                <c:pt idx="107">
                  <c:v>1953.8129719473663</c:v>
                </c:pt>
                <c:pt idx="108">
                  <c:v>1954.3074961258562</c:v>
                </c:pt>
                <c:pt idx="109">
                  <c:v>1954.8129719473663</c:v>
                </c:pt>
                <c:pt idx="110">
                  <c:v>1955.3074961258562</c:v>
                </c:pt>
                <c:pt idx="111">
                  <c:v>1955.8129719473663</c:v>
                </c:pt>
                <c:pt idx="112">
                  <c:v>1956.3047582151012</c:v>
                </c:pt>
                <c:pt idx="113">
                  <c:v>1956.8129719473663</c:v>
                </c:pt>
                <c:pt idx="114">
                  <c:v>1957.3047582151012</c:v>
                </c:pt>
                <c:pt idx="115">
                  <c:v>1957.8129719473663</c:v>
                </c:pt>
                <c:pt idx="116">
                  <c:v>1958.3074961258562</c:v>
                </c:pt>
                <c:pt idx="117">
                  <c:v>1958.8129719473663</c:v>
                </c:pt>
                <c:pt idx="118">
                  <c:v>1959.3074961258562</c:v>
                </c:pt>
                <c:pt idx="119">
                  <c:v>1959.8129719473663</c:v>
                </c:pt>
                <c:pt idx="120">
                  <c:v>1960.3047582151012</c:v>
                </c:pt>
                <c:pt idx="121">
                  <c:v>1960.8129719473663</c:v>
                </c:pt>
                <c:pt idx="122">
                  <c:v>1961.3047582151012</c:v>
                </c:pt>
                <c:pt idx="123">
                  <c:v>1961.8129719473663</c:v>
                </c:pt>
                <c:pt idx="124">
                  <c:v>1962.3074961258562</c:v>
                </c:pt>
                <c:pt idx="125">
                  <c:v>1962.8129719473663</c:v>
                </c:pt>
                <c:pt idx="126">
                  <c:v>1963.3074961258562</c:v>
                </c:pt>
                <c:pt idx="127">
                  <c:v>1963.8129719473663</c:v>
                </c:pt>
                <c:pt idx="128">
                  <c:v>1964.3047582151012</c:v>
                </c:pt>
                <c:pt idx="129">
                  <c:v>1964.8129719473663</c:v>
                </c:pt>
                <c:pt idx="130">
                  <c:v>1965.3047582151012</c:v>
                </c:pt>
                <c:pt idx="131">
                  <c:v>1965.8129719473663</c:v>
                </c:pt>
                <c:pt idx="132">
                  <c:v>1966.3074961258562</c:v>
                </c:pt>
                <c:pt idx="133">
                  <c:v>1966.8129719473663</c:v>
                </c:pt>
                <c:pt idx="134">
                  <c:v>1967.3074961258562</c:v>
                </c:pt>
                <c:pt idx="135">
                  <c:v>1967.8129719473663</c:v>
                </c:pt>
                <c:pt idx="136">
                  <c:v>1968.3047582151012</c:v>
                </c:pt>
                <c:pt idx="137">
                  <c:v>1968.8102340366113</c:v>
                </c:pt>
                <c:pt idx="138">
                  <c:v>1969.3047582151012</c:v>
                </c:pt>
                <c:pt idx="139">
                  <c:v>1969.8129719473663</c:v>
                </c:pt>
                <c:pt idx="140">
                  <c:v>1970.3074961258562</c:v>
                </c:pt>
                <c:pt idx="141">
                  <c:v>1970.8129719473663</c:v>
                </c:pt>
                <c:pt idx="142">
                  <c:v>1971.3074961258562</c:v>
                </c:pt>
                <c:pt idx="143">
                  <c:v>1971.8129719473663</c:v>
                </c:pt>
                <c:pt idx="144">
                  <c:v>1972.3047582151012</c:v>
                </c:pt>
                <c:pt idx="145">
                  <c:v>1972.8102340366113</c:v>
                </c:pt>
                <c:pt idx="146">
                  <c:v>1973.3047582151012</c:v>
                </c:pt>
                <c:pt idx="147">
                  <c:v>1973.8129719473663</c:v>
                </c:pt>
                <c:pt idx="148">
                  <c:v>1974.3074961258562</c:v>
                </c:pt>
                <c:pt idx="149">
                  <c:v>1974.8129719473663</c:v>
                </c:pt>
                <c:pt idx="150">
                  <c:v>1975.3074961258562</c:v>
                </c:pt>
                <c:pt idx="151">
                  <c:v>1975.8129719473663</c:v>
                </c:pt>
                <c:pt idx="152">
                  <c:v>1976.3047582151012</c:v>
                </c:pt>
                <c:pt idx="153">
                  <c:v>1976.8102340366113</c:v>
                </c:pt>
                <c:pt idx="154">
                  <c:v>1977.3047582151012</c:v>
                </c:pt>
                <c:pt idx="155">
                  <c:v>1977.8129719473663</c:v>
                </c:pt>
                <c:pt idx="156">
                  <c:v>1978.3047582151012</c:v>
                </c:pt>
                <c:pt idx="157">
                  <c:v>1978.8129719473663</c:v>
                </c:pt>
                <c:pt idx="158">
                  <c:v>1979.3074961258562</c:v>
                </c:pt>
                <c:pt idx="159">
                  <c:v>1979.8129719473663</c:v>
                </c:pt>
                <c:pt idx="160">
                  <c:v>1980.3047582151012</c:v>
                </c:pt>
                <c:pt idx="161">
                  <c:v>1980.8102340366113</c:v>
                </c:pt>
                <c:pt idx="162">
                  <c:v>1981.3047582151012</c:v>
                </c:pt>
                <c:pt idx="163">
                  <c:v>1981.8129719473663</c:v>
                </c:pt>
                <c:pt idx="164">
                  <c:v>1982.3047582151012</c:v>
                </c:pt>
                <c:pt idx="165">
                  <c:v>1982.8129719473663</c:v>
                </c:pt>
                <c:pt idx="166">
                  <c:v>1983.3074961258562</c:v>
                </c:pt>
                <c:pt idx="167">
                  <c:v>1983.8129719473663</c:v>
                </c:pt>
                <c:pt idx="168">
                  <c:v>1984.3047582151012</c:v>
                </c:pt>
                <c:pt idx="169">
                  <c:v>1984.8102340366113</c:v>
                </c:pt>
                <c:pt idx="170">
                  <c:v>1985.3047582151012</c:v>
                </c:pt>
                <c:pt idx="171">
                  <c:v>1985.8129719473663</c:v>
                </c:pt>
                <c:pt idx="172">
                  <c:v>1986.3047582151012</c:v>
                </c:pt>
                <c:pt idx="173">
                  <c:v>1986.8129719473663</c:v>
                </c:pt>
                <c:pt idx="174">
                  <c:v>1987.3074961258562</c:v>
                </c:pt>
                <c:pt idx="175">
                  <c:v>1987.8129719473663</c:v>
                </c:pt>
                <c:pt idx="176">
                  <c:v>1988.3047582151012</c:v>
                </c:pt>
                <c:pt idx="177">
                  <c:v>1988.8102340366113</c:v>
                </c:pt>
                <c:pt idx="178">
                  <c:v>1989.3047582151012</c:v>
                </c:pt>
                <c:pt idx="179">
                  <c:v>1989.8129719473663</c:v>
                </c:pt>
                <c:pt idx="180">
                  <c:v>1990.3047582151012</c:v>
                </c:pt>
                <c:pt idx="181">
                  <c:v>1990.8129719473663</c:v>
                </c:pt>
                <c:pt idx="182">
                  <c:v>1991.3074961258562</c:v>
                </c:pt>
                <c:pt idx="183">
                  <c:v>1991.8129719473663</c:v>
                </c:pt>
                <c:pt idx="184">
                  <c:v>1992.3047582151012</c:v>
                </c:pt>
                <c:pt idx="185">
                  <c:v>1992.8102340366113</c:v>
                </c:pt>
                <c:pt idx="186">
                  <c:v>1993.3047582151012</c:v>
                </c:pt>
                <c:pt idx="187">
                  <c:v>1993.8129719473663</c:v>
                </c:pt>
                <c:pt idx="188">
                  <c:v>1994.3047582151012</c:v>
                </c:pt>
                <c:pt idx="189">
                  <c:v>1994.8129719473663</c:v>
                </c:pt>
                <c:pt idx="190">
                  <c:v>1995.3074961258562</c:v>
                </c:pt>
                <c:pt idx="191">
                  <c:v>1995.8129719473663</c:v>
                </c:pt>
                <c:pt idx="192">
                  <c:v>1996.3047582151012</c:v>
                </c:pt>
                <c:pt idx="193">
                  <c:v>1996.8102340366113</c:v>
                </c:pt>
                <c:pt idx="194">
                  <c:v>1997.3047582151012</c:v>
                </c:pt>
                <c:pt idx="195">
                  <c:v>1997.8102340366113</c:v>
                </c:pt>
                <c:pt idx="196">
                  <c:v>1998.3047582151012</c:v>
                </c:pt>
                <c:pt idx="197">
                  <c:v>1998.8129719473663</c:v>
                </c:pt>
                <c:pt idx="198">
                  <c:v>1999.3074961258562</c:v>
                </c:pt>
                <c:pt idx="199">
                  <c:v>1999.8129719473663</c:v>
                </c:pt>
                <c:pt idx="200">
                  <c:v>2000.3047582151012</c:v>
                </c:pt>
                <c:pt idx="201">
                  <c:v>2000.8102340366113</c:v>
                </c:pt>
                <c:pt idx="202">
                  <c:v>2001.3047582151012</c:v>
                </c:pt>
                <c:pt idx="203">
                  <c:v>2001.8102340366113</c:v>
                </c:pt>
                <c:pt idx="204">
                  <c:v>2002.3047582151012</c:v>
                </c:pt>
                <c:pt idx="205">
                  <c:v>2002.8129719473663</c:v>
                </c:pt>
                <c:pt idx="206">
                  <c:v>2003.3074961258562</c:v>
                </c:pt>
                <c:pt idx="207">
                  <c:v>2003.8129719473663</c:v>
                </c:pt>
                <c:pt idx="208">
                  <c:v>2004.3047582151012</c:v>
                </c:pt>
                <c:pt idx="209">
                  <c:v>2004.8102340366113</c:v>
                </c:pt>
                <c:pt idx="210">
                  <c:v>2005.3047582151012</c:v>
                </c:pt>
                <c:pt idx="211">
                  <c:v>2005.8102340366113</c:v>
                </c:pt>
                <c:pt idx="212">
                  <c:v>2006.3047582151012</c:v>
                </c:pt>
                <c:pt idx="213">
                  <c:v>2006.8129719473663</c:v>
                </c:pt>
                <c:pt idx="214">
                  <c:v>2007.3074961258562</c:v>
                </c:pt>
                <c:pt idx="215">
                  <c:v>2007.8129719473663</c:v>
                </c:pt>
                <c:pt idx="216">
                  <c:v>2008.3047582151012</c:v>
                </c:pt>
                <c:pt idx="217">
                  <c:v>2008.8102340366113</c:v>
                </c:pt>
                <c:pt idx="218">
                  <c:v>2009.3047582151012</c:v>
                </c:pt>
                <c:pt idx="219">
                  <c:v>2009.8102340366113</c:v>
                </c:pt>
                <c:pt idx="220">
                  <c:v>2010.3047582151012</c:v>
                </c:pt>
                <c:pt idx="221">
                  <c:v>2010.8129719473663</c:v>
                </c:pt>
                <c:pt idx="222">
                  <c:v>2011.3047582151012</c:v>
                </c:pt>
                <c:pt idx="223">
                  <c:v>2011.8129719473663</c:v>
                </c:pt>
                <c:pt idx="224">
                  <c:v>2012.3047582151012</c:v>
                </c:pt>
                <c:pt idx="225">
                  <c:v>2012.8102340366113</c:v>
                </c:pt>
                <c:pt idx="226">
                  <c:v>2013.3047582151012</c:v>
                </c:pt>
                <c:pt idx="227">
                  <c:v>2013.8102340366113</c:v>
                </c:pt>
                <c:pt idx="228">
                  <c:v>2014.3047582151012</c:v>
                </c:pt>
                <c:pt idx="229">
                  <c:v>2014.8129719473663</c:v>
                </c:pt>
                <c:pt idx="230">
                  <c:v>2015.3047582151012</c:v>
                </c:pt>
                <c:pt idx="231">
                  <c:v>2015.8129719473663</c:v>
                </c:pt>
                <c:pt idx="232">
                  <c:v>2016.3047582151012</c:v>
                </c:pt>
              </c:numCache>
            </c:numRef>
          </c:xVal>
          <c:yVal>
            <c:numRef>
              <c:f>Sheet3!$F$2:$F$234</c:f>
              <c:numCache>
                <c:formatCode>General</c:formatCode>
                <c:ptCount val="233"/>
                <c:pt idx="0">
                  <c:v>-21.035399999999999</c:v>
                </c:pt>
                <c:pt idx="1">
                  <c:v>-3.6122999999999998</c:v>
                </c:pt>
                <c:pt idx="2">
                  <c:v>6.7918000000000003</c:v>
                </c:pt>
                <c:pt idx="3">
                  <c:v>-15.8225</c:v>
                </c:pt>
                <c:pt idx="4">
                  <c:v>6.6543000000000001</c:v>
                </c:pt>
                <c:pt idx="5">
                  <c:v>18.1938</c:v>
                </c:pt>
                <c:pt idx="6">
                  <c:v>-18.4954</c:v>
                </c:pt>
                <c:pt idx="7">
                  <c:v>-12.635400000000001</c:v>
                </c:pt>
                <c:pt idx="8">
                  <c:v>11.3285</c:v>
                </c:pt>
                <c:pt idx="9">
                  <c:v>-5.8114999999999997</c:v>
                </c:pt>
                <c:pt idx="10">
                  <c:v>0.55149999999999999</c:v>
                </c:pt>
                <c:pt idx="11">
                  <c:v>17.6738</c:v>
                </c:pt>
                <c:pt idx="12">
                  <c:v>-15.546900000000001</c:v>
                </c:pt>
                <c:pt idx="13">
                  <c:v>-18.709299999999999</c:v>
                </c:pt>
                <c:pt idx="14">
                  <c:v>20.139099999999999</c:v>
                </c:pt>
                <c:pt idx="15">
                  <c:v>5.9751000000000003</c:v>
                </c:pt>
                <c:pt idx="16">
                  <c:v>-9.3557000000000006</c:v>
                </c:pt>
                <c:pt idx="17">
                  <c:v>12.9436</c:v>
                </c:pt>
                <c:pt idx="18">
                  <c:v>-8.7021999999999995</c:v>
                </c:pt>
                <c:pt idx="19">
                  <c:v>-26.4895</c:v>
                </c:pt>
                <c:pt idx="20">
                  <c:v>21.375499999999999</c:v>
                </c:pt>
                <c:pt idx="21">
                  <c:v>21.691700000000001</c:v>
                </c:pt>
                <c:pt idx="22">
                  <c:v>-26.1082</c:v>
                </c:pt>
                <c:pt idx="23">
                  <c:v>-7.2305999999999999</c:v>
                </c:pt>
                <c:pt idx="24">
                  <c:v>8.9967000000000006</c:v>
                </c:pt>
                <c:pt idx="25">
                  <c:v>-16.9878</c:v>
                </c:pt>
                <c:pt idx="26">
                  <c:v>8.0279000000000007</c:v>
                </c:pt>
                <c:pt idx="27">
                  <c:v>27.7745</c:v>
                </c:pt>
                <c:pt idx="28">
                  <c:v>-24.161300000000001</c:v>
                </c:pt>
                <c:pt idx="29">
                  <c:v>-24.820900000000002</c:v>
                </c:pt>
                <c:pt idx="30">
                  <c:v>25.870699999999999</c:v>
                </c:pt>
                <c:pt idx="31">
                  <c:v>6.5804</c:v>
                </c:pt>
                <c:pt idx="32">
                  <c:v>-11.2197</c:v>
                </c:pt>
                <c:pt idx="33">
                  <c:v>14.277900000000001</c:v>
                </c:pt>
                <c:pt idx="34">
                  <c:v>-7.9931999999999999</c:v>
                </c:pt>
                <c:pt idx="35">
                  <c:v>-25.368600000000001</c:v>
                </c:pt>
                <c:pt idx="36">
                  <c:v>18.8172</c:v>
                </c:pt>
                <c:pt idx="37">
                  <c:v>18.578199999999999</c:v>
                </c:pt>
                <c:pt idx="38">
                  <c:v>-20.416399999999999</c:v>
                </c:pt>
                <c:pt idx="39">
                  <c:v>-4.2194000000000003</c:v>
                </c:pt>
                <c:pt idx="40">
                  <c:v>4.6420000000000003</c:v>
                </c:pt>
                <c:pt idx="41">
                  <c:v>-14.6388</c:v>
                </c:pt>
                <c:pt idx="42">
                  <c:v>8.4291999999999998</c:v>
                </c:pt>
                <c:pt idx="43">
                  <c:v>17.268599999999999</c:v>
                </c:pt>
                <c:pt idx="44">
                  <c:v>-18.416499999999999</c:v>
                </c:pt>
                <c:pt idx="45">
                  <c:v>-11.5924</c:v>
                </c:pt>
                <c:pt idx="46">
                  <c:v>11.557</c:v>
                </c:pt>
                <c:pt idx="47">
                  <c:v>-5.6656000000000004</c:v>
                </c:pt>
                <c:pt idx="48">
                  <c:v>2.8134000000000001</c:v>
                </c:pt>
                <c:pt idx="49">
                  <c:v>18.400099999999998</c:v>
                </c:pt>
                <c:pt idx="50">
                  <c:v>-17.2654</c:v>
                </c:pt>
                <c:pt idx="51">
                  <c:v>-17.833300000000001</c:v>
                </c:pt>
                <c:pt idx="52">
                  <c:v>20.8032</c:v>
                </c:pt>
                <c:pt idx="53">
                  <c:v>5.3667999999999996</c:v>
                </c:pt>
                <c:pt idx="54">
                  <c:v>-9.7181999999999995</c:v>
                </c:pt>
                <c:pt idx="55">
                  <c:v>11.835800000000001</c:v>
                </c:pt>
                <c:pt idx="56">
                  <c:v>-10.621499999999999</c:v>
                </c:pt>
                <c:pt idx="57">
                  <c:v>-26.464700000000001</c:v>
                </c:pt>
                <c:pt idx="58">
                  <c:v>22.6784</c:v>
                </c:pt>
                <c:pt idx="59">
                  <c:v>19.7803</c:v>
                </c:pt>
                <c:pt idx="60">
                  <c:v>-27.796199999999999</c:v>
                </c:pt>
                <c:pt idx="61">
                  <c:v>-7.1848999999999998</c:v>
                </c:pt>
                <c:pt idx="62">
                  <c:v>9.8588000000000005</c:v>
                </c:pt>
                <c:pt idx="63">
                  <c:v>-15.347300000000001</c:v>
                </c:pt>
                <c:pt idx="64">
                  <c:v>10.179</c:v>
                </c:pt>
                <c:pt idx="65">
                  <c:v>28.162500000000001</c:v>
                </c:pt>
                <c:pt idx="66">
                  <c:v>-24.450600000000001</c:v>
                </c:pt>
                <c:pt idx="67">
                  <c:v>-23.083500000000001</c:v>
                </c:pt>
                <c:pt idx="68">
                  <c:v>26.002600000000001</c:v>
                </c:pt>
                <c:pt idx="69">
                  <c:v>6.2656999999999998</c:v>
                </c:pt>
                <c:pt idx="70">
                  <c:v>-10.922700000000001</c:v>
                </c:pt>
                <c:pt idx="71">
                  <c:v>11.902900000000001</c:v>
                </c:pt>
                <c:pt idx="72">
                  <c:v>-9.9481000000000002</c:v>
                </c:pt>
                <c:pt idx="73">
                  <c:v>-24.1845</c:v>
                </c:pt>
                <c:pt idx="74">
                  <c:v>18.7881</c:v>
                </c:pt>
                <c:pt idx="75">
                  <c:v>16.203399999999998</c:v>
                </c:pt>
                <c:pt idx="76">
                  <c:v>-20.779599999999999</c:v>
                </c:pt>
                <c:pt idx="77">
                  <c:v>-3.6015000000000001</c:v>
                </c:pt>
                <c:pt idx="78">
                  <c:v>3.9942000000000002</c:v>
                </c:pt>
                <c:pt idx="79">
                  <c:v>-13.7745</c:v>
                </c:pt>
                <c:pt idx="80">
                  <c:v>10.6196</c:v>
                </c:pt>
                <c:pt idx="81">
                  <c:v>17.1556</c:v>
                </c:pt>
                <c:pt idx="82">
                  <c:v>-18.457899999999999</c:v>
                </c:pt>
                <c:pt idx="83">
                  <c:v>-9.5076000000000001</c:v>
                </c:pt>
                <c:pt idx="84">
                  <c:v>12.1357</c:v>
                </c:pt>
                <c:pt idx="85">
                  <c:v>-6.5364000000000004</c:v>
                </c:pt>
                <c:pt idx="86">
                  <c:v>3.6389</c:v>
                </c:pt>
                <c:pt idx="87">
                  <c:v>18.1919</c:v>
                </c:pt>
                <c:pt idx="88">
                  <c:v>-19.079899999999999</c:v>
                </c:pt>
                <c:pt idx="89">
                  <c:v>-17.197500000000002</c:v>
                </c:pt>
                <c:pt idx="90">
                  <c:v>21.603300000000001</c:v>
                </c:pt>
                <c:pt idx="91">
                  <c:v>3.2481</c:v>
                </c:pt>
                <c:pt idx="92">
                  <c:v>-11.747299999999999</c:v>
                </c:pt>
                <c:pt idx="93">
                  <c:v>12.115500000000001</c:v>
                </c:pt>
                <c:pt idx="94">
                  <c:v>-11.2607</c:v>
                </c:pt>
                <c:pt idx="95">
                  <c:v>-27.063700000000001</c:v>
                </c:pt>
                <c:pt idx="96">
                  <c:v>24.764900000000001</c:v>
                </c:pt>
                <c:pt idx="97">
                  <c:v>19.5947</c:v>
                </c:pt>
                <c:pt idx="98">
                  <c:v>-28.261500000000002</c:v>
                </c:pt>
                <c:pt idx="99">
                  <c:v>-5.2789000000000001</c:v>
                </c:pt>
                <c:pt idx="100">
                  <c:v>11.786099999999999</c:v>
                </c:pt>
                <c:pt idx="101">
                  <c:v>-14.597899999999999</c:v>
                </c:pt>
                <c:pt idx="102">
                  <c:v>10.1556</c:v>
                </c:pt>
                <c:pt idx="103">
                  <c:v>27.079799999999999</c:v>
                </c:pt>
                <c:pt idx="104">
                  <c:v>-25.630199999999999</c:v>
                </c:pt>
                <c:pt idx="105">
                  <c:v>-21.2653</c:v>
                </c:pt>
                <c:pt idx="106">
                  <c:v>26.069299999999998</c:v>
                </c:pt>
                <c:pt idx="107">
                  <c:v>4.1649000000000003</c:v>
                </c:pt>
                <c:pt idx="108">
                  <c:v>-12.372400000000001</c:v>
                </c:pt>
                <c:pt idx="109">
                  <c:v>11.0436</c:v>
                </c:pt>
                <c:pt idx="110">
                  <c:v>-10.469900000000001</c:v>
                </c:pt>
                <c:pt idx="111">
                  <c:v>-23.7224</c:v>
                </c:pt>
                <c:pt idx="112">
                  <c:v>19.737100000000002</c:v>
                </c:pt>
                <c:pt idx="113">
                  <c:v>14.6381</c:v>
                </c:pt>
                <c:pt idx="114">
                  <c:v>-20.3598</c:v>
                </c:pt>
                <c:pt idx="115">
                  <c:v>-1.5256000000000001</c:v>
                </c:pt>
                <c:pt idx="116">
                  <c:v>4.3041999999999998</c:v>
                </c:pt>
                <c:pt idx="117">
                  <c:v>-13.299799999999999</c:v>
                </c:pt>
                <c:pt idx="118">
                  <c:v>11.4076</c:v>
                </c:pt>
                <c:pt idx="119">
                  <c:v>16.910499999999999</c:v>
                </c:pt>
                <c:pt idx="120">
                  <c:v>-18.725000000000001</c:v>
                </c:pt>
                <c:pt idx="121">
                  <c:v>-7.2926000000000002</c:v>
                </c:pt>
                <c:pt idx="122">
                  <c:v>12.758599999999999</c:v>
                </c:pt>
                <c:pt idx="123">
                  <c:v>-8.6605000000000008</c:v>
                </c:pt>
                <c:pt idx="124">
                  <c:v>3.3738000000000001</c:v>
                </c:pt>
                <c:pt idx="125">
                  <c:v>18.6188</c:v>
                </c:pt>
                <c:pt idx="126">
                  <c:v>-20.721399999999999</c:v>
                </c:pt>
                <c:pt idx="127">
                  <c:v>-18.617100000000001</c:v>
                </c:pt>
                <c:pt idx="128">
                  <c:v>21.922899999999998</c:v>
                </c:pt>
                <c:pt idx="129">
                  <c:v>1.3347</c:v>
                </c:pt>
                <c:pt idx="130">
                  <c:v>-13.496700000000001</c:v>
                </c:pt>
                <c:pt idx="131">
                  <c:v>14.055300000000001</c:v>
                </c:pt>
                <c:pt idx="132">
                  <c:v>-9.8428000000000004</c:v>
                </c:pt>
                <c:pt idx="133">
                  <c:v>-26.7926</c:v>
                </c:pt>
                <c:pt idx="134">
                  <c:v>25.349499999999999</c:v>
                </c:pt>
                <c:pt idx="135">
                  <c:v>20.443899999999999</c:v>
                </c:pt>
                <c:pt idx="136">
                  <c:v>-27.882200000000001</c:v>
                </c:pt>
                <c:pt idx="137">
                  <c:v>-3.1183000000000001</c:v>
                </c:pt>
                <c:pt idx="138">
                  <c:v>13.8796</c:v>
                </c:pt>
                <c:pt idx="139">
                  <c:v>-16.000499999999999</c:v>
                </c:pt>
                <c:pt idx="140">
                  <c:v>8.6539999999999999</c:v>
                </c:pt>
                <c:pt idx="141">
                  <c:v>26.393599999999999</c:v>
                </c:pt>
                <c:pt idx="142">
                  <c:v>-26.818300000000001</c:v>
                </c:pt>
                <c:pt idx="143">
                  <c:v>-21.8627</c:v>
                </c:pt>
                <c:pt idx="144">
                  <c:v>25.466899999999999</c:v>
                </c:pt>
                <c:pt idx="145">
                  <c:v>2.1404999999999998</c:v>
                </c:pt>
                <c:pt idx="146">
                  <c:v>-13.5007</c:v>
                </c:pt>
                <c:pt idx="147">
                  <c:v>12.099299999999999</c:v>
                </c:pt>
                <c:pt idx="148">
                  <c:v>-9.0158000000000005</c:v>
                </c:pt>
                <c:pt idx="149">
                  <c:v>-22.440300000000001</c:v>
                </c:pt>
                <c:pt idx="150">
                  <c:v>19.734100000000002</c:v>
                </c:pt>
                <c:pt idx="151">
                  <c:v>13.790800000000001</c:v>
                </c:pt>
                <c:pt idx="152">
                  <c:v>-19.3659</c:v>
                </c:pt>
                <c:pt idx="153">
                  <c:v>0.77980000000000005</c:v>
                </c:pt>
                <c:pt idx="154">
                  <c:v>4.7923999999999998</c:v>
                </c:pt>
                <c:pt idx="155">
                  <c:v>-14.2812</c:v>
                </c:pt>
                <c:pt idx="156">
                  <c:v>11.4895</c:v>
                </c:pt>
                <c:pt idx="157">
                  <c:v>17.2669</c:v>
                </c:pt>
                <c:pt idx="158">
                  <c:v>-19.092300000000002</c:v>
                </c:pt>
                <c:pt idx="159">
                  <c:v>-6.7378999999999998</c:v>
                </c:pt>
                <c:pt idx="160">
                  <c:v>12.4475</c:v>
                </c:pt>
                <c:pt idx="161">
                  <c:v>-11.2049</c:v>
                </c:pt>
                <c:pt idx="162">
                  <c:v>2.6356000000000002</c:v>
                </c:pt>
                <c:pt idx="163">
                  <c:v>19.632899999999999</c:v>
                </c:pt>
                <c:pt idx="164">
                  <c:v>-20.6935</c:v>
                </c:pt>
                <c:pt idx="165">
                  <c:v>-20.130400000000002</c:v>
                </c:pt>
                <c:pt idx="166">
                  <c:v>21.042999999999999</c:v>
                </c:pt>
                <c:pt idx="167">
                  <c:v>1.1026</c:v>
                </c:pt>
                <c:pt idx="168">
                  <c:v>-13.8111</c:v>
                </c:pt>
                <c:pt idx="169">
                  <c:v>16.1355</c:v>
                </c:pt>
                <c:pt idx="170">
                  <c:v>-8.2787000000000006</c:v>
                </c:pt>
                <c:pt idx="171">
                  <c:v>-27.232700000000001</c:v>
                </c:pt>
                <c:pt idx="172">
                  <c:v>25.810099999999998</c:v>
                </c:pt>
                <c:pt idx="173">
                  <c:v>22.625299999999999</c:v>
                </c:pt>
                <c:pt idx="174">
                  <c:v>-27.362400000000001</c:v>
                </c:pt>
                <c:pt idx="175">
                  <c:v>-2.9859</c:v>
                </c:pt>
                <c:pt idx="176">
                  <c:v>14.454599999999999</c:v>
                </c:pt>
                <c:pt idx="177">
                  <c:v>-18.570900000000002</c:v>
                </c:pt>
                <c:pt idx="178">
                  <c:v>6.3204000000000002</c:v>
                </c:pt>
                <c:pt idx="179">
                  <c:v>25.912400000000002</c:v>
                </c:pt>
                <c:pt idx="180">
                  <c:v>-25.737300000000001</c:v>
                </c:pt>
                <c:pt idx="181">
                  <c:v>-22.6844</c:v>
                </c:pt>
                <c:pt idx="182">
                  <c:v>23.629200000000001</c:v>
                </c:pt>
                <c:pt idx="183">
                  <c:v>1.6144000000000001</c:v>
                </c:pt>
                <c:pt idx="184">
                  <c:v>-13.4961</c:v>
                </c:pt>
                <c:pt idx="185">
                  <c:v>13.8916</c:v>
                </c:pt>
                <c:pt idx="186">
                  <c:v>-7.3708999999999998</c:v>
                </c:pt>
                <c:pt idx="187">
                  <c:v>-21.717600000000001</c:v>
                </c:pt>
                <c:pt idx="188">
                  <c:v>19.670400000000001</c:v>
                </c:pt>
                <c:pt idx="189">
                  <c:v>14.241300000000001</c:v>
                </c:pt>
                <c:pt idx="190">
                  <c:v>-18.0566</c:v>
                </c:pt>
                <c:pt idx="191">
                  <c:v>1.9278</c:v>
                </c:pt>
                <c:pt idx="192">
                  <c:v>4.2991000000000001</c:v>
                </c:pt>
                <c:pt idx="193">
                  <c:v>-16.220700000000001</c:v>
                </c:pt>
                <c:pt idx="194">
                  <c:v>10.815099999999999</c:v>
                </c:pt>
                <c:pt idx="195">
                  <c:v>17.3598</c:v>
                </c:pt>
                <c:pt idx="196">
                  <c:v>-18.7346</c:v>
                </c:pt>
                <c:pt idx="197">
                  <c:v>-7.2314999999999996</c:v>
                </c:pt>
                <c:pt idx="198">
                  <c:v>10.5962</c:v>
                </c:pt>
                <c:pt idx="199">
                  <c:v>-12.190200000000001</c:v>
                </c:pt>
                <c:pt idx="200">
                  <c:v>2.6806000000000001</c:v>
                </c:pt>
                <c:pt idx="201">
                  <c:v>20.706700000000001</c:v>
                </c:pt>
                <c:pt idx="202">
                  <c:v>-20.623999999999999</c:v>
                </c:pt>
                <c:pt idx="203">
                  <c:v>-21.3766</c:v>
                </c:pt>
                <c:pt idx="204">
                  <c:v>21.438199999999998</c:v>
                </c:pt>
                <c:pt idx="205">
                  <c:v>2.5217999999999998</c:v>
                </c:pt>
                <c:pt idx="206">
                  <c:v>-12.529500000000001</c:v>
                </c:pt>
                <c:pt idx="207">
                  <c:v>17.579899999999999</c:v>
                </c:pt>
                <c:pt idx="208">
                  <c:v>-7.5518000000000001</c:v>
                </c:pt>
                <c:pt idx="209">
                  <c:v>-28.5776</c:v>
                </c:pt>
                <c:pt idx="210">
                  <c:v>24.616</c:v>
                </c:pt>
                <c:pt idx="211">
                  <c:v>24.071899999999999</c:v>
                </c:pt>
                <c:pt idx="212">
                  <c:v>-26.151299999999999</c:v>
                </c:pt>
                <c:pt idx="213">
                  <c:v>-4.5808</c:v>
                </c:pt>
                <c:pt idx="214">
                  <c:v>12.6343</c:v>
                </c:pt>
                <c:pt idx="215">
                  <c:v>-18.986599999999999</c:v>
                </c:pt>
                <c:pt idx="216">
                  <c:v>5.1101999999999999</c:v>
                </c:pt>
                <c:pt idx="217">
                  <c:v>25.8474</c:v>
                </c:pt>
                <c:pt idx="218">
                  <c:v>-24.4634</c:v>
                </c:pt>
                <c:pt idx="219">
                  <c:v>-23.4161</c:v>
                </c:pt>
                <c:pt idx="220">
                  <c:v>22.6768</c:v>
                </c:pt>
                <c:pt idx="221">
                  <c:v>2.7063999999999999</c:v>
                </c:pt>
                <c:pt idx="222">
                  <c:v>-12.0791</c:v>
                </c:pt>
                <c:pt idx="223">
                  <c:v>15.1373</c:v>
                </c:pt>
                <c:pt idx="224">
                  <c:v>-6.5486000000000004</c:v>
                </c:pt>
                <c:pt idx="225">
                  <c:v>-21.7791</c:v>
                </c:pt>
                <c:pt idx="226">
                  <c:v>18.563500000000001</c:v>
                </c:pt>
                <c:pt idx="227">
                  <c:v>14.430999999999999</c:v>
                </c:pt>
                <c:pt idx="228">
                  <c:v>-15.946899999999999</c:v>
                </c:pt>
                <c:pt idx="229">
                  <c:v>1.7946</c:v>
                </c:pt>
                <c:pt idx="230">
                  <c:v>2.4561000000000002</c:v>
                </c:pt>
                <c:pt idx="231">
                  <c:v>-16.965800000000002</c:v>
                </c:pt>
                <c:pt idx="232">
                  <c:v>10.6387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853584"/>
        <c:axId val="888854760"/>
      </c:scatterChart>
      <c:valAx>
        <c:axId val="888853584"/>
        <c:scaling>
          <c:orientation val="minMax"/>
          <c:max val="2000"/>
          <c:min val="1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854760"/>
        <c:crosses val="autoZero"/>
        <c:crossBetween val="midCat"/>
      </c:valAx>
      <c:valAx>
        <c:axId val="88885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85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Sheet4!$B$2:$B$234</c:f>
              <c:numCache>
                <c:formatCode>General</c:formatCode>
                <c:ptCount val="233"/>
                <c:pt idx="0">
                  <c:v>0</c:v>
                </c:pt>
                <c:pt idx="1">
                  <c:v>0.5104704825840114</c:v>
                </c:pt>
                <c:pt idx="2">
                  <c:v>0.99999252550433093</c:v>
                </c:pt>
                <c:pt idx="3">
                  <c:v>1.5104710301667417</c:v>
                </c:pt>
                <c:pt idx="4">
                  <c:v>2.0000010951641856</c:v>
                </c:pt>
                <c:pt idx="5">
                  <c:v>2.5104670328174343</c:v>
                </c:pt>
                <c:pt idx="6">
                  <c:v>3.0000196034418121</c:v>
                </c:pt>
                <c:pt idx="7">
                  <c:v>3.5104667864050998</c:v>
                </c:pt>
                <c:pt idx="8">
                  <c:v>4.0000106504732775</c:v>
                </c:pt>
                <c:pt idx="9">
                  <c:v>4.5104820639476593</c:v>
                </c:pt>
                <c:pt idx="10">
                  <c:v>5.0000305824638627</c:v>
                </c:pt>
                <c:pt idx="11">
                  <c:v>5.5104844459292641</c:v>
                </c:pt>
                <c:pt idx="12">
                  <c:v>6.0000435327811337</c:v>
                </c:pt>
                <c:pt idx="13">
                  <c:v>6.5104779023226902</c:v>
                </c:pt>
                <c:pt idx="14">
                  <c:v>7.0000277350358644</c:v>
                </c:pt>
                <c:pt idx="15">
                  <c:v>7.5104882242460214</c:v>
                </c:pt>
                <c:pt idx="16">
                  <c:v>8.0000387140589542</c:v>
                </c:pt>
                <c:pt idx="17">
                  <c:v>8.5104899217511001</c:v>
                </c:pt>
                <c:pt idx="18">
                  <c:v>9.0000334572700353</c:v>
                </c:pt>
                <c:pt idx="19">
                  <c:v>9.5104856779892231</c:v>
                </c:pt>
                <c:pt idx="20">
                  <c:v>10.000036195180199</c:v>
                </c:pt>
                <c:pt idx="21">
                  <c:v>10.51048137946999</c:v>
                </c:pt>
                <c:pt idx="22">
                  <c:v>11.000041917414135</c:v>
                </c:pt>
                <c:pt idx="23">
                  <c:v>11.510478148735157</c:v>
                </c:pt>
                <c:pt idx="24">
                  <c:v>12.000016208431685</c:v>
                </c:pt>
                <c:pt idx="25">
                  <c:v>12.510481954430997</c:v>
                </c:pt>
                <c:pt idx="26">
                  <c:v>13.000016482222529</c:v>
                </c:pt>
                <c:pt idx="27">
                  <c:v>13.510474808483295</c:v>
                </c:pt>
                <c:pt idx="28">
                  <c:v>14.000024586439112</c:v>
                </c:pt>
                <c:pt idx="29">
                  <c:v>14.510460653485513</c:v>
                </c:pt>
                <c:pt idx="30">
                  <c:v>15.000009500550959</c:v>
                </c:pt>
                <c:pt idx="31">
                  <c:v>15.510463555670297</c:v>
                </c:pt>
                <c:pt idx="32">
                  <c:v>16.000023053209357</c:v>
                </c:pt>
                <c:pt idx="33">
                  <c:v>16.51046826487719</c:v>
                </c:pt>
                <c:pt idx="34">
                  <c:v>17.000026639871944</c:v>
                </c:pt>
                <c:pt idx="35">
                  <c:v>17.510462405748417</c:v>
                </c:pt>
                <c:pt idx="36">
                  <c:v>18.000026448218239</c:v>
                </c:pt>
                <c:pt idx="37">
                  <c:v>18.510456738272307</c:v>
                </c:pt>
                <c:pt idx="38">
                  <c:v>19.000036003527097</c:v>
                </c:pt>
                <c:pt idx="39">
                  <c:v>19.510459065496555</c:v>
                </c:pt>
                <c:pt idx="40">
                  <c:v>20.000020151023197</c:v>
                </c:pt>
                <c:pt idx="41">
                  <c:v>20.510467224470492</c:v>
                </c:pt>
                <c:pt idx="42">
                  <c:v>21.000026366080995</c:v>
                </c:pt>
                <c:pt idx="43">
                  <c:v>21.510473165737682</c:v>
                </c:pt>
                <c:pt idx="44">
                  <c:v>22.000043614919008</c:v>
                </c:pt>
                <c:pt idx="45">
                  <c:v>22.510475711993909</c:v>
                </c:pt>
                <c:pt idx="46">
                  <c:v>23.000027789794423</c:v>
                </c:pt>
                <c:pt idx="47">
                  <c:v>23.51048617081382</c:v>
                </c:pt>
                <c:pt idx="48">
                  <c:v>24.000033292995106</c:v>
                </c:pt>
                <c:pt idx="49">
                  <c:v>24.510497998588058</c:v>
                </c:pt>
                <c:pt idx="50">
                  <c:v>25.000040055634127</c:v>
                </c:pt>
                <c:pt idx="51">
                  <c:v>25.510491619256108</c:v>
                </c:pt>
                <c:pt idx="52">
                  <c:v>26.000041041282092</c:v>
                </c:pt>
                <c:pt idx="53">
                  <c:v>26.510481598501897</c:v>
                </c:pt>
                <c:pt idx="54">
                  <c:v>27.00005900197722</c:v>
                </c:pt>
                <c:pt idx="55">
                  <c:v>27.510485103027808</c:v>
                </c:pt>
                <c:pt idx="56">
                  <c:v>28.000052650024585</c:v>
                </c:pt>
                <c:pt idx="57">
                  <c:v>28.510485267302666</c:v>
                </c:pt>
                <c:pt idx="58">
                  <c:v>29.000056702131719</c:v>
                </c:pt>
                <c:pt idx="59">
                  <c:v>29.510482091326462</c:v>
                </c:pt>
                <c:pt idx="60">
                  <c:v>30.000068940593145</c:v>
                </c:pt>
                <c:pt idx="61">
                  <c:v>30.510472864567319</c:v>
                </c:pt>
                <c:pt idx="62">
                  <c:v>31.000046243312511</c:v>
                </c:pt>
                <c:pt idx="63">
                  <c:v>31.510470756375518</c:v>
                </c:pt>
                <c:pt idx="64">
                  <c:v>32.00004399822668</c:v>
                </c:pt>
                <c:pt idx="65">
                  <c:v>32.510478559420896</c:v>
                </c:pt>
                <c:pt idx="66">
                  <c:v>33.000045942143053</c:v>
                </c:pt>
                <c:pt idx="67">
                  <c:v>33.510472426501515</c:v>
                </c:pt>
                <c:pt idx="68">
                  <c:v>34.000038933091929</c:v>
                </c:pt>
                <c:pt idx="69">
                  <c:v>34.51046399373616</c:v>
                </c:pt>
                <c:pt idx="70">
                  <c:v>35.000041561486107</c:v>
                </c:pt>
                <c:pt idx="71">
                  <c:v>35.510472536017971</c:v>
                </c:pt>
                <c:pt idx="72">
                  <c:v>36.000025599466213</c:v>
                </c:pt>
                <c:pt idx="73">
                  <c:v>36.510471249199277</c:v>
                </c:pt>
                <c:pt idx="74">
                  <c:v>37.000023190104486</c:v>
                </c:pt>
                <c:pt idx="75">
                  <c:v>37.510468374393007</c:v>
                </c:pt>
                <c:pt idx="76">
                  <c:v>38.000041315074242</c:v>
                </c:pt>
                <c:pt idx="77">
                  <c:v>38.51046473297226</c:v>
                </c:pt>
                <c:pt idx="78">
                  <c:v>39.00003542856615</c:v>
                </c:pt>
                <c:pt idx="79">
                  <c:v>39.510467525641054</c:v>
                </c:pt>
                <c:pt idx="80">
                  <c:v>40.000048324124791</c:v>
                </c:pt>
                <c:pt idx="81">
                  <c:v>40.51048206394718</c:v>
                </c:pt>
                <c:pt idx="82">
                  <c:v>41.000063875457961</c:v>
                </c:pt>
                <c:pt idx="83">
                  <c:v>41.510479599826816</c:v>
                </c:pt>
                <c:pt idx="84">
                  <c:v>42.000067243088566</c:v>
                </c:pt>
                <c:pt idx="85">
                  <c:v>42.51047050996425</c:v>
                </c:pt>
                <c:pt idx="86">
                  <c:v>43.000073896211596</c:v>
                </c:pt>
                <c:pt idx="87">
                  <c:v>43.510483432902205</c:v>
                </c:pt>
                <c:pt idx="88">
                  <c:v>44.000069132246544</c:v>
                </c:pt>
                <c:pt idx="89">
                  <c:v>44.510486116055013</c:v>
                </c:pt>
                <c:pt idx="90">
                  <c:v>45.000069378659347</c:v>
                </c:pt>
                <c:pt idx="91">
                  <c:v>45.51048548633608</c:v>
                </c:pt>
                <c:pt idx="92">
                  <c:v>46.000082684905173</c:v>
                </c:pt>
                <c:pt idx="93">
                  <c:v>46.51049000388776</c:v>
                </c:pt>
                <c:pt idx="94">
                  <c:v>47.000066558610662</c:v>
                </c:pt>
                <c:pt idx="95">
                  <c:v>47.510489045619586</c:v>
                </c:pt>
                <c:pt idx="96">
                  <c:v>48.000058235362573</c:v>
                </c:pt>
                <c:pt idx="97">
                  <c:v>48.51049780693338</c:v>
                </c:pt>
                <c:pt idx="98">
                  <c:v>49.000063492150687</c:v>
                </c:pt>
                <c:pt idx="99">
                  <c:v>49.51048953844392</c:v>
                </c:pt>
                <c:pt idx="100">
                  <c:v>50.000060918514336</c:v>
                </c:pt>
                <c:pt idx="101">
                  <c:v>50.510469113628659</c:v>
                </c:pt>
                <c:pt idx="102">
                  <c:v>51.0000648884848</c:v>
                </c:pt>
                <c:pt idx="103">
                  <c:v>51.510478258251602</c:v>
                </c:pt>
                <c:pt idx="104">
                  <c:v>52.000064039732614</c:v>
                </c:pt>
                <c:pt idx="105">
                  <c:v>52.510475082274127</c:v>
                </c:pt>
                <c:pt idx="106">
                  <c:v>53.000060754240423</c:v>
                </c:pt>
                <c:pt idx="107">
                  <c:v>53.510463199741729</c:v>
                </c:pt>
                <c:pt idx="108">
                  <c:v>54.000069187004968</c:v>
                </c:pt>
                <c:pt idx="109">
                  <c:v>54.510464897246806</c:v>
                </c:pt>
                <c:pt idx="110">
                  <c:v>55.00005626406621</c:v>
                </c:pt>
                <c:pt idx="111">
                  <c:v>55.51045944880395</c:v>
                </c:pt>
                <c:pt idx="112">
                  <c:v>56.000049994250247</c:v>
                </c:pt>
                <c:pt idx="113">
                  <c:v>56.510470263551142</c:v>
                </c:pt>
                <c:pt idx="114">
                  <c:v>57.000064669452954</c:v>
                </c:pt>
                <c:pt idx="115">
                  <c:v>57.510475082274027</c:v>
                </c:pt>
                <c:pt idx="116">
                  <c:v>58.000066257440764</c:v>
                </c:pt>
                <c:pt idx="117">
                  <c:v>58.510464240147982</c:v>
                </c:pt>
                <c:pt idx="118">
                  <c:v>59.000066750264864</c:v>
                </c:pt>
                <c:pt idx="119">
                  <c:v>59.510485404197588</c:v>
                </c:pt>
                <c:pt idx="120">
                  <c:v>60.000066065787301</c:v>
                </c:pt>
                <c:pt idx="121">
                  <c:v>60.510489045620083</c:v>
                </c:pt>
                <c:pt idx="122">
                  <c:v>61.00006790018768</c:v>
                </c:pt>
                <c:pt idx="123">
                  <c:v>61.510479764102307</c:v>
                </c:pt>
                <c:pt idx="124">
                  <c:v>62.000084957371762</c:v>
                </c:pt>
                <c:pt idx="125">
                  <c:v>62.510487923076248</c:v>
                </c:pt>
                <c:pt idx="126">
                  <c:v>63.000088078589798</c:v>
                </c:pt>
                <c:pt idx="127">
                  <c:v>63.510487539768604</c:v>
                </c:pt>
                <c:pt idx="128">
                  <c:v>64.000091336703136</c:v>
                </c:pt>
                <c:pt idx="129">
                  <c:v>64.510496465357022</c:v>
                </c:pt>
                <c:pt idx="130">
                  <c:v>65.000103547785258</c:v>
                </c:pt>
                <c:pt idx="131">
                  <c:v>65.510498080725426</c:v>
                </c:pt>
                <c:pt idx="132">
                  <c:v>66.000102918066318</c:v>
                </c:pt>
                <c:pt idx="133">
                  <c:v>66.510476533367139</c:v>
                </c:pt>
                <c:pt idx="134">
                  <c:v>67.000094211509079</c:v>
                </c:pt>
                <c:pt idx="135">
                  <c:v>67.510488744449248</c:v>
                </c:pt>
                <c:pt idx="136">
                  <c:v>68.000087969072425</c:v>
                </c:pt>
                <c:pt idx="137">
                  <c:v>68.510488087350993</c:v>
                </c:pt>
                <c:pt idx="138">
                  <c:v>69.000083396762591</c:v>
                </c:pt>
                <c:pt idx="139">
                  <c:v>69.510473357391405</c:v>
                </c:pt>
                <c:pt idx="140">
                  <c:v>70.000082931316996</c:v>
                </c:pt>
                <c:pt idx="141">
                  <c:v>70.510480147409737</c:v>
                </c:pt>
                <c:pt idx="142">
                  <c:v>71.000070254790813</c:v>
                </c:pt>
                <c:pt idx="143">
                  <c:v>71.510475301308006</c:v>
                </c:pt>
                <c:pt idx="144">
                  <c:v>72.000060343553855</c:v>
                </c:pt>
                <c:pt idx="145">
                  <c:v>72.510474124005313</c:v>
                </c:pt>
                <c:pt idx="146">
                  <c:v>73.00006524441342</c:v>
                </c:pt>
                <c:pt idx="147">
                  <c:v>73.510473904973566</c:v>
                </c:pt>
                <c:pt idx="148">
                  <c:v>74.000076059160605</c:v>
                </c:pt>
                <c:pt idx="149">
                  <c:v>74.510452658785198</c:v>
                </c:pt>
                <c:pt idx="150">
                  <c:v>75.000079043483339</c:v>
                </c:pt>
                <c:pt idx="151">
                  <c:v>75.510468456530944</c:v>
                </c:pt>
                <c:pt idx="152">
                  <c:v>76.000087476249163</c:v>
                </c:pt>
                <c:pt idx="153">
                  <c:v>76.510476998812749</c:v>
                </c:pt>
                <c:pt idx="154">
                  <c:v>77.000095443569165</c:v>
                </c:pt>
                <c:pt idx="155">
                  <c:v>77.510462925950364</c:v>
                </c:pt>
                <c:pt idx="156">
                  <c:v>78.000100809874553</c:v>
                </c:pt>
                <c:pt idx="157">
                  <c:v>78.510477491635811</c:v>
                </c:pt>
                <c:pt idx="158">
                  <c:v>79.000100590841527</c:v>
                </c:pt>
                <c:pt idx="159">
                  <c:v>79.510482255601332</c:v>
                </c:pt>
                <c:pt idx="160">
                  <c:v>80.000099194506845</c:v>
                </c:pt>
                <c:pt idx="161">
                  <c:v>80.510489511064222</c:v>
                </c:pt>
                <c:pt idx="162">
                  <c:v>81.000108092717213</c:v>
                </c:pt>
                <c:pt idx="163">
                  <c:v>81.510504761227466</c:v>
                </c:pt>
                <c:pt idx="164">
                  <c:v>82.000116662377067</c:v>
                </c:pt>
                <c:pt idx="165">
                  <c:v>82.510490551469772</c:v>
                </c:pt>
                <c:pt idx="166">
                  <c:v>83.000106094041641</c:v>
                </c:pt>
                <c:pt idx="167">
                  <c:v>83.510503748199611</c:v>
                </c:pt>
                <c:pt idx="168">
                  <c:v>84.000100590841427</c:v>
                </c:pt>
                <c:pt idx="169">
                  <c:v>84.510509032368319</c:v>
                </c:pt>
                <c:pt idx="170">
                  <c:v>85.000102343103862</c:v>
                </c:pt>
                <c:pt idx="171">
                  <c:v>85.510482584150708</c:v>
                </c:pt>
                <c:pt idx="172">
                  <c:v>86.000103246615154</c:v>
                </c:pt>
                <c:pt idx="173">
                  <c:v>86.51048816948807</c:v>
                </c:pt>
                <c:pt idx="174">
                  <c:v>87.000104752466299</c:v>
                </c:pt>
                <c:pt idx="175">
                  <c:v>87.510484199518075</c:v>
                </c:pt>
                <c:pt idx="176">
                  <c:v>88.000101247939583</c:v>
                </c:pt>
                <c:pt idx="177">
                  <c:v>88.510474890620984</c:v>
                </c:pt>
                <c:pt idx="178">
                  <c:v>89.00010346564784</c:v>
                </c:pt>
                <c:pt idx="179">
                  <c:v>89.510479216519997</c:v>
                </c:pt>
                <c:pt idx="180">
                  <c:v>90.000108284370711</c:v>
                </c:pt>
                <c:pt idx="181">
                  <c:v>90.510455287180349</c:v>
                </c:pt>
                <c:pt idx="182">
                  <c:v>91.000097223211426</c:v>
                </c:pt>
                <c:pt idx="183">
                  <c:v>91.510463090225727</c:v>
                </c:pt>
                <c:pt idx="184">
                  <c:v>92.000092733038258</c:v>
                </c:pt>
                <c:pt idx="185">
                  <c:v>92.510474890620642</c:v>
                </c:pt>
                <c:pt idx="186">
                  <c:v>93.000100536083636</c:v>
                </c:pt>
                <c:pt idx="187">
                  <c:v>93.510458189365593</c:v>
                </c:pt>
                <c:pt idx="188">
                  <c:v>94.000098427891828</c:v>
                </c:pt>
                <c:pt idx="189">
                  <c:v>94.51047393235271</c:v>
                </c:pt>
                <c:pt idx="190">
                  <c:v>95.000094512679198</c:v>
                </c:pt>
                <c:pt idx="191">
                  <c:v>95.510483980484153</c:v>
                </c:pt>
                <c:pt idx="192">
                  <c:v>96.000094813849358</c:v>
                </c:pt>
                <c:pt idx="193">
                  <c:v>96.510481379469766</c:v>
                </c:pt>
                <c:pt idx="194">
                  <c:v>97.000100727737234</c:v>
                </c:pt>
                <c:pt idx="195">
                  <c:v>97.510495041644148</c:v>
                </c:pt>
                <c:pt idx="196">
                  <c:v>98.000122384610705</c:v>
                </c:pt>
                <c:pt idx="197">
                  <c:v>98.510481625881525</c:v>
                </c:pt>
                <c:pt idx="198">
                  <c:v>99.000127696157449</c:v>
                </c:pt>
                <c:pt idx="199">
                  <c:v>99.510492714419328</c:v>
                </c:pt>
                <c:pt idx="200">
                  <c:v>100.00012953055783</c:v>
                </c:pt>
                <c:pt idx="201">
                  <c:v>100.51050714320947</c:v>
                </c:pt>
                <c:pt idx="202">
                  <c:v>101.00014269990835</c:v>
                </c:pt>
                <c:pt idx="203">
                  <c:v>101.51048502089064</c:v>
                </c:pt>
                <c:pt idx="204">
                  <c:v>102.00013689553822</c:v>
                </c:pt>
                <c:pt idx="205">
                  <c:v>102.51048962058027</c:v>
                </c:pt>
                <c:pt idx="206">
                  <c:v>103.00012761402044</c:v>
                </c:pt>
                <c:pt idx="207">
                  <c:v>103.51049517853959</c:v>
                </c:pt>
                <c:pt idx="208">
                  <c:v>104.00012829849848</c:v>
                </c:pt>
                <c:pt idx="209">
                  <c:v>104.51048474709945</c:v>
                </c:pt>
                <c:pt idx="210">
                  <c:v>105.00012126206803</c:v>
                </c:pt>
                <c:pt idx="211">
                  <c:v>105.51049391910044</c:v>
                </c:pt>
                <c:pt idx="212">
                  <c:v>106.00012818898168</c:v>
                </c:pt>
                <c:pt idx="213">
                  <c:v>106.51047814873449</c:v>
                </c:pt>
                <c:pt idx="214">
                  <c:v>107.00011551245549</c:v>
                </c:pt>
                <c:pt idx="215">
                  <c:v>107.51047694405375</c:v>
                </c:pt>
                <c:pt idx="216">
                  <c:v>108.00010105628651</c:v>
                </c:pt>
                <c:pt idx="217">
                  <c:v>108.51048597915943</c:v>
                </c:pt>
                <c:pt idx="218">
                  <c:v>109.00011406136241</c:v>
                </c:pt>
                <c:pt idx="219">
                  <c:v>109.51045862743075</c:v>
                </c:pt>
                <c:pt idx="220">
                  <c:v>110.00011417087863</c:v>
                </c:pt>
                <c:pt idx="221">
                  <c:v>110.5104622962313</c:v>
                </c:pt>
                <c:pt idx="222">
                  <c:v>111.0001142256375</c:v>
                </c:pt>
                <c:pt idx="223">
                  <c:v>111.51047579413105</c:v>
                </c:pt>
                <c:pt idx="224">
                  <c:v>112.00012408211629</c:v>
                </c:pt>
                <c:pt idx="225">
                  <c:v>112.5104679089482</c:v>
                </c:pt>
                <c:pt idx="226">
                  <c:v>113.00012219295773</c:v>
                </c:pt>
                <c:pt idx="227">
                  <c:v>113.51048055809554</c:v>
                </c:pt>
                <c:pt idx="228">
                  <c:v>114.00013489686371</c:v>
                </c:pt>
                <c:pt idx="229">
                  <c:v>114.51047379545699</c:v>
                </c:pt>
                <c:pt idx="230">
                  <c:v>115.0001340207322</c:v>
                </c:pt>
                <c:pt idx="231">
                  <c:v>115.5104794629323</c:v>
                </c:pt>
                <c:pt idx="232">
                  <c:v>116.00012747712563</c:v>
                </c:pt>
              </c:numCache>
            </c:numRef>
          </c:xVal>
          <c:yVal>
            <c:numRef>
              <c:f>Sheet4!$C$2:$C$234</c:f>
              <c:numCache>
                <c:formatCode>General</c:formatCode>
                <c:ptCount val="233"/>
                <c:pt idx="0">
                  <c:v>0</c:v>
                </c:pt>
                <c:pt idx="1">
                  <c:v>-0.95680998319691568</c:v>
                </c:pt>
                <c:pt idx="2">
                  <c:v>-0.83140707828979454</c:v>
                </c:pt>
                <c:pt idx="3">
                  <c:v>-0.29125761938154293</c:v>
                </c:pt>
                <c:pt idx="4">
                  <c:v>-0.92499728177535745</c:v>
                </c:pt>
                <c:pt idx="5">
                  <c:v>0.63306594017116391</c:v>
                </c:pt>
                <c:pt idx="6">
                  <c:v>-0.20236832911367991</c:v>
                </c:pt>
                <c:pt idx="7">
                  <c:v>0.99547881984398923</c:v>
                </c:pt>
                <c:pt idx="8">
                  <c:v>0.70193370933605159</c:v>
                </c:pt>
                <c:pt idx="9">
                  <c:v>0.47755649175367648</c:v>
                </c:pt>
                <c:pt idx="10">
                  <c:v>0.98306016605736868</c:v>
                </c:pt>
                <c:pt idx="11">
                  <c:v>-0.4636419422998222</c:v>
                </c:pt>
                <c:pt idx="12">
                  <c:v>0.39703221032194697</c:v>
                </c:pt>
                <c:pt idx="13">
                  <c:v>-0.99425776762397455</c:v>
                </c:pt>
                <c:pt idx="14">
                  <c:v>-0.54363169047915849</c:v>
                </c:pt>
                <c:pt idx="15">
                  <c:v>-0.64374317587723562</c:v>
                </c:pt>
                <c:pt idx="16">
                  <c:v>-0.99984660500564404</c:v>
                </c:pt>
                <c:pt idx="17">
                  <c:v>0.27703638747475529</c:v>
                </c:pt>
                <c:pt idx="18">
                  <c:v>-0.57044772184206627</c:v>
                </c:pt>
                <c:pt idx="19">
                  <c:v>0.9526388552235513</c:v>
                </c:pt>
                <c:pt idx="20">
                  <c:v>0.36428208755196612</c:v>
                </c:pt>
                <c:pt idx="21">
                  <c:v>0.78251475414740956</c:v>
                </c:pt>
                <c:pt idx="22">
                  <c:v>0.97621823296241805</c:v>
                </c:pt>
                <c:pt idx="23">
                  <c:v>-8.2132219598905376E-2</c:v>
                </c:pt>
                <c:pt idx="24">
                  <c:v>0.72056085733260566</c:v>
                </c:pt>
                <c:pt idx="25">
                  <c:v>-0.87331073647743973</c:v>
                </c:pt>
                <c:pt idx="26">
                  <c:v>-0.17481458059027644</c:v>
                </c:pt>
                <c:pt idx="27">
                  <c:v>-0.89032365674923741</c:v>
                </c:pt>
                <c:pt idx="28">
                  <c:v>-0.91468385044588063</c:v>
                </c:pt>
                <c:pt idx="29">
                  <c:v>-0.11503831482381215</c:v>
                </c:pt>
                <c:pt idx="30">
                  <c:v>-0.84359791609248591</c:v>
                </c:pt>
                <c:pt idx="31">
                  <c:v>0.76083016294166406</c:v>
                </c:pt>
                <c:pt idx="32">
                  <c:v>-2.5857230367542686E-2</c:v>
                </c:pt>
                <c:pt idx="33">
                  <c:v>0.96286512233564736</c:v>
                </c:pt>
                <c:pt idx="34">
                  <c:v>0.81568331828385154</c:v>
                </c:pt>
                <c:pt idx="35">
                  <c:v>0.31082259729855721</c:v>
                </c:pt>
                <c:pt idx="36">
                  <c:v>0.93465106936625664</c:v>
                </c:pt>
                <c:pt idx="37">
                  <c:v>-0.61727314944636569</c:v>
                </c:pt>
                <c:pt idx="38">
                  <c:v>0.22653005808938828</c:v>
                </c:pt>
                <c:pt idx="39">
                  <c:v>-0.99722931232235923</c:v>
                </c:pt>
                <c:pt idx="40">
                  <c:v>-0.68494965159086996</c:v>
                </c:pt>
                <c:pt idx="41">
                  <c:v>-0.49457032020261638</c:v>
                </c:pt>
                <c:pt idx="42">
                  <c:v>-0.98673442369316777</c:v>
                </c:pt>
                <c:pt idx="43">
                  <c:v>0.44576795909110134</c:v>
                </c:pt>
                <c:pt idx="44">
                  <c:v>-0.41711319391497298</c:v>
                </c:pt>
                <c:pt idx="45">
                  <c:v>0.99171425674627955</c:v>
                </c:pt>
                <c:pt idx="46">
                  <c:v>0.52505261651678403</c:v>
                </c:pt>
                <c:pt idx="47">
                  <c:v>0.66014008597671037</c:v>
                </c:pt>
                <c:pt idx="48">
                  <c:v>0.99925614918401418</c:v>
                </c:pt>
                <c:pt idx="49">
                  <c:v>-0.25454220219305707</c:v>
                </c:pt>
                <c:pt idx="50">
                  <c:v>0.5892543318294492</c:v>
                </c:pt>
                <c:pt idx="51">
                  <c:v>-0.94540162047640086</c:v>
                </c:pt>
                <c:pt idx="52">
                  <c:v>-0.34296601130050069</c:v>
                </c:pt>
                <c:pt idx="53">
                  <c:v>-0.79602750237860276</c:v>
                </c:pt>
                <c:pt idx="54">
                  <c:v>-0.97052932870556397</c:v>
                </c:pt>
                <c:pt idx="55">
                  <c:v>5.9045698899600388E-2</c:v>
                </c:pt>
                <c:pt idx="56">
                  <c:v>-0.73977043283584887</c:v>
                </c:pt>
                <c:pt idx="57">
                  <c:v>0.86211393012226378</c:v>
                </c:pt>
                <c:pt idx="58">
                  <c:v>0.14643346295962156</c:v>
                </c:pt>
                <c:pt idx="59">
                  <c:v>0.90064681488961351</c:v>
                </c:pt>
                <c:pt idx="60">
                  <c:v>0.90238490887212686</c:v>
                </c:pt>
                <c:pt idx="61">
                  <c:v>0.13887467600693165</c:v>
                </c:pt>
                <c:pt idx="62">
                  <c:v>0.8583873386279296</c:v>
                </c:pt>
                <c:pt idx="63">
                  <c:v>-0.74558020705937922</c:v>
                </c:pt>
                <c:pt idx="64">
                  <c:v>5.1342062477213742E-2</c:v>
                </c:pt>
                <c:pt idx="65">
                  <c:v>-0.9689947316936095</c:v>
                </c:pt>
                <c:pt idx="66">
                  <c:v>-0.80083126820626382</c:v>
                </c:pt>
                <c:pt idx="67">
                  <c:v>-0.33322344798630055</c:v>
                </c:pt>
                <c:pt idx="68">
                  <c:v>-0.94294051409632074</c:v>
                </c:pt>
                <c:pt idx="69">
                  <c:v>0.59885964186470853</c:v>
                </c:pt>
                <c:pt idx="70">
                  <c:v>-0.24878238344391201</c:v>
                </c:pt>
                <c:pt idx="71">
                  <c:v>0.99873955349627408</c:v>
                </c:pt>
                <c:pt idx="72">
                  <c:v>0.66809365053696812</c:v>
                </c:pt>
                <c:pt idx="73">
                  <c:v>0.51412831438454099</c:v>
                </c:pt>
                <c:pt idx="74">
                  <c:v>0.98998746359731327</c:v>
                </c:pt>
                <c:pt idx="75">
                  <c:v>-0.42672489742207226</c:v>
                </c:pt>
                <c:pt idx="76">
                  <c:v>0.4366311624254916</c:v>
                </c:pt>
                <c:pt idx="77">
                  <c:v>-0.98892901847203785</c:v>
                </c:pt>
                <c:pt idx="78">
                  <c:v>-0.50511629540531311</c:v>
                </c:pt>
                <c:pt idx="79">
                  <c:v>-0.67416403994044061</c:v>
                </c:pt>
                <c:pt idx="80">
                  <c:v>-0.99801110443599306</c:v>
                </c:pt>
                <c:pt idx="81">
                  <c:v>0.23584701705126085</c:v>
                </c:pt>
                <c:pt idx="82">
                  <c:v>-0.61005105830635109</c:v>
                </c:pt>
                <c:pt idx="83">
                  <c:v>0.93871393871465669</c:v>
                </c:pt>
                <c:pt idx="84">
                  <c:v>0.31805896861960936</c:v>
                </c:pt>
                <c:pt idx="85">
                  <c:v>0.80803254911029232</c:v>
                </c:pt>
                <c:pt idx="86">
                  <c:v>0.96433881124958898</c:v>
                </c:pt>
                <c:pt idx="87">
                  <c:v>-3.738121524877238E-2</c:v>
                </c:pt>
                <c:pt idx="88">
                  <c:v>0.75619662162524304</c:v>
                </c:pt>
                <c:pt idx="89">
                  <c:v>-0.85069805129147569</c:v>
                </c:pt>
                <c:pt idx="90">
                  <c:v>-0.12254318490309328</c:v>
                </c:pt>
                <c:pt idx="91">
                  <c:v>-0.91021384941463968</c:v>
                </c:pt>
                <c:pt idx="92">
                  <c:v>-0.89165242350024443</c:v>
                </c:pt>
                <c:pt idx="93">
                  <c:v>-0.1634509417535146</c:v>
                </c:pt>
                <c:pt idx="94">
                  <c:v>-0.87113848334340915</c:v>
                </c:pt>
                <c:pt idx="95">
                  <c:v>0.72864980298689042</c:v>
                </c:pt>
                <c:pt idx="96">
                  <c:v>-7.5665402371429699E-2</c:v>
                </c:pt>
                <c:pt idx="97">
                  <c:v>0.97491692052658452</c:v>
                </c:pt>
                <c:pt idx="98">
                  <c:v>0.78565245597617195</c:v>
                </c:pt>
                <c:pt idx="99">
                  <c:v>0.35655542300788312</c:v>
                </c:pt>
                <c:pt idx="100">
                  <c:v>0.95117912335180343</c:v>
                </c:pt>
                <c:pt idx="101">
                  <c:v>-0.58041729481204052</c:v>
                </c:pt>
                <c:pt idx="102">
                  <c:v>0.27378788041437302</c:v>
                </c:pt>
                <c:pt idx="103">
                  <c:v>-0.99962801121114464</c:v>
                </c:pt>
                <c:pt idx="104">
                  <c:v>-0.64665304584881322</c:v>
                </c:pt>
                <c:pt idx="105">
                  <c:v>-0.53339520232312376</c:v>
                </c:pt>
                <c:pt idx="106">
                  <c:v>-0.99358607686952116</c:v>
                </c:pt>
                <c:pt idx="107">
                  <c:v>0.40754975071406335</c:v>
                </c:pt>
                <c:pt idx="108">
                  <c:v>-0.46046900039944638</c:v>
                </c:pt>
                <c:pt idx="109">
                  <c:v>0.98542548407366393</c:v>
                </c:pt>
                <c:pt idx="110">
                  <c:v>0.48295886092945661</c:v>
                </c:pt>
                <c:pt idx="111">
                  <c:v>0.68924162145898815</c:v>
                </c:pt>
                <c:pt idx="112">
                  <c:v>0.9963612876900757</c:v>
                </c:pt>
                <c:pt idx="113">
                  <c:v>-0.21638339561165792</c:v>
                </c:pt>
                <c:pt idx="114">
                  <c:v>0.62741634000937851</c:v>
                </c:pt>
                <c:pt idx="115">
                  <c:v>-0.93119236730930344</c:v>
                </c:pt>
                <c:pt idx="116">
                  <c:v>-0.29731175399455978</c:v>
                </c:pt>
                <c:pt idx="117">
                  <c:v>-0.82017635790009058</c:v>
                </c:pt>
                <c:pt idx="118">
                  <c:v>-0.95863497719223567</c:v>
                </c:pt>
                <c:pt idx="119">
                  <c:v>1.5085036054869126E-2</c:v>
                </c:pt>
                <c:pt idx="120">
                  <c:v>-0.77006022552150721</c:v>
                </c:pt>
                <c:pt idx="121">
                  <c:v>0.83867504307827767</c:v>
                </c:pt>
                <c:pt idx="122">
                  <c:v>0.10095722659354724</c:v>
                </c:pt>
                <c:pt idx="123">
                  <c:v>0.918712065088791</c:v>
                </c:pt>
                <c:pt idx="124">
                  <c:v>0.88130985188200184</c:v>
                </c:pt>
                <c:pt idx="125">
                  <c:v>0.18474117601861156</c:v>
                </c:pt>
                <c:pt idx="126">
                  <c:v>0.88342293634232139</c:v>
                </c:pt>
                <c:pt idx="127">
                  <c:v>-0.71360488300261293</c:v>
                </c:pt>
                <c:pt idx="128">
                  <c:v>0.10310909644190269</c:v>
                </c:pt>
                <c:pt idx="129">
                  <c:v>-0.97952593154343515</c:v>
                </c:pt>
                <c:pt idx="130">
                  <c:v>-0.76755773125050131</c:v>
                </c:pt>
                <c:pt idx="131">
                  <c:v>-0.37832951026193223</c:v>
                </c:pt>
                <c:pt idx="132">
                  <c:v>-0.95974411736588683</c:v>
                </c:pt>
                <c:pt idx="133">
                  <c:v>0.56135132047217762</c:v>
                </c:pt>
                <c:pt idx="134">
                  <c:v>-0.29957466804313138</c:v>
                </c:pt>
                <c:pt idx="135">
                  <c:v>0.99999374726822488</c:v>
                </c:pt>
                <c:pt idx="136">
                  <c:v>0.6265981872401668</c:v>
                </c:pt>
                <c:pt idx="137">
                  <c:v>0.5536781204649065</c:v>
                </c:pt>
                <c:pt idx="138">
                  <c:v>0.99617170668220312</c:v>
                </c:pt>
                <c:pt idx="139">
                  <c:v>-0.3858086561707782</c:v>
                </c:pt>
                <c:pt idx="140">
                  <c:v>0.4818927113080953</c:v>
                </c:pt>
                <c:pt idx="141">
                  <c:v>-0.98095398039335624</c:v>
                </c:pt>
                <c:pt idx="142">
                  <c:v>-0.46151222682097959</c:v>
                </c:pt>
                <c:pt idx="143">
                  <c:v>-0.70688701569144907</c:v>
                </c:pt>
                <c:pt idx="144">
                  <c:v>-0.99405981780044261</c:v>
                </c:pt>
                <c:pt idx="145">
                  <c:v>0.1942429276135309</c:v>
                </c:pt>
                <c:pt idx="146">
                  <c:v>-0.6444467899055828</c:v>
                </c:pt>
                <c:pt idx="147">
                  <c:v>0.92303531003245309</c:v>
                </c:pt>
                <c:pt idx="148">
                  <c:v>0.27467415675923879</c:v>
                </c:pt>
                <c:pt idx="149">
                  <c:v>0.83146403179869577</c:v>
                </c:pt>
                <c:pt idx="150">
                  <c:v>0.95151431449271007</c:v>
                </c:pt>
                <c:pt idx="151">
                  <c:v>4.0277205466358688E-3</c:v>
                </c:pt>
                <c:pt idx="152">
                  <c:v>0.78612770101326657</c:v>
                </c:pt>
                <c:pt idx="153">
                  <c:v>-0.8276491033931126</c:v>
                </c:pt>
                <c:pt idx="154">
                  <c:v>-7.4443136509965202E-2</c:v>
                </c:pt>
                <c:pt idx="155">
                  <c:v>-0.92609916121922364</c:v>
                </c:pt>
                <c:pt idx="156">
                  <c:v>-0.86939738470092709</c:v>
                </c:pt>
                <c:pt idx="157">
                  <c:v>-0.20456657874882689</c:v>
                </c:pt>
                <c:pt idx="158">
                  <c:v>-0.89445004572404396</c:v>
                </c:pt>
                <c:pt idx="159">
                  <c:v>0.6986794625048337</c:v>
                </c:pt>
                <c:pt idx="160">
                  <c:v>-0.1262520171379278</c:v>
                </c:pt>
                <c:pt idx="161">
                  <c:v>0.98350095832686557</c:v>
                </c:pt>
                <c:pt idx="162">
                  <c:v>0.75278571161209229</c:v>
                </c:pt>
                <c:pt idx="163">
                  <c:v>0.39960838904100676</c:v>
                </c:pt>
                <c:pt idx="164">
                  <c:v>0.96628281323078169</c:v>
                </c:pt>
                <c:pt idx="165">
                  <c:v>-0.54104699160554415</c:v>
                </c:pt>
                <c:pt idx="166">
                  <c:v>0.32236122961338115</c:v>
                </c:pt>
                <c:pt idx="167">
                  <c:v>-0.99978021859683419</c:v>
                </c:pt>
                <c:pt idx="168">
                  <c:v>-0.60763534722927648</c:v>
                </c:pt>
                <c:pt idx="169">
                  <c:v>-0.5747341586576904</c:v>
                </c:pt>
                <c:pt idx="170">
                  <c:v>-0.99805609329507927</c:v>
                </c:pt>
                <c:pt idx="171">
                  <c:v>0.36399738259673475</c:v>
                </c:pt>
                <c:pt idx="172">
                  <c:v>-0.50398967536247763</c:v>
                </c:pt>
                <c:pt idx="173">
                  <c:v>0.97615692849680802</c:v>
                </c:pt>
                <c:pt idx="174">
                  <c:v>0.43668339206181139</c:v>
                </c:pt>
                <c:pt idx="175">
                  <c:v>0.72329359233055168</c:v>
                </c:pt>
                <c:pt idx="176">
                  <c:v>0.99050381434238333</c:v>
                </c:pt>
                <c:pt idx="177">
                  <c:v>-0.17251707442475692</c:v>
                </c:pt>
                <c:pt idx="178">
                  <c:v>0.66591378655531897</c:v>
                </c:pt>
                <c:pt idx="179">
                  <c:v>-0.91399719080071218</c:v>
                </c:pt>
                <c:pt idx="180">
                  <c:v>-0.24822133744964825</c:v>
                </c:pt>
                <c:pt idx="181">
                  <c:v>-0.84370749424878522</c:v>
                </c:pt>
                <c:pt idx="182">
                  <c:v>-0.94351504020090204</c:v>
                </c:pt>
                <c:pt idx="183">
                  <c:v>-2.5091815007452535E-2</c:v>
                </c:pt>
                <c:pt idx="184">
                  <c:v>-0.80004909869201069</c:v>
                </c:pt>
                <c:pt idx="185">
                  <c:v>0.81532465998939352</c:v>
                </c:pt>
                <c:pt idx="186">
                  <c:v>5.1658302433083364E-2</c:v>
                </c:pt>
                <c:pt idx="187">
                  <c:v>0.93387911719777605</c:v>
                </c:pt>
                <c:pt idx="188">
                  <c:v>0.85853790410735553</c:v>
                </c:pt>
                <c:pt idx="189">
                  <c:v>0.22543782038471072</c:v>
                </c:pt>
                <c:pt idx="190">
                  <c:v>0.90361981230785982</c:v>
                </c:pt>
                <c:pt idx="191">
                  <c:v>-0.68258009000075681</c:v>
                </c:pt>
                <c:pt idx="192">
                  <c:v>0.14728503617258074</c:v>
                </c:pt>
                <c:pt idx="193">
                  <c:v>-0.98701867244706887</c:v>
                </c:pt>
                <c:pt idx="194">
                  <c:v>-0.73897936236977113</c:v>
                </c:pt>
                <c:pt idx="195">
                  <c:v>-0.41816299539363638</c:v>
                </c:pt>
                <c:pt idx="196">
                  <c:v>-0.97193400541248809</c:v>
                </c:pt>
                <c:pt idx="197">
                  <c:v>0.523722805680226</c:v>
                </c:pt>
                <c:pt idx="198">
                  <c:v>-0.3465007568217976</c:v>
                </c:pt>
                <c:pt idx="199">
                  <c:v>0.9991564608642487</c:v>
                </c:pt>
                <c:pt idx="200">
                  <c:v>0.58609178849773746</c:v>
                </c:pt>
                <c:pt idx="201">
                  <c:v>0.59231772142395955</c:v>
                </c:pt>
                <c:pt idx="202">
                  <c:v>0.99943611707269109</c:v>
                </c:pt>
                <c:pt idx="203">
                  <c:v>-0.3430605869222349</c:v>
                </c:pt>
                <c:pt idx="204">
                  <c:v>0.52767322163761698</c:v>
                </c:pt>
                <c:pt idx="205">
                  <c:v>-0.97109396729384978</c:v>
                </c:pt>
                <c:pt idx="206">
                  <c:v>-0.41330526189013672</c:v>
                </c:pt>
                <c:pt idx="207">
                  <c:v>-0.73953796042470765</c:v>
                </c:pt>
                <c:pt idx="208">
                  <c:v>-0.98650749187276454</c:v>
                </c:pt>
                <c:pt idx="209">
                  <c:v>0.14919114390192439</c:v>
                </c:pt>
                <c:pt idx="210">
                  <c:v>-0.68433513179949812</c:v>
                </c:pt>
                <c:pt idx="211">
                  <c:v>0.90380442580489739</c:v>
                </c:pt>
                <c:pt idx="212">
                  <c:v>0.22360800306577966</c:v>
                </c:pt>
                <c:pt idx="213">
                  <c:v>0.85728899899669253</c:v>
                </c:pt>
                <c:pt idx="214">
                  <c:v>0.93491774527073668</c:v>
                </c:pt>
                <c:pt idx="215">
                  <c:v>4.9382848420222128E-2</c:v>
                </c:pt>
                <c:pt idx="216">
                  <c:v>0.81385312348252059</c:v>
                </c:pt>
                <c:pt idx="217">
                  <c:v>-0.80128958188087163</c:v>
                </c:pt>
                <c:pt idx="218">
                  <c:v>-2.7424788665679482E-2</c:v>
                </c:pt>
                <c:pt idx="219">
                  <c:v>-0.94153485105264889</c:v>
                </c:pt>
                <c:pt idx="220">
                  <c:v>-0.84565128090759412</c:v>
                </c:pt>
                <c:pt idx="221">
                  <c:v>-0.24488552072577352</c:v>
                </c:pt>
                <c:pt idx="222">
                  <c:v>-0.91416503221149459</c:v>
                </c:pt>
                <c:pt idx="223">
                  <c:v>0.66738827631055253</c:v>
                </c:pt>
                <c:pt idx="224">
                  <c:v>-0.17384342483510914</c:v>
                </c:pt>
                <c:pt idx="225">
                  <c:v>0.98999085096831818</c:v>
                </c:pt>
                <c:pt idx="226">
                  <c:v>0.72149702228780688</c:v>
                </c:pt>
                <c:pt idx="227">
                  <c:v>0.4358216839804967</c:v>
                </c:pt>
                <c:pt idx="228">
                  <c:v>0.97731706294503196</c:v>
                </c:pt>
                <c:pt idx="229">
                  <c:v>-0.50601994068543843</c:v>
                </c:pt>
                <c:pt idx="230">
                  <c:v>0.36801821267760576</c:v>
                </c:pt>
                <c:pt idx="231">
                  <c:v>-0.9981514165059151</c:v>
                </c:pt>
                <c:pt idx="232">
                  <c:v>-0.56843417931558848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44848"/>
        <c:axId val="1077346024"/>
      </c:scatterChart>
      <c:valAx>
        <c:axId val="107734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46024"/>
        <c:crosses val="autoZero"/>
        <c:crossBetween val="midCat"/>
      </c:valAx>
      <c:valAx>
        <c:axId val="107734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44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Sheet5!$G$2</c:f>
              <c:strCache>
                <c:ptCount val="1"/>
                <c:pt idx="0">
                  <c:v>Lunar Dec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Sheet5!$F$3:$F$236</c:f>
              <c:numCache>
                <c:formatCode>General</c:formatCode>
                <c:ptCount val="234"/>
                <c:pt idx="0">
                  <c:v>2415192.4026700002</c:v>
                </c:pt>
                <c:pt idx="1">
                  <c:v>2415375.77892</c:v>
                </c:pt>
                <c:pt idx="2">
                  <c:v>2415557.6443599998</c:v>
                </c:pt>
                <c:pt idx="3">
                  <c:v>2415741.0254899999</c:v>
                </c:pt>
                <c:pt idx="4">
                  <c:v>2415922.8855900001</c:v>
                </c:pt>
                <c:pt idx="5">
                  <c:v>2416106.2747599999</c:v>
                </c:pt>
                <c:pt idx="6">
                  <c:v>2416288.1285199998</c:v>
                </c:pt>
                <c:pt idx="7">
                  <c:v>2416471.5142799998</c:v>
                </c:pt>
                <c:pt idx="8">
                  <c:v>2416653.3690999998</c:v>
                </c:pt>
                <c:pt idx="9">
                  <c:v>2416836.75979</c:v>
                </c:pt>
                <c:pt idx="10">
                  <c:v>2417018.61913</c:v>
                </c:pt>
                <c:pt idx="11">
                  <c:v>2417202.00269</c:v>
                </c:pt>
                <c:pt idx="12">
                  <c:v>2417383.8624900002</c:v>
                </c:pt>
                <c:pt idx="13">
                  <c:v>2417567.24547</c:v>
                </c:pt>
                <c:pt idx="14">
                  <c:v>2417749.0994600002</c:v>
                </c:pt>
                <c:pt idx="15">
                  <c:v>2417932.4942800002</c:v>
                </c:pt>
                <c:pt idx="16">
                  <c:v>2418114.3467199998</c:v>
                </c:pt>
                <c:pt idx="17">
                  <c:v>2418297.7316999999</c:v>
                </c:pt>
                <c:pt idx="18">
                  <c:v>2418479.5873599998</c:v>
                </c:pt>
                <c:pt idx="19">
                  <c:v>2418662.9722600002</c:v>
                </c:pt>
                <c:pt idx="20">
                  <c:v>2418844.8256700002</c:v>
                </c:pt>
                <c:pt idx="21">
                  <c:v>2419028.21667</c:v>
                </c:pt>
                <c:pt idx="22">
                  <c:v>2419210.06654</c:v>
                </c:pt>
                <c:pt idx="23">
                  <c:v>2419393.4537999998</c:v>
                </c:pt>
                <c:pt idx="24">
                  <c:v>2419575.3036000002</c:v>
                </c:pt>
                <c:pt idx="25">
                  <c:v>2419758.6979200002</c:v>
                </c:pt>
                <c:pt idx="26">
                  <c:v>2419940.5484699998</c:v>
                </c:pt>
                <c:pt idx="27">
                  <c:v>2420123.94111</c:v>
                </c:pt>
                <c:pt idx="28">
                  <c:v>2420305.7884499999</c:v>
                </c:pt>
                <c:pt idx="29">
                  <c:v>2420489.1824699999</c:v>
                </c:pt>
                <c:pt idx="30">
                  <c:v>2420671.0206399998</c:v>
                </c:pt>
                <c:pt idx="31">
                  <c:v>2420854.4278699998</c:v>
                </c:pt>
                <c:pt idx="32">
                  <c:v>2421036.2672100002</c:v>
                </c:pt>
                <c:pt idx="33">
                  <c:v>2421219.66591</c:v>
                </c:pt>
                <c:pt idx="34">
                  <c:v>2421401.51021</c:v>
                </c:pt>
                <c:pt idx="35">
                  <c:v>2421584.90699</c:v>
                </c:pt>
                <c:pt idx="36">
                  <c:v>2421766.7500100001</c:v>
                </c:pt>
                <c:pt idx="37">
                  <c:v>2421950.1540999999</c:v>
                </c:pt>
                <c:pt idx="38">
                  <c:v>2422131.9958100002</c:v>
                </c:pt>
                <c:pt idx="39">
                  <c:v>2422315.3940900001</c:v>
                </c:pt>
                <c:pt idx="40">
                  <c:v>2422497.2362600002</c:v>
                </c:pt>
                <c:pt idx="41">
                  <c:v>2422680.6370799998</c:v>
                </c:pt>
                <c:pt idx="42">
                  <c:v>2422862.4833800001</c:v>
                </c:pt>
                <c:pt idx="43">
                  <c:v>2423045.8804500001</c:v>
                </c:pt>
                <c:pt idx="44">
                  <c:v>2423227.7271599998</c:v>
                </c:pt>
                <c:pt idx="45">
                  <c:v>2423411.12316</c:v>
                </c:pt>
                <c:pt idx="46">
                  <c:v>2423592.9605299998</c:v>
                </c:pt>
                <c:pt idx="47">
                  <c:v>2423776.3706100001</c:v>
                </c:pt>
                <c:pt idx="48">
                  <c:v>2423958.2081900002</c:v>
                </c:pt>
                <c:pt idx="49">
                  <c:v>2424141.61521</c:v>
                </c:pt>
                <c:pt idx="50">
                  <c:v>2424323.4516599998</c:v>
                </c:pt>
                <c:pt idx="51">
                  <c:v>2424506.8590699998</c:v>
                </c:pt>
                <c:pt idx="52">
                  <c:v>2424688.68781</c:v>
                </c:pt>
                <c:pt idx="53">
                  <c:v>2424872.10678</c:v>
                </c:pt>
                <c:pt idx="54">
                  <c:v>2425053.9323700001</c:v>
                </c:pt>
                <c:pt idx="55">
                  <c:v>2425237.3464700002</c:v>
                </c:pt>
                <c:pt idx="56">
                  <c:v>2425419.17142</c:v>
                </c:pt>
                <c:pt idx="57">
                  <c:v>2425602.5861800001</c:v>
                </c:pt>
                <c:pt idx="58">
                  <c:v>2425784.4174000002</c:v>
                </c:pt>
                <c:pt idx="59">
                  <c:v>2425967.82859</c:v>
                </c:pt>
                <c:pt idx="60">
                  <c:v>2426149.6619799999</c:v>
                </c:pt>
                <c:pt idx="61">
                  <c:v>2426333.0694200001</c:v>
                </c:pt>
                <c:pt idx="62">
                  <c:v>2426514.8947800002</c:v>
                </c:pt>
                <c:pt idx="63">
                  <c:v>2426698.3125</c:v>
                </c:pt>
                <c:pt idx="64">
                  <c:v>2426880.1410099999</c:v>
                </c:pt>
                <c:pt idx="65">
                  <c:v>2427063.5518499999</c:v>
                </c:pt>
                <c:pt idx="66">
                  <c:v>2427245.3835100001</c:v>
                </c:pt>
                <c:pt idx="67">
                  <c:v>2427428.7902199998</c:v>
                </c:pt>
                <c:pt idx="68">
                  <c:v>2427610.6169099999</c:v>
                </c:pt>
                <c:pt idx="69">
                  <c:v>2427794.03462</c:v>
                </c:pt>
                <c:pt idx="70">
                  <c:v>2427975.85995</c:v>
                </c:pt>
                <c:pt idx="71">
                  <c:v>2428159.2760600001</c:v>
                </c:pt>
                <c:pt idx="72">
                  <c:v>2428341.0986500001</c:v>
                </c:pt>
                <c:pt idx="73">
                  <c:v>2428524.51883</c:v>
                </c:pt>
                <c:pt idx="74">
                  <c:v>2428706.3419599999</c:v>
                </c:pt>
                <c:pt idx="75">
                  <c:v>2428889.7653399999</c:v>
                </c:pt>
                <c:pt idx="76">
                  <c:v>2429071.5861200001</c:v>
                </c:pt>
                <c:pt idx="77">
                  <c:v>2429255.0095899999</c:v>
                </c:pt>
                <c:pt idx="78">
                  <c:v>2429436.8193399999</c:v>
                </c:pt>
                <c:pt idx="79">
                  <c:v>2429620.2544399998</c:v>
                </c:pt>
                <c:pt idx="80">
                  <c:v>2429802.0672599999</c:v>
                </c:pt>
                <c:pt idx="81">
                  <c:v>2429985.49664</c:v>
                </c:pt>
                <c:pt idx="82">
                  <c:v>2430167.3150900002</c:v>
                </c:pt>
                <c:pt idx="83">
                  <c:v>2430350.7392899999</c:v>
                </c:pt>
                <c:pt idx="84">
                  <c:v>2430532.55326</c:v>
                </c:pt>
                <c:pt idx="85">
                  <c:v>2430715.9861099999</c:v>
                </c:pt>
                <c:pt idx="86">
                  <c:v>2430897.8005400002</c:v>
                </c:pt>
                <c:pt idx="87">
                  <c:v>2431081.2288500001</c:v>
                </c:pt>
                <c:pt idx="88">
                  <c:v>2431263.0435799998</c:v>
                </c:pt>
                <c:pt idx="89">
                  <c:v>2431446.46894</c:v>
                </c:pt>
                <c:pt idx="90">
                  <c:v>2431628.2864799998</c:v>
                </c:pt>
                <c:pt idx="91">
                  <c:v>2431811.7111300002</c:v>
                </c:pt>
                <c:pt idx="92">
                  <c:v>2431993.5311099999</c:v>
                </c:pt>
                <c:pt idx="93">
                  <c:v>2432176.9540300001</c:v>
                </c:pt>
                <c:pt idx="94">
                  <c:v>2432358.7634000001</c:v>
                </c:pt>
                <c:pt idx="95">
                  <c:v>2432542.1967000002</c:v>
                </c:pt>
                <c:pt idx="96">
                  <c:v>2432724.0077</c:v>
                </c:pt>
                <c:pt idx="97">
                  <c:v>2432907.4401199999</c:v>
                </c:pt>
                <c:pt idx="98">
                  <c:v>2433089.25226</c:v>
                </c:pt>
                <c:pt idx="99">
                  <c:v>2433272.68291</c:v>
                </c:pt>
                <c:pt idx="100">
                  <c:v>2433454.4837199999</c:v>
                </c:pt>
                <c:pt idx="101">
                  <c:v>2433637.9262799998</c:v>
                </c:pt>
                <c:pt idx="102">
                  <c:v>2433819.7259399998</c:v>
                </c:pt>
                <c:pt idx="103">
                  <c:v>2434003.16707</c:v>
                </c:pt>
                <c:pt idx="104">
                  <c:v>2434184.96741</c:v>
                </c:pt>
                <c:pt idx="105">
                  <c:v>2434368.4053199999</c:v>
                </c:pt>
                <c:pt idx="106">
                  <c:v>2434550.20866</c:v>
                </c:pt>
                <c:pt idx="107">
                  <c:v>2434733.6472100001</c:v>
                </c:pt>
                <c:pt idx="108">
                  <c:v>2434915.45456</c:v>
                </c:pt>
                <c:pt idx="109">
                  <c:v>2435098.8922799998</c:v>
                </c:pt>
                <c:pt idx="110">
                  <c:v>2435280.6888199998</c:v>
                </c:pt>
                <c:pt idx="111">
                  <c:v>2435464.1329399999</c:v>
                </c:pt>
                <c:pt idx="112">
                  <c:v>2435645.93353</c:v>
                </c:pt>
                <c:pt idx="113">
                  <c:v>2435829.3750200002</c:v>
                </c:pt>
                <c:pt idx="114">
                  <c:v>2436011.1812999998</c:v>
                </c:pt>
                <c:pt idx="115">
                  <c:v>2436194.61748</c:v>
                </c:pt>
                <c:pt idx="116">
                  <c:v>2436376.4149099998</c:v>
                </c:pt>
                <c:pt idx="117">
                  <c:v>2436559.8613</c:v>
                </c:pt>
                <c:pt idx="118">
                  <c:v>2436741.6599499998</c:v>
                </c:pt>
                <c:pt idx="119">
                  <c:v>2436925.10757</c:v>
                </c:pt>
                <c:pt idx="120">
                  <c:v>2437106.9047699999</c:v>
                </c:pt>
                <c:pt idx="121">
                  <c:v>2437290.3517399998</c:v>
                </c:pt>
                <c:pt idx="122">
                  <c:v>2437472.1463100002</c:v>
                </c:pt>
                <c:pt idx="123">
                  <c:v>2437655.5972600002</c:v>
                </c:pt>
                <c:pt idx="124">
                  <c:v>2437837.3921500002</c:v>
                </c:pt>
                <c:pt idx="125">
                  <c:v>2438020.8443399998</c:v>
                </c:pt>
                <c:pt idx="126">
                  <c:v>2438202.6282100002</c:v>
                </c:pt>
                <c:pt idx="127">
                  <c:v>2438386.08506</c:v>
                </c:pt>
                <c:pt idx="128">
                  <c:v>2438567.8732099999</c:v>
                </c:pt>
                <c:pt idx="129">
                  <c:v>2438751.3264899999</c:v>
                </c:pt>
                <c:pt idx="130">
                  <c:v>2438933.12243</c:v>
                </c:pt>
                <c:pt idx="131">
                  <c:v>2439116.5701700002</c:v>
                </c:pt>
                <c:pt idx="132">
                  <c:v>2439298.3569399999</c:v>
                </c:pt>
                <c:pt idx="133">
                  <c:v>2439481.8116700002</c:v>
                </c:pt>
                <c:pt idx="134">
                  <c:v>2439663.5996500002</c:v>
                </c:pt>
                <c:pt idx="135">
                  <c:v>2439847.05345</c:v>
                </c:pt>
                <c:pt idx="136">
                  <c:v>2440028.84302</c:v>
                </c:pt>
                <c:pt idx="137">
                  <c:v>2440212.2919700001</c:v>
                </c:pt>
                <c:pt idx="138">
                  <c:v>2440394.0803700001</c:v>
                </c:pt>
                <c:pt idx="139">
                  <c:v>2440577.53082</c:v>
                </c:pt>
                <c:pt idx="140">
                  <c:v>2440759.3217699998</c:v>
                </c:pt>
                <c:pt idx="141">
                  <c:v>2440942.7752499999</c:v>
                </c:pt>
                <c:pt idx="142">
                  <c:v>2441124.5557599999</c:v>
                </c:pt>
                <c:pt idx="143">
                  <c:v>2441308.0171099999</c:v>
                </c:pt>
                <c:pt idx="144">
                  <c:v>2441489.7964599999</c:v>
                </c:pt>
                <c:pt idx="145">
                  <c:v>2441673.25948</c:v>
                </c:pt>
                <c:pt idx="146">
                  <c:v>2441855.0425900002</c:v>
                </c:pt>
                <c:pt idx="147">
                  <c:v>2442038.5058800001</c:v>
                </c:pt>
                <c:pt idx="148">
                  <c:v>2442220.27666</c:v>
                </c:pt>
                <c:pt idx="149">
                  <c:v>2442403.7477299999</c:v>
                </c:pt>
                <c:pt idx="150">
                  <c:v>2442585.5189100001</c:v>
                </c:pt>
                <c:pt idx="151">
                  <c:v>2442768.9905300001</c:v>
                </c:pt>
                <c:pt idx="152">
                  <c:v>2442950.7673599999</c:v>
                </c:pt>
                <c:pt idx="153">
                  <c:v>2443134.2333</c:v>
                </c:pt>
                <c:pt idx="154">
                  <c:v>2443316.0101299998</c:v>
                </c:pt>
                <c:pt idx="155">
                  <c:v>2443499.4749799999</c:v>
                </c:pt>
                <c:pt idx="156">
                  <c:v>2443681.25722</c:v>
                </c:pt>
                <c:pt idx="157">
                  <c:v>2443864.7234700001</c:v>
                </c:pt>
                <c:pt idx="158">
                  <c:v>2444046.4979400001</c:v>
                </c:pt>
                <c:pt idx="159">
                  <c:v>2444229.9657100001</c:v>
                </c:pt>
                <c:pt idx="160">
                  <c:v>2444411.7415900002</c:v>
                </c:pt>
                <c:pt idx="161">
                  <c:v>2444595.2062300001</c:v>
                </c:pt>
                <c:pt idx="162">
                  <c:v>2444776.9899800001</c:v>
                </c:pt>
                <c:pt idx="163">
                  <c:v>2444960.4523700001</c:v>
                </c:pt>
                <c:pt idx="164">
                  <c:v>2445142.2249199999</c:v>
                </c:pt>
                <c:pt idx="165">
                  <c:v>2445325.6937799999</c:v>
                </c:pt>
                <c:pt idx="166">
                  <c:v>2445507.4649899998</c:v>
                </c:pt>
                <c:pt idx="167">
                  <c:v>2445690.9380800002</c:v>
                </c:pt>
                <c:pt idx="168">
                  <c:v>2445872.7105200002</c:v>
                </c:pt>
                <c:pt idx="169">
                  <c:v>2446056.1831499999</c:v>
                </c:pt>
                <c:pt idx="170">
                  <c:v>2446237.9479499999</c:v>
                </c:pt>
                <c:pt idx="171">
                  <c:v>2446421.42264</c:v>
                </c:pt>
                <c:pt idx="172">
                  <c:v>2446603.1881300001</c:v>
                </c:pt>
                <c:pt idx="173">
                  <c:v>2446786.6688000001</c:v>
                </c:pt>
                <c:pt idx="174">
                  <c:v>2446968.42478</c:v>
                </c:pt>
                <c:pt idx="175">
                  <c:v>2447151.9075199999</c:v>
                </c:pt>
                <c:pt idx="176">
                  <c:v>2447333.6649199999</c:v>
                </c:pt>
                <c:pt idx="177">
                  <c:v>2447517.1450200002</c:v>
                </c:pt>
                <c:pt idx="178">
                  <c:v>2447698.9124799999</c:v>
                </c:pt>
                <c:pt idx="179">
                  <c:v>2447882.3909499999</c:v>
                </c:pt>
                <c:pt idx="180">
                  <c:v>2448064.1484400001</c:v>
                </c:pt>
                <c:pt idx="181">
                  <c:v>2448247.6305300002</c:v>
                </c:pt>
                <c:pt idx="182">
                  <c:v>2448429.3887299998</c:v>
                </c:pt>
                <c:pt idx="183">
                  <c:v>2448612.87127</c:v>
                </c:pt>
                <c:pt idx="184">
                  <c:v>2448794.63552</c:v>
                </c:pt>
                <c:pt idx="185">
                  <c:v>2448978.1140399999</c:v>
                </c:pt>
                <c:pt idx="186">
                  <c:v>2449159.8755100002</c:v>
                </c:pt>
                <c:pt idx="187">
                  <c:v>2449343.3519600001</c:v>
                </c:pt>
                <c:pt idx="188">
                  <c:v>2449525.11705</c:v>
                </c:pt>
                <c:pt idx="189">
                  <c:v>2449708.59981</c:v>
                </c:pt>
                <c:pt idx="190">
                  <c:v>2449890.3579199999</c:v>
                </c:pt>
                <c:pt idx="191">
                  <c:v>2450073.8457200001</c:v>
                </c:pt>
                <c:pt idx="192">
                  <c:v>2450255.6005299999</c:v>
                </c:pt>
                <c:pt idx="193">
                  <c:v>2450439.0881500002</c:v>
                </c:pt>
                <c:pt idx="194">
                  <c:v>2450620.84791</c:v>
                </c:pt>
                <c:pt idx="195">
                  <c:v>2450804.3389499998</c:v>
                </c:pt>
                <c:pt idx="196">
                  <c:v>2450986.08586</c:v>
                </c:pt>
                <c:pt idx="197">
                  <c:v>2451169.5816100002</c:v>
                </c:pt>
                <c:pt idx="198">
                  <c:v>2451351.3265200001</c:v>
                </c:pt>
                <c:pt idx="199">
                  <c:v>2451534.8228199999</c:v>
                </c:pt>
                <c:pt idx="200">
                  <c:v>2451716.5755400001</c:v>
                </c:pt>
                <c:pt idx="201">
                  <c:v>2451900.0684000002</c:v>
                </c:pt>
                <c:pt idx="202">
                  <c:v>2452081.8185999999</c:v>
                </c:pt>
                <c:pt idx="203">
                  <c:v>2452265.3073399998</c:v>
                </c:pt>
                <c:pt idx="204">
                  <c:v>2452447.0593599998</c:v>
                </c:pt>
                <c:pt idx="205">
                  <c:v>2452630.5523999999</c:v>
                </c:pt>
                <c:pt idx="206">
                  <c:v>2452812.2996800002</c:v>
                </c:pt>
                <c:pt idx="207">
                  <c:v>2452995.7950599999</c:v>
                </c:pt>
                <c:pt idx="208">
                  <c:v>2453177.5402299999</c:v>
                </c:pt>
                <c:pt idx="209">
                  <c:v>2453361.0296399998</c:v>
                </c:pt>
                <c:pt idx="210">
                  <c:v>2453542.78278</c:v>
                </c:pt>
                <c:pt idx="211">
                  <c:v>2453726.27501</c:v>
                </c:pt>
                <c:pt idx="212">
                  <c:v>2453908.0186999999</c:v>
                </c:pt>
                <c:pt idx="213">
                  <c:v>2454091.51609</c:v>
                </c:pt>
                <c:pt idx="214">
                  <c:v>2454273.2552100001</c:v>
                </c:pt>
                <c:pt idx="215">
                  <c:v>2454456.75618</c:v>
                </c:pt>
                <c:pt idx="216">
                  <c:v>2454638.50031</c:v>
                </c:pt>
                <c:pt idx="217">
                  <c:v>2454822.00337</c:v>
                </c:pt>
                <c:pt idx="218">
                  <c:v>2455003.74071</c:v>
                </c:pt>
                <c:pt idx="219">
                  <c:v>2455187.2415900002</c:v>
                </c:pt>
                <c:pt idx="220">
                  <c:v>2455368.9788299999</c:v>
                </c:pt>
                <c:pt idx="221">
                  <c:v>2455552.48581</c:v>
                </c:pt>
                <c:pt idx="222">
                  <c:v>2455734.2205599998</c:v>
                </c:pt>
                <c:pt idx="223">
                  <c:v>2455917.7299700002</c:v>
                </c:pt>
                <c:pt idx="224">
                  <c:v>2456099.4652200001</c:v>
                </c:pt>
                <c:pt idx="225">
                  <c:v>2456282.96716</c:v>
                </c:pt>
                <c:pt idx="226">
                  <c:v>2456464.7118500001</c:v>
                </c:pt>
                <c:pt idx="227">
                  <c:v>2456648.2167500001</c:v>
                </c:pt>
                <c:pt idx="228">
                  <c:v>2456829.9530199999</c:v>
                </c:pt>
                <c:pt idx="229">
                  <c:v>2457013.4611999998</c:v>
                </c:pt>
                <c:pt idx="230">
                  <c:v>2457195.1937699998</c:v>
                </c:pt>
                <c:pt idx="231">
                  <c:v>2457378.7007399998</c:v>
                </c:pt>
                <c:pt idx="232">
                  <c:v>2457560.4411800001</c:v>
                </c:pt>
                <c:pt idx="233">
                  <c:v>2457743.9481299999</c:v>
                </c:pt>
              </c:numCache>
            </c:numRef>
          </c:xVal>
          <c:yVal>
            <c:numRef>
              <c:f>Sheet5!$G$3:$G$236</c:f>
              <c:numCache>
                <c:formatCode>General</c:formatCode>
                <c:ptCount val="234"/>
                <c:pt idx="0">
                  <c:v>12.247199999999999</c:v>
                </c:pt>
                <c:pt idx="1">
                  <c:v>-21.400300000000001</c:v>
                </c:pt>
                <c:pt idx="2">
                  <c:v>2.3694000000000002</c:v>
                </c:pt>
                <c:pt idx="3">
                  <c:v>16.001200000000001</c:v>
                </c:pt>
                <c:pt idx="4">
                  <c:v>-18.425000000000001</c:v>
                </c:pt>
                <c:pt idx="5">
                  <c:v>-6.0256999999999996</c:v>
                </c:pt>
                <c:pt idx="6">
                  <c:v>14.7477</c:v>
                </c:pt>
                <c:pt idx="7">
                  <c:v>-13.226000000000001</c:v>
                </c:pt>
                <c:pt idx="8">
                  <c:v>-5.2324000000000002</c:v>
                </c:pt>
                <c:pt idx="9">
                  <c:v>17.627500000000001</c:v>
                </c:pt>
                <c:pt idx="10">
                  <c:v>-12.120100000000001</c:v>
                </c:pt>
                <c:pt idx="11">
                  <c:v>-10.810600000000001</c:v>
                </c:pt>
                <c:pt idx="12">
                  <c:v>19.711300000000001</c:v>
                </c:pt>
                <c:pt idx="13">
                  <c:v>-4.2742000000000004</c:v>
                </c:pt>
                <c:pt idx="14">
                  <c:v>-12.084</c:v>
                </c:pt>
                <c:pt idx="15">
                  <c:v>20.345300000000002</c:v>
                </c:pt>
                <c:pt idx="16">
                  <c:v>-2.3797000000000001</c:v>
                </c:pt>
                <c:pt idx="17">
                  <c:v>-22.1234</c:v>
                </c:pt>
                <c:pt idx="18">
                  <c:v>18.688400000000001</c:v>
                </c:pt>
                <c:pt idx="19">
                  <c:v>8.2881</c:v>
                </c:pt>
                <c:pt idx="20">
                  <c:v>-26.051600000000001</c:v>
                </c:pt>
                <c:pt idx="21">
                  <c:v>6.5316000000000001</c:v>
                </c:pt>
                <c:pt idx="22">
                  <c:v>11.856400000000001</c:v>
                </c:pt>
                <c:pt idx="23">
                  <c:v>-26.4876</c:v>
                </c:pt>
                <c:pt idx="24">
                  <c:v>1.1146</c:v>
                </c:pt>
                <c:pt idx="25">
                  <c:v>24.0867</c:v>
                </c:pt>
                <c:pt idx="26">
                  <c:v>-22.6676</c:v>
                </c:pt>
                <c:pt idx="27">
                  <c:v>-12.424300000000001</c:v>
                </c:pt>
                <c:pt idx="28">
                  <c:v>27.028700000000001</c:v>
                </c:pt>
                <c:pt idx="29">
                  <c:v>-7.1166999999999998</c:v>
                </c:pt>
                <c:pt idx="30">
                  <c:v>-14.721399999999999</c:v>
                </c:pt>
                <c:pt idx="31">
                  <c:v>24.228899999999999</c:v>
                </c:pt>
                <c:pt idx="32">
                  <c:v>-0.8931</c:v>
                </c:pt>
                <c:pt idx="33">
                  <c:v>-23.674099999999999</c:v>
                </c:pt>
                <c:pt idx="34">
                  <c:v>18.226299999999998</c:v>
                </c:pt>
                <c:pt idx="35">
                  <c:v>9.8821999999999992</c:v>
                </c:pt>
                <c:pt idx="36">
                  <c:v>-23.0442</c:v>
                </c:pt>
                <c:pt idx="37">
                  <c:v>5.6879</c:v>
                </c:pt>
                <c:pt idx="38">
                  <c:v>9.3162000000000003</c:v>
                </c:pt>
                <c:pt idx="39">
                  <c:v>-20.467199999999998</c:v>
                </c:pt>
                <c:pt idx="40">
                  <c:v>2.4885999999999999</c:v>
                </c:pt>
                <c:pt idx="41">
                  <c:v>14.3506</c:v>
                </c:pt>
                <c:pt idx="42">
                  <c:v>-18.157599999999999</c:v>
                </c:pt>
                <c:pt idx="43">
                  <c:v>-4.2138</c:v>
                </c:pt>
                <c:pt idx="44">
                  <c:v>14.351000000000001</c:v>
                </c:pt>
                <c:pt idx="45">
                  <c:v>-12.9117</c:v>
                </c:pt>
                <c:pt idx="46">
                  <c:v>-1.9991000000000001</c:v>
                </c:pt>
                <c:pt idx="47">
                  <c:v>18.150600000000001</c:v>
                </c:pt>
                <c:pt idx="48">
                  <c:v>-12.207800000000001</c:v>
                </c:pt>
                <c:pt idx="49">
                  <c:v>-8.7713000000000001</c:v>
                </c:pt>
                <c:pt idx="50">
                  <c:v>20.007300000000001</c:v>
                </c:pt>
                <c:pt idx="51">
                  <c:v>-5.5137</c:v>
                </c:pt>
                <c:pt idx="52">
                  <c:v>-11.8042</c:v>
                </c:pt>
                <c:pt idx="53">
                  <c:v>19.7563</c:v>
                </c:pt>
                <c:pt idx="54">
                  <c:v>-5.6245000000000003</c:v>
                </c:pt>
                <c:pt idx="55">
                  <c:v>-22.666399999999999</c:v>
                </c:pt>
                <c:pt idx="56">
                  <c:v>18.763000000000002</c:v>
                </c:pt>
                <c:pt idx="57">
                  <c:v>5.8811999999999998</c:v>
                </c:pt>
                <c:pt idx="58">
                  <c:v>-27.346299999999999</c:v>
                </c:pt>
                <c:pt idx="59">
                  <c:v>6.8384</c:v>
                </c:pt>
                <c:pt idx="60">
                  <c:v>11.7629</c:v>
                </c:pt>
                <c:pt idx="61">
                  <c:v>-26.1294</c:v>
                </c:pt>
                <c:pt idx="62">
                  <c:v>4.0067000000000004</c:v>
                </c:pt>
                <c:pt idx="63">
                  <c:v>25.0227</c:v>
                </c:pt>
                <c:pt idx="64">
                  <c:v>-21.065999999999999</c:v>
                </c:pt>
                <c:pt idx="65">
                  <c:v>-9.4862000000000002</c:v>
                </c:pt>
                <c:pt idx="66">
                  <c:v>26.786200000000001</c:v>
                </c:pt>
                <c:pt idx="67">
                  <c:v>-6.5415999999999999</c:v>
                </c:pt>
                <c:pt idx="68">
                  <c:v>-13.6721</c:v>
                </c:pt>
                <c:pt idx="69">
                  <c:v>22.4284</c:v>
                </c:pt>
                <c:pt idx="70">
                  <c:v>-3.4323000000000001</c:v>
                </c:pt>
                <c:pt idx="71">
                  <c:v>-23.0777</c:v>
                </c:pt>
                <c:pt idx="72">
                  <c:v>17.296099999999999</c:v>
                </c:pt>
                <c:pt idx="73">
                  <c:v>6.7649999999999997</c:v>
                </c:pt>
                <c:pt idx="74">
                  <c:v>-23.050799999999999</c:v>
                </c:pt>
                <c:pt idx="75">
                  <c:v>5.3925000000000001</c:v>
                </c:pt>
                <c:pt idx="76">
                  <c:v>7.4839000000000002</c:v>
                </c:pt>
                <c:pt idx="77">
                  <c:v>-20.030200000000001</c:v>
                </c:pt>
                <c:pt idx="78">
                  <c:v>4.6135000000000002</c:v>
                </c:pt>
                <c:pt idx="79">
                  <c:v>13.9696</c:v>
                </c:pt>
                <c:pt idx="80">
                  <c:v>-17.494599999999998</c:v>
                </c:pt>
                <c:pt idx="81">
                  <c:v>-1.0006999999999999</c:v>
                </c:pt>
                <c:pt idx="82">
                  <c:v>14.368</c:v>
                </c:pt>
                <c:pt idx="83">
                  <c:v>-12.8916</c:v>
                </c:pt>
                <c:pt idx="84">
                  <c:v>0.37959999999999999</c:v>
                </c:pt>
                <c:pt idx="85">
                  <c:v>18.299099999999999</c:v>
                </c:pt>
                <c:pt idx="86">
                  <c:v>-14.2447</c:v>
                </c:pt>
                <c:pt idx="87">
                  <c:v>-8.3012999999999995</c:v>
                </c:pt>
                <c:pt idx="88">
                  <c:v>21.023599999999998</c:v>
                </c:pt>
                <c:pt idx="89">
                  <c:v>-8.6234999999999999</c:v>
                </c:pt>
                <c:pt idx="90">
                  <c:v>-13.405900000000001</c:v>
                </c:pt>
                <c:pt idx="91">
                  <c:v>20.2362</c:v>
                </c:pt>
                <c:pt idx="92">
                  <c:v>-8.1852</c:v>
                </c:pt>
                <c:pt idx="93">
                  <c:v>-24.375900000000001</c:v>
                </c:pt>
                <c:pt idx="94">
                  <c:v>19.559899999999999</c:v>
                </c:pt>
                <c:pt idx="95">
                  <c:v>5.7324999999999999</c:v>
                </c:pt>
                <c:pt idx="96">
                  <c:v>-27.508099999999999</c:v>
                </c:pt>
                <c:pt idx="97">
                  <c:v>9.4680999999999997</c:v>
                </c:pt>
                <c:pt idx="98">
                  <c:v>13.463200000000001</c:v>
                </c:pt>
                <c:pt idx="99">
                  <c:v>-25.040199999999999</c:v>
                </c:pt>
                <c:pt idx="100">
                  <c:v>6.8715000000000002</c:v>
                </c:pt>
                <c:pt idx="101">
                  <c:v>25.5566</c:v>
                </c:pt>
                <c:pt idx="102">
                  <c:v>-21.825199999999999</c:v>
                </c:pt>
                <c:pt idx="103">
                  <c:v>-8.5403000000000002</c:v>
                </c:pt>
                <c:pt idx="104">
                  <c:v>27.238399999999999</c:v>
                </c:pt>
                <c:pt idx="105">
                  <c:v>-8.7301000000000002</c:v>
                </c:pt>
                <c:pt idx="106">
                  <c:v>-15.033899999999999</c:v>
                </c:pt>
                <c:pt idx="107">
                  <c:v>21.634899999999998</c:v>
                </c:pt>
                <c:pt idx="108">
                  <c:v>-6.3108000000000004</c:v>
                </c:pt>
                <c:pt idx="109">
                  <c:v>-23.7104</c:v>
                </c:pt>
                <c:pt idx="110">
                  <c:v>16.9557</c:v>
                </c:pt>
                <c:pt idx="111">
                  <c:v>5.1071</c:v>
                </c:pt>
                <c:pt idx="112">
                  <c:v>-22.194199999999999</c:v>
                </c:pt>
                <c:pt idx="113">
                  <c:v>7.0711000000000004</c:v>
                </c:pt>
                <c:pt idx="114">
                  <c:v>7.4612999999999996</c:v>
                </c:pt>
                <c:pt idx="115">
                  <c:v>-19.103200000000001</c:v>
                </c:pt>
                <c:pt idx="116">
                  <c:v>7.3979999999999997</c:v>
                </c:pt>
                <c:pt idx="117">
                  <c:v>13.9466</c:v>
                </c:pt>
                <c:pt idx="118">
                  <c:v>-18.114599999999999</c:v>
                </c:pt>
                <c:pt idx="119">
                  <c:v>1.4064000000000001</c:v>
                </c:pt>
                <c:pt idx="120">
                  <c:v>15.012600000000001</c:v>
                </c:pt>
                <c:pt idx="121">
                  <c:v>-14.5342</c:v>
                </c:pt>
                <c:pt idx="122">
                  <c:v>0.73499999999999999</c:v>
                </c:pt>
                <c:pt idx="123">
                  <c:v>19.0901</c:v>
                </c:pt>
                <c:pt idx="124">
                  <c:v>-16.678999999999998</c:v>
                </c:pt>
                <c:pt idx="125">
                  <c:v>-9.7329000000000008</c:v>
                </c:pt>
                <c:pt idx="126">
                  <c:v>21.227499999999999</c:v>
                </c:pt>
                <c:pt idx="127">
                  <c:v>-11.2691</c:v>
                </c:pt>
                <c:pt idx="128">
                  <c:v>-14.8531</c:v>
                </c:pt>
                <c:pt idx="129">
                  <c:v>21.108799999999999</c:v>
                </c:pt>
                <c:pt idx="130">
                  <c:v>-8.1696000000000009</c:v>
                </c:pt>
                <c:pt idx="131">
                  <c:v>-25.042899999999999</c:v>
                </c:pt>
                <c:pt idx="132">
                  <c:v>21.758800000000001</c:v>
                </c:pt>
                <c:pt idx="133">
                  <c:v>7.7533000000000003</c:v>
                </c:pt>
                <c:pt idx="134">
                  <c:v>-28.365500000000001</c:v>
                </c:pt>
                <c:pt idx="135">
                  <c:v>12.046799999999999</c:v>
                </c:pt>
                <c:pt idx="136">
                  <c:v>16.187999999999999</c:v>
                </c:pt>
                <c:pt idx="137">
                  <c:v>-25.620100000000001</c:v>
                </c:pt>
                <c:pt idx="138">
                  <c:v>7.1479999999999997</c:v>
                </c:pt>
                <c:pt idx="139">
                  <c:v>26.607299999999999</c:v>
                </c:pt>
                <c:pt idx="140">
                  <c:v>-23.211600000000001</c:v>
                </c:pt>
                <c:pt idx="141">
                  <c:v>-10.411099999999999</c:v>
                </c:pt>
                <c:pt idx="142">
                  <c:v>26.388000000000002</c:v>
                </c:pt>
                <c:pt idx="143">
                  <c:v>-11.417400000000001</c:v>
                </c:pt>
                <c:pt idx="144">
                  <c:v>-16.547499999999999</c:v>
                </c:pt>
                <c:pt idx="145">
                  <c:v>21.199300000000001</c:v>
                </c:pt>
                <c:pt idx="146">
                  <c:v>-7.0270999999999999</c:v>
                </c:pt>
                <c:pt idx="147">
                  <c:v>-23.286000000000001</c:v>
                </c:pt>
                <c:pt idx="148">
                  <c:v>18.121500000000001</c:v>
                </c:pt>
                <c:pt idx="149">
                  <c:v>5.5156000000000001</c:v>
                </c:pt>
                <c:pt idx="150">
                  <c:v>-21.9407</c:v>
                </c:pt>
                <c:pt idx="151">
                  <c:v>9.3888999999999996</c:v>
                </c:pt>
                <c:pt idx="152">
                  <c:v>8.5989000000000004</c:v>
                </c:pt>
                <c:pt idx="153">
                  <c:v>-19.204699999999999</c:v>
                </c:pt>
                <c:pt idx="154">
                  <c:v>9.0032999999999994</c:v>
                </c:pt>
                <c:pt idx="155">
                  <c:v>14.466799999999999</c:v>
                </c:pt>
                <c:pt idx="156">
                  <c:v>-18.658200000000001</c:v>
                </c:pt>
                <c:pt idx="157">
                  <c:v>1.8575999999999999</c:v>
                </c:pt>
                <c:pt idx="158">
                  <c:v>14.5708</c:v>
                </c:pt>
                <c:pt idx="159">
                  <c:v>-16.7119</c:v>
                </c:pt>
                <c:pt idx="160">
                  <c:v>-0.37609999999999999</c:v>
                </c:pt>
                <c:pt idx="161">
                  <c:v>19.253599999999999</c:v>
                </c:pt>
                <c:pt idx="162">
                  <c:v>-18.130500000000001</c:v>
                </c:pt>
                <c:pt idx="163">
                  <c:v>-11.1678</c:v>
                </c:pt>
                <c:pt idx="164">
                  <c:v>21.764700000000001</c:v>
                </c:pt>
                <c:pt idx="165">
                  <c:v>-11.4488</c:v>
                </c:pt>
                <c:pt idx="166">
                  <c:v>-16.000900000000001</c:v>
                </c:pt>
                <c:pt idx="167">
                  <c:v>22.589099999999998</c:v>
                </c:pt>
                <c:pt idx="168">
                  <c:v>-6.3442999999999996</c:v>
                </c:pt>
                <c:pt idx="169">
                  <c:v>-25.686499999999999</c:v>
                </c:pt>
                <c:pt idx="170">
                  <c:v>23.3947</c:v>
                </c:pt>
                <c:pt idx="171">
                  <c:v>10.726599999999999</c:v>
                </c:pt>
                <c:pt idx="172">
                  <c:v>-28.092700000000001</c:v>
                </c:pt>
                <c:pt idx="173">
                  <c:v>12.584099999999999</c:v>
                </c:pt>
                <c:pt idx="174">
                  <c:v>17.134</c:v>
                </c:pt>
                <c:pt idx="175">
                  <c:v>-26.855799999999999</c:v>
                </c:pt>
                <c:pt idx="176">
                  <c:v>4.8167999999999997</c:v>
                </c:pt>
                <c:pt idx="177">
                  <c:v>26.277999999999999</c:v>
                </c:pt>
                <c:pt idx="178">
                  <c:v>-24.030899999999999</c:v>
                </c:pt>
                <c:pt idx="179">
                  <c:v>-12.8697</c:v>
                </c:pt>
                <c:pt idx="180">
                  <c:v>25.972300000000001</c:v>
                </c:pt>
                <c:pt idx="181">
                  <c:v>-11.740500000000001</c:v>
                </c:pt>
                <c:pt idx="182">
                  <c:v>-17.8156</c:v>
                </c:pt>
                <c:pt idx="183">
                  <c:v>21.599499999999999</c:v>
                </c:pt>
                <c:pt idx="184">
                  <c:v>-5.7530000000000001</c:v>
                </c:pt>
                <c:pt idx="185">
                  <c:v>-22.8782</c:v>
                </c:pt>
                <c:pt idx="186">
                  <c:v>18.923400000000001</c:v>
                </c:pt>
                <c:pt idx="187">
                  <c:v>7.1590999999999996</c:v>
                </c:pt>
                <c:pt idx="188">
                  <c:v>-20.721900000000002</c:v>
                </c:pt>
                <c:pt idx="189">
                  <c:v>10.770300000000001</c:v>
                </c:pt>
                <c:pt idx="190">
                  <c:v>8.923</c:v>
                </c:pt>
                <c:pt idx="191">
                  <c:v>-19.552499999999998</c:v>
                </c:pt>
                <c:pt idx="192">
                  <c:v>8.8061000000000007</c:v>
                </c:pt>
                <c:pt idx="193">
                  <c:v>13.922800000000001</c:v>
                </c:pt>
                <c:pt idx="194">
                  <c:v>-18.9482</c:v>
                </c:pt>
                <c:pt idx="195">
                  <c:v>0.85489999999999999</c:v>
                </c:pt>
                <c:pt idx="196">
                  <c:v>13.5756</c:v>
                </c:pt>
                <c:pt idx="197">
                  <c:v>-17.751200000000001</c:v>
                </c:pt>
                <c:pt idx="198">
                  <c:v>-1.4732000000000001</c:v>
                </c:pt>
                <c:pt idx="199">
                  <c:v>19.090399999999999</c:v>
                </c:pt>
                <c:pt idx="200">
                  <c:v>-18.920999999999999</c:v>
                </c:pt>
                <c:pt idx="201">
                  <c:v>-12.001099999999999</c:v>
                </c:pt>
                <c:pt idx="202">
                  <c:v>22.0593</c:v>
                </c:pt>
                <c:pt idx="203">
                  <c:v>-10.133599999999999</c:v>
                </c:pt>
                <c:pt idx="204">
                  <c:v>-14.978</c:v>
                </c:pt>
                <c:pt idx="205">
                  <c:v>24.2134</c:v>
                </c:pt>
                <c:pt idx="206">
                  <c:v>-3.8578000000000001</c:v>
                </c:pt>
                <c:pt idx="207">
                  <c:v>-25.543399999999998</c:v>
                </c:pt>
                <c:pt idx="208">
                  <c:v>23.102900000000002</c:v>
                </c:pt>
                <c:pt idx="209">
                  <c:v>12.247999999999999</c:v>
                </c:pt>
                <c:pt idx="210">
                  <c:v>-27.569900000000001</c:v>
                </c:pt>
                <c:pt idx="211">
                  <c:v>10.350899999999999</c:v>
                </c:pt>
                <c:pt idx="212">
                  <c:v>16.4878</c:v>
                </c:pt>
                <c:pt idx="213">
                  <c:v>-26.998999999999999</c:v>
                </c:pt>
                <c:pt idx="214">
                  <c:v>1.8917999999999999</c:v>
                </c:pt>
                <c:pt idx="215">
                  <c:v>25.193300000000001</c:v>
                </c:pt>
                <c:pt idx="216">
                  <c:v>-24.043099999999999</c:v>
                </c:pt>
                <c:pt idx="217">
                  <c:v>-14.6425</c:v>
                </c:pt>
                <c:pt idx="218">
                  <c:v>25.165600000000001</c:v>
                </c:pt>
                <c:pt idx="219">
                  <c:v>-10.323</c:v>
                </c:pt>
                <c:pt idx="220">
                  <c:v>-16.645399999999999</c:v>
                </c:pt>
                <c:pt idx="221">
                  <c:v>22.235800000000001</c:v>
                </c:pt>
                <c:pt idx="222">
                  <c:v>-3.5413999999999999</c:v>
                </c:pt>
                <c:pt idx="223">
                  <c:v>-21.729399999999998</c:v>
                </c:pt>
                <c:pt idx="224">
                  <c:v>18.384699999999999</c:v>
                </c:pt>
                <c:pt idx="225">
                  <c:v>8.0954999999999995</c:v>
                </c:pt>
                <c:pt idx="226">
                  <c:v>-19.2637</c:v>
                </c:pt>
                <c:pt idx="227">
                  <c:v>10.218</c:v>
                </c:pt>
                <c:pt idx="228">
                  <c:v>7.9855</c:v>
                </c:pt>
                <c:pt idx="229">
                  <c:v>-19.140499999999999</c:v>
                </c:pt>
                <c:pt idx="230">
                  <c:v>8.1463999999999999</c:v>
                </c:pt>
                <c:pt idx="231">
                  <c:v>12.3667</c:v>
                </c:pt>
                <c:pt idx="232">
                  <c:v>-19.458300000000001</c:v>
                </c:pt>
                <c:pt idx="233">
                  <c:v>-0.12690000000000001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Sheet5!$H$2</c:f>
              <c:strCache>
                <c:ptCount val="1"/>
                <c:pt idx="0">
                  <c:v>Syn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Sheet5!$F$3:$F$236</c:f>
              <c:numCache>
                <c:formatCode>General</c:formatCode>
                <c:ptCount val="234"/>
                <c:pt idx="0">
                  <c:v>2415192.4026700002</c:v>
                </c:pt>
                <c:pt idx="1">
                  <c:v>2415375.77892</c:v>
                </c:pt>
                <c:pt idx="2">
                  <c:v>2415557.6443599998</c:v>
                </c:pt>
                <c:pt idx="3">
                  <c:v>2415741.0254899999</c:v>
                </c:pt>
                <c:pt idx="4">
                  <c:v>2415922.8855900001</c:v>
                </c:pt>
                <c:pt idx="5">
                  <c:v>2416106.2747599999</c:v>
                </c:pt>
                <c:pt idx="6">
                  <c:v>2416288.1285199998</c:v>
                </c:pt>
                <c:pt idx="7">
                  <c:v>2416471.5142799998</c:v>
                </c:pt>
                <c:pt idx="8">
                  <c:v>2416653.3690999998</c:v>
                </c:pt>
                <c:pt idx="9">
                  <c:v>2416836.75979</c:v>
                </c:pt>
                <c:pt idx="10">
                  <c:v>2417018.61913</c:v>
                </c:pt>
                <c:pt idx="11">
                  <c:v>2417202.00269</c:v>
                </c:pt>
                <c:pt idx="12">
                  <c:v>2417383.8624900002</c:v>
                </c:pt>
                <c:pt idx="13">
                  <c:v>2417567.24547</c:v>
                </c:pt>
                <c:pt idx="14">
                  <c:v>2417749.0994600002</c:v>
                </c:pt>
                <c:pt idx="15">
                  <c:v>2417932.4942800002</c:v>
                </c:pt>
                <c:pt idx="16">
                  <c:v>2418114.3467199998</c:v>
                </c:pt>
                <c:pt idx="17">
                  <c:v>2418297.7316999999</c:v>
                </c:pt>
                <c:pt idx="18">
                  <c:v>2418479.5873599998</c:v>
                </c:pt>
                <c:pt idx="19">
                  <c:v>2418662.9722600002</c:v>
                </c:pt>
                <c:pt idx="20">
                  <c:v>2418844.8256700002</c:v>
                </c:pt>
                <c:pt idx="21">
                  <c:v>2419028.21667</c:v>
                </c:pt>
                <c:pt idx="22">
                  <c:v>2419210.06654</c:v>
                </c:pt>
                <c:pt idx="23">
                  <c:v>2419393.4537999998</c:v>
                </c:pt>
                <c:pt idx="24">
                  <c:v>2419575.3036000002</c:v>
                </c:pt>
                <c:pt idx="25">
                  <c:v>2419758.6979200002</c:v>
                </c:pt>
                <c:pt idx="26">
                  <c:v>2419940.5484699998</c:v>
                </c:pt>
                <c:pt idx="27">
                  <c:v>2420123.94111</c:v>
                </c:pt>
                <c:pt idx="28">
                  <c:v>2420305.7884499999</c:v>
                </c:pt>
                <c:pt idx="29">
                  <c:v>2420489.1824699999</c:v>
                </c:pt>
                <c:pt idx="30">
                  <c:v>2420671.0206399998</c:v>
                </c:pt>
                <c:pt idx="31">
                  <c:v>2420854.4278699998</c:v>
                </c:pt>
                <c:pt idx="32">
                  <c:v>2421036.2672100002</c:v>
                </c:pt>
                <c:pt idx="33">
                  <c:v>2421219.66591</c:v>
                </c:pt>
                <c:pt idx="34">
                  <c:v>2421401.51021</c:v>
                </c:pt>
                <c:pt idx="35">
                  <c:v>2421584.90699</c:v>
                </c:pt>
                <c:pt idx="36">
                  <c:v>2421766.7500100001</c:v>
                </c:pt>
                <c:pt idx="37">
                  <c:v>2421950.1540999999</c:v>
                </c:pt>
                <c:pt idx="38">
                  <c:v>2422131.9958100002</c:v>
                </c:pt>
                <c:pt idx="39">
                  <c:v>2422315.3940900001</c:v>
                </c:pt>
                <c:pt idx="40">
                  <c:v>2422497.2362600002</c:v>
                </c:pt>
                <c:pt idx="41">
                  <c:v>2422680.6370799998</c:v>
                </c:pt>
                <c:pt idx="42">
                  <c:v>2422862.4833800001</c:v>
                </c:pt>
                <c:pt idx="43">
                  <c:v>2423045.8804500001</c:v>
                </c:pt>
                <c:pt idx="44">
                  <c:v>2423227.7271599998</c:v>
                </c:pt>
                <c:pt idx="45">
                  <c:v>2423411.12316</c:v>
                </c:pt>
                <c:pt idx="46">
                  <c:v>2423592.9605299998</c:v>
                </c:pt>
                <c:pt idx="47">
                  <c:v>2423776.3706100001</c:v>
                </c:pt>
                <c:pt idx="48">
                  <c:v>2423958.2081900002</c:v>
                </c:pt>
                <c:pt idx="49">
                  <c:v>2424141.61521</c:v>
                </c:pt>
                <c:pt idx="50">
                  <c:v>2424323.4516599998</c:v>
                </c:pt>
                <c:pt idx="51">
                  <c:v>2424506.8590699998</c:v>
                </c:pt>
                <c:pt idx="52">
                  <c:v>2424688.68781</c:v>
                </c:pt>
                <c:pt idx="53">
                  <c:v>2424872.10678</c:v>
                </c:pt>
                <c:pt idx="54">
                  <c:v>2425053.9323700001</c:v>
                </c:pt>
                <c:pt idx="55">
                  <c:v>2425237.3464700002</c:v>
                </c:pt>
                <c:pt idx="56">
                  <c:v>2425419.17142</c:v>
                </c:pt>
                <c:pt idx="57">
                  <c:v>2425602.5861800001</c:v>
                </c:pt>
                <c:pt idx="58">
                  <c:v>2425784.4174000002</c:v>
                </c:pt>
                <c:pt idx="59">
                  <c:v>2425967.82859</c:v>
                </c:pt>
                <c:pt idx="60">
                  <c:v>2426149.6619799999</c:v>
                </c:pt>
                <c:pt idx="61">
                  <c:v>2426333.0694200001</c:v>
                </c:pt>
                <c:pt idx="62">
                  <c:v>2426514.8947800002</c:v>
                </c:pt>
                <c:pt idx="63">
                  <c:v>2426698.3125</c:v>
                </c:pt>
                <c:pt idx="64">
                  <c:v>2426880.1410099999</c:v>
                </c:pt>
                <c:pt idx="65">
                  <c:v>2427063.5518499999</c:v>
                </c:pt>
                <c:pt idx="66">
                  <c:v>2427245.3835100001</c:v>
                </c:pt>
                <c:pt idx="67">
                  <c:v>2427428.7902199998</c:v>
                </c:pt>
                <c:pt idx="68">
                  <c:v>2427610.6169099999</c:v>
                </c:pt>
                <c:pt idx="69">
                  <c:v>2427794.03462</c:v>
                </c:pt>
                <c:pt idx="70">
                  <c:v>2427975.85995</c:v>
                </c:pt>
                <c:pt idx="71">
                  <c:v>2428159.2760600001</c:v>
                </c:pt>
                <c:pt idx="72">
                  <c:v>2428341.0986500001</c:v>
                </c:pt>
                <c:pt idx="73">
                  <c:v>2428524.51883</c:v>
                </c:pt>
                <c:pt idx="74">
                  <c:v>2428706.3419599999</c:v>
                </c:pt>
                <c:pt idx="75">
                  <c:v>2428889.7653399999</c:v>
                </c:pt>
                <c:pt idx="76">
                  <c:v>2429071.5861200001</c:v>
                </c:pt>
                <c:pt idx="77">
                  <c:v>2429255.0095899999</c:v>
                </c:pt>
                <c:pt idx="78">
                  <c:v>2429436.8193399999</c:v>
                </c:pt>
                <c:pt idx="79">
                  <c:v>2429620.2544399998</c:v>
                </c:pt>
                <c:pt idx="80">
                  <c:v>2429802.0672599999</c:v>
                </c:pt>
                <c:pt idx="81">
                  <c:v>2429985.49664</c:v>
                </c:pt>
                <c:pt idx="82">
                  <c:v>2430167.3150900002</c:v>
                </c:pt>
                <c:pt idx="83">
                  <c:v>2430350.7392899999</c:v>
                </c:pt>
                <c:pt idx="84">
                  <c:v>2430532.55326</c:v>
                </c:pt>
                <c:pt idx="85">
                  <c:v>2430715.9861099999</c:v>
                </c:pt>
                <c:pt idx="86">
                  <c:v>2430897.8005400002</c:v>
                </c:pt>
                <c:pt idx="87">
                  <c:v>2431081.2288500001</c:v>
                </c:pt>
                <c:pt idx="88">
                  <c:v>2431263.0435799998</c:v>
                </c:pt>
                <c:pt idx="89">
                  <c:v>2431446.46894</c:v>
                </c:pt>
                <c:pt idx="90">
                  <c:v>2431628.2864799998</c:v>
                </c:pt>
                <c:pt idx="91">
                  <c:v>2431811.7111300002</c:v>
                </c:pt>
                <c:pt idx="92">
                  <c:v>2431993.5311099999</c:v>
                </c:pt>
                <c:pt idx="93">
                  <c:v>2432176.9540300001</c:v>
                </c:pt>
                <c:pt idx="94">
                  <c:v>2432358.7634000001</c:v>
                </c:pt>
                <c:pt idx="95">
                  <c:v>2432542.1967000002</c:v>
                </c:pt>
                <c:pt idx="96">
                  <c:v>2432724.0077</c:v>
                </c:pt>
                <c:pt idx="97">
                  <c:v>2432907.4401199999</c:v>
                </c:pt>
                <c:pt idx="98">
                  <c:v>2433089.25226</c:v>
                </c:pt>
                <c:pt idx="99">
                  <c:v>2433272.68291</c:v>
                </c:pt>
                <c:pt idx="100">
                  <c:v>2433454.4837199999</c:v>
                </c:pt>
                <c:pt idx="101">
                  <c:v>2433637.9262799998</c:v>
                </c:pt>
                <c:pt idx="102">
                  <c:v>2433819.7259399998</c:v>
                </c:pt>
                <c:pt idx="103">
                  <c:v>2434003.16707</c:v>
                </c:pt>
                <c:pt idx="104">
                  <c:v>2434184.96741</c:v>
                </c:pt>
                <c:pt idx="105">
                  <c:v>2434368.4053199999</c:v>
                </c:pt>
                <c:pt idx="106">
                  <c:v>2434550.20866</c:v>
                </c:pt>
                <c:pt idx="107">
                  <c:v>2434733.6472100001</c:v>
                </c:pt>
                <c:pt idx="108">
                  <c:v>2434915.45456</c:v>
                </c:pt>
                <c:pt idx="109">
                  <c:v>2435098.8922799998</c:v>
                </c:pt>
                <c:pt idx="110">
                  <c:v>2435280.6888199998</c:v>
                </c:pt>
                <c:pt idx="111">
                  <c:v>2435464.1329399999</c:v>
                </c:pt>
                <c:pt idx="112">
                  <c:v>2435645.93353</c:v>
                </c:pt>
                <c:pt idx="113">
                  <c:v>2435829.3750200002</c:v>
                </c:pt>
                <c:pt idx="114">
                  <c:v>2436011.1812999998</c:v>
                </c:pt>
                <c:pt idx="115">
                  <c:v>2436194.61748</c:v>
                </c:pt>
                <c:pt idx="116">
                  <c:v>2436376.4149099998</c:v>
                </c:pt>
                <c:pt idx="117">
                  <c:v>2436559.8613</c:v>
                </c:pt>
                <c:pt idx="118">
                  <c:v>2436741.6599499998</c:v>
                </c:pt>
                <c:pt idx="119">
                  <c:v>2436925.10757</c:v>
                </c:pt>
                <c:pt idx="120">
                  <c:v>2437106.9047699999</c:v>
                </c:pt>
                <c:pt idx="121">
                  <c:v>2437290.3517399998</c:v>
                </c:pt>
                <c:pt idx="122">
                  <c:v>2437472.1463100002</c:v>
                </c:pt>
                <c:pt idx="123">
                  <c:v>2437655.5972600002</c:v>
                </c:pt>
                <c:pt idx="124">
                  <c:v>2437837.3921500002</c:v>
                </c:pt>
                <c:pt idx="125">
                  <c:v>2438020.8443399998</c:v>
                </c:pt>
                <c:pt idx="126">
                  <c:v>2438202.6282100002</c:v>
                </c:pt>
                <c:pt idx="127">
                  <c:v>2438386.08506</c:v>
                </c:pt>
                <c:pt idx="128">
                  <c:v>2438567.8732099999</c:v>
                </c:pt>
                <c:pt idx="129">
                  <c:v>2438751.3264899999</c:v>
                </c:pt>
                <c:pt idx="130">
                  <c:v>2438933.12243</c:v>
                </c:pt>
                <c:pt idx="131">
                  <c:v>2439116.5701700002</c:v>
                </c:pt>
                <c:pt idx="132">
                  <c:v>2439298.3569399999</c:v>
                </c:pt>
                <c:pt idx="133">
                  <c:v>2439481.8116700002</c:v>
                </c:pt>
                <c:pt idx="134">
                  <c:v>2439663.5996500002</c:v>
                </c:pt>
                <c:pt idx="135">
                  <c:v>2439847.05345</c:v>
                </c:pt>
                <c:pt idx="136">
                  <c:v>2440028.84302</c:v>
                </c:pt>
                <c:pt idx="137">
                  <c:v>2440212.2919700001</c:v>
                </c:pt>
                <c:pt idx="138">
                  <c:v>2440394.0803700001</c:v>
                </c:pt>
                <c:pt idx="139">
                  <c:v>2440577.53082</c:v>
                </c:pt>
                <c:pt idx="140">
                  <c:v>2440759.3217699998</c:v>
                </c:pt>
                <c:pt idx="141">
                  <c:v>2440942.7752499999</c:v>
                </c:pt>
                <c:pt idx="142">
                  <c:v>2441124.5557599999</c:v>
                </c:pt>
                <c:pt idx="143">
                  <c:v>2441308.0171099999</c:v>
                </c:pt>
                <c:pt idx="144">
                  <c:v>2441489.7964599999</c:v>
                </c:pt>
                <c:pt idx="145">
                  <c:v>2441673.25948</c:v>
                </c:pt>
                <c:pt idx="146">
                  <c:v>2441855.0425900002</c:v>
                </c:pt>
                <c:pt idx="147">
                  <c:v>2442038.5058800001</c:v>
                </c:pt>
                <c:pt idx="148">
                  <c:v>2442220.27666</c:v>
                </c:pt>
                <c:pt idx="149">
                  <c:v>2442403.7477299999</c:v>
                </c:pt>
                <c:pt idx="150">
                  <c:v>2442585.5189100001</c:v>
                </c:pt>
                <c:pt idx="151">
                  <c:v>2442768.9905300001</c:v>
                </c:pt>
                <c:pt idx="152">
                  <c:v>2442950.7673599999</c:v>
                </c:pt>
                <c:pt idx="153">
                  <c:v>2443134.2333</c:v>
                </c:pt>
                <c:pt idx="154">
                  <c:v>2443316.0101299998</c:v>
                </c:pt>
                <c:pt idx="155">
                  <c:v>2443499.4749799999</c:v>
                </c:pt>
                <c:pt idx="156">
                  <c:v>2443681.25722</c:v>
                </c:pt>
                <c:pt idx="157">
                  <c:v>2443864.7234700001</c:v>
                </c:pt>
                <c:pt idx="158">
                  <c:v>2444046.4979400001</c:v>
                </c:pt>
                <c:pt idx="159">
                  <c:v>2444229.9657100001</c:v>
                </c:pt>
                <c:pt idx="160">
                  <c:v>2444411.7415900002</c:v>
                </c:pt>
                <c:pt idx="161">
                  <c:v>2444595.2062300001</c:v>
                </c:pt>
                <c:pt idx="162">
                  <c:v>2444776.9899800001</c:v>
                </c:pt>
                <c:pt idx="163">
                  <c:v>2444960.4523700001</c:v>
                </c:pt>
                <c:pt idx="164">
                  <c:v>2445142.2249199999</c:v>
                </c:pt>
                <c:pt idx="165">
                  <c:v>2445325.6937799999</c:v>
                </c:pt>
                <c:pt idx="166">
                  <c:v>2445507.4649899998</c:v>
                </c:pt>
                <c:pt idx="167">
                  <c:v>2445690.9380800002</c:v>
                </c:pt>
                <c:pt idx="168">
                  <c:v>2445872.7105200002</c:v>
                </c:pt>
                <c:pt idx="169">
                  <c:v>2446056.1831499999</c:v>
                </c:pt>
                <c:pt idx="170">
                  <c:v>2446237.9479499999</c:v>
                </c:pt>
                <c:pt idx="171">
                  <c:v>2446421.42264</c:v>
                </c:pt>
                <c:pt idx="172">
                  <c:v>2446603.1881300001</c:v>
                </c:pt>
                <c:pt idx="173">
                  <c:v>2446786.6688000001</c:v>
                </c:pt>
                <c:pt idx="174">
                  <c:v>2446968.42478</c:v>
                </c:pt>
                <c:pt idx="175">
                  <c:v>2447151.9075199999</c:v>
                </c:pt>
                <c:pt idx="176">
                  <c:v>2447333.6649199999</c:v>
                </c:pt>
                <c:pt idx="177">
                  <c:v>2447517.1450200002</c:v>
                </c:pt>
                <c:pt idx="178">
                  <c:v>2447698.9124799999</c:v>
                </c:pt>
                <c:pt idx="179">
                  <c:v>2447882.3909499999</c:v>
                </c:pt>
                <c:pt idx="180">
                  <c:v>2448064.1484400001</c:v>
                </c:pt>
                <c:pt idx="181">
                  <c:v>2448247.6305300002</c:v>
                </c:pt>
                <c:pt idx="182">
                  <c:v>2448429.3887299998</c:v>
                </c:pt>
                <c:pt idx="183">
                  <c:v>2448612.87127</c:v>
                </c:pt>
                <c:pt idx="184">
                  <c:v>2448794.63552</c:v>
                </c:pt>
                <c:pt idx="185">
                  <c:v>2448978.1140399999</c:v>
                </c:pt>
                <c:pt idx="186">
                  <c:v>2449159.8755100002</c:v>
                </c:pt>
                <c:pt idx="187">
                  <c:v>2449343.3519600001</c:v>
                </c:pt>
                <c:pt idx="188">
                  <c:v>2449525.11705</c:v>
                </c:pt>
                <c:pt idx="189">
                  <c:v>2449708.59981</c:v>
                </c:pt>
                <c:pt idx="190">
                  <c:v>2449890.3579199999</c:v>
                </c:pt>
                <c:pt idx="191">
                  <c:v>2450073.8457200001</c:v>
                </c:pt>
                <c:pt idx="192">
                  <c:v>2450255.6005299999</c:v>
                </c:pt>
                <c:pt idx="193">
                  <c:v>2450439.0881500002</c:v>
                </c:pt>
                <c:pt idx="194">
                  <c:v>2450620.84791</c:v>
                </c:pt>
                <c:pt idx="195">
                  <c:v>2450804.3389499998</c:v>
                </c:pt>
                <c:pt idx="196">
                  <c:v>2450986.08586</c:v>
                </c:pt>
                <c:pt idx="197">
                  <c:v>2451169.5816100002</c:v>
                </c:pt>
                <c:pt idx="198">
                  <c:v>2451351.3265200001</c:v>
                </c:pt>
                <c:pt idx="199">
                  <c:v>2451534.8228199999</c:v>
                </c:pt>
                <c:pt idx="200">
                  <c:v>2451716.5755400001</c:v>
                </c:pt>
                <c:pt idx="201">
                  <c:v>2451900.0684000002</c:v>
                </c:pt>
                <c:pt idx="202">
                  <c:v>2452081.8185999999</c:v>
                </c:pt>
                <c:pt idx="203">
                  <c:v>2452265.3073399998</c:v>
                </c:pt>
                <c:pt idx="204">
                  <c:v>2452447.0593599998</c:v>
                </c:pt>
                <c:pt idx="205">
                  <c:v>2452630.5523999999</c:v>
                </c:pt>
                <c:pt idx="206">
                  <c:v>2452812.2996800002</c:v>
                </c:pt>
                <c:pt idx="207">
                  <c:v>2452995.7950599999</c:v>
                </c:pt>
                <c:pt idx="208">
                  <c:v>2453177.5402299999</c:v>
                </c:pt>
                <c:pt idx="209">
                  <c:v>2453361.0296399998</c:v>
                </c:pt>
                <c:pt idx="210">
                  <c:v>2453542.78278</c:v>
                </c:pt>
                <c:pt idx="211">
                  <c:v>2453726.27501</c:v>
                </c:pt>
                <c:pt idx="212">
                  <c:v>2453908.0186999999</c:v>
                </c:pt>
                <c:pt idx="213">
                  <c:v>2454091.51609</c:v>
                </c:pt>
                <c:pt idx="214">
                  <c:v>2454273.2552100001</c:v>
                </c:pt>
                <c:pt idx="215">
                  <c:v>2454456.75618</c:v>
                </c:pt>
                <c:pt idx="216">
                  <c:v>2454638.50031</c:v>
                </c:pt>
                <c:pt idx="217">
                  <c:v>2454822.00337</c:v>
                </c:pt>
                <c:pt idx="218">
                  <c:v>2455003.74071</c:v>
                </c:pt>
                <c:pt idx="219">
                  <c:v>2455187.2415900002</c:v>
                </c:pt>
                <c:pt idx="220">
                  <c:v>2455368.9788299999</c:v>
                </c:pt>
                <c:pt idx="221">
                  <c:v>2455552.48581</c:v>
                </c:pt>
                <c:pt idx="222">
                  <c:v>2455734.2205599998</c:v>
                </c:pt>
                <c:pt idx="223">
                  <c:v>2455917.7299700002</c:v>
                </c:pt>
                <c:pt idx="224">
                  <c:v>2456099.4652200001</c:v>
                </c:pt>
                <c:pt idx="225">
                  <c:v>2456282.96716</c:v>
                </c:pt>
                <c:pt idx="226">
                  <c:v>2456464.7118500001</c:v>
                </c:pt>
                <c:pt idx="227">
                  <c:v>2456648.2167500001</c:v>
                </c:pt>
                <c:pt idx="228">
                  <c:v>2456829.9530199999</c:v>
                </c:pt>
                <c:pt idx="229">
                  <c:v>2457013.4611999998</c:v>
                </c:pt>
                <c:pt idx="230">
                  <c:v>2457195.1937699998</c:v>
                </c:pt>
                <c:pt idx="231">
                  <c:v>2457378.7007399998</c:v>
                </c:pt>
                <c:pt idx="232">
                  <c:v>2457560.4411800001</c:v>
                </c:pt>
                <c:pt idx="233">
                  <c:v>2457743.9481299999</c:v>
                </c:pt>
              </c:numCache>
            </c:numRef>
          </c:xVal>
          <c:yVal>
            <c:numRef>
              <c:f>Sheet5!$H$3:$H$236</c:f>
              <c:numCache>
                <c:formatCode>General</c:formatCode>
                <c:ptCount val="234"/>
                <c:pt idx="0">
                  <c:v>48.440600480135544</c:v>
                </c:pt>
                <c:pt idx="1">
                  <c:v>47.934976844432313</c:v>
                </c:pt>
                <c:pt idx="2">
                  <c:v>-32.201403119690369</c:v>
                </c:pt>
                <c:pt idx="3">
                  <c:v>11.401327099196772</c:v>
                </c:pt>
                <c:pt idx="4">
                  <c:v>-1.895470829258262</c:v>
                </c:pt>
                <c:pt idx="5">
                  <c:v>-34.288307555821206</c:v>
                </c:pt>
                <c:pt idx="6">
                  <c:v>42.974780912413678</c:v>
                </c:pt>
                <c:pt idx="7">
                  <c:v>14.662651904687875</c:v>
                </c:pt>
                <c:pt idx="8">
                  <c:v>-47.680041036987959</c:v>
                </c:pt>
                <c:pt idx="9">
                  <c:v>44.753605205170075</c:v>
                </c:pt>
                <c:pt idx="10">
                  <c:v>-36.454066189987515</c:v>
                </c:pt>
                <c:pt idx="11">
                  <c:v>-38.436350306697783</c:v>
                </c:pt>
                <c:pt idx="12">
                  <c:v>44.513768395061796</c:v>
                </c:pt>
                <c:pt idx="13">
                  <c:v>-5.3330512982297167</c:v>
                </c:pt>
                <c:pt idx="14">
                  <c:v>-43.4956939507626</c:v>
                </c:pt>
                <c:pt idx="15">
                  <c:v>40.524873958548319</c:v>
                </c:pt>
                <c:pt idx="16">
                  <c:v>-29.880404095472009</c:v>
                </c:pt>
                <c:pt idx="17">
                  <c:v>-36.869243389198473</c:v>
                </c:pt>
                <c:pt idx="18">
                  <c:v>47.064692351897776</c:v>
                </c:pt>
                <c:pt idx="19">
                  <c:v>10.161064588854128</c:v>
                </c:pt>
                <c:pt idx="20">
                  <c:v>-48.408069957994798</c:v>
                </c:pt>
                <c:pt idx="21">
                  <c:v>42.935906356361556</c:v>
                </c:pt>
                <c:pt idx="22">
                  <c:v>35.691398753596033</c:v>
                </c:pt>
                <c:pt idx="23">
                  <c:v>-44.538589766975562</c:v>
                </c:pt>
                <c:pt idx="24">
                  <c:v>-33.471878446433792</c:v>
                </c:pt>
                <c:pt idx="25">
                  <c:v>32.04639191429186</c:v>
                </c:pt>
                <c:pt idx="26">
                  <c:v>-27.956734840435786</c:v>
                </c:pt>
                <c:pt idx="27">
                  <c:v>17.644289096765611</c:v>
                </c:pt>
                <c:pt idx="28">
                  <c:v>44.629009670069216</c:v>
                </c:pt>
                <c:pt idx="29">
                  <c:v>-44.429515069759702</c:v>
                </c:pt>
                <c:pt idx="30">
                  <c:v>-19.683597270743455</c:v>
                </c:pt>
                <c:pt idx="31">
                  <c:v>23.793868455589916</c:v>
                </c:pt>
                <c:pt idx="32">
                  <c:v>42.242279741656681</c:v>
                </c:pt>
                <c:pt idx="33">
                  <c:v>-13.539372031837237</c:v>
                </c:pt>
                <c:pt idx="34">
                  <c:v>0.21447370155610845</c:v>
                </c:pt>
                <c:pt idx="35">
                  <c:v>-21.410662614825284</c:v>
                </c:pt>
                <c:pt idx="36">
                  <c:v>-24.505364108936536</c:v>
                </c:pt>
                <c:pt idx="37">
                  <c:v>38.808669629352892</c:v>
                </c:pt>
                <c:pt idx="38">
                  <c:v>42.649611043270419</c:v>
                </c:pt>
                <c:pt idx="39">
                  <c:v>-17.57641173995053</c:v>
                </c:pt>
                <c:pt idx="40">
                  <c:v>-20.70250659692427</c:v>
                </c:pt>
                <c:pt idx="41">
                  <c:v>-30.863711966118274</c:v>
                </c:pt>
                <c:pt idx="42">
                  <c:v>-46.859849458809052</c:v>
                </c:pt>
                <c:pt idx="43">
                  <c:v>46.982669806465992</c:v>
                </c:pt>
                <c:pt idx="44">
                  <c:v>28.620195103141974</c:v>
                </c:pt>
                <c:pt idx="45">
                  <c:v>-14.767137519449671</c:v>
                </c:pt>
                <c:pt idx="46">
                  <c:v>-44.912321364574495</c:v>
                </c:pt>
                <c:pt idx="47">
                  <c:v>-48.325670511777481</c:v>
                </c:pt>
                <c:pt idx="48">
                  <c:v>-29.707586425041544</c:v>
                </c:pt>
                <c:pt idx="49">
                  <c:v>14.638877437986617</c:v>
                </c:pt>
                <c:pt idx="50">
                  <c:v>47.14071358528777</c:v>
                </c:pt>
                <c:pt idx="51">
                  <c:v>37.984601409962991</c:v>
                </c:pt>
                <c:pt idx="52">
                  <c:v>-47.934152349442201</c:v>
                </c:pt>
                <c:pt idx="53">
                  <c:v>-18.187591590275325</c:v>
                </c:pt>
                <c:pt idx="54">
                  <c:v>4.8406499694457654</c:v>
                </c:pt>
                <c:pt idx="55">
                  <c:v>-5.9238442689718731</c:v>
                </c:pt>
                <c:pt idx="56">
                  <c:v>14.307504788915725</c:v>
                </c:pt>
                <c:pt idx="57">
                  <c:v>28.673459692956452</c:v>
                </c:pt>
                <c:pt idx="58">
                  <c:v>-46.366890107613997</c:v>
                </c:pt>
                <c:pt idx="59">
                  <c:v>-48.422569772936733</c:v>
                </c:pt>
                <c:pt idx="60">
                  <c:v>-2.5272536183838956</c:v>
                </c:pt>
                <c:pt idx="61">
                  <c:v>36.213642985239467</c:v>
                </c:pt>
                <c:pt idx="62">
                  <c:v>-27.282842968157713</c:v>
                </c:pt>
                <c:pt idx="63">
                  <c:v>11.175846180241793</c:v>
                </c:pt>
                <c:pt idx="64">
                  <c:v>-40.978693763537471</c:v>
                </c:pt>
                <c:pt idx="65">
                  <c:v>-30.577992034495338</c:v>
                </c:pt>
                <c:pt idx="66">
                  <c:v>44.28339319433362</c:v>
                </c:pt>
                <c:pt idx="67">
                  <c:v>39.925255670415147</c:v>
                </c:pt>
                <c:pt idx="68">
                  <c:v>-48.017158231340531</c:v>
                </c:pt>
                <c:pt idx="69">
                  <c:v>-37.14006014153717</c:v>
                </c:pt>
                <c:pt idx="70">
                  <c:v>28.640384816190576</c:v>
                </c:pt>
                <c:pt idx="71">
                  <c:v>3.4895084063980084</c:v>
                </c:pt>
                <c:pt idx="72">
                  <c:v>-13.921156346828459</c:v>
                </c:pt>
                <c:pt idx="73">
                  <c:v>39.487648259685493</c:v>
                </c:pt>
                <c:pt idx="74">
                  <c:v>-35.561943208731236</c:v>
                </c:pt>
                <c:pt idx="75">
                  <c:v>-24.69121700025331</c:v>
                </c:pt>
                <c:pt idx="76">
                  <c:v>42.220821106180345</c:v>
                </c:pt>
                <c:pt idx="77">
                  <c:v>-32.627442774296881</c:v>
                </c:pt>
                <c:pt idx="78">
                  <c:v>-48.330126865647493</c:v>
                </c:pt>
                <c:pt idx="79">
                  <c:v>41.474980594742661</c:v>
                </c:pt>
                <c:pt idx="80">
                  <c:v>-12.093417862879567</c:v>
                </c:pt>
                <c:pt idx="81">
                  <c:v>-4.765530668096507</c:v>
                </c:pt>
                <c:pt idx="82">
                  <c:v>41.116743486652275</c:v>
                </c:pt>
                <c:pt idx="83">
                  <c:v>-38.137577806480962</c:v>
                </c:pt>
                <c:pt idx="84">
                  <c:v>-33.43113381149454</c:v>
                </c:pt>
                <c:pt idx="85">
                  <c:v>24.461903575753592</c:v>
                </c:pt>
                <c:pt idx="86">
                  <c:v>-41.312469463506424</c:v>
                </c:pt>
                <c:pt idx="87">
                  <c:v>22.828336448463375</c:v>
                </c:pt>
                <c:pt idx="88">
                  <c:v>42.010451420057116</c:v>
                </c:pt>
                <c:pt idx="89">
                  <c:v>-42.385686021366858</c:v>
                </c:pt>
                <c:pt idx="90">
                  <c:v>-0.13002021362269936</c:v>
                </c:pt>
                <c:pt idx="91">
                  <c:v>44.184989218713987</c:v>
                </c:pt>
                <c:pt idx="92">
                  <c:v>-47.100755496805903</c:v>
                </c:pt>
                <c:pt idx="93">
                  <c:v>-4.908876933324084</c:v>
                </c:pt>
                <c:pt idx="94">
                  <c:v>27.306057249106612</c:v>
                </c:pt>
                <c:pt idx="95">
                  <c:v>-38.149140700051561</c:v>
                </c:pt>
                <c:pt idx="96">
                  <c:v>-46.126616815146924</c:v>
                </c:pt>
                <c:pt idx="97">
                  <c:v>43.179452369307747</c:v>
                </c:pt>
                <c:pt idx="98">
                  <c:v>-3.1711529986595708</c:v>
                </c:pt>
                <c:pt idx="99">
                  <c:v>-3.4802336034078998</c:v>
                </c:pt>
                <c:pt idx="100">
                  <c:v>-35.090664926423365</c:v>
                </c:pt>
                <c:pt idx="101">
                  <c:v>-42.116137866729062</c:v>
                </c:pt>
                <c:pt idx="102">
                  <c:v>-5.9203533810639142</c:v>
                </c:pt>
                <c:pt idx="103">
                  <c:v>47.695393781331042</c:v>
                </c:pt>
                <c:pt idx="104">
                  <c:v>38.80701538596611</c:v>
                </c:pt>
                <c:pt idx="105">
                  <c:v>-43.803741853708274</c:v>
                </c:pt>
                <c:pt idx="106">
                  <c:v>-48.043995184357861</c:v>
                </c:pt>
                <c:pt idx="107">
                  <c:v>12.099262297370144</c:v>
                </c:pt>
                <c:pt idx="108">
                  <c:v>-5.2422847991777237</c:v>
                </c:pt>
                <c:pt idx="109">
                  <c:v>44.395687900932764</c:v>
                </c:pt>
                <c:pt idx="110">
                  <c:v>-14.160913146705882</c:v>
                </c:pt>
                <c:pt idx="111">
                  <c:v>-46.825499923103294</c:v>
                </c:pt>
                <c:pt idx="112">
                  <c:v>-42.126820357138335</c:v>
                </c:pt>
                <c:pt idx="113">
                  <c:v>18.9828459106601</c:v>
                </c:pt>
                <c:pt idx="114">
                  <c:v>10.647804714286922</c:v>
                </c:pt>
                <c:pt idx="115">
                  <c:v>26.154795940290395</c:v>
                </c:pt>
                <c:pt idx="116">
                  <c:v>-32.518312580412207</c:v>
                </c:pt>
                <c:pt idx="117">
                  <c:v>-47.463759856883676</c:v>
                </c:pt>
                <c:pt idx="118">
                  <c:v>-30.106607451758151</c:v>
                </c:pt>
                <c:pt idx="119">
                  <c:v>-11.689949887594137</c:v>
                </c:pt>
                <c:pt idx="120">
                  <c:v>43.19803166103074</c:v>
                </c:pt>
                <c:pt idx="121">
                  <c:v>48.333080229930871</c:v>
                </c:pt>
                <c:pt idx="122">
                  <c:v>-13.518795634788697</c:v>
                </c:pt>
                <c:pt idx="123">
                  <c:v>-7.2447903771948114</c:v>
                </c:pt>
                <c:pt idx="124">
                  <c:v>-46.093951167822055</c:v>
                </c:pt>
                <c:pt idx="125">
                  <c:v>-48.420825716610345</c:v>
                </c:pt>
                <c:pt idx="126">
                  <c:v>44.32639201244298</c:v>
                </c:pt>
                <c:pt idx="127">
                  <c:v>36.761558605593585</c:v>
                </c:pt>
                <c:pt idx="128">
                  <c:v>-26.789238643242516</c:v>
                </c:pt>
                <c:pt idx="129">
                  <c:v>-2.9866840990443024</c:v>
                </c:pt>
                <c:pt idx="130">
                  <c:v>-48.385636360067778</c:v>
                </c:pt>
                <c:pt idx="131">
                  <c:v>-43.524660355916978</c:v>
                </c:pt>
                <c:pt idx="132">
                  <c:v>44.411828445826195</c:v>
                </c:pt>
                <c:pt idx="133">
                  <c:v>45.381795718313427</c:v>
                </c:pt>
                <c:pt idx="134">
                  <c:v>-39.861156235793175</c:v>
                </c:pt>
                <c:pt idx="135">
                  <c:v>-16.827308610668975</c:v>
                </c:pt>
                <c:pt idx="136">
                  <c:v>-7.6934918489796722</c:v>
                </c:pt>
                <c:pt idx="137">
                  <c:v>2.1268065535779819</c:v>
                </c:pt>
                <c:pt idx="138">
                  <c:v>13.094150075714639</c:v>
                </c:pt>
                <c:pt idx="139">
                  <c:v>15.348025079211023</c:v>
                </c:pt>
                <c:pt idx="140">
                  <c:v>-42.459581984424617</c:v>
                </c:pt>
                <c:pt idx="141">
                  <c:v>-48.365412782113559</c:v>
                </c:pt>
                <c:pt idx="142">
                  <c:v>28.071671011473764</c:v>
                </c:pt>
                <c:pt idx="143">
                  <c:v>29.040226887630784</c:v>
                </c:pt>
                <c:pt idx="144">
                  <c:v>-46.61474003221926</c:v>
                </c:pt>
                <c:pt idx="145">
                  <c:v>15.009028574626756</c:v>
                </c:pt>
                <c:pt idx="146">
                  <c:v>12.284425629496994</c:v>
                </c:pt>
                <c:pt idx="147">
                  <c:v>-44.995076435444467</c:v>
                </c:pt>
                <c:pt idx="148">
                  <c:v>-30.962266558171432</c:v>
                </c:pt>
                <c:pt idx="149">
                  <c:v>15.276412435337882</c:v>
                </c:pt>
                <c:pt idx="150">
                  <c:v>-11.717049546123629</c:v>
                </c:pt>
                <c:pt idx="151">
                  <c:v>31.55080050963188</c:v>
                </c:pt>
                <c:pt idx="152">
                  <c:v>38.467135635097115</c:v>
                </c:pt>
                <c:pt idx="153">
                  <c:v>-47.793216596365241</c:v>
                </c:pt>
                <c:pt idx="154">
                  <c:v>5.2018038359578007</c:v>
                </c:pt>
                <c:pt idx="155">
                  <c:v>25.943280218280357</c:v>
                </c:pt>
                <c:pt idx="156">
                  <c:v>-46.445910066653276</c:v>
                </c:pt>
                <c:pt idx="157">
                  <c:v>47.900198293796691</c:v>
                </c:pt>
                <c:pt idx="158">
                  <c:v>27.440503643461742</c:v>
                </c:pt>
                <c:pt idx="159">
                  <c:v>-34.213273953956275</c:v>
                </c:pt>
                <c:pt idx="160">
                  <c:v>26.172962392201097</c:v>
                </c:pt>
                <c:pt idx="161">
                  <c:v>6.6281795050930805</c:v>
                </c:pt>
                <c:pt idx="162">
                  <c:v>-27.396647619901632</c:v>
                </c:pt>
                <c:pt idx="163">
                  <c:v>48.111996067791267</c:v>
                </c:pt>
                <c:pt idx="164">
                  <c:v>37.701016377675927</c:v>
                </c:pt>
                <c:pt idx="165">
                  <c:v>-37.665479836690146</c:v>
                </c:pt>
                <c:pt idx="166">
                  <c:v>-15.264755467839189</c:v>
                </c:pt>
                <c:pt idx="167">
                  <c:v>-18.483605776843476</c:v>
                </c:pt>
                <c:pt idx="168">
                  <c:v>-44.571551281114459</c:v>
                </c:pt>
                <c:pt idx="169">
                  <c:v>47.138521921823205</c:v>
                </c:pt>
                <c:pt idx="170">
                  <c:v>46.624083418035255</c:v>
                </c:pt>
                <c:pt idx="171">
                  <c:v>-36.853220983450846</c:v>
                </c:pt>
                <c:pt idx="172">
                  <c:v>-46.055336552604153</c:v>
                </c:pt>
                <c:pt idx="173">
                  <c:v>-32.315908998887743</c:v>
                </c:pt>
                <c:pt idx="174">
                  <c:v>46.106496068264015</c:v>
                </c:pt>
                <c:pt idx="175">
                  <c:v>42.603527073820018</c:v>
                </c:pt>
                <c:pt idx="176">
                  <c:v>-30.307423318967263</c:v>
                </c:pt>
                <c:pt idx="177">
                  <c:v>-45.393920109263419</c:v>
                </c:pt>
                <c:pt idx="178">
                  <c:v>-44.297286237452965</c:v>
                </c:pt>
                <c:pt idx="179">
                  <c:v>17.567976688595486</c:v>
                </c:pt>
                <c:pt idx="180">
                  <c:v>41.647202259821121</c:v>
                </c:pt>
                <c:pt idx="181">
                  <c:v>5.696655793989418</c:v>
                </c:pt>
                <c:pt idx="182">
                  <c:v>-48.313939366293368</c:v>
                </c:pt>
                <c:pt idx="183">
                  <c:v>-34.811020490231741</c:v>
                </c:pt>
                <c:pt idx="184">
                  <c:v>-9.7323881831292187</c:v>
                </c:pt>
                <c:pt idx="185">
                  <c:v>46.859840085800762</c:v>
                </c:pt>
                <c:pt idx="186">
                  <c:v>33.378893641134816</c:v>
                </c:pt>
                <c:pt idx="187">
                  <c:v>-43.271393086213408</c:v>
                </c:pt>
                <c:pt idx="188">
                  <c:v>-48.439119402979003</c:v>
                </c:pt>
                <c:pt idx="189">
                  <c:v>-33.870348867327273</c:v>
                </c:pt>
                <c:pt idx="190">
                  <c:v>36.62066221413874</c:v>
                </c:pt>
                <c:pt idx="191">
                  <c:v>35.232748562803188</c:v>
                </c:pt>
                <c:pt idx="192">
                  <c:v>6.8111701424644542</c:v>
                </c:pt>
                <c:pt idx="193">
                  <c:v>7.4090762916712611</c:v>
                </c:pt>
                <c:pt idx="194">
                  <c:v>-45.159097009895511</c:v>
                </c:pt>
                <c:pt idx="195">
                  <c:v>-27.882542424529369</c:v>
                </c:pt>
                <c:pt idx="196">
                  <c:v>40.378740313748786</c:v>
                </c:pt>
                <c:pt idx="197">
                  <c:v>-18.564544479662036</c:v>
                </c:pt>
                <c:pt idx="198">
                  <c:v>-15.00894961456231</c:v>
                </c:pt>
                <c:pt idx="199">
                  <c:v>44.337777868667516</c:v>
                </c:pt>
                <c:pt idx="200">
                  <c:v>-47.571457071440307</c:v>
                </c:pt>
                <c:pt idx="201">
                  <c:v>-22.709254530012476</c:v>
                </c:pt>
                <c:pt idx="202">
                  <c:v>14.64829382222856</c:v>
                </c:pt>
                <c:pt idx="203">
                  <c:v>5.148942234905852</c:v>
                </c:pt>
                <c:pt idx="204">
                  <c:v>17.972827962318885</c:v>
                </c:pt>
                <c:pt idx="205">
                  <c:v>46.720502353209277</c:v>
                </c:pt>
                <c:pt idx="206">
                  <c:v>-40.590107803159853</c:v>
                </c:pt>
                <c:pt idx="207">
                  <c:v>-35.792831518796199</c:v>
                </c:pt>
                <c:pt idx="208">
                  <c:v>48.305431847190924</c:v>
                </c:pt>
                <c:pt idx="209">
                  <c:v>44.839213430495569</c:v>
                </c:pt>
                <c:pt idx="210">
                  <c:v>-23.559403005878242</c:v>
                </c:pt>
                <c:pt idx="211">
                  <c:v>13.356285004461878</c:v>
                </c:pt>
                <c:pt idx="212">
                  <c:v>28.69596547273817</c:v>
                </c:pt>
                <c:pt idx="213">
                  <c:v>-41.287956757383363</c:v>
                </c:pt>
                <c:pt idx="214">
                  <c:v>-29.737349962618524</c:v>
                </c:pt>
                <c:pt idx="215">
                  <c:v>48.426217346154679</c:v>
                </c:pt>
                <c:pt idx="216">
                  <c:v>-33.22197823061402</c:v>
                </c:pt>
                <c:pt idx="217">
                  <c:v>10.644669883740375</c:v>
                </c:pt>
                <c:pt idx="218">
                  <c:v>47.584948506767844</c:v>
                </c:pt>
                <c:pt idx="219">
                  <c:v>-22.454396453308366</c:v>
                </c:pt>
                <c:pt idx="220">
                  <c:v>-48.366296056905647</c:v>
                </c:pt>
                <c:pt idx="221">
                  <c:v>47.657775628683979</c:v>
                </c:pt>
                <c:pt idx="222">
                  <c:v>29.89282452447052</c:v>
                </c:pt>
                <c:pt idx="223">
                  <c:v>-6.3769832137474243</c:v>
                </c:pt>
                <c:pt idx="224">
                  <c:v>30.373208980689565</c:v>
                </c:pt>
                <c:pt idx="225">
                  <c:v>2.1645298452402879</c:v>
                </c:pt>
                <c:pt idx="226">
                  <c:v>-34.410142966399121</c:v>
                </c:pt>
                <c:pt idx="227">
                  <c:v>41.148158738878806</c:v>
                </c:pt>
                <c:pt idx="228">
                  <c:v>1.6358599702383876</c:v>
                </c:pt>
                <c:pt idx="229">
                  <c:v>13.969068436068296</c:v>
                </c:pt>
                <c:pt idx="230">
                  <c:v>29.387457388602805</c:v>
                </c:pt>
                <c:pt idx="231">
                  <c:v>-33.888173441708432</c:v>
                </c:pt>
                <c:pt idx="232">
                  <c:v>-30.63849252672183</c:v>
                </c:pt>
                <c:pt idx="233">
                  <c:v>25.943450823844351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342104"/>
        <c:axId val="1077339360"/>
      </c:scatterChart>
      <c:valAx>
        <c:axId val="1077342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39360"/>
        <c:crosses val="autoZero"/>
        <c:crossBetween val="midCat"/>
      </c:valAx>
      <c:valAx>
        <c:axId val="107733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342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229719</xdr:colOff>
      <xdr:row>89</xdr:row>
      <xdr:rowOff>174811</xdr:rowOff>
    </xdr:from>
    <xdr:to>
      <xdr:col>22</xdr:col>
      <xdr:colOff>201705</xdr:colOff>
      <xdr:row>110</xdr:row>
      <xdr:rowOff>145676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361949</xdr:colOff>
      <xdr:row>1</xdr:row>
      <xdr:rowOff>123825</xdr:rowOff>
    </xdr:from>
    <xdr:to>
      <xdr:col>15</xdr:col>
      <xdr:colOff>200024</xdr:colOff>
      <xdr:row>18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3</xdr:row>
      <xdr:rowOff>85725</xdr:rowOff>
    </xdr:from>
    <xdr:to>
      <xdr:col>15</xdr:col>
      <xdr:colOff>208561</xdr:colOff>
      <xdr:row>19</xdr:row>
      <xdr:rowOff>152011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275" y="657225"/>
          <a:ext cx="7914286" cy="31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20</xdr:row>
      <xdr:rowOff>0</xdr:rowOff>
    </xdr:from>
    <xdr:to>
      <xdr:col>18</xdr:col>
      <xdr:colOff>571500</xdr:colOff>
      <xdr:row>33</xdr:row>
      <xdr:rowOff>180643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2550" y="3810000"/>
          <a:ext cx="10191750" cy="2657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0</xdr:row>
      <xdr:rowOff>142875</xdr:rowOff>
    </xdr:from>
    <xdr:to>
      <xdr:col>20</xdr:col>
      <xdr:colOff>114300</xdr:colOff>
      <xdr:row>15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438150</xdr:colOff>
      <xdr:row>12</xdr:row>
      <xdr:rowOff>152400</xdr:rowOff>
    </xdr:from>
    <xdr:to>
      <xdr:col>17</xdr:col>
      <xdr:colOff>361950</xdr:colOff>
      <xdr:row>27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6</xdr:row>
      <xdr:rowOff>104775</xdr:rowOff>
    </xdr:from>
    <xdr:to>
      <xdr:col>17</xdr:col>
      <xdr:colOff>371474</xdr:colOff>
      <xdr:row>20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95251</xdr:colOff>
      <xdr:row>8</xdr:row>
      <xdr:rowOff>76200</xdr:rowOff>
    </xdr:from>
    <xdr:to>
      <xdr:col>19</xdr:col>
      <xdr:colOff>104775</xdr:colOff>
      <xdr:row>22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3"/>
  <sheetViews>
    <sheetView tabSelected="1" zoomScale="85" zoomScaleNormal="85" workbookViewId="0">
      <selection activeCell="B15" sqref="B15"/>
    </sheetView>
  </sheetViews>
  <sheetFormatPr defaultRowHeight="15" x14ac:dyDescent="0.25"/>
  <cols>
    <col min="1" max="1" width="12.28515625" customWidth="1"/>
    <col min="2" max="2" width="10.140625" customWidth="1"/>
    <col min="4" max="4" width="3.85546875" customWidth="1"/>
    <col min="5" max="5" width="7.140625" customWidth="1"/>
    <col min="6" max="6" width="6.5703125" customWidth="1"/>
    <col min="7" max="7" width="7.5703125" customWidth="1"/>
    <col min="8" max="8" width="8" customWidth="1"/>
    <col min="9" max="9" width="8.42578125" customWidth="1"/>
    <col min="14" max="14" width="10.140625" customWidth="1"/>
    <col min="15" max="15" width="9.140625" customWidth="1"/>
    <col min="16" max="16" width="11.85546875" customWidth="1"/>
  </cols>
  <sheetData>
    <row r="1" spans="1:23" x14ac:dyDescent="0.25">
      <c r="A1" t="s">
        <v>0</v>
      </c>
      <c r="B1">
        <v>365.24218000000002</v>
      </c>
      <c r="E1">
        <f>27.55*13.633/(27.55+13.633)</f>
        <v>9.1200046135541353</v>
      </c>
    </row>
    <row r="2" spans="1:23" x14ac:dyDescent="0.25">
      <c r="A2" s="1"/>
      <c r="B2" s="2"/>
      <c r="D2">
        <v>1</v>
      </c>
      <c r="E2">
        <f>+D2+1</f>
        <v>2</v>
      </c>
      <c r="F2">
        <f t="shared" ref="F2:S2" si="0">+E2+1</f>
        <v>3</v>
      </c>
      <c r="G2">
        <f t="shared" si="0"/>
        <v>4</v>
      </c>
      <c r="H2">
        <f t="shared" si="0"/>
        <v>5</v>
      </c>
      <c r="I2">
        <f>+H2+1</f>
        <v>6</v>
      </c>
      <c r="J2">
        <f t="shared" si="0"/>
        <v>7</v>
      </c>
      <c r="K2">
        <f t="shared" si="0"/>
        <v>8</v>
      </c>
      <c r="L2">
        <f t="shared" si="0"/>
        <v>9</v>
      </c>
      <c r="M2">
        <f t="shared" si="0"/>
        <v>10</v>
      </c>
      <c r="N2">
        <f t="shared" si="0"/>
        <v>11</v>
      </c>
      <c r="O2">
        <f t="shared" si="0"/>
        <v>12</v>
      </c>
      <c r="P2">
        <f t="shared" si="0"/>
        <v>13</v>
      </c>
      <c r="Q2">
        <f t="shared" si="0"/>
        <v>14</v>
      </c>
      <c r="R2">
        <f t="shared" si="0"/>
        <v>15</v>
      </c>
      <c r="S2">
        <f t="shared" si="0"/>
        <v>16</v>
      </c>
    </row>
    <row r="3" spans="1:23" s="4" customFormat="1" ht="15.75" customHeight="1" x14ac:dyDescent="0.25">
      <c r="A3" s="3" t="s">
        <v>1</v>
      </c>
      <c r="B3" s="3">
        <v>27.554549878</v>
      </c>
      <c r="C3" s="4">
        <f>2*PI()/$B3*$B$1</f>
        <v>83.285131098095519</v>
      </c>
      <c r="D3" s="4">
        <f>+C3-2*PI()</f>
        <v>77.001945790915926</v>
      </c>
      <c r="E3" s="4">
        <f t="shared" ref="E3:W3" si="1">+D3-2*PI()</f>
        <v>70.718760483736332</v>
      </c>
      <c r="F3" s="4">
        <f t="shared" si="1"/>
        <v>64.435575176556739</v>
      </c>
      <c r="G3" s="4">
        <f t="shared" si="1"/>
        <v>58.152389869377153</v>
      </c>
      <c r="H3" s="4">
        <f t="shared" si="1"/>
        <v>51.869204562197567</v>
      </c>
      <c r="I3" s="4">
        <f>+H3-2*PI()</f>
        <v>45.58601925501798</v>
      </c>
      <c r="J3" s="4">
        <f t="shared" si="1"/>
        <v>39.302833947838394</v>
      </c>
      <c r="K3" s="4">
        <f t="shared" si="1"/>
        <v>33.019648640658808</v>
      </c>
      <c r="L3" s="4">
        <f t="shared" si="1"/>
        <v>26.736463333479222</v>
      </c>
      <c r="M3" s="4">
        <f t="shared" si="1"/>
        <v>20.453278026299635</v>
      </c>
      <c r="N3" s="4">
        <f t="shared" si="1"/>
        <v>14.170092719120049</v>
      </c>
      <c r="O3" s="4">
        <f t="shared" si="1"/>
        <v>7.886907411940463</v>
      </c>
      <c r="P3" s="4">
        <f t="shared" si="1"/>
        <v>1.6037221047608767</v>
      </c>
      <c r="Q3" s="4">
        <f t="shared" si="1"/>
        <v>-4.6794632024187095</v>
      </c>
      <c r="R3" s="4">
        <f t="shared" si="1"/>
        <v>-10.962648509598296</v>
      </c>
      <c r="S3" s="4">
        <f t="shared" si="1"/>
        <v>-17.245833816777882</v>
      </c>
      <c r="T3" s="4">
        <f t="shared" si="1"/>
        <v>-23.529019123957468</v>
      </c>
      <c r="U3" s="4">
        <f t="shared" si="1"/>
        <v>-29.812204431137054</v>
      </c>
      <c r="V3" s="4">
        <f t="shared" si="1"/>
        <v>-36.095389738316641</v>
      </c>
      <c r="W3" s="4">
        <f t="shared" si="1"/>
        <v>-42.378575045496227</v>
      </c>
    </row>
    <row r="4" spans="1:23" x14ac:dyDescent="0.25">
      <c r="A4" s="1"/>
      <c r="B4" s="2"/>
      <c r="J4">
        <f t="shared" ref="J4:N6" si="2">2*PI()/J3</f>
        <v>0.15986596069684061</v>
      </c>
      <c r="K4">
        <f t="shared" si="2"/>
        <v>0.19028625578537423</v>
      </c>
      <c r="L4">
        <f t="shared" si="2"/>
        <v>0.23500435449560089</v>
      </c>
      <c r="M4">
        <f t="shared" si="2"/>
        <v>0.30719698324642231</v>
      </c>
      <c r="N4">
        <f t="shared" si="2"/>
        <v>0.44341172861215877</v>
      </c>
      <c r="O4">
        <f>2*PI()/O3</f>
        <v>0.79666020900246581</v>
      </c>
      <c r="P4" s="11">
        <f>2*PI()/P3</f>
        <v>3.9178766000213248</v>
      </c>
      <c r="Q4">
        <f>2*PI()/Q3</f>
        <v>-1.3427149729336367</v>
      </c>
      <c r="R4">
        <f>2*PI()/R3</f>
        <v>-0.57314482916043263</v>
      </c>
      <c r="S4">
        <f t="shared" ref="S4:W6" si="3">2*PI()/S3</f>
        <v>-0.36433061885745938</v>
      </c>
      <c r="T4">
        <f t="shared" si="3"/>
        <v>-0.26703983171070605</v>
      </c>
      <c r="U4">
        <f t="shared" si="3"/>
        <v>-0.21075882938120394</v>
      </c>
      <c r="V4">
        <f t="shared" si="3"/>
        <v>-0.17407168485314189</v>
      </c>
      <c r="W4">
        <f t="shared" si="3"/>
        <v>-0.14826325095721524</v>
      </c>
    </row>
    <row r="5" spans="1:23" s="4" customFormat="1" ht="15.75" customHeight="1" x14ac:dyDescent="0.25">
      <c r="A5" s="3"/>
      <c r="B5" s="3">
        <v>27.554549878</v>
      </c>
      <c r="C5" s="4">
        <f>2*PI()/$B5*$B$1/2</f>
        <v>41.64256554904776</v>
      </c>
      <c r="D5" s="4">
        <f>+C5-2*PI()</f>
        <v>35.359380241868173</v>
      </c>
      <c r="E5" s="4">
        <f t="shared" ref="E5" si="4">+D5-2*PI()</f>
        <v>29.076194934688587</v>
      </c>
      <c r="F5" s="4">
        <f t="shared" ref="F5" si="5">+E5-2*PI()</f>
        <v>22.793009627509001</v>
      </c>
      <c r="G5" s="4">
        <f t="shared" ref="G5" si="6">+F5-2*PI()</f>
        <v>16.509824320329415</v>
      </c>
      <c r="H5" s="4">
        <f t="shared" ref="H5" si="7">+G5-2*PI()</f>
        <v>10.226639013149828</v>
      </c>
      <c r="I5" s="4">
        <f>+H5-2*PI()</f>
        <v>3.9434537059702421</v>
      </c>
      <c r="J5" s="4">
        <f t="shared" ref="J5" si="8">+I5-2*PI()</f>
        <v>-2.3397316012093441</v>
      </c>
      <c r="K5" s="4">
        <f t="shared" ref="K5" si="9">+J5-2*PI()</f>
        <v>-8.6229169083889303</v>
      </c>
      <c r="L5" s="4">
        <f t="shared" ref="L5" si="10">+K5-2*PI()</f>
        <v>-14.906102215568517</v>
      </c>
      <c r="M5" s="4">
        <f t="shared" ref="M5" si="11">+L5-2*PI()</f>
        <v>-21.189287522748103</v>
      </c>
      <c r="N5" s="4">
        <f t="shared" ref="N5" si="12">+M5-2*PI()</f>
        <v>-27.472472829927689</v>
      </c>
      <c r="O5" s="4">
        <f t="shared" ref="O5" si="13">+N5-2*PI()</f>
        <v>-33.755658137107275</v>
      </c>
      <c r="P5" s="4">
        <f t="shared" ref="P5" si="14">+O5-2*PI()</f>
        <v>-40.038843444286861</v>
      </c>
      <c r="Q5" s="4">
        <f t="shared" ref="Q5" si="15">+P5-2*PI()</f>
        <v>-46.322028751466448</v>
      </c>
      <c r="R5" s="4">
        <f t="shared" ref="R5" si="16">+Q5-2*PI()</f>
        <v>-52.605214058646034</v>
      </c>
      <c r="S5" s="4">
        <f t="shared" ref="S5" si="17">+R5-2*PI()</f>
        <v>-58.88839936582562</v>
      </c>
      <c r="T5" s="4">
        <f t="shared" ref="T5" si="18">+S5-2*PI()</f>
        <v>-65.171584673005214</v>
      </c>
      <c r="U5" s="4">
        <f t="shared" ref="U5" si="19">+T5-2*PI()</f>
        <v>-71.454769980184807</v>
      </c>
      <c r="V5" s="4">
        <f t="shared" ref="V5" si="20">+U5-2*PI()</f>
        <v>-77.7379552873644</v>
      </c>
      <c r="W5" s="4">
        <f t="shared" ref="W5" si="21">+V5-2*PI()</f>
        <v>-84.021140594543994</v>
      </c>
    </row>
    <row r="6" spans="1:23" x14ac:dyDescent="0.25">
      <c r="A6" s="1"/>
      <c r="B6" s="2"/>
      <c r="G6">
        <f t="shared" ref="G6:I6" si="22">2*PI()/G5</f>
        <v>0.38057251157074823</v>
      </c>
      <c r="H6">
        <f t="shared" si="22"/>
        <v>0.61439396649284395</v>
      </c>
      <c r="I6" s="11">
        <f t="shared" si="22"/>
        <v>1.5933204180049274</v>
      </c>
      <c r="J6">
        <f t="shared" si="2"/>
        <v>-2.6854299458672855</v>
      </c>
      <c r="K6">
        <f t="shared" si="2"/>
        <v>-0.72866123771491964</v>
      </c>
      <c r="L6">
        <f t="shared" si="2"/>
        <v>-0.42151765876240815</v>
      </c>
      <c r="M6">
        <f t="shared" si="2"/>
        <v>-0.29652650191443064</v>
      </c>
      <c r="N6">
        <f t="shared" si="2"/>
        <v>-0.22870840008020218</v>
      </c>
      <c r="O6">
        <f>2*PI()/O5</f>
        <v>-0.1861372479143738</v>
      </c>
      <c r="P6" s="19">
        <f>2*PI()/P5</f>
        <v>-0.1569272428141561</v>
      </c>
      <c r="Q6" s="20">
        <f>2*PI()/Q5</f>
        <v>-0.13564141028647575</v>
      </c>
      <c r="R6">
        <f>2*PI()/R5</f>
        <v>-0.11944035243683038</v>
      </c>
      <c r="S6">
        <f t="shared" si="3"/>
        <v>-0.10669648648704608</v>
      </c>
      <c r="T6">
        <f t="shared" si="3"/>
        <v>-9.64098899651607E-2</v>
      </c>
      <c r="U6">
        <f t="shared" si="3"/>
        <v>-8.7932342500325486E-2</v>
      </c>
      <c r="V6">
        <f t="shared" si="3"/>
        <v>-8.0825193870269721E-2</v>
      </c>
      <c r="W6">
        <f t="shared" si="3"/>
        <v>-7.4781004670003162E-2</v>
      </c>
    </row>
    <row r="7" spans="1:23" s="4" customFormat="1" ht="15.75" customHeight="1" x14ac:dyDescent="0.25">
      <c r="A7" s="3"/>
      <c r="B7" s="3">
        <f>+B5/2</f>
        <v>13.777274939</v>
      </c>
      <c r="C7" s="4">
        <f>2*PI()/$B7*$B$1</f>
        <v>166.57026219619104</v>
      </c>
      <c r="D7" s="4">
        <f>+C7-2*13*PI()</f>
        <v>84.88885320285641</v>
      </c>
      <c r="E7" s="4">
        <f t="shared" ref="E7" si="23">+D7-2*PI()</f>
        <v>78.605667895676817</v>
      </c>
      <c r="F7" s="4">
        <f t="shared" ref="F7" si="24">+E7-2*PI()</f>
        <v>72.322482588497223</v>
      </c>
      <c r="G7" s="4">
        <f t="shared" ref="G7" si="25">+F7-2*PI()</f>
        <v>66.03929728131763</v>
      </c>
      <c r="H7" s="4">
        <f t="shared" ref="H7" si="26">+G7-2*PI()</f>
        <v>59.756111974138044</v>
      </c>
      <c r="I7" s="4">
        <f>+H7-2*PI()</f>
        <v>53.472926666958458</v>
      </c>
      <c r="J7" s="4">
        <f t="shared" ref="J7" si="27">+I7-2*PI()</f>
        <v>47.189741359778871</v>
      </c>
      <c r="K7" s="4">
        <f t="shared" ref="K7" si="28">+J7-2*PI()</f>
        <v>40.906556052599285</v>
      </c>
      <c r="L7" s="4">
        <f t="shared" ref="L7" si="29">+K7-2*PI()</f>
        <v>34.623370745419699</v>
      </c>
      <c r="M7" s="4">
        <f t="shared" ref="M7" si="30">+L7-2*PI()</f>
        <v>28.340185438240113</v>
      </c>
      <c r="N7" s="4">
        <f t="shared" ref="N7" si="31">+M7-2*PI()</f>
        <v>22.057000131060526</v>
      </c>
      <c r="O7" s="4">
        <f t="shared" ref="O7" si="32">+N7-2*PI()</f>
        <v>15.77381482388094</v>
      </c>
      <c r="P7" s="4">
        <f t="shared" ref="P7" si="33">+O7-2*PI()</f>
        <v>9.4906295167013539</v>
      </c>
      <c r="Q7" s="4">
        <f t="shared" ref="Q7" si="34">+P7-2*PI()</f>
        <v>3.2074442095217677</v>
      </c>
      <c r="R7" s="4">
        <f t="shared" ref="R7" si="35">+Q7-2*PI()</f>
        <v>-3.0757410976578186</v>
      </c>
      <c r="S7" s="4">
        <f t="shared" ref="S7" si="36">+R7-2*PI()</f>
        <v>-9.3589264048374048</v>
      </c>
      <c r="T7" s="4">
        <f t="shared" ref="T7" si="37">+S7-2*PI()</f>
        <v>-15.642111712016991</v>
      </c>
      <c r="U7" s="4">
        <f t="shared" ref="U7" si="38">+T7-2*PI()</f>
        <v>-21.925297019196577</v>
      </c>
      <c r="V7" s="4">
        <f t="shared" ref="V7" si="39">+U7-2*PI()</f>
        <v>-28.208482326376163</v>
      </c>
      <c r="W7" s="4">
        <f t="shared" ref="W7" si="40">+V7-2*PI()</f>
        <v>-34.49166763355575</v>
      </c>
    </row>
    <row r="8" spans="1:23" x14ac:dyDescent="0.25">
      <c r="A8" s="1"/>
      <c r="B8" s="2"/>
      <c r="G8">
        <f t="shared" ref="G8:N8" si="41">2*PI()/G7</f>
        <v>9.5143127892687085E-2</v>
      </c>
      <c r="H8">
        <f t="shared" si="41"/>
        <v>0.105147157330097</v>
      </c>
      <c r="I8">
        <f t="shared" si="41"/>
        <v>0.11750217724780042</v>
      </c>
      <c r="J8">
        <f t="shared" si="41"/>
        <v>0.1331472715494669</v>
      </c>
      <c r="K8">
        <f t="shared" si="41"/>
        <v>0.1535984916232111</v>
      </c>
      <c r="L8">
        <f t="shared" si="41"/>
        <v>0.18147237463905169</v>
      </c>
      <c r="M8">
        <f t="shared" si="41"/>
        <v>0.22170586430607928</v>
      </c>
      <c r="N8">
        <f t="shared" si="41"/>
        <v>0.28486128076554007</v>
      </c>
      <c r="O8">
        <f>2*PI()/O7</f>
        <v>0.39833010450123257</v>
      </c>
      <c r="P8" s="19">
        <f>2*PI()/P7</f>
        <v>0.66204094218645937</v>
      </c>
      <c r="Q8" s="24">
        <f>2*PI()/Q7</f>
        <v>1.9589383000106535</v>
      </c>
      <c r="R8">
        <f>2*PI()/R7</f>
        <v>-2.0428199603549992</v>
      </c>
      <c r="S8">
        <f t="shared" ref="S8:W8" si="42">2*PI()/S7</f>
        <v>-0.67135748646681936</v>
      </c>
      <c r="T8">
        <f t="shared" si="42"/>
        <v>-0.40168395564855569</v>
      </c>
      <c r="U8">
        <f t="shared" si="42"/>
        <v>-0.28657241458021648</v>
      </c>
      <c r="V8">
        <f t="shared" si="42"/>
        <v>-0.22274099097151828</v>
      </c>
      <c r="W8">
        <f t="shared" si="42"/>
        <v>-0.18216530942872977</v>
      </c>
    </row>
    <row r="9" spans="1:23" s="4" customFormat="1" x14ac:dyDescent="0.25">
      <c r="A9" s="3" t="s">
        <v>2</v>
      </c>
      <c r="B9" s="3">
        <v>27.321582241000002</v>
      </c>
      <c r="C9" s="4">
        <f>2*PI()/$B9*$B$1</f>
        <v>83.995292757768425</v>
      </c>
      <c r="D9" s="4">
        <f t="shared" ref="D9:W9" si="43">+C9-2*PI()</f>
        <v>77.712107450588832</v>
      </c>
      <c r="E9" s="4">
        <f t="shared" si="43"/>
        <v>71.428922143409238</v>
      </c>
      <c r="F9" s="4">
        <f t="shared" si="43"/>
        <v>65.145736836229645</v>
      </c>
      <c r="G9" s="4">
        <f t="shared" si="43"/>
        <v>58.862551529050059</v>
      </c>
      <c r="H9" s="4">
        <f t="shared" si="43"/>
        <v>52.579366221870472</v>
      </c>
      <c r="I9" s="4">
        <f>+H9-2*PI()</f>
        <v>46.296180914690886</v>
      </c>
      <c r="J9" s="4">
        <f t="shared" si="43"/>
        <v>40.0129956075113</v>
      </c>
      <c r="K9" s="4">
        <f t="shared" si="43"/>
        <v>33.729810300331714</v>
      </c>
      <c r="L9" s="4">
        <f t="shared" si="43"/>
        <v>27.446624993152128</v>
      </c>
      <c r="M9" s="4">
        <f t="shared" si="43"/>
        <v>21.163439685972541</v>
      </c>
      <c r="N9" s="4">
        <f t="shared" si="43"/>
        <v>14.880254378792955</v>
      </c>
      <c r="O9" s="4">
        <f t="shared" si="43"/>
        <v>8.5970690716133689</v>
      </c>
      <c r="P9" s="4">
        <f t="shared" si="43"/>
        <v>2.3138837644337826</v>
      </c>
      <c r="Q9" s="4">
        <f t="shared" si="43"/>
        <v>-3.9693015427458036</v>
      </c>
      <c r="R9" s="4">
        <f t="shared" si="43"/>
        <v>-10.25248684992539</v>
      </c>
      <c r="S9" s="4">
        <f t="shared" si="43"/>
        <v>-16.535672157104976</v>
      </c>
      <c r="T9" s="4">
        <f t="shared" si="43"/>
        <v>-22.818857464284562</v>
      </c>
      <c r="U9" s="4">
        <f t="shared" si="43"/>
        <v>-29.102042771464149</v>
      </c>
      <c r="V9" s="4">
        <f t="shared" si="43"/>
        <v>-35.385228078643735</v>
      </c>
      <c r="W9" s="4">
        <f t="shared" si="43"/>
        <v>-41.668413385823321</v>
      </c>
    </row>
    <row r="10" spans="1:23" x14ac:dyDescent="0.25">
      <c r="A10" s="1"/>
      <c r="B10" s="2"/>
      <c r="J10">
        <f t="shared" ref="J10:N10" si="44">2*PI()/J9</f>
        <v>0.15702861562307266</v>
      </c>
      <c r="K10">
        <f t="shared" si="44"/>
        <v>0.18627988865735765</v>
      </c>
      <c r="L10">
        <f t="shared" si="44"/>
        <v>0.2289237860300575</v>
      </c>
      <c r="M10">
        <f t="shared" si="44"/>
        <v>0.29688866273208792</v>
      </c>
      <c r="N10">
        <f t="shared" si="44"/>
        <v>0.42224985858670921</v>
      </c>
      <c r="O10">
        <f>2*PI()/O9</f>
        <v>0.73085202117614867</v>
      </c>
      <c r="P10" s="24">
        <f>2*PI()/P9</f>
        <v>2.7154282353146244</v>
      </c>
      <c r="Q10">
        <f>2*PI()/Q9</f>
        <v>-1.582944817750765</v>
      </c>
      <c r="R10">
        <f t="shared" ref="R10:W10" si="45">2*PI()/R9</f>
        <v>-0.61284500035474909</v>
      </c>
      <c r="S10">
        <f t="shared" si="45"/>
        <v>-0.37997761732835605</v>
      </c>
      <c r="T10">
        <f t="shared" si="45"/>
        <v>-0.27535056551423981</v>
      </c>
      <c r="U10">
        <f t="shared" si="45"/>
        <v>-0.21590186491446331</v>
      </c>
      <c r="V10">
        <f t="shared" si="45"/>
        <v>-0.17756520583151802</v>
      </c>
      <c r="W10">
        <f t="shared" si="45"/>
        <v>-0.15079012606026629</v>
      </c>
    </row>
    <row r="11" spans="1:23" s="4" customFormat="1" x14ac:dyDescent="0.25">
      <c r="A11" s="3"/>
      <c r="B11" s="3">
        <v>27.321582241000002</v>
      </c>
      <c r="C11" s="4">
        <f>2*PI()/$B11*$B$1/2</f>
        <v>41.997646378884212</v>
      </c>
      <c r="D11" s="4">
        <f t="shared" ref="D11" si="46">+C11-2*PI()</f>
        <v>35.714461071704626</v>
      </c>
      <c r="E11" s="4">
        <f t="shared" ref="E11" si="47">+D11-2*PI()</f>
        <v>29.43127576452504</v>
      </c>
      <c r="F11" s="4">
        <f t="shared" ref="F11" si="48">+E11-2*PI()</f>
        <v>23.148090457345454</v>
      </c>
      <c r="G11" s="4">
        <f t="shared" ref="G11" si="49">+F11-2*PI()</f>
        <v>16.864905150165868</v>
      </c>
      <c r="H11" s="4">
        <f t="shared" ref="H11" si="50">+G11-2*PI()</f>
        <v>10.581719842986281</v>
      </c>
      <c r="I11" s="4">
        <f>+H11-2*PI()</f>
        <v>4.2985345358066951</v>
      </c>
      <c r="J11" s="4">
        <f t="shared" ref="J11" si="51">+I11-2*PI()</f>
        <v>-1.9846507713728911</v>
      </c>
      <c r="K11" s="4">
        <f t="shared" ref="K11" si="52">+J11-2*PI()</f>
        <v>-8.2678360785524774</v>
      </c>
      <c r="L11" s="4">
        <f t="shared" ref="L11" si="53">+K11-2*PI()</f>
        <v>-14.551021385732064</v>
      </c>
      <c r="M11" s="4">
        <f t="shared" ref="M11" si="54">+L11-2*PI()</f>
        <v>-20.83420669291165</v>
      </c>
      <c r="N11" s="4">
        <f t="shared" ref="N11" si="55">+M11-2*PI()</f>
        <v>-27.117392000091236</v>
      </c>
      <c r="O11" s="4">
        <f t="shared" ref="O11" si="56">+N11-2*PI()</f>
        <v>-33.400577307270822</v>
      </c>
      <c r="P11" s="4">
        <f t="shared" ref="P11" si="57">+O11-2*PI()</f>
        <v>-39.683762614450409</v>
      </c>
      <c r="Q11" s="4">
        <f t="shared" ref="Q11" si="58">+P11-2*PI()</f>
        <v>-45.966947921629995</v>
      </c>
      <c r="R11" s="4">
        <f t="shared" ref="R11" si="59">+Q11-2*PI()</f>
        <v>-52.250133228809581</v>
      </c>
      <c r="S11" s="4">
        <f t="shared" ref="S11" si="60">+R11-2*PI()</f>
        <v>-58.533318535989167</v>
      </c>
      <c r="T11" s="4">
        <f t="shared" ref="T11" si="61">+S11-2*PI()</f>
        <v>-64.816503843168761</v>
      </c>
      <c r="U11" s="4">
        <f t="shared" ref="U11" si="62">+T11-2*PI()</f>
        <v>-71.099689150348354</v>
      </c>
      <c r="V11" s="4">
        <f t="shared" ref="V11" si="63">+U11-2*PI()</f>
        <v>-77.382874457527947</v>
      </c>
      <c r="W11" s="4">
        <f t="shared" ref="W11" si="64">+V11-2*PI()</f>
        <v>-83.666059764707541</v>
      </c>
    </row>
    <row r="12" spans="1:23" x14ac:dyDescent="0.25">
      <c r="A12" s="1"/>
      <c r="B12" s="2"/>
      <c r="H12">
        <f t="shared" ref="H12:N12" si="65">2*PI()/H11</f>
        <v>0.59377732546417517</v>
      </c>
      <c r="I12" s="11">
        <f t="shared" si="65"/>
        <v>1.4617040423522936</v>
      </c>
      <c r="J12">
        <f t="shared" si="65"/>
        <v>-3.1658896355015469</v>
      </c>
      <c r="K12">
        <f t="shared" si="65"/>
        <v>-0.75995523465671311</v>
      </c>
      <c r="L12">
        <f t="shared" si="65"/>
        <v>-0.43180372982892695</v>
      </c>
      <c r="M12">
        <f t="shared" si="65"/>
        <v>-0.30158025212053274</v>
      </c>
      <c r="N12">
        <f t="shared" si="65"/>
        <v>-0.2317031559361773</v>
      </c>
      <c r="O12">
        <f>2*PI()/O11</f>
        <v>-0.18811606905404679</v>
      </c>
      <c r="P12" s="20">
        <f>2*PI()/P11</f>
        <v>-0.15833139030248189</v>
      </c>
      <c r="Q12">
        <f>2*PI()/Q11</f>
        <v>-0.13668919933278842</v>
      </c>
      <c r="R12">
        <f t="shared" ref="R12:W12" si="66">2*PI()/R11</f>
        <v>-0.120252043753932</v>
      </c>
      <c r="S12">
        <f t="shared" si="66"/>
        <v>-0.10734373967394954</v>
      </c>
      <c r="T12">
        <f t="shared" si="66"/>
        <v>-9.6938047173641156E-2</v>
      </c>
      <c r="U12">
        <f t="shared" si="66"/>
        <v>-8.8371487727507192E-2</v>
      </c>
      <c r="V12">
        <f t="shared" si="66"/>
        <v>-8.1196070205794044E-2</v>
      </c>
      <c r="W12">
        <f t="shared" si="66"/>
        <v>-7.5098377105957514E-2</v>
      </c>
    </row>
    <row r="13" spans="1:23" s="4" customFormat="1" ht="15.75" customHeight="1" x14ac:dyDescent="0.25">
      <c r="A13" s="3"/>
      <c r="B13" s="3">
        <f>+B11/2</f>
        <v>13.660791120500001</v>
      </c>
      <c r="C13" s="4">
        <f>2*PI()/$B13*$B$1</f>
        <v>167.99058551553685</v>
      </c>
      <c r="D13" s="4">
        <f>+C13-2*13*PI()</f>
        <v>86.309176522202222</v>
      </c>
      <c r="E13" s="4">
        <f t="shared" ref="E13" si="67">+D13-2*PI()</f>
        <v>80.025991215022628</v>
      </c>
      <c r="F13" s="4">
        <f t="shared" ref="F13" si="68">+E13-2*PI()</f>
        <v>73.742805907843035</v>
      </c>
      <c r="G13" s="4">
        <f t="shared" ref="G13" si="69">+F13-2*PI()</f>
        <v>67.459620600663442</v>
      </c>
      <c r="H13" s="4">
        <f t="shared" ref="H13" si="70">+G13-2*PI()</f>
        <v>61.176435293483856</v>
      </c>
      <c r="I13" s="4">
        <f>+H13-2*PI()</f>
        <v>54.893249986304269</v>
      </c>
      <c r="J13" s="4">
        <f t="shared" ref="J13" si="71">+I13-2*PI()</f>
        <v>48.610064679124683</v>
      </c>
      <c r="K13" s="4">
        <f t="shared" ref="K13" si="72">+J13-2*PI()</f>
        <v>42.326879371945097</v>
      </c>
      <c r="L13" s="4">
        <f t="shared" ref="L13" si="73">+K13-2*PI()</f>
        <v>36.043694064765511</v>
      </c>
      <c r="M13" s="4">
        <f t="shared" ref="M13" si="74">+L13-2*PI()</f>
        <v>29.760508757585924</v>
      </c>
      <c r="N13" s="4">
        <f t="shared" ref="N13" si="75">+M13-2*PI()</f>
        <v>23.477323450406338</v>
      </c>
      <c r="O13" s="4">
        <f t="shared" ref="O13" si="76">+N13-2*PI()</f>
        <v>17.194138143226752</v>
      </c>
      <c r="P13" s="4">
        <f t="shared" ref="P13" si="77">+O13-2*PI()</f>
        <v>10.910952836047166</v>
      </c>
      <c r="Q13" s="4">
        <f t="shared" ref="Q13" si="78">+P13-2*PI()</f>
        <v>4.6277675288675795</v>
      </c>
      <c r="R13" s="4">
        <f t="shared" ref="R13" si="79">+Q13-2*PI()</f>
        <v>-1.6554177783120068</v>
      </c>
      <c r="S13" s="4">
        <f t="shared" ref="S13" si="80">+R13-2*PI()</f>
        <v>-7.938603085491593</v>
      </c>
      <c r="T13" s="4">
        <f t="shared" ref="T13" si="81">+S13-2*PI()</f>
        <v>-14.221788392671179</v>
      </c>
      <c r="U13" s="4">
        <f t="shared" ref="U13" si="82">+T13-2*PI()</f>
        <v>-20.504973699850765</v>
      </c>
      <c r="V13" s="4">
        <f t="shared" ref="V13" si="83">+U13-2*PI()</f>
        <v>-26.788159007030352</v>
      </c>
      <c r="W13" s="4">
        <f t="shared" ref="W13" si="84">+V13-2*PI()</f>
        <v>-33.071344314209938</v>
      </c>
    </row>
    <row r="14" spans="1:23" x14ac:dyDescent="0.25">
      <c r="A14" s="1"/>
      <c r="B14" s="2"/>
      <c r="G14">
        <f t="shared" ref="G14:N14" si="85">2*PI()/G13</f>
        <v>9.3139944328678795E-2</v>
      </c>
      <c r="H14">
        <f t="shared" si="85"/>
        <v>0.10270597292956089</v>
      </c>
      <c r="I14">
        <f t="shared" si="85"/>
        <v>0.11446189301502872</v>
      </c>
      <c r="J14">
        <f t="shared" si="85"/>
        <v>0.12925688020896348</v>
      </c>
      <c r="K14">
        <f t="shared" si="85"/>
        <v>0.1484443313660439</v>
      </c>
      <c r="L14">
        <f t="shared" si="85"/>
        <v>0.17432134719292577</v>
      </c>
      <c r="M14">
        <f t="shared" si="85"/>
        <v>0.21112492929335452</v>
      </c>
      <c r="N14">
        <f t="shared" si="85"/>
        <v>0.26762783757919556</v>
      </c>
      <c r="O14">
        <f>2*PI()/O13</f>
        <v>0.365426010588074</v>
      </c>
      <c r="P14" s="19">
        <f>2*PI()/P13</f>
        <v>0.57586036724688716</v>
      </c>
      <c r="Q14" s="24">
        <f>2*PI()/Q13</f>
        <v>1.357714117657308</v>
      </c>
      <c r="R14">
        <f>2*PI()/R13</f>
        <v>-3.7955284699107272</v>
      </c>
      <c r="S14">
        <f t="shared" ref="S14:W14" si="86">2*PI()/S13</f>
        <v>-0.79147240887538384</v>
      </c>
      <c r="T14">
        <f t="shared" si="86"/>
        <v>-0.44179994341762663</v>
      </c>
      <c r="U14">
        <f t="shared" si="86"/>
        <v>-0.30642250017737477</v>
      </c>
      <c r="V14">
        <f t="shared" si="86"/>
        <v>-0.2345508441073017</v>
      </c>
      <c r="W14">
        <f t="shared" si="86"/>
        <v>-0.18998880866417811</v>
      </c>
    </row>
    <row r="15" spans="1:23" s="4" customFormat="1" x14ac:dyDescent="0.25">
      <c r="A15" s="3" t="s">
        <v>3</v>
      </c>
      <c r="B15" s="3">
        <v>27.212220816999999</v>
      </c>
      <c r="C15" s="4">
        <f t="shared" ref="C15:C25" si="87">2*PI()/$B15*$B$1</f>
        <v>84.332855975671905</v>
      </c>
      <c r="D15" s="4">
        <f>+C15-2*PI()</f>
        <v>78.049670668492325</v>
      </c>
      <c r="E15" s="4">
        <f t="shared" ref="E15:W15" si="88">+D15-2*PI()</f>
        <v>71.766485361312732</v>
      </c>
      <c r="F15" s="4">
        <f t="shared" si="88"/>
        <v>65.483300054133139</v>
      </c>
      <c r="G15" s="4">
        <f t="shared" si="88"/>
        <v>59.200114746953552</v>
      </c>
      <c r="H15" s="4">
        <f t="shared" si="88"/>
        <v>52.916929439773966</v>
      </c>
      <c r="I15" s="4">
        <f>+H15-2*PI()</f>
        <v>46.63374413259438</v>
      </c>
      <c r="J15" s="4">
        <f t="shared" si="88"/>
        <v>40.350558825414794</v>
      </c>
      <c r="K15" s="4">
        <f t="shared" si="88"/>
        <v>34.067373518235208</v>
      </c>
      <c r="L15" s="4">
        <f t="shared" si="88"/>
        <v>27.784188211055621</v>
      </c>
      <c r="M15" s="4">
        <f t="shared" si="88"/>
        <v>21.501002903876035</v>
      </c>
      <c r="N15" s="4">
        <f t="shared" si="88"/>
        <v>15.217817596696449</v>
      </c>
      <c r="O15" s="4">
        <f t="shared" si="88"/>
        <v>8.9346322895168626</v>
      </c>
      <c r="P15" s="4">
        <f t="shared" si="88"/>
        <v>2.6514469823372764</v>
      </c>
      <c r="Q15" s="4">
        <f t="shared" si="88"/>
        <v>-3.6317383248423099</v>
      </c>
      <c r="R15" s="4">
        <f t="shared" si="88"/>
        <v>-9.9149236320218961</v>
      </c>
      <c r="S15" s="4">
        <f t="shared" si="88"/>
        <v>-16.198108939201482</v>
      </c>
      <c r="T15" s="4">
        <f t="shared" si="88"/>
        <v>-22.481294246381069</v>
      </c>
      <c r="U15" s="4">
        <f t="shared" si="88"/>
        <v>-28.764479553560655</v>
      </c>
      <c r="V15" s="4">
        <f t="shared" si="88"/>
        <v>-35.047664860740241</v>
      </c>
      <c r="W15" s="4">
        <f t="shared" si="88"/>
        <v>-41.330850167919827</v>
      </c>
    </row>
    <row r="16" spans="1:23" x14ac:dyDescent="0.25">
      <c r="A16" s="1"/>
      <c r="B16" s="2"/>
      <c r="E16" s="19">
        <f t="shared" ref="E16:N16" si="89">2*PI()/E15</f>
        <v>8.7550411247624957E-2</v>
      </c>
      <c r="F16" s="19">
        <f t="shared" si="89"/>
        <v>9.595095699186601E-2</v>
      </c>
      <c r="G16" s="19">
        <f t="shared" si="89"/>
        <v>0.10613468122547719</v>
      </c>
      <c r="H16" s="19">
        <f t="shared" si="89"/>
        <v>0.11873677051369035</v>
      </c>
      <c r="I16" s="19">
        <f t="shared" si="89"/>
        <v>0.13473473820404636</v>
      </c>
      <c r="J16" s="19">
        <f t="shared" si="89"/>
        <v>0.15571495141777622</v>
      </c>
      <c r="K16" s="19">
        <f t="shared" si="89"/>
        <v>0.18443409803272307</v>
      </c>
      <c r="L16" s="19">
        <f t="shared" si="89"/>
        <v>0.22614248289174202</v>
      </c>
      <c r="M16" s="39">
        <f t="shared" si="89"/>
        <v>0.29222754562983211</v>
      </c>
      <c r="N16" s="39">
        <f t="shared" si="89"/>
        <v>0.41288346816192406</v>
      </c>
      <c r="O16" s="39">
        <f>2*PI()/O15</f>
        <v>0.70323938395895058</v>
      </c>
      <c r="P16" s="37">
        <f>2*PI()/P15</f>
        <v>2.3697193830520789</v>
      </c>
      <c r="Q16" s="38">
        <f>2*PI()/Q15</f>
        <v>-1.7300765487977172</v>
      </c>
      <c r="R16" s="38">
        <f>2*PI()/R15</f>
        <v>-0.63370990441993857</v>
      </c>
      <c r="S16" s="38">
        <f t="shared" ref="S16:W16" si="90">2*PI()/S15</f>
        <v>-0.38789622484717823</v>
      </c>
      <c r="T16">
        <f t="shared" si="90"/>
        <v>-0.27948503490589843</v>
      </c>
      <c r="U16">
        <f t="shared" si="90"/>
        <v>-0.21843556374729584</v>
      </c>
      <c r="V16">
        <f t="shared" si="90"/>
        <v>-0.17927543338894161</v>
      </c>
      <c r="W16">
        <f t="shared" si="90"/>
        <v>-0.15202168069739994</v>
      </c>
    </row>
    <row r="17" spans="1:25" s="4" customFormat="1" x14ac:dyDescent="0.25">
      <c r="A17" s="3"/>
      <c r="B17" s="3">
        <v>27.212220816999999</v>
      </c>
      <c r="C17" s="4">
        <f>2*PI()/$B17*$B$1/2</f>
        <v>42.166427987835952</v>
      </c>
      <c r="D17" s="4">
        <f>+C17-2*PI()</f>
        <v>35.883242680656366</v>
      </c>
      <c r="E17" s="4">
        <f t="shared" ref="E17" si="91">+D17-2*PI()</f>
        <v>29.60005737347678</v>
      </c>
      <c r="F17" s="4">
        <f t="shared" ref="F17" si="92">+E17-2*PI()</f>
        <v>23.316872066297194</v>
      </c>
      <c r="G17" s="4">
        <f t="shared" ref="G17" si="93">+F17-2*PI()</f>
        <v>17.033686759117607</v>
      </c>
      <c r="H17" s="4">
        <f t="shared" ref="H17" si="94">+G17-2*PI()</f>
        <v>10.750501451938021</v>
      </c>
      <c r="I17" s="4">
        <f>+H17-2*PI()</f>
        <v>4.4673161447584349</v>
      </c>
      <c r="J17" s="4">
        <f t="shared" ref="J17" si="95">+I17-2*PI()</f>
        <v>-1.8158691624211514</v>
      </c>
      <c r="K17" s="4">
        <f t="shared" ref="K17" si="96">+J17-2*PI()</f>
        <v>-8.0990544696007376</v>
      </c>
      <c r="L17" s="4">
        <f t="shared" ref="L17" si="97">+K17-2*PI()</f>
        <v>-14.382239776780324</v>
      </c>
      <c r="M17" s="4">
        <f t="shared" ref="M17" si="98">+L17-2*PI()</f>
        <v>-20.66542508395991</v>
      </c>
      <c r="N17" s="4">
        <f t="shared" ref="N17" si="99">+M17-2*PI()</f>
        <v>-26.948610391139496</v>
      </c>
      <c r="O17" s="4">
        <f t="shared" ref="O17" si="100">+N17-2*PI()</f>
        <v>-33.231795698319083</v>
      </c>
      <c r="P17" s="4">
        <f t="shared" ref="P17" si="101">+O17-2*PI()</f>
        <v>-39.514981005498669</v>
      </c>
      <c r="Q17" s="4">
        <f t="shared" ref="Q17" si="102">+P17-2*PI()</f>
        <v>-45.798166312678255</v>
      </c>
      <c r="R17" s="4">
        <f t="shared" ref="R17" si="103">+Q17-2*PI()</f>
        <v>-52.081351619857841</v>
      </c>
      <c r="S17" s="4">
        <f t="shared" ref="S17" si="104">+R17-2*PI()</f>
        <v>-58.364536927037427</v>
      </c>
      <c r="T17" s="4">
        <f t="shared" ref="T17" si="105">+S17-2*PI()</f>
        <v>-64.647722234217014</v>
      </c>
      <c r="U17" s="4">
        <f t="shared" ref="U17" si="106">+T17-2*PI()</f>
        <v>-70.930907541396607</v>
      </c>
      <c r="V17" s="4">
        <f t="shared" ref="V17" si="107">+U17-2*PI()</f>
        <v>-77.2140928485762</v>
      </c>
      <c r="W17" s="4">
        <f t="shared" ref="W17" si="108">+V17-2*PI()</f>
        <v>-83.497278155755794</v>
      </c>
    </row>
    <row r="18" spans="1:25" x14ac:dyDescent="0.25">
      <c r="A18" s="1"/>
      <c r="B18" s="2"/>
      <c r="E18" s="19">
        <f t="shared" ref="E18:N18" si="109">2*PI()/E17</f>
        <v>0.21226936245095435</v>
      </c>
      <c r="F18" s="19">
        <f t="shared" si="109"/>
        <v>0.26946947640809266</v>
      </c>
      <c r="G18" s="19">
        <f t="shared" si="109"/>
        <v>0.36886819606544607</v>
      </c>
      <c r="H18" s="19">
        <f t="shared" si="109"/>
        <v>0.58445509125966399</v>
      </c>
      <c r="I18" s="24">
        <f t="shared" si="109"/>
        <v>1.4064787679179001</v>
      </c>
      <c r="J18" s="19">
        <f t="shared" si="109"/>
        <v>-3.4601530975954411</v>
      </c>
      <c r="K18" s="19">
        <f t="shared" si="109"/>
        <v>-0.7757924496943569</v>
      </c>
      <c r="L18" s="19">
        <f t="shared" si="109"/>
        <v>-0.43687112749459178</v>
      </c>
      <c r="M18" s="19">
        <f t="shared" si="109"/>
        <v>-0.30404336139479993</v>
      </c>
      <c r="N18" s="19">
        <f t="shared" si="109"/>
        <v>-0.23315433397060989</v>
      </c>
      <c r="O18" s="19">
        <f>2*PI()/O17</f>
        <v>-0.18907149539010315</v>
      </c>
      <c r="P18" s="21">
        <f>2*PI()/P17</f>
        <v>-0.15900767626094153</v>
      </c>
      <c r="Q18">
        <f>2*PI()/Q17</f>
        <v>-0.13719294489395789</v>
      </c>
      <c r="R18">
        <f>2*PI()/R17</f>
        <v>-0.12064174818350723</v>
      </c>
      <c r="S18">
        <f t="shared" ref="S18:W18" si="110">2*PI()/S17</f>
        <v>-0.10765416189345099</v>
      </c>
      <c r="T18">
        <f t="shared" si="110"/>
        <v>-9.7191132031160657E-2</v>
      </c>
      <c r="U18">
        <f t="shared" si="110"/>
        <v>-8.8581769569388374E-2</v>
      </c>
      <c r="V18">
        <f t="shared" si="110"/>
        <v>-8.1373555984157964E-2</v>
      </c>
      <c r="W18">
        <f t="shared" si="110"/>
        <v>-7.525018115511424E-2</v>
      </c>
    </row>
    <row r="19" spans="1:25" s="4" customFormat="1" ht="15.75" customHeight="1" x14ac:dyDescent="0.25">
      <c r="A19" s="3"/>
      <c r="B19" s="3">
        <f>+B17/2</f>
        <v>13.606110408499999</v>
      </c>
      <c r="C19" s="4">
        <f>2*PI()/$B19*$B$1</f>
        <v>168.66571195134381</v>
      </c>
      <c r="D19" s="4">
        <f>+C19-2*13*PI()</f>
        <v>86.984302958009181</v>
      </c>
      <c r="E19" s="4">
        <f t="shared" ref="E19" si="111">+D19-2*PI()</f>
        <v>80.701117650829588</v>
      </c>
      <c r="F19" s="4">
        <f t="shared" ref="F19" si="112">+E19-2*PI()</f>
        <v>74.417932343649994</v>
      </c>
      <c r="G19" s="4">
        <f t="shared" ref="G19" si="113">+F19-2*PI()</f>
        <v>68.134747036470401</v>
      </c>
      <c r="H19" s="4">
        <f t="shared" ref="H19" si="114">+G19-2*PI()</f>
        <v>61.851561729290815</v>
      </c>
      <c r="I19" s="4">
        <f>+H19-2*PI()</f>
        <v>55.568376422111228</v>
      </c>
      <c r="J19" s="4">
        <f t="shared" ref="J19" si="115">+I19-2*PI()</f>
        <v>49.285191114931642</v>
      </c>
      <c r="K19" s="4">
        <f t="shared" ref="K19" si="116">+J19-2*PI()</f>
        <v>43.002005807752056</v>
      </c>
      <c r="L19" s="4">
        <f t="shared" ref="L19" si="117">+K19-2*PI()</f>
        <v>36.71882050057247</v>
      </c>
      <c r="M19" s="4">
        <f t="shared" ref="M19" si="118">+L19-2*PI()</f>
        <v>30.435635193392883</v>
      </c>
      <c r="N19" s="4">
        <f t="shared" ref="N19" si="119">+M19-2*PI()</f>
        <v>24.152449886213297</v>
      </c>
      <c r="O19" s="4">
        <f t="shared" ref="O19" si="120">+N19-2*PI()</f>
        <v>17.869264579033711</v>
      </c>
      <c r="P19" s="4">
        <f t="shared" ref="P19" si="121">+O19-2*PI()</f>
        <v>11.586079271854125</v>
      </c>
      <c r="Q19" s="4">
        <f t="shared" ref="Q19" si="122">+P19-2*PI()</f>
        <v>5.3028939646745386</v>
      </c>
      <c r="R19" s="4">
        <f t="shared" ref="R19" si="123">+Q19-2*PI()</f>
        <v>-0.98029134250504768</v>
      </c>
      <c r="S19" s="4">
        <f t="shared" ref="S19" si="124">+R19-2*PI()</f>
        <v>-7.2634766496846339</v>
      </c>
      <c r="T19" s="4">
        <f t="shared" ref="T19" si="125">+S19-2*PI()</f>
        <v>-13.54666195686422</v>
      </c>
      <c r="U19" s="4">
        <f t="shared" ref="U19" si="126">+T19-2*PI()</f>
        <v>-19.829847264043806</v>
      </c>
      <c r="V19" s="4">
        <f t="shared" ref="V19" si="127">+U19-2*PI()</f>
        <v>-26.113032571223393</v>
      </c>
      <c r="W19" s="4">
        <f t="shared" ref="W19" si="128">+V19-2*PI()</f>
        <v>-32.396217878402979</v>
      </c>
    </row>
    <row r="20" spans="1:25" x14ac:dyDescent="0.25">
      <c r="A20" s="1"/>
      <c r="B20" s="2"/>
      <c r="G20">
        <f t="shared" ref="G20:N20" si="129">2*PI()/G19</f>
        <v>9.221704901636156E-2</v>
      </c>
      <c r="H20">
        <f t="shared" si="129"/>
        <v>0.10158490960470092</v>
      </c>
      <c r="I20">
        <f t="shared" si="129"/>
        <v>0.11307124144587104</v>
      </c>
      <c r="J20">
        <f t="shared" si="129"/>
        <v>0.127486272550458</v>
      </c>
      <c r="K20">
        <f t="shared" si="129"/>
        <v>0.14611377281491608</v>
      </c>
      <c r="L20">
        <f t="shared" si="129"/>
        <v>0.17111620747953021</v>
      </c>
      <c r="M20">
        <f t="shared" si="129"/>
        <v>0.20644173408096214</v>
      </c>
      <c r="N20">
        <f t="shared" si="129"/>
        <v>0.2601469141549137</v>
      </c>
      <c r="O20" s="38">
        <f>2*PI()/O19</f>
        <v>0.35161969197947557</v>
      </c>
      <c r="P20" s="39">
        <f>2*PI()/P19</f>
        <v>0.54230470547903353</v>
      </c>
      <c r="Q20" s="40">
        <f>2*PI()/Q19</f>
        <v>1.1848596915260425</v>
      </c>
      <c r="R20" s="19">
        <f>2*PI()/R19</f>
        <v>-6.4095081071750188</v>
      </c>
      <c r="S20" s="38">
        <f t="shared" ref="S20:W20" si="130">2*PI()/S19</f>
        <v>-0.86503827439885694</v>
      </c>
      <c r="T20" s="38">
        <f t="shared" si="130"/>
        <v>-0.4638179742867089</v>
      </c>
      <c r="U20">
        <f t="shared" si="130"/>
        <v>-0.31685495220996907</v>
      </c>
      <c r="V20">
        <f t="shared" si="130"/>
        <v>-0.24061492245460864</v>
      </c>
      <c r="W20">
        <f t="shared" si="130"/>
        <v>-0.19394811242358903</v>
      </c>
    </row>
    <row r="21" spans="1:25" s="4" customFormat="1" x14ac:dyDescent="0.25">
      <c r="A21" s="3" t="s">
        <v>4</v>
      </c>
      <c r="B21" s="4">
        <v>31.811900000000001</v>
      </c>
      <c r="C21" s="4">
        <f t="shared" si="87"/>
        <v>72.139177444234448</v>
      </c>
      <c r="D21" s="4">
        <f>+C21-2*PI()</f>
        <v>65.855992137054869</v>
      </c>
      <c r="E21" s="4">
        <f t="shared" ref="E21:S21" si="131">+D21-2*PI()</f>
        <v>59.572806829875283</v>
      </c>
      <c r="F21" s="4">
        <f t="shared" si="131"/>
        <v>53.289621522695697</v>
      </c>
      <c r="G21" s="4">
        <f t="shared" si="131"/>
        <v>47.006436215516111</v>
      </c>
      <c r="H21" s="4">
        <f t="shared" si="131"/>
        <v>40.723250908336524</v>
      </c>
      <c r="I21" s="4">
        <f>+H21-2*PI()</f>
        <v>34.440065601156938</v>
      </c>
      <c r="J21" s="4">
        <f t="shared" si="131"/>
        <v>28.156880293977352</v>
      </c>
      <c r="K21" s="4">
        <f t="shared" si="131"/>
        <v>21.873694986797766</v>
      </c>
      <c r="L21" s="4">
        <f t="shared" si="131"/>
        <v>15.590509679618179</v>
      </c>
      <c r="M21" s="4">
        <f t="shared" si="131"/>
        <v>9.3073243724385932</v>
      </c>
      <c r="N21" s="4">
        <f t="shared" si="131"/>
        <v>3.024139065259007</v>
      </c>
      <c r="O21" s="4">
        <f>+N21-PI()</f>
        <v>-0.11745358833078612</v>
      </c>
      <c r="P21" s="4">
        <f t="shared" si="131"/>
        <v>-6.4006388955103724</v>
      </c>
      <c r="Q21" s="4">
        <f t="shared" si="131"/>
        <v>-12.683824202689959</v>
      </c>
      <c r="R21" s="4">
        <f t="shared" si="131"/>
        <v>-18.967009509869545</v>
      </c>
      <c r="S21" s="4">
        <f t="shared" si="131"/>
        <v>-25.250194817049131</v>
      </c>
    </row>
    <row r="22" spans="1:25" x14ac:dyDescent="0.25">
      <c r="H22">
        <f t="shared" ref="H22:L22" si="132">2*PI()/H21</f>
        <v>0.15428987536683483</v>
      </c>
      <c r="I22">
        <f t="shared" si="132"/>
        <v>0.18243825026188443</v>
      </c>
      <c r="J22">
        <f t="shared" si="132"/>
        <v>0.2231491998253633</v>
      </c>
      <c r="K22">
        <f t="shared" si="132"/>
        <v>0.28724846492428041</v>
      </c>
      <c r="L22">
        <f t="shared" si="132"/>
        <v>0.40301346372233965</v>
      </c>
      <c r="M22">
        <f>2*PI()/M21</f>
        <v>0.67507965294362482</v>
      </c>
      <c r="N22" s="25">
        <f>2*PI()/N21</f>
        <v>2.0776773724992217</v>
      </c>
      <c r="O22" s="22">
        <f>2*PI()/O21</f>
        <v>-53.495047673504594</v>
      </c>
      <c r="P22">
        <f>2*PI()/P21</f>
        <v>-0.98164970868561696</v>
      </c>
    </row>
    <row r="23" spans="1:25" s="4" customFormat="1" x14ac:dyDescent="0.25">
      <c r="A23" s="3"/>
      <c r="B23" s="3">
        <f>+B21</f>
        <v>31.811900000000001</v>
      </c>
      <c r="C23" s="4">
        <f>2*PI()/$B23*$B$1/2</f>
        <v>36.069588722117224</v>
      </c>
      <c r="D23" s="4">
        <f>+C23-2*PI()</f>
        <v>29.786403414937638</v>
      </c>
      <c r="E23" s="4">
        <f t="shared" ref="E23" si="133">+D23-2*PI()</f>
        <v>23.503218107758052</v>
      </c>
      <c r="F23" s="4">
        <f t="shared" ref="F23" si="134">+E23-2*PI()</f>
        <v>17.220032800578466</v>
      </c>
      <c r="G23" s="4">
        <f t="shared" ref="G23" si="135">+F23-2*PI()</f>
        <v>10.936847493398879</v>
      </c>
      <c r="H23" s="4">
        <f t="shared" ref="H23" si="136">+G23-2*PI()</f>
        <v>4.6536621862192931</v>
      </c>
      <c r="I23" s="4">
        <f>+H23-2*PI()</f>
        <v>-1.6295231209602932</v>
      </c>
      <c r="J23" s="4">
        <f t="shared" ref="J23" si="137">+I23-2*PI()</f>
        <v>-7.9127084281398794</v>
      </c>
      <c r="K23" s="4">
        <f t="shared" ref="K23" si="138">+J23-2*PI()</f>
        <v>-14.195893735319466</v>
      </c>
      <c r="L23" s="4">
        <f t="shared" ref="L23" si="139">+K23-2*PI()</f>
        <v>-20.479079042499052</v>
      </c>
      <c r="M23" s="4">
        <f t="shared" ref="M23" si="140">+L23-2*PI()</f>
        <v>-26.762264349678638</v>
      </c>
      <c r="N23" s="4">
        <f t="shared" ref="N23" si="141">+M23-2*PI()</f>
        <v>-33.045449656858224</v>
      </c>
      <c r="O23" s="4">
        <f t="shared" ref="O23" si="142">+N23-2*PI()</f>
        <v>-39.328634964037811</v>
      </c>
      <c r="P23" s="4">
        <f t="shared" ref="P23" si="143">+O23-2*PI()</f>
        <v>-45.611820271217397</v>
      </c>
      <c r="Q23" s="4">
        <f t="shared" ref="Q23" si="144">+P23-2*PI()</f>
        <v>-51.895005578396983</v>
      </c>
      <c r="R23" s="4">
        <f t="shared" ref="R23" si="145">+Q23-2*PI()</f>
        <v>-58.178190885576569</v>
      </c>
      <c r="S23" s="4">
        <f t="shared" ref="S23" si="146">+R23-2*PI()</f>
        <v>-64.461376192756148</v>
      </c>
      <c r="T23" s="4">
        <f t="shared" ref="T23" si="147">+S23-2*PI()</f>
        <v>-70.744561499935742</v>
      </c>
      <c r="U23" s="4">
        <f t="shared" ref="U23" si="148">+T23-2*PI()</f>
        <v>-77.027746807115335</v>
      </c>
      <c r="V23" s="4">
        <f t="shared" ref="V23" si="149">+U23-2*PI()</f>
        <v>-83.310932114294928</v>
      </c>
      <c r="W23" s="4">
        <f t="shared" ref="W23" si="150">+V23-2*PI()</f>
        <v>-89.594117421474522</v>
      </c>
    </row>
    <row r="24" spans="1:25" x14ac:dyDescent="0.25">
      <c r="A24" s="1"/>
      <c r="B24" s="2"/>
      <c r="E24" s="19">
        <f t="shared" ref="E24:N24" si="151">2*PI()/E23</f>
        <v>0.26733297875943224</v>
      </c>
      <c r="F24" s="19">
        <f t="shared" si="151"/>
        <v>0.36487650052376891</v>
      </c>
      <c r="G24" s="19">
        <f t="shared" si="151"/>
        <v>0.57449692984856104</v>
      </c>
      <c r="H24" s="24">
        <f t="shared" si="151"/>
        <v>1.3501593058872507</v>
      </c>
      <c r="I24" s="19">
        <f t="shared" si="151"/>
        <v>-3.8558429925663447</v>
      </c>
      <c r="J24" s="19">
        <f t="shared" si="151"/>
        <v>-0.79406253424361783</v>
      </c>
      <c r="K24" s="19">
        <f t="shared" si="151"/>
        <v>-0.44260582844086699</v>
      </c>
      <c r="L24" s="19">
        <f t="shared" si="151"/>
        <v>-0.30680995439982695</v>
      </c>
      <c r="M24" s="19">
        <f t="shared" si="151"/>
        <v>-0.23477779103751492</v>
      </c>
      <c r="N24" s="19">
        <f t="shared" si="151"/>
        <v>-0.19013768529173514</v>
      </c>
      <c r="O24" s="19">
        <f>2*PI()/O23</f>
        <v>-0.15976108280709322</v>
      </c>
      <c r="P24" s="21">
        <f>2*PI()/P23</f>
        <v>-0.13775344351131913</v>
      </c>
      <c r="Q24">
        <f>2*PI()/Q23</f>
        <v>-0.12107495195636264</v>
      </c>
      <c r="R24">
        <f>2*PI()/R23</f>
        <v>-0.10799898057224228</v>
      </c>
      <c r="S24">
        <f t="shared" ref="S24:W24" si="152">2*PI()/S23</f>
        <v>-9.7472093806859492E-2</v>
      </c>
      <c r="T24">
        <f t="shared" si="152"/>
        <v>-8.8815100043913534E-2</v>
      </c>
      <c r="U24">
        <f t="shared" si="152"/>
        <v>-8.1570415436313728E-2</v>
      </c>
      <c r="V24">
        <f t="shared" si="152"/>
        <v>-7.5418497281480826E-2</v>
      </c>
      <c r="W24">
        <f t="shared" si="152"/>
        <v>-7.0129440280345789E-2</v>
      </c>
    </row>
    <row r="25" spans="1:25" s="4" customFormat="1" x14ac:dyDescent="0.25">
      <c r="A25" s="4" t="s">
        <v>5</v>
      </c>
      <c r="B25" s="4">
        <f>13.633*2</f>
        <v>27.265999999999998</v>
      </c>
      <c r="C25" s="4">
        <f t="shared" si="87"/>
        <v>84.166518702348782</v>
      </c>
      <c r="D25" s="4">
        <f>+C25-2*PI()</f>
        <v>77.883333395169188</v>
      </c>
      <c r="E25" s="4">
        <f t="shared" ref="E25:W25" si="153">+D25-2*PI()</f>
        <v>71.600148087989595</v>
      </c>
      <c r="F25" s="4">
        <f t="shared" si="153"/>
        <v>65.316962780810002</v>
      </c>
      <c r="G25" s="4">
        <f t="shared" si="153"/>
        <v>59.033777473630415</v>
      </c>
      <c r="H25" s="4">
        <f t="shared" si="153"/>
        <v>52.750592166450829</v>
      </c>
      <c r="I25" s="4">
        <f>+H25-2*PI()</f>
        <v>46.467406859271243</v>
      </c>
      <c r="J25" s="4">
        <f t="shared" si="153"/>
        <v>40.184221552091657</v>
      </c>
      <c r="K25" s="4">
        <f t="shared" si="153"/>
        <v>33.901036244912071</v>
      </c>
      <c r="L25" s="4">
        <f t="shared" si="153"/>
        <v>27.617850937732484</v>
      </c>
      <c r="M25" s="4">
        <f t="shared" si="153"/>
        <v>21.334665630552898</v>
      </c>
      <c r="N25" s="4">
        <f t="shared" si="153"/>
        <v>15.051480323373312</v>
      </c>
      <c r="O25" s="4">
        <f t="shared" si="153"/>
        <v>8.7682950161937256</v>
      </c>
      <c r="P25" s="4">
        <f t="shared" si="153"/>
        <v>2.4851097090141394</v>
      </c>
      <c r="Q25" s="4">
        <f t="shared" si="153"/>
        <v>-3.7980755981654468</v>
      </c>
      <c r="R25" s="4">
        <f t="shared" si="153"/>
        <v>-10.081260905345033</v>
      </c>
      <c r="S25" s="4">
        <f t="shared" si="153"/>
        <v>-16.364446212524619</v>
      </c>
      <c r="T25" s="4">
        <f t="shared" si="153"/>
        <v>-22.647631519704206</v>
      </c>
      <c r="U25" s="4">
        <f t="shared" si="153"/>
        <v>-28.930816826883792</v>
      </c>
      <c r="V25" s="4">
        <f t="shared" si="153"/>
        <v>-35.214002134063378</v>
      </c>
      <c r="W25" s="4">
        <f t="shared" si="153"/>
        <v>-41.497187441242964</v>
      </c>
    </row>
    <row r="26" spans="1:25" x14ac:dyDescent="0.25">
      <c r="I26">
        <f t="shared" ref="I26:N26" si="154">2*PI()/I25</f>
        <v>0.13521704204860222</v>
      </c>
      <c r="J26">
        <f t="shared" si="154"/>
        <v>0.15635951287583263</v>
      </c>
      <c r="K26">
        <f t="shared" si="154"/>
        <v>0.18533903393948845</v>
      </c>
      <c r="L26">
        <f t="shared" si="154"/>
        <v>0.22750449777376691</v>
      </c>
      <c r="M26" s="19">
        <f t="shared" si="154"/>
        <v>0.29450591895762251</v>
      </c>
      <c r="N26">
        <f t="shared" si="154"/>
        <v>0.4174463356552699</v>
      </c>
      <c r="O26" s="19">
        <f>2*PI()/O25</f>
        <v>0.71658005297215543</v>
      </c>
      <c r="P26" s="24">
        <f>2*PI()/P25</f>
        <v>2.5283331695131359</v>
      </c>
      <c r="Q26">
        <f>2*PI()/Q25</f>
        <v>-1.65430759467097</v>
      </c>
      <c r="R26">
        <f>2*PI()/R25</f>
        <v>-0.62325391299497801</v>
      </c>
      <c r="S26">
        <f t="shared" ref="S26:W26" si="155">2*PI()/S25</f>
        <v>-0.38395343328946357</v>
      </c>
      <c r="T26">
        <f t="shared" si="155"/>
        <v>-0.2774323355496579</v>
      </c>
      <c r="U26">
        <f t="shared" si="155"/>
        <v>-0.21717967193172966</v>
      </c>
      <c r="V26">
        <f t="shared" si="155"/>
        <v>-0.17842860584999243</v>
      </c>
      <c r="W26">
        <f t="shared" si="155"/>
        <v>-0.15141231718598097</v>
      </c>
      <c r="Y26">
        <f>365.242*0.2424</f>
        <v>88.534660800000012</v>
      </c>
    </row>
    <row r="27" spans="1:25" s="4" customFormat="1" x14ac:dyDescent="0.25">
      <c r="A27" s="3"/>
      <c r="B27" s="3">
        <f>+B25</f>
        <v>27.265999999999998</v>
      </c>
      <c r="C27" s="4">
        <f>2*PI()/$B27*$B$1/2</f>
        <v>42.083259351174391</v>
      </c>
      <c r="D27" s="4">
        <f>+C27-2*PI()</f>
        <v>35.800074043994805</v>
      </c>
      <c r="E27" s="4">
        <f t="shared" ref="E27" si="156">+D27-2*PI()</f>
        <v>29.516888736815218</v>
      </c>
      <c r="F27" s="4">
        <f t="shared" ref="F27" si="157">+E27-2*PI()</f>
        <v>23.233703429635632</v>
      </c>
      <c r="G27" s="4">
        <f t="shared" ref="G27" si="158">+F27-2*PI()</f>
        <v>16.950518122456046</v>
      </c>
      <c r="H27" s="4">
        <f t="shared" ref="H27" si="159">+G27-2*PI()</f>
        <v>10.66733281527646</v>
      </c>
      <c r="I27" s="4">
        <f>+H27-2*PI()</f>
        <v>4.3841475080968735</v>
      </c>
      <c r="J27" s="4">
        <f t="shared" ref="J27" si="160">+I27-2*PI()</f>
        <v>-1.8990377990827128</v>
      </c>
      <c r="K27" s="4">
        <f t="shared" ref="K27" si="161">+J27-2*PI()</f>
        <v>-8.182223106262299</v>
      </c>
      <c r="L27" s="4">
        <f t="shared" ref="L27" si="162">+K27-2*PI()</f>
        <v>-14.465408413441885</v>
      </c>
      <c r="M27" s="4">
        <f t="shared" ref="M27" si="163">+L27-2*PI()</f>
        <v>-20.748593720621471</v>
      </c>
      <c r="N27" s="4">
        <f t="shared" ref="N27" si="164">+M27-2*PI()</f>
        <v>-27.031779027801058</v>
      </c>
      <c r="O27" s="4">
        <f t="shared" ref="O27" si="165">+N27-2*PI()</f>
        <v>-33.314964334980644</v>
      </c>
      <c r="P27" s="4">
        <f t="shared" ref="P27" si="166">+O27-2*PI()</f>
        <v>-39.59814964216023</v>
      </c>
      <c r="Q27" s="4">
        <f t="shared" ref="Q27" si="167">+P27-2*PI()</f>
        <v>-45.881334949339816</v>
      </c>
      <c r="R27" s="4">
        <f t="shared" ref="R27" si="168">+Q27-2*PI()</f>
        <v>-52.164520256519403</v>
      </c>
      <c r="S27" s="4">
        <f t="shared" ref="S27" si="169">+R27-2*PI()</f>
        <v>-58.447705563698989</v>
      </c>
      <c r="T27" s="4">
        <f t="shared" ref="T27" si="170">+S27-2*PI()</f>
        <v>-64.730890870878568</v>
      </c>
      <c r="U27" s="4">
        <f t="shared" ref="U27" si="171">+T27-2*PI()</f>
        <v>-71.014076178058161</v>
      </c>
      <c r="V27" s="4">
        <f t="shared" ref="V27" si="172">+U27-2*PI()</f>
        <v>-77.297261485237755</v>
      </c>
      <c r="W27" s="4">
        <f t="shared" ref="W27" si="173">+V27-2*PI()</f>
        <v>-83.580446792417348</v>
      </c>
    </row>
    <row r="28" spans="1:25" x14ac:dyDescent="0.25">
      <c r="A28" s="1"/>
      <c r="B28" s="2"/>
      <c r="E28" s="19">
        <f t="shared" ref="E28:N28" si="174">2*PI()/E27</f>
        <v>0.21286746591766711</v>
      </c>
      <c r="F28" s="19">
        <f t="shared" si="174"/>
        <v>0.27043408409720426</v>
      </c>
      <c r="G28" s="19">
        <f t="shared" si="174"/>
        <v>0.37067806787897667</v>
      </c>
      <c r="H28" s="19">
        <f t="shared" si="174"/>
        <v>0.58901183791524447</v>
      </c>
      <c r="I28" s="24">
        <f t="shared" si="174"/>
        <v>1.4331601059443073</v>
      </c>
      <c r="J28" s="19">
        <f t="shared" si="174"/>
        <v>-3.3086151893419586</v>
      </c>
      <c r="K28" s="19">
        <f t="shared" si="174"/>
        <v>-0.76790686657892815</v>
      </c>
      <c r="L28" s="19">
        <f t="shared" si="174"/>
        <v>-0.43435934386345965</v>
      </c>
      <c r="M28" s="19">
        <f t="shared" si="174"/>
        <v>-0.30282463437196211</v>
      </c>
      <c r="N28" s="19">
        <f t="shared" si="174"/>
        <v>-0.23243698835794685</v>
      </c>
      <c r="O28" s="19">
        <f>2*PI()/O27</f>
        <v>-0.1885994907274223</v>
      </c>
      <c r="P28" s="21">
        <f>2*PI()/P27</f>
        <v>-0.15867370985663093</v>
      </c>
      <c r="Q28">
        <f>2*PI()/Q27</f>
        <v>-0.13694425661583751</v>
      </c>
      <c r="R28">
        <f>2*PI()/R27</f>
        <v>-0.12044940270287118</v>
      </c>
      <c r="S28">
        <f t="shared" ref="S28:W28" si="175">2*PI()/S27</f>
        <v>-0.10750097453067482</v>
      </c>
      <c r="T28">
        <f t="shared" si="175"/>
        <v>-9.706625727912381E-2</v>
      </c>
      <c r="U28">
        <f t="shared" si="175"/>
        <v>-8.8478026404587046E-2</v>
      </c>
      <c r="V28">
        <f t="shared" si="175"/>
        <v>-8.1286001424249035E-2</v>
      </c>
      <c r="W28">
        <f t="shared" si="175"/>
        <v>-7.5175301739947326E-2</v>
      </c>
    </row>
    <row r="29" spans="1:25" s="4" customFormat="1" ht="15.75" customHeight="1" x14ac:dyDescent="0.25">
      <c r="A29" s="3"/>
      <c r="B29" s="3">
        <f>+B27/2</f>
        <v>13.632999999999999</v>
      </c>
      <c r="C29" s="4">
        <f>2*PI()/$B29*$B$1</f>
        <v>168.33303740469756</v>
      </c>
      <c r="D29" s="4">
        <f>+C29-2*13*PI()</f>
        <v>86.651628411362935</v>
      </c>
      <c r="E29" s="4">
        <f t="shared" ref="E29" si="176">+D29-2*PI()</f>
        <v>80.368443104183342</v>
      </c>
      <c r="F29" s="4">
        <f t="shared" ref="F29" si="177">+E29-2*PI()</f>
        <v>74.085257797003749</v>
      </c>
      <c r="G29" s="4">
        <f t="shared" ref="G29" si="178">+F29-2*PI()</f>
        <v>67.802072489824155</v>
      </c>
      <c r="H29" s="4">
        <f t="shared" ref="H29" si="179">+G29-2*PI()</f>
        <v>61.518887182644569</v>
      </c>
      <c r="I29" s="4">
        <f>+H29-2*PI()</f>
        <v>55.235701875464983</v>
      </c>
      <c r="J29" s="4">
        <f t="shared" ref="J29" si="180">+I29-2*PI()</f>
        <v>48.952516568285397</v>
      </c>
      <c r="K29" s="4">
        <f t="shared" ref="K29" si="181">+J29-2*PI()</f>
        <v>42.66933126110581</v>
      </c>
      <c r="L29" s="4">
        <f t="shared" ref="L29" si="182">+K29-2*PI()</f>
        <v>36.386145953926224</v>
      </c>
      <c r="M29" s="4">
        <f t="shared" ref="M29" si="183">+L29-2*PI()</f>
        <v>30.102960646746638</v>
      </c>
      <c r="N29" s="4">
        <f t="shared" ref="N29" si="184">+M29-2*PI()</f>
        <v>23.819775339567052</v>
      </c>
      <c r="O29" s="4">
        <f t="shared" ref="O29" si="185">+N29-2*PI()</f>
        <v>17.536590032387465</v>
      </c>
      <c r="P29" s="4">
        <f t="shared" ref="P29" si="186">+O29-2*PI()</f>
        <v>11.253404725207879</v>
      </c>
      <c r="Q29" s="4">
        <f t="shared" ref="Q29" si="187">+P29-2*PI()</f>
        <v>4.970219418028293</v>
      </c>
      <c r="R29" s="4">
        <f t="shared" ref="R29" si="188">+Q29-2*PI()</f>
        <v>-1.3129658891512932</v>
      </c>
      <c r="S29" s="4">
        <f t="shared" ref="S29" si="189">+R29-2*PI()</f>
        <v>-7.5961511963308794</v>
      </c>
      <c r="T29" s="4">
        <f t="shared" ref="T29" si="190">+S29-2*PI()</f>
        <v>-13.879336503510466</v>
      </c>
      <c r="U29" s="4">
        <f t="shared" ref="U29" si="191">+T29-2*PI()</f>
        <v>-20.162521810690052</v>
      </c>
      <c r="V29" s="4">
        <f t="shared" ref="V29" si="192">+U29-2*PI()</f>
        <v>-26.445707117869638</v>
      </c>
      <c r="W29" s="4">
        <f t="shared" ref="W29" si="193">+V29-2*PI()</f>
        <v>-32.728892425049224</v>
      </c>
    </row>
    <row r="30" spans="1:25" x14ac:dyDescent="0.25">
      <c r="A30" s="1"/>
      <c r="B30" s="2"/>
      <c r="G30">
        <f t="shared" ref="G30:N30" si="194">2*PI()/G29</f>
        <v>9.2669516969744209E-2</v>
      </c>
      <c r="H30">
        <f t="shared" si="194"/>
        <v>0.10213424843861886</v>
      </c>
      <c r="I30">
        <f t="shared" si="194"/>
        <v>0.11375224888688343</v>
      </c>
      <c r="J30">
        <f t="shared" si="194"/>
        <v>0.12835265166429136</v>
      </c>
      <c r="K30">
        <f t="shared" si="194"/>
        <v>0.1472529594788112</v>
      </c>
      <c r="L30">
        <f t="shared" si="194"/>
        <v>0.17268070422010726</v>
      </c>
      <c r="M30">
        <f t="shared" si="194"/>
        <v>0.20872316782763486</v>
      </c>
      <c r="N30">
        <f t="shared" si="194"/>
        <v>0.26378020857075762</v>
      </c>
      <c r="O30">
        <f>2*PI()/O29</f>
        <v>0.35829002648607744</v>
      </c>
      <c r="P30" s="23">
        <f>2*PI()/P29</f>
        <v>0.5583363844637268</v>
      </c>
      <c r="Q30" s="6">
        <f>2*PI()/Q29</f>
        <v>1.2641665847565644</v>
      </c>
      <c r="R30">
        <f>2*PI()/R29</f>
        <v>-4.7854901327566584</v>
      </c>
      <c r="S30">
        <f t="shared" ref="S30:W30" si="195">2*PI()/S29</f>
        <v>-0.82715379733548655</v>
      </c>
      <c r="T30">
        <f t="shared" si="195"/>
        <v>-0.45270069686619357</v>
      </c>
      <c r="U30">
        <f t="shared" si="195"/>
        <v>-0.31162695649748923</v>
      </c>
      <c r="V30">
        <f t="shared" si="195"/>
        <v>-0.2375880999957824</v>
      </c>
      <c r="W30">
        <f t="shared" si="195"/>
        <v>-0.19197671664473187</v>
      </c>
    </row>
    <row r="31" spans="1:25" s="4" customFormat="1" x14ac:dyDescent="0.25">
      <c r="A31" s="3" t="s">
        <v>7</v>
      </c>
      <c r="B31" s="3">
        <v>29.530588853000001</v>
      </c>
      <c r="C31" s="4">
        <f>2*PI()/$B31*$B$1</f>
        <v>77.712107617017793</v>
      </c>
      <c r="D31" s="4">
        <f>+C31-2*PI()</f>
        <v>71.428922309838214</v>
      </c>
      <c r="E31" s="4">
        <f t="shared" ref="E31:W31" si="196">+D31-2*PI()</f>
        <v>65.14573700265862</v>
      </c>
      <c r="F31" s="4">
        <f t="shared" si="196"/>
        <v>58.862551695479034</v>
      </c>
      <c r="G31" s="4">
        <f t="shared" si="196"/>
        <v>52.579366388299448</v>
      </c>
      <c r="H31" s="4">
        <f t="shared" si="196"/>
        <v>46.296181081119862</v>
      </c>
      <c r="I31" s="4">
        <f>+H31-2*PI()</f>
        <v>40.012995773940276</v>
      </c>
      <c r="J31" s="4">
        <f t="shared" si="196"/>
        <v>33.729810466760689</v>
      </c>
      <c r="K31" s="4">
        <f t="shared" si="196"/>
        <v>27.446625159581103</v>
      </c>
      <c r="L31" s="4">
        <f t="shared" si="196"/>
        <v>21.163439852401517</v>
      </c>
      <c r="M31" s="4">
        <f t="shared" si="196"/>
        <v>14.880254545221931</v>
      </c>
      <c r="N31" s="4">
        <f t="shared" si="196"/>
        <v>8.5970692380423444</v>
      </c>
      <c r="O31" s="4">
        <f t="shared" si="196"/>
        <v>2.3138839308627581</v>
      </c>
      <c r="P31" s="4">
        <f t="shared" si="196"/>
        <v>-3.9693013763168281</v>
      </c>
      <c r="Q31" s="4">
        <f t="shared" si="196"/>
        <v>-10.252486683496414</v>
      </c>
      <c r="R31" s="4">
        <f t="shared" si="196"/>
        <v>-16.535671990676001</v>
      </c>
      <c r="S31" s="4">
        <f t="shared" si="196"/>
        <v>-22.818857297855587</v>
      </c>
      <c r="T31" s="4">
        <f t="shared" si="196"/>
        <v>-29.102042605035173</v>
      </c>
      <c r="U31" s="4">
        <f t="shared" si="196"/>
        <v>-35.385227912214759</v>
      </c>
      <c r="V31" s="4">
        <f t="shared" si="196"/>
        <v>-41.668413219394346</v>
      </c>
      <c r="W31" s="4">
        <f t="shared" si="196"/>
        <v>-47.951598526573932</v>
      </c>
    </row>
    <row r="32" spans="1:25" x14ac:dyDescent="0.25">
      <c r="A32" s="1"/>
      <c r="B32" s="2"/>
      <c r="H32">
        <f t="shared" ref="H32:W32" si="197">2*PI()/H31</f>
        <v>0.13571714038724339</v>
      </c>
      <c r="I32">
        <f t="shared" si="197"/>
        <v>0.15702861496993206</v>
      </c>
      <c r="J32">
        <f t="shared" si="197"/>
        <v>0.18627988773821902</v>
      </c>
      <c r="K32">
        <f t="shared" si="197"/>
        <v>0.22892378464192506</v>
      </c>
      <c r="L32">
        <f t="shared" si="197"/>
        <v>0.29688866039735989</v>
      </c>
      <c r="M32">
        <f t="shared" si="197"/>
        <v>0.42224985386403391</v>
      </c>
      <c r="N32">
        <f t="shared" si="197"/>
        <v>0.73085200702772779</v>
      </c>
      <c r="O32" s="24">
        <f t="shared" si="197"/>
        <v>2.7154280400040762</v>
      </c>
      <c r="P32">
        <f t="shared" si="197"/>
        <v>-1.5829448841221132</v>
      </c>
      <c r="Q32">
        <f t="shared" si="197"/>
        <v>-0.61284501030308347</v>
      </c>
      <c r="R32" s="7">
        <f t="shared" si="197"/>
        <v>-0.37997762115277184</v>
      </c>
      <c r="S32">
        <f t="shared" si="197"/>
        <v>-0.27535056752250481</v>
      </c>
      <c r="T32">
        <f t="shared" si="197"/>
        <v>-0.21590186614916448</v>
      </c>
      <c r="U32">
        <f t="shared" si="197"/>
        <v>-0.17756520666666867</v>
      </c>
      <c r="V32">
        <f t="shared" si="197"/>
        <v>-0.15079012666254135</v>
      </c>
      <c r="W32">
        <f t="shared" si="197"/>
        <v>-0.13103182167529942</v>
      </c>
    </row>
    <row r="33" spans="1:25" s="4" customFormat="1" x14ac:dyDescent="0.25">
      <c r="A33" s="3"/>
      <c r="B33" s="3">
        <f>+B31</f>
        <v>29.530588853000001</v>
      </c>
      <c r="C33" s="4">
        <f>2*PI()/$B33*$B$1/2</f>
        <v>38.856053808508896</v>
      </c>
      <c r="D33" s="4">
        <f>+C33-2*PI()</f>
        <v>32.57286850132931</v>
      </c>
      <c r="E33" s="4">
        <f t="shared" ref="E33" si="198">+D33-2*PI()</f>
        <v>26.289683194149724</v>
      </c>
      <c r="F33" s="4">
        <f t="shared" ref="F33" si="199">+E33-2*PI()</f>
        <v>20.006497886970138</v>
      </c>
      <c r="G33" s="4">
        <f t="shared" ref="G33" si="200">+F33-2*PI()</f>
        <v>13.723312579790552</v>
      </c>
      <c r="H33" s="4">
        <f t="shared" ref="H33" si="201">+G33-2*PI()</f>
        <v>7.4401272726109653</v>
      </c>
      <c r="I33" s="4">
        <f>+H33-2*PI()</f>
        <v>1.1569419654313791</v>
      </c>
      <c r="J33" s="4">
        <f t="shared" ref="J33" si="202">+I33-2*PI()</f>
        <v>-5.1262433417482072</v>
      </c>
      <c r="K33" s="4">
        <f t="shared" ref="K33" si="203">+J33-2*PI()</f>
        <v>-11.409428648927793</v>
      </c>
      <c r="L33" s="4">
        <f t="shared" ref="L33" si="204">+K33-2*PI()</f>
        <v>-17.69261395610738</v>
      </c>
      <c r="M33" s="4">
        <f t="shared" ref="M33" si="205">+L33-2*PI()</f>
        <v>-23.975799263286966</v>
      </c>
      <c r="N33" s="4">
        <f t="shared" ref="N33" si="206">+M33-2*PI()</f>
        <v>-30.258984570466552</v>
      </c>
      <c r="O33" s="4">
        <f t="shared" ref="O33" si="207">+N33-2*PI()</f>
        <v>-36.542169877646138</v>
      </c>
      <c r="P33" s="4">
        <f t="shared" ref="P33" si="208">+O33-2*PI()</f>
        <v>-42.825355184825725</v>
      </c>
      <c r="Q33" s="4">
        <f t="shared" ref="Q33" si="209">+P33-2*PI()</f>
        <v>-49.108540492005311</v>
      </c>
      <c r="R33" s="4">
        <f t="shared" ref="R33" si="210">+Q33-2*PI()</f>
        <v>-55.391725799184897</v>
      </c>
      <c r="S33" s="4">
        <f t="shared" ref="S33" si="211">+R33-2*PI()</f>
        <v>-61.674911106364483</v>
      </c>
      <c r="T33" s="4">
        <f t="shared" ref="T33" si="212">+S33-2*PI()</f>
        <v>-67.958096413544069</v>
      </c>
      <c r="U33" s="4">
        <f t="shared" ref="U33" si="213">+T33-2*PI()</f>
        <v>-74.241281720723663</v>
      </c>
      <c r="V33" s="4">
        <f t="shared" ref="V33" si="214">+U33-2*PI()</f>
        <v>-80.524467027903256</v>
      </c>
      <c r="W33" s="4">
        <f t="shared" ref="W33" si="215">+V33-2*PI()</f>
        <v>-86.80765233508285</v>
      </c>
    </row>
    <row r="34" spans="1:25" x14ac:dyDescent="0.25">
      <c r="A34" s="1"/>
      <c r="B34" s="2"/>
      <c r="E34" s="23">
        <f t="shared" ref="E34:N34" si="216">2*PI()/E33</f>
        <v>0.23899813705544354</v>
      </c>
      <c r="F34" s="23">
        <f t="shared" si="216"/>
        <v>0.31405722993986412</v>
      </c>
      <c r="G34" s="23">
        <f t="shared" si="216"/>
        <v>0.45784756928385012</v>
      </c>
      <c r="H34" s="23">
        <f t="shared" si="216"/>
        <v>0.84449970772806782</v>
      </c>
      <c r="I34" s="24">
        <f t="shared" si="216"/>
        <v>5.4308560800081525</v>
      </c>
      <c r="J34" s="23">
        <f t="shared" si="216"/>
        <v>-1.2256900206061669</v>
      </c>
      <c r="K34" s="23">
        <f t="shared" si="216"/>
        <v>-0.55070113504500962</v>
      </c>
      <c r="L34" s="23">
        <f t="shared" si="216"/>
        <v>-0.35513041333333734</v>
      </c>
      <c r="M34" s="23">
        <f t="shared" si="216"/>
        <v>-0.26206364335059884</v>
      </c>
      <c r="N34" s="23">
        <f t="shared" si="216"/>
        <v>-0.2076469318574595</v>
      </c>
      <c r="O34" s="23">
        <f>2*PI()/O33</f>
        <v>-0.17194341026319801</v>
      </c>
      <c r="P34" s="23">
        <f>2*PI()/P33</f>
        <v>-0.14671647859224066</v>
      </c>
      <c r="Q34">
        <f>2*PI()/Q33</f>
        <v>-0.12794485937130357</v>
      </c>
      <c r="R34">
        <f>2*PI()/R33</f>
        <v>-0.11343183871826656</v>
      </c>
      <c r="S34">
        <f t="shared" ref="S34:W34" si="217">2*PI()/S33</f>
        <v>-0.10187587131408446</v>
      </c>
      <c r="T34">
        <f t="shared" si="217"/>
        <v>-9.2456758484590881E-2</v>
      </c>
      <c r="U34">
        <f t="shared" si="217"/>
        <v>-8.463196164655791E-2</v>
      </c>
      <c r="V34">
        <f t="shared" si="217"/>
        <v>-7.8028275617177859E-2</v>
      </c>
      <c r="W34">
        <f t="shared" si="217"/>
        <v>-7.2380546393837564E-2</v>
      </c>
    </row>
    <row r="35" spans="1:25" s="4" customFormat="1" ht="15.75" customHeight="1" x14ac:dyDescent="0.25">
      <c r="A35" s="3"/>
      <c r="B35" s="3">
        <f>+B33/2</f>
        <v>14.765294426500001</v>
      </c>
      <c r="C35" s="4">
        <f>2*PI()/$B35*$B$1</f>
        <v>155.42421523403559</v>
      </c>
      <c r="D35" s="4">
        <f>+C35-2*13*PI()</f>
        <v>73.742806240700958</v>
      </c>
      <c r="E35" s="4">
        <f t="shared" ref="E35" si="218">+D35-2*PI()</f>
        <v>67.459620933521364</v>
      </c>
      <c r="F35" s="4">
        <f t="shared" ref="F35" si="219">+E35-2*PI()</f>
        <v>61.176435626341778</v>
      </c>
      <c r="G35" s="4">
        <f t="shared" ref="G35" si="220">+F35-2*PI()</f>
        <v>54.893250319162192</v>
      </c>
      <c r="H35" s="4">
        <f t="shared" ref="H35" si="221">+G35-2*PI()</f>
        <v>48.610065011982606</v>
      </c>
      <c r="I35" s="4">
        <f>+H35-2*PI()</f>
        <v>42.326879704803019</v>
      </c>
      <c r="J35" s="4">
        <f t="shared" ref="J35" si="222">+I35-2*PI()</f>
        <v>36.043694397623433</v>
      </c>
      <c r="K35" s="4">
        <f t="shared" ref="K35" si="223">+J35-2*PI()</f>
        <v>29.760509090443847</v>
      </c>
      <c r="L35" s="4">
        <f t="shared" ref="L35" si="224">+K35-2*PI()</f>
        <v>23.477323783264261</v>
      </c>
      <c r="M35" s="4">
        <f t="shared" ref="M35" si="225">+L35-2*PI()</f>
        <v>17.194138476084674</v>
      </c>
      <c r="N35" s="4">
        <f t="shared" ref="N35" si="226">+M35-2*PI()</f>
        <v>10.910953168905088</v>
      </c>
      <c r="O35" s="4">
        <f t="shared" ref="O35" si="227">+N35-2*PI()</f>
        <v>4.627767861725502</v>
      </c>
      <c r="P35" s="4">
        <f t="shared" ref="P35" si="228">+O35-2*PI()</f>
        <v>-1.6554174454540842</v>
      </c>
      <c r="Q35" s="4">
        <f t="shared" ref="Q35" si="229">+P35-2*PI()</f>
        <v>-7.9386027526336704</v>
      </c>
      <c r="R35" s="4">
        <f t="shared" ref="R35" si="230">+Q35-2*PI()</f>
        <v>-14.221788059813257</v>
      </c>
      <c r="S35" s="4">
        <f t="shared" ref="S35" si="231">+R35-2*PI()</f>
        <v>-20.504973366992843</v>
      </c>
      <c r="T35" s="4">
        <f t="shared" ref="T35" si="232">+S35-2*PI()</f>
        <v>-26.788158674172429</v>
      </c>
      <c r="U35" s="4">
        <f t="shared" ref="U35" si="233">+T35-2*PI()</f>
        <v>-33.071343981352015</v>
      </c>
      <c r="V35" s="4">
        <f t="shared" ref="V35" si="234">+U35-2*PI()</f>
        <v>-39.354529288531602</v>
      </c>
      <c r="W35" s="4">
        <f t="shared" ref="W35" si="235">+V35-2*PI()</f>
        <v>-45.637714595711188</v>
      </c>
    </row>
    <row r="36" spans="1:25" x14ac:dyDescent="0.25">
      <c r="A36" s="1"/>
      <c r="B36" s="2"/>
      <c r="G36">
        <f t="shared" ref="G36:N36" si="236">2*PI()/G35</f>
        <v>0.11446189232096256</v>
      </c>
      <c r="H36">
        <f t="shared" si="236"/>
        <v>0.12925687932387567</v>
      </c>
      <c r="I36">
        <f t="shared" si="236"/>
        <v>0.14844433019868</v>
      </c>
      <c r="J36">
        <f t="shared" si="236"/>
        <v>0.17432134558309517</v>
      </c>
      <c r="K36">
        <f t="shared" si="236"/>
        <v>0.21112492693201704</v>
      </c>
      <c r="L36">
        <f t="shared" si="236"/>
        <v>0.26762783378480881</v>
      </c>
      <c r="M36">
        <f t="shared" si="236"/>
        <v>0.36542600351386423</v>
      </c>
      <c r="N36">
        <f t="shared" si="236"/>
        <v>0.57586034967924826</v>
      </c>
      <c r="O36" s="24">
        <f>2*PI()/O35</f>
        <v>1.3577140200020421</v>
      </c>
      <c r="P36" s="23">
        <f>2*PI()/P35</f>
        <v>-3.7955292330848285</v>
      </c>
      <c r="Q36" s="26">
        <f>2*PI()/Q35</f>
        <v>-0.79147244206105527</v>
      </c>
      <c r="R36">
        <f>2*PI()/R35</f>
        <v>-0.4417999537578603</v>
      </c>
      <c r="S36">
        <f t="shared" ref="S36:W36" si="237">2*PI()/S35</f>
        <v>-0.30642250515154151</v>
      </c>
      <c r="T36">
        <f t="shared" si="237"/>
        <v>-0.23455084702172774</v>
      </c>
      <c r="U36">
        <f t="shared" si="237"/>
        <v>-0.18998881057638584</v>
      </c>
      <c r="V36">
        <f t="shared" si="237"/>
        <v>-0.1596559638946205</v>
      </c>
      <c r="W36">
        <f t="shared" si="237"/>
        <v>-0.13767528376125235</v>
      </c>
    </row>
    <row r="37" spans="1:25" s="16" customFormat="1" x14ac:dyDescent="0.25">
      <c r="A37" s="14" t="s">
        <v>13</v>
      </c>
      <c r="B37" s="15">
        <v>9.1329999999999991</v>
      </c>
      <c r="C37" s="15">
        <f t="shared" ref="C37:C55" si="238">2*PI()/$B37*$B$1</f>
        <v>251.27387484268499</v>
      </c>
      <c r="D37" s="15">
        <f>+C37-26*2*PI()</f>
        <v>87.911056856015733</v>
      </c>
      <c r="E37" s="15">
        <f t="shared" ref="E37:T37" si="239">+D37-2*PI()</f>
        <v>81.62787154883614</v>
      </c>
      <c r="F37" s="15">
        <f t="shared" si="239"/>
        <v>75.344686241656547</v>
      </c>
      <c r="G37" s="15">
        <f t="shared" si="239"/>
        <v>69.061500934476953</v>
      </c>
      <c r="H37" s="15">
        <f t="shared" si="239"/>
        <v>62.778315627297367</v>
      </c>
      <c r="I37" s="15">
        <f>+H37-2*PI()</f>
        <v>56.495130320117781</v>
      </c>
      <c r="J37" s="15">
        <f t="shared" si="239"/>
        <v>50.211945012938195</v>
      </c>
      <c r="K37" s="15">
        <f t="shared" si="239"/>
        <v>43.928759705758608</v>
      </c>
      <c r="L37" s="15">
        <f t="shared" si="239"/>
        <v>37.645574398579022</v>
      </c>
      <c r="M37" s="15">
        <f t="shared" si="239"/>
        <v>31.362389091399436</v>
      </c>
      <c r="N37" s="15">
        <f t="shared" si="239"/>
        <v>25.07920378421985</v>
      </c>
      <c r="O37" s="15">
        <f t="shared" si="239"/>
        <v>18.796018477040263</v>
      </c>
      <c r="P37" s="15">
        <f t="shared" si="239"/>
        <v>12.512833169860677</v>
      </c>
      <c r="Q37" s="15">
        <f t="shared" si="239"/>
        <v>6.2296478626810909</v>
      </c>
      <c r="R37" s="15">
        <f t="shared" si="239"/>
        <v>-5.353744449849529E-2</v>
      </c>
      <c r="S37" s="15">
        <f t="shared" si="239"/>
        <v>-6.3367227516780815</v>
      </c>
      <c r="T37" s="15">
        <f t="shared" si="239"/>
        <v>-12.619908058857668</v>
      </c>
      <c r="U37" s="15">
        <f t="shared" ref="U37:W37" si="240">+T37-2*PI()</f>
        <v>-18.903093366037254</v>
      </c>
      <c r="V37" s="15">
        <f t="shared" si="240"/>
        <v>-25.18627867321684</v>
      </c>
      <c r="W37" s="15">
        <f t="shared" si="240"/>
        <v>-31.469463980396426</v>
      </c>
      <c r="Y37" s="16">
        <v>2.31</v>
      </c>
    </row>
    <row r="38" spans="1:25" x14ac:dyDescent="0.25">
      <c r="A38" s="1"/>
      <c r="B38" s="2"/>
      <c r="I38">
        <f t="shared" ref="I38:W38" si="241">2*PI()/I37</f>
        <v>0.11121640522957001</v>
      </c>
      <c r="J38">
        <f t="shared" si="241"/>
        <v>0.12513327865631549</v>
      </c>
      <c r="K38">
        <f t="shared" si="241"/>
        <v>0.14303124762149672</v>
      </c>
      <c r="L38">
        <f t="shared" si="241"/>
        <v>0.1669036907407834</v>
      </c>
      <c r="M38">
        <f t="shared" si="241"/>
        <v>0.20034141177409967</v>
      </c>
      <c r="N38">
        <f t="shared" si="241"/>
        <v>0.25053368365438483</v>
      </c>
      <c r="O38">
        <f t="shared" si="241"/>
        <v>0.33428277987993205</v>
      </c>
      <c r="P38">
        <f t="shared" si="241"/>
        <v>0.5021393014584199</v>
      </c>
      <c r="Q38" s="12">
        <f t="shared" si="241"/>
        <v>1.0085939760446514</v>
      </c>
      <c r="R38">
        <f t="shared" si="241"/>
        <v>-117.36057568747384</v>
      </c>
      <c r="S38">
        <f t="shared" si="241"/>
        <v>-0.99155124082329194</v>
      </c>
      <c r="T38">
        <f t="shared" si="241"/>
        <v>-0.49787884966162971</v>
      </c>
      <c r="U38">
        <f t="shared" si="241"/>
        <v>-0.33238926484214687</v>
      </c>
      <c r="V38">
        <f t="shared" si="241"/>
        <v>-0.24946858520473464</v>
      </c>
      <c r="W38">
        <f t="shared" si="241"/>
        <v>-0.19965974987987184</v>
      </c>
    </row>
    <row r="39" spans="1:25" s="4" customFormat="1" x14ac:dyDescent="0.25">
      <c r="A39" s="3"/>
      <c r="B39" s="3">
        <f>+B37</f>
        <v>9.1329999999999991</v>
      </c>
      <c r="C39" s="4">
        <f>2*PI()/$B39*$B$1/2</f>
        <v>125.63693742134249</v>
      </c>
      <c r="D39" s="4">
        <f>+C39-2*PI()-12*PI()</f>
        <v>81.654640271085398</v>
      </c>
      <c r="E39" s="4">
        <f t="shared" ref="E39" si="242">+D39-2*PI()</f>
        <v>75.371454963905819</v>
      </c>
      <c r="F39" s="4">
        <f t="shared" ref="F39" si="243">+E39-2*PI()</f>
        <v>69.088269656726226</v>
      </c>
      <c r="G39" s="4">
        <f t="shared" ref="G39" si="244">+F39-2*PI()</f>
        <v>62.80508434954664</v>
      </c>
      <c r="H39" s="4">
        <f t="shared" ref="H39" si="245">+G39-2*PI()</f>
        <v>56.521899042367053</v>
      </c>
      <c r="I39" s="4">
        <f>+H39-2*PI()</f>
        <v>50.238713735187467</v>
      </c>
      <c r="J39" s="4">
        <f t="shared" ref="J39" si="246">+I39-2*PI()</f>
        <v>43.955528428007881</v>
      </c>
      <c r="K39" s="4">
        <f t="shared" ref="K39" si="247">+J39-2*PI()</f>
        <v>37.672343120828295</v>
      </c>
      <c r="L39" s="4">
        <f t="shared" ref="L39" si="248">+K39-2*PI()</f>
        <v>31.389157813648708</v>
      </c>
      <c r="M39" s="4">
        <f t="shared" ref="M39" si="249">+L39-2*PI()</f>
        <v>25.105972506469122</v>
      </c>
      <c r="N39" s="4">
        <f t="shared" ref="N39" si="250">+M39-2*PI()</f>
        <v>18.822787199289536</v>
      </c>
      <c r="O39" s="4">
        <f t="shared" ref="O39" si="251">+N39-2*PI()</f>
        <v>12.53960189210995</v>
      </c>
      <c r="P39" s="4">
        <f t="shared" ref="P39" si="252">+O39-2*PI()</f>
        <v>6.2564165849303635</v>
      </c>
      <c r="Q39" s="4">
        <f t="shared" ref="Q39" si="253">+P39-2*PI()</f>
        <v>-2.6768722249222776E-2</v>
      </c>
      <c r="R39" s="4">
        <f t="shared" ref="R39" si="254">+Q39-2*PI()</f>
        <v>-6.309954029428809</v>
      </c>
      <c r="S39" s="4">
        <f t="shared" ref="S39" si="255">+R39-2*PI()</f>
        <v>-12.593139336608395</v>
      </c>
      <c r="T39" s="4">
        <f t="shared" ref="T39" si="256">+S39-2*PI()</f>
        <v>-18.876324643787981</v>
      </c>
      <c r="U39" s="4">
        <f t="shared" ref="U39" si="257">+T39-2*PI()</f>
        <v>-25.159509950967568</v>
      </c>
      <c r="V39" s="4">
        <f t="shared" ref="V39" si="258">+U39-2*PI()</f>
        <v>-31.442695258147154</v>
      </c>
      <c r="W39" s="4">
        <f t="shared" ref="W39" si="259">+V39-2*PI()</f>
        <v>-37.72588056532674</v>
      </c>
    </row>
    <row r="40" spans="1:25" x14ac:dyDescent="0.25">
      <c r="A40" s="1"/>
      <c r="B40" s="2"/>
      <c r="E40" s="23">
        <f t="shared" ref="E40:N40" si="260">2*PI()/E39</f>
        <v>8.3362929774786793E-2</v>
      </c>
      <c r="F40" s="23">
        <f t="shared" si="260"/>
        <v>9.0944314257664638E-2</v>
      </c>
      <c r="G40" s="23">
        <f t="shared" si="260"/>
        <v>0.10004262190318898</v>
      </c>
      <c r="H40" s="23">
        <f t="shared" si="260"/>
        <v>0.11116373323673903</v>
      </c>
      <c r="I40" s="23">
        <f t="shared" si="260"/>
        <v>0.12506660382068677</v>
      </c>
      <c r="J40" s="23">
        <f t="shared" si="260"/>
        <v>0.14294414222480428</v>
      </c>
      <c r="K40" s="23">
        <f t="shared" si="260"/>
        <v>0.16678509449298728</v>
      </c>
      <c r="L40" s="23">
        <f t="shared" si="260"/>
        <v>0.20017056030880562</v>
      </c>
      <c r="M40" s="23">
        <f t="shared" si="260"/>
        <v>0.25026655731263076</v>
      </c>
      <c r="N40" s="23">
        <f t="shared" si="260"/>
        <v>0.33380738148156636</v>
      </c>
      <c r="O40" s="23">
        <f>2*PI()/O39</f>
        <v>0.50106736730876866</v>
      </c>
      <c r="P40" s="28">
        <f>2*PI()/P39</f>
        <v>1.0042786029168358</v>
      </c>
      <c r="Q40">
        <f>2*PI()/Q39</f>
        <v>-234.72115137516573</v>
      </c>
      <c r="R40">
        <f>2*PI()/R39</f>
        <v>-0.99575769932326341</v>
      </c>
      <c r="S40">
        <f t="shared" ref="S40:W40" si="261">2*PI()/S39</f>
        <v>-0.49893717040947028</v>
      </c>
      <c r="T40">
        <f t="shared" si="261"/>
        <v>-0.3328606296908187</v>
      </c>
      <c r="U40">
        <f t="shared" si="261"/>
        <v>-0.24973400990021874</v>
      </c>
      <c r="V40">
        <f t="shared" si="261"/>
        <v>-0.19982973010405469</v>
      </c>
      <c r="W40">
        <f t="shared" si="261"/>
        <v>-0.16654840690330666</v>
      </c>
    </row>
    <row r="41" spans="1:25" s="4" customFormat="1" ht="15.75" customHeight="1" x14ac:dyDescent="0.25">
      <c r="A41" s="3"/>
      <c r="B41" s="3">
        <f>+B39/2</f>
        <v>4.5664999999999996</v>
      </c>
      <c r="C41" s="4">
        <f>2*PI()/$B41*$B$1</f>
        <v>502.54774968536998</v>
      </c>
      <c r="D41" s="4">
        <f>+C41-2*70*PI()</f>
        <v>62.724778182798957</v>
      </c>
      <c r="E41" s="4">
        <f t="shared" ref="E41" si="262">+D41-2*PI()</f>
        <v>56.441592875619371</v>
      </c>
      <c r="F41" s="4">
        <f t="shared" ref="F41" si="263">+E41-2*PI()</f>
        <v>50.158407568439785</v>
      </c>
      <c r="G41" s="4">
        <f t="shared" ref="G41" si="264">+F41-2*PI()</f>
        <v>43.875222261260198</v>
      </c>
      <c r="H41" s="4">
        <f t="shared" ref="H41" si="265">+G41-2*PI()</f>
        <v>37.592036954080612</v>
      </c>
      <c r="I41" s="4">
        <f>+H41-2*PI()</f>
        <v>31.308851646901026</v>
      </c>
      <c r="J41" s="4">
        <f t="shared" ref="J41" si="266">+I41-2*PI()</f>
        <v>25.02566633972144</v>
      </c>
      <c r="K41" s="4">
        <f t="shared" ref="K41" si="267">+J41-2*PI()</f>
        <v>18.742481032541853</v>
      </c>
      <c r="L41" s="4">
        <f t="shared" ref="L41" si="268">+K41-2*PI()</f>
        <v>12.459295725362267</v>
      </c>
      <c r="M41" s="4">
        <f t="shared" ref="M41" si="269">+L41-2*PI()</f>
        <v>6.1761104181826809</v>
      </c>
      <c r="N41" s="4">
        <f t="shared" ref="N41" si="270">+M41-2*PI()</f>
        <v>-0.10707488899690532</v>
      </c>
      <c r="O41" s="4">
        <f t="shared" ref="O41" si="271">+N41-2*PI()</f>
        <v>-6.3902601961764915</v>
      </c>
      <c r="P41" s="4">
        <f t="shared" ref="P41" si="272">+O41-2*PI()</f>
        <v>-12.673445503356078</v>
      </c>
      <c r="Q41" s="4">
        <f t="shared" ref="Q41" si="273">+P41-2*PI()</f>
        <v>-18.956630810535664</v>
      </c>
      <c r="R41" s="4">
        <f t="shared" ref="R41" si="274">+Q41-2*PI()</f>
        <v>-25.23981611771525</v>
      </c>
      <c r="S41" s="4">
        <f t="shared" ref="S41" si="275">+R41-2*PI()</f>
        <v>-31.523001424894836</v>
      </c>
      <c r="T41" s="4">
        <f t="shared" ref="T41" si="276">+S41-2*PI()</f>
        <v>-37.806186732074423</v>
      </c>
      <c r="U41" s="4">
        <f t="shared" ref="U41" si="277">+T41-2*PI()</f>
        <v>-44.089372039254009</v>
      </c>
      <c r="V41" s="4">
        <f t="shared" ref="V41" si="278">+U41-2*PI()</f>
        <v>-50.372557346433595</v>
      </c>
      <c r="W41" s="4">
        <f t="shared" ref="W41" si="279">+V41-2*PI()</f>
        <v>-56.655742653613181</v>
      </c>
    </row>
    <row r="42" spans="1:25" x14ac:dyDescent="0.25">
      <c r="A42" s="1"/>
      <c r="B42" s="2"/>
      <c r="G42">
        <f t="shared" ref="G42:N42" si="280">2*PI()/G41</f>
        <v>0.1432057772782464</v>
      </c>
      <c r="H42">
        <f t="shared" si="280"/>
        <v>0.16714138993996566</v>
      </c>
      <c r="I42">
        <f t="shared" si="280"/>
        <v>0.20068399116137819</v>
      </c>
      <c r="J42">
        <f t="shared" si="280"/>
        <v>0.25106965072920906</v>
      </c>
      <c r="K42">
        <f t="shared" si="280"/>
        <v>0.33523765056879778</v>
      </c>
      <c r="L42">
        <f t="shared" si="280"/>
        <v>0.50429698802232226</v>
      </c>
      <c r="M42" s="12">
        <f t="shared" si="280"/>
        <v>1.0173369453825944</v>
      </c>
      <c r="N42">
        <f t="shared" si="280"/>
        <v>-58.680287843783645</v>
      </c>
      <c r="O42">
        <f>2*PI()/O41</f>
        <v>-0.98324404864437731</v>
      </c>
      <c r="P42" s="23">
        <f>2*PI()/P41</f>
        <v>-0.4957756204116493</v>
      </c>
      <c r="Q42" s="26">
        <f>2*PI()/Q41</f>
        <v>-0.33145052884015314</v>
      </c>
      <c r="R42">
        <f>2*PI()/R41</f>
        <v>-0.24893942483081571</v>
      </c>
      <c r="S42">
        <f t="shared" ref="S42:W42" si="281">2*PI()/S41</f>
        <v>-0.19932065549499139</v>
      </c>
      <c r="T42">
        <f t="shared" si="281"/>
        <v>-0.1661946324210738</v>
      </c>
      <c r="U42">
        <f t="shared" si="281"/>
        <v>-0.14251020181429414</v>
      </c>
      <c r="V42">
        <f t="shared" si="281"/>
        <v>-0.12473429260236753</v>
      </c>
      <c r="W42">
        <f t="shared" si="281"/>
        <v>-0.11090111986695281</v>
      </c>
    </row>
    <row r="43" spans="1:25" s="16" customFormat="1" x14ac:dyDescent="0.25">
      <c r="A43" s="14" t="s">
        <v>14</v>
      </c>
      <c r="B43" s="15">
        <v>9.1210000000000004</v>
      </c>
      <c r="C43" s="15">
        <f t="shared" si="238"/>
        <v>251.60446211361054</v>
      </c>
      <c r="D43" s="15">
        <f>+C43-26*2*PI()</f>
        <v>88.241644126941281</v>
      </c>
      <c r="E43" s="15">
        <f t="shared" ref="E43:W43" si="282">+D43-2*PI()</f>
        <v>81.958458819761688</v>
      </c>
      <c r="F43" s="15">
        <f t="shared" si="282"/>
        <v>75.675273512582095</v>
      </c>
      <c r="G43" s="15">
        <f t="shared" si="282"/>
        <v>69.392088205402501</v>
      </c>
      <c r="H43" s="15">
        <f t="shared" si="282"/>
        <v>63.108902898222915</v>
      </c>
      <c r="I43" s="15">
        <f>+H43-2*PI()</f>
        <v>56.825717591043329</v>
      </c>
      <c r="J43" s="15">
        <f t="shared" si="282"/>
        <v>50.542532283863743</v>
      </c>
      <c r="K43" s="15">
        <f t="shared" si="282"/>
        <v>44.259346976684157</v>
      </c>
      <c r="L43" s="15">
        <f t="shared" si="282"/>
        <v>37.97616166950457</v>
      </c>
      <c r="M43" s="15">
        <f t="shared" si="282"/>
        <v>31.692976362324984</v>
      </c>
      <c r="N43" s="15">
        <f t="shared" si="282"/>
        <v>25.409791055145398</v>
      </c>
      <c r="O43" s="15">
        <f t="shared" si="282"/>
        <v>19.126605747965812</v>
      </c>
      <c r="P43" s="15">
        <f t="shared" si="282"/>
        <v>12.843420440786225</v>
      </c>
      <c r="Q43" s="15">
        <f t="shared" si="282"/>
        <v>6.5602351336066391</v>
      </c>
      <c r="R43" s="15">
        <f t="shared" si="282"/>
        <v>0.27704982642705289</v>
      </c>
      <c r="S43" s="15">
        <f t="shared" si="282"/>
        <v>-6.0061354807525333</v>
      </c>
      <c r="T43" s="15">
        <f t="shared" si="282"/>
        <v>-12.28932078793212</v>
      </c>
      <c r="U43" s="15">
        <f t="shared" si="282"/>
        <v>-18.572506095111706</v>
      </c>
      <c r="V43" s="15">
        <f t="shared" si="282"/>
        <v>-24.855691402291292</v>
      </c>
      <c r="W43" s="15">
        <f t="shared" si="282"/>
        <v>-31.138876709470878</v>
      </c>
    </row>
    <row r="44" spans="1:25" x14ac:dyDescent="0.25">
      <c r="A44" s="1"/>
      <c r="B44" s="2"/>
      <c r="I44">
        <f t="shared" ref="I44:W44" si="283">2*PI()/I43</f>
        <v>0.11056939663125204</v>
      </c>
      <c r="J44">
        <f t="shared" si="283"/>
        <v>0.12431481018582763</v>
      </c>
      <c r="K44">
        <f t="shared" si="283"/>
        <v>0.14196290131640601</v>
      </c>
      <c r="L44">
        <f t="shared" si="283"/>
        <v>0.16545077308918976</v>
      </c>
      <c r="M44">
        <f t="shared" si="283"/>
        <v>0.19825166419676257</v>
      </c>
      <c r="N44">
        <f t="shared" si="283"/>
        <v>0.24727418236315099</v>
      </c>
      <c r="O44">
        <f t="shared" si="283"/>
        <v>0.3285049835801539</v>
      </c>
      <c r="P44">
        <f t="shared" si="283"/>
        <v>0.48921432854649688</v>
      </c>
      <c r="Q44">
        <f t="shared" si="283"/>
        <v>0.95776830848519623</v>
      </c>
      <c r="R44" s="12">
        <f t="shared" si="283"/>
        <v>22.678899995030122</v>
      </c>
      <c r="S44">
        <f t="shared" si="283"/>
        <v>-1.0461278016979298</v>
      </c>
      <c r="T44">
        <f t="shared" si="283"/>
        <v>-0.51127197471723218</v>
      </c>
      <c r="U44">
        <f t="shared" si="283"/>
        <v>-0.33830573402440955</v>
      </c>
      <c r="V44">
        <f t="shared" si="283"/>
        <v>-0.25278658338188004</v>
      </c>
      <c r="W44">
        <f t="shared" si="283"/>
        <v>-0.20177944650355861</v>
      </c>
    </row>
    <row r="45" spans="1:25" s="4" customFormat="1" x14ac:dyDescent="0.25">
      <c r="A45" s="3"/>
      <c r="B45" s="3">
        <f>+B43</f>
        <v>9.1210000000000004</v>
      </c>
      <c r="C45" s="4">
        <f>2*PI()/$B45*$B$1/2</f>
        <v>125.80223105680527</v>
      </c>
      <c r="D45" s="4">
        <f>+C45-2*PI()-12*PI()</f>
        <v>81.819933906548172</v>
      </c>
      <c r="E45" s="4">
        <f t="shared" ref="E45" si="284">+D45-2*PI()</f>
        <v>75.536748599368593</v>
      </c>
      <c r="F45" s="4">
        <f t="shared" ref="F45" si="285">+E45-2*PI()</f>
        <v>69.253563292189</v>
      </c>
      <c r="G45" s="4">
        <f t="shared" ref="G45" si="286">+F45-2*PI()</f>
        <v>62.970377985009414</v>
      </c>
      <c r="H45" s="4">
        <f t="shared" ref="H45" si="287">+G45-2*PI()</f>
        <v>56.687192677829827</v>
      </c>
      <c r="I45" s="4">
        <f>+H45-2*PI()</f>
        <v>50.404007370650241</v>
      </c>
      <c r="J45" s="4">
        <f t="shared" ref="J45" si="288">+I45-2*PI()</f>
        <v>44.120822063470655</v>
      </c>
      <c r="K45" s="4">
        <f t="shared" ref="K45" si="289">+J45-2*PI()</f>
        <v>37.837636756291069</v>
      </c>
      <c r="L45" s="4">
        <f t="shared" ref="L45" si="290">+K45-2*PI()</f>
        <v>31.554451449111482</v>
      </c>
      <c r="M45" s="4">
        <f t="shared" ref="M45" si="291">+L45-2*PI()</f>
        <v>25.271266141931896</v>
      </c>
      <c r="N45" s="4">
        <f t="shared" ref="N45" si="292">+M45-2*PI()</f>
        <v>18.98808083475231</v>
      </c>
      <c r="O45" s="4">
        <f t="shared" ref="O45" si="293">+N45-2*PI()</f>
        <v>12.704895527572724</v>
      </c>
      <c r="P45" s="4">
        <f t="shared" ref="P45" si="294">+O45-2*PI()</f>
        <v>6.4217102203931375</v>
      </c>
      <c r="Q45" s="4">
        <f t="shared" ref="Q45" si="295">+P45-2*PI()</f>
        <v>0.13852491321355132</v>
      </c>
      <c r="R45" s="4">
        <f t="shared" ref="R45" si="296">+Q45-2*PI()</f>
        <v>-6.1446603939660349</v>
      </c>
      <c r="S45" s="4">
        <f t="shared" ref="S45" si="297">+R45-2*PI()</f>
        <v>-12.427845701145621</v>
      </c>
      <c r="T45" s="4">
        <f t="shared" ref="T45" si="298">+S45-2*PI()</f>
        <v>-18.711031008325207</v>
      </c>
      <c r="U45" s="4">
        <f t="shared" ref="U45" si="299">+T45-2*PI()</f>
        <v>-24.994216315504794</v>
      </c>
      <c r="V45" s="4">
        <f t="shared" ref="V45" si="300">+U45-2*PI()</f>
        <v>-31.27740162268438</v>
      </c>
      <c r="W45" s="4">
        <f t="shared" ref="W45" si="301">+V45-2*PI()</f>
        <v>-37.560586929863966</v>
      </c>
    </row>
    <row r="46" spans="1:25" x14ac:dyDescent="0.25">
      <c r="A46" s="1"/>
      <c r="B46" s="2"/>
      <c r="E46" s="23">
        <f t="shared" ref="E46:N46" si="302">2*PI()/E45</f>
        <v>8.3180510462587037E-2</v>
      </c>
      <c r="F46" s="23">
        <f t="shared" si="302"/>
        <v>9.0727249378780433E-2</v>
      </c>
      <c r="G46" s="23">
        <f t="shared" si="302"/>
        <v>9.9780015750824097E-2</v>
      </c>
      <c r="H46" s="23">
        <f t="shared" si="302"/>
        <v>0.11083959198489149</v>
      </c>
      <c r="I46" s="23">
        <f t="shared" si="302"/>
        <v>0.124656463542187</v>
      </c>
      <c r="J46" s="23">
        <f t="shared" si="302"/>
        <v>0.14240861827417489</v>
      </c>
      <c r="K46" s="23">
        <f t="shared" si="302"/>
        <v>0.16605649416344465</v>
      </c>
      <c r="L46" s="23">
        <f t="shared" si="302"/>
        <v>0.19912199447715354</v>
      </c>
      <c r="M46" s="23">
        <f t="shared" si="302"/>
        <v>0.24862962037165501</v>
      </c>
      <c r="N46" s="23">
        <f t="shared" si="302"/>
        <v>0.33090154617837908</v>
      </c>
      <c r="O46" s="23">
        <f>2*PI()/O45</f>
        <v>0.49454836472630104</v>
      </c>
      <c r="P46" s="27">
        <f>2*PI()/P45</f>
        <v>0.97842865709298998</v>
      </c>
      <c r="Q46" s="12">
        <f>2*PI()/Q45</f>
        <v>45.357799990052101</v>
      </c>
      <c r="R46">
        <f>2*PI()/R45</f>
        <v>-1.0225439494344684</v>
      </c>
      <c r="S46">
        <f t="shared" ref="S46:W46" si="303">2*PI()/S45</f>
        <v>-0.50557316676376107</v>
      </c>
      <c r="T46">
        <f t="shared" si="303"/>
        <v>-0.33580112738758072</v>
      </c>
      <c r="U46">
        <f t="shared" si="303"/>
        <v>-0.25138556968005055</v>
      </c>
      <c r="V46">
        <f t="shared" si="303"/>
        <v>-0.2008857827442615</v>
      </c>
      <c r="W46">
        <f t="shared" si="303"/>
        <v>-0.16728133984998786</v>
      </c>
    </row>
    <row r="47" spans="1:25" s="4" customFormat="1" ht="15.75" customHeight="1" x14ac:dyDescent="0.25">
      <c r="A47" s="3"/>
      <c r="B47" s="3">
        <f>+B45/2</f>
        <v>4.5605000000000002</v>
      </c>
      <c r="C47" s="4">
        <f>2*PI()/$B47*$B$1</f>
        <v>503.20892422722108</v>
      </c>
      <c r="D47" s="4">
        <f>+C47-2*70*PI()</f>
        <v>63.385952724650053</v>
      </c>
      <c r="E47" s="4">
        <f t="shared" ref="E47" si="304">+D47-2*PI()</f>
        <v>57.102767417470467</v>
      </c>
      <c r="F47" s="4">
        <f t="shared" ref="F47" si="305">+E47-2*PI()</f>
        <v>50.819582110290881</v>
      </c>
      <c r="G47" s="4">
        <f t="shared" ref="G47" si="306">+F47-2*PI()</f>
        <v>44.536396803111295</v>
      </c>
      <c r="H47" s="4">
        <f t="shared" ref="H47" si="307">+G47-2*PI()</f>
        <v>38.253211495931708</v>
      </c>
      <c r="I47" s="4">
        <f>+H47-2*PI()</f>
        <v>31.970026188752122</v>
      </c>
      <c r="J47" s="4">
        <f t="shared" ref="J47" si="308">+I47-2*PI()</f>
        <v>25.686840881572536</v>
      </c>
      <c r="K47" s="4">
        <f t="shared" ref="K47" si="309">+J47-2*PI()</f>
        <v>19.40365557439295</v>
      </c>
      <c r="L47" s="4">
        <f t="shared" ref="L47" si="310">+K47-2*PI()</f>
        <v>13.120470267213364</v>
      </c>
      <c r="M47" s="4">
        <f t="shared" ref="M47" si="311">+L47-2*PI()</f>
        <v>6.8372849600337773</v>
      </c>
      <c r="N47" s="4">
        <f t="shared" ref="N47" si="312">+M47-2*PI()</f>
        <v>0.55409965285419105</v>
      </c>
      <c r="O47" s="4">
        <f t="shared" ref="O47" si="313">+N47-2*PI()</f>
        <v>-5.7290856543253952</v>
      </c>
      <c r="P47" s="4">
        <f t="shared" ref="P47" si="314">+O47-2*PI()</f>
        <v>-12.012270961504981</v>
      </c>
      <c r="Q47" s="4">
        <f t="shared" ref="Q47" si="315">+P47-2*PI()</f>
        <v>-18.295456268684568</v>
      </c>
      <c r="R47" s="4">
        <f t="shared" ref="R47" si="316">+Q47-2*PI()</f>
        <v>-24.578641575864154</v>
      </c>
      <c r="S47" s="4">
        <f t="shared" ref="S47" si="317">+R47-2*PI()</f>
        <v>-30.86182688304374</v>
      </c>
      <c r="T47" s="4">
        <f t="shared" ref="T47" si="318">+S47-2*PI()</f>
        <v>-37.145012190223326</v>
      </c>
      <c r="U47" s="4">
        <f t="shared" ref="U47" si="319">+T47-2*PI()</f>
        <v>-43.428197497402913</v>
      </c>
      <c r="V47" s="4">
        <f t="shared" ref="V47" si="320">+U47-2*PI()</f>
        <v>-49.711382804582499</v>
      </c>
      <c r="W47" s="4">
        <f t="shared" ref="W47" si="321">+V47-2*PI()</f>
        <v>-55.994568111762085</v>
      </c>
    </row>
    <row r="48" spans="1:25" x14ac:dyDescent="0.25">
      <c r="A48" s="1"/>
      <c r="B48" s="2"/>
      <c r="G48">
        <f t="shared" ref="G48:N48" si="322">2*PI()/G47</f>
        <v>0.14107978548324424</v>
      </c>
      <c r="H48">
        <f t="shared" si="322"/>
        <v>0.16425249179007659</v>
      </c>
      <c r="I48">
        <f t="shared" si="322"/>
        <v>0.19653363028492521</v>
      </c>
      <c r="J48">
        <f t="shared" si="322"/>
        <v>0.24460716427324763</v>
      </c>
      <c r="K48">
        <f t="shared" si="322"/>
        <v>0.32381451438828468</v>
      </c>
      <c r="L48">
        <f t="shared" si="322"/>
        <v>0.47888415424259501</v>
      </c>
      <c r="M48">
        <f t="shared" si="322"/>
        <v>0.91895911080303228</v>
      </c>
      <c r="N48" s="12">
        <f t="shared" si="322"/>
        <v>11.339449997513317</v>
      </c>
      <c r="O48">
        <f>2*PI()/O47</f>
        <v>-1.0967169433809829</v>
      </c>
      <c r="P48" s="23">
        <f>2*PI()/P47</f>
        <v>-0.52306390084896859</v>
      </c>
      <c r="Q48" s="26">
        <f>2*PI()/Q47</f>
        <v>-0.34342872978435662</v>
      </c>
      <c r="R48">
        <f>2*PI()/R47</f>
        <v>-0.25563598735861698</v>
      </c>
      <c r="S48">
        <f t="shared" ref="S48:W48" si="323">2*PI()/S47</f>
        <v>-0.20359084155940638</v>
      </c>
      <c r="T48">
        <f t="shared" si="323"/>
        <v>-0.16915286701220517</v>
      </c>
      <c r="U48">
        <f t="shared" si="323"/>
        <v>-0.1446798547776553</v>
      </c>
      <c r="V48">
        <f t="shared" si="323"/>
        <v>-0.12639329169094024</v>
      </c>
      <c r="W48">
        <f t="shared" si="323"/>
        <v>-0.11221062183458033</v>
      </c>
    </row>
    <row r="49" spans="1:25" s="16" customFormat="1" x14ac:dyDescent="0.25">
      <c r="A49" s="14" t="s">
        <v>9</v>
      </c>
      <c r="B49" s="15">
        <v>9.5578000000000003</v>
      </c>
      <c r="C49" s="15">
        <f t="shared" si="238"/>
        <v>240.10591338364912</v>
      </c>
      <c r="D49" s="15">
        <f>+C49-26*2*PI()</f>
        <v>76.743095396979868</v>
      </c>
      <c r="E49" s="15">
        <f t="shared" ref="E49:W49" si="324">+D49-2*PI()</f>
        <v>70.459910089800275</v>
      </c>
      <c r="F49" s="15">
        <f t="shared" si="324"/>
        <v>64.176724782620681</v>
      </c>
      <c r="G49" s="15">
        <f t="shared" si="324"/>
        <v>57.893539475441095</v>
      </c>
      <c r="H49" s="15">
        <f t="shared" si="324"/>
        <v>51.610354168261509</v>
      </c>
      <c r="I49" s="15">
        <f>+H49-2*PI()</f>
        <v>45.327168861081923</v>
      </c>
      <c r="J49" s="15">
        <f t="shared" si="324"/>
        <v>39.043983553902336</v>
      </c>
      <c r="K49" s="15">
        <f t="shared" si="324"/>
        <v>32.76079824672275</v>
      </c>
      <c r="L49" s="15">
        <f t="shared" si="324"/>
        <v>26.477612939543164</v>
      </c>
      <c r="M49" s="15">
        <f t="shared" si="324"/>
        <v>20.194427632363578</v>
      </c>
      <c r="N49" s="15">
        <f t="shared" si="324"/>
        <v>13.911242325183991</v>
      </c>
      <c r="O49" s="15">
        <f t="shared" si="324"/>
        <v>7.6280570180044052</v>
      </c>
      <c r="P49" s="15">
        <f t="shared" si="324"/>
        <v>1.3448717108248189</v>
      </c>
      <c r="Q49" s="15">
        <f t="shared" si="324"/>
        <v>-4.9383135963547673</v>
      </c>
      <c r="R49" s="15">
        <f t="shared" si="324"/>
        <v>-11.221498903534354</v>
      </c>
      <c r="S49" s="15">
        <f t="shared" si="324"/>
        <v>-17.50468421071394</v>
      </c>
      <c r="T49" s="15">
        <f t="shared" si="324"/>
        <v>-23.787869517893526</v>
      </c>
      <c r="U49" s="15">
        <f t="shared" si="324"/>
        <v>-30.071054825073112</v>
      </c>
      <c r="V49" s="15">
        <f t="shared" si="324"/>
        <v>-36.354240132252698</v>
      </c>
      <c r="W49" s="15">
        <f t="shared" si="324"/>
        <v>-42.637425439432285</v>
      </c>
    </row>
    <row r="50" spans="1:25" x14ac:dyDescent="0.25">
      <c r="A50" s="1"/>
      <c r="B50" s="2"/>
      <c r="I50">
        <f t="shared" ref="I50:W50" si="325">2*PI()/I49</f>
        <v>0.1386185253801358</v>
      </c>
      <c r="J50">
        <f t="shared" si="325"/>
        <v>0.16092582608804012</v>
      </c>
      <c r="K50">
        <f t="shared" si="325"/>
        <v>0.19178975005006568</v>
      </c>
      <c r="L50">
        <f t="shared" si="325"/>
        <v>0.23730180366055287</v>
      </c>
      <c r="M50">
        <f t="shared" si="325"/>
        <v>0.31113460710865393</v>
      </c>
      <c r="N50">
        <f t="shared" si="325"/>
        <v>0.45166241521110762</v>
      </c>
      <c r="O50" s="17">
        <f t="shared" si="325"/>
        <v>0.82369406683110324</v>
      </c>
      <c r="P50" s="12">
        <f t="shared" si="325"/>
        <v>4.6719588616568242</v>
      </c>
      <c r="Q50">
        <f t="shared" si="325"/>
        <v>-1.2723342057129665</v>
      </c>
      <c r="R50">
        <f t="shared" si="325"/>
        <v>-0.55992388906268287</v>
      </c>
      <c r="S50">
        <f t="shared" si="325"/>
        <v>-0.35894308240841566</v>
      </c>
      <c r="T50">
        <f t="shared" si="325"/>
        <v>-0.26413400756437216</v>
      </c>
      <c r="U50">
        <f t="shared" si="325"/>
        <v>-0.20894462611071077</v>
      </c>
      <c r="V50">
        <f t="shared" si="325"/>
        <v>-0.17283225517359335</v>
      </c>
      <c r="W50">
        <f t="shared" si="325"/>
        <v>-0.14736314968419084</v>
      </c>
    </row>
    <row r="51" spans="1:25" s="4" customFormat="1" x14ac:dyDescent="0.25">
      <c r="A51" s="3"/>
      <c r="B51" s="3">
        <f>+B49</f>
        <v>9.5578000000000003</v>
      </c>
      <c r="C51" s="4">
        <f>2*PI()/$B51*$B$1/2</f>
        <v>120.05295669182456</v>
      </c>
      <c r="D51" s="4">
        <f>+C51-2*PI()-12*PI()</f>
        <v>76.070659541567451</v>
      </c>
      <c r="E51" s="4">
        <f t="shared" ref="E51" si="326">+D51-2*PI()</f>
        <v>69.787474234387872</v>
      </c>
      <c r="F51" s="4">
        <f t="shared" ref="F51" si="327">+E51-2*PI()</f>
        <v>63.504288927208286</v>
      </c>
      <c r="G51" s="4">
        <f t="shared" ref="G51" si="328">+F51-2*PI()</f>
        <v>57.2211036200287</v>
      </c>
      <c r="H51" s="4">
        <f t="shared" ref="H51" si="329">+G51-2*PI()</f>
        <v>50.937918312849114</v>
      </c>
      <c r="I51" s="4">
        <f>+H51-2*PI()</f>
        <v>44.654733005669527</v>
      </c>
      <c r="J51" s="4">
        <f t="shared" ref="J51" si="330">+I51-2*PI()</f>
        <v>38.371547698489941</v>
      </c>
      <c r="K51" s="4">
        <f t="shared" ref="K51" si="331">+J51-2*PI()</f>
        <v>32.088362391310355</v>
      </c>
      <c r="L51" s="4">
        <f t="shared" ref="L51" si="332">+K51-2*PI()</f>
        <v>25.805177084130769</v>
      </c>
      <c r="M51" s="4">
        <f t="shared" ref="M51" si="333">+L51-2*PI()</f>
        <v>19.521991776951182</v>
      </c>
      <c r="N51" s="4">
        <f t="shared" ref="N51" si="334">+M51-2*PI()</f>
        <v>13.238806469771596</v>
      </c>
      <c r="O51" s="4">
        <f t="shared" ref="O51" si="335">+N51-2*PI()</f>
        <v>6.9556211625920099</v>
      </c>
      <c r="P51" s="4">
        <f t="shared" ref="P51" si="336">+O51-2*PI()</f>
        <v>0.67243585541242368</v>
      </c>
      <c r="Q51" s="4">
        <f t="shared" ref="Q51" si="337">+P51-2*PI()</f>
        <v>-5.6107494517671626</v>
      </c>
      <c r="R51" s="4">
        <f t="shared" ref="R51" si="338">+Q51-2*PI()</f>
        <v>-11.893934758946749</v>
      </c>
      <c r="S51" s="4">
        <f t="shared" ref="S51" si="339">+R51-2*PI()</f>
        <v>-18.177120066126335</v>
      </c>
      <c r="T51" s="4">
        <f t="shared" ref="T51" si="340">+S51-2*PI()</f>
        <v>-24.460305373305921</v>
      </c>
      <c r="U51" s="4">
        <f t="shared" ref="U51" si="341">+T51-2*PI()</f>
        <v>-30.743490680485507</v>
      </c>
      <c r="V51" s="4">
        <f t="shared" ref="V51" si="342">+U51-2*PI()</f>
        <v>-37.026675987665094</v>
      </c>
      <c r="W51" s="4">
        <f t="shared" ref="W51" si="343">+V51-2*PI()</f>
        <v>-43.30986129484468</v>
      </c>
    </row>
    <row r="52" spans="1:25" x14ac:dyDescent="0.25">
      <c r="A52" s="1"/>
      <c r="B52" s="2"/>
      <c r="E52" s="23">
        <f t="shared" ref="E52:N52" si="344">2*PI()/E51</f>
        <v>9.0033138125574091E-2</v>
      </c>
      <c r="F52" s="23">
        <f t="shared" si="344"/>
        <v>9.8941117416206009E-2</v>
      </c>
      <c r="G52" s="23">
        <f t="shared" si="344"/>
        <v>0.10980538489614743</v>
      </c>
      <c r="H52" s="23">
        <f t="shared" si="344"/>
        <v>0.12334986421293644</v>
      </c>
      <c r="I52" s="23">
        <f t="shared" si="344"/>
        <v>0.14070592038657695</v>
      </c>
      <c r="J52" s="23">
        <f t="shared" si="344"/>
        <v>0.16374594417068175</v>
      </c>
      <c r="K52" s="23">
        <f t="shared" si="344"/>
        <v>0.19580884903247964</v>
      </c>
      <c r="L52" s="23">
        <f t="shared" si="344"/>
        <v>0.24348545591045423</v>
      </c>
      <c r="M52" s="23">
        <f t="shared" si="344"/>
        <v>0.32185165217608003</v>
      </c>
      <c r="N52" s="23">
        <f t="shared" si="344"/>
        <v>0.47460360732110524</v>
      </c>
      <c r="O52" s="23">
        <f>2*PI()/O51</f>
        <v>0.90332483042221345</v>
      </c>
      <c r="P52" s="28">
        <f>2*PI()/P51</f>
        <v>9.3439177233134494</v>
      </c>
      <c r="Q52">
        <f>2*PI()/Q51</f>
        <v>-1.1198477781253684</v>
      </c>
      <c r="R52">
        <f>2*PI()/R51</f>
        <v>-0.52826801512874488</v>
      </c>
      <c r="S52">
        <f t="shared" ref="S52:W52" si="345">2*PI()/S51</f>
        <v>-0.34566451034718698</v>
      </c>
      <c r="T52">
        <f t="shared" si="345"/>
        <v>-0.25687272547449741</v>
      </c>
      <c r="U52">
        <f t="shared" si="345"/>
        <v>-0.20437449255454426</v>
      </c>
      <c r="V52">
        <f t="shared" si="345"/>
        <v>-0.16969347476054128</v>
      </c>
      <c r="W52">
        <f t="shared" si="345"/>
        <v>-0.1450751657781803</v>
      </c>
    </row>
    <row r="53" spans="1:25" s="4" customFormat="1" ht="15.75" customHeight="1" x14ac:dyDescent="0.25">
      <c r="A53" s="3"/>
      <c r="B53" s="3">
        <f>+B51/2</f>
        <v>4.7789000000000001</v>
      </c>
      <c r="C53" s="4">
        <f>2*PI()/$B53*$B$1</f>
        <v>480.21182676729825</v>
      </c>
      <c r="D53" s="4">
        <f>+C53-2*70*PI()</f>
        <v>40.388855264727226</v>
      </c>
      <c r="E53" s="4">
        <f t="shared" ref="E53" si="346">+D53-2*PI()</f>
        <v>34.10566995754764</v>
      </c>
      <c r="F53" s="4">
        <f t="shared" ref="F53" si="347">+E53-2*PI()</f>
        <v>27.822484650368054</v>
      </c>
      <c r="G53" s="4">
        <f t="shared" ref="G53" si="348">+F53-2*PI()</f>
        <v>21.539299343188468</v>
      </c>
      <c r="H53" s="4">
        <f t="shared" ref="H53" si="349">+G53-2*PI()</f>
        <v>15.256114036008881</v>
      </c>
      <c r="I53" s="4">
        <f>+H53-2*PI()</f>
        <v>8.9729287288292952</v>
      </c>
      <c r="J53" s="4">
        <f t="shared" ref="J53" si="350">+I53-2*PI()</f>
        <v>2.6897434216497089</v>
      </c>
      <c r="K53" s="4">
        <f t="shared" ref="K53" si="351">+J53-2*PI()</f>
        <v>-3.5934418855298773</v>
      </c>
      <c r="L53" s="4">
        <f t="shared" ref="L53" si="352">+K53-2*PI()</f>
        <v>-9.8766271927094635</v>
      </c>
      <c r="M53" s="4">
        <f t="shared" ref="M53" si="353">+L53-2*PI()</f>
        <v>-16.15981249988905</v>
      </c>
      <c r="N53" s="4">
        <f t="shared" ref="N53" si="354">+M53-2*PI()</f>
        <v>-22.442997807068636</v>
      </c>
      <c r="O53" s="4">
        <f t="shared" ref="O53" si="355">+N53-2*PI()</f>
        <v>-28.726183114248222</v>
      </c>
      <c r="P53" s="4">
        <f t="shared" ref="P53" si="356">+O53-2*PI()</f>
        <v>-35.009368421427808</v>
      </c>
      <c r="Q53" s="4">
        <f t="shared" ref="Q53" si="357">+P53-2*PI()</f>
        <v>-41.292553728607395</v>
      </c>
      <c r="R53" s="4">
        <f t="shared" ref="R53" si="358">+Q53-2*PI()</f>
        <v>-47.575739035786981</v>
      </c>
      <c r="S53" s="4">
        <f t="shared" ref="S53" si="359">+R53-2*PI()</f>
        <v>-53.858924342966567</v>
      </c>
      <c r="T53" s="4">
        <f t="shared" ref="T53" si="360">+S53-2*PI()</f>
        <v>-60.142109650146153</v>
      </c>
      <c r="U53" s="4">
        <f t="shared" ref="U53" si="361">+T53-2*PI()</f>
        <v>-66.425294957325747</v>
      </c>
      <c r="V53" s="4">
        <f t="shared" ref="V53" si="362">+U53-2*PI()</f>
        <v>-72.70848026450534</v>
      </c>
      <c r="W53" s="4">
        <f t="shared" ref="W53" si="363">+V53-2*PI()</f>
        <v>-78.991665571684933</v>
      </c>
    </row>
    <row r="54" spans="1:25" x14ac:dyDescent="0.25">
      <c r="A54" s="1"/>
      <c r="B54" s="2"/>
      <c r="G54">
        <f t="shared" ref="G54:N54" si="364">2*PI()/G53</f>
        <v>0.29170797095433676</v>
      </c>
      <c r="H54">
        <f t="shared" si="364"/>
        <v>0.41184703341554968</v>
      </c>
      <c r="I54">
        <f t="shared" si="364"/>
        <v>0.70023795987504278</v>
      </c>
      <c r="J54" s="12">
        <f t="shared" si="364"/>
        <v>2.3359794308283504</v>
      </c>
      <c r="K54">
        <f t="shared" si="364"/>
        <v>-1.7485145182062929</v>
      </c>
      <c r="L54">
        <f t="shared" si="364"/>
        <v>-0.63616710285648781</v>
      </c>
      <c r="M54">
        <f t="shared" si="364"/>
        <v>-0.38881548329986659</v>
      </c>
      <c r="N54">
        <f t="shared" si="364"/>
        <v>-0.27996194453134232</v>
      </c>
      <c r="O54">
        <f>2*PI()/O53</f>
        <v>-0.21872677209465807</v>
      </c>
      <c r="P54" s="23">
        <f>2*PI()/P53</f>
        <v>-0.17947154120420819</v>
      </c>
      <c r="Q54" s="26">
        <f>2*PI()/Q53</f>
        <v>-0.15216267195474056</v>
      </c>
      <c r="R54">
        <f>2*PI()/R53</f>
        <v>-0.13206700378218628</v>
      </c>
      <c r="S54">
        <f t="shared" ref="S54:W54" si="365">2*PI()/S53</f>
        <v>-0.11666005929062166</v>
      </c>
      <c r="T54">
        <f t="shared" si="365"/>
        <v>-0.10447231305535551</v>
      </c>
      <c r="U54">
        <f t="shared" si="365"/>
        <v>-9.459025076540728E-2</v>
      </c>
      <c r="V54">
        <f t="shared" si="365"/>
        <v>-8.6416127586796745E-2</v>
      </c>
      <c r="W54">
        <f t="shared" si="365"/>
        <v>-7.9542382879338028E-2</v>
      </c>
    </row>
    <row r="55" spans="1:25" s="10" customFormat="1" x14ac:dyDescent="0.25">
      <c r="A55" s="9" t="s">
        <v>6</v>
      </c>
      <c r="B55" s="9">
        <v>6.859</v>
      </c>
      <c r="C55" s="10">
        <f t="shared" si="238"/>
        <v>334.58001150871002</v>
      </c>
      <c r="D55" s="10">
        <f>+C55-39*2*PI()</f>
        <v>89.535784528706159</v>
      </c>
      <c r="E55" s="10">
        <f t="shared" ref="E55:W55" si="366">+D55-2*PI()</f>
        <v>83.252599221526566</v>
      </c>
      <c r="F55" s="10">
        <f t="shared" si="366"/>
        <v>76.969413914346973</v>
      </c>
      <c r="G55" s="10">
        <f t="shared" si="366"/>
        <v>70.686228607167379</v>
      </c>
      <c r="H55" s="10">
        <f t="shared" si="366"/>
        <v>64.403043299987786</v>
      </c>
      <c r="I55" s="10">
        <f>+H55-2*PI()</f>
        <v>58.1198579928082</v>
      </c>
      <c r="J55" s="10">
        <f t="shared" si="366"/>
        <v>51.836672685628614</v>
      </c>
      <c r="K55" s="10">
        <f t="shared" si="366"/>
        <v>45.553487378449027</v>
      </c>
      <c r="L55" s="10">
        <f t="shared" si="366"/>
        <v>39.270302071269441</v>
      </c>
      <c r="M55" s="10">
        <f t="shared" si="366"/>
        <v>32.987116764089855</v>
      </c>
      <c r="N55" s="10">
        <f t="shared" si="366"/>
        <v>26.703931456910269</v>
      </c>
      <c r="O55" s="10">
        <f t="shared" si="366"/>
        <v>20.420746149730682</v>
      </c>
      <c r="P55" s="10">
        <f t="shared" si="366"/>
        <v>14.137560842551096</v>
      </c>
      <c r="Q55" s="10">
        <f t="shared" si="366"/>
        <v>7.8543755353715099</v>
      </c>
      <c r="R55" s="10">
        <f t="shared" si="366"/>
        <v>1.5711902281919237</v>
      </c>
      <c r="S55" s="10">
        <f t="shared" si="366"/>
        <v>-4.7119950789876626</v>
      </c>
      <c r="T55" s="10">
        <f t="shared" si="366"/>
        <v>-10.995180386167249</v>
      </c>
      <c r="U55" s="10">
        <f t="shared" si="366"/>
        <v>-17.278365693346835</v>
      </c>
      <c r="V55" s="10">
        <f t="shared" si="366"/>
        <v>-23.561551000526421</v>
      </c>
      <c r="W55" s="10">
        <f t="shared" si="366"/>
        <v>-29.844736307706007</v>
      </c>
    </row>
    <row r="56" spans="1:25" x14ac:dyDescent="0.25">
      <c r="A56" s="1"/>
      <c r="B56" s="2"/>
      <c r="E56" s="13"/>
      <c r="I56">
        <f t="shared" ref="I56:N56" si="367">2*PI()/I55</f>
        <v>0.10810737541645531</v>
      </c>
      <c r="J56">
        <f t="shared" si="367"/>
        <v>0.12121120013402324</v>
      </c>
      <c r="K56">
        <f t="shared" si="367"/>
        <v>0.13792984179191753</v>
      </c>
      <c r="L56">
        <f t="shared" si="367"/>
        <v>0.15999839511742461</v>
      </c>
      <c r="M56">
        <f t="shared" si="367"/>
        <v>0.19047391598709021</v>
      </c>
      <c r="N56">
        <f t="shared" si="367"/>
        <v>0.23529064689662632</v>
      </c>
      <c r="O56">
        <f>2*PI()/O55</f>
        <v>0.30768637253063602</v>
      </c>
      <c r="P56">
        <f>2*PI()/P55</f>
        <v>0.44443206131205565</v>
      </c>
      <c r="Q56">
        <f>2*PI()/Q55</f>
        <v>0.79995987954533077</v>
      </c>
      <c r="R56">
        <f>2*PI()/R55</f>
        <v>3.998997189799276</v>
      </c>
      <c r="S56">
        <f t="shared" ref="S56:W56" si="368">2*PI()/S55</f>
        <v>-1.3334447939469161</v>
      </c>
      <c r="T56">
        <f t="shared" si="368"/>
        <v>-0.57144904280827435</v>
      </c>
      <c r="U56">
        <f t="shared" si="368"/>
        <v>-0.36364465359122328</v>
      </c>
      <c r="V56">
        <f t="shared" si="368"/>
        <v>-0.26667112479306665</v>
      </c>
      <c r="W56">
        <f t="shared" si="368"/>
        <v>-0.21052909439033132</v>
      </c>
      <c r="Y56" t="s">
        <v>8</v>
      </c>
    </row>
    <row r="57" spans="1:25" s="8" customFormat="1" x14ac:dyDescent="0.25">
      <c r="A57" s="8" t="s">
        <v>6</v>
      </c>
      <c r="B57" s="8">
        <v>27.667000000000002</v>
      </c>
      <c r="C57" s="8">
        <f t="shared" ref="C57:C61" si="369">2*PI()/$B57*$B$1</f>
        <v>82.946625905889377</v>
      </c>
      <c r="D57" s="8">
        <f>+C57-2*PI()</f>
        <v>76.663440598709798</v>
      </c>
      <c r="E57" s="8">
        <f t="shared" ref="E57:S57" si="370">+D57-2*PI()</f>
        <v>70.380255291530204</v>
      </c>
      <c r="F57" s="8">
        <f t="shared" si="370"/>
        <v>64.097069984350611</v>
      </c>
      <c r="G57" s="8">
        <f t="shared" si="370"/>
        <v>57.813884677171025</v>
      </c>
      <c r="H57" s="8">
        <f t="shared" si="370"/>
        <v>51.530699369991439</v>
      </c>
      <c r="I57" s="8">
        <f>+H57-2*PI()</f>
        <v>45.247514062811852</v>
      </c>
      <c r="J57" s="8">
        <f t="shared" si="370"/>
        <v>38.964328755632266</v>
      </c>
      <c r="K57" s="8">
        <f t="shared" si="370"/>
        <v>32.68114344845268</v>
      </c>
      <c r="L57" s="8">
        <f t="shared" si="370"/>
        <v>26.397958141273094</v>
      </c>
      <c r="M57" s="8">
        <f t="shared" si="370"/>
        <v>20.114772834093507</v>
      </c>
      <c r="N57" s="8">
        <f t="shared" si="370"/>
        <v>13.831587526913921</v>
      </c>
      <c r="O57" s="8">
        <f t="shared" si="370"/>
        <v>7.548402219734335</v>
      </c>
      <c r="P57" s="8">
        <f t="shared" si="370"/>
        <v>1.2652169125547488</v>
      </c>
      <c r="Q57" s="8">
        <f t="shared" si="370"/>
        <v>-5.0179683946248375</v>
      </c>
      <c r="R57" s="8">
        <f t="shared" si="370"/>
        <v>-11.301153701804424</v>
      </c>
      <c r="S57" s="8">
        <f t="shared" si="370"/>
        <v>-17.58433900898401</v>
      </c>
    </row>
    <row r="58" spans="1:25" x14ac:dyDescent="0.25">
      <c r="K58">
        <f t="shared" ref="K58:M58" si="371">2*PI()/K57</f>
        <v>0.19225720535421076</v>
      </c>
      <c r="L58">
        <f t="shared" si="371"/>
        <v>0.23801785250033611</v>
      </c>
      <c r="M58">
        <f t="shared" si="371"/>
        <v>0.3123667047598922</v>
      </c>
      <c r="N58">
        <f>2*PI()/N57</f>
        <v>0.45426349614269323</v>
      </c>
      <c r="O58">
        <f>2*PI()/O57</f>
        <v>0.83238612944511614</v>
      </c>
      <c r="P58" s="6">
        <f>2*PI()/P57</f>
        <v>4.9660933590371199</v>
      </c>
      <c r="Q58">
        <f>2*PI()/Q57</f>
        <v>-1.2521372820741612</v>
      </c>
      <c r="R58">
        <f>2*PI()/R57</f>
        <v>-0.55597733408195016</v>
      </c>
    </row>
    <row r="59" spans="1:25" s="8" customFormat="1" x14ac:dyDescent="0.25">
      <c r="A59" s="8" t="s">
        <v>6</v>
      </c>
      <c r="B59" s="8">
        <v>27.297999999999998</v>
      </c>
      <c r="C59" s="8">
        <f t="shared" si="369"/>
        <v>84.067854749001455</v>
      </c>
      <c r="D59" s="8">
        <f>+C59-2*PI()</f>
        <v>77.784669441821876</v>
      </c>
      <c r="E59" s="8">
        <f t="shared" ref="E59:S59" si="372">+D59-2*PI()</f>
        <v>71.501484134642283</v>
      </c>
      <c r="F59" s="8">
        <f t="shared" si="372"/>
        <v>65.218298827462689</v>
      </c>
      <c r="G59" s="8">
        <f t="shared" si="372"/>
        <v>58.935113520283103</v>
      </c>
      <c r="H59" s="8">
        <f t="shared" si="372"/>
        <v>52.651928213103517</v>
      </c>
      <c r="I59" s="8">
        <f>+H59-2*PI()</f>
        <v>46.368742905923931</v>
      </c>
      <c r="J59" s="8">
        <f t="shared" si="372"/>
        <v>40.085557598744344</v>
      </c>
      <c r="K59" s="8">
        <f t="shared" si="372"/>
        <v>33.802372291564758</v>
      </c>
      <c r="L59" s="8">
        <f t="shared" si="372"/>
        <v>27.519186984385172</v>
      </c>
      <c r="M59" s="8">
        <f t="shared" si="372"/>
        <v>21.236001677205586</v>
      </c>
      <c r="N59" s="8">
        <f t="shared" si="372"/>
        <v>14.952816370026</v>
      </c>
      <c r="O59" s="8">
        <f t="shared" si="372"/>
        <v>8.6696310628464133</v>
      </c>
      <c r="P59" s="8">
        <f t="shared" si="372"/>
        <v>2.386445755666827</v>
      </c>
      <c r="Q59" s="8">
        <f t="shared" si="372"/>
        <v>-3.8967395515127592</v>
      </c>
      <c r="R59" s="8">
        <f t="shared" si="372"/>
        <v>-10.179924858692345</v>
      </c>
      <c r="S59" s="8">
        <f t="shared" si="372"/>
        <v>-16.463110165871932</v>
      </c>
    </row>
    <row r="60" spans="1:25" x14ac:dyDescent="0.25">
      <c r="C60">
        <f>0.832*365.242</f>
        <v>303.88134400000001</v>
      </c>
      <c r="K60">
        <f t="shared" ref="K60:M60" si="373">2*PI()/K59</f>
        <v>0.18588001022483056</v>
      </c>
      <c r="L60">
        <f t="shared" si="373"/>
        <v>0.22832016479065192</v>
      </c>
      <c r="M60">
        <f t="shared" si="373"/>
        <v>0.29587421411460263</v>
      </c>
      <c r="N60">
        <f>2*PI()/N59</f>
        <v>0.42020079372971403</v>
      </c>
      <c r="O60">
        <f>2*PI()/O59</f>
        <v>0.72473502754991403</v>
      </c>
      <c r="P60" s="6">
        <f>2*PI()/P59</f>
        <v>2.6328632411860213</v>
      </c>
      <c r="Q60">
        <f>2*PI()/Q59</f>
        <v>-1.6124211598233147</v>
      </c>
      <c r="R60">
        <f>2*PI()/R59</f>
        <v>-0.61721332862438127</v>
      </c>
    </row>
    <row r="61" spans="1:25" s="8" customFormat="1" x14ac:dyDescent="0.25">
      <c r="A61" s="8" t="s">
        <v>6</v>
      </c>
      <c r="B61" s="8">
        <f>26.95</f>
        <v>26.95</v>
      </c>
      <c r="C61" s="8">
        <f t="shared" si="369"/>
        <v>85.153406268580397</v>
      </c>
      <c r="D61" s="8">
        <f>+C61-2*PI()</f>
        <v>78.870220961400804</v>
      </c>
      <c r="E61" s="8">
        <f t="shared" ref="E61:S61" si="374">+D61-2*PI()</f>
        <v>72.587035654221211</v>
      </c>
      <c r="F61" s="8">
        <f t="shared" si="374"/>
        <v>66.303850347041617</v>
      </c>
      <c r="G61" s="8">
        <f t="shared" si="374"/>
        <v>60.020665039862031</v>
      </c>
      <c r="H61" s="8">
        <f t="shared" si="374"/>
        <v>53.737479732682445</v>
      </c>
      <c r="I61" s="8">
        <f>+H61-2*PI()</f>
        <v>47.454294425502859</v>
      </c>
      <c r="J61" s="8">
        <f t="shared" si="374"/>
        <v>41.171109118323272</v>
      </c>
      <c r="K61" s="8">
        <f t="shared" si="374"/>
        <v>34.887923811143686</v>
      </c>
      <c r="L61" s="8">
        <f t="shared" si="374"/>
        <v>28.6047385039641</v>
      </c>
      <c r="M61" s="8">
        <f t="shared" si="374"/>
        <v>22.321553196784514</v>
      </c>
      <c r="N61" s="8">
        <f t="shared" si="374"/>
        <v>16.038367889604928</v>
      </c>
      <c r="O61" s="8">
        <f t="shared" si="374"/>
        <v>9.7551825824253413</v>
      </c>
      <c r="P61" s="8">
        <f t="shared" si="374"/>
        <v>3.4719972752457551</v>
      </c>
      <c r="Q61" s="8">
        <f t="shared" si="374"/>
        <v>-2.8111880319338312</v>
      </c>
      <c r="R61" s="8">
        <f t="shared" si="374"/>
        <v>-9.0943733391134174</v>
      </c>
      <c r="S61" s="8">
        <f t="shared" si="374"/>
        <v>-15.377558646293004</v>
      </c>
    </row>
    <row r="62" spans="1:25" x14ac:dyDescent="0.25">
      <c r="B62">
        <f>+B61/2</f>
        <v>13.475</v>
      </c>
      <c r="K62">
        <f t="shared" ref="K62:N62" si="375">2*PI()/K61</f>
        <v>0.180096280340209</v>
      </c>
      <c r="L62">
        <f t="shared" si="375"/>
        <v>0.21965540102066833</v>
      </c>
      <c r="M62">
        <f t="shared" si="375"/>
        <v>0.28148513016937809</v>
      </c>
      <c r="N62">
        <f t="shared" si="375"/>
        <v>0.391759644773578</v>
      </c>
      <c r="O62">
        <f>2*PI()/O61</f>
        <v>0.64408689986994128</v>
      </c>
      <c r="P62" s="6">
        <f>2*PI()/P61</f>
        <v>1.8096746077471646</v>
      </c>
      <c r="Q62">
        <f>2*PI()/Q61</f>
        <v>-2.2350640497204131</v>
      </c>
      <c r="R62">
        <f>2*PI()/R61</f>
        <v>-0.69088710930269714</v>
      </c>
      <c r="V62">
        <f>+AVERAGE(B59:B61)</f>
        <v>27.123999999999999</v>
      </c>
      <c r="W62">
        <f>+AVERAGE(P60,P62)</f>
        <v>2.2212689244665929</v>
      </c>
    </row>
    <row r="63" spans="1:25" s="8" customFormat="1" x14ac:dyDescent="0.25">
      <c r="A63" s="8" t="s">
        <v>6</v>
      </c>
      <c r="B63" s="8">
        <f>27.384</f>
        <v>27.384</v>
      </c>
      <c r="C63" s="8">
        <f t="shared" ref="C63:C81" si="376">2*PI()/$B63*$B$1</f>
        <v>83.803837968822748</v>
      </c>
      <c r="D63" s="8">
        <f>+C63-2*PI()</f>
        <v>77.520652661643169</v>
      </c>
      <c r="E63" s="8">
        <f t="shared" ref="E63:S63" si="377">+D63-2*PI()</f>
        <v>71.237467354463575</v>
      </c>
      <c r="F63" s="8">
        <f t="shared" si="377"/>
        <v>64.954282047283982</v>
      </c>
      <c r="G63" s="8">
        <f t="shared" si="377"/>
        <v>58.671096740104396</v>
      </c>
      <c r="H63" s="8">
        <f t="shared" si="377"/>
        <v>52.38791143292481</v>
      </c>
      <c r="I63" s="8">
        <f>+H63-2*PI()</f>
        <v>46.104726125745223</v>
      </c>
      <c r="J63" s="8">
        <f t="shared" si="377"/>
        <v>39.821540818565637</v>
      </c>
      <c r="K63" s="8">
        <f t="shared" si="377"/>
        <v>33.538355511386051</v>
      </c>
      <c r="L63" s="8">
        <f t="shared" si="377"/>
        <v>27.255170204206465</v>
      </c>
      <c r="M63" s="8">
        <f t="shared" si="377"/>
        <v>20.971984897026879</v>
      </c>
      <c r="N63" s="8">
        <f t="shared" si="377"/>
        <v>14.688799589847292</v>
      </c>
      <c r="O63" s="8">
        <f t="shared" si="377"/>
        <v>8.405614282667706</v>
      </c>
      <c r="P63" s="8">
        <f t="shared" si="377"/>
        <v>2.1224289754881198</v>
      </c>
      <c r="Q63" s="8">
        <f t="shared" si="377"/>
        <v>-4.1607563316914664</v>
      </c>
      <c r="R63" s="8">
        <f t="shared" si="377"/>
        <v>-10.443941638871053</v>
      </c>
      <c r="S63" s="8">
        <f t="shared" si="377"/>
        <v>-16.727126946050639</v>
      </c>
    </row>
    <row r="64" spans="1:25" x14ac:dyDescent="0.25">
      <c r="O64">
        <f>2*PI()/O63</f>
        <v>0.74749864743799299</v>
      </c>
      <c r="P64" s="6">
        <f>2*PI()/P63</f>
        <v>2.9603748251385271</v>
      </c>
      <c r="Q64">
        <f>2*PI()/Q63</f>
        <v>-1.5101065302291548</v>
      </c>
      <c r="R64">
        <f>2*PI()/R63</f>
        <v>-0.60161053407215059</v>
      </c>
    </row>
    <row r="65" spans="1:19" s="8" customFormat="1" x14ac:dyDescent="0.25">
      <c r="A65" s="8" t="s">
        <v>10</v>
      </c>
      <c r="B65" s="8">
        <f>27.667</f>
        <v>27.667000000000002</v>
      </c>
      <c r="C65" s="8">
        <f t="shared" si="376"/>
        <v>82.946625905889377</v>
      </c>
      <c r="D65" s="8">
        <f>+C65-2*PI()</f>
        <v>76.663440598709798</v>
      </c>
      <c r="E65" s="8">
        <f t="shared" ref="E65:S65" si="378">+D65-2*PI()</f>
        <v>70.380255291530204</v>
      </c>
      <c r="F65" s="8">
        <f t="shared" si="378"/>
        <v>64.097069984350611</v>
      </c>
      <c r="G65" s="8">
        <f t="shared" si="378"/>
        <v>57.813884677171025</v>
      </c>
      <c r="H65" s="8">
        <f t="shared" si="378"/>
        <v>51.530699369991439</v>
      </c>
      <c r="I65" s="8">
        <f>+H65-2*PI()</f>
        <v>45.247514062811852</v>
      </c>
      <c r="J65" s="8">
        <f t="shared" si="378"/>
        <v>38.964328755632266</v>
      </c>
      <c r="K65" s="8">
        <f t="shared" si="378"/>
        <v>32.68114344845268</v>
      </c>
      <c r="L65" s="8">
        <f t="shared" si="378"/>
        <v>26.397958141273094</v>
      </c>
      <c r="M65" s="8">
        <f t="shared" si="378"/>
        <v>20.114772834093507</v>
      </c>
      <c r="N65" s="8">
        <f t="shared" si="378"/>
        <v>13.831587526913921</v>
      </c>
      <c r="O65" s="8">
        <f t="shared" si="378"/>
        <v>7.548402219734335</v>
      </c>
      <c r="P65" s="8">
        <f t="shared" si="378"/>
        <v>1.2652169125547488</v>
      </c>
      <c r="Q65" s="8">
        <f t="shared" si="378"/>
        <v>-5.0179683946248375</v>
      </c>
      <c r="R65" s="8">
        <f t="shared" si="378"/>
        <v>-11.301153701804424</v>
      </c>
      <c r="S65" s="8">
        <f t="shared" si="378"/>
        <v>-17.58433900898401</v>
      </c>
    </row>
    <row r="66" spans="1:19" x14ac:dyDescent="0.25">
      <c r="N66">
        <f>2*PI()/N65</f>
        <v>0.45426349614269323</v>
      </c>
      <c r="O66">
        <f>2*PI()/O65</f>
        <v>0.83238612944511614</v>
      </c>
      <c r="P66">
        <f>2*PI()/P65</f>
        <v>4.9660933590371199</v>
      </c>
      <c r="Q66">
        <f>2*PI()/Q65</f>
        <v>-1.2521372820741612</v>
      </c>
      <c r="R66">
        <f>2*PI()/R65</f>
        <v>-0.55597733408195016</v>
      </c>
    </row>
    <row r="67" spans="1:19" s="8" customFormat="1" x14ac:dyDescent="0.25">
      <c r="A67" s="8" t="s">
        <v>11</v>
      </c>
      <c r="B67" s="8">
        <f>27.443</f>
        <v>27.443000000000001</v>
      </c>
      <c r="C67" s="8">
        <f t="shared" si="376"/>
        <v>83.623667198857333</v>
      </c>
      <c r="D67" s="8">
        <f>+C67-2*PI()</f>
        <v>77.34048189167774</v>
      </c>
      <c r="E67" s="8">
        <f t="shared" ref="E67:S67" si="379">+D67-2*PI()</f>
        <v>71.057296584498147</v>
      </c>
      <c r="F67" s="8">
        <f t="shared" si="379"/>
        <v>64.774111277318553</v>
      </c>
      <c r="G67" s="8">
        <f t="shared" si="379"/>
        <v>58.490925970138967</v>
      </c>
      <c r="H67" s="8">
        <f t="shared" si="379"/>
        <v>52.207740662959381</v>
      </c>
      <c r="I67" s="8">
        <f>+H67-2*PI()</f>
        <v>45.924555355779795</v>
      </c>
      <c r="J67" s="8">
        <f t="shared" si="379"/>
        <v>39.641370048600209</v>
      </c>
      <c r="K67" s="8">
        <f t="shared" si="379"/>
        <v>33.358184741420622</v>
      </c>
      <c r="L67" s="8">
        <f t="shared" si="379"/>
        <v>27.074999434241036</v>
      </c>
      <c r="M67" s="8">
        <f t="shared" si="379"/>
        <v>20.79181412706145</v>
      </c>
      <c r="N67" s="8">
        <f t="shared" si="379"/>
        <v>14.508628819881864</v>
      </c>
      <c r="O67" s="8">
        <f t="shared" si="379"/>
        <v>8.2254435127022774</v>
      </c>
      <c r="P67" s="8">
        <f t="shared" si="379"/>
        <v>1.9422582055226911</v>
      </c>
      <c r="Q67" s="8">
        <f t="shared" si="379"/>
        <v>-4.3409271016568951</v>
      </c>
      <c r="R67" s="8">
        <f t="shared" si="379"/>
        <v>-10.624112408836481</v>
      </c>
      <c r="S67" s="8">
        <f t="shared" si="379"/>
        <v>-16.907297716016068</v>
      </c>
    </row>
    <row r="68" spans="1:19" x14ac:dyDescent="0.25">
      <c r="N68">
        <f>2*PI()/N67</f>
        <v>0.43306541129299819</v>
      </c>
      <c r="O68">
        <f>2*PI()/O67</f>
        <v>0.7638719173594315</v>
      </c>
      <c r="P68">
        <f>2*PI()/P67</f>
        <v>3.2349897090478175</v>
      </c>
      <c r="Q68">
        <f>2*PI()/Q67</f>
        <v>-1.4474293532322502</v>
      </c>
      <c r="R68">
        <f>2*PI()/R67</f>
        <v>-0.59140802218485755</v>
      </c>
    </row>
    <row r="69" spans="1:19" s="8" customFormat="1" x14ac:dyDescent="0.25">
      <c r="A69" s="8" t="s">
        <v>12</v>
      </c>
      <c r="B69" s="8">
        <f>27.093</f>
        <v>27.093</v>
      </c>
      <c r="C69" s="8">
        <f t="shared" si="376"/>
        <v>84.703956702404383</v>
      </c>
      <c r="D69" s="8">
        <f>+C69-2*PI()</f>
        <v>78.42077139522479</v>
      </c>
      <c r="E69" s="8">
        <f t="shared" ref="E69:S69" si="380">+D69-2*PI()</f>
        <v>72.137586088045197</v>
      </c>
      <c r="F69" s="8">
        <f t="shared" si="380"/>
        <v>65.854400780865603</v>
      </c>
      <c r="G69" s="8">
        <f t="shared" si="380"/>
        <v>59.571215473686017</v>
      </c>
      <c r="H69" s="8">
        <f t="shared" si="380"/>
        <v>53.288030166506431</v>
      </c>
      <c r="I69" s="8">
        <f>+H69-2*PI()</f>
        <v>47.004844859326845</v>
      </c>
      <c r="J69" s="8">
        <f t="shared" si="380"/>
        <v>40.721659552147258</v>
      </c>
      <c r="K69" s="8">
        <f t="shared" si="380"/>
        <v>34.438474244967672</v>
      </c>
      <c r="L69" s="8">
        <f t="shared" si="380"/>
        <v>28.155288937788086</v>
      </c>
      <c r="M69" s="8">
        <f t="shared" si="380"/>
        <v>21.8721036306085</v>
      </c>
      <c r="N69" s="8">
        <f t="shared" si="380"/>
        <v>15.588918323428913</v>
      </c>
      <c r="O69" s="8">
        <f t="shared" si="380"/>
        <v>9.3057330162493272</v>
      </c>
      <c r="P69" s="8">
        <f t="shared" si="380"/>
        <v>3.022547709069741</v>
      </c>
      <c r="Q69" s="8">
        <f t="shared" si="380"/>
        <v>-3.2606375981098452</v>
      </c>
      <c r="R69" s="8">
        <f t="shared" si="380"/>
        <v>-9.5438229052894314</v>
      </c>
      <c r="S69" s="8">
        <f t="shared" si="380"/>
        <v>-15.827008212469018</v>
      </c>
    </row>
    <row r="70" spans="1:19" x14ac:dyDescent="0.25">
      <c r="M70" s="18">
        <f t="shared" ref="M70:R70" si="381">2*PI()/M69</f>
        <v>0.28726936435993755</v>
      </c>
      <c r="N70" s="5">
        <f t="shared" si="381"/>
        <v>0.4030546043554834</v>
      </c>
      <c r="O70">
        <f t="shared" si="381"/>
        <v>0.67519509706630532</v>
      </c>
      <c r="P70">
        <f t="shared" si="381"/>
        <v>2.0787712592015235</v>
      </c>
      <c r="Q70">
        <f t="shared" si="381"/>
        <v>-1.9269805730087508</v>
      </c>
      <c r="R70">
        <f t="shared" si="381"/>
        <v>-0.65835099514443884</v>
      </c>
    </row>
    <row r="71" spans="1:19" s="8" customFormat="1" x14ac:dyDescent="0.25">
      <c r="A71" s="8" t="s">
        <v>6</v>
      </c>
      <c r="B71" s="8">
        <v>13.595000000000001</v>
      </c>
      <c r="C71" s="8">
        <f t="shared" si="376"/>
        <v>168.803552698657</v>
      </c>
      <c r="D71" s="8">
        <f>+C71-2*13*PI()</f>
        <v>87.122143705322372</v>
      </c>
      <c r="E71" s="8">
        <f t="shared" ref="E71:S71" si="382">+D71-2*PI()</f>
        <v>80.838958398142779</v>
      </c>
      <c r="F71" s="8">
        <f t="shared" si="382"/>
        <v>74.555773090963186</v>
      </c>
      <c r="G71" s="8">
        <f t="shared" si="382"/>
        <v>68.272587783783592</v>
      </c>
      <c r="H71" s="8">
        <f t="shared" si="382"/>
        <v>61.989402476604006</v>
      </c>
      <c r="I71" s="8">
        <f>+H71-2*PI()</f>
        <v>55.70621716942442</v>
      </c>
      <c r="J71" s="8">
        <f t="shared" si="382"/>
        <v>49.423031862244834</v>
      </c>
      <c r="K71" s="8">
        <f t="shared" si="382"/>
        <v>43.139846555065247</v>
      </c>
      <c r="L71" s="8">
        <f t="shared" si="382"/>
        <v>36.856661247885661</v>
      </c>
      <c r="M71" s="8">
        <f t="shared" si="382"/>
        <v>30.573475940706075</v>
      </c>
      <c r="N71" s="8">
        <f t="shared" si="382"/>
        <v>24.290290633526489</v>
      </c>
      <c r="O71" s="8">
        <f t="shared" si="382"/>
        <v>18.007105326346903</v>
      </c>
      <c r="P71" s="8">
        <f t="shared" si="382"/>
        <v>11.723920019167316</v>
      </c>
      <c r="Q71" s="8">
        <f t="shared" si="382"/>
        <v>5.4407347119877301</v>
      </c>
      <c r="R71" s="8">
        <f t="shared" si="382"/>
        <v>-0.84245059519185617</v>
      </c>
      <c r="S71" s="8">
        <f t="shared" si="382"/>
        <v>-7.1256359023714424</v>
      </c>
    </row>
    <row r="72" spans="1:19" x14ac:dyDescent="0.25">
      <c r="O72">
        <f>2*PI()/O71</f>
        <v>0.34892811439195676</v>
      </c>
      <c r="P72">
        <f>2*PI()/P71</f>
        <v>0.53592870788160196</v>
      </c>
      <c r="Q72">
        <f>2*PI()/Q71</f>
        <v>1.1548413293034965</v>
      </c>
      <c r="R72">
        <f>2*PI()/R71</f>
        <v>-7.4582240703962945</v>
      </c>
    </row>
    <row r="73" spans="1:19" s="8" customFormat="1" x14ac:dyDescent="0.25">
      <c r="A73" s="8" t="s">
        <v>6</v>
      </c>
      <c r="B73" s="8">
        <v>13.756270000000001</v>
      </c>
      <c r="C73" s="8">
        <f t="shared" si="376"/>
        <v>166.82460426687189</v>
      </c>
      <c r="D73" s="8">
        <f>+C73-2*13*PI()</f>
        <v>85.143195273537259</v>
      </c>
      <c r="E73" s="8">
        <f t="shared" ref="E73:S73" si="383">+D73-2*PI()</f>
        <v>78.860009966357666</v>
      </c>
      <c r="F73" s="8">
        <f t="shared" si="383"/>
        <v>72.576824659178072</v>
      </c>
      <c r="G73" s="8">
        <f t="shared" si="383"/>
        <v>66.293639351998479</v>
      </c>
      <c r="H73" s="8">
        <f t="shared" si="383"/>
        <v>60.010454044818893</v>
      </c>
      <c r="I73" s="8">
        <f>+H73-2*PI()</f>
        <v>53.727268737639307</v>
      </c>
      <c r="J73" s="8">
        <f t="shared" si="383"/>
        <v>47.44408343045972</v>
      </c>
      <c r="K73" s="8">
        <f t="shared" si="383"/>
        <v>41.160898123280134</v>
      </c>
      <c r="L73" s="8">
        <f t="shared" si="383"/>
        <v>34.877712816100548</v>
      </c>
      <c r="M73" s="8">
        <f t="shared" si="383"/>
        <v>28.594527508920962</v>
      </c>
      <c r="N73" s="8">
        <f t="shared" si="383"/>
        <v>22.311342201741375</v>
      </c>
      <c r="O73" s="8">
        <f t="shared" si="383"/>
        <v>16.028156894561789</v>
      </c>
      <c r="P73" s="8">
        <f t="shared" si="383"/>
        <v>9.7449715873822029</v>
      </c>
      <c r="Q73" s="8">
        <f t="shared" si="383"/>
        <v>3.4617862802026167</v>
      </c>
      <c r="R73" s="8">
        <f t="shared" si="383"/>
        <v>-2.8213990269769695</v>
      </c>
      <c r="S73" s="8">
        <f t="shared" si="383"/>
        <v>-9.1045843341565558</v>
      </c>
    </row>
    <row r="74" spans="1:19" x14ac:dyDescent="0.25">
      <c r="B74">
        <f>2*B73</f>
        <v>27.512540000000001</v>
      </c>
      <c r="O74">
        <f>2*PI()/O73</f>
        <v>0.3920092215538154</v>
      </c>
      <c r="P74">
        <f>2*PI()/P73</f>
        <v>0.6447617882554999</v>
      </c>
      <c r="Q74">
        <f>2*PI()/Q73</f>
        <v>1.815012481594281</v>
      </c>
      <c r="R74">
        <f>2*PI()/R73</f>
        <v>-2.2269750741042111</v>
      </c>
    </row>
    <row r="75" spans="1:19" s="8" customFormat="1" x14ac:dyDescent="0.25">
      <c r="A75" s="8" t="s">
        <v>6</v>
      </c>
      <c r="B75" s="8">
        <v>26.954999999999998</v>
      </c>
      <c r="C75" s="8">
        <f t="shared" si="376"/>
        <v>85.137610793479581</v>
      </c>
      <c r="D75" s="8">
        <f>+C75-2*PI()</f>
        <v>78.854425486299988</v>
      </c>
      <c r="E75" s="8">
        <f t="shared" ref="E75:S75" si="384">+D75-2*PI()</f>
        <v>72.571240179120394</v>
      </c>
      <c r="F75" s="8">
        <f t="shared" si="384"/>
        <v>66.288054871940801</v>
      </c>
      <c r="G75" s="8">
        <f t="shared" si="384"/>
        <v>60.004869564761215</v>
      </c>
      <c r="H75" s="8">
        <f t="shared" si="384"/>
        <v>53.721684257581629</v>
      </c>
      <c r="I75" s="8">
        <f>+H75-2*PI()</f>
        <v>47.438498950402042</v>
      </c>
      <c r="J75" s="8">
        <f t="shared" si="384"/>
        <v>41.155313643222456</v>
      </c>
      <c r="K75" s="8">
        <f t="shared" si="384"/>
        <v>34.87212833604287</v>
      </c>
      <c r="L75" s="8">
        <f t="shared" si="384"/>
        <v>28.588943028863284</v>
      </c>
      <c r="M75" s="8">
        <f t="shared" si="384"/>
        <v>22.305757721683698</v>
      </c>
      <c r="N75" s="8">
        <f t="shared" si="384"/>
        <v>16.022572414504111</v>
      </c>
      <c r="O75" s="8">
        <f t="shared" si="384"/>
        <v>9.7393871073245251</v>
      </c>
      <c r="P75" s="8">
        <f t="shared" si="384"/>
        <v>3.4562018001449388</v>
      </c>
      <c r="Q75" s="8">
        <f t="shared" si="384"/>
        <v>-2.8269835070346474</v>
      </c>
      <c r="R75" s="8">
        <f t="shared" si="384"/>
        <v>-9.1101688142142336</v>
      </c>
      <c r="S75" s="8">
        <f t="shared" si="384"/>
        <v>-15.39335412139382</v>
      </c>
    </row>
    <row r="76" spans="1:19" x14ac:dyDescent="0.25">
      <c r="B76" s="8">
        <f>27.093</f>
        <v>27.093</v>
      </c>
      <c r="O76">
        <f>2*PI()/O75</f>
        <v>0.64513148907022133</v>
      </c>
      <c r="P76">
        <f>2*PI()/P75</f>
        <v>1.8179451520788212</v>
      </c>
      <c r="Q76">
        <f>2*PI()/Q75</f>
        <v>-2.222575862768406</v>
      </c>
      <c r="R76">
        <f>2*PI()/R75</f>
        <v>-0.68968922918049358</v>
      </c>
    </row>
    <row r="77" spans="1:19" s="8" customFormat="1" x14ac:dyDescent="0.25">
      <c r="A77" s="8" t="s">
        <v>6</v>
      </c>
      <c r="B77" s="8">
        <v>34.847000000000001</v>
      </c>
      <c r="C77" s="8">
        <f t="shared" si="376"/>
        <v>65.856007660293329</v>
      </c>
      <c r="D77" s="8">
        <f>+C77-2*PI()</f>
        <v>59.572822353113743</v>
      </c>
      <c r="E77" s="8">
        <f t="shared" ref="E77:S77" si="385">+D77-2*PI()</f>
        <v>53.289637045934157</v>
      </c>
      <c r="F77" s="8">
        <f t="shared" si="385"/>
        <v>47.006451738754571</v>
      </c>
      <c r="G77" s="8">
        <f t="shared" si="385"/>
        <v>40.723266431574984</v>
      </c>
      <c r="H77" s="8">
        <f t="shared" si="385"/>
        <v>34.440081124395398</v>
      </c>
      <c r="I77" s="8">
        <f>+H77-2*PI()</f>
        <v>28.156895817215812</v>
      </c>
      <c r="J77" s="8">
        <f t="shared" si="385"/>
        <v>21.873710510036226</v>
      </c>
      <c r="K77" s="8">
        <f t="shared" si="385"/>
        <v>15.590525202856639</v>
      </c>
      <c r="L77" s="8">
        <f t="shared" si="385"/>
        <v>9.3073398956770532</v>
      </c>
      <c r="M77" s="8">
        <f t="shared" si="385"/>
        <v>3.024154588497467</v>
      </c>
      <c r="N77" s="8">
        <f t="shared" si="385"/>
        <v>-3.2590307186821192</v>
      </c>
      <c r="O77" s="8">
        <f t="shared" si="385"/>
        <v>-9.5422160258617055</v>
      </c>
      <c r="P77" s="8">
        <f t="shared" si="385"/>
        <v>-15.825401333041292</v>
      </c>
      <c r="Q77" s="8">
        <f t="shared" si="385"/>
        <v>-22.108586640220878</v>
      </c>
      <c r="R77" s="8">
        <f t="shared" si="385"/>
        <v>-28.391771947400464</v>
      </c>
      <c r="S77" s="8">
        <f t="shared" si="385"/>
        <v>-34.67495725458005</v>
      </c>
    </row>
    <row r="78" spans="1:19" x14ac:dyDescent="0.25">
      <c r="K78">
        <f t="shared" ref="K78:N78" si="386">2*PI()/K77</f>
        <v>0.40301306244823126</v>
      </c>
      <c r="L78">
        <f t="shared" si="386"/>
        <v>0.67507852701263382</v>
      </c>
      <c r="M78">
        <f t="shared" si="386"/>
        <v>2.07766670760748</v>
      </c>
      <c r="N78">
        <f t="shared" si="386"/>
        <v>-1.9279306792543425</v>
      </c>
      <c r="O78">
        <f>2*PI()/O77</f>
        <v>-0.65846185939939317</v>
      </c>
      <c r="P78">
        <f>2*PI()/P77</f>
        <v>-0.39703165657234535</v>
      </c>
      <c r="Q78">
        <f>2*PI()/Q77</f>
        <v>-0.28419660693049231</v>
      </c>
      <c r="R78">
        <f>2*PI()/R77</f>
        <v>-0.22130303521809147</v>
      </c>
      <c r="S78">
        <f>2*PI()/S77</f>
        <v>-0.18120239517669975</v>
      </c>
    </row>
    <row r="79" spans="1:19" s="8" customFormat="1" x14ac:dyDescent="0.25">
      <c r="A79" s="8" t="s">
        <v>6</v>
      </c>
      <c r="B79" s="8">
        <v>23.942</v>
      </c>
      <c r="C79" s="8">
        <f t="shared" si="376"/>
        <v>95.851821023232887</v>
      </c>
      <c r="D79" s="8">
        <f>+C79-2*PI()</f>
        <v>89.568635716053308</v>
      </c>
      <c r="E79" s="8">
        <f t="shared" ref="E79:S79" si="387">+D79-2*PI()</f>
        <v>83.285450408873714</v>
      </c>
      <c r="F79" s="8">
        <f t="shared" si="387"/>
        <v>77.002265101694121</v>
      </c>
      <c r="G79" s="8">
        <f t="shared" si="387"/>
        <v>70.719079794514528</v>
      </c>
      <c r="H79" s="8">
        <f t="shared" si="387"/>
        <v>64.435894487334934</v>
      </c>
      <c r="I79" s="8">
        <f>+H79-2*PI()</f>
        <v>58.152709180155348</v>
      </c>
      <c r="J79" s="8">
        <f t="shared" si="387"/>
        <v>51.869523872975762</v>
      </c>
      <c r="K79" s="8">
        <f t="shared" si="387"/>
        <v>45.586338565796176</v>
      </c>
      <c r="L79" s="8">
        <f t="shared" si="387"/>
        <v>39.303153258616589</v>
      </c>
      <c r="M79" s="8">
        <f t="shared" si="387"/>
        <v>33.019967951437003</v>
      </c>
      <c r="N79" s="8">
        <f t="shared" si="387"/>
        <v>26.736782644257417</v>
      </c>
      <c r="O79" s="8">
        <f t="shared" si="387"/>
        <v>20.453597337077831</v>
      </c>
      <c r="P79" s="8">
        <f t="shared" si="387"/>
        <v>14.170412029898245</v>
      </c>
      <c r="Q79" s="8">
        <f t="shared" si="387"/>
        <v>7.8872267227186583</v>
      </c>
      <c r="R79" s="8">
        <f t="shared" si="387"/>
        <v>1.6040414155390721</v>
      </c>
      <c r="S79" s="8">
        <f t="shared" si="387"/>
        <v>-4.6791438916405141</v>
      </c>
    </row>
    <row r="80" spans="1:19" x14ac:dyDescent="0.25">
      <c r="K80">
        <f t="shared" ref="K80:N80" si="388">2*PI()/K79</f>
        <v>0.13783044448965495</v>
      </c>
      <c r="L80">
        <f t="shared" si="388"/>
        <v>0.15986466189712395</v>
      </c>
      <c r="M80">
        <f t="shared" si="388"/>
        <v>0.19028441567297605</v>
      </c>
      <c r="N80">
        <f t="shared" si="388"/>
        <v>0.23500154789675495</v>
      </c>
      <c r="O80">
        <f>2*PI()/O79</f>
        <v>0.3071921874490785</v>
      </c>
      <c r="P80">
        <f>2*PI()/P79</f>
        <v>0.4434017369376877</v>
      </c>
      <c r="Q80">
        <f>2*PI()/Q79</f>
        <v>0.7966279565770904</v>
      </c>
      <c r="R80">
        <f>2*PI()/R79</f>
        <v>3.9170966823621503</v>
      </c>
      <c r="S80">
        <f>2*PI()/S79</f>
        <v>-1.3428066015248556</v>
      </c>
    </row>
    <row r="81" spans="1:19" s="8" customFormat="1" x14ac:dyDescent="0.25">
      <c r="A81" s="8" t="s">
        <v>12</v>
      </c>
      <c r="B81" s="8">
        <v>29.09</v>
      </c>
      <c r="C81" s="8">
        <f t="shared" si="376"/>
        <v>78.889113060785206</v>
      </c>
      <c r="D81" s="8">
        <f>+C81-2*PI()</f>
        <v>72.605927753605613</v>
      </c>
      <c r="E81" s="8">
        <f t="shared" ref="E81:S81" si="389">+D81-2*PI()</f>
        <v>66.32274244642602</v>
      </c>
      <c r="F81" s="8">
        <f t="shared" si="389"/>
        <v>60.039557139246433</v>
      </c>
      <c r="G81" s="8">
        <f t="shared" si="389"/>
        <v>53.756371832066847</v>
      </c>
      <c r="H81" s="8">
        <f t="shared" si="389"/>
        <v>47.473186524887261</v>
      </c>
      <c r="I81" s="8">
        <f>+H81-2*PI()</f>
        <v>41.190001217707675</v>
      </c>
      <c r="J81" s="8">
        <f t="shared" si="389"/>
        <v>34.906815910528088</v>
      </c>
      <c r="K81" s="8">
        <f t="shared" si="389"/>
        <v>28.623630603348502</v>
      </c>
      <c r="L81" s="8">
        <f t="shared" si="389"/>
        <v>22.340445296168916</v>
      </c>
      <c r="M81" s="8">
        <f t="shared" si="389"/>
        <v>16.05725998898933</v>
      </c>
      <c r="N81" s="8">
        <f t="shared" si="389"/>
        <v>9.7740746818097435</v>
      </c>
      <c r="O81" s="8">
        <f t="shared" si="389"/>
        <v>3.4908893746301572</v>
      </c>
      <c r="P81" s="8">
        <f t="shared" si="389"/>
        <v>-2.792295932549429</v>
      </c>
      <c r="Q81" s="8">
        <f t="shared" si="389"/>
        <v>-9.0754812397290152</v>
      </c>
      <c r="R81" s="8">
        <f t="shared" si="389"/>
        <v>-15.358666546908601</v>
      </c>
      <c r="S81" s="8">
        <f t="shared" si="389"/>
        <v>-21.641851854088188</v>
      </c>
    </row>
    <row r="82" spans="1:19" x14ac:dyDescent="0.25">
      <c r="N82">
        <f>2*PI()/N81</f>
        <v>0.64284195811119049</v>
      </c>
      <c r="O82">
        <f>2*PI()/O81</f>
        <v>1.7998809566531335</v>
      </c>
      <c r="P82">
        <f>2*PI()/P81</f>
        <v>-2.2501860329119547</v>
      </c>
      <c r="Q82">
        <f>2*PI()/Q81</f>
        <v>-0.69232530388297031</v>
      </c>
      <c r="R82">
        <f>2*PI()/R81</f>
        <v>-0.40909705852323935</v>
      </c>
    </row>
    <row r="89" spans="1:19" x14ac:dyDescent="0.25">
      <c r="K89">
        <f>1/(1/2-1/2.91)</f>
        <v>6.395604395604396</v>
      </c>
    </row>
    <row r="90" spans="1:19" x14ac:dyDescent="0.25">
      <c r="K90">
        <f>1/(1/2+1/2.91)</f>
        <v>1.185336048879837</v>
      </c>
    </row>
    <row r="91" spans="1:19" x14ac:dyDescent="0.25">
      <c r="B91">
        <f>2*C91</f>
        <v>27.437999999999999</v>
      </c>
      <c r="C91">
        <v>13.718999999999999</v>
      </c>
    </row>
    <row r="94" spans="1:19" x14ac:dyDescent="0.25">
      <c r="B94" s="12">
        <v>73.3</v>
      </c>
      <c r="C94" s="12">
        <f>2048/B94/12</f>
        <v>2.3283310595725331</v>
      </c>
      <c r="D94" s="12"/>
      <c r="E94" s="12">
        <f>1/(1/C94-1/2)</f>
        <v>-14.182825484764544</v>
      </c>
      <c r="J94">
        <v>0</v>
      </c>
      <c r="K94">
        <v>1</v>
      </c>
    </row>
    <row r="95" spans="1:19" x14ac:dyDescent="0.25">
      <c r="B95" s="33">
        <v>59</v>
      </c>
      <c r="C95" s="33">
        <f t="shared" ref="C95:C106" si="390">2048/B95/12</f>
        <v>2.8926553672316384</v>
      </c>
      <c r="D95" s="33"/>
      <c r="E95" s="33">
        <f t="shared" ref="E95:E106" si="391">1/(1/C95-1/2)</f>
        <v>-6.481012658227848</v>
      </c>
      <c r="J95">
        <v>0.1</v>
      </c>
      <c r="K95">
        <v>0</v>
      </c>
    </row>
    <row r="96" spans="1:19" x14ac:dyDescent="0.25">
      <c r="B96" s="36">
        <v>97</v>
      </c>
      <c r="C96" s="36">
        <f t="shared" si="390"/>
        <v>1.7594501718213058</v>
      </c>
      <c r="D96" s="36"/>
      <c r="E96" s="36">
        <f t="shared" si="391"/>
        <v>14.628571428571428</v>
      </c>
      <c r="J96">
        <v>0.2</v>
      </c>
      <c r="K96">
        <v>0</v>
      </c>
    </row>
    <row r="97" spans="2:11" x14ac:dyDescent="0.25">
      <c r="B97" s="5">
        <v>76</v>
      </c>
      <c r="C97" s="5">
        <f t="shared" si="390"/>
        <v>2.2456140350877192</v>
      </c>
      <c r="D97" s="5"/>
      <c r="E97" s="5">
        <f t="shared" si="391"/>
        <v>-18.285714285714285</v>
      </c>
      <c r="J97">
        <v>0.3</v>
      </c>
      <c r="K97">
        <v>0</v>
      </c>
    </row>
    <row r="98" spans="2:11" x14ac:dyDescent="0.25">
      <c r="B98" s="35">
        <v>94.5</v>
      </c>
      <c r="C98" s="35">
        <f t="shared" si="390"/>
        <v>1.8059964726631392</v>
      </c>
      <c r="D98" s="35"/>
      <c r="E98" s="35">
        <f t="shared" si="391"/>
        <v>18.618181818181817</v>
      </c>
      <c r="J98">
        <v>0.4</v>
      </c>
      <c r="K98">
        <v>0</v>
      </c>
    </row>
    <row r="99" spans="2:11" x14ac:dyDescent="0.25">
      <c r="B99">
        <v>42</v>
      </c>
      <c r="C99">
        <f t="shared" si="390"/>
        <v>4.0634920634920633</v>
      </c>
      <c r="E99">
        <f t="shared" si="391"/>
        <v>-3.9384615384615387</v>
      </c>
      <c r="J99">
        <v>0.5</v>
      </c>
      <c r="K99">
        <v>0</v>
      </c>
    </row>
    <row r="100" spans="2:11" x14ac:dyDescent="0.25">
      <c r="B100">
        <v>44</v>
      </c>
      <c r="C100">
        <f t="shared" si="390"/>
        <v>3.8787878787878789</v>
      </c>
      <c r="E100">
        <f t="shared" si="391"/>
        <v>-4.129032258064516</v>
      </c>
    </row>
    <row r="101" spans="2:11" x14ac:dyDescent="0.25">
      <c r="B101">
        <v>61.5</v>
      </c>
      <c r="C101">
        <f t="shared" si="390"/>
        <v>2.7750677506775072</v>
      </c>
      <c r="E101">
        <f t="shared" si="391"/>
        <v>-7.1608391608391582</v>
      </c>
    </row>
    <row r="102" spans="2:11" x14ac:dyDescent="0.25">
      <c r="B102">
        <v>88</v>
      </c>
      <c r="C102">
        <f t="shared" si="390"/>
        <v>1.9393939393939394</v>
      </c>
      <c r="E102">
        <f t="shared" si="391"/>
        <v>64</v>
      </c>
    </row>
    <row r="103" spans="2:11" x14ac:dyDescent="0.25">
      <c r="B103">
        <v>99</v>
      </c>
      <c r="C103">
        <f t="shared" si="390"/>
        <v>1.7239057239057241</v>
      </c>
      <c r="E103">
        <f t="shared" si="391"/>
        <v>12.487804878048781</v>
      </c>
    </row>
    <row r="104" spans="2:11" x14ac:dyDescent="0.25">
      <c r="B104" s="34">
        <v>112</v>
      </c>
      <c r="C104" s="34">
        <f t="shared" si="390"/>
        <v>1.5238095238095237</v>
      </c>
      <c r="D104" s="34"/>
      <c r="E104" s="34">
        <f t="shared" si="391"/>
        <v>6.4</v>
      </c>
    </row>
    <row r="105" spans="2:11" x14ac:dyDescent="0.25">
      <c r="B105">
        <v>117</v>
      </c>
      <c r="C105">
        <f t="shared" si="390"/>
        <v>1.4586894586894588</v>
      </c>
      <c r="E105">
        <f t="shared" si="391"/>
        <v>5.3894736842105262</v>
      </c>
    </row>
    <row r="106" spans="2:11" x14ac:dyDescent="0.25">
      <c r="B106">
        <v>119</v>
      </c>
      <c r="C106">
        <f t="shared" si="390"/>
        <v>1.4341736694677871</v>
      </c>
      <c r="E106">
        <f t="shared" si="391"/>
        <v>5.0693069306930694</v>
      </c>
    </row>
    <row r="113" spans="14:18" x14ac:dyDescent="0.25">
      <c r="N113">
        <v>0.224</v>
      </c>
      <c r="O113">
        <f>+P113/N113</f>
        <v>11.834821428571427</v>
      </c>
      <c r="P113">
        <v>2.6509999999999998</v>
      </c>
      <c r="Q113">
        <f>2*PI()/P113</f>
        <v>2.3701189389587274</v>
      </c>
    </row>
    <row r="114" spans="14:18" x14ac:dyDescent="0.25">
      <c r="N114">
        <v>0.182</v>
      </c>
      <c r="O114">
        <v>11.834821428571427</v>
      </c>
      <c r="P114">
        <f>+N114*O114</f>
        <v>2.1539374999999996</v>
      </c>
      <c r="Q114">
        <f t="shared" ref="Q114:Q116" si="392">2*PI()/P114</f>
        <v>2.917069463333819</v>
      </c>
      <c r="R114">
        <f>1/(1/Q114-1/2)</f>
        <v>-6.3617197605280795</v>
      </c>
    </row>
    <row r="115" spans="14:18" x14ac:dyDescent="0.25">
      <c r="N115">
        <v>0.3</v>
      </c>
      <c r="O115">
        <v>11.834821428571427</v>
      </c>
      <c r="P115">
        <f>+N115*O115</f>
        <v>3.5504464285714281</v>
      </c>
      <c r="Q115">
        <f t="shared" si="392"/>
        <v>1.7696888077558499</v>
      </c>
      <c r="R115">
        <f>1/(1/Q115-1/2)</f>
        <v>15.36780553747319</v>
      </c>
    </row>
    <row r="116" spans="14:18" x14ac:dyDescent="0.25">
      <c r="N116">
        <v>0.42599999999999999</v>
      </c>
      <c r="O116">
        <v>11.834821428571427</v>
      </c>
      <c r="P116">
        <f>+N116*O116</f>
        <v>5.0416339285714278</v>
      </c>
      <c r="Q116">
        <f t="shared" si="392"/>
        <v>1.2462597237717254</v>
      </c>
    </row>
    <row r="134" spans="9:12" x14ac:dyDescent="0.25">
      <c r="I134">
        <f>2*PI()/I135</f>
        <v>2.3692252289515783</v>
      </c>
      <c r="J134" s="41">
        <f>2*PI()/J135</f>
        <v>0.70319585897462367</v>
      </c>
    </row>
    <row r="135" spans="9:12" x14ac:dyDescent="0.25">
      <c r="I135">
        <v>2.6520000000000001</v>
      </c>
      <c r="J135">
        <f>2*PI()+I135</f>
        <v>8.9351853071795873</v>
      </c>
    </row>
    <row r="136" spans="9:12" x14ac:dyDescent="0.25">
      <c r="I136">
        <f>2*PI()/I137</f>
        <v>1.1846126144757891</v>
      </c>
      <c r="J136" s="41">
        <f>2*PI()/J137</f>
        <v>0.5422529406935811</v>
      </c>
    </row>
    <row r="137" spans="9:12" x14ac:dyDescent="0.25">
      <c r="I137">
        <f>2*I135</f>
        <v>5.3040000000000003</v>
      </c>
      <c r="J137">
        <f>2*PI()+I137</f>
        <v>11.587185307179587</v>
      </c>
    </row>
    <row r="138" spans="9:12" x14ac:dyDescent="0.25">
      <c r="I138">
        <f>2*PI()/I139</f>
        <v>0.78974174298385946</v>
      </c>
      <c r="J138" s="41">
        <f>2*PI()/J139</f>
        <v>0.44126016844597993</v>
      </c>
      <c r="K138">
        <f>1/(1/I138+2)</f>
        <v>0.30616274431684526</v>
      </c>
      <c r="L138">
        <f>1/(1/I138+1)</f>
        <v>0.44126016844597982</v>
      </c>
    </row>
    <row r="139" spans="9:12" x14ac:dyDescent="0.25">
      <c r="I139">
        <f>3*I135</f>
        <v>7.9560000000000004</v>
      </c>
      <c r="J139">
        <f>2*PI()+I139</f>
        <v>14.239185307179586</v>
      </c>
    </row>
    <row r="140" spans="9:12" x14ac:dyDescent="0.25">
      <c r="I140">
        <f>2*PI()/I141</f>
        <v>0.59230630723789457</v>
      </c>
      <c r="J140" s="41">
        <f>2*PI()/J141</f>
        <v>0.37198013004504321</v>
      </c>
      <c r="K140">
        <f>1/(1/I140+2)</f>
        <v>0.27112647034679055</v>
      </c>
    </row>
    <row r="141" spans="9:12" x14ac:dyDescent="0.25">
      <c r="I141">
        <f>4*I135</f>
        <v>10.608000000000001</v>
      </c>
      <c r="J141">
        <f>2*PI()+I141</f>
        <v>16.891185307179587</v>
      </c>
    </row>
    <row r="143" spans="9:12" x14ac:dyDescent="0.25">
      <c r="K143">
        <f>10.608*3/4</f>
        <v>7.9560000000000004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3"/>
  <sheetViews>
    <sheetView workbookViewId="0">
      <selection activeCell="N9" sqref="N9"/>
    </sheetView>
  </sheetViews>
  <sheetFormatPr defaultRowHeight="15" x14ac:dyDescent="0.25"/>
  <sheetData>
    <row r="1" spans="1:19" x14ac:dyDescent="0.25">
      <c r="A1" t="s">
        <v>18</v>
      </c>
      <c r="B1" t="s">
        <v>23</v>
      </c>
      <c r="C1" t="s">
        <v>20</v>
      </c>
      <c r="D1" t="s">
        <v>21</v>
      </c>
      <c r="E1" t="s">
        <v>33</v>
      </c>
      <c r="F1" t="s">
        <v>34</v>
      </c>
      <c r="G1" t="s">
        <v>33</v>
      </c>
      <c r="H1" t="s">
        <v>35</v>
      </c>
    </row>
    <row r="2" spans="1:19" x14ac:dyDescent="0.25">
      <c r="A2">
        <v>1900</v>
      </c>
      <c r="B2">
        <v>6</v>
      </c>
      <c r="C2">
        <v>21</v>
      </c>
      <c r="D2">
        <v>2415192.4026700002</v>
      </c>
      <c r="E2">
        <v>12.247199999999999</v>
      </c>
      <c r="F2">
        <v>3.8058000000000001</v>
      </c>
    </row>
    <row r="3" spans="1:19" x14ac:dyDescent="0.25">
      <c r="A3">
        <v>1900</v>
      </c>
      <c r="B3">
        <v>12</v>
      </c>
      <c r="C3">
        <v>22</v>
      </c>
      <c r="D3">
        <v>2415375.77892</v>
      </c>
      <c r="E3">
        <v>-21.400300000000001</v>
      </c>
      <c r="F3">
        <v>2.7465999999999999</v>
      </c>
      <c r="I3">
        <v>30</v>
      </c>
      <c r="J3">
        <v>1.6E-2</v>
      </c>
      <c r="K3" t="s">
        <v>36</v>
      </c>
    </row>
    <row r="4" spans="1:19" x14ac:dyDescent="0.25">
      <c r="A4">
        <v>1901</v>
      </c>
      <c r="B4">
        <v>6</v>
      </c>
      <c r="C4">
        <v>22</v>
      </c>
      <c r="D4">
        <v>2415557.6443599998</v>
      </c>
      <c r="E4">
        <v>2.3694000000000002</v>
      </c>
      <c r="F4">
        <v>-4.9268000000000001</v>
      </c>
      <c r="K4">
        <v>96.2590919862281</v>
      </c>
      <c r="L4">
        <f>2*PI()/(K4-4*PI())*365.242</f>
        <v>27.420343494007234</v>
      </c>
      <c r="M4">
        <f>2*PI()/(K4)*365.242</f>
        <v>23.840689960936032</v>
      </c>
    </row>
    <row r="5" spans="1:19" x14ac:dyDescent="0.25">
      <c r="A5">
        <v>1901</v>
      </c>
      <c r="B5">
        <v>12</v>
      </c>
      <c r="C5">
        <v>22</v>
      </c>
      <c r="D5">
        <v>2415741.0254899999</v>
      </c>
      <c r="E5">
        <v>16.001200000000001</v>
      </c>
      <c r="F5">
        <v>-0.51749999999999996</v>
      </c>
      <c r="K5">
        <v>1.0415099681884601</v>
      </c>
      <c r="L5">
        <f>2*PI()/K5</f>
        <v>6.0327654070447174</v>
      </c>
    </row>
    <row r="6" spans="1:19" x14ac:dyDescent="0.25">
      <c r="A6">
        <v>1902</v>
      </c>
      <c r="B6">
        <v>6</v>
      </c>
      <c r="C6">
        <v>22</v>
      </c>
      <c r="D6">
        <v>2415922.8855900001</v>
      </c>
      <c r="E6">
        <v>-18.425000000000001</v>
      </c>
      <c r="F6">
        <v>4.8140999999999998</v>
      </c>
      <c r="K6">
        <v>84.332930431438996</v>
      </c>
      <c r="L6">
        <f>2*PI()/(K6)*365.242</f>
        <v>27.21218338108838</v>
      </c>
    </row>
    <row r="7" spans="1:19" x14ac:dyDescent="0.25">
      <c r="A7">
        <v>1902</v>
      </c>
      <c r="B7">
        <v>12</v>
      </c>
      <c r="C7">
        <v>22</v>
      </c>
      <c r="D7">
        <v>2416106.2747599999</v>
      </c>
      <c r="E7">
        <v>-6.0256999999999996</v>
      </c>
      <c r="F7">
        <v>-1.0329999999999999</v>
      </c>
      <c r="I7" t="s">
        <v>25</v>
      </c>
      <c r="J7" t="s">
        <v>26</v>
      </c>
      <c r="K7" t="s">
        <v>37</v>
      </c>
      <c r="L7" t="s">
        <v>28</v>
      </c>
      <c r="M7">
        <v>29.403707144216099</v>
      </c>
      <c r="N7" t="s">
        <v>28</v>
      </c>
      <c r="O7" t="s">
        <v>38</v>
      </c>
      <c r="P7" t="s">
        <v>28</v>
      </c>
      <c r="Q7" t="s">
        <v>39</v>
      </c>
      <c r="R7" t="s">
        <v>28</v>
      </c>
      <c r="S7" t="s">
        <v>40</v>
      </c>
    </row>
    <row r="8" spans="1:19" x14ac:dyDescent="0.25">
      <c r="A8">
        <v>1903</v>
      </c>
      <c r="B8">
        <v>6</v>
      </c>
      <c r="C8">
        <v>22</v>
      </c>
      <c r="D8">
        <v>2416288.1285199998</v>
      </c>
      <c r="E8">
        <v>14.7477</v>
      </c>
      <c r="F8">
        <v>-3.2968000000000002</v>
      </c>
      <c r="M8">
        <f>2*PI()/M7</f>
        <v>0.21368684147078815</v>
      </c>
      <c r="N8">
        <f>+M8*365.242</f>
        <v>78.047409352473608</v>
      </c>
    </row>
    <row r="9" spans="1:19" x14ac:dyDescent="0.25">
      <c r="A9">
        <v>1903</v>
      </c>
      <c r="B9">
        <v>12</v>
      </c>
      <c r="C9">
        <v>23</v>
      </c>
      <c r="D9">
        <v>2416471.5142799998</v>
      </c>
      <c r="E9">
        <v>-13.226000000000001</v>
      </c>
      <c r="F9">
        <v>3.6425999999999998</v>
      </c>
      <c r="M9">
        <f>+M7-2*PI()</f>
        <v>23.120521837036513</v>
      </c>
    </row>
    <row r="10" spans="1:19" x14ac:dyDescent="0.25">
      <c r="A10">
        <v>1904</v>
      </c>
      <c r="B10">
        <v>6</v>
      </c>
      <c r="C10">
        <v>21</v>
      </c>
      <c r="D10">
        <v>2416653.3690999998</v>
      </c>
      <c r="E10">
        <v>-5.2324000000000002</v>
      </c>
      <c r="F10">
        <v>2.0287999999999999</v>
      </c>
      <c r="M10">
        <f>2*PI()/M9</f>
        <v>0.27175793658405323</v>
      </c>
    </row>
    <row r="11" spans="1:19" x14ac:dyDescent="0.25">
      <c r="A11">
        <v>1904</v>
      </c>
      <c r="B11">
        <v>12</v>
      </c>
      <c r="C11">
        <v>22</v>
      </c>
      <c r="D11">
        <v>2416836.75979</v>
      </c>
      <c r="E11">
        <v>17.627500000000001</v>
      </c>
      <c r="F11">
        <v>-4.9245999999999999</v>
      </c>
      <c r="M11">
        <f>+M9-2*PI()</f>
        <v>16.837336529856927</v>
      </c>
    </row>
    <row r="12" spans="1:19" x14ac:dyDescent="0.25">
      <c r="A12">
        <v>1905</v>
      </c>
      <c r="B12">
        <v>6</v>
      </c>
      <c r="C12">
        <v>22</v>
      </c>
      <c r="D12">
        <v>2417018.61913</v>
      </c>
      <c r="E12">
        <v>-12.120100000000001</v>
      </c>
      <c r="F12">
        <v>0.1933</v>
      </c>
      <c r="M12">
        <f>2*PI()/M11</f>
        <v>0.37316978822855285</v>
      </c>
    </row>
    <row r="13" spans="1:19" x14ac:dyDescent="0.25">
      <c r="A13">
        <v>1905</v>
      </c>
      <c r="B13">
        <v>12</v>
      </c>
      <c r="C13">
        <v>22</v>
      </c>
      <c r="D13">
        <v>2417202.00269</v>
      </c>
      <c r="E13">
        <v>-10.810600000000001</v>
      </c>
      <c r="F13">
        <v>4.9843000000000002</v>
      </c>
      <c r="M13">
        <f>+M11-2*PI()</f>
        <v>10.554151222677341</v>
      </c>
    </row>
    <row r="14" spans="1:19" x14ac:dyDescent="0.25">
      <c r="A14">
        <v>1906</v>
      </c>
      <c r="B14">
        <v>6</v>
      </c>
      <c r="C14">
        <v>22</v>
      </c>
      <c r="D14">
        <v>2417383.8624900002</v>
      </c>
      <c r="E14">
        <v>19.711300000000001</v>
      </c>
      <c r="F14">
        <v>-3.1636000000000002</v>
      </c>
      <c r="M14">
        <f>2*PI()/M13</f>
        <v>0.59532833807413355</v>
      </c>
      <c r="N14">
        <f>+M14*365.242</f>
        <v>217.43891285487268</v>
      </c>
    </row>
    <row r="15" spans="1:19" x14ac:dyDescent="0.25">
      <c r="A15">
        <v>1906</v>
      </c>
      <c r="B15">
        <v>12</v>
      </c>
      <c r="C15">
        <v>22</v>
      </c>
      <c r="D15">
        <v>2417567.24547</v>
      </c>
      <c r="E15">
        <v>-4.2742000000000004</v>
      </c>
      <c r="F15">
        <v>-4.4420000000000002</v>
      </c>
      <c r="M15">
        <f>+M13-2*PI()</f>
        <v>4.2709659154977544</v>
      </c>
    </row>
    <row r="16" spans="1:19" x14ac:dyDescent="0.25">
      <c r="A16">
        <v>1907</v>
      </c>
      <c r="B16">
        <v>6</v>
      </c>
      <c r="C16">
        <v>22</v>
      </c>
      <c r="D16">
        <v>2417749.0994600002</v>
      </c>
      <c r="E16">
        <v>-12.084</v>
      </c>
      <c r="F16">
        <v>4.9198000000000004</v>
      </c>
      <c r="M16">
        <f>2*PI()/M15</f>
        <v>1.4711391829141582</v>
      </c>
    </row>
    <row r="17" spans="1:13" x14ac:dyDescent="0.25">
      <c r="A17">
        <v>1907</v>
      </c>
      <c r="B17">
        <v>12</v>
      </c>
      <c r="C17">
        <v>22</v>
      </c>
      <c r="D17">
        <v>2417932.4942800002</v>
      </c>
      <c r="E17">
        <v>20.345300000000002</v>
      </c>
      <c r="F17">
        <v>1.9003000000000001</v>
      </c>
      <c r="M17">
        <f>+M15-2*PI()</f>
        <v>-2.0122193916818318</v>
      </c>
    </row>
    <row r="18" spans="1:13" x14ac:dyDescent="0.25">
      <c r="A18">
        <v>1908</v>
      </c>
      <c r="B18">
        <v>6</v>
      </c>
      <c r="C18">
        <v>21</v>
      </c>
      <c r="D18">
        <v>2418114.3467199998</v>
      </c>
      <c r="E18">
        <v>-2.3797000000000001</v>
      </c>
      <c r="F18">
        <v>-5.2793999999999999</v>
      </c>
      <c r="M18">
        <f>2*PI()/M17</f>
        <v>-3.122515036458346</v>
      </c>
    </row>
    <row r="19" spans="1:13" x14ac:dyDescent="0.25">
      <c r="A19">
        <v>1908</v>
      </c>
      <c r="B19">
        <v>12</v>
      </c>
      <c r="C19">
        <v>22</v>
      </c>
      <c r="D19">
        <v>2418297.7316999999</v>
      </c>
      <c r="E19">
        <v>-22.1234</v>
      </c>
      <c r="F19">
        <v>1.1191</v>
      </c>
      <c r="M19">
        <f>+M17+14*2*PI()</f>
        <v>85.952374908832383</v>
      </c>
    </row>
    <row r="20" spans="1:13" x14ac:dyDescent="0.25">
      <c r="A20">
        <v>1909</v>
      </c>
      <c r="B20">
        <v>6</v>
      </c>
      <c r="C20">
        <v>22</v>
      </c>
      <c r="D20">
        <v>2418479.5873599998</v>
      </c>
      <c r="E20">
        <v>18.688400000000001</v>
      </c>
      <c r="F20">
        <v>4.6695000000000002</v>
      </c>
      <c r="M20">
        <f>2*PI()/M19*365.242</f>
        <v>26.699473637569806</v>
      </c>
    </row>
    <row r="21" spans="1:13" x14ac:dyDescent="0.25">
      <c r="A21">
        <v>1909</v>
      </c>
      <c r="B21">
        <v>12</v>
      </c>
      <c r="C21">
        <v>22</v>
      </c>
      <c r="D21">
        <v>2418662.9722600002</v>
      </c>
      <c r="E21">
        <v>8.2881</v>
      </c>
      <c r="F21">
        <v>-3.0884</v>
      </c>
    </row>
    <row r="22" spans="1:13" x14ac:dyDescent="0.25">
      <c r="A22">
        <v>1910</v>
      </c>
      <c r="B22">
        <v>6</v>
      </c>
      <c r="C22">
        <v>22</v>
      </c>
      <c r="D22">
        <v>2418844.8256700002</v>
      </c>
      <c r="E22">
        <v>-26.051600000000001</v>
      </c>
      <c r="F22">
        <v>-2.2942999999999998</v>
      </c>
    </row>
    <row r="23" spans="1:13" x14ac:dyDescent="0.25">
      <c r="A23">
        <v>1910</v>
      </c>
      <c r="B23">
        <v>12</v>
      </c>
      <c r="C23">
        <v>22</v>
      </c>
      <c r="D23">
        <v>2419028.21667</v>
      </c>
      <c r="E23">
        <v>6.5316000000000001</v>
      </c>
      <c r="F23">
        <v>4.3400999999999996</v>
      </c>
    </row>
    <row r="24" spans="1:13" x14ac:dyDescent="0.25">
      <c r="A24">
        <v>1911</v>
      </c>
      <c r="B24">
        <v>6</v>
      </c>
      <c r="C24">
        <v>22</v>
      </c>
      <c r="D24">
        <v>2419210.06654</v>
      </c>
      <c r="E24">
        <v>11.856400000000001</v>
      </c>
      <c r="F24">
        <v>-0.40260000000000001</v>
      </c>
    </row>
    <row r="25" spans="1:13" x14ac:dyDescent="0.25">
      <c r="A25">
        <v>1911</v>
      </c>
      <c r="B25">
        <v>12</v>
      </c>
      <c r="C25">
        <v>22</v>
      </c>
      <c r="D25">
        <v>2419393.4537999998</v>
      </c>
      <c r="E25">
        <v>-26.4876</v>
      </c>
      <c r="F25">
        <v>-5.0345000000000004</v>
      </c>
    </row>
    <row r="26" spans="1:13" x14ac:dyDescent="0.25">
      <c r="A26">
        <v>1912</v>
      </c>
      <c r="B26">
        <v>6</v>
      </c>
      <c r="C26">
        <v>21</v>
      </c>
      <c r="D26">
        <v>2419575.3036000002</v>
      </c>
      <c r="E26">
        <v>1.1146</v>
      </c>
      <c r="F26">
        <v>1.6934</v>
      </c>
    </row>
    <row r="27" spans="1:13" x14ac:dyDescent="0.25">
      <c r="A27">
        <v>1912</v>
      </c>
      <c r="B27">
        <v>12</v>
      </c>
      <c r="C27">
        <v>22</v>
      </c>
      <c r="D27">
        <v>2419758.6979200002</v>
      </c>
      <c r="E27">
        <v>24.0867</v>
      </c>
      <c r="F27">
        <v>4.0888</v>
      </c>
    </row>
    <row r="28" spans="1:13" x14ac:dyDescent="0.25">
      <c r="A28">
        <v>1913</v>
      </c>
      <c r="B28">
        <v>6</v>
      </c>
      <c r="C28">
        <v>22</v>
      </c>
      <c r="D28">
        <v>2419940.5484699998</v>
      </c>
      <c r="E28">
        <v>-22.6676</v>
      </c>
      <c r="F28">
        <v>-3.8275000000000001</v>
      </c>
    </row>
    <row r="29" spans="1:13" x14ac:dyDescent="0.25">
      <c r="A29">
        <v>1913</v>
      </c>
      <c r="B29">
        <v>12</v>
      </c>
      <c r="C29">
        <v>22</v>
      </c>
      <c r="D29">
        <v>2420123.94111</v>
      </c>
      <c r="E29">
        <v>-12.424300000000001</v>
      </c>
      <c r="F29">
        <v>-2.8593999999999999</v>
      </c>
    </row>
    <row r="30" spans="1:13" x14ac:dyDescent="0.25">
      <c r="A30">
        <v>1914</v>
      </c>
      <c r="B30">
        <v>6</v>
      </c>
      <c r="C30">
        <v>22</v>
      </c>
      <c r="D30">
        <v>2420305.7884499999</v>
      </c>
      <c r="E30">
        <v>27.028700000000001</v>
      </c>
      <c r="F30">
        <v>5.0071000000000003</v>
      </c>
    </row>
    <row r="31" spans="1:13" x14ac:dyDescent="0.25">
      <c r="A31">
        <v>1914</v>
      </c>
      <c r="B31">
        <v>12</v>
      </c>
      <c r="C31">
        <v>22</v>
      </c>
      <c r="D31">
        <v>2420489.1824699999</v>
      </c>
      <c r="E31">
        <v>-7.1166999999999998</v>
      </c>
      <c r="F31">
        <v>1.1367</v>
      </c>
    </row>
    <row r="32" spans="1:13" x14ac:dyDescent="0.25">
      <c r="A32">
        <v>1915</v>
      </c>
      <c r="B32">
        <v>6</v>
      </c>
      <c r="C32">
        <v>22</v>
      </c>
      <c r="D32">
        <v>2420671.0206399998</v>
      </c>
      <c r="E32">
        <v>-14.721399999999999</v>
      </c>
      <c r="F32">
        <v>-4.7037000000000004</v>
      </c>
    </row>
    <row r="33" spans="1:6" x14ac:dyDescent="0.25">
      <c r="A33">
        <v>1915</v>
      </c>
      <c r="B33">
        <v>12</v>
      </c>
      <c r="C33">
        <v>22</v>
      </c>
      <c r="D33">
        <v>2420854.4278699998</v>
      </c>
      <c r="E33">
        <v>24.228899999999999</v>
      </c>
      <c r="F33">
        <v>2.0587</v>
      </c>
    </row>
    <row r="34" spans="1:6" x14ac:dyDescent="0.25">
      <c r="A34">
        <v>1916</v>
      </c>
      <c r="B34">
        <v>6</v>
      </c>
      <c r="C34">
        <v>21</v>
      </c>
      <c r="D34">
        <v>2421036.2672100002</v>
      </c>
      <c r="E34">
        <v>-0.8931</v>
      </c>
      <c r="F34">
        <v>4.0598000000000001</v>
      </c>
    </row>
    <row r="35" spans="1:6" x14ac:dyDescent="0.25">
      <c r="A35">
        <v>1916</v>
      </c>
      <c r="B35">
        <v>12</v>
      </c>
      <c r="C35">
        <v>22</v>
      </c>
      <c r="D35">
        <v>2421219.66591</v>
      </c>
      <c r="E35">
        <v>-23.674099999999999</v>
      </c>
      <c r="F35">
        <v>-4.3886000000000003</v>
      </c>
    </row>
    <row r="36" spans="1:6" x14ac:dyDescent="0.25">
      <c r="A36">
        <v>1917</v>
      </c>
      <c r="B36">
        <v>6</v>
      </c>
      <c r="C36">
        <v>22</v>
      </c>
      <c r="D36">
        <v>2421401.51021</v>
      </c>
      <c r="E36">
        <v>18.226299999999998</v>
      </c>
      <c r="F36">
        <v>-1.5657000000000001</v>
      </c>
    </row>
    <row r="37" spans="1:6" x14ac:dyDescent="0.25">
      <c r="A37">
        <v>1917</v>
      </c>
      <c r="B37">
        <v>12</v>
      </c>
      <c r="C37">
        <v>22</v>
      </c>
      <c r="D37">
        <v>2421584.90699</v>
      </c>
      <c r="E37">
        <v>9.8821999999999992</v>
      </c>
      <c r="F37">
        <v>5.1410999999999998</v>
      </c>
    </row>
    <row r="38" spans="1:6" x14ac:dyDescent="0.25">
      <c r="A38">
        <v>1918</v>
      </c>
      <c r="B38">
        <v>6</v>
      </c>
      <c r="C38">
        <v>22</v>
      </c>
      <c r="D38">
        <v>2421766.7500100001</v>
      </c>
      <c r="E38">
        <v>-23.0442</v>
      </c>
      <c r="F38">
        <v>-1.6892</v>
      </c>
    </row>
    <row r="39" spans="1:6" x14ac:dyDescent="0.25">
      <c r="A39">
        <v>1918</v>
      </c>
      <c r="B39">
        <v>12</v>
      </c>
      <c r="C39">
        <v>22</v>
      </c>
      <c r="D39">
        <v>2421950.1540999999</v>
      </c>
      <c r="E39">
        <v>5.6879</v>
      </c>
      <c r="F39">
        <v>-5.1456999999999997</v>
      </c>
    </row>
    <row r="40" spans="1:6" x14ac:dyDescent="0.25">
      <c r="A40">
        <v>1919</v>
      </c>
      <c r="B40">
        <v>6</v>
      </c>
      <c r="C40">
        <v>22</v>
      </c>
      <c r="D40">
        <v>2422131.9958100002</v>
      </c>
      <c r="E40">
        <v>9.3162000000000003</v>
      </c>
      <c r="F40">
        <v>3.8460999999999999</v>
      </c>
    </row>
    <row r="41" spans="1:6" x14ac:dyDescent="0.25">
      <c r="A41">
        <v>1919</v>
      </c>
      <c r="B41">
        <v>12</v>
      </c>
      <c r="C41">
        <v>22</v>
      </c>
      <c r="D41">
        <v>2422315.3940900001</v>
      </c>
      <c r="E41">
        <v>-20.467199999999998</v>
      </c>
      <c r="F41">
        <v>3.3632</v>
      </c>
    </row>
    <row r="42" spans="1:6" x14ac:dyDescent="0.25">
      <c r="A42">
        <v>1920</v>
      </c>
      <c r="B42">
        <v>6</v>
      </c>
      <c r="C42">
        <v>21</v>
      </c>
      <c r="D42">
        <v>2422497.2362600002</v>
      </c>
      <c r="E42">
        <v>2.4885999999999999</v>
      </c>
      <c r="F42">
        <v>-4.6288999999999998</v>
      </c>
    </row>
    <row r="43" spans="1:6" x14ac:dyDescent="0.25">
      <c r="A43">
        <v>1920</v>
      </c>
      <c r="B43">
        <v>12</v>
      </c>
      <c r="C43">
        <v>22</v>
      </c>
      <c r="D43">
        <v>2422680.6370799998</v>
      </c>
      <c r="E43">
        <v>14.3506</v>
      </c>
      <c r="F43">
        <v>-0.72529999999999994</v>
      </c>
    </row>
    <row r="44" spans="1:6" x14ac:dyDescent="0.25">
      <c r="A44">
        <v>1921</v>
      </c>
      <c r="B44">
        <v>6</v>
      </c>
      <c r="C44">
        <v>21</v>
      </c>
      <c r="D44">
        <v>2422862.4833800001</v>
      </c>
      <c r="E44">
        <v>-18.157599999999999</v>
      </c>
      <c r="F44">
        <v>5</v>
      </c>
    </row>
    <row r="45" spans="1:6" x14ac:dyDescent="0.25">
      <c r="A45">
        <v>1921</v>
      </c>
      <c r="B45">
        <v>12</v>
      </c>
      <c r="C45">
        <v>22</v>
      </c>
      <c r="D45">
        <v>2423045.8804500001</v>
      </c>
      <c r="E45">
        <v>-4.2138</v>
      </c>
      <c r="F45">
        <v>-0.69489999999999996</v>
      </c>
    </row>
    <row r="46" spans="1:6" x14ac:dyDescent="0.25">
      <c r="A46">
        <v>1922</v>
      </c>
      <c r="B46">
        <v>6</v>
      </c>
      <c r="C46">
        <v>22</v>
      </c>
      <c r="D46">
        <v>2423227.7271599998</v>
      </c>
      <c r="E46">
        <v>14.351000000000001</v>
      </c>
      <c r="F46">
        <v>-3.7562000000000002</v>
      </c>
    </row>
    <row r="47" spans="1:6" x14ac:dyDescent="0.25">
      <c r="A47">
        <v>1922</v>
      </c>
      <c r="B47">
        <v>12</v>
      </c>
      <c r="C47">
        <v>22</v>
      </c>
      <c r="D47">
        <v>2423411.12316</v>
      </c>
      <c r="E47">
        <v>-12.9117</v>
      </c>
      <c r="F47">
        <v>2.8437999999999999</v>
      </c>
    </row>
    <row r="48" spans="1:6" x14ac:dyDescent="0.25">
      <c r="A48">
        <v>1923</v>
      </c>
      <c r="B48">
        <v>6</v>
      </c>
      <c r="C48">
        <v>22</v>
      </c>
      <c r="D48">
        <v>2423592.9605299998</v>
      </c>
      <c r="E48">
        <v>-1.9991000000000001</v>
      </c>
      <c r="F48">
        <v>2.0003000000000002</v>
      </c>
    </row>
    <row r="49" spans="1:6" x14ac:dyDescent="0.25">
      <c r="A49">
        <v>1923</v>
      </c>
      <c r="B49">
        <v>12</v>
      </c>
      <c r="C49">
        <v>22</v>
      </c>
      <c r="D49">
        <v>2423776.3706100001</v>
      </c>
      <c r="E49">
        <v>18.150600000000001</v>
      </c>
      <c r="F49">
        <v>-4.7138999999999998</v>
      </c>
    </row>
    <row r="50" spans="1:6" x14ac:dyDescent="0.25">
      <c r="A50">
        <v>1924</v>
      </c>
      <c r="B50">
        <v>6</v>
      </c>
      <c r="C50">
        <v>21</v>
      </c>
      <c r="D50">
        <v>2423958.2081900002</v>
      </c>
      <c r="E50">
        <v>-12.207800000000001</v>
      </c>
      <c r="F50">
        <v>-0.6048</v>
      </c>
    </row>
    <row r="51" spans="1:6" x14ac:dyDescent="0.25">
      <c r="A51">
        <v>1924</v>
      </c>
      <c r="B51">
        <v>12</v>
      </c>
      <c r="C51">
        <v>22</v>
      </c>
      <c r="D51">
        <v>2424141.61521</v>
      </c>
      <c r="E51">
        <v>-8.7713000000000001</v>
      </c>
      <c r="F51">
        <v>5.0613000000000001</v>
      </c>
    </row>
    <row r="52" spans="1:6" x14ac:dyDescent="0.25">
      <c r="A52">
        <v>1925</v>
      </c>
      <c r="B52">
        <v>6</v>
      </c>
      <c r="C52">
        <v>21</v>
      </c>
      <c r="D52">
        <v>2424323.4516599998</v>
      </c>
      <c r="E52">
        <v>20.007300000000001</v>
      </c>
      <c r="F52">
        <v>-2.3957999999999999</v>
      </c>
    </row>
    <row r="53" spans="1:6" x14ac:dyDescent="0.25">
      <c r="A53">
        <v>1925</v>
      </c>
      <c r="B53">
        <v>12</v>
      </c>
      <c r="C53">
        <v>22</v>
      </c>
      <c r="D53">
        <v>2424506.8590699998</v>
      </c>
      <c r="E53">
        <v>-5.5137</v>
      </c>
      <c r="F53">
        <v>-4.6721000000000004</v>
      </c>
    </row>
    <row r="54" spans="1:6" x14ac:dyDescent="0.25">
      <c r="A54">
        <v>1926</v>
      </c>
      <c r="B54">
        <v>6</v>
      </c>
      <c r="C54">
        <v>22</v>
      </c>
      <c r="D54">
        <v>2424688.68781</v>
      </c>
      <c r="E54">
        <v>-11.8042</v>
      </c>
      <c r="F54">
        <v>4.7206000000000001</v>
      </c>
    </row>
    <row r="55" spans="1:6" x14ac:dyDescent="0.25">
      <c r="A55">
        <v>1926</v>
      </c>
      <c r="B55">
        <v>12</v>
      </c>
      <c r="C55">
        <v>22</v>
      </c>
      <c r="D55">
        <v>2424872.10678</v>
      </c>
      <c r="E55">
        <v>19.7563</v>
      </c>
      <c r="F55">
        <v>2.8302</v>
      </c>
    </row>
    <row r="56" spans="1:6" x14ac:dyDescent="0.25">
      <c r="A56">
        <v>1927</v>
      </c>
      <c r="B56">
        <v>6</v>
      </c>
      <c r="C56">
        <v>22</v>
      </c>
      <c r="D56">
        <v>2425053.9323700001</v>
      </c>
      <c r="E56">
        <v>-5.6245000000000003</v>
      </c>
      <c r="F56">
        <v>-5.2774999999999999</v>
      </c>
    </row>
    <row r="57" spans="1:6" x14ac:dyDescent="0.25">
      <c r="A57">
        <v>1927</v>
      </c>
      <c r="B57">
        <v>12</v>
      </c>
      <c r="C57">
        <v>22</v>
      </c>
      <c r="D57">
        <v>2425237.3464700002</v>
      </c>
      <c r="E57">
        <v>-22.666399999999999</v>
      </c>
      <c r="F57">
        <v>0.3604</v>
      </c>
    </row>
    <row r="58" spans="1:6" x14ac:dyDescent="0.25">
      <c r="A58">
        <v>1928</v>
      </c>
      <c r="B58">
        <v>6</v>
      </c>
      <c r="C58">
        <v>21</v>
      </c>
      <c r="D58">
        <v>2425419.17142</v>
      </c>
      <c r="E58">
        <v>18.763000000000002</v>
      </c>
      <c r="F58">
        <v>4.9847999999999999</v>
      </c>
    </row>
    <row r="59" spans="1:6" x14ac:dyDescent="0.25">
      <c r="A59">
        <v>1928</v>
      </c>
      <c r="B59">
        <v>12</v>
      </c>
      <c r="C59">
        <v>22</v>
      </c>
      <c r="D59">
        <v>2425602.5861800001</v>
      </c>
      <c r="E59">
        <v>5.8811999999999998</v>
      </c>
      <c r="F59">
        <v>-3.0600999999999998</v>
      </c>
    </row>
    <row r="60" spans="1:6" x14ac:dyDescent="0.25">
      <c r="A60">
        <v>1929</v>
      </c>
      <c r="B60">
        <v>6</v>
      </c>
      <c r="C60">
        <v>21</v>
      </c>
      <c r="D60">
        <v>2425784.4174000002</v>
      </c>
      <c r="E60">
        <v>-27.346299999999999</v>
      </c>
      <c r="F60">
        <v>-3.0655000000000001</v>
      </c>
    </row>
    <row r="61" spans="1:6" x14ac:dyDescent="0.25">
      <c r="A61">
        <v>1929</v>
      </c>
      <c r="B61">
        <v>12</v>
      </c>
      <c r="C61">
        <v>22</v>
      </c>
      <c r="D61">
        <v>2425967.82859</v>
      </c>
      <c r="E61">
        <v>6.8384</v>
      </c>
      <c r="F61">
        <v>3.9802</v>
      </c>
    </row>
    <row r="62" spans="1:6" x14ac:dyDescent="0.25">
      <c r="A62">
        <v>1930</v>
      </c>
      <c r="B62">
        <v>6</v>
      </c>
      <c r="C62">
        <v>22</v>
      </c>
      <c r="D62">
        <v>2426149.6619799999</v>
      </c>
      <c r="E62">
        <v>11.7629</v>
      </c>
      <c r="F62">
        <v>0.1066</v>
      </c>
    </row>
    <row r="63" spans="1:6" x14ac:dyDescent="0.25">
      <c r="A63">
        <v>1930</v>
      </c>
      <c r="B63">
        <v>12</v>
      </c>
      <c r="C63">
        <v>22</v>
      </c>
      <c r="D63">
        <v>2426333.0694200001</v>
      </c>
      <c r="E63">
        <v>-26.1294</v>
      </c>
      <c r="F63">
        <v>-4.9787999999999997</v>
      </c>
    </row>
    <row r="64" spans="1:6" x14ac:dyDescent="0.25">
      <c r="A64">
        <v>1931</v>
      </c>
      <c r="B64">
        <v>6</v>
      </c>
      <c r="C64">
        <v>22</v>
      </c>
      <c r="D64">
        <v>2426514.8947800002</v>
      </c>
      <c r="E64">
        <v>4.0067000000000004</v>
      </c>
      <c r="F64">
        <v>1.6517999999999999</v>
      </c>
    </row>
    <row r="65" spans="1:6" x14ac:dyDescent="0.25">
      <c r="A65">
        <v>1931</v>
      </c>
      <c r="B65">
        <v>12</v>
      </c>
      <c r="C65">
        <v>22</v>
      </c>
      <c r="D65">
        <v>2426698.3125</v>
      </c>
      <c r="E65">
        <v>25.0227</v>
      </c>
      <c r="F65">
        <v>4.4748999999999999</v>
      </c>
    </row>
    <row r="66" spans="1:6" x14ac:dyDescent="0.25">
      <c r="A66">
        <v>1932</v>
      </c>
      <c r="B66">
        <v>6</v>
      </c>
      <c r="C66">
        <v>21</v>
      </c>
      <c r="D66">
        <v>2426880.1410099999</v>
      </c>
      <c r="E66">
        <v>-21.065999999999999</v>
      </c>
      <c r="F66">
        <v>-3.2153</v>
      </c>
    </row>
    <row r="67" spans="1:6" x14ac:dyDescent="0.25">
      <c r="A67">
        <v>1932</v>
      </c>
      <c r="B67">
        <v>12</v>
      </c>
      <c r="C67">
        <v>22</v>
      </c>
      <c r="D67">
        <v>2427063.5518499999</v>
      </c>
      <c r="E67">
        <v>-9.4862000000000002</v>
      </c>
      <c r="F67">
        <v>-2.8862999999999999</v>
      </c>
    </row>
    <row r="68" spans="1:6" x14ac:dyDescent="0.25">
      <c r="A68">
        <v>1933</v>
      </c>
      <c r="B68">
        <v>6</v>
      </c>
      <c r="C68">
        <v>21</v>
      </c>
      <c r="D68">
        <v>2427245.3835100001</v>
      </c>
      <c r="E68">
        <v>26.786200000000001</v>
      </c>
      <c r="F68">
        <v>4.8388999999999998</v>
      </c>
    </row>
    <row r="69" spans="1:6" x14ac:dyDescent="0.25">
      <c r="A69">
        <v>1933</v>
      </c>
      <c r="B69">
        <v>12</v>
      </c>
      <c r="C69">
        <v>22</v>
      </c>
      <c r="D69">
        <v>2427428.7902199998</v>
      </c>
      <c r="E69">
        <v>-6.5415999999999999</v>
      </c>
      <c r="F69">
        <v>1.7813000000000001</v>
      </c>
    </row>
    <row r="70" spans="1:6" x14ac:dyDescent="0.25">
      <c r="A70">
        <v>1934</v>
      </c>
      <c r="B70">
        <v>6</v>
      </c>
      <c r="C70">
        <v>22</v>
      </c>
      <c r="D70">
        <v>2427610.6169099999</v>
      </c>
      <c r="E70">
        <v>-13.6721</v>
      </c>
      <c r="F70">
        <v>-4.8933999999999997</v>
      </c>
    </row>
    <row r="71" spans="1:6" x14ac:dyDescent="0.25">
      <c r="A71">
        <v>1934</v>
      </c>
      <c r="B71">
        <v>12</v>
      </c>
      <c r="C71">
        <v>22</v>
      </c>
      <c r="D71">
        <v>2427794.03462</v>
      </c>
      <c r="E71">
        <v>22.4284</v>
      </c>
      <c r="F71">
        <v>1.1465000000000001</v>
      </c>
    </row>
    <row r="72" spans="1:6" x14ac:dyDescent="0.25">
      <c r="A72">
        <v>1935</v>
      </c>
      <c r="B72">
        <v>6</v>
      </c>
      <c r="C72">
        <v>22</v>
      </c>
      <c r="D72">
        <v>2427975.85995</v>
      </c>
      <c r="E72">
        <v>-3.4323000000000001</v>
      </c>
      <c r="F72">
        <v>4.1086999999999998</v>
      </c>
    </row>
    <row r="73" spans="1:6" x14ac:dyDescent="0.25">
      <c r="A73">
        <v>1935</v>
      </c>
      <c r="B73">
        <v>12</v>
      </c>
      <c r="C73">
        <v>22</v>
      </c>
      <c r="D73">
        <v>2428159.2760600001</v>
      </c>
      <c r="E73">
        <v>-23.0777</v>
      </c>
      <c r="F73">
        <v>-3.9605999999999999</v>
      </c>
    </row>
    <row r="74" spans="1:6" x14ac:dyDescent="0.25">
      <c r="A74">
        <v>1936</v>
      </c>
      <c r="B74">
        <v>6</v>
      </c>
      <c r="C74">
        <v>21</v>
      </c>
      <c r="D74">
        <v>2428341.0986500001</v>
      </c>
      <c r="E74">
        <v>17.296099999999999</v>
      </c>
      <c r="F74">
        <v>-2.3757999999999999</v>
      </c>
    </row>
    <row r="75" spans="1:6" x14ac:dyDescent="0.25">
      <c r="A75">
        <v>1936</v>
      </c>
      <c r="B75">
        <v>12</v>
      </c>
      <c r="C75">
        <v>22</v>
      </c>
      <c r="D75">
        <v>2428524.51883</v>
      </c>
      <c r="E75">
        <v>6.7649999999999997</v>
      </c>
      <c r="F75">
        <v>5.1627000000000001</v>
      </c>
    </row>
    <row r="76" spans="1:6" x14ac:dyDescent="0.25">
      <c r="A76">
        <v>1937</v>
      </c>
      <c r="B76">
        <v>6</v>
      </c>
      <c r="C76">
        <v>21</v>
      </c>
      <c r="D76">
        <v>2428706.3419599999</v>
      </c>
      <c r="E76">
        <v>-23.050799999999999</v>
      </c>
      <c r="F76">
        <v>-0.77110000000000001</v>
      </c>
    </row>
    <row r="77" spans="1:6" x14ac:dyDescent="0.25">
      <c r="A77">
        <v>1937</v>
      </c>
      <c r="B77">
        <v>12</v>
      </c>
      <c r="C77">
        <v>22</v>
      </c>
      <c r="D77">
        <v>2428889.7653399999</v>
      </c>
      <c r="E77">
        <v>5.3925000000000001</v>
      </c>
      <c r="F77">
        <v>-5.2381000000000002</v>
      </c>
    </row>
    <row r="78" spans="1:6" x14ac:dyDescent="0.25">
      <c r="A78">
        <v>1938</v>
      </c>
      <c r="B78">
        <v>6</v>
      </c>
      <c r="C78">
        <v>22</v>
      </c>
      <c r="D78">
        <v>2429071.5861200001</v>
      </c>
      <c r="E78">
        <v>7.4839000000000002</v>
      </c>
      <c r="F78">
        <v>3.6423999999999999</v>
      </c>
    </row>
    <row r="79" spans="1:6" x14ac:dyDescent="0.25">
      <c r="A79">
        <v>1938</v>
      </c>
      <c r="B79">
        <v>12</v>
      </c>
      <c r="C79">
        <v>22</v>
      </c>
      <c r="D79">
        <v>2429255.0095899999</v>
      </c>
      <c r="E79">
        <v>-20.030200000000001</v>
      </c>
      <c r="F79">
        <v>4.0080999999999998</v>
      </c>
    </row>
    <row r="80" spans="1:6" x14ac:dyDescent="0.25">
      <c r="A80">
        <v>1939</v>
      </c>
      <c r="B80">
        <v>6</v>
      </c>
      <c r="C80">
        <v>22</v>
      </c>
      <c r="D80">
        <v>2429436.8193399999</v>
      </c>
      <c r="E80">
        <v>4.6135000000000002</v>
      </c>
      <c r="F80">
        <v>-4.5057</v>
      </c>
    </row>
    <row r="81" spans="1:6" x14ac:dyDescent="0.25">
      <c r="A81">
        <v>1939</v>
      </c>
      <c r="B81">
        <v>12</v>
      </c>
      <c r="C81">
        <v>22</v>
      </c>
      <c r="D81">
        <v>2429620.2544399998</v>
      </c>
      <c r="E81">
        <v>13.9696</v>
      </c>
      <c r="F81">
        <v>-1.407</v>
      </c>
    </row>
    <row r="82" spans="1:6" x14ac:dyDescent="0.25">
      <c r="A82">
        <v>1940</v>
      </c>
      <c r="B82">
        <v>6</v>
      </c>
      <c r="C82">
        <v>21</v>
      </c>
      <c r="D82">
        <v>2429802.0672599999</v>
      </c>
      <c r="E82">
        <v>-17.494599999999998</v>
      </c>
      <c r="F82">
        <v>5.0278</v>
      </c>
    </row>
    <row r="83" spans="1:6" x14ac:dyDescent="0.25">
      <c r="A83">
        <v>1940</v>
      </c>
      <c r="B83">
        <v>12</v>
      </c>
      <c r="C83">
        <v>21</v>
      </c>
      <c r="D83">
        <v>2429985.49664</v>
      </c>
      <c r="E83">
        <v>-1.0006999999999999</v>
      </c>
      <c r="F83">
        <v>-0.70809999999999995</v>
      </c>
    </row>
    <row r="84" spans="1:6" x14ac:dyDescent="0.25">
      <c r="A84">
        <v>1941</v>
      </c>
      <c r="B84">
        <v>6</v>
      </c>
      <c r="C84">
        <v>21</v>
      </c>
      <c r="D84">
        <v>2430167.3150900002</v>
      </c>
      <c r="E84">
        <v>14.368</v>
      </c>
      <c r="F84">
        <v>-4.3087999999999997</v>
      </c>
    </row>
    <row r="85" spans="1:6" x14ac:dyDescent="0.25">
      <c r="A85">
        <v>1941</v>
      </c>
      <c r="B85">
        <v>12</v>
      </c>
      <c r="C85">
        <v>22</v>
      </c>
      <c r="D85">
        <v>2430350.7392899999</v>
      </c>
      <c r="E85">
        <v>-12.8916</v>
      </c>
      <c r="F85">
        <v>2.1334</v>
      </c>
    </row>
    <row r="86" spans="1:6" x14ac:dyDescent="0.25">
      <c r="A86">
        <v>1942</v>
      </c>
      <c r="B86">
        <v>6</v>
      </c>
      <c r="C86">
        <v>22</v>
      </c>
      <c r="D86">
        <v>2430532.55326</v>
      </c>
      <c r="E86">
        <v>0.37959999999999999</v>
      </c>
      <c r="F86">
        <v>2.2065000000000001</v>
      </c>
    </row>
    <row r="87" spans="1:6" x14ac:dyDescent="0.25">
      <c r="A87">
        <v>1942</v>
      </c>
      <c r="B87">
        <v>12</v>
      </c>
      <c r="C87">
        <v>22</v>
      </c>
      <c r="D87">
        <v>2430715.9861099999</v>
      </c>
      <c r="E87">
        <v>18.299099999999999</v>
      </c>
      <c r="F87">
        <v>-4.3098000000000001</v>
      </c>
    </row>
    <row r="88" spans="1:6" x14ac:dyDescent="0.25">
      <c r="A88">
        <v>1943</v>
      </c>
      <c r="B88">
        <v>6</v>
      </c>
      <c r="C88">
        <v>22</v>
      </c>
      <c r="D88">
        <v>2430897.8005400002</v>
      </c>
      <c r="E88">
        <v>-14.2447</v>
      </c>
      <c r="F88">
        <v>-0.88680000000000003</v>
      </c>
    </row>
    <row r="89" spans="1:6" x14ac:dyDescent="0.25">
      <c r="A89">
        <v>1943</v>
      </c>
      <c r="B89">
        <v>12</v>
      </c>
      <c r="C89">
        <v>22</v>
      </c>
      <c r="D89">
        <v>2431081.2288500001</v>
      </c>
      <c r="E89">
        <v>-8.3012999999999995</v>
      </c>
      <c r="F89">
        <v>5.1772</v>
      </c>
    </row>
    <row r="90" spans="1:6" x14ac:dyDescent="0.25">
      <c r="A90">
        <v>1944</v>
      </c>
      <c r="B90">
        <v>6</v>
      </c>
      <c r="C90">
        <v>21</v>
      </c>
      <c r="D90">
        <v>2431263.0435799998</v>
      </c>
      <c r="E90">
        <v>21.023599999999998</v>
      </c>
      <c r="F90">
        <v>-1.6041000000000001</v>
      </c>
    </row>
    <row r="91" spans="1:6" x14ac:dyDescent="0.25">
      <c r="A91">
        <v>1944</v>
      </c>
      <c r="B91">
        <v>12</v>
      </c>
      <c r="C91">
        <v>21</v>
      </c>
      <c r="D91">
        <v>2431446.46894</v>
      </c>
      <c r="E91">
        <v>-8.6234999999999999</v>
      </c>
      <c r="F91">
        <v>-4.6638999999999999</v>
      </c>
    </row>
    <row r="92" spans="1:6" x14ac:dyDescent="0.25">
      <c r="A92">
        <v>1945</v>
      </c>
      <c r="B92">
        <v>6</v>
      </c>
      <c r="C92">
        <v>21</v>
      </c>
      <c r="D92">
        <v>2431628.2864799998</v>
      </c>
      <c r="E92">
        <v>-13.405900000000001</v>
      </c>
      <c r="F92">
        <v>4.2203999999999997</v>
      </c>
    </row>
    <row r="93" spans="1:6" x14ac:dyDescent="0.25">
      <c r="A93">
        <v>1945</v>
      </c>
      <c r="B93">
        <v>12</v>
      </c>
      <c r="C93">
        <v>22</v>
      </c>
      <c r="D93">
        <v>2431811.7111300002</v>
      </c>
      <c r="E93">
        <v>20.2362</v>
      </c>
      <c r="F93">
        <v>3.5011000000000001</v>
      </c>
    </row>
    <row r="94" spans="1:6" x14ac:dyDescent="0.25">
      <c r="A94">
        <v>1946</v>
      </c>
      <c r="B94">
        <v>6</v>
      </c>
      <c r="C94">
        <v>22</v>
      </c>
      <c r="D94">
        <v>2431993.5311099999</v>
      </c>
      <c r="E94">
        <v>-8.1852</v>
      </c>
      <c r="F94">
        <v>-5.2801</v>
      </c>
    </row>
    <row r="95" spans="1:6" x14ac:dyDescent="0.25">
      <c r="A95">
        <v>1946</v>
      </c>
      <c r="B95">
        <v>12</v>
      </c>
      <c r="C95">
        <v>22</v>
      </c>
      <c r="D95">
        <v>2432176.9540300001</v>
      </c>
      <c r="E95">
        <v>-24.375900000000001</v>
      </c>
      <c r="F95">
        <v>-0.59360000000000002</v>
      </c>
    </row>
    <row r="96" spans="1:6" x14ac:dyDescent="0.25">
      <c r="A96">
        <v>1947</v>
      </c>
      <c r="B96">
        <v>6</v>
      </c>
      <c r="C96">
        <v>22</v>
      </c>
      <c r="D96">
        <v>2432358.7634000001</v>
      </c>
      <c r="E96">
        <v>19.559899999999999</v>
      </c>
      <c r="F96">
        <v>5.0502000000000002</v>
      </c>
    </row>
    <row r="97" spans="1:6" x14ac:dyDescent="0.25">
      <c r="A97">
        <v>1947</v>
      </c>
      <c r="B97">
        <v>12</v>
      </c>
      <c r="C97">
        <v>22</v>
      </c>
      <c r="D97">
        <v>2432542.1967000002</v>
      </c>
      <c r="E97">
        <v>5.7324999999999999</v>
      </c>
      <c r="F97">
        <v>-2.6164999999999998</v>
      </c>
    </row>
    <row r="98" spans="1:6" x14ac:dyDescent="0.25">
      <c r="A98">
        <v>1948</v>
      </c>
      <c r="B98">
        <v>6</v>
      </c>
      <c r="C98">
        <v>21</v>
      </c>
      <c r="D98">
        <v>2432724.0077</v>
      </c>
      <c r="E98">
        <v>-27.508099999999999</v>
      </c>
      <c r="F98">
        <v>-3.7121</v>
      </c>
    </row>
    <row r="99" spans="1:6" x14ac:dyDescent="0.25">
      <c r="A99">
        <v>1948</v>
      </c>
      <c r="B99">
        <v>12</v>
      </c>
      <c r="C99">
        <v>21</v>
      </c>
      <c r="D99">
        <v>2432907.4401199999</v>
      </c>
      <c r="E99">
        <v>9.4680999999999997</v>
      </c>
      <c r="F99">
        <v>3.9081999999999999</v>
      </c>
    </row>
    <row r="100" spans="1:6" x14ac:dyDescent="0.25">
      <c r="A100">
        <v>1949</v>
      </c>
      <c r="B100">
        <v>6</v>
      </c>
      <c r="C100">
        <v>21</v>
      </c>
      <c r="D100">
        <v>2433089.25226</v>
      </c>
      <c r="E100">
        <v>13.463200000000001</v>
      </c>
      <c r="F100">
        <v>1.0381</v>
      </c>
    </row>
    <row r="101" spans="1:6" x14ac:dyDescent="0.25">
      <c r="A101">
        <v>1949</v>
      </c>
      <c r="B101">
        <v>12</v>
      </c>
      <c r="C101">
        <v>22</v>
      </c>
      <c r="D101">
        <v>2433272.68291</v>
      </c>
      <c r="E101">
        <v>-25.040199999999999</v>
      </c>
      <c r="F101">
        <v>-4.7804000000000002</v>
      </c>
    </row>
    <row r="102" spans="1:6" x14ac:dyDescent="0.25">
      <c r="A102">
        <v>1950</v>
      </c>
      <c r="B102">
        <v>6</v>
      </c>
      <c r="C102">
        <v>21</v>
      </c>
      <c r="D102">
        <v>2433454.4837199999</v>
      </c>
      <c r="E102">
        <v>6.8715000000000002</v>
      </c>
      <c r="F102">
        <v>1.6075999999999999</v>
      </c>
    </row>
    <row r="103" spans="1:6" x14ac:dyDescent="0.25">
      <c r="A103">
        <v>1950</v>
      </c>
      <c r="B103">
        <v>12</v>
      </c>
      <c r="C103">
        <v>22</v>
      </c>
      <c r="D103">
        <v>2433637.9262799998</v>
      </c>
      <c r="E103">
        <v>25.5566</v>
      </c>
      <c r="F103">
        <v>4.8192000000000004</v>
      </c>
    </row>
    <row r="104" spans="1:6" x14ac:dyDescent="0.25">
      <c r="A104">
        <v>1951</v>
      </c>
      <c r="B104">
        <v>6</v>
      </c>
      <c r="C104">
        <v>22</v>
      </c>
      <c r="D104">
        <v>2433819.7259399998</v>
      </c>
      <c r="E104">
        <v>-21.825199999999999</v>
      </c>
      <c r="F104">
        <v>-2.8534000000000002</v>
      </c>
    </row>
    <row r="105" spans="1:6" x14ac:dyDescent="0.25">
      <c r="A105">
        <v>1951</v>
      </c>
      <c r="B105">
        <v>12</v>
      </c>
      <c r="C105">
        <v>22</v>
      </c>
      <c r="D105">
        <v>2434003.16707</v>
      </c>
      <c r="E105">
        <v>-8.5403000000000002</v>
      </c>
      <c r="F105">
        <v>-3.2538999999999998</v>
      </c>
    </row>
    <row r="106" spans="1:6" x14ac:dyDescent="0.25">
      <c r="A106">
        <v>1952</v>
      </c>
      <c r="B106">
        <v>6</v>
      </c>
      <c r="C106">
        <v>21</v>
      </c>
      <c r="D106">
        <v>2434184.96741</v>
      </c>
      <c r="E106">
        <v>27.238399999999999</v>
      </c>
      <c r="F106">
        <v>4.5426000000000002</v>
      </c>
    </row>
    <row r="107" spans="1:6" x14ac:dyDescent="0.25">
      <c r="A107">
        <v>1952</v>
      </c>
      <c r="B107">
        <v>12</v>
      </c>
      <c r="C107">
        <v>21</v>
      </c>
      <c r="D107">
        <v>2434368.4053199999</v>
      </c>
      <c r="E107">
        <v>-8.7301000000000002</v>
      </c>
      <c r="F107">
        <v>1.911</v>
      </c>
    </row>
    <row r="108" spans="1:6" x14ac:dyDescent="0.25">
      <c r="A108">
        <v>1953</v>
      </c>
      <c r="B108">
        <v>6</v>
      </c>
      <c r="C108">
        <v>21</v>
      </c>
      <c r="D108">
        <v>2434550.20866</v>
      </c>
      <c r="E108">
        <v>-15.033899999999999</v>
      </c>
      <c r="F108">
        <v>-5.1302000000000003</v>
      </c>
    </row>
    <row r="109" spans="1:6" x14ac:dyDescent="0.25">
      <c r="A109">
        <v>1953</v>
      </c>
      <c r="B109">
        <v>12</v>
      </c>
      <c r="C109">
        <v>22</v>
      </c>
      <c r="D109">
        <v>2434733.6472100001</v>
      </c>
      <c r="E109">
        <v>21.634899999999998</v>
      </c>
      <c r="F109">
        <v>0.29980000000000001</v>
      </c>
    </row>
    <row r="110" spans="1:6" x14ac:dyDescent="0.25">
      <c r="A110">
        <v>1954</v>
      </c>
      <c r="B110">
        <v>6</v>
      </c>
      <c r="C110">
        <v>21</v>
      </c>
      <c r="D110">
        <v>2434915.45456</v>
      </c>
      <c r="E110">
        <v>-6.3108000000000004</v>
      </c>
      <c r="F110">
        <v>4.0997000000000003</v>
      </c>
    </row>
    <row r="111" spans="1:6" x14ac:dyDescent="0.25">
      <c r="A111">
        <v>1954</v>
      </c>
      <c r="B111">
        <v>12</v>
      </c>
      <c r="C111">
        <v>22</v>
      </c>
      <c r="D111">
        <v>2435098.8922799998</v>
      </c>
      <c r="E111">
        <v>-23.7104</v>
      </c>
      <c r="F111">
        <v>-3.2319</v>
      </c>
    </row>
    <row r="112" spans="1:6" x14ac:dyDescent="0.25">
      <c r="A112">
        <v>1955</v>
      </c>
      <c r="B112">
        <v>6</v>
      </c>
      <c r="C112">
        <v>22</v>
      </c>
      <c r="D112">
        <v>2435280.6888199998</v>
      </c>
      <c r="E112">
        <v>16.9557</v>
      </c>
      <c r="F112">
        <v>-2.7911999999999999</v>
      </c>
    </row>
    <row r="113" spans="1:6" x14ac:dyDescent="0.25">
      <c r="A113">
        <v>1955</v>
      </c>
      <c r="B113">
        <v>12</v>
      </c>
      <c r="C113">
        <v>22</v>
      </c>
      <c r="D113">
        <v>2435464.1329399999</v>
      </c>
      <c r="E113">
        <v>5.1071</v>
      </c>
      <c r="F113">
        <v>5.0971000000000002</v>
      </c>
    </row>
    <row r="114" spans="1:6" x14ac:dyDescent="0.25">
      <c r="A114">
        <v>1956</v>
      </c>
      <c r="B114">
        <v>6</v>
      </c>
      <c r="C114">
        <v>21</v>
      </c>
      <c r="D114">
        <v>2435645.93353</v>
      </c>
      <c r="E114">
        <v>-22.194199999999999</v>
      </c>
      <c r="F114">
        <v>0.15620000000000001</v>
      </c>
    </row>
    <row r="115" spans="1:6" x14ac:dyDescent="0.25">
      <c r="A115">
        <v>1956</v>
      </c>
      <c r="B115">
        <v>12</v>
      </c>
      <c r="C115">
        <v>21</v>
      </c>
      <c r="D115">
        <v>2435829.3750200002</v>
      </c>
      <c r="E115">
        <v>7.0711000000000004</v>
      </c>
      <c r="F115">
        <v>-5.2032999999999996</v>
      </c>
    </row>
    <row r="116" spans="1:6" x14ac:dyDescent="0.25">
      <c r="A116">
        <v>1957</v>
      </c>
      <c r="B116">
        <v>6</v>
      </c>
      <c r="C116">
        <v>21</v>
      </c>
      <c r="D116">
        <v>2436011.1812999998</v>
      </c>
      <c r="E116">
        <v>7.4612999999999996</v>
      </c>
      <c r="F116">
        <v>2.9784999999999999</v>
      </c>
    </row>
    <row r="117" spans="1:6" x14ac:dyDescent="0.25">
      <c r="A117">
        <v>1957</v>
      </c>
      <c r="B117">
        <v>12</v>
      </c>
      <c r="C117">
        <v>22</v>
      </c>
      <c r="D117">
        <v>2436194.61748</v>
      </c>
      <c r="E117">
        <v>-19.103200000000001</v>
      </c>
      <c r="F117">
        <v>4.4703999999999997</v>
      </c>
    </row>
    <row r="118" spans="1:6" x14ac:dyDescent="0.25">
      <c r="A118">
        <v>1958</v>
      </c>
      <c r="B118">
        <v>6</v>
      </c>
      <c r="C118">
        <v>21</v>
      </c>
      <c r="D118">
        <v>2436376.4149099998</v>
      </c>
      <c r="E118">
        <v>7.3979999999999997</v>
      </c>
      <c r="F118">
        <v>-4.4859</v>
      </c>
    </row>
    <row r="119" spans="1:6" x14ac:dyDescent="0.25">
      <c r="A119">
        <v>1958</v>
      </c>
      <c r="B119">
        <v>12</v>
      </c>
      <c r="C119">
        <v>22</v>
      </c>
      <c r="D119">
        <v>2436559.8613</v>
      </c>
      <c r="E119">
        <v>13.9466</v>
      </c>
      <c r="F119">
        <v>-2.3346</v>
      </c>
    </row>
    <row r="120" spans="1:6" x14ac:dyDescent="0.25">
      <c r="A120">
        <v>1959</v>
      </c>
      <c r="B120">
        <v>6</v>
      </c>
      <c r="C120">
        <v>22</v>
      </c>
      <c r="D120">
        <v>2436741.6599499998</v>
      </c>
      <c r="E120">
        <v>-18.114599999999999</v>
      </c>
      <c r="F120">
        <v>4.9577</v>
      </c>
    </row>
    <row r="121" spans="1:6" x14ac:dyDescent="0.25">
      <c r="A121">
        <v>1959</v>
      </c>
      <c r="B121">
        <v>12</v>
      </c>
      <c r="C121">
        <v>22</v>
      </c>
      <c r="D121">
        <v>2436925.10757</v>
      </c>
      <c r="E121">
        <v>1.4064000000000001</v>
      </c>
      <c r="F121">
        <v>-0.49320000000000003</v>
      </c>
    </row>
    <row r="122" spans="1:6" x14ac:dyDescent="0.25">
      <c r="A122">
        <v>1960</v>
      </c>
      <c r="B122">
        <v>6</v>
      </c>
      <c r="C122">
        <v>21</v>
      </c>
      <c r="D122">
        <v>2437106.9047699999</v>
      </c>
      <c r="E122">
        <v>15.012600000000001</v>
      </c>
      <c r="F122">
        <v>-4.7306999999999997</v>
      </c>
    </row>
    <row r="123" spans="1:6" x14ac:dyDescent="0.25">
      <c r="A123">
        <v>1960</v>
      </c>
      <c r="B123">
        <v>12</v>
      </c>
      <c r="C123">
        <v>21</v>
      </c>
      <c r="D123">
        <v>2437290.3517399998</v>
      </c>
      <c r="E123">
        <v>-14.5342</v>
      </c>
      <c r="F123">
        <v>1.8201000000000001</v>
      </c>
    </row>
    <row r="124" spans="1:6" x14ac:dyDescent="0.25">
      <c r="A124">
        <v>1961</v>
      </c>
      <c r="B124">
        <v>6</v>
      </c>
      <c r="C124">
        <v>21</v>
      </c>
      <c r="D124">
        <v>2437472.1463100002</v>
      </c>
      <c r="E124">
        <v>0.73499999999999999</v>
      </c>
      <c r="F124">
        <v>2.8693</v>
      </c>
    </row>
    <row r="125" spans="1:6" x14ac:dyDescent="0.25">
      <c r="A125">
        <v>1961</v>
      </c>
      <c r="B125">
        <v>12</v>
      </c>
      <c r="C125">
        <v>22</v>
      </c>
      <c r="D125">
        <v>2437655.5972600002</v>
      </c>
      <c r="E125">
        <v>19.0901</v>
      </c>
      <c r="F125">
        <v>-3.8226</v>
      </c>
    </row>
    <row r="126" spans="1:6" x14ac:dyDescent="0.25">
      <c r="A126">
        <v>1962</v>
      </c>
      <c r="B126">
        <v>6</v>
      </c>
      <c r="C126">
        <v>21</v>
      </c>
      <c r="D126">
        <v>2437837.3921500002</v>
      </c>
      <c r="E126">
        <v>-16.678999999999998</v>
      </c>
      <c r="F126">
        <v>-0.86629999999999996</v>
      </c>
    </row>
    <row r="127" spans="1:6" x14ac:dyDescent="0.25">
      <c r="A127">
        <v>1962</v>
      </c>
      <c r="B127">
        <v>12</v>
      </c>
      <c r="C127">
        <v>22</v>
      </c>
      <c r="D127">
        <v>2438020.8443399998</v>
      </c>
      <c r="E127">
        <v>-9.7329000000000008</v>
      </c>
      <c r="F127">
        <v>5.1680000000000001</v>
      </c>
    </row>
    <row r="128" spans="1:6" x14ac:dyDescent="0.25">
      <c r="A128">
        <v>1963</v>
      </c>
      <c r="B128">
        <v>6</v>
      </c>
      <c r="C128">
        <v>22</v>
      </c>
      <c r="D128">
        <v>2438202.6282100002</v>
      </c>
      <c r="E128">
        <v>21.227499999999999</v>
      </c>
      <c r="F128">
        <v>-1.0838000000000001</v>
      </c>
    </row>
    <row r="129" spans="1:6" x14ac:dyDescent="0.25">
      <c r="A129">
        <v>1963</v>
      </c>
      <c r="B129">
        <v>12</v>
      </c>
      <c r="C129">
        <v>22</v>
      </c>
      <c r="D129">
        <v>2438386.08506</v>
      </c>
      <c r="E129">
        <v>-11.2691</v>
      </c>
      <c r="F129">
        <v>-4.726</v>
      </c>
    </row>
    <row r="130" spans="1:6" x14ac:dyDescent="0.25">
      <c r="A130">
        <v>1964</v>
      </c>
      <c r="B130">
        <v>6</v>
      </c>
      <c r="C130">
        <v>21</v>
      </c>
      <c r="D130">
        <v>2438567.8732099999</v>
      </c>
      <c r="E130">
        <v>-14.8531</v>
      </c>
      <c r="F130">
        <v>3.5484</v>
      </c>
    </row>
    <row r="131" spans="1:6" x14ac:dyDescent="0.25">
      <c r="A131">
        <v>1964</v>
      </c>
      <c r="B131">
        <v>12</v>
      </c>
      <c r="C131">
        <v>21</v>
      </c>
      <c r="D131">
        <v>2438751.3264899999</v>
      </c>
      <c r="E131">
        <v>21.108799999999999</v>
      </c>
      <c r="F131">
        <v>3.7662</v>
      </c>
    </row>
    <row r="132" spans="1:6" x14ac:dyDescent="0.25">
      <c r="A132">
        <v>1965</v>
      </c>
      <c r="B132">
        <v>6</v>
      </c>
      <c r="C132">
        <v>21</v>
      </c>
      <c r="D132">
        <v>2438933.12243</v>
      </c>
      <c r="E132">
        <v>-8.1696000000000009</v>
      </c>
      <c r="F132">
        <v>-5.1962000000000002</v>
      </c>
    </row>
    <row r="133" spans="1:6" x14ac:dyDescent="0.25">
      <c r="A133">
        <v>1965</v>
      </c>
      <c r="B133">
        <v>12</v>
      </c>
      <c r="C133">
        <v>22</v>
      </c>
      <c r="D133">
        <v>2439116.5701700002</v>
      </c>
      <c r="E133">
        <v>-25.042899999999999</v>
      </c>
      <c r="F133">
        <v>-1.4618</v>
      </c>
    </row>
    <row r="134" spans="1:6" x14ac:dyDescent="0.25">
      <c r="A134">
        <v>1966</v>
      </c>
      <c r="B134">
        <v>6</v>
      </c>
      <c r="C134">
        <v>21</v>
      </c>
      <c r="D134">
        <v>2439298.3569399999</v>
      </c>
      <c r="E134">
        <v>21.758800000000001</v>
      </c>
      <c r="F134">
        <v>5.0137</v>
      </c>
    </row>
    <row r="135" spans="1:6" x14ac:dyDescent="0.25">
      <c r="A135">
        <v>1966</v>
      </c>
      <c r="B135">
        <v>12</v>
      </c>
      <c r="C135">
        <v>22</v>
      </c>
      <c r="D135">
        <v>2439481.8116700002</v>
      </c>
      <c r="E135">
        <v>7.7533000000000003</v>
      </c>
      <c r="F135">
        <v>-1.7031000000000001</v>
      </c>
    </row>
    <row r="136" spans="1:6" x14ac:dyDescent="0.25">
      <c r="A136">
        <v>1967</v>
      </c>
      <c r="B136">
        <v>6</v>
      </c>
      <c r="C136">
        <v>22</v>
      </c>
      <c r="D136">
        <v>2439663.5996500002</v>
      </c>
      <c r="E136">
        <v>-28.365500000000001</v>
      </c>
      <c r="F136">
        <v>-4.0749000000000004</v>
      </c>
    </row>
    <row r="137" spans="1:6" x14ac:dyDescent="0.25">
      <c r="A137">
        <v>1967</v>
      </c>
      <c r="B137">
        <v>12</v>
      </c>
      <c r="C137">
        <v>22</v>
      </c>
      <c r="D137">
        <v>2439847.05345</v>
      </c>
      <c r="E137">
        <v>12.046799999999999</v>
      </c>
      <c r="F137">
        <v>3.8534999999999999</v>
      </c>
    </row>
    <row r="138" spans="1:6" x14ac:dyDescent="0.25">
      <c r="A138">
        <v>1968</v>
      </c>
      <c r="B138">
        <v>6</v>
      </c>
      <c r="C138">
        <v>21</v>
      </c>
      <c r="D138">
        <v>2440028.84302</v>
      </c>
      <c r="E138">
        <v>16.187999999999999</v>
      </c>
      <c r="F138">
        <v>2.0430000000000001</v>
      </c>
    </row>
    <row r="139" spans="1:6" x14ac:dyDescent="0.25">
      <c r="A139">
        <v>1968</v>
      </c>
      <c r="B139">
        <v>12</v>
      </c>
      <c r="C139">
        <v>21</v>
      </c>
      <c r="D139">
        <v>2440212.2919700001</v>
      </c>
      <c r="E139">
        <v>-25.620100000000001</v>
      </c>
      <c r="F139">
        <v>-4.5955000000000004</v>
      </c>
    </row>
    <row r="140" spans="1:6" x14ac:dyDescent="0.25">
      <c r="A140">
        <v>1969</v>
      </c>
      <c r="B140">
        <v>6</v>
      </c>
      <c r="C140">
        <v>21</v>
      </c>
      <c r="D140">
        <v>2440394.0803700001</v>
      </c>
      <c r="E140">
        <v>7.1479999999999997</v>
      </c>
      <c r="F140">
        <v>1.0736000000000001</v>
      </c>
    </row>
    <row r="141" spans="1:6" x14ac:dyDescent="0.25">
      <c r="A141">
        <v>1969</v>
      </c>
      <c r="B141">
        <v>12</v>
      </c>
      <c r="C141">
        <v>22</v>
      </c>
      <c r="D141">
        <v>2440577.53082</v>
      </c>
      <c r="E141">
        <v>26.607299999999999</v>
      </c>
      <c r="F141">
        <v>4.9938000000000002</v>
      </c>
    </row>
    <row r="142" spans="1:6" x14ac:dyDescent="0.25">
      <c r="A142">
        <v>1970</v>
      </c>
      <c r="B142">
        <v>6</v>
      </c>
      <c r="C142">
        <v>21</v>
      </c>
      <c r="D142">
        <v>2440759.3217699998</v>
      </c>
      <c r="E142">
        <v>-23.211600000000001</v>
      </c>
      <c r="F142">
        <v>-2.782</v>
      </c>
    </row>
    <row r="143" spans="1:6" x14ac:dyDescent="0.25">
      <c r="A143">
        <v>1970</v>
      </c>
      <c r="B143">
        <v>12</v>
      </c>
      <c r="C143">
        <v>22</v>
      </c>
      <c r="D143">
        <v>2440942.7752499999</v>
      </c>
      <c r="E143">
        <v>-10.411099999999999</v>
      </c>
      <c r="F143">
        <v>-3.9224999999999999</v>
      </c>
    </row>
    <row r="144" spans="1:6" x14ac:dyDescent="0.25">
      <c r="A144">
        <v>1971</v>
      </c>
      <c r="B144">
        <v>6</v>
      </c>
      <c r="C144">
        <v>22</v>
      </c>
      <c r="D144">
        <v>2441124.5557599999</v>
      </c>
      <c r="E144">
        <v>26.388000000000002</v>
      </c>
      <c r="F144">
        <v>4.2702999999999998</v>
      </c>
    </row>
    <row r="145" spans="1:6" x14ac:dyDescent="0.25">
      <c r="A145">
        <v>1971</v>
      </c>
      <c r="B145">
        <v>12</v>
      </c>
      <c r="C145">
        <v>22</v>
      </c>
      <c r="D145">
        <v>2441308.0171099999</v>
      </c>
      <c r="E145">
        <v>-11.417400000000001</v>
      </c>
      <c r="F145">
        <v>1.9238999999999999</v>
      </c>
    </row>
    <row r="146" spans="1:6" x14ac:dyDescent="0.25">
      <c r="A146">
        <v>1972</v>
      </c>
      <c r="B146">
        <v>6</v>
      </c>
      <c r="C146">
        <v>21</v>
      </c>
      <c r="D146">
        <v>2441489.7964599999</v>
      </c>
      <c r="E146">
        <v>-16.547499999999999</v>
      </c>
      <c r="F146">
        <v>-5.2129000000000003</v>
      </c>
    </row>
    <row r="147" spans="1:6" x14ac:dyDescent="0.25">
      <c r="A147">
        <v>1972</v>
      </c>
      <c r="B147">
        <v>12</v>
      </c>
      <c r="C147">
        <v>21</v>
      </c>
      <c r="D147">
        <v>2441673.25948</v>
      </c>
      <c r="E147">
        <v>21.199300000000001</v>
      </c>
      <c r="F147">
        <v>-0.188</v>
      </c>
    </row>
    <row r="148" spans="1:6" x14ac:dyDescent="0.25">
      <c r="A148">
        <v>1973</v>
      </c>
      <c r="B148">
        <v>6</v>
      </c>
      <c r="C148">
        <v>21</v>
      </c>
      <c r="D148">
        <v>2441855.0425900002</v>
      </c>
      <c r="E148">
        <v>-7.0270999999999999</v>
      </c>
      <c r="F148">
        <v>4.3507999999999996</v>
      </c>
    </row>
    <row r="149" spans="1:6" x14ac:dyDescent="0.25">
      <c r="A149">
        <v>1973</v>
      </c>
      <c r="B149">
        <v>12</v>
      </c>
      <c r="C149">
        <v>22</v>
      </c>
      <c r="D149">
        <v>2442038.5058800001</v>
      </c>
      <c r="E149">
        <v>-23.286000000000001</v>
      </c>
      <c r="F149">
        <v>-2.4279000000000002</v>
      </c>
    </row>
    <row r="150" spans="1:6" x14ac:dyDescent="0.25">
      <c r="A150">
        <v>1974</v>
      </c>
      <c r="B150">
        <v>6</v>
      </c>
      <c r="C150">
        <v>21</v>
      </c>
      <c r="D150">
        <v>2442220.27666</v>
      </c>
      <c r="E150">
        <v>18.121500000000001</v>
      </c>
      <c r="F150">
        <v>-2.8454999999999999</v>
      </c>
    </row>
    <row r="151" spans="1:6" x14ac:dyDescent="0.25">
      <c r="A151">
        <v>1974</v>
      </c>
      <c r="B151">
        <v>12</v>
      </c>
      <c r="C151">
        <v>22</v>
      </c>
      <c r="D151">
        <v>2442403.7477299999</v>
      </c>
      <c r="E151">
        <v>5.5156000000000001</v>
      </c>
      <c r="F151">
        <v>4.7816000000000001</v>
      </c>
    </row>
    <row r="152" spans="1:6" x14ac:dyDescent="0.25">
      <c r="A152">
        <v>1975</v>
      </c>
      <c r="B152">
        <v>6</v>
      </c>
      <c r="C152">
        <v>22</v>
      </c>
      <c r="D152">
        <v>2442585.5189100001</v>
      </c>
      <c r="E152">
        <v>-21.9407</v>
      </c>
      <c r="F152">
        <v>0.78549999999999998</v>
      </c>
    </row>
    <row r="153" spans="1:6" x14ac:dyDescent="0.25">
      <c r="A153">
        <v>1975</v>
      </c>
      <c r="B153">
        <v>12</v>
      </c>
      <c r="C153">
        <v>22</v>
      </c>
      <c r="D153">
        <v>2442768.9905300001</v>
      </c>
      <c r="E153">
        <v>9.3888999999999996</v>
      </c>
      <c r="F153">
        <v>-5.1665999999999999</v>
      </c>
    </row>
    <row r="154" spans="1:6" x14ac:dyDescent="0.25">
      <c r="A154">
        <v>1976</v>
      </c>
      <c r="B154">
        <v>6</v>
      </c>
      <c r="C154">
        <v>21</v>
      </c>
      <c r="D154">
        <v>2442950.7673599999</v>
      </c>
      <c r="E154">
        <v>8.5989000000000004</v>
      </c>
      <c r="F154">
        <v>2.0053999999999998</v>
      </c>
    </row>
    <row r="155" spans="1:6" x14ac:dyDescent="0.25">
      <c r="A155">
        <v>1976</v>
      </c>
      <c r="B155">
        <v>12</v>
      </c>
      <c r="C155">
        <v>21</v>
      </c>
      <c r="D155">
        <v>2443134.2333</v>
      </c>
      <c r="E155">
        <v>-19.204699999999999</v>
      </c>
      <c r="F155">
        <v>4.6806000000000001</v>
      </c>
    </row>
    <row r="156" spans="1:6" x14ac:dyDescent="0.25">
      <c r="A156">
        <v>1977</v>
      </c>
      <c r="B156">
        <v>6</v>
      </c>
      <c r="C156">
        <v>21</v>
      </c>
      <c r="D156">
        <v>2443316.0101299998</v>
      </c>
      <c r="E156">
        <v>9.0032999999999994</v>
      </c>
      <c r="F156">
        <v>-4.2901999999999996</v>
      </c>
    </row>
    <row r="157" spans="1:6" x14ac:dyDescent="0.25">
      <c r="A157">
        <v>1977</v>
      </c>
      <c r="B157">
        <v>12</v>
      </c>
      <c r="C157">
        <v>21</v>
      </c>
      <c r="D157">
        <v>2443499.4749799999</v>
      </c>
      <c r="E157">
        <v>14.466799999999999</v>
      </c>
      <c r="F157">
        <v>-3.181</v>
      </c>
    </row>
    <row r="158" spans="1:6" x14ac:dyDescent="0.25">
      <c r="A158">
        <v>1978</v>
      </c>
      <c r="B158">
        <v>6</v>
      </c>
      <c r="C158">
        <v>21</v>
      </c>
      <c r="D158">
        <v>2443681.25722</v>
      </c>
      <c r="E158">
        <v>-18.658200000000001</v>
      </c>
      <c r="F158">
        <v>4.9081000000000001</v>
      </c>
    </row>
    <row r="159" spans="1:6" x14ac:dyDescent="0.25">
      <c r="A159">
        <v>1978</v>
      </c>
      <c r="B159">
        <v>12</v>
      </c>
      <c r="C159">
        <v>22</v>
      </c>
      <c r="D159">
        <v>2443864.7234700001</v>
      </c>
      <c r="E159">
        <v>1.8575999999999999</v>
      </c>
      <c r="F159">
        <v>0.2732</v>
      </c>
    </row>
    <row r="160" spans="1:6" x14ac:dyDescent="0.25">
      <c r="A160">
        <v>1979</v>
      </c>
      <c r="B160">
        <v>6</v>
      </c>
      <c r="C160">
        <v>21</v>
      </c>
      <c r="D160">
        <v>2444046.4979400001</v>
      </c>
      <c r="E160">
        <v>14.5708</v>
      </c>
      <c r="F160">
        <v>-4.9443000000000001</v>
      </c>
    </row>
    <row r="161" spans="1:6" x14ac:dyDescent="0.25">
      <c r="A161">
        <v>1979</v>
      </c>
      <c r="B161">
        <v>12</v>
      </c>
      <c r="C161">
        <v>22</v>
      </c>
      <c r="D161">
        <v>2444229.9657100001</v>
      </c>
      <c r="E161">
        <v>-16.7119</v>
      </c>
      <c r="F161">
        <v>1.7775000000000001</v>
      </c>
    </row>
    <row r="162" spans="1:6" x14ac:dyDescent="0.25">
      <c r="A162">
        <v>1980</v>
      </c>
      <c r="B162">
        <v>6</v>
      </c>
      <c r="C162">
        <v>21</v>
      </c>
      <c r="D162">
        <v>2444411.7415900002</v>
      </c>
      <c r="E162">
        <v>-0.37609999999999999</v>
      </c>
      <c r="F162">
        <v>3.7122000000000002</v>
      </c>
    </row>
    <row r="163" spans="1:6" x14ac:dyDescent="0.25">
      <c r="A163">
        <v>1980</v>
      </c>
      <c r="B163">
        <v>12</v>
      </c>
      <c r="C163">
        <v>21</v>
      </c>
      <c r="D163">
        <v>2444595.2062300001</v>
      </c>
      <c r="E163">
        <v>19.253599999999999</v>
      </c>
      <c r="F163">
        <v>-3.4641000000000002</v>
      </c>
    </row>
    <row r="164" spans="1:6" x14ac:dyDescent="0.25">
      <c r="A164">
        <v>1981</v>
      </c>
      <c r="B164">
        <v>6</v>
      </c>
      <c r="C164">
        <v>21</v>
      </c>
      <c r="D164">
        <v>2444776.9899800001</v>
      </c>
      <c r="E164">
        <v>-18.130500000000001</v>
      </c>
      <c r="F164">
        <v>-1.1238999999999999</v>
      </c>
    </row>
    <row r="165" spans="1:6" x14ac:dyDescent="0.25">
      <c r="A165">
        <v>1981</v>
      </c>
      <c r="B165">
        <v>12</v>
      </c>
      <c r="C165">
        <v>21</v>
      </c>
      <c r="D165">
        <v>2444960.4523700001</v>
      </c>
      <c r="E165">
        <v>-11.1678</v>
      </c>
      <c r="F165">
        <v>4.9596</v>
      </c>
    </row>
    <row r="166" spans="1:6" x14ac:dyDescent="0.25">
      <c r="A166">
        <v>1982</v>
      </c>
      <c r="B166">
        <v>6</v>
      </c>
      <c r="C166">
        <v>21</v>
      </c>
      <c r="D166">
        <v>2445142.2249199999</v>
      </c>
      <c r="E166">
        <v>21.764700000000001</v>
      </c>
      <c r="F166">
        <v>-0.92500000000000004</v>
      </c>
    </row>
    <row r="167" spans="1:6" x14ac:dyDescent="0.25">
      <c r="A167">
        <v>1982</v>
      </c>
      <c r="B167">
        <v>12</v>
      </c>
      <c r="C167">
        <v>22</v>
      </c>
      <c r="D167">
        <v>2445325.6937799999</v>
      </c>
      <c r="E167">
        <v>-11.4488</v>
      </c>
      <c r="F167">
        <v>-4.9748999999999999</v>
      </c>
    </row>
    <row r="168" spans="1:6" x14ac:dyDescent="0.25">
      <c r="A168">
        <v>1983</v>
      </c>
      <c r="B168">
        <v>6</v>
      </c>
      <c r="C168">
        <v>21</v>
      </c>
      <c r="D168">
        <v>2445507.4649899998</v>
      </c>
      <c r="E168">
        <v>-16.000900000000001</v>
      </c>
      <c r="F168">
        <v>2.9592000000000001</v>
      </c>
    </row>
    <row r="169" spans="1:6" x14ac:dyDescent="0.25">
      <c r="A169">
        <v>1983</v>
      </c>
      <c r="B169">
        <v>12</v>
      </c>
      <c r="C169">
        <v>22</v>
      </c>
      <c r="D169">
        <v>2445690.9380800002</v>
      </c>
      <c r="E169">
        <v>22.589099999999998</v>
      </c>
      <c r="F169">
        <v>3.7766000000000002</v>
      </c>
    </row>
    <row r="170" spans="1:6" x14ac:dyDescent="0.25">
      <c r="A170">
        <v>1984</v>
      </c>
      <c r="B170">
        <v>6</v>
      </c>
      <c r="C170">
        <v>21</v>
      </c>
      <c r="D170">
        <v>2445872.7105200002</v>
      </c>
      <c r="E170">
        <v>-6.3442999999999996</v>
      </c>
      <c r="F170">
        <v>-4.8973000000000004</v>
      </c>
    </row>
    <row r="171" spans="1:6" x14ac:dyDescent="0.25">
      <c r="A171">
        <v>1984</v>
      </c>
      <c r="B171">
        <v>12</v>
      </c>
      <c r="C171">
        <v>21</v>
      </c>
      <c r="D171">
        <v>2446056.1831499999</v>
      </c>
      <c r="E171">
        <v>-25.686499999999999</v>
      </c>
      <c r="F171">
        <v>-1.9874000000000001</v>
      </c>
    </row>
    <row r="172" spans="1:6" x14ac:dyDescent="0.25">
      <c r="A172">
        <v>1985</v>
      </c>
      <c r="B172">
        <v>6</v>
      </c>
      <c r="C172">
        <v>21</v>
      </c>
      <c r="D172">
        <v>2446237.9479499999</v>
      </c>
      <c r="E172">
        <v>23.3947</v>
      </c>
      <c r="F172">
        <v>5.0311000000000003</v>
      </c>
    </row>
    <row r="173" spans="1:6" x14ac:dyDescent="0.25">
      <c r="A173">
        <v>1985</v>
      </c>
      <c r="B173">
        <v>12</v>
      </c>
      <c r="C173">
        <v>21</v>
      </c>
      <c r="D173">
        <v>2446421.42264</v>
      </c>
      <c r="E173">
        <v>10.726599999999999</v>
      </c>
      <c r="F173">
        <v>-0.61409999999999998</v>
      </c>
    </row>
    <row r="174" spans="1:6" x14ac:dyDescent="0.25">
      <c r="A174">
        <v>1986</v>
      </c>
      <c r="B174">
        <v>6</v>
      </c>
      <c r="C174">
        <v>21</v>
      </c>
      <c r="D174">
        <v>2446603.1881300001</v>
      </c>
      <c r="E174">
        <v>-28.092700000000001</v>
      </c>
      <c r="F174">
        <v>-4.1677999999999997</v>
      </c>
    </row>
    <row r="175" spans="1:6" x14ac:dyDescent="0.25">
      <c r="A175">
        <v>1986</v>
      </c>
      <c r="B175">
        <v>12</v>
      </c>
      <c r="C175">
        <v>22</v>
      </c>
      <c r="D175">
        <v>2446786.6688000001</v>
      </c>
      <c r="E175">
        <v>12.584099999999999</v>
      </c>
      <c r="F175">
        <v>3.4596</v>
      </c>
    </row>
    <row r="176" spans="1:6" x14ac:dyDescent="0.25">
      <c r="A176">
        <v>1987</v>
      </c>
      <c r="B176">
        <v>6</v>
      </c>
      <c r="C176">
        <v>21</v>
      </c>
      <c r="D176">
        <v>2446968.42478</v>
      </c>
      <c r="E176">
        <v>17.134</v>
      </c>
      <c r="F176">
        <v>2.7808000000000002</v>
      </c>
    </row>
    <row r="177" spans="1:6" x14ac:dyDescent="0.25">
      <c r="A177">
        <v>1987</v>
      </c>
      <c r="B177">
        <v>12</v>
      </c>
      <c r="C177">
        <v>22</v>
      </c>
      <c r="D177">
        <v>2447151.9075199999</v>
      </c>
      <c r="E177">
        <v>-26.855799999999999</v>
      </c>
      <c r="F177">
        <v>-4.5221999999999998</v>
      </c>
    </row>
    <row r="178" spans="1:6" x14ac:dyDescent="0.25">
      <c r="A178">
        <v>1988</v>
      </c>
      <c r="B178">
        <v>6</v>
      </c>
      <c r="C178">
        <v>21</v>
      </c>
      <c r="D178">
        <v>2447333.6649199999</v>
      </c>
      <c r="E178">
        <v>4.8167999999999997</v>
      </c>
      <c r="F178">
        <v>9.7600000000000006E-2</v>
      </c>
    </row>
    <row r="179" spans="1:6" x14ac:dyDescent="0.25">
      <c r="A179">
        <v>1988</v>
      </c>
      <c r="B179">
        <v>12</v>
      </c>
      <c r="C179">
        <v>21</v>
      </c>
      <c r="D179">
        <v>2447517.1450200002</v>
      </c>
      <c r="E179">
        <v>26.277999999999999</v>
      </c>
      <c r="F179">
        <v>5.0316000000000001</v>
      </c>
    </row>
    <row r="180" spans="1:6" x14ac:dyDescent="0.25">
      <c r="A180">
        <v>1989</v>
      </c>
      <c r="B180">
        <v>6</v>
      </c>
      <c r="C180">
        <v>21</v>
      </c>
      <c r="D180">
        <v>2447698.9124799999</v>
      </c>
      <c r="E180">
        <v>-24.030899999999999</v>
      </c>
      <c r="F180">
        <v>-2.6394000000000002</v>
      </c>
    </row>
    <row r="181" spans="1:6" x14ac:dyDescent="0.25">
      <c r="A181">
        <v>1989</v>
      </c>
      <c r="B181">
        <v>12</v>
      </c>
      <c r="C181">
        <v>21</v>
      </c>
      <c r="D181">
        <v>2447882.3909499999</v>
      </c>
      <c r="E181">
        <v>-12.8697</v>
      </c>
      <c r="F181">
        <v>-4.5709</v>
      </c>
    </row>
    <row r="182" spans="1:6" x14ac:dyDescent="0.25">
      <c r="A182">
        <v>1990</v>
      </c>
      <c r="B182">
        <v>6</v>
      </c>
      <c r="C182">
        <v>21</v>
      </c>
      <c r="D182">
        <v>2448064.1484400001</v>
      </c>
      <c r="E182">
        <v>25.972300000000001</v>
      </c>
      <c r="F182">
        <v>4.1744000000000003</v>
      </c>
    </row>
    <row r="183" spans="1:6" x14ac:dyDescent="0.25">
      <c r="A183">
        <v>1990</v>
      </c>
      <c r="B183">
        <v>12</v>
      </c>
      <c r="C183">
        <v>22</v>
      </c>
      <c r="D183">
        <v>2448247.6305300002</v>
      </c>
      <c r="E183">
        <v>-11.740500000000001</v>
      </c>
      <c r="F183">
        <v>2.323</v>
      </c>
    </row>
    <row r="184" spans="1:6" x14ac:dyDescent="0.25">
      <c r="A184">
        <v>1991</v>
      </c>
      <c r="B184">
        <v>6</v>
      </c>
      <c r="C184">
        <v>21</v>
      </c>
      <c r="D184">
        <v>2448429.3887299998</v>
      </c>
      <c r="E184">
        <v>-17.8156</v>
      </c>
      <c r="F184">
        <v>-5.1234000000000002</v>
      </c>
    </row>
    <row r="185" spans="1:6" x14ac:dyDescent="0.25">
      <c r="A185">
        <v>1991</v>
      </c>
      <c r="B185">
        <v>12</v>
      </c>
      <c r="C185">
        <v>22</v>
      </c>
      <c r="D185">
        <v>2448612.87127</v>
      </c>
      <c r="E185">
        <v>21.599499999999999</v>
      </c>
      <c r="F185">
        <v>-0.31040000000000001</v>
      </c>
    </row>
    <row r="186" spans="1:6" x14ac:dyDescent="0.25">
      <c r="A186">
        <v>1992</v>
      </c>
      <c r="B186">
        <v>6</v>
      </c>
      <c r="C186">
        <v>21</v>
      </c>
      <c r="D186">
        <v>2448794.63552</v>
      </c>
      <c r="E186">
        <v>-5.7530000000000001</v>
      </c>
      <c r="F186">
        <v>4.7912999999999997</v>
      </c>
    </row>
    <row r="187" spans="1:6" x14ac:dyDescent="0.25">
      <c r="A187">
        <v>1992</v>
      </c>
      <c r="B187">
        <v>12</v>
      </c>
      <c r="C187">
        <v>21</v>
      </c>
      <c r="D187">
        <v>2448978.1140399999</v>
      </c>
      <c r="E187">
        <v>-22.8782</v>
      </c>
      <c r="F187">
        <v>-1.8476999999999999</v>
      </c>
    </row>
    <row r="188" spans="1:6" x14ac:dyDescent="0.25">
      <c r="A188">
        <v>1993</v>
      </c>
      <c r="B188">
        <v>6</v>
      </c>
      <c r="C188">
        <v>21</v>
      </c>
      <c r="D188">
        <v>2449159.8755100002</v>
      </c>
      <c r="E188">
        <v>18.923400000000001</v>
      </c>
      <c r="F188">
        <v>-2.9605999999999999</v>
      </c>
    </row>
    <row r="189" spans="1:6" x14ac:dyDescent="0.25">
      <c r="A189">
        <v>1993</v>
      </c>
      <c r="B189">
        <v>12</v>
      </c>
      <c r="C189">
        <v>21</v>
      </c>
      <c r="D189">
        <v>2449343.3519600001</v>
      </c>
      <c r="E189">
        <v>7.1590999999999996</v>
      </c>
      <c r="F189">
        <v>4.1805000000000003</v>
      </c>
    </row>
    <row r="190" spans="1:6" x14ac:dyDescent="0.25">
      <c r="A190">
        <v>1994</v>
      </c>
      <c r="B190">
        <v>6</v>
      </c>
      <c r="C190">
        <v>21</v>
      </c>
      <c r="D190">
        <v>2449525.11705</v>
      </c>
      <c r="E190">
        <v>-20.721900000000002</v>
      </c>
      <c r="F190">
        <v>0.99760000000000004</v>
      </c>
    </row>
    <row r="191" spans="1:6" x14ac:dyDescent="0.25">
      <c r="A191">
        <v>1994</v>
      </c>
      <c r="B191">
        <v>12</v>
      </c>
      <c r="C191">
        <v>22</v>
      </c>
      <c r="D191">
        <v>2449708.59981</v>
      </c>
      <c r="E191">
        <v>10.770300000000001</v>
      </c>
      <c r="F191">
        <v>-5.1342999999999996</v>
      </c>
    </row>
    <row r="192" spans="1:6" x14ac:dyDescent="0.25">
      <c r="A192">
        <v>1995</v>
      </c>
      <c r="B192">
        <v>6</v>
      </c>
      <c r="C192">
        <v>21</v>
      </c>
      <c r="D192">
        <v>2449890.3579199999</v>
      </c>
      <c r="E192">
        <v>8.923</v>
      </c>
      <c r="F192">
        <v>1.0485</v>
      </c>
    </row>
    <row r="193" spans="1:6" x14ac:dyDescent="0.25">
      <c r="A193">
        <v>1995</v>
      </c>
      <c r="B193">
        <v>12</v>
      </c>
      <c r="C193">
        <v>22</v>
      </c>
      <c r="D193">
        <v>2450073.8457200001</v>
      </c>
      <c r="E193">
        <v>-19.552499999999998</v>
      </c>
      <c r="F193">
        <v>4.7211999999999996</v>
      </c>
    </row>
    <row r="194" spans="1:6" x14ac:dyDescent="0.25">
      <c r="A194">
        <v>1996</v>
      </c>
      <c r="B194">
        <v>6</v>
      </c>
      <c r="C194">
        <v>21</v>
      </c>
      <c r="D194">
        <v>2450255.6005299999</v>
      </c>
      <c r="E194">
        <v>8.8061000000000007</v>
      </c>
      <c r="F194">
        <v>-3.7709999999999999</v>
      </c>
    </row>
    <row r="195" spans="1:6" x14ac:dyDescent="0.25">
      <c r="A195">
        <v>1996</v>
      </c>
      <c r="B195">
        <v>12</v>
      </c>
      <c r="C195">
        <v>21</v>
      </c>
      <c r="D195">
        <v>2450439.0881500002</v>
      </c>
      <c r="E195">
        <v>13.922800000000001</v>
      </c>
      <c r="F195">
        <v>-3.7145000000000001</v>
      </c>
    </row>
    <row r="196" spans="1:6" x14ac:dyDescent="0.25">
      <c r="A196">
        <v>1997</v>
      </c>
      <c r="B196">
        <v>6</v>
      </c>
      <c r="C196">
        <v>21</v>
      </c>
      <c r="D196">
        <v>2450620.84791</v>
      </c>
      <c r="E196">
        <v>-18.9482</v>
      </c>
      <c r="F196">
        <v>4.8742999999999999</v>
      </c>
    </row>
    <row r="197" spans="1:6" x14ac:dyDescent="0.25">
      <c r="A197">
        <v>1997</v>
      </c>
      <c r="B197">
        <v>12</v>
      </c>
      <c r="C197">
        <v>21</v>
      </c>
      <c r="D197">
        <v>2450804.3389499998</v>
      </c>
      <c r="E197">
        <v>0.85489999999999999</v>
      </c>
      <c r="F197">
        <v>1.3729</v>
      </c>
    </row>
    <row r="198" spans="1:6" x14ac:dyDescent="0.25">
      <c r="A198">
        <v>1998</v>
      </c>
      <c r="B198">
        <v>6</v>
      </c>
      <c r="C198">
        <v>21</v>
      </c>
      <c r="D198">
        <v>2450986.08586</v>
      </c>
      <c r="E198">
        <v>13.5756</v>
      </c>
      <c r="F198">
        <v>-5.0103</v>
      </c>
    </row>
    <row r="199" spans="1:6" x14ac:dyDescent="0.25">
      <c r="A199">
        <v>1998</v>
      </c>
      <c r="B199">
        <v>12</v>
      </c>
      <c r="C199">
        <v>22</v>
      </c>
      <c r="D199">
        <v>2451169.5816100002</v>
      </c>
      <c r="E199">
        <v>-17.751200000000001</v>
      </c>
      <c r="F199">
        <v>1.5031000000000001</v>
      </c>
    </row>
    <row r="200" spans="1:6" x14ac:dyDescent="0.25">
      <c r="A200">
        <v>1999</v>
      </c>
      <c r="B200">
        <v>6</v>
      </c>
      <c r="C200">
        <v>21</v>
      </c>
      <c r="D200">
        <v>2451351.3265200001</v>
      </c>
      <c r="E200">
        <v>-1.4732000000000001</v>
      </c>
      <c r="F200">
        <v>4.3826999999999998</v>
      </c>
    </row>
    <row r="201" spans="1:6" x14ac:dyDescent="0.25">
      <c r="A201">
        <v>1999</v>
      </c>
      <c r="B201">
        <v>12</v>
      </c>
      <c r="C201">
        <v>22</v>
      </c>
      <c r="D201">
        <v>2451534.8228199999</v>
      </c>
      <c r="E201">
        <v>19.090399999999999</v>
      </c>
      <c r="F201">
        <v>-3.3395000000000001</v>
      </c>
    </row>
    <row r="202" spans="1:6" x14ac:dyDescent="0.25">
      <c r="A202">
        <v>2000</v>
      </c>
      <c r="B202">
        <v>6</v>
      </c>
      <c r="C202">
        <v>21</v>
      </c>
      <c r="D202">
        <v>2451716.5755400001</v>
      </c>
      <c r="E202">
        <v>-18.920999999999999</v>
      </c>
      <c r="F202">
        <v>-1.8268</v>
      </c>
    </row>
    <row r="203" spans="1:6" x14ac:dyDescent="0.25">
      <c r="A203">
        <v>2000</v>
      </c>
      <c r="B203">
        <v>12</v>
      </c>
      <c r="C203">
        <v>21</v>
      </c>
      <c r="D203">
        <v>2451900.0684000002</v>
      </c>
      <c r="E203">
        <v>-12.001099999999999</v>
      </c>
      <c r="F203">
        <v>4.6790000000000003</v>
      </c>
    </row>
    <row r="204" spans="1:6" x14ac:dyDescent="0.25">
      <c r="A204">
        <v>2001</v>
      </c>
      <c r="B204">
        <v>6</v>
      </c>
      <c r="C204">
        <v>21</v>
      </c>
      <c r="D204">
        <v>2452081.8185999999</v>
      </c>
      <c r="E204">
        <v>22.0593</v>
      </c>
      <c r="F204">
        <v>-0.80920000000000003</v>
      </c>
    </row>
    <row r="205" spans="1:6" x14ac:dyDescent="0.25">
      <c r="A205">
        <v>2001</v>
      </c>
      <c r="B205">
        <v>12</v>
      </c>
      <c r="C205">
        <v>21</v>
      </c>
      <c r="D205">
        <v>2452265.3073399998</v>
      </c>
      <c r="E205">
        <v>-10.133599999999999</v>
      </c>
      <c r="F205">
        <v>-5.2237999999999998</v>
      </c>
    </row>
    <row r="206" spans="1:6" x14ac:dyDescent="0.25">
      <c r="A206">
        <v>2002</v>
      </c>
      <c r="B206">
        <v>6</v>
      </c>
      <c r="C206">
        <v>21</v>
      </c>
      <c r="D206">
        <v>2452447.0593599998</v>
      </c>
      <c r="E206">
        <v>-14.978</v>
      </c>
      <c r="F206">
        <v>2.7120000000000002</v>
      </c>
    </row>
    <row r="207" spans="1:6" x14ac:dyDescent="0.25">
      <c r="A207">
        <v>2002</v>
      </c>
      <c r="B207">
        <v>12</v>
      </c>
      <c r="C207">
        <v>22</v>
      </c>
      <c r="D207">
        <v>2452630.5523999999</v>
      </c>
      <c r="E207">
        <v>24.2134</v>
      </c>
      <c r="F207">
        <v>3.9195000000000002</v>
      </c>
    </row>
    <row r="208" spans="1:6" x14ac:dyDescent="0.25">
      <c r="A208">
        <v>2003</v>
      </c>
      <c r="B208">
        <v>6</v>
      </c>
      <c r="C208">
        <v>21</v>
      </c>
      <c r="D208">
        <v>2452812.2996800002</v>
      </c>
      <c r="E208">
        <v>-3.8578000000000001</v>
      </c>
      <c r="F208">
        <v>-4.3914999999999997</v>
      </c>
    </row>
    <row r="209" spans="1:6" x14ac:dyDescent="0.25">
      <c r="A209">
        <v>2003</v>
      </c>
      <c r="B209">
        <v>12</v>
      </c>
      <c r="C209">
        <v>22</v>
      </c>
      <c r="D209">
        <v>2452995.7950599999</v>
      </c>
      <c r="E209">
        <v>-25.543399999999998</v>
      </c>
      <c r="F209">
        <v>-2.1427</v>
      </c>
    </row>
    <row r="210" spans="1:6" x14ac:dyDescent="0.25">
      <c r="A210">
        <v>2004</v>
      </c>
      <c r="B210">
        <v>6</v>
      </c>
      <c r="C210">
        <v>21</v>
      </c>
      <c r="D210">
        <v>2453177.5402299999</v>
      </c>
      <c r="E210">
        <v>23.102900000000002</v>
      </c>
      <c r="F210">
        <v>5.0876000000000001</v>
      </c>
    </row>
    <row r="211" spans="1:6" x14ac:dyDescent="0.25">
      <c r="A211">
        <v>2004</v>
      </c>
      <c r="B211">
        <v>12</v>
      </c>
      <c r="C211">
        <v>21</v>
      </c>
      <c r="D211">
        <v>2453361.0296399998</v>
      </c>
      <c r="E211">
        <v>12.247999999999999</v>
      </c>
      <c r="F211">
        <v>0.2707</v>
      </c>
    </row>
    <row r="212" spans="1:6" x14ac:dyDescent="0.25">
      <c r="A212">
        <v>2005</v>
      </c>
      <c r="B212">
        <v>6</v>
      </c>
      <c r="C212">
        <v>21</v>
      </c>
      <c r="D212">
        <v>2453542.78278</v>
      </c>
      <c r="E212">
        <v>-27.569900000000001</v>
      </c>
      <c r="F212">
        <v>-4.2407000000000004</v>
      </c>
    </row>
    <row r="213" spans="1:6" x14ac:dyDescent="0.25">
      <c r="A213">
        <v>2005</v>
      </c>
      <c r="B213">
        <v>12</v>
      </c>
      <c r="C213">
        <v>21</v>
      </c>
      <c r="D213">
        <v>2453726.27501</v>
      </c>
      <c r="E213">
        <v>10.350899999999999</v>
      </c>
      <c r="F213">
        <v>2.6671999999999998</v>
      </c>
    </row>
    <row r="214" spans="1:6" x14ac:dyDescent="0.25">
      <c r="A214">
        <v>2006</v>
      </c>
      <c r="B214">
        <v>6</v>
      </c>
      <c r="C214">
        <v>21</v>
      </c>
      <c r="D214">
        <v>2453908.0186999999</v>
      </c>
      <c r="E214">
        <v>16.4878</v>
      </c>
      <c r="F214">
        <v>3.1015000000000001</v>
      </c>
    </row>
    <row r="215" spans="1:6" x14ac:dyDescent="0.25">
      <c r="A215">
        <v>2006</v>
      </c>
      <c r="B215">
        <v>12</v>
      </c>
      <c r="C215">
        <v>22</v>
      </c>
      <c r="D215">
        <v>2454091.51609</v>
      </c>
      <c r="E215">
        <v>-26.998999999999999</v>
      </c>
      <c r="F215">
        <v>-4.4170999999999996</v>
      </c>
    </row>
    <row r="216" spans="1:6" x14ac:dyDescent="0.25">
      <c r="A216">
        <v>2007</v>
      </c>
      <c r="B216">
        <v>6</v>
      </c>
      <c r="C216">
        <v>21</v>
      </c>
      <c r="D216">
        <v>2454273.2552100001</v>
      </c>
      <c r="E216">
        <v>1.8917999999999999</v>
      </c>
      <c r="F216">
        <v>-1.0113000000000001</v>
      </c>
    </row>
    <row r="217" spans="1:6" x14ac:dyDescent="0.25">
      <c r="A217">
        <v>2007</v>
      </c>
      <c r="B217">
        <v>12</v>
      </c>
      <c r="C217">
        <v>22</v>
      </c>
      <c r="D217">
        <v>2454456.75618</v>
      </c>
      <c r="E217">
        <v>25.193300000000001</v>
      </c>
      <c r="F217">
        <v>5.0415999999999999</v>
      </c>
    </row>
    <row r="218" spans="1:6" x14ac:dyDescent="0.25">
      <c r="A218">
        <v>2008</v>
      </c>
      <c r="B218">
        <v>6</v>
      </c>
      <c r="C218">
        <v>21</v>
      </c>
      <c r="D218">
        <v>2454638.50031</v>
      </c>
      <c r="E218">
        <v>-24.043099999999999</v>
      </c>
      <c r="F218">
        <v>-2.1114000000000002</v>
      </c>
    </row>
    <row r="219" spans="1:6" x14ac:dyDescent="0.25">
      <c r="A219">
        <v>2008</v>
      </c>
      <c r="B219">
        <v>12</v>
      </c>
      <c r="C219">
        <v>21</v>
      </c>
      <c r="D219">
        <v>2454822.00337</v>
      </c>
      <c r="E219">
        <v>-14.6425</v>
      </c>
      <c r="F219">
        <v>-4.9683999999999999</v>
      </c>
    </row>
    <row r="220" spans="1:6" x14ac:dyDescent="0.25">
      <c r="A220">
        <v>2009</v>
      </c>
      <c r="B220">
        <v>6</v>
      </c>
      <c r="C220">
        <v>21</v>
      </c>
      <c r="D220">
        <v>2455003.74071</v>
      </c>
      <c r="E220">
        <v>25.165600000000001</v>
      </c>
      <c r="F220">
        <v>4.1505000000000001</v>
      </c>
    </row>
    <row r="221" spans="1:6" x14ac:dyDescent="0.25">
      <c r="A221">
        <v>2009</v>
      </c>
      <c r="B221">
        <v>12</v>
      </c>
      <c r="C221">
        <v>21</v>
      </c>
      <c r="D221">
        <v>2455187.2415900002</v>
      </c>
      <c r="E221">
        <v>-10.323</v>
      </c>
      <c r="F221">
        <v>3.0964</v>
      </c>
    </row>
    <row r="222" spans="1:6" x14ac:dyDescent="0.25">
      <c r="A222">
        <v>2010</v>
      </c>
      <c r="B222">
        <v>6</v>
      </c>
      <c r="C222">
        <v>21</v>
      </c>
      <c r="D222">
        <v>2455368.9788299999</v>
      </c>
      <c r="E222">
        <v>-16.645399999999999</v>
      </c>
      <c r="F222">
        <v>-5.0260999999999996</v>
      </c>
    </row>
    <row r="223" spans="1:6" x14ac:dyDescent="0.25">
      <c r="A223">
        <v>2010</v>
      </c>
      <c r="B223">
        <v>12</v>
      </c>
      <c r="C223">
        <v>21</v>
      </c>
      <c r="D223">
        <v>2455552.48581</v>
      </c>
      <c r="E223">
        <v>22.235800000000001</v>
      </c>
      <c r="F223">
        <v>-0.50549999999999995</v>
      </c>
    </row>
    <row r="224" spans="1:6" x14ac:dyDescent="0.25">
      <c r="A224">
        <v>2011</v>
      </c>
      <c r="B224">
        <v>6</v>
      </c>
      <c r="C224">
        <v>21</v>
      </c>
      <c r="D224">
        <v>2455734.2205599998</v>
      </c>
      <c r="E224">
        <v>-3.5413999999999999</v>
      </c>
      <c r="F224">
        <v>5.1449999999999996</v>
      </c>
    </row>
    <row r="225" spans="1:6" x14ac:dyDescent="0.25">
      <c r="A225">
        <v>2011</v>
      </c>
      <c r="B225">
        <v>12</v>
      </c>
      <c r="C225">
        <v>22</v>
      </c>
      <c r="D225">
        <v>2455917.7299700002</v>
      </c>
      <c r="E225">
        <v>-21.729399999999998</v>
      </c>
      <c r="F225">
        <v>-1.6566000000000001</v>
      </c>
    </row>
    <row r="226" spans="1:6" x14ac:dyDescent="0.25">
      <c r="A226">
        <v>2012</v>
      </c>
      <c r="B226">
        <v>6</v>
      </c>
      <c r="C226">
        <v>20</v>
      </c>
      <c r="D226">
        <v>2456099.4652200001</v>
      </c>
      <c r="E226">
        <v>18.384699999999999</v>
      </c>
      <c r="F226">
        <v>-3.3791000000000002</v>
      </c>
    </row>
    <row r="227" spans="1:6" x14ac:dyDescent="0.25">
      <c r="A227">
        <v>2012</v>
      </c>
      <c r="B227">
        <v>12</v>
      </c>
      <c r="C227">
        <v>21</v>
      </c>
      <c r="D227">
        <v>2456282.96716</v>
      </c>
      <c r="E227">
        <v>8.0954999999999995</v>
      </c>
      <c r="F227">
        <v>3.4601999999999999</v>
      </c>
    </row>
    <row r="228" spans="1:6" x14ac:dyDescent="0.25">
      <c r="A228">
        <v>2013</v>
      </c>
      <c r="B228">
        <v>6</v>
      </c>
      <c r="C228">
        <v>21</v>
      </c>
      <c r="D228">
        <v>2456464.7118500001</v>
      </c>
      <c r="E228">
        <v>-19.2637</v>
      </c>
      <c r="F228">
        <v>1.0541</v>
      </c>
    </row>
    <row r="229" spans="1:6" x14ac:dyDescent="0.25">
      <c r="A229">
        <v>2013</v>
      </c>
      <c r="B229">
        <v>12</v>
      </c>
      <c r="C229">
        <v>21</v>
      </c>
      <c r="D229">
        <v>2456648.2167500001</v>
      </c>
      <c r="E229">
        <v>10.218</v>
      </c>
      <c r="F229">
        <v>-4.9999000000000002</v>
      </c>
    </row>
    <row r="230" spans="1:6" x14ac:dyDescent="0.25">
      <c r="A230">
        <v>2014</v>
      </c>
      <c r="B230">
        <v>6</v>
      </c>
      <c r="C230">
        <v>21</v>
      </c>
      <c r="D230">
        <v>2456829.9530199999</v>
      </c>
      <c r="E230">
        <v>7.9855</v>
      </c>
      <c r="F230">
        <v>0.47270000000000001</v>
      </c>
    </row>
    <row r="231" spans="1:6" x14ac:dyDescent="0.25">
      <c r="A231">
        <v>2014</v>
      </c>
      <c r="B231">
        <v>12</v>
      </c>
      <c r="C231">
        <v>21</v>
      </c>
      <c r="D231">
        <v>2457013.4611999998</v>
      </c>
      <c r="E231">
        <v>-19.140499999999999</v>
      </c>
      <c r="F231">
        <v>4.7845000000000004</v>
      </c>
    </row>
    <row r="232" spans="1:6" x14ac:dyDescent="0.25">
      <c r="A232">
        <v>2015</v>
      </c>
      <c r="B232">
        <v>6</v>
      </c>
      <c r="C232">
        <v>21</v>
      </c>
      <c r="D232">
        <v>2457195.1937699998</v>
      </c>
      <c r="E232">
        <v>8.1463999999999999</v>
      </c>
      <c r="F232">
        <v>-2.9712000000000001</v>
      </c>
    </row>
    <row r="233" spans="1:6" x14ac:dyDescent="0.25">
      <c r="A233">
        <v>2015</v>
      </c>
      <c r="B233">
        <v>12</v>
      </c>
      <c r="C233">
        <v>22</v>
      </c>
      <c r="D233">
        <v>2457378.7007399998</v>
      </c>
      <c r="E233">
        <v>12.3667</v>
      </c>
      <c r="F233">
        <v>-3.8971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44"/>
  <sheetViews>
    <sheetView workbookViewId="0">
      <selection activeCell="A2" sqref="A2"/>
    </sheetView>
  </sheetViews>
  <sheetFormatPr defaultRowHeight="15" x14ac:dyDescent="0.25"/>
  <cols>
    <col min="2" max="2" width="12.28515625" bestFit="1" customWidth="1"/>
  </cols>
  <sheetData>
    <row r="1" spans="1:2" x14ac:dyDescent="0.25">
      <c r="A1">
        <v>2E-3</v>
      </c>
    </row>
    <row r="2" spans="1:2" x14ac:dyDescent="0.25">
      <c r="A2" t="s">
        <v>41</v>
      </c>
      <c r="B2" t="s">
        <v>42</v>
      </c>
    </row>
    <row r="3" spans="1:2" x14ac:dyDescent="0.25">
      <c r="A3">
        <v>0</v>
      </c>
      <c r="B3" s="32">
        <f>0.323585334495683*COS(1.25226098841235 - 29.4037227718803*$A3) - 0.278838680632391*COS(1.04090145025875*$A3) - 5.11813177262468*COS(0.597704127771972 - 84.3329956365773*$A3)</f>
        <v>-4.4082997170925973</v>
      </c>
    </row>
    <row r="4" spans="1:2" x14ac:dyDescent="0.25">
      <c r="A4">
        <f>+A3+$A$1</f>
        <v>2E-3</v>
      </c>
      <c r="B4" s="32">
        <f t="shared" ref="B4:B67" si="0">0.323585334495683*COS(1.25226098841235 - 29.4037227718803*$A4) - 0.278838680632391*COS(1.04090145025875*$A4) - 5.11813177262468*COS(0.597704127771972 - 84.3329956365773*$A4)</f>
        <v>-4.8138691373888074</v>
      </c>
    </row>
    <row r="5" spans="1:2" x14ac:dyDescent="0.25">
      <c r="A5">
        <f t="shared" ref="A5:A68" si="1">+A4+$A$1</f>
        <v>4.0000000000000001E-3</v>
      </c>
      <c r="B5" s="32">
        <f t="shared" si="0"/>
        <v>-5.0877578446778156</v>
      </c>
    </row>
    <row r="6" spans="1:2" x14ac:dyDescent="0.25">
      <c r="A6">
        <f t="shared" si="1"/>
        <v>6.0000000000000001E-3</v>
      </c>
      <c r="B6" s="32">
        <f t="shared" si="0"/>
        <v>-5.2217570785035141</v>
      </c>
    </row>
    <row r="7" spans="1:2" x14ac:dyDescent="0.25">
      <c r="A7">
        <f t="shared" si="1"/>
        <v>8.0000000000000002E-3</v>
      </c>
      <c r="B7" s="32">
        <f t="shared" si="0"/>
        <v>-5.2116400039255169</v>
      </c>
    </row>
    <row r="8" spans="1:2" x14ac:dyDescent="0.25">
      <c r="A8">
        <f t="shared" si="1"/>
        <v>0.01</v>
      </c>
      <c r="B8" s="32">
        <f t="shared" si="0"/>
        <v>-5.0572831376399412</v>
      </c>
    </row>
    <row r="9" spans="1:2" x14ac:dyDescent="0.25">
      <c r="A9">
        <f t="shared" si="1"/>
        <v>1.2E-2</v>
      </c>
      <c r="B9" s="32">
        <f t="shared" si="0"/>
        <v>-4.7626712717496158</v>
      </c>
    </row>
    <row r="10" spans="1:2" x14ac:dyDescent="0.25">
      <c r="A10">
        <f t="shared" si="1"/>
        <v>1.4E-2</v>
      </c>
      <c r="B10" s="32">
        <f t="shared" si="0"/>
        <v>-4.3357857505363118</v>
      </c>
    </row>
    <row r="11" spans="1:2" x14ac:dyDescent="0.25">
      <c r="A11">
        <f t="shared" si="1"/>
        <v>1.6E-2</v>
      </c>
      <c r="B11" s="32">
        <f t="shared" si="0"/>
        <v>-3.788379266302536</v>
      </c>
    </row>
    <row r="12" spans="1:2" x14ac:dyDescent="0.25">
      <c r="A12">
        <f t="shared" si="1"/>
        <v>1.8000000000000002E-2</v>
      </c>
      <c r="B12" s="32">
        <f t="shared" si="0"/>
        <v>-3.1356435612260367</v>
      </c>
    </row>
    <row r="13" spans="1:2" x14ac:dyDescent="0.25">
      <c r="A13">
        <f t="shared" si="1"/>
        <v>2.0000000000000004E-2</v>
      </c>
      <c r="B13" s="32">
        <f t="shared" si="0"/>
        <v>-2.3957794617946662</v>
      </c>
    </row>
    <row r="14" spans="1:2" x14ac:dyDescent="0.25">
      <c r="A14">
        <f t="shared" si="1"/>
        <v>2.2000000000000006E-2</v>
      </c>
      <c r="B14" s="32">
        <f t="shared" si="0"/>
        <v>-1.5894814444948757</v>
      </c>
    </row>
    <row r="15" spans="1:2" x14ac:dyDescent="0.25">
      <c r="A15">
        <f t="shared" si="1"/>
        <v>2.4000000000000007E-2</v>
      </c>
      <c r="B15" s="32">
        <f t="shared" si="0"/>
        <v>-0.73935135733832524</v>
      </c>
    </row>
    <row r="16" spans="1:2" x14ac:dyDescent="0.25">
      <c r="A16">
        <f t="shared" si="1"/>
        <v>2.6000000000000009E-2</v>
      </c>
      <c r="B16" s="32">
        <f t="shared" si="0"/>
        <v>0.13074206732228522</v>
      </c>
    </row>
    <row r="17" spans="1:2" x14ac:dyDescent="0.25">
      <c r="A17">
        <f t="shared" si="1"/>
        <v>2.8000000000000011E-2</v>
      </c>
      <c r="B17" s="32">
        <f t="shared" si="0"/>
        <v>0.99633973448587754</v>
      </c>
    </row>
    <row r="18" spans="1:2" x14ac:dyDescent="0.25">
      <c r="A18">
        <f t="shared" si="1"/>
        <v>3.0000000000000013E-2</v>
      </c>
      <c r="B18" s="32">
        <f t="shared" si="0"/>
        <v>1.8330855455383306</v>
      </c>
    </row>
    <row r="19" spans="1:2" x14ac:dyDescent="0.25">
      <c r="A19">
        <f t="shared" si="1"/>
        <v>3.2000000000000015E-2</v>
      </c>
      <c r="B19" s="32">
        <f t="shared" si="0"/>
        <v>2.617416919321907</v>
      </c>
    </row>
    <row r="20" spans="1:2" x14ac:dyDescent="0.25">
      <c r="A20">
        <f t="shared" si="1"/>
        <v>3.4000000000000016E-2</v>
      </c>
      <c r="B20" s="32">
        <f t="shared" si="0"/>
        <v>3.3272328801797681</v>
      </c>
    </row>
    <row r="21" spans="1:2" x14ac:dyDescent="0.25">
      <c r="A21">
        <f t="shared" si="1"/>
        <v>3.6000000000000018E-2</v>
      </c>
      <c r="B21" s="32">
        <f t="shared" si="0"/>
        <v>3.9425207542813849</v>
      </c>
    </row>
    <row r="22" spans="1:2" x14ac:dyDescent="0.25">
      <c r="A22">
        <f t="shared" si="1"/>
        <v>3.800000000000002E-2</v>
      </c>
      <c r="B22" s="32">
        <f t="shared" si="0"/>
        <v>4.4459236899558228</v>
      </c>
    </row>
    <row r="23" spans="1:2" x14ac:dyDescent="0.25">
      <c r="A23">
        <f t="shared" si="1"/>
        <v>4.0000000000000022E-2</v>
      </c>
      <c r="B23" s="32">
        <f t="shared" si="0"/>
        <v>4.8232328969067293</v>
      </c>
    </row>
    <row r="24" spans="1:2" x14ac:dyDescent="0.25">
      <c r="A24">
        <f t="shared" si="1"/>
        <v>4.2000000000000023E-2</v>
      </c>
      <c r="B24" s="32">
        <f t="shared" si="0"/>
        <v>5.063790635401582</v>
      </c>
    </row>
    <row r="25" spans="1:2" x14ac:dyDescent="0.25">
      <c r="A25">
        <f t="shared" si="1"/>
        <v>4.4000000000000025E-2</v>
      </c>
      <c r="B25" s="32">
        <f t="shared" si="0"/>
        <v>5.1607925191911717</v>
      </c>
    </row>
    <row r="26" spans="1:2" x14ac:dyDescent="0.25">
      <c r="A26">
        <f t="shared" si="1"/>
        <v>4.6000000000000027E-2</v>
      </c>
      <c r="B26" s="32">
        <f t="shared" si="0"/>
        <v>5.1114805531458929</v>
      </c>
    </row>
    <row r="27" spans="1:2" x14ac:dyDescent="0.25">
      <c r="A27">
        <f t="shared" si="1"/>
        <v>4.8000000000000029E-2</v>
      </c>
      <c r="B27" s="32">
        <f t="shared" si="0"/>
        <v>4.9172214273034784</v>
      </c>
    </row>
    <row r="28" spans="1:2" x14ac:dyDescent="0.25">
      <c r="A28">
        <f t="shared" si="1"/>
        <v>5.0000000000000031E-2</v>
      </c>
      <c r="B28" s="32">
        <f t="shared" si="0"/>
        <v>4.583467845208836</v>
      </c>
    </row>
    <row r="29" spans="1:2" x14ac:dyDescent="0.25">
      <c r="A29">
        <f t="shared" si="1"/>
        <v>5.2000000000000032E-2</v>
      </c>
      <c r="B29" s="32">
        <f t="shared" si="0"/>
        <v>4.1196039836785614</v>
      </c>
    </row>
    <row r="30" spans="1:2" x14ac:dyDescent="0.25">
      <c r="A30">
        <f t="shared" si="1"/>
        <v>5.4000000000000034E-2</v>
      </c>
      <c r="B30" s="32">
        <f t="shared" si="0"/>
        <v>3.538679469238466</v>
      </c>
    </row>
    <row r="31" spans="1:2" x14ac:dyDescent="0.25">
      <c r="A31">
        <f t="shared" si="1"/>
        <v>5.6000000000000036E-2</v>
      </c>
      <c r="B31" s="32">
        <f t="shared" si="0"/>
        <v>2.8570394201436731</v>
      </c>
    </row>
    <row r="32" spans="1:2" x14ac:dyDescent="0.25">
      <c r="A32">
        <f t="shared" si="1"/>
        <v>5.8000000000000038E-2</v>
      </c>
      <c r="B32" s="32">
        <f t="shared" si="0"/>
        <v>2.0938610523114205</v>
      </c>
    </row>
    <row r="33" spans="1:2" x14ac:dyDescent="0.25">
      <c r="A33">
        <f t="shared" si="1"/>
        <v>6.0000000000000039E-2</v>
      </c>
      <c r="B33" s="32">
        <f t="shared" si="0"/>
        <v>1.270609998970595</v>
      </c>
    </row>
    <row r="34" spans="1:2" x14ac:dyDescent="0.25">
      <c r="A34">
        <f t="shared" si="1"/>
        <v>6.2000000000000041E-2</v>
      </c>
      <c r="B34" s="32">
        <f t="shared" si="0"/>
        <v>0.41043177210939902</v>
      </c>
    </row>
    <row r="35" spans="1:2" x14ac:dyDescent="0.25">
      <c r="A35">
        <f t="shared" si="1"/>
        <v>6.4000000000000043E-2</v>
      </c>
      <c r="B35" s="32">
        <f t="shared" si="0"/>
        <v>-0.46250436577493592</v>
      </c>
    </row>
    <row r="36" spans="1:2" x14ac:dyDescent="0.25">
      <c r="A36">
        <f t="shared" si="1"/>
        <v>6.6000000000000045E-2</v>
      </c>
      <c r="B36" s="32">
        <f t="shared" si="0"/>
        <v>-1.32369050078469</v>
      </c>
    </row>
    <row r="37" spans="1:2" x14ac:dyDescent="0.25">
      <c r="A37">
        <f t="shared" si="1"/>
        <v>6.8000000000000047E-2</v>
      </c>
      <c r="B37" s="32">
        <f t="shared" si="0"/>
        <v>-2.1489746968219197</v>
      </c>
    </row>
    <row r="38" spans="1:2" x14ac:dyDescent="0.25">
      <c r="A38">
        <f t="shared" si="1"/>
        <v>7.0000000000000048E-2</v>
      </c>
      <c r="B38" s="32">
        <f t="shared" si="0"/>
        <v>-2.9152454439224793</v>
      </c>
    </row>
    <row r="39" spans="1:2" x14ac:dyDescent="0.25">
      <c r="A39">
        <f t="shared" si="1"/>
        <v>7.200000000000005E-2</v>
      </c>
      <c r="B39" s="32">
        <f t="shared" si="0"/>
        <v>-3.6010865039766289</v>
      </c>
    </row>
    <row r="40" spans="1:2" x14ac:dyDescent="0.25">
      <c r="A40">
        <f t="shared" si="1"/>
        <v>7.4000000000000052E-2</v>
      </c>
      <c r="B40" s="32">
        <f t="shared" si="0"/>
        <v>-4.1873835724935926</v>
      </c>
    </row>
    <row r="41" spans="1:2" x14ac:dyDescent="0.25">
      <c r="A41">
        <f t="shared" si="1"/>
        <v>7.6000000000000054E-2</v>
      </c>
      <c r="B41" s="32">
        <f t="shared" si="0"/>
        <v>-4.6578655428128801</v>
      </c>
    </row>
    <row r="42" spans="1:2" x14ac:dyDescent="0.25">
      <c r="A42">
        <f t="shared" si="1"/>
        <v>7.8000000000000055E-2</v>
      </c>
      <c r="B42" s="32">
        <f t="shared" si="0"/>
        <v>-4.9995650154334426</v>
      </c>
    </row>
    <row r="43" spans="1:2" x14ac:dyDescent="0.25">
      <c r="A43">
        <f t="shared" si="1"/>
        <v>8.0000000000000057E-2</v>
      </c>
      <c r="B43" s="32">
        <f t="shared" si="0"/>
        <v>-5.2031849872392151</v>
      </c>
    </row>
    <row r="44" spans="1:2" x14ac:dyDescent="0.25">
      <c r="A44">
        <f t="shared" si="1"/>
        <v>8.2000000000000059E-2</v>
      </c>
      <c r="B44" s="32">
        <f t="shared" si="0"/>
        <v>-5.2633613182938337</v>
      </c>
    </row>
    <row r="45" spans="1:2" x14ac:dyDescent="0.25">
      <c r="A45">
        <f t="shared" si="1"/>
        <v>8.4000000000000061E-2</v>
      </c>
      <c r="B45" s="32">
        <f t="shared" si="0"/>
        <v>-5.1788135319822395</v>
      </c>
    </row>
    <row r="46" spans="1:2" x14ac:dyDescent="0.25">
      <c r="A46">
        <f t="shared" si="1"/>
        <v>8.6000000000000063E-2</v>
      </c>
      <c r="B46" s="32">
        <f t="shared" si="0"/>
        <v>-4.9523796736385624</v>
      </c>
    </row>
    <row r="47" spans="1:2" x14ac:dyDescent="0.25">
      <c r="A47">
        <f t="shared" si="1"/>
        <v>8.8000000000000064E-2</v>
      </c>
      <c r="B47" s="32">
        <f t="shared" si="0"/>
        <v>-4.5909342434682516</v>
      </c>
    </row>
    <row r="48" spans="1:2" x14ac:dyDescent="0.25">
      <c r="A48">
        <f t="shared" si="1"/>
        <v>9.0000000000000066E-2</v>
      </c>
      <c r="B48" s="32">
        <f t="shared" si="0"/>
        <v>-4.1051915381554434</v>
      </c>
    </row>
    <row r="49" spans="1:2" x14ac:dyDescent="0.25">
      <c r="A49">
        <f t="shared" si="1"/>
        <v>9.2000000000000068E-2</v>
      </c>
      <c r="B49" s="32">
        <f t="shared" si="0"/>
        <v>-3.5093999878594873</v>
      </c>
    </row>
    <row r="50" spans="1:2" x14ac:dyDescent="0.25">
      <c r="A50">
        <f t="shared" si="1"/>
        <v>9.400000000000007E-2</v>
      </c>
      <c r="B50" s="32">
        <f t="shared" si="0"/>
        <v>-2.8209361690434882</v>
      </c>
    </row>
    <row r="51" spans="1:2" x14ac:dyDescent="0.25">
      <c r="A51">
        <f t="shared" si="1"/>
        <v>9.6000000000000071E-2</v>
      </c>
      <c r="B51" s="32">
        <f t="shared" si="0"/>
        <v>-2.059810020939612</v>
      </c>
    </row>
    <row r="52" spans="1:2" x14ac:dyDescent="0.25">
      <c r="A52">
        <f t="shared" si="1"/>
        <v>9.8000000000000073E-2</v>
      </c>
      <c r="B52" s="32">
        <f t="shared" si="0"/>
        <v>-1.2480953136296158</v>
      </c>
    </row>
    <row r="53" spans="1:2" x14ac:dyDescent="0.25">
      <c r="A53">
        <f t="shared" si="1"/>
        <v>0.10000000000000007</v>
      </c>
      <c r="B53" s="32">
        <f t="shared" si="0"/>
        <v>-0.40930153718033624</v>
      </c>
    </row>
    <row r="54" spans="1:2" x14ac:dyDescent="0.25">
      <c r="A54">
        <f t="shared" si="1"/>
        <v>0.10200000000000008</v>
      </c>
      <c r="B54" s="32">
        <f t="shared" si="0"/>
        <v>0.43229495618705682</v>
      </c>
    </row>
    <row r="55" spans="1:2" x14ac:dyDescent="0.25">
      <c r="A55">
        <f t="shared" si="1"/>
        <v>0.10400000000000008</v>
      </c>
      <c r="B55" s="32">
        <f t="shared" si="0"/>
        <v>1.2523415684819237</v>
      </c>
    </row>
    <row r="56" spans="1:2" x14ac:dyDescent="0.25">
      <c r="A56">
        <f t="shared" si="1"/>
        <v>0.10600000000000008</v>
      </c>
      <c r="B56" s="32">
        <f t="shared" si="0"/>
        <v>2.0271022249644752</v>
      </c>
    </row>
    <row r="57" spans="1:2" x14ac:dyDescent="0.25">
      <c r="A57">
        <f t="shared" si="1"/>
        <v>0.10800000000000008</v>
      </c>
      <c r="B57" s="32">
        <f t="shared" si="0"/>
        <v>2.7341326288284407</v>
      </c>
    </row>
    <row r="58" spans="1:2" x14ac:dyDescent="0.25">
      <c r="A58">
        <f t="shared" si="1"/>
        <v>0.11000000000000008</v>
      </c>
      <c r="B58" s="32">
        <f t="shared" si="0"/>
        <v>3.3529188317028007</v>
      </c>
    </row>
    <row r="59" spans="1:2" x14ac:dyDescent="0.25">
      <c r="A59">
        <f t="shared" si="1"/>
        <v>0.11200000000000009</v>
      </c>
      <c r="B59" s="32">
        <f t="shared" si="0"/>
        <v>3.8654609913348019</v>
      </c>
    </row>
    <row r="60" spans="1:2" x14ac:dyDescent="0.25">
      <c r="A60">
        <f t="shared" si="1"/>
        <v>0.11400000000000009</v>
      </c>
      <c r="B60" s="32">
        <f t="shared" si="0"/>
        <v>4.2567857435467378</v>
      </c>
    </row>
    <row r="61" spans="1:2" x14ac:dyDescent="0.25">
      <c r="A61">
        <f t="shared" si="1"/>
        <v>0.11600000000000009</v>
      </c>
      <c r="B61" s="32">
        <f t="shared" si="0"/>
        <v>4.5153726416607487</v>
      </c>
    </row>
    <row r="62" spans="1:2" x14ac:dyDescent="0.25">
      <c r="A62">
        <f t="shared" si="1"/>
        <v>0.11800000000000009</v>
      </c>
      <c r="B62" s="32">
        <f t="shared" si="0"/>
        <v>4.6334825555566779</v>
      </c>
    </row>
    <row r="63" spans="1:2" x14ac:dyDescent="0.25">
      <c r="A63">
        <f t="shared" si="1"/>
        <v>0.12000000000000009</v>
      </c>
      <c r="B63" s="32">
        <f t="shared" si="0"/>
        <v>4.6073787051466581</v>
      </c>
    </row>
    <row r="64" spans="1:2" x14ac:dyDescent="0.25">
      <c r="A64">
        <f t="shared" si="1"/>
        <v>0.12200000000000009</v>
      </c>
      <c r="B64" s="32">
        <f t="shared" si="0"/>
        <v>4.4374340503437333</v>
      </c>
    </row>
    <row r="65" spans="1:2" x14ac:dyDescent="0.25">
      <c r="A65">
        <f t="shared" si="1"/>
        <v>0.1240000000000001</v>
      </c>
      <c r="B65" s="32">
        <f t="shared" si="0"/>
        <v>4.1281219850846025</v>
      </c>
    </row>
    <row r="66" spans="1:2" x14ac:dyDescent="0.25">
      <c r="A66">
        <f t="shared" si="1"/>
        <v>0.12600000000000008</v>
      </c>
      <c r="B66" s="32">
        <f t="shared" si="0"/>
        <v>3.6878905950962033</v>
      </c>
    </row>
    <row r="67" spans="1:2" x14ac:dyDescent="0.25">
      <c r="A67">
        <f t="shared" si="1"/>
        <v>0.12800000000000009</v>
      </c>
      <c r="B67" s="32">
        <f t="shared" si="0"/>
        <v>3.1289240438705073</v>
      </c>
    </row>
    <row r="68" spans="1:2" x14ac:dyDescent="0.25">
      <c r="A68">
        <f t="shared" si="1"/>
        <v>0.13000000000000009</v>
      </c>
      <c r="B68" s="32">
        <f t="shared" ref="B68:B131" si="2">0.323585334495683*COS(1.25226098841235 - 29.4037227718803*$A68) - 0.278838680632391*COS(1.04090145025875*$A68) - 5.11813177262468*COS(0.597704127771972 - 84.3329956365773*$A68)</f>
        <v>2.4667978549387701</v>
      </c>
    </row>
    <row r="69" spans="1:2" x14ac:dyDescent="0.25">
      <c r="A69">
        <f t="shared" ref="A69:A132" si="3">+A68+$A$1</f>
        <v>0.13200000000000009</v>
      </c>
      <c r="B69" s="32">
        <f t="shared" si="2"/>
        <v>1.7200378700926469</v>
      </c>
    </row>
    <row r="70" spans="1:2" x14ac:dyDescent="0.25">
      <c r="A70">
        <f t="shared" si="3"/>
        <v>0.13400000000000009</v>
      </c>
      <c r="B70" s="32">
        <f t="shared" si="2"/>
        <v>0.90959539721449456</v>
      </c>
    </row>
    <row r="71" spans="1:2" x14ac:dyDescent="0.25">
      <c r="A71">
        <f t="shared" si="3"/>
        <v>0.13600000000000009</v>
      </c>
      <c r="B71" s="32">
        <f t="shared" si="2"/>
        <v>5.8253440257441058E-2</v>
      </c>
    </row>
    <row r="72" spans="1:2" x14ac:dyDescent="0.25">
      <c r="A72">
        <f t="shared" si="3"/>
        <v>0.13800000000000009</v>
      </c>
      <c r="B72" s="32">
        <f t="shared" si="2"/>
        <v>-0.81001913985722362</v>
      </c>
    </row>
    <row r="73" spans="1:2" x14ac:dyDescent="0.25">
      <c r="A73">
        <f t="shared" si="3"/>
        <v>0.1400000000000001</v>
      </c>
      <c r="B73" s="32">
        <f t="shared" si="2"/>
        <v>-1.6707472066033806</v>
      </c>
    </row>
    <row r="74" spans="1:2" x14ac:dyDescent="0.25">
      <c r="A74">
        <f t="shared" si="3"/>
        <v>0.1420000000000001</v>
      </c>
      <c r="B74" s="32">
        <f t="shared" si="2"/>
        <v>-2.4996433867186876</v>
      </c>
    </row>
    <row r="75" spans="1:2" x14ac:dyDescent="0.25">
      <c r="A75">
        <f t="shared" si="3"/>
        <v>0.1440000000000001</v>
      </c>
      <c r="B75" s="32">
        <f t="shared" si="2"/>
        <v>-3.2732968711994062</v>
      </c>
    </row>
    <row r="76" spans="1:2" x14ac:dyDescent="0.25">
      <c r="A76">
        <f t="shared" si="3"/>
        <v>0.1460000000000001</v>
      </c>
      <c r="B76" s="32">
        <f t="shared" si="2"/>
        <v>-3.9698374313829783</v>
      </c>
    </row>
    <row r="77" spans="1:2" x14ac:dyDescent="0.25">
      <c r="A77">
        <f t="shared" si="3"/>
        <v>0.1480000000000001</v>
      </c>
      <c r="B77" s="32">
        <f t="shared" si="2"/>
        <v>-4.5695558061759183</v>
      </c>
    </row>
    <row r="78" spans="1:2" x14ac:dyDescent="0.25">
      <c r="A78">
        <f t="shared" si="3"/>
        <v>0.15000000000000011</v>
      </c>
      <c r="B78" s="32">
        <f t="shared" si="2"/>
        <v>-5.055462854382724</v>
      </c>
    </row>
    <row r="79" spans="1:2" x14ac:dyDescent="0.25">
      <c r="A79">
        <f t="shared" si="3"/>
        <v>0.15200000000000011</v>
      </c>
      <c r="B79" s="32">
        <f t="shared" si="2"/>
        <v>-5.413771603660301</v>
      </c>
    </row>
    <row r="80" spans="1:2" x14ac:dyDescent="0.25">
      <c r="A80">
        <f t="shared" si="3"/>
        <v>0.15400000000000011</v>
      </c>
      <c r="B80" s="32">
        <f t="shared" si="2"/>
        <v>-5.6342885155491258</v>
      </c>
    </row>
    <row r="81" spans="1:2" x14ac:dyDescent="0.25">
      <c r="A81">
        <f t="shared" si="3"/>
        <v>0.15600000000000011</v>
      </c>
      <c r="B81" s="32">
        <f t="shared" si="2"/>
        <v>-5.7107028622234619</v>
      </c>
    </row>
    <row r="82" spans="1:2" x14ac:dyDescent="0.25">
      <c r="A82">
        <f t="shared" si="3"/>
        <v>0.15800000000000011</v>
      </c>
      <c r="B82" s="32">
        <f t="shared" si="2"/>
        <v>-5.6407660019443959</v>
      </c>
    </row>
    <row r="83" spans="1:2" x14ac:dyDescent="0.25">
      <c r="A83">
        <f t="shared" si="3"/>
        <v>0.16000000000000011</v>
      </c>
      <c r="B83" s="32">
        <f t="shared" si="2"/>
        <v>-5.4263554646344012</v>
      </c>
    </row>
    <row r="84" spans="1:2" x14ac:dyDescent="0.25">
      <c r="A84">
        <f t="shared" si="3"/>
        <v>0.16200000000000012</v>
      </c>
      <c r="B84" s="32">
        <f t="shared" si="2"/>
        <v>-5.0734220278471716</v>
      </c>
    </row>
    <row r="85" spans="1:2" x14ac:dyDescent="0.25">
      <c r="A85">
        <f t="shared" si="3"/>
        <v>0.16400000000000012</v>
      </c>
      <c r="B85" s="32">
        <f t="shared" si="2"/>
        <v>-4.5918212839101455</v>
      </c>
    </row>
    <row r="86" spans="1:2" x14ac:dyDescent="0.25">
      <c r="A86">
        <f t="shared" si="3"/>
        <v>0.16600000000000012</v>
      </c>
      <c r="B86" s="32">
        <f t="shared" si="2"/>
        <v>-3.9950344769317438</v>
      </c>
    </row>
    <row r="87" spans="1:2" x14ac:dyDescent="0.25">
      <c r="A87">
        <f t="shared" si="3"/>
        <v>0.16800000000000012</v>
      </c>
      <c r="B87" s="32">
        <f t="shared" si="2"/>
        <v>-3.299786530662129</v>
      </c>
    </row>
    <row r="88" spans="1:2" x14ac:dyDescent="0.25">
      <c r="A88">
        <f t="shared" si="3"/>
        <v>0.17000000000000012</v>
      </c>
      <c r="B88" s="32">
        <f t="shared" si="2"/>
        <v>-2.525572105695435</v>
      </c>
    </row>
    <row r="89" spans="1:2" x14ac:dyDescent="0.25">
      <c r="A89">
        <f t="shared" si="3"/>
        <v>0.17200000000000013</v>
      </c>
      <c r="B89" s="32">
        <f t="shared" si="2"/>
        <v>-1.6941031344024675</v>
      </c>
    </row>
    <row r="90" spans="1:2" x14ac:dyDescent="0.25">
      <c r="A90">
        <f t="shared" si="3"/>
        <v>0.17400000000000013</v>
      </c>
      <c r="B90" s="32">
        <f t="shared" si="2"/>
        <v>-0.82869351021643323</v>
      </c>
    </row>
    <row r="91" spans="1:2" x14ac:dyDescent="0.25">
      <c r="A91">
        <f t="shared" si="3"/>
        <v>0.17600000000000013</v>
      </c>
      <c r="B91" s="32">
        <f t="shared" si="2"/>
        <v>4.6401608778505854E-2</v>
      </c>
    </row>
    <row r="92" spans="1:2" x14ac:dyDescent="0.25">
      <c r="A92">
        <f t="shared" si="3"/>
        <v>0.17800000000000013</v>
      </c>
      <c r="B92" s="32">
        <f t="shared" si="2"/>
        <v>0.90667313419605255</v>
      </c>
    </row>
    <row r="93" spans="1:2" x14ac:dyDescent="0.25">
      <c r="A93">
        <f t="shared" si="3"/>
        <v>0.18000000000000013</v>
      </c>
      <c r="B93" s="32">
        <f t="shared" si="2"/>
        <v>1.7280525161297142</v>
      </c>
    </row>
    <row r="94" spans="1:2" x14ac:dyDescent="0.25">
      <c r="A94">
        <f t="shared" si="3"/>
        <v>0.18200000000000013</v>
      </c>
      <c r="B94" s="32">
        <f t="shared" si="2"/>
        <v>2.4875936406324484</v>
      </c>
    </row>
    <row r="95" spans="1:2" x14ac:dyDescent="0.25">
      <c r="A95">
        <f t="shared" si="3"/>
        <v>0.18400000000000014</v>
      </c>
      <c r="B95" s="32">
        <f t="shared" si="2"/>
        <v>3.1641228071794023</v>
      </c>
    </row>
    <row r="96" spans="1:2" x14ac:dyDescent="0.25">
      <c r="A96">
        <f t="shared" si="3"/>
        <v>0.18600000000000014</v>
      </c>
      <c r="B96" s="32">
        <f t="shared" si="2"/>
        <v>3.7388383435383075</v>
      </c>
    </row>
    <row r="97" spans="1:2" x14ac:dyDescent="0.25">
      <c r="A97">
        <f t="shared" si="3"/>
        <v>0.18800000000000014</v>
      </c>
      <c r="B97" s="32">
        <f t="shared" si="2"/>
        <v>4.195842845012419</v>
      </c>
    </row>
    <row r="98" spans="1:2" x14ac:dyDescent="0.25">
      <c r="A98">
        <f t="shared" si="3"/>
        <v>0.19000000000000014</v>
      </c>
      <c r="B98" s="32">
        <f t="shared" si="2"/>
        <v>4.5225929373892573</v>
      </c>
    </row>
    <row r="99" spans="1:2" x14ac:dyDescent="0.25">
      <c r="A99">
        <f t="shared" si="3"/>
        <v>0.19200000000000014</v>
      </c>
      <c r="B99" s="32">
        <f t="shared" si="2"/>
        <v>4.7102538038504447</v>
      </c>
    </row>
    <row r="100" spans="1:2" x14ac:dyDescent="0.25">
      <c r="A100">
        <f t="shared" si="3"/>
        <v>0.19400000000000014</v>
      </c>
      <c r="B100" s="32">
        <f t="shared" si="2"/>
        <v>4.7539484191349413</v>
      </c>
    </row>
    <row r="101" spans="1:2" x14ac:dyDescent="0.25">
      <c r="A101">
        <f t="shared" si="3"/>
        <v>0.19600000000000015</v>
      </c>
      <c r="B101" s="32">
        <f t="shared" si="2"/>
        <v>4.6528944226855682</v>
      </c>
    </row>
    <row r="102" spans="1:2" x14ac:dyDescent="0.25">
      <c r="A102">
        <f t="shared" si="3"/>
        <v>0.19800000000000015</v>
      </c>
      <c r="B102" s="32">
        <f t="shared" si="2"/>
        <v>4.4104247515314778</v>
      </c>
    </row>
    <row r="103" spans="1:2" x14ac:dyDescent="0.25">
      <c r="A103">
        <f t="shared" si="3"/>
        <v>0.20000000000000015</v>
      </c>
      <c r="B103" s="32">
        <f t="shared" si="2"/>
        <v>4.0338914527600318</v>
      </c>
    </row>
    <row r="104" spans="1:2" x14ac:dyDescent="0.25">
      <c r="A104">
        <f t="shared" si="3"/>
        <v>0.20200000000000015</v>
      </c>
      <c r="B104" s="32">
        <f t="shared" si="2"/>
        <v>3.5344554109786066</v>
      </c>
    </row>
    <row r="105" spans="1:2" x14ac:dyDescent="0.25">
      <c r="A105">
        <f t="shared" si="3"/>
        <v>0.20400000000000015</v>
      </c>
      <c r="B105" s="32">
        <f t="shared" si="2"/>
        <v>2.9267679640617743</v>
      </c>
    </row>
    <row r="106" spans="1:2" x14ac:dyDescent="0.25">
      <c r="A106">
        <f t="shared" si="3"/>
        <v>0.20600000000000016</v>
      </c>
      <c r="B106" s="32">
        <f t="shared" si="2"/>
        <v>2.2285534488278933</v>
      </c>
    </row>
    <row r="107" spans="1:2" x14ac:dyDescent="0.25">
      <c r="A107">
        <f t="shared" si="3"/>
        <v>0.20800000000000016</v>
      </c>
      <c r="B107" s="32">
        <f t="shared" si="2"/>
        <v>1.4601045300087747</v>
      </c>
    </row>
    <row r="108" spans="1:2" x14ac:dyDescent="0.25">
      <c r="A108">
        <f t="shared" si="3"/>
        <v>0.21000000000000016</v>
      </c>
      <c r="B108" s="32">
        <f t="shared" si="2"/>
        <v>0.6437046411677283</v>
      </c>
    </row>
    <row r="109" spans="1:2" x14ac:dyDescent="0.25">
      <c r="A109">
        <f t="shared" si="3"/>
        <v>0.21200000000000016</v>
      </c>
      <c r="B109" s="32">
        <f t="shared" si="2"/>
        <v>-0.19700606516587368</v>
      </c>
    </row>
    <row r="110" spans="1:2" x14ac:dyDescent="0.25">
      <c r="A110">
        <f t="shared" si="3"/>
        <v>0.21400000000000016</v>
      </c>
      <c r="B110" s="32">
        <f t="shared" si="2"/>
        <v>-1.0377032576523646</v>
      </c>
    </row>
    <row r="111" spans="1:2" x14ac:dyDescent="0.25">
      <c r="A111">
        <f t="shared" si="3"/>
        <v>0.21600000000000016</v>
      </c>
      <c r="B111" s="32">
        <f t="shared" si="2"/>
        <v>-1.8540703637582403</v>
      </c>
    </row>
    <row r="112" spans="1:2" x14ac:dyDescent="0.25">
      <c r="A112">
        <f t="shared" si="3"/>
        <v>0.21800000000000017</v>
      </c>
      <c r="B112" s="32">
        <f t="shared" si="2"/>
        <v>-2.6224902615569823</v>
      </c>
    </row>
    <row r="113" spans="1:2" x14ac:dyDescent="0.25">
      <c r="A113">
        <f t="shared" si="3"/>
        <v>0.22000000000000017</v>
      </c>
      <c r="B113" s="32">
        <f t="shared" si="2"/>
        <v>-3.3207170895029394</v>
      </c>
    </row>
    <row r="114" spans="1:2" x14ac:dyDescent="0.25">
      <c r="A114">
        <f t="shared" si="3"/>
        <v>0.22200000000000017</v>
      </c>
      <c r="B114" s="32">
        <f t="shared" si="2"/>
        <v>-3.9285091023428196</v>
      </c>
    </row>
    <row r="115" spans="1:2" x14ac:dyDescent="0.25">
      <c r="A115">
        <f t="shared" si="3"/>
        <v>0.22400000000000017</v>
      </c>
      <c r="B115" s="32">
        <f t="shared" si="2"/>
        <v>-4.4282046069984018</v>
      </c>
    </row>
    <row r="116" spans="1:2" x14ac:dyDescent="0.25">
      <c r="A116">
        <f t="shared" si="3"/>
        <v>0.22600000000000017</v>
      </c>
      <c r="B116" s="32">
        <f t="shared" si="2"/>
        <v>-4.8052246278354929</v>
      </c>
    </row>
    <row r="117" spans="1:2" x14ac:dyDescent="0.25">
      <c r="A117">
        <f t="shared" si="3"/>
        <v>0.22800000000000017</v>
      </c>
      <c r="B117" s="32">
        <f t="shared" si="2"/>
        <v>-5.0484880303771567</v>
      </c>
    </row>
    <row r="118" spans="1:2" x14ac:dyDescent="0.25">
      <c r="A118">
        <f t="shared" si="3"/>
        <v>0.23000000000000018</v>
      </c>
      <c r="B118" s="32">
        <f t="shared" si="2"/>
        <v>-5.1507273171993662</v>
      </c>
    </row>
    <row r="119" spans="1:2" x14ac:dyDescent="0.25">
      <c r="A119">
        <f t="shared" si="3"/>
        <v>0.23200000000000018</v>
      </c>
      <c r="B119" s="32">
        <f t="shared" si="2"/>
        <v>-5.1086961289484654</v>
      </c>
    </row>
    <row r="120" spans="1:2" x14ac:dyDescent="0.25">
      <c r="A120">
        <f t="shared" si="3"/>
        <v>0.23400000000000018</v>
      </c>
      <c r="B120" s="32">
        <f t="shared" si="2"/>
        <v>-4.923262557128937</v>
      </c>
    </row>
    <row r="121" spans="1:2" x14ac:dyDescent="0.25">
      <c r="A121">
        <f t="shared" si="3"/>
        <v>0.23600000000000018</v>
      </c>
      <c r="B121" s="32">
        <f t="shared" si="2"/>
        <v>-4.5993856162922677</v>
      </c>
    </row>
    <row r="122" spans="1:2" x14ac:dyDescent="0.25">
      <c r="A122">
        <f t="shared" si="3"/>
        <v>0.23800000000000018</v>
      </c>
      <c r="B122" s="32">
        <f t="shared" si="2"/>
        <v>-4.1459755395306175</v>
      </c>
    </row>
    <row r="123" spans="1:2" x14ac:dyDescent="0.25">
      <c r="A123">
        <f t="shared" si="3"/>
        <v>0.24000000000000019</v>
      </c>
      <c r="B123" s="32">
        <f t="shared" si="2"/>
        <v>-3.5756418586229248</v>
      </c>
    </row>
    <row r="124" spans="1:2" x14ac:dyDescent="0.25">
      <c r="A124">
        <f t="shared" si="3"/>
        <v>0.24200000000000019</v>
      </c>
      <c r="B124" s="32">
        <f t="shared" si="2"/>
        <v>-2.9043364152111675</v>
      </c>
    </row>
    <row r="125" spans="1:2" x14ac:dyDescent="0.25">
      <c r="A125">
        <f t="shared" si="3"/>
        <v>0.24400000000000019</v>
      </c>
      <c r="B125" s="32">
        <f t="shared" si="2"/>
        <v>-2.1509014316056914</v>
      </c>
    </row>
    <row r="126" spans="1:2" x14ac:dyDescent="0.25">
      <c r="A126">
        <f t="shared" si="3"/>
        <v>0.24600000000000019</v>
      </c>
      <c r="B126" s="32">
        <f t="shared" si="2"/>
        <v>-1.3365354645922687</v>
      </c>
    </row>
    <row r="127" spans="1:2" x14ac:dyDescent="0.25">
      <c r="A127">
        <f t="shared" si="3"/>
        <v>0.24800000000000019</v>
      </c>
      <c r="B127" s="32">
        <f t="shared" si="2"/>
        <v>-0.48419239645863166</v>
      </c>
    </row>
    <row r="128" spans="1:2" x14ac:dyDescent="0.25">
      <c r="A128">
        <f t="shared" si="3"/>
        <v>0.25000000000000017</v>
      </c>
      <c r="B128" s="32">
        <f t="shared" si="2"/>
        <v>0.38206948177748884</v>
      </c>
    </row>
    <row r="129" spans="1:2" x14ac:dyDescent="0.25">
      <c r="A129">
        <f t="shared" si="3"/>
        <v>0.25200000000000017</v>
      </c>
      <c r="B129" s="32">
        <f t="shared" si="2"/>
        <v>1.2377698232199428</v>
      </c>
    </row>
    <row r="130" spans="1:2" x14ac:dyDescent="0.25">
      <c r="A130">
        <f t="shared" si="3"/>
        <v>0.25400000000000017</v>
      </c>
      <c r="B130" s="32">
        <f t="shared" si="2"/>
        <v>2.0587006498055977</v>
      </c>
    </row>
    <row r="131" spans="1:2" x14ac:dyDescent="0.25">
      <c r="A131">
        <f t="shared" si="3"/>
        <v>0.25600000000000017</v>
      </c>
      <c r="B131" s="32">
        <f t="shared" si="2"/>
        <v>2.8216131417235273</v>
      </c>
    </row>
    <row r="132" spans="1:2" x14ac:dyDescent="0.25">
      <c r="A132">
        <f t="shared" si="3"/>
        <v>0.25800000000000017</v>
      </c>
      <c r="B132" s="32">
        <f t="shared" ref="B132:B195" si="4">0.323585334495683*COS(1.25226098841235 - 29.4037227718803*$A132) - 0.278838680632391*COS(1.04090145025875*$A132) - 5.11813177262468*COS(0.597704127771972 - 84.3329956365773*$A132)</f>
        <v>3.5048773007575917</v>
      </c>
    </row>
    <row r="133" spans="1:2" x14ac:dyDescent="0.25">
      <c r="A133">
        <f t="shared" ref="A133:A196" si="5">+A132+$A$1</f>
        <v>0.26000000000000018</v>
      </c>
      <c r="B133" s="32">
        <f t="shared" si="4"/>
        <v>4.0890957662985663</v>
      </c>
    </row>
    <row r="134" spans="1:2" x14ac:dyDescent="0.25">
      <c r="A134">
        <f t="shared" si="5"/>
        <v>0.26200000000000018</v>
      </c>
      <c r="B134" s="32">
        <f t="shared" si="4"/>
        <v>4.5576543636250122</v>
      </c>
    </row>
    <row r="135" spans="1:2" x14ac:dyDescent="0.25">
      <c r="A135">
        <f t="shared" si="5"/>
        <v>0.26400000000000018</v>
      </c>
      <c r="B135" s="32">
        <f t="shared" si="4"/>
        <v>4.897193759310122</v>
      </c>
    </row>
    <row r="136" spans="1:2" x14ac:dyDescent="0.25">
      <c r="A136">
        <f t="shared" si="5"/>
        <v>0.26600000000000018</v>
      </c>
      <c r="B136" s="32">
        <f t="shared" si="4"/>
        <v>5.0979888373248015</v>
      </c>
    </row>
    <row r="137" spans="1:2" x14ac:dyDescent="0.25">
      <c r="A137">
        <f t="shared" si="5"/>
        <v>0.26800000000000018</v>
      </c>
      <c r="B137" s="32">
        <f t="shared" si="4"/>
        <v>5.1542250280400959</v>
      </c>
    </row>
    <row r="138" spans="1:2" x14ac:dyDescent="0.25">
      <c r="A138">
        <f t="shared" si="5"/>
        <v>0.27000000000000018</v>
      </c>
      <c r="B138" s="32">
        <f t="shared" si="4"/>
        <v>5.0641637465665097</v>
      </c>
    </row>
    <row r="139" spans="1:2" x14ac:dyDescent="0.25">
      <c r="A139">
        <f t="shared" si="5"/>
        <v>0.27200000000000019</v>
      </c>
      <c r="B139" s="32">
        <f t="shared" si="4"/>
        <v>4.8301922437132436</v>
      </c>
    </row>
    <row r="140" spans="1:2" x14ac:dyDescent="0.25">
      <c r="A140">
        <f t="shared" si="5"/>
        <v>0.27400000000000019</v>
      </c>
      <c r="B140" s="32">
        <f t="shared" si="4"/>
        <v>4.4587564529972639</v>
      </c>
    </row>
    <row r="141" spans="1:2" x14ac:dyDescent="0.25">
      <c r="A141">
        <f t="shared" si="5"/>
        <v>0.27600000000000019</v>
      </c>
      <c r="B141" s="32">
        <f t="shared" si="4"/>
        <v>3.9601787374887776</v>
      </c>
    </row>
    <row r="142" spans="1:2" x14ac:dyDescent="0.25">
      <c r="A142">
        <f t="shared" si="5"/>
        <v>0.27800000000000019</v>
      </c>
      <c r="B142" s="32">
        <f t="shared" si="4"/>
        <v>3.3483657066123511</v>
      </c>
    </row>
    <row r="143" spans="1:2" x14ac:dyDescent="0.25">
      <c r="A143">
        <f t="shared" si="5"/>
        <v>0.28000000000000019</v>
      </c>
      <c r="B143" s="32">
        <f t="shared" si="4"/>
        <v>2.6404143926314467</v>
      </c>
    </row>
    <row r="144" spans="1:2" x14ac:dyDescent="0.25">
      <c r="A144">
        <f t="shared" si="5"/>
        <v>0.28200000000000019</v>
      </c>
      <c r="B144" s="32">
        <f t="shared" si="4"/>
        <v>1.8561279608926085</v>
      </c>
    </row>
    <row r="145" spans="1:2" x14ac:dyDescent="0.25">
      <c r="A145">
        <f t="shared" si="5"/>
        <v>0.2840000000000002</v>
      </c>
      <c r="B145" s="32">
        <f t="shared" si="4"/>
        <v>1.0174546951344852</v>
      </c>
    </row>
    <row r="146" spans="1:2" x14ac:dyDescent="0.25">
      <c r="A146">
        <f t="shared" si="5"/>
        <v>0.2860000000000002</v>
      </c>
      <c r="B146" s="32">
        <f t="shared" si="4"/>
        <v>0.14786617641733213</v>
      </c>
    </row>
    <row r="147" spans="1:2" x14ac:dyDescent="0.25">
      <c r="A147">
        <f t="shared" si="5"/>
        <v>0.2880000000000002</v>
      </c>
      <c r="B147" s="32">
        <f t="shared" si="4"/>
        <v>-0.72830770029071779</v>
      </c>
    </row>
    <row r="148" spans="1:2" x14ac:dyDescent="0.25">
      <c r="A148">
        <f t="shared" si="5"/>
        <v>0.2900000000000002</v>
      </c>
      <c r="B148" s="32">
        <f t="shared" si="4"/>
        <v>-1.5865680030932399</v>
      </c>
    </row>
    <row r="149" spans="1:2" x14ac:dyDescent="0.25">
      <c r="A149">
        <f t="shared" si="5"/>
        <v>0.2920000000000002</v>
      </c>
      <c r="B149" s="32">
        <f t="shared" si="4"/>
        <v>-2.4029407756903525</v>
      </c>
    </row>
    <row r="150" spans="1:2" x14ac:dyDescent="0.25">
      <c r="A150">
        <f t="shared" si="5"/>
        <v>0.29400000000000021</v>
      </c>
      <c r="B150" s="32">
        <f t="shared" si="4"/>
        <v>-3.1546560932433052</v>
      </c>
    </row>
    <row r="151" spans="1:2" x14ac:dyDescent="0.25">
      <c r="A151">
        <f t="shared" si="5"/>
        <v>0.29600000000000021</v>
      </c>
      <c r="B151" s="32">
        <f t="shared" si="4"/>
        <v>-3.8207928940544278</v>
      </c>
    </row>
    <row r="152" spans="1:2" x14ac:dyDescent="0.25">
      <c r="A152">
        <f t="shared" si="5"/>
        <v>0.29800000000000021</v>
      </c>
      <c r="B152" s="32">
        <f t="shared" si="4"/>
        <v>-4.3828712910314618</v>
      </c>
    </row>
    <row r="153" spans="1:2" x14ac:dyDescent="0.25">
      <c r="A153">
        <f t="shared" si="5"/>
        <v>0.30000000000000021</v>
      </c>
      <c r="B153" s="32">
        <f t="shared" si="4"/>
        <v>-4.8253755576388997</v>
      </c>
    </row>
    <row r="154" spans="1:2" x14ac:dyDescent="0.25">
      <c r="A154">
        <f t="shared" si="5"/>
        <v>0.30200000000000021</v>
      </c>
      <c r="B154" s="32">
        <f t="shared" si="4"/>
        <v>-5.1361929507033368</v>
      </c>
    </row>
    <row r="155" spans="1:2" x14ac:dyDescent="0.25">
      <c r="A155">
        <f t="shared" si="5"/>
        <v>0.30400000000000021</v>
      </c>
      <c r="B155" s="32">
        <f t="shared" si="4"/>
        <v>-5.3069559211915278</v>
      </c>
    </row>
    <row r="156" spans="1:2" x14ac:dyDescent="0.25">
      <c r="A156">
        <f t="shared" si="5"/>
        <v>0.30600000000000022</v>
      </c>
      <c r="B156" s="32">
        <f t="shared" si="4"/>
        <v>-5.3332780061222067</v>
      </c>
    </row>
    <row r="157" spans="1:2" x14ac:dyDescent="0.25">
      <c r="A157">
        <f t="shared" si="5"/>
        <v>0.30800000000000022</v>
      </c>
      <c r="B157" s="32">
        <f t="shared" si="4"/>
        <v>-5.2148767122853394</v>
      </c>
    </row>
    <row r="158" spans="1:2" x14ac:dyDescent="0.25">
      <c r="A158">
        <f t="shared" si="5"/>
        <v>0.31000000000000022</v>
      </c>
      <c r="B158" s="32">
        <f t="shared" si="4"/>
        <v>-4.9555799097844142</v>
      </c>
    </row>
    <row r="159" spans="1:2" x14ac:dyDescent="0.25">
      <c r="A159">
        <f t="shared" si="5"/>
        <v>0.31200000000000022</v>
      </c>
      <c r="B159" s="32">
        <f t="shared" si="4"/>
        <v>-4.5632155595619803</v>
      </c>
    </row>
    <row r="160" spans="1:2" x14ac:dyDescent="0.25">
      <c r="A160">
        <f t="shared" si="5"/>
        <v>0.31400000000000022</v>
      </c>
      <c r="B160" s="32">
        <f t="shared" si="4"/>
        <v>-4.0493879101841035</v>
      </c>
    </row>
    <row r="161" spans="1:2" x14ac:dyDescent="0.25">
      <c r="A161">
        <f t="shared" si="5"/>
        <v>0.31600000000000023</v>
      </c>
      <c r="B161" s="32">
        <f t="shared" si="4"/>
        <v>-3.4291465212738168</v>
      </c>
    </row>
    <row r="162" spans="1:2" x14ac:dyDescent="0.25">
      <c r="A162">
        <f t="shared" si="5"/>
        <v>0.31800000000000023</v>
      </c>
      <c r="B162" s="32">
        <f t="shared" si="4"/>
        <v>-2.7205575126501387</v>
      </c>
    </row>
    <row r="163" spans="1:2" x14ac:dyDescent="0.25">
      <c r="A163">
        <f t="shared" si="5"/>
        <v>0.32000000000000023</v>
      </c>
      <c r="B163" s="32">
        <f t="shared" si="4"/>
        <v>-1.9441892131232819</v>
      </c>
    </row>
    <row r="164" spans="1:2" x14ac:dyDescent="0.25">
      <c r="A164">
        <f t="shared" si="5"/>
        <v>0.32200000000000023</v>
      </c>
      <c r="B164" s="32">
        <f t="shared" si="4"/>
        <v>-1.1225268122640921</v>
      </c>
    </row>
    <row r="165" spans="1:2" x14ac:dyDescent="0.25">
      <c r="A165">
        <f t="shared" si="5"/>
        <v>0.32400000000000023</v>
      </c>
      <c r="B165" s="32">
        <f t="shared" si="4"/>
        <v>-0.2793326333595289</v>
      </c>
    </row>
    <row r="166" spans="1:2" x14ac:dyDescent="0.25">
      <c r="A166">
        <f t="shared" si="5"/>
        <v>0.32600000000000023</v>
      </c>
      <c r="B166" s="32">
        <f t="shared" si="4"/>
        <v>0.56102981099821603</v>
      </c>
    </row>
    <row r="167" spans="1:2" x14ac:dyDescent="0.25">
      <c r="A167">
        <f t="shared" si="5"/>
        <v>0.32800000000000024</v>
      </c>
      <c r="B167" s="32">
        <f t="shared" si="4"/>
        <v>1.3742887914615924</v>
      </c>
    </row>
    <row r="168" spans="1:2" x14ac:dyDescent="0.25">
      <c r="A168">
        <f t="shared" si="5"/>
        <v>0.33000000000000024</v>
      </c>
      <c r="B168" s="32">
        <f t="shared" si="4"/>
        <v>2.1369546902342158</v>
      </c>
    </row>
    <row r="169" spans="1:2" x14ac:dyDescent="0.25">
      <c r="A169">
        <f t="shared" si="5"/>
        <v>0.33200000000000024</v>
      </c>
      <c r="B169" s="32">
        <f t="shared" si="4"/>
        <v>2.8269880879337634</v>
      </c>
    </row>
    <row r="170" spans="1:2" x14ac:dyDescent="0.25">
      <c r="A170">
        <f t="shared" si="5"/>
        <v>0.33400000000000024</v>
      </c>
      <c r="B170" s="32">
        <f t="shared" si="4"/>
        <v>3.4244266431951518</v>
      </c>
    </row>
    <row r="171" spans="1:2" x14ac:dyDescent="0.25">
      <c r="A171">
        <f t="shared" si="5"/>
        <v>0.33600000000000024</v>
      </c>
      <c r="B171" s="32">
        <f t="shared" si="4"/>
        <v>3.9119529688658972</v>
      </c>
    </row>
    <row r="172" spans="1:2" x14ac:dyDescent="0.25">
      <c r="A172">
        <f t="shared" si="5"/>
        <v>0.33800000000000024</v>
      </c>
      <c r="B172" s="32">
        <f t="shared" si="4"/>
        <v>4.2753873833985789</v>
      </c>
    </row>
    <row r="173" spans="1:2" x14ac:dyDescent="0.25">
      <c r="A173">
        <f t="shared" si="5"/>
        <v>0.34000000000000025</v>
      </c>
      <c r="B173" s="32">
        <f t="shared" si="4"/>
        <v>4.5040915483537871</v>
      </c>
    </row>
    <row r="174" spans="1:2" x14ac:dyDescent="0.25">
      <c r="A174">
        <f t="shared" si="5"/>
        <v>0.34200000000000025</v>
      </c>
      <c r="B174" s="32">
        <f t="shared" si="4"/>
        <v>4.5912715322721764</v>
      </c>
    </row>
    <row r="175" spans="1:2" x14ac:dyDescent="0.25">
      <c r="A175">
        <f t="shared" si="5"/>
        <v>0.34400000000000025</v>
      </c>
      <c r="B175" s="32">
        <f t="shared" si="4"/>
        <v>4.534171695771108</v>
      </c>
    </row>
    <row r="176" spans="1:2" x14ac:dyDescent="0.25">
      <c r="A176">
        <f t="shared" si="5"/>
        <v>0.34600000000000025</v>
      </c>
      <c r="B176" s="32">
        <f t="shared" si="4"/>
        <v>4.3341538915529929</v>
      </c>
    </row>
    <row r="177" spans="1:2" x14ac:dyDescent="0.25">
      <c r="A177">
        <f t="shared" si="5"/>
        <v>0.34800000000000025</v>
      </c>
      <c r="B177" s="32">
        <f t="shared" si="4"/>
        <v>3.9966597281306857</v>
      </c>
    </row>
    <row r="178" spans="1:2" x14ac:dyDescent="0.25">
      <c r="A178">
        <f t="shared" si="5"/>
        <v>0.35000000000000026</v>
      </c>
      <c r="B178" s="32">
        <f t="shared" si="4"/>
        <v>3.5310569650961092</v>
      </c>
    </row>
    <row r="179" spans="1:2" x14ac:dyDescent="0.25">
      <c r="A179">
        <f t="shared" si="5"/>
        <v>0.35200000000000026</v>
      </c>
      <c r="B179" s="32">
        <f t="shared" si="4"/>
        <v>2.9503743964843077</v>
      </c>
    </row>
    <row r="180" spans="1:2" x14ac:dyDescent="0.25">
      <c r="A180">
        <f t="shared" si="5"/>
        <v>0.35400000000000026</v>
      </c>
      <c r="B180" s="32">
        <f t="shared" si="4"/>
        <v>2.270932743878431</v>
      </c>
    </row>
    <row r="181" spans="1:2" x14ac:dyDescent="0.25">
      <c r="A181">
        <f t="shared" si="5"/>
        <v>0.35600000000000026</v>
      </c>
      <c r="B181" s="32">
        <f t="shared" si="4"/>
        <v>1.5118820325328364</v>
      </c>
    </row>
    <row r="182" spans="1:2" x14ac:dyDescent="0.25">
      <c r="A182">
        <f t="shared" si="5"/>
        <v>0.35800000000000026</v>
      </c>
      <c r="B182" s="32">
        <f t="shared" si="4"/>
        <v>0.69465857819068233</v>
      </c>
    </row>
    <row r="183" spans="1:2" x14ac:dyDescent="0.25">
      <c r="A183">
        <f t="shared" si="5"/>
        <v>0.36000000000000026</v>
      </c>
      <c r="B183" s="32">
        <f t="shared" si="4"/>
        <v>-0.1576230058960652</v>
      </c>
    </row>
    <row r="184" spans="1:2" x14ac:dyDescent="0.25">
      <c r="A184">
        <f t="shared" si="5"/>
        <v>0.36200000000000027</v>
      </c>
      <c r="B184" s="32">
        <f t="shared" si="4"/>
        <v>-1.0208255277337506</v>
      </c>
    </row>
    <row r="185" spans="1:2" x14ac:dyDescent="0.25">
      <c r="A185">
        <f t="shared" si="5"/>
        <v>0.36400000000000027</v>
      </c>
      <c r="B185" s="32">
        <f t="shared" si="4"/>
        <v>-1.8704740523070278</v>
      </c>
    </row>
    <row r="186" spans="1:2" x14ac:dyDescent="0.25">
      <c r="A186">
        <f t="shared" si="5"/>
        <v>0.36600000000000027</v>
      </c>
      <c r="B186" s="32">
        <f t="shared" si="4"/>
        <v>-2.6824504187240747</v>
      </c>
    </row>
    <row r="187" spans="1:2" x14ac:dyDescent="0.25">
      <c r="A187">
        <f t="shared" si="5"/>
        <v>0.36800000000000027</v>
      </c>
      <c r="B187" s="32">
        <f t="shared" si="4"/>
        <v>-3.4336777281611308</v>
      </c>
    </row>
    <row r="188" spans="1:2" x14ac:dyDescent="0.25">
      <c r="A188">
        <f t="shared" si="5"/>
        <v>0.37000000000000027</v>
      </c>
      <c r="B188" s="32">
        <f t="shared" si="4"/>
        <v>-4.1027753762838488</v>
      </c>
    </row>
    <row r="189" spans="1:2" x14ac:dyDescent="0.25">
      <c r="A189">
        <f t="shared" si="5"/>
        <v>0.37200000000000027</v>
      </c>
      <c r="B189" s="32">
        <f t="shared" si="4"/>
        <v>-4.6706660394626169</v>
      </c>
    </row>
    <row r="190" spans="1:2" x14ac:dyDescent="0.25">
      <c r="A190">
        <f t="shared" si="5"/>
        <v>0.37400000000000028</v>
      </c>
      <c r="B190" s="32">
        <f t="shared" si="4"/>
        <v>-5.1211173873584332</v>
      </c>
    </row>
    <row r="191" spans="1:2" x14ac:dyDescent="0.25">
      <c r="A191">
        <f t="shared" si="5"/>
        <v>0.37600000000000028</v>
      </c>
      <c r="B191" s="32">
        <f t="shared" si="4"/>
        <v>-5.4412031466463837</v>
      </c>
    </row>
    <row r="192" spans="1:2" x14ac:dyDescent="0.25">
      <c r="A192">
        <f t="shared" si="5"/>
        <v>0.37800000000000028</v>
      </c>
      <c r="B192" s="32">
        <f t="shared" si="4"/>
        <v>-5.6216704291997122</v>
      </c>
    </row>
    <row r="193" spans="1:2" x14ac:dyDescent="0.25">
      <c r="A193">
        <f t="shared" si="5"/>
        <v>0.38000000000000028</v>
      </c>
      <c r="B193" s="32">
        <f t="shared" si="4"/>
        <v>-5.6572028980286619</v>
      </c>
    </row>
    <row r="194" spans="1:2" x14ac:dyDescent="0.25">
      <c r="A194">
        <f t="shared" si="5"/>
        <v>0.38200000000000028</v>
      </c>
      <c r="B194" s="32">
        <f t="shared" si="4"/>
        <v>-5.5465723001638167</v>
      </c>
    </row>
    <row r="195" spans="1:2" x14ac:dyDescent="0.25">
      <c r="A195">
        <f t="shared" si="5"/>
        <v>0.38400000000000029</v>
      </c>
      <c r="B195" s="32">
        <f t="shared" si="4"/>
        <v>-5.2926740636037612</v>
      </c>
    </row>
    <row r="196" spans="1:2" x14ac:dyDescent="0.25">
      <c r="A196">
        <f t="shared" si="5"/>
        <v>0.38600000000000029</v>
      </c>
      <c r="B196" s="32">
        <f t="shared" ref="B196:B259" si="6">0.323585334495683*COS(1.25226098841235 - 29.4037227718803*$A196) - 0.278838680632391*COS(1.04090145025875*$A196) - 5.11813177262468*COS(0.597704127771972 - 84.3329956365773*$A196)</f>
        <v>-4.9024459455040201</v>
      </c>
    </row>
    <row r="197" spans="1:2" x14ac:dyDescent="0.25">
      <c r="A197">
        <f t="shared" ref="A197:A260" si="7">+A196+$A$1</f>
        <v>0.38800000000000029</v>
      </c>
      <c r="B197" s="32">
        <f t="shared" si="6"/>
        <v>-4.3866720375952495</v>
      </c>
    </row>
    <row r="198" spans="1:2" x14ac:dyDescent="0.25">
      <c r="A198">
        <f t="shared" si="7"/>
        <v>0.39000000000000029</v>
      </c>
      <c r="B198" s="32">
        <f t="shared" si="6"/>
        <v>-3.7596776881930367</v>
      </c>
    </row>
    <row r="199" spans="1:2" x14ac:dyDescent="0.25">
      <c r="A199">
        <f t="shared" si="7"/>
        <v>0.39200000000000029</v>
      </c>
      <c r="B199" s="32">
        <f t="shared" si="6"/>
        <v>-3.0389239957684193</v>
      </c>
    </row>
    <row r="200" spans="1:2" x14ac:dyDescent="0.25">
      <c r="A200">
        <f t="shared" si="7"/>
        <v>0.39400000000000029</v>
      </c>
      <c r="B200" s="32">
        <f t="shared" si="6"/>
        <v>-2.2445133790301997</v>
      </c>
    </row>
    <row r="201" spans="1:2" x14ac:dyDescent="0.25">
      <c r="A201">
        <f t="shared" si="7"/>
        <v>0.3960000000000003</v>
      </c>
      <c r="B201" s="32">
        <f t="shared" si="6"/>
        <v>-1.3986202519463495</v>
      </c>
    </row>
    <row r="202" spans="1:2" x14ac:dyDescent="0.25">
      <c r="A202">
        <f t="shared" si="7"/>
        <v>0.3980000000000003</v>
      </c>
      <c r="B202" s="32">
        <f t="shared" si="6"/>
        <v>-0.52486295748051526</v>
      </c>
    </row>
    <row r="203" spans="1:2" x14ac:dyDescent="0.25">
      <c r="A203">
        <f t="shared" si="7"/>
        <v>0.4000000000000003</v>
      </c>
      <c r="B203" s="32">
        <f t="shared" si="6"/>
        <v>0.35236521927176745</v>
      </c>
    </row>
    <row r="204" spans="1:2" x14ac:dyDescent="0.25">
      <c r="A204">
        <f t="shared" si="7"/>
        <v>0.4020000000000003</v>
      </c>
      <c r="B204" s="32">
        <f t="shared" si="6"/>
        <v>1.2085869767087161</v>
      </c>
    </row>
    <row r="205" spans="1:2" x14ac:dyDescent="0.25">
      <c r="A205">
        <f t="shared" si="7"/>
        <v>0.4040000000000003</v>
      </c>
      <c r="B205" s="32">
        <f t="shared" si="6"/>
        <v>2.0199342568179781</v>
      </c>
    </row>
    <row r="206" spans="1:2" x14ac:dyDescent="0.25">
      <c r="A206">
        <f t="shared" si="7"/>
        <v>0.40600000000000031</v>
      </c>
      <c r="B206" s="32">
        <f t="shared" si="6"/>
        <v>2.7638241693713921</v>
      </c>
    </row>
    <row r="207" spans="1:2" x14ac:dyDescent="0.25">
      <c r="A207">
        <f t="shared" si="7"/>
        <v>0.40800000000000031</v>
      </c>
      <c r="B207" s="32">
        <f t="shared" si="6"/>
        <v>3.4195984020088077</v>
      </c>
    </row>
    <row r="208" spans="1:2" x14ac:dyDescent="0.25">
      <c r="A208">
        <f t="shared" si="7"/>
        <v>0.41000000000000031</v>
      </c>
      <c r="B208" s="32">
        <f t="shared" si="6"/>
        <v>3.9691079744424123</v>
      </c>
    </row>
    <row r="209" spans="1:2" x14ac:dyDescent="0.25">
      <c r="A209">
        <f t="shared" si="7"/>
        <v>0.41200000000000031</v>
      </c>
      <c r="B209" s="32">
        <f t="shared" si="6"/>
        <v>4.3972267463107988</v>
      </c>
    </row>
    <row r="210" spans="1:2" x14ac:dyDescent="0.25">
      <c r="A210">
        <f t="shared" si="7"/>
        <v>0.41400000000000031</v>
      </c>
      <c r="B210" s="32">
        <f t="shared" si="6"/>
        <v>4.6922791103466706</v>
      </c>
    </row>
    <row r="211" spans="1:2" x14ac:dyDescent="0.25">
      <c r="A211">
        <f t="shared" si="7"/>
        <v>0.41600000000000031</v>
      </c>
      <c r="B211" s="32">
        <f t="shared" si="6"/>
        <v>4.8463697380961657</v>
      </c>
    </row>
    <row r="212" spans="1:2" x14ac:dyDescent="0.25">
      <c r="A212">
        <f t="shared" si="7"/>
        <v>0.41800000000000032</v>
      </c>
      <c r="B212" s="32">
        <f t="shared" si="6"/>
        <v>4.8556060253232518</v>
      </c>
    </row>
    <row r="213" spans="1:2" x14ac:dyDescent="0.25">
      <c r="A213">
        <f t="shared" si="7"/>
        <v>0.42000000000000032</v>
      </c>
      <c r="B213" s="32">
        <f t="shared" si="6"/>
        <v>4.7202069295494624</v>
      </c>
    </row>
    <row r="214" spans="1:2" x14ac:dyDescent="0.25">
      <c r="A214">
        <f t="shared" si="7"/>
        <v>0.42200000000000032</v>
      </c>
      <c r="B214" s="32">
        <f t="shared" si="6"/>
        <v>4.4444951164907129</v>
      </c>
    </row>
    <row r="215" spans="1:2" x14ac:dyDescent="0.25">
      <c r="A215">
        <f t="shared" si="7"/>
        <v>0.42400000000000032</v>
      </c>
      <c r="B215" s="32">
        <f t="shared" si="6"/>
        <v>4.0367726439495462</v>
      </c>
    </row>
    <row r="216" spans="1:2" x14ac:dyDescent="0.25">
      <c r="A216">
        <f t="shared" si="7"/>
        <v>0.42600000000000032</v>
      </c>
      <c r="B216" s="32">
        <f t="shared" si="6"/>
        <v>3.5090837170118543</v>
      </c>
    </row>
    <row r="217" spans="1:2" x14ac:dyDescent="0.25">
      <c r="A217">
        <f t="shared" si="7"/>
        <v>0.42800000000000032</v>
      </c>
      <c r="B217" s="32">
        <f t="shared" si="6"/>
        <v>2.8768712533737317</v>
      </c>
    </row>
    <row r="218" spans="1:2" x14ac:dyDescent="0.25">
      <c r="A218">
        <f t="shared" si="7"/>
        <v>0.43000000000000033</v>
      </c>
      <c r="B218" s="32">
        <f t="shared" si="6"/>
        <v>2.1585370113294209</v>
      </c>
    </row>
    <row r="219" spans="1:2" x14ac:dyDescent="0.25">
      <c r="A219">
        <f t="shared" si="7"/>
        <v>0.43200000000000033</v>
      </c>
      <c r="B219" s="32">
        <f t="shared" si="6"/>
        <v>1.374917769850039</v>
      </c>
    </row>
    <row r="220" spans="1:2" x14ac:dyDescent="0.25">
      <c r="A220">
        <f t="shared" si="7"/>
        <v>0.43400000000000033</v>
      </c>
      <c r="B220" s="32">
        <f t="shared" si="6"/>
        <v>0.54869243260492329</v>
      </c>
    </row>
    <row r="221" spans="1:2" x14ac:dyDescent="0.25">
      <c r="A221">
        <f t="shared" si="7"/>
        <v>0.43600000000000033</v>
      </c>
      <c r="B221" s="32">
        <f t="shared" si="6"/>
        <v>-0.29626311189810139</v>
      </c>
    </row>
    <row r="222" spans="1:2" x14ac:dyDescent="0.25">
      <c r="A222">
        <f t="shared" si="7"/>
        <v>0.43800000000000033</v>
      </c>
      <c r="B222" s="32">
        <f t="shared" si="6"/>
        <v>-1.135555059278593</v>
      </c>
    </row>
    <row r="223" spans="1:2" x14ac:dyDescent="0.25">
      <c r="A223">
        <f t="shared" si="7"/>
        <v>0.44000000000000034</v>
      </c>
      <c r="B223" s="32">
        <f t="shared" si="6"/>
        <v>-1.9449654097925011</v>
      </c>
    </row>
    <row r="224" spans="1:2" x14ac:dyDescent="0.25">
      <c r="A224">
        <f t="shared" si="7"/>
        <v>0.44200000000000034</v>
      </c>
      <c r="B224" s="32">
        <f t="shared" si="6"/>
        <v>-2.701140647159721</v>
      </c>
    </row>
    <row r="225" spans="1:2" x14ac:dyDescent="0.25">
      <c r="A225">
        <f t="shared" si="7"/>
        <v>0.44400000000000034</v>
      </c>
      <c r="B225" s="32">
        <f t="shared" si="6"/>
        <v>-3.3822558257554274</v>
      </c>
    </row>
    <row r="226" spans="1:2" x14ac:dyDescent="0.25">
      <c r="A226">
        <f t="shared" si="7"/>
        <v>0.44600000000000034</v>
      </c>
      <c r="B226" s="32">
        <f t="shared" si="6"/>
        <v>-3.968635214336302</v>
      </c>
    </row>
    <row r="227" spans="1:2" x14ac:dyDescent="0.25">
      <c r="A227">
        <f t="shared" si="7"/>
        <v>0.44800000000000034</v>
      </c>
      <c r="B227" s="32">
        <f t="shared" si="6"/>
        <v>-4.4433118776482026</v>
      </c>
    </row>
    <row r="228" spans="1:2" x14ac:dyDescent="0.25">
      <c r="A228">
        <f t="shared" si="7"/>
        <v>0.45000000000000034</v>
      </c>
      <c r="B228" s="32">
        <f t="shared" si="6"/>
        <v>-4.7925103104824922</v>
      </c>
    </row>
    <row r="229" spans="1:2" x14ac:dyDescent="0.25">
      <c r="A229">
        <f t="shared" si="7"/>
        <v>0.45200000000000035</v>
      </c>
      <c r="B229" s="32">
        <f t="shared" si="6"/>
        <v>-5.0060384228244441</v>
      </c>
    </row>
    <row r="230" spans="1:2" x14ac:dyDescent="0.25">
      <c r="A230">
        <f t="shared" si="7"/>
        <v>0.45400000000000035</v>
      </c>
      <c r="B230" s="32">
        <f t="shared" si="6"/>
        <v>-5.0775777476841935</v>
      </c>
    </row>
    <row r="231" spans="1:2" x14ac:dyDescent="0.25">
      <c r="A231">
        <f t="shared" si="7"/>
        <v>0.45600000000000035</v>
      </c>
      <c r="B231" s="32">
        <f t="shared" si="6"/>
        <v>-5.004863631991511</v>
      </c>
    </row>
    <row r="232" spans="1:2" x14ac:dyDescent="0.25">
      <c r="A232">
        <f t="shared" si="7"/>
        <v>0.45800000000000035</v>
      </c>
      <c r="B232" s="32">
        <f t="shared" si="6"/>
        <v>-4.7897502935868026</v>
      </c>
    </row>
    <row r="233" spans="1:2" x14ac:dyDescent="0.25">
      <c r="A233">
        <f t="shared" si="7"/>
        <v>0.46000000000000035</v>
      </c>
      <c r="B233" s="32">
        <f t="shared" si="6"/>
        <v>-4.4381588952250457</v>
      </c>
    </row>
    <row r="234" spans="1:2" x14ac:dyDescent="0.25">
      <c r="A234">
        <f t="shared" si="7"/>
        <v>0.46200000000000035</v>
      </c>
      <c r="B234" s="32">
        <f t="shared" si="6"/>
        <v>-3.9599101068818752</v>
      </c>
    </row>
    <row r="235" spans="1:2" x14ac:dyDescent="0.25">
      <c r="A235">
        <f t="shared" si="7"/>
        <v>0.46400000000000036</v>
      </c>
      <c r="B235" s="32">
        <f t="shared" si="6"/>
        <v>-3.3684459062758871</v>
      </c>
    </row>
    <row r="236" spans="1:2" x14ac:dyDescent="0.25">
      <c r="A236">
        <f t="shared" si="7"/>
        <v>0.46600000000000036</v>
      </c>
      <c r="B236" s="32">
        <f t="shared" si="6"/>
        <v>-2.6804485113457082</v>
      </c>
    </row>
    <row r="237" spans="1:2" x14ac:dyDescent="0.25">
      <c r="A237">
        <f t="shared" si="7"/>
        <v>0.46800000000000036</v>
      </c>
      <c r="B237" s="32">
        <f t="shared" si="6"/>
        <v>-1.9153672582219441</v>
      </c>
    </row>
    <row r="238" spans="1:2" x14ac:dyDescent="0.25">
      <c r="A238">
        <f t="shared" si="7"/>
        <v>0.47000000000000036</v>
      </c>
      <c r="B238" s="32">
        <f t="shared" si="6"/>
        <v>-1.094866851141</v>
      </c>
    </row>
    <row r="239" spans="1:2" x14ac:dyDescent="0.25">
      <c r="A239">
        <f t="shared" si="7"/>
        <v>0.47200000000000036</v>
      </c>
      <c r="B239" s="32">
        <f t="shared" si="6"/>
        <v>-0.24221264260784101</v>
      </c>
    </row>
    <row r="240" spans="1:2" x14ac:dyDescent="0.25">
      <c r="A240">
        <f t="shared" si="7"/>
        <v>0.47400000000000037</v>
      </c>
      <c r="B240" s="32">
        <f t="shared" si="6"/>
        <v>0.61838961042174667</v>
      </c>
    </row>
    <row r="241" spans="1:2" x14ac:dyDescent="0.25">
      <c r="A241">
        <f t="shared" si="7"/>
        <v>0.47600000000000037</v>
      </c>
      <c r="B241" s="32">
        <f t="shared" si="6"/>
        <v>1.4624807762252785</v>
      </c>
    </row>
    <row r="242" spans="1:2" x14ac:dyDescent="0.25">
      <c r="A242">
        <f t="shared" si="7"/>
        <v>0.47800000000000037</v>
      </c>
      <c r="B242" s="32">
        <f t="shared" si="6"/>
        <v>2.2660426652134897</v>
      </c>
    </row>
    <row r="243" spans="1:2" x14ac:dyDescent="0.25">
      <c r="A243">
        <f t="shared" si="7"/>
        <v>0.48000000000000037</v>
      </c>
      <c r="B243" s="32">
        <f t="shared" si="6"/>
        <v>3.006179928243474</v>
      </c>
    </row>
    <row r="244" spans="1:2" x14ac:dyDescent="0.25">
      <c r="A244">
        <f t="shared" si="7"/>
        <v>0.48200000000000037</v>
      </c>
      <c r="B244" s="32">
        <f t="shared" si="6"/>
        <v>3.6617701826627611</v>
      </c>
    </row>
    <row r="245" spans="1:2" x14ac:dyDescent="0.25">
      <c r="A245">
        <f t="shared" si="7"/>
        <v>0.48400000000000037</v>
      </c>
      <c r="B245" s="32">
        <f t="shared" si="6"/>
        <v>4.2140639137974887</v>
      </c>
    </row>
    <row r="246" spans="1:2" x14ac:dyDescent="0.25">
      <c r="A246">
        <f t="shared" si="7"/>
        <v>0.48600000000000038</v>
      </c>
      <c r="B246" s="32">
        <f t="shared" si="6"/>
        <v>4.6472171246878613</v>
      </c>
    </row>
    <row r="247" spans="1:2" x14ac:dyDescent="0.25">
      <c r="A247">
        <f t="shared" si="7"/>
        <v>0.48800000000000038</v>
      </c>
      <c r="B247" s="32">
        <f t="shared" si="6"/>
        <v>4.9487416152179176</v>
      </c>
    </row>
    <row r="248" spans="1:2" x14ac:dyDescent="0.25">
      <c r="A248">
        <f t="shared" si="7"/>
        <v>0.49000000000000038</v>
      </c>
      <c r="B248" s="32">
        <f t="shared" si="6"/>
        <v>5.1098601092193103</v>
      </c>
    </row>
    <row r="249" spans="1:2" x14ac:dyDescent="0.25">
      <c r="A249">
        <f t="shared" si="7"/>
        <v>0.49200000000000038</v>
      </c>
      <c r="B249" s="32">
        <f t="shared" si="6"/>
        <v>5.1257561483191383</v>
      </c>
    </row>
    <row r="250" spans="1:2" x14ac:dyDescent="0.25">
      <c r="A250">
        <f t="shared" si="7"/>
        <v>0.49400000000000038</v>
      </c>
      <c r="B250" s="32">
        <f t="shared" si="6"/>
        <v>4.9957116576120475</v>
      </c>
    </row>
    <row r="251" spans="1:2" x14ac:dyDescent="0.25">
      <c r="A251">
        <f t="shared" si="7"/>
        <v>0.49600000000000039</v>
      </c>
      <c r="B251" s="32">
        <f t="shared" si="6"/>
        <v>4.7231282759177882</v>
      </c>
    </row>
    <row r="252" spans="1:2" x14ac:dyDescent="0.25">
      <c r="A252">
        <f t="shared" si="7"/>
        <v>0.49800000000000039</v>
      </c>
      <c r="B252" s="32">
        <f t="shared" si="6"/>
        <v>4.3154318419666469</v>
      </c>
    </row>
    <row r="253" spans="1:2" x14ac:dyDescent="0.25">
      <c r="A253">
        <f t="shared" si="7"/>
        <v>0.50000000000000033</v>
      </c>
      <c r="B253" s="32">
        <f t="shared" si="6"/>
        <v>3.783862743722104</v>
      </c>
    </row>
    <row r="254" spans="1:2" x14ac:dyDescent="0.25">
      <c r="A254">
        <f t="shared" si="7"/>
        <v>0.50200000000000033</v>
      </c>
      <c r="B254" s="32">
        <f t="shared" si="6"/>
        <v>3.1431580770968637</v>
      </c>
    </row>
    <row r="255" spans="1:2" x14ac:dyDescent="0.25">
      <c r="A255">
        <f t="shared" si="7"/>
        <v>0.50400000000000034</v>
      </c>
      <c r="B255" s="32">
        <f t="shared" si="6"/>
        <v>2.4111346306179096</v>
      </c>
    </row>
    <row r="256" spans="1:2" x14ac:dyDescent="0.25">
      <c r="A256">
        <f t="shared" si="7"/>
        <v>0.50600000000000034</v>
      </c>
      <c r="B256" s="32">
        <f t="shared" si="6"/>
        <v>1.6081845270131085</v>
      </c>
    </row>
    <row r="257" spans="1:2" x14ac:dyDescent="0.25">
      <c r="A257">
        <f t="shared" si="7"/>
        <v>0.50800000000000034</v>
      </c>
      <c r="B257" s="32">
        <f t="shared" si="6"/>
        <v>0.75669783134945268</v>
      </c>
    </row>
    <row r="258" spans="1:2" x14ac:dyDescent="0.25">
      <c r="A258">
        <f t="shared" si="7"/>
        <v>0.51000000000000034</v>
      </c>
      <c r="B258" s="32">
        <f t="shared" si="6"/>
        <v>-0.11957149209115939</v>
      </c>
    </row>
    <row r="259" spans="1:2" x14ac:dyDescent="0.25">
      <c r="A259">
        <f t="shared" si="7"/>
        <v>0.51200000000000034</v>
      </c>
      <c r="B259" s="32">
        <f t="shared" si="6"/>
        <v>-0.99617828438399836</v>
      </c>
    </row>
    <row r="260" spans="1:2" x14ac:dyDescent="0.25">
      <c r="A260">
        <f t="shared" si="7"/>
        <v>0.51400000000000035</v>
      </c>
      <c r="B260" s="32">
        <f t="shared" ref="B260:B323" si="8">0.323585334495683*COS(1.25226098841235 - 29.4037227718803*$A260) - 0.278838680632391*COS(1.04090145025875*$A260) - 5.11813177262468*COS(0.597704127771972 - 84.3329956365773*$A260)</f>
        <v>-1.8486784710834643</v>
      </c>
    </row>
    <row r="261" spans="1:2" x14ac:dyDescent="0.25">
      <c r="A261">
        <f t="shared" ref="A261:A324" si="9">+A260+$A$1</f>
        <v>0.51600000000000035</v>
      </c>
      <c r="B261" s="32">
        <f t="shared" si="8"/>
        <v>-2.6533212736026961</v>
      </c>
    </row>
    <row r="262" spans="1:2" x14ac:dyDescent="0.25">
      <c r="A262">
        <f t="shared" si="9"/>
        <v>0.51800000000000035</v>
      </c>
      <c r="B262" s="32">
        <f t="shared" si="8"/>
        <v>-3.387721712606715</v>
      </c>
    </row>
    <row r="263" spans="1:2" x14ac:dyDescent="0.25">
      <c r="A263">
        <f t="shared" si="9"/>
        <v>0.52000000000000035</v>
      </c>
      <c r="B263" s="32">
        <f t="shared" si="8"/>
        <v>-4.0314943226159121</v>
      </c>
    </row>
    <row r="264" spans="1:2" x14ac:dyDescent="0.25">
      <c r="A264">
        <f t="shared" si="9"/>
        <v>0.52200000000000035</v>
      </c>
      <c r="B264" s="32">
        <f t="shared" si="8"/>
        <v>-4.566830097963698</v>
      </c>
    </row>
    <row r="265" spans="1:2" x14ac:dyDescent="0.25">
      <c r="A265">
        <f t="shared" si="9"/>
        <v>0.52400000000000035</v>
      </c>
      <c r="B265" s="32">
        <f t="shared" si="8"/>
        <v>-4.9790003014677255</v>
      </c>
    </row>
    <row r="266" spans="1:2" x14ac:dyDescent="0.25">
      <c r="A266">
        <f t="shared" si="9"/>
        <v>0.52600000000000036</v>
      </c>
      <c r="B266" s="32">
        <f t="shared" si="8"/>
        <v>-5.2567728429223912</v>
      </c>
    </row>
    <row r="267" spans="1:2" x14ac:dyDescent="0.25">
      <c r="A267">
        <f t="shared" si="9"/>
        <v>0.52800000000000036</v>
      </c>
      <c r="B267" s="32">
        <f t="shared" si="8"/>
        <v>-5.3927294158967092</v>
      </c>
    </row>
    <row r="268" spans="1:2" x14ac:dyDescent="0.25">
      <c r="A268">
        <f t="shared" si="9"/>
        <v>0.53000000000000036</v>
      </c>
      <c r="B268" s="32">
        <f t="shared" si="8"/>
        <v>-5.383474397896614</v>
      </c>
    </row>
    <row r="269" spans="1:2" x14ac:dyDescent="0.25">
      <c r="A269">
        <f t="shared" si="9"/>
        <v>0.53200000000000036</v>
      </c>
      <c r="B269" s="32">
        <f t="shared" si="8"/>
        <v>-5.2297295907919867</v>
      </c>
    </row>
    <row r="270" spans="1:2" x14ac:dyDescent="0.25">
      <c r="A270">
        <f t="shared" si="9"/>
        <v>0.53400000000000036</v>
      </c>
      <c r="B270" s="32">
        <f t="shared" si="8"/>
        <v>-4.9363121183316414</v>
      </c>
    </row>
    <row r="271" spans="1:2" x14ac:dyDescent="0.25">
      <c r="A271">
        <f t="shared" si="9"/>
        <v>0.53600000000000037</v>
      </c>
      <c r="B271" s="32">
        <f t="shared" si="8"/>
        <v>-4.5119961136246145</v>
      </c>
    </row>
    <row r="272" spans="1:2" x14ac:dyDescent="0.25">
      <c r="A272">
        <f t="shared" si="9"/>
        <v>0.53800000000000037</v>
      </c>
      <c r="B272" s="32">
        <f t="shared" si="8"/>
        <v>-3.9692621275394604</v>
      </c>
    </row>
    <row r="273" spans="1:2" x14ac:dyDescent="0.25">
      <c r="A273">
        <f t="shared" si="9"/>
        <v>0.54000000000000037</v>
      </c>
      <c r="B273" s="32">
        <f t="shared" si="8"/>
        <v>-3.3239413754649392</v>
      </c>
    </row>
    <row r="274" spans="1:2" x14ac:dyDescent="0.25">
      <c r="A274">
        <f t="shared" si="9"/>
        <v>0.54200000000000037</v>
      </c>
      <c r="B274" s="32">
        <f t="shared" si="8"/>
        <v>-2.5947649243476016</v>
      </c>
    </row>
    <row r="275" spans="1:2" x14ac:dyDescent="0.25">
      <c r="A275">
        <f t="shared" si="9"/>
        <v>0.54400000000000037</v>
      </c>
      <c r="B275" s="32">
        <f t="shared" si="8"/>
        <v>-1.8028306196769983</v>
      </c>
    </row>
    <row r="276" spans="1:2" x14ac:dyDescent="0.25">
      <c r="A276">
        <f t="shared" si="9"/>
        <v>0.54600000000000037</v>
      </c>
      <c r="B276" s="32">
        <f t="shared" si="8"/>
        <v>-0.97100288655800615</v>
      </c>
    </row>
    <row r="277" spans="1:2" x14ac:dyDescent="0.25">
      <c r="A277">
        <f t="shared" si="9"/>
        <v>0.54800000000000038</v>
      </c>
      <c r="B277" s="32">
        <f t="shared" si="8"/>
        <v>-0.12326244394491109</v>
      </c>
    </row>
    <row r="278" spans="1:2" x14ac:dyDescent="0.25">
      <c r="A278">
        <f t="shared" si="9"/>
        <v>0.55000000000000038</v>
      </c>
      <c r="B278" s="32">
        <f t="shared" si="8"/>
        <v>0.71597560755712419</v>
      </c>
    </row>
    <row r="279" spans="1:2" x14ac:dyDescent="0.25">
      <c r="A279">
        <f t="shared" si="9"/>
        <v>0.55200000000000038</v>
      </c>
      <c r="B279" s="32">
        <f t="shared" si="8"/>
        <v>1.5225559665206463</v>
      </c>
    </row>
    <row r="280" spans="1:2" x14ac:dyDescent="0.25">
      <c r="A280">
        <f t="shared" si="9"/>
        <v>0.55400000000000038</v>
      </c>
      <c r="B280" s="32">
        <f t="shared" si="8"/>
        <v>2.2732698743658371</v>
      </c>
    </row>
    <row r="281" spans="1:2" x14ac:dyDescent="0.25">
      <c r="A281">
        <f t="shared" si="9"/>
        <v>0.55600000000000038</v>
      </c>
      <c r="B281" s="32">
        <f t="shared" si="8"/>
        <v>2.9465149273743645</v>
      </c>
    </row>
    <row r="282" spans="1:2" x14ac:dyDescent="0.25">
      <c r="A282">
        <f t="shared" si="9"/>
        <v>0.55800000000000038</v>
      </c>
      <c r="B282" s="32">
        <f t="shared" si="8"/>
        <v>3.5229092271299134</v>
      </c>
    </row>
    <row r="283" spans="1:2" x14ac:dyDescent="0.25">
      <c r="A283">
        <f t="shared" si="9"/>
        <v>0.56000000000000039</v>
      </c>
      <c r="B283" s="32">
        <f t="shared" si="8"/>
        <v>3.9858424356283564</v>
      </c>
    </row>
    <row r="284" spans="1:2" x14ac:dyDescent="0.25">
      <c r="A284">
        <f t="shared" si="9"/>
        <v>0.56200000000000039</v>
      </c>
      <c r="B284" s="32">
        <f t="shared" si="8"/>
        <v>4.3219480922618896</v>
      </c>
    </row>
    <row r="285" spans="1:2" x14ac:dyDescent="0.25">
      <c r="A285">
        <f t="shared" si="9"/>
        <v>0.56400000000000039</v>
      </c>
      <c r="B285" s="32">
        <f t="shared" si="8"/>
        <v>4.5214837848068212</v>
      </c>
    </row>
    <row r="286" spans="1:2" x14ac:dyDescent="0.25">
      <c r="A286">
        <f t="shared" si="9"/>
        <v>0.56600000000000039</v>
      </c>
      <c r="B286" s="32">
        <f t="shared" si="8"/>
        <v>4.5786083820100352</v>
      </c>
    </row>
    <row r="287" spans="1:2" x14ac:dyDescent="0.25">
      <c r="A287">
        <f t="shared" si="9"/>
        <v>0.56800000000000039</v>
      </c>
      <c r="B287" s="32">
        <f t="shared" si="8"/>
        <v>4.4915484571403086</v>
      </c>
    </row>
    <row r="288" spans="1:2" x14ac:dyDescent="0.25">
      <c r="A288">
        <f t="shared" si="9"/>
        <v>0.5700000000000004</v>
      </c>
      <c r="B288" s="32">
        <f t="shared" si="8"/>
        <v>4.262649177026189</v>
      </c>
    </row>
    <row r="289" spans="1:2" x14ac:dyDescent="0.25">
      <c r="A289">
        <f t="shared" si="9"/>
        <v>0.5720000000000004</v>
      </c>
      <c r="B289" s="32">
        <f t="shared" si="8"/>
        <v>3.8983082103786013</v>
      </c>
    </row>
    <row r="290" spans="1:2" x14ac:dyDescent="0.25">
      <c r="A290">
        <f t="shared" si="9"/>
        <v>0.5740000000000004</v>
      </c>
      <c r="B290" s="32">
        <f t="shared" si="8"/>
        <v>3.4087945295238891</v>
      </c>
    </row>
    <row r="291" spans="1:2" x14ac:dyDescent="0.25">
      <c r="A291">
        <f t="shared" si="9"/>
        <v>0.5760000000000004</v>
      </c>
      <c r="B291" s="32">
        <f t="shared" si="8"/>
        <v>2.8079572468162626</v>
      </c>
    </row>
    <row r="292" spans="1:2" x14ac:dyDescent="0.25">
      <c r="A292">
        <f t="shared" si="9"/>
        <v>0.5780000000000004</v>
      </c>
      <c r="B292" s="32">
        <f t="shared" si="8"/>
        <v>2.1128327482341227</v>
      </c>
    </row>
    <row r="293" spans="1:2" x14ac:dyDescent="0.25">
      <c r="A293">
        <f t="shared" si="9"/>
        <v>0.5800000000000004</v>
      </c>
      <c r="B293" s="32">
        <f t="shared" si="8"/>
        <v>1.3431612734047771</v>
      </c>
    </row>
    <row r="294" spans="1:2" x14ac:dyDescent="0.25">
      <c r="A294">
        <f t="shared" si="9"/>
        <v>0.58200000000000041</v>
      </c>
      <c r="B294" s="32">
        <f t="shared" si="8"/>
        <v>0.52082666162196845</v>
      </c>
    </row>
    <row r="295" spans="1:2" x14ac:dyDescent="0.25">
      <c r="A295">
        <f t="shared" si="9"/>
        <v>0.58400000000000041</v>
      </c>
      <c r="B295" s="32">
        <f t="shared" si="8"/>
        <v>-0.33076483563429881</v>
      </c>
    </row>
    <row r="296" spans="1:2" x14ac:dyDescent="0.25">
      <c r="A296">
        <f t="shared" si="9"/>
        <v>0.58600000000000041</v>
      </c>
      <c r="B296" s="32">
        <f t="shared" si="8"/>
        <v>-1.1873490454873739</v>
      </c>
    </row>
    <row r="297" spans="1:2" x14ac:dyDescent="0.25">
      <c r="A297">
        <f t="shared" si="9"/>
        <v>0.58800000000000041</v>
      </c>
      <c r="B297" s="32">
        <f t="shared" si="8"/>
        <v>-2.0244928082607831</v>
      </c>
    </row>
    <row r="298" spans="1:2" x14ac:dyDescent="0.25">
      <c r="A298">
        <f t="shared" si="9"/>
        <v>0.59000000000000041</v>
      </c>
      <c r="B298" s="32">
        <f t="shared" si="8"/>
        <v>-2.8182878023126783</v>
      </c>
    </row>
    <row r="299" spans="1:2" x14ac:dyDescent="0.25">
      <c r="A299">
        <f t="shared" si="9"/>
        <v>0.59200000000000041</v>
      </c>
      <c r="B299" s="32">
        <f t="shared" si="8"/>
        <v>-3.5460295664256605</v>
      </c>
    </row>
    <row r="300" spans="1:2" x14ac:dyDescent="0.25">
      <c r="A300">
        <f t="shared" si="9"/>
        <v>0.59400000000000042</v>
      </c>
      <c r="B300" s="32">
        <f t="shared" si="8"/>
        <v>-4.1868624468521318</v>
      </c>
    </row>
    <row r="301" spans="1:2" x14ac:dyDescent="0.25">
      <c r="A301">
        <f t="shared" si="9"/>
        <v>0.59600000000000042</v>
      </c>
      <c r="B301" s="32">
        <f t="shared" si="8"/>
        <v>-4.722372162888905</v>
      </c>
    </row>
    <row r="302" spans="1:2" x14ac:dyDescent="0.25">
      <c r="A302">
        <f t="shared" si="9"/>
        <v>0.59800000000000042</v>
      </c>
      <c r="B302" s="32">
        <f t="shared" si="8"/>
        <v>-5.1371091711745303</v>
      </c>
    </row>
    <row r="303" spans="1:2" x14ac:dyDescent="0.25">
      <c r="A303">
        <f t="shared" si="9"/>
        <v>0.60000000000000042</v>
      </c>
      <c r="B303" s="32">
        <f t="shared" si="8"/>
        <v>-5.419027972593736</v>
      </c>
    </row>
    <row r="304" spans="1:2" x14ac:dyDescent="0.25">
      <c r="A304">
        <f t="shared" si="9"/>
        <v>0.60200000000000042</v>
      </c>
      <c r="B304" s="32">
        <f t="shared" si="8"/>
        <v>-5.5598298910007857</v>
      </c>
    </row>
    <row r="305" spans="1:2" x14ac:dyDescent="0.25">
      <c r="A305">
        <f t="shared" si="9"/>
        <v>0.60400000000000043</v>
      </c>
      <c r="B305" s="32">
        <f t="shared" si="8"/>
        <v>-5.5551995922422623</v>
      </c>
    </row>
    <row r="306" spans="1:2" x14ac:dyDescent="0.25">
      <c r="A306">
        <f t="shared" si="9"/>
        <v>0.60600000000000043</v>
      </c>
      <c r="B306" s="32">
        <f t="shared" si="8"/>
        <v>-5.4049286274293031</v>
      </c>
    </row>
    <row r="307" spans="1:2" x14ac:dyDescent="0.25">
      <c r="A307">
        <f t="shared" si="9"/>
        <v>0.60800000000000043</v>
      </c>
      <c r="B307" s="32">
        <f t="shared" si="8"/>
        <v>-5.1129224904965715</v>
      </c>
    </row>
    <row r="308" spans="1:2" x14ac:dyDescent="0.25">
      <c r="A308">
        <f t="shared" si="9"/>
        <v>0.61000000000000043</v>
      </c>
      <c r="B308" s="32">
        <f t="shared" si="8"/>
        <v>-4.6870909858018202</v>
      </c>
    </row>
    <row r="309" spans="1:2" x14ac:dyDescent="0.25">
      <c r="A309">
        <f t="shared" si="9"/>
        <v>0.61200000000000043</v>
      </c>
      <c r="B309" s="32">
        <f t="shared" si="8"/>
        <v>-4.1391250130466295</v>
      </c>
    </row>
    <row r="310" spans="1:2" x14ac:dyDescent="0.25">
      <c r="A310">
        <f t="shared" si="9"/>
        <v>0.61400000000000043</v>
      </c>
      <c r="B310" s="32">
        <f t="shared" si="8"/>
        <v>-3.4841661001522715</v>
      </c>
    </row>
    <row r="311" spans="1:2" x14ac:dyDescent="0.25">
      <c r="A311">
        <f t="shared" si="9"/>
        <v>0.61600000000000044</v>
      </c>
      <c r="B311" s="32">
        <f t="shared" si="8"/>
        <v>-2.7403780584258892</v>
      </c>
    </row>
    <row r="312" spans="1:2" x14ac:dyDescent="0.25">
      <c r="A312">
        <f t="shared" si="9"/>
        <v>0.61800000000000044</v>
      </c>
      <c r="B312" s="32">
        <f t="shared" si="8"/>
        <v>-1.9284329120156798</v>
      </c>
    </row>
    <row r="313" spans="1:2" x14ac:dyDescent="0.25">
      <c r="A313">
        <f t="shared" si="9"/>
        <v>0.62000000000000044</v>
      </c>
      <c r="B313" s="32">
        <f t="shared" si="8"/>
        <v>-1.070925686452737</v>
      </c>
    </row>
    <row r="314" spans="1:2" x14ac:dyDescent="0.25">
      <c r="A314">
        <f t="shared" si="9"/>
        <v>0.62200000000000044</v>
      </c>
      <c r="B314" s="32">
        <f t="shared" si="8"/>
        <v>-0.19173465996111491</v>
      </c>
    </row>
    <row r="315" spans="1:2" x14ac:dyDescent="0.25">
      <c r="A315">
        <f t="shared" si="9"/>
        <v>0.62400000000000044</v>
      </c>
      <c r="B315" s="32">
        <f t="shared" si="8"/>
        <v>0.68465477110331752</v>
      </c>
    </row>
    <row r="316" spans="1:2" x14ac:dyDescent="0.25">
      <c r="A316">
        <f t="shared" si="9"/>
        <v>0.62600000000000044</v>
      </c>
      <c r="B316" s="32">
        <f t="shared" si="8"/>
        <v>1.5338434287825158</v>
      </c>
    </row>
    <row r="317" spans="1:2" x14ac:dyDescent="0.25">
      <c r="A317">
        <f t="shared" si="9"/>
        <v>0.62800000000000045</v>
      </c>
      <c r="B317" s="32">
        <f t="shared" si="8"/>
        <v>2.3322092200019022</v>
      </c>
    </row>
    <row r="318" spans="1:2" x14ac:dyDescent="0.25">
      <c r="A318">
        <f t="shared" si="9"/>
        <v>0.63000000000000045</v>
      </c>
      <c r="B318" s="32">
        <f t="shared" si="8"/>
        <v>3.0575759311834547</v>
      </c>
    </row>
    <row r="319" spans="1:2" x14ac:dyDescent="0.25">
      <c r="A319">
        <f t="shared" si="9"/>
        <v>0.63200000000000045</v>
      </c>
      <c r="B319" s="32">
        <f t="shared" si="8"/>
        <v>3.6898409756346853</v>
      </c>
    </row>
    <row r="320" spans="1:2" x14ac:dyDescent="0.25">
      <c r="A320">
        <f t="shared" si="9"/>
        <v>0.63400000000000045</v>
      </c>
      <c r="B320" s="32">
        <f t="shared" si="8"/>
        <v>4.2115442833592036</v>
      </c>
    </row>
    <row r="321" spans="1:2" x14ac:dyDescent="0.25">
      <c r="A321">
        <f t="shared" si="9"/>
        <v>0.63600000000000045</v>
      </c>
      <c r="B321" s="32">
        <f t="shared" si="8"/>
        <v>4.6083621933835817</v>
      </c>
    </row>
    <row r="322" spans="1:2" x14ac:dyDescent="0.25">
      <c r="A322">
        <f t="shared" si="9"/>
        <v>0.63800000000000046</v>
      </c>
      <c r="B322" s="32">
        <f t="shared" si="8"/>
        <v>4.869512337188203</v>
      </c>
    </row>
    <row r="323" spans="1:2" x14ac:dyDescent="0.25">
      <c r="A323">
        <f t="shared" si="9"/>
        <v>0.64000000000000046</v>
      </c>
      <c r="B323" s="32">
        <f t="shared" si="8"/>
        <v>4.9880580279607383</v>
      </c>
    </row>
    <row r="324" spans="1:2" x14ac:dyDescent="0.25">
      <c r="A324">
        <f t="shared" si="9"/>
        <v>0.64200000000000046</v>
      </c>
      <c r="B324" s="32">
        <f t="shared" ref="B324:B387" si="10">0.323585334495683*COS(1.25226098841235 - 29.4037227718803*$A324) - 0.278838680632391*COS(1.04090145025875*$A324) - 5.11813177262468*COS(0.597704127771972 - 84.3329956365773*$A324)</f>
        <v>4.961103522461924</v>
      </c>
    </row>
    <row r="325" spans="1:2" x14ac:dyDescent="0.25">
      <c r="A325">
        <f t="shared" ref="A325:A388" si="11">+A324+$A$1</f>
        <v>0.64400000000000046</v>
      </c>
      <c r="B325" s="32">
        <f t="shared" si="10"/>
        <v>4.7898746193645989</v>
      </c>
    </row>
    <row r="326" spans="1:2" x14ac:dyDescent="0.25">
      <c r="A326">
        <f t="shared" si="11"/>
        <v>0.64600000000000046</v>
      </c>
      <c r="B326" s="32">
        <f t="shared" si="10"/>
        <v>4.4796823120981069</v>
      </c>
    </row>
    <row r="327" spans="1:2" x14ac:dyDescent="0.25">
      <c r="A327">
        <f t="shared" si="11"/>
        <v>0.64800000000000046</v>
      </c>
      <c r="B327" s="32">
        <f t="shared" si="10"/>
        <v>4.0397705331469567</v>
      </c>
    </row>
    <row r="328" spans="1:2" x14ac:dyDescent="0.25">
      <c r="A328">
        <f t="shared" si="11"/>
        <v>0.65000000000000047</v>
      </c>
      <c r="B328" s="32">
        <f t="shared" si="10"/>
        <v>3.4830523162216527</v>
      </c>
    </row>
    <row r="329" spans="1:2" x14ac:dyDescent="0.25">
      <c r="A329">
        <f t="shared" si="11"/>
        <v>0.65200000000000047</v>
      </c>
      <c r="B329" s="32">
        <f t="shared" si="10"/>
        <v>2.8257418693819756</v>
      </c>
    </row>
    <row r="330" spans="1:2" x14ac:dyDescent="0.25">
      <c r="A330">
        <f t="shared" si="11"/>
        <v>0.65400000000000047</v>
      </c>
      <c r="B330" s="32">
        <f t="shared" si="10"/>
        <v>2.0868930061794022</v>
      </c>
    </row>
    <row r="331" spans="1:2" x14ac:dyDescent="0.25">
      <c r="A331">
        <f t="shared" si="11"/>
        <v>0.65600000000000047</v>
      </c>
      <c r="B331" s="32">
        <f t="shared" si="10"/>
        <v>1.2878570393556454</v>
      </c>
    </row>
    <row r="332" spans="1:2" x14ac:dyDescent="0.25">
      <c r="A332">
        <f t="shared" si="11"/>
        <v>0.65800000000000047</v>
      </c>
      <c r="B332" s="32">
        <f t="shared" si="10"/>
        <v>0.45167552717305492</v>
      </c>
    </row>
    <row r="333" spans="1:2" x14ac:dyDescent="0.25">
      <c r="A333">
        <f t="shared" si="11"/>
        <v>0.66000000000000048</v>
      </c>
      <c r="B333" s="32">
        <f t="shared" si="10"/>
        <v>-0.39757488881131742</v>
      </c>
    </row>
    <row r="334" spans="1:2" x14ac:dyDescent="0.25">
      <c r="A334">
        <f t="shared" si="11"/>
        <v>0.66200000000000048</v>
      </c>
      <c r="B334" s="32">
        <f t="shared" si="10"/>
        <v>-1.235466956243876</v>
      </c>
    </row>
    <row r="335" spans="1:2" x14ac:dyDescent="0.25">
      <c r="A335">
        <f t="shared" si="11"/>
        <v>0.66400000000000048</v>
      </c>
      <c r="B335" s="32">
        <f t="shared" si="10"/>
        <v>-2.0379171648408683</v>
      </c>
    </row>
    <row r="336" spans="1:2" x14ac:dyDescent="0.25">
      <c r="A336">
        <f t="shared" si="11"/>
        <v>0.66600000000000048</v>
      </c>
      <c r="B336" s="32">
        <f t="shared" si="10"/>
        <v>-2.7818702695487878</v>
      </c>
    </row>
    <row r="337" spans="1:2" x14ac:dyDescent="0.25">
      <c r="A337">
        <f t="shared" si="11"/>
        <v>0.66800000000000048</v>
      </c>
      <c r="B337" s="32">
        <f t="shared" si="10"/>
        <v>-3.4459545531546061</v>
      </c>
    </row>
    <row r="338" spans="1:2" x14ac:dyDescent="0.25">
      <c r="A338">
        <f t="shared" si="11"/>
        <v>0.67000000000000048</v>
      </c>
      <c r="B338" s="32">
        <f t="shared" si="10"/>
        <v>-4.0110892282104595</v>
      </c>
    </row>
    <row r="339" spans="1:2" x14ac:dyDescent="0.25">
      <c r="A339">
        <f t="shared" si="11"/>
        <v>0.67200000000000049</v>
      </c>
      <c r="B339" s="32">
        <f t="shared" si="10"/>
        <v>-4.4610267367410241</v>
      </c>
    </row>
    <row r="340" spans="1:2" x14ac:dyDescent="0.25">
      <c r="A340">
        <f t="shared" si="11"/>
        <v>0.67400000000000049</v>
      </c>
      <c r="B340" s="32">
        <f t="shared" si="10"/>
        <v>-4.7828145541486258</v>
      </c>
    </row>
    <row r="341" spans="1:2" x14ac:dyDescent="0.25">
      <c r="A341">
        <f t="shared" si="11"/>
        <v>0.67600000000000049</v>
      </c>
      <c r="B341" s="32">
        <f t="shared" si="10"/>
        <v>-4.967163388566469</v>
      </c>
    </row>
    <row r="342" spans="1:2" x14ac:dyDescent="0.25">
      <c r="A342">
        <f t="shared" si="11"/>
        <v>0.67800000000000049</v>
      </c>
      <c r="B342" s="32">
        <f t="shared" si="10"/>
        <v>-5.0087113237942766</v>
      </c>
    </row>
    <row r="343" spans="1:2" x14ac:dyDescent="0.25">
      <c r="A343">
        <f t="shared" si="11"/>
        <v>0.68000000000000049</v>
      </c>
      <c r="B343" s="32">
        <f t="shared" si="10"/>
        <v>-4.9061764074718957</v>
      </c>
    </row>
    <row r="344" spans="1:2" x14ac:dyDescent="0.25">
      <c r="A344">
        <f t="shared" si="11"/>
        <v>0.68200000000000049</v>
      </c>
      <c r="B344" s="32">
        <f t="shared" si="10"/>
        <v>-4.6623933524847976</v>
      </c>
    </row>
    <row r="345" spans="1:2" x14ac:dyDescent="0.25">
      <c r="A345">
        <f t="shared" si="11"/>
        <v>0.6840000000000005</v>
      </c>
      <c r="B345" s="32">
        <f t="shared" si="10"/>
        <v>-4.2842333088836648</v>
      </c>
    </row>
    <row r="346" spans="1:2" x14ac:dyDescent="0.25">
      <c r="A346">
        <f t="shared" si="11"/>
        <v>0.6860000000000005</v>
      </c>
      <c r="B346" s="32">
        <f t="shared" si="10"/>
        <v>-3.7824089824857929</v>
      </c>
    </row>
    <row r="347" spans="1:2" x14ac:dyDescent="0.25">
      <c r="A347">
        <f t="shared" si="11"/>
        <v>0.6880000000000005</v>
      </c>
      <c r="B347" s="32">
        <f t="shared" si="10"/>
        <v>-3.171170630615149</v>
      </c>
    </row>
    <row r="348" spans="1:2" x14ac:dyDescent="0.25">
      <c r="A348">
        <f t="shared" si="11"/>
        <v>0.6900000000000005</v>
      </c>
      <c r="B348" s="32">
        <f t="shared" si="10"/>
        <v>-2.4679015627683865</v>
      </c>
    </row>
    <row r="349" spans="1:2" x14ac:dyDescent="0.25">
      <c r="A349">
        <f t="shared" si="11"/>
        <v>0.6920000000000005</v>
      </c>
      <c r="B349" s="32">
        <f t="shared" si="10"/>
        <v>-1.6926246264630198</v>
      </c>
    </row>
    <row r="350" spans="1:2" x14ac:dyDescent="0.25">
      <c r="A350">
        <f t="shared" si="11"/>
        <v>0.69400000000000051</v>
      </c>
      <c r="B350" s="32">
        <f t="shared" si="10"/>
        <v>-0.86743368517020392</v>
      </c>
    </row>
    <row r="351" spans="1:2" x14ac:dyDescent="0.25">
      <c r="A351">
        <f t="shared" si="11"/>
        <v>0.69600000000000051</v>
      </c>
      <c r="B351" s="32">
        <f t="shared" si="10"/>
        <v>-1.5866224354146322E-2</v>
      </c>
    </row>
    <row r="352" spans="1:2" x14ac:dyDescent="0.25">
      <c r="A352">
        <f t="shared" si="11"/>
        <v>0.69800000000000051</v>
      </c>
      <c r="B352" s="32">
        <f t="shared" si="10"/>
        <v>0.83776510719954733</v>
      </c>
    </row>
    <row r="353" spans="1:2" x14ac:dyDescent="0.25">
      <c r="A353">
        <f t="shared" si="11"/>
        <v>0.70000000000000051</v>
      </c>
      <c r="B353" s="32">
        <f t="shared" si="10"/>
        <v>1.669063047810218</v>
      </c>
    </row>
    <row r="354" spans="1:2" x14ac:dyDescent="0.25">
      <c r="A354">
        <f t="shared" si="11"/>
        <v>0.70200000000000051</v>
      </c>
      <c r="B354" s="32">
        <f t="shared" si="10"/>
        <v>2.4542387648250146</v>
      </c>
    </row>
    <row r="355" spans="1:2" x14ac:dyDescent="0.25">
      <c r="A355">
        <f t="shared" si="11"/>
        <v>0.70400000000000051</v>
      </c>
      <c r="B355" s="32">
        <f t="shared" si="10"/>
        <v>3.1707877167597913</v>
      </c>
    </row>
    <row r="356" spans="1:2" x14ac:dyDescent="0.25">
      <c r="A356">
        <f t="shared" si="11"/>
        <v>0.70600000000000052</v>
      </c>
      <c r="B356" s="32">
        <f t="shared" si="10"/>
        <v>3.7981291516499165</v>
      </c>
    </row>
    <row r="357" spans="1:2" x14ac:dyDescent="0.25">
      <c r="A357">
        <f t="shared" si="11"/>
        <v>0.70800000000000052</v>
      </c>
      <c r="B357" s="32">
        <f t="shared" si="10"/>
        <v>4.3181910893444142</v>
      </c>
    </row>
    <row r="358" spans="1:2" x14ac:dyDescent="0.25">
      <c r="A358">
        <f t="shared" si="11"/>
        <v>0.71000000000000052</v>
      </c>
      <c r="B358" s="32">
        <f t="shared" si="10"/>
        <v>4.7159241824003066</v>
      </c>
    </row>
    <row r="359" spans="1:2" x14ac:dyDescent="0.25">
      <c r="A359">
        <f t="shared" si="11"/>
        <v>0.71200000000000052</v>
      </c>
      <c r="B359" s="32">
        <f t="shared" si="10"/>
        <v>4.9797298684454416</v>
      </c>
    </row>
    <row r="360" spans="1:2" x14ac:dyDescent="0.25">
      <c r="A360">
        <f t="shared" si="11"/>
        <v>0.71400000000000052</v>
      </c>
      <c r="B360" s="32">
        <f t="shared" si="10"/>
        <v>5.1017906590927264</v>
      </c>
    </row>
    <row r="361" spans="1:2" x14ac:dyDescent="0.25">
      <c r="A361">
        <f t="shared" si="11"/>
        <v>0.71600000000000052</v>
      </c>
      <c r="B361" s="32">
        <f t="shared" si="10"/>
        <v>5.078293187685202</v>
      </c>
    </row>
    <row r="362" spans="1:2" x14ac:dyDescent="0.25">
      <c r="A362">
        <f t="shared" si="11"/>
        <v>0.71800000000000053</v>
      </c>
      <c r="B362" s="32">
        <f t="shared" si="10"/>
        <v>4.9095376815067171</v>
      </c>
    </row>
    <row r="363" spans="1:2" x14ac:dyDescent="0.25">
      <c r="A363">
        <f t="shared" si="11"/>
        <v>0.72000000000000053</v>
      </c>
      <c r="B363" s="32">
        <f t="shared" si="10"/>
        <v>4.5999307472383766</v>
      </c>
    </row>
    <row r="364" spans="1:2" x14ac:dyDescent="0.25">
      <c r="A364">
        <f t="shared" si="11"/>
        <v>0.72200000000000053</v>
      </c>
      <c r="B364" s="32">
        <f t="shared" si="10"/>
        <v>4.1578616698996029</v>
      </c>
    </row>
    <row r="365" spans="1:2" x14ac:dyDescent="0.25">
      <c r="A365">
        <f t="shared" si="11"/>
        <v>0.72400000000000053</v>
      </c>
      <c r="B365" s="32">
        <f t="shared" si="10"/>
        <v>3.5954657313039449</v>
      </c>
    </row>
    <row r="366" spans="1:2" x14ac:dyDescent="0.25">
      <c r="A366">
        <f t="shared" si="11"/>
        <v>0.72600000000000053</v>
      </c>
      <c r="B366" s="32">
        <f t="shared" si="10"/>
        <v>2.9282812603638355</v>
      </c>
    </row>
    <row r="367" spans="1:2" x14ac:dyDescent="0.25">
      <c r="A367">
        <f t="shared" si="11"/>
        <v>0.72800000000000054</v>
      </c>
      <c r="B367" s="32">
        <f t="shared" si="10"/>
        <v>2.1748101433972153</v>
      </c>
    </row>
    <row r="368" spans="1:2" x14ac:dyDescent="0.25">
      <c r="A368">
        <f t="shared" si="11"/>
        <v>0.73000000000000054</v>
      </c>
      <c r="B368" s="32">
        <f t="shared" si="10"/>
        <v>1.3559942623317756</v>
      </c>
    </row>
    <row r="369" spans="1:2" x14ac:dyDescent="0.25">
      <c r="A369">
        <f t="shared" si="11"/>
        <v>0.73200000000000054</v>
      </c>
      <c r="B369" s="32">
        <f t="shared" si="10"/>
        <v>0.49462271461551011</v>
      </c>
    </row>
    <row r="370" spans="1:2" x14ac:dyDescent="0.25">
      <c r="A370">
        <f t="shared" si="11"/>
        <v>0.73400000000000054</v>
      </c>
      <c r="B370" s="32">
        <f t="shared" si="10"/>
        <v>-0.38531336699275348</v>
      </c>
    </row>
    <row r="371" spans="1:2" x14ac:dyDescent="0.25">
      <c r="A371">
        <f t="shared" si="11"/>
        <v>0.73600000000000054</v>
      </c>
      <c r="B371" s="32">
        <f t="shared" si="10"/>
        <v>-1.2593000895056712</v>
      </c>
    </row>
    <row r="372" spans="1:2" x14ac:dyDescent="0.25">
      <c r="A372">
        <f t="shared" si="11"/>
        <v>0.73800000000000054</v>
      </c>
      <c r="B372" s="32">
        <f t="shared" si="10"/>
        <v>-2.1029948968452072</v>
      </c>
    </row>
    <row r="373" spans="1:2" x14ac:dyDescent="0.25">
      <c r="A373">
        <f t="shared" si="11"/>
        <v>0.74000000000000055</v>
      </c>
      <c r="B373" s="32">
        <f t="shared" si="10"/>
        <v>-2.8929157956035603</v>
      </c>
    </row>
    <row r="374" spans="1:2" x14ac:dyDescent="0.25">
      <c r="A374">
        <f t="shared" si="11"/>
        <v>0.74200000000000055</v>
      </c>
      <c r="B374" s="32">
        <f t="shared" si="10"/>
        <v>-3.60710615428082</v>
      </c>
    </row>
    <row r="375" spans="1:2" x14ac:dyDescent="0.25">
      <c r="A375">
        <f t="shared" si="11"/>
        <v>0.74400000000000055</v>
      </c>
      <c r="B375" s="32">
        <f t="shared" si="10"/>
        <v>-4.2257562141064975</v>
      </c>
    </row>
    <row r="376" spans="1:2" x14ac:dyDescent="0.25">
      <c r="A376">
        <f t="shared" si="11"/>
        <v>0.74600000000000055</v>
      </c>
      <c r="B376" s="32">
        <f t="shared" si="10"/>
        <v>-4.7317636781066277</v>
      </c>
    </row>
    <row r="377" spans="1:2" x14ac:dyDescent="0.25">
      <c r="A377">
        <f t="shared" si="11"/>
        <v>0.74800000000000055</v>
      </c>
      <c r="B377" s="32">
        <f t="shared" si="10"/>
        <v>-5.1112174740579999</v>
      </c>
    </row>
    <row r="378" spans="1:2" x14ac:dyDescent="0.25">
      <c r="A378">
        <f t="shared" si="11"/>
        <v>0.75000000000000056</v>
      </c>
      <c r="B378" s="32">
        <f t="shared" si="10"/>
        <v>-5.3537909673142066</v>
      </c>
    </row>
    <row r="379" spans="1:2" x14ac:dyDescent="0.25">
      <c r="A379">
        <f t="shared" si="11"/>
        <v>0.75200000000000056</v>
      </c>
      <c r="B379" s="32">
        <f t="shared" si="10"/>
        <v>-5.4530334693078588</v>
      </c>
    </row>
    <row r="380" spans="1:2" x14ac:dyDescent="0.25">
      <c r="A380">
        <f t="shared" si="11"/>
        <v>0.75400000000000056</v>
      </c>
      <c r="B380" s="32">
        <f t="shared" si="10"/>
        <v>-5.4065517739020139</v>
      </c>
    </row>
    <row r="381" spans="1:2" x14ac:dyDescent="0.25">
      <c r="A381">
        <f t="shared" si="11"/>
        <v>0.75600000000000056</v>
      </c>
      <c r="B381" s="32">
        <f t="shared" si="10"/>
        <v>-5.21607657475964</v>
      </c>
    </row>
    <row r="382" spans="1:2" x14ac:dyDescent="0.25">
      <c r="A382">
        <f t="shared" si="11"/>
        <v>0.75800000000000056</v>
      </c>
      <c r="B382" s="32">
        <f t="shared" si="10"/>
        <v>-4.8874118839499747</v>
      </c>
    </row>
    <row r="383" spans="1:2" x14ac:dyDescent="0.25">
      <c r="A383">
        <f t="shared" si="11"/>
        <v>0.76000000000000056</v>
      </c>
      <c r="B383" s="32">
        <f t="shared" si="10"/>
        <v>-4.4302688923918883</v>
      </c>
    </row>
    <row r="384" spans="1:2" x14ac:dyDescent="0.25">
      <c r="A384">
        <f t="shared" si="11"/>
        <v>0.76200000000000057</v>
      </c>
      <c r="B384" s="32">
        <f t="shared" si="10"/>
        <v>-3.857988992212761</v>
      </c>
    </row>
    <row r="385" spans="1:2" x14ac:dyDescent="0.25">
      <c r="A385">
        <f t="shared" si="11"/>
        <v>0.76400000000000057</v>
      </c>
      <c r="B385" s="32">
        <f t="shared" si="10"/>
        <v>-3.1871638266033093</v>
      </c>
    </row>
    <row r="386" spans="1:2" x14ac:dyDescent="0.25">
      <c r="A386">
        <f t="shared" si="11"/>
        <v>0.76600000000000057</v>
      </c>
      <c r="B386" s="32">
        <f t="shared" si="10"/>
        <v>-2.4371631550020925</v>
      </c>
    </row>
    <row r="387" spans="1:2" x14ac:dyDescent="0.25">
      <c r="A387">
        <f t="shared" si="11"/>
        <v>0.76800000000000057</v>
      </c>
      <c r="B387" s="32">
        <f t="shared" si="10"/>
        <v>-1.6295839375139121</v>
      </c>
    </row>
    <row r="388" spans="1:2" x14ac:dyDescent="0.25">
      <c r="A388">
        <f t="shared" si="11"/>
        <v>0.77000000000000057</v>
      </c>
      <c r="B388" s="32">
        <f t="shared" ref="B388:B451" si="12">0.323585334495683*COS(1.25226098841235 - 29.4037227718803*$A388) - 0.278838680632391*COS(1.04090145025875*$A388) - 5.11813177262468*COS(0.597704127771972 - 84.3329956365773*$A388)</f>
        <v>-0.78763627810741421</v>
      </c>
    </row>
    <row r="389" spans="1:2" x14ac:dyDescent="0.25">
      <c r="A389">
        <f t="shared" ref="A389:A452" si="13">+A388+$A$1</f>
        <v>0.77200000000000057</v>
      </c>
      <c r="B389" s="32">
        <f t="shared" si="12"/>
        <v>6.4516342098702717E-2</v>
      </c>
    </row>
    <row r="390" spans="1:2" x14ac:dyDescent="0.25">
      <c r="A390">
        <f t="shared" si="13"/>
        <v>0.77400000000000058</v>
      </c>
      <c r="B390" s="32">
        <f t="shared" si="12"/>
        <v>0.90244381311772259</v>
      </c>
    </row>
    <row r="391" spans="1:2" x14ac:dyDescent="0.25">
      <c r="A391">
        <f t="shared" si="13"/>
        <v>0.77600000000000058</v>
      </c>
      <c r="B391" s="32">
        <f t="shared" si="12"/>
        <v>1.7021436321036876</v>
      </c>
    </row>
    <row r="392" spans="1:2" x14ac:dyDescent="0.25">
      <c r="A392">
        <f t="shared" si="13"/>
        <v>0.77800000000000058</v>
      </c>
      <c r="B392" s="32">
        <f t="shared" si="12"/>
        <v>2.4407229210137391</v>
      </c>
    </row>
    <row r="393" spans="1:2" x14ac:dyDescent="0.25">
      <c r="A393">
        <f t="shared" si="13"/>
        <v>0.78000000000000058</v>
      </c>
      <c r="B393" s="32">
        <f t="shared" si="12"/>
        <v>3.0970488669011189</v>
      </c>
    </row>
    <row r="394" spans="1:2" x14ac:dyDescent="0.25">
      <c r="A394">
        <f t="shared" si="13"/>
        <v>0.78200000000000058</v>
      </c>
      <c r="B394" s="32">
        <f t="shared" si="12"/>
        <v>3.652349122305464</v>
      </c>
    </row>
    <row r="395" spans="1:2" x14ac:dyDescent="0.25">
      <c r="A395">
        <f t="shared" si="13"/>
        <v>0.78400000000000059</v>
      </c>
      <c r="B395" s="32">
        <f t="shared" si="12"/>
        <v>4.090745123682491</v>
      </c>
    </row>
    <row r="396" spans="1:2" x14ac:dyDescent="0.25">
      <c r="A396">
        <f t="shared" si="13"/>
        <v>0.78600000000000059</v>
      </c>
      <c r="B396" s="32">
        <f t="shared" si="12"/>
        <v>4.3997031899702161</v>
      </c>
    </row>
    <row r="397" spans="1:2" x14ac:dyDescent="0.25">
      <c r="A397">
        <f t="shared" si="13"/>
        <v>0.78800000000000059</v>
      </c>
      <c r="B397" s="32">
        <f t="shared" si="12"/>
        <v>4.5703905971738648</v>
      </c>
    </row>
    <row r="398" spans="1:2" x14ac:dyDescent="0.25">
      <c r="A398">
        <f t="shared" si="13"/>
        <v>0.79000000000000059</v>
      </c>
      <c r="B398" s="32">
        <f t="shared" si="12"/>
        <v>4.5979265220362491</v>
      </c>
    </row>
    <row r="399" spans="1:2" x14ac:dyDescent="0.25">
      <c r="A399">
        <f t="shared" si="13"/>
        <v>0.79200000000000059</v>
      </c>
      <c r="B399" s="32">
        <f t="shared" si="12"/>
        <v>4.4815207318897681</v>
      </c>
    </row>
    <row r="400" spans="1:2" x14ac:dyDescent="0.25">
      <c r="A400">
        <f t="shared" si="13"/>
        <v>0.79400000000000059</v>
      </c>
      <c r="B400" s="32">
        <f t="shared" si="12"/>
        <v>4.2244960839749641</v>
      </c>
    </row>
    <row r="401" spans="1:2" x14ac:dyDescent="0.25">
      <c r="A401">
        <f t="shared" si="13"/>
        <v>0.7960000000000006</v>
      </c>
      <c r="B401" s="32">
        <f t="shared" si="12"/>
        <v>3.8341941954275178</v>
      </c>
    </row>
    <row r="402" spans="1:2" x14ac:dyDescent="0.25">
      <c r="A402">
        <f t="shared" si="13"/>
        <v>0.7980000000000006</v>
      </c>
      <c r="B402" s="32">
        <f t="shared" si="12"/>
        <v>3.3217669611831862</v>
      </c>
    </row>
    <row r="403" spans="1:2" x14ac:dyDescent="0.25">
      <c r="A403">
        <f t="shared" si="13"/>
        <v>0.8000000000000006</v>
      </c>
      <c r="B403" s="32">
        <f t="shared" si="12"/>
        <v>2.701859837114803</v>
      </c>
    </row>
    <row r="404" spans="1:2" x14ac:dyDescent="0.25">
      <c r="A404">
        <f t="shared" si="13"/>
        <v>0.8020000000000006</v>
      </c>
      <c r="B404" s="32">
        <f t="shared" si="12"/>
        <v>1.9921958778413504</v>
      </c>
    </row>
    <row r="405" spans="1:2" x14ac:dyDescent="0.25">
      <c r="A405">
        <f t="shared" si="13"/>
        <v>0.8040000000000006</v>
      </c>
      <c r="B405" s="32">
        <f t="shared" si="12"/>
        <v>1.2130723356421651</v>
      </c>
    </row>
    <row r="406" spans="1:2" x14ac:dyDescent="0.25">
      <c r="A406">
        <f t="shared" si="13"/>
        <v>0.8060000000000006</v>
      </c>
      <c r="B406" s="32">
        <f t="shared" si="12"/>
        <v>0.38678410882528091</v>
      </c>
    </row>
    <row r="407" spans="1:2" x14ac:dyDescent="0.25">
      <c r="A407">
        <f t="shared" si="13"/>
        <v>0.80800000000000061</v>
      </c>
      <c r="B407" s="32">
        <f t="shared" si="12"/>
        <v>-0.46300959570825545</v>
      </c>
    </row>
    <row r="408" spans="1:2" x14ac:dyDescent="0.25">
      <c r="A408">
        <f t="shared" si="13"/>
        <v>0.81000000000000061</v>
      </c>
      <c r="B408" s="32">
        <f t="shared" si="12"/>
        <v>-1.311957409017372</v>
      </c>
    </row>
    <row r="409" spans="1:2" x14ac:dyDescent="0.25">
      <c r="A409">
        <f t="shared" si="13"/>
        <v>0.81200000000000061</v>
      </c>
      <c r="B409" s="32">
        <f t="shared" si="12"/>
        <v>-2.1357076773643797</v>
      </c>
    </row>
    <row r="410" spans="1:2" x14ac:dyDescent="0.25">
      <c r="A410">
        <f t="shared" si="13"/>
        <v>0.81400000000000061</v>
      </c>
      <c r="B410" s="32">
        <f t="shared" si="12"/>
        <v>-2.910600431446646</v>
      </c>
    </row>
    <row r="411" spans="1:2" x14ac:dyDescent="0.25">
      <c r="A411">
        <f t="shared" si="13"/>
        <v>0.81600000000000061</v>
      </c>
      <c r="B411" s="32">
        <f t="shared" si="12"/>
        <v>-3.6143398060154825</v>
      </c>
    </row>
    <row r="412" spans="1:2" x14ac:dyDescent="0.25">
      <c r="A412">
        <f t="shared" si="13"/>
        <v>0.81800000000000062</v>
      </c>
      <c r="B412" s="32">
        <f t="shared" si="12"/>
        <v>-4.2266278228338265</v>
      </c>
    </row>
    <row r="413" spans="1:2" x14ac:dyDescent="0.25">
      <c r="A413">
        <f t="shared" si="13"/>
        <v>0.82000000000000062</v>
      </c>
      <c r="B413" s="32">
        <f t="shared" si="12"/>
        <v>-4.7297415461986727</v>
      </c>
    </row>
    <row r="414" spans="1:2" x14ac:dyDescent="0.25">
      <c r="A414">
        <f t="shared" si="13"/>
        <v>0.82200000000000062</v>
      </c>
      <c r="B414" s="32">
        <f t="shared" si="12"/>
        <v>-5.1090372271291962</v>
      </c>
    </row>
    <row r="415" spans="1:2" x14ac:dyDescent="0.25">
      <c r="A415">
        <f t="shared" si="13"/>
        <v>0.82400000000000062</v>
      </c>
      <c r="B415" s="32">
        <f t="shared" si="12"/>
        <v>-5.3533671242021752</v>
      </c>
    </row>
    <row r="416" spans="1:2" x14ac:dyDescent="0.25">
      <c r="A416">
        <f t="shared" si="13"/>
        <v>0.82600000000000062</v>
      </c>
      <c r="B416" s="32">
        <f t="shared" si="12"/>
        <v>-5.4553971670950858</v>
      </c>
    </row>
    <row r="417" spans="1:2" x14ac:dyDescent="0.25">
      <c r="A417">
        <f t="shared" si="13"/>
        <v>0.82800000000000062</v>
      </c>
      <c r="B417" s="32">
        <f t="shared" si="12"/>
        <v>-5.4118164428501263</v>
      </c>
    </row>
    <row r="418" spans="1:2" x14ac:dyDescent="0.25">
      <c r="A418">
        <f t="shared" si="13"/>
        <v>0.83000000000000063</v>
      </c>
      <c r="B418" s="32">
        <f t="shared" si="12"/>
        <v>-5.2234325548328462</v>
      </c>
    </row>
    <row r="419" spans="1:2" x14ac:dyDescent="0.25">
      <c r="A419">
        <f t="shared" si="13"/>
        <v>0.83200000000000063</v>
      </c>
      <c r="B419" s="32">
        <f t="shared" si="12"/>
        <v>-4.8951501432044235</v>
      </c>
    </row>
    <row r="420" spans="1:2" x14ac:dyDescent="0.25">
      <c r="A420">
        <f t="shared" si="13"/>
        <v>0.83400000000000063</v>
      </c>
      <c r="B420" s="32">
        <f t="shared" si="12"/>
        <v>-4.4358331715329298</v>
      </c>
    </row>
    <row r="421" spans="1:2" x14ac:dyDescent="0.25">
      <c r="A421">
        <f t="shared" si="13"/>
        <v>0.83600000000000063</v>
      </c>
      <c r="B421" s="32">
        <f t="shared" si="12"/>
        <v>-3.8580548828332262</v>
      </c>
    </row>
    <row r="422" spans="1:2" x14ac:dyDescent="0.25">
      <c r="A422">
        <f t="shared" si="13"/>
        <v>0.83800000000000063</v>
      </c>
      <c r="B422" s="32">
        <f t="shared" si="12"/>
        <v>-3.1777425162280215</v>
      </c>
    </row>
    <row r="423" spans="1:2" x14ac:dyDescent="0.25">
      <c r="A423">
        <f t="shared" si="13"/>
        <v>0.84000000000000064</v>
      </c>
      <c r="B423" s="32">
        <f t="shared" si="12"/>
        <v>-2.4137268620911509</v>
      </c>
    </row>
    <row r="424" spans="1:2" x14ac:dyDescent="0.25">
      <c r="A424">
        <f t="shared" si="13"/>
        <v>0.84200000000000064</v>
      </c>
      <c r="B424" s="32">
        <f t="shared" si="12"/>
        <v>-1.5872094342003142</v>
      </c>
    </row>
    <row r="425" spans="1:2" x14ac:dyDescent="0.25">
      <c r="A425">
        <f t="shared" si="13"/>
        <v>0.84400000000000064</v>
      </c>
      <c r="B425" s="32">
        <f t="shared" si="12"/>
        <v>-0.72116237544978257</v>
      </c>
    </row>
    <row r="426" spans="1:2" x14ac:dyDescent="0.25">
      <c r="A426">
        <f t="shared" si="13"/>
        <v>0.84600000000000064</v>
      </c>
      <c r="B426" s="32">
        <f t="shared" si="12"/>
        <v>0.16032187730758382</v>
      </c>
    </row>
    <row r="427" spans="1:2" x14ac:dyDescent="0.25">
      <c r="A427">
        <f t="shared" si="13"/>
        <v>0.84800000000000064</v>
      </c>
      <c r="B427" s="32">
        <f t="shared" si="12"/>
        <v>1.0327127178780298</v>
      </c>
    </row>
    <row r="428" spans="1:2" x14ac:dyDescent="0.25">
      <c r="A428">
        <f t="shared" si="13"/>
        <v>0.85000000000000064</v>
      </c>
      <c r="B428" s="32">
        <f t="shared" si="12"/>
        <v>1.8717359312031252</v>
      </c>
    </row>
    <row r="429" spans="1:2" x14ac:dyDescent="0.25">
      <c r="A429">
        <f t="shared" si="13"/>
        <v>0.85200000000000065</v>
      </c>
      <c r="B429" s="32">
        <f t="shared" si="12"/>
        <v>2.6540609831498112</v>
      </c>
    </row>
    <row r="430" spans="1:2" x14ac:dyDescent="0.25">
      <c r="A430">
        <f t="shared" si="13"/>
        <v>0.85400000000000065</v>
      </c>
      <c r="B430" s="32">
        <f t="shared" si="12"/>
        <v>3.3579615393992444</v>
      </c>
    </row>
    <row r="431" spans="1:2" x14ac:dyDescent="0.25">
      <c r="A431">
        <f t="shared" si="13"/>
        <v>0.85600000000000065</v>
      </c>
      <c r="B431" s="32">
        <f t="shared" si="12"/>
        <v>3.9639304729582805</v>
      </c>
    </row>
    <row r="432" spans="1:2" x14ac:dyDescent="0.25">
      <c r="A432">
        <f t="shared" si="13"/>
        <v>0.85800000000000065</v>
      </c>
      <c r="B432" s="32">
        <f t="shared" si="12"/>
        <v>4.4552319114114249</v>
      </c>
    </row>
    <row r="433" spans="1:2" x14ac:dyDescent="0.25">
      <c r="A433">
        <f t="shared" si="13"/>
        <v>0.86000000000000065</v>
      </c>
      <c r="B433" s="32">
        <f t="shared" si="12"/>
        <v>4.8183746618155769</v>
      </c>
    </row>
    <row r="434" spans="1:2" x14ac:dyDescent="0.25">
      <c r="A434">
        <f t="shared" si="13"/>
        <v>0.86200000000000065</v>
      </c>
      <c r="B434" s="32">
        <f t="shared" si="12"/>
        <v>5.0434935824114904</v>
      </c>
    </row>
    <row r="435" spans="1:2" x14ac:dyDescent="0.25">
      <c r="A435">
        <f t="shared" si="13"/>
        <v>0.86400000000000066</v>
      </c>
      <c r="B435" s="32">
        <f t="shared" si="12"/>
        <v>5.1246280827573898</v>
      </c>
    </row>
    <row r="436" spans="1:2" x14ac:dyDescent="0.25">
      <c r="A436">
        <f t="shared" si="13"/>
        <v>0.86600000000000066</v>
      </c>
      <c r="B436" s="32">
        <f t="shared" si="12"/>
        <v>5.0598898533363581</v>
      </c>
    </row>
    <row r="437" spans="1:2" x14ac:dyDescent="0.25">
      <c r="A437">
        <f t="shared" si="13"/>
        <v>0.86800000000000066</v>
      </c>
      <c r="B437" s="32">
        <f t="shared" si="12"/>
        <v>4.8515150692985554</v>
      </c>
    </row>
    <row r="438" spans="1:2" x14ac:dyDescent="0.25">
      <c r="A438">
        <f t="shared" si="13"/>
        <v>0.87000000000000066</v>
      </c>
      <c r="B438" s="32">
        <f t="shared" si="12"/>
        <v>4.50579959155115</v>
      </c>
    </row>
    <row r="439" spans="1:2" x14ac:dyDescent="0.25">
      <c r="A439">
        <f t="shared" si="13"/>
        <v>0.87200000000000066</v>
      </c>
      <c r="B439" s="32">
        <f t="shared" si="12"/>
        <v>4.0329190088564326</v>
      </c>
    </row>
    <row r="440" spans="1:2" x14ac:dyDescent="0.25">
      <c r="A440">
        <f t="shared" si="13"/>
        <v>0.87400000000000067</v>
      </c>
      <c r="B440" s="32">
        <f t="shared" si="12"/>
        <v>3.4466386327061151</v>
      </c>
    </row>
    <row r="441" spans="1:2" x14ac:dyDescent="0.25">
      <c r="A441">
        <f t="shared" si="13"/>
        <v>0.87600000000000067</v>
      </c>
      <c r="B441" s="32">
        <f t="shared" si="12"/>
        <v>2.763921679755037</v>
      </c>
    </row>
    <row r="442" spans="1:2" x14ac:dyDescent="0.25">
      <c r="A442">
        <f t="shared" si="13"/>
        <v>0.87800000000000067</v>
      </c>
      <c r="B442" s="32">
        <f t="shared" si="12"/>
        <v>2.0044467658897842</v>
      </c>
    </row>
    <row r="443" spans="1:2" x14ac:dyDescent="0.25">
      <c r="A443">
        <f t="shared" si="13"/>
        <v>0.88000000000000067</v>
      </c>
      <c r="B443" s="32">
        <f t="shared" si="12"/>
        <v>1.1900484095728205</v>
      </c>
    </row>
    <row r="444" spans="1:2" x14ac:dyDescent="0.25">
      <c r="A444">
        <f t="shared" si="13"/>
        <v>0.88200000000000067</v>
      </c>
      <c r="B444" s="32">
        <f t="shared" si="12"/>
        <v>0.34409642690801356</v>
      </c>
    </row>
    <row r="445" spans="1:2" x14ac:dyDescent="0.25">
      <c r="A445">
        <f t="shared" si="13"/>
        <v>0.88400000000000067</v>
      </c>
      <c r="B445" s="32">
        <f t="shared" si="12"/>
        <v>-0.50916816509371565</v>
      </c>
    </row>
    <row r="446" spans="1:2" x14ac:dyDescent="0.25">
      <c r="A446">
        <f t="shared" si="13"/>
        <v>0.88600000000000068</v>
      </c>
      <c r="B446" s="32">
        <f t="shared" si="12"/>
        <v>-1.3453218865151224</v>
      </c>
    </row>
    <row r="447" spans="1:2" x14ac:dyDescent="0.25">
      <c r="A447">
        <f t="shared" si="13"/>
        <v>0.88800000000000068</v>
      </c>
      <c r="B447" s="32">
        <f t="shared" si="12"/>
        <v>-2.140452624219884</v>
      </c>
    </row>
    <row r="448" spans="1:2" x14ac:dyDescent="0.25">
      <c r="A448">
        <f t="shared" si="13"/>
        <v>0.89000000000000068</v>
      </c>
      <c r="B448" s="32">
        <f t="shared" si="12"/>
        <v>-2.8718388594380584</v>
      </c>
    </row>
    <row r="449" spans="1:2" x14ac:dyDescent="0.25">
      <c r="A449">
        <f t="shared" si="13"/>
        <v>0.89200000000000068</v>
      </c>
      <c r="B449" s="32">
        <f t="shared" si="12"/>
        <v>-3.518595014189474</v>
      </c>
    </row>
    <row r="450" spans="1:2" x14ac:dyDescent="0.25">
      <c r="A450">
        <f t="shared" si="13"/>
        <v>0.89400000000000068</v>
      </c>
      <c r="B450" s="32">
        <f t="shared" si="12"/>
        <v>-4.0622645993773379</v>
      </c>
    </row>
    <row r="451" spans="1:2" x14ac:dyDescent="0.25">
      <c r="A451">
        <f t="shared" si="13"/>
        <v>0.89600000000000068</v>
      </c>
      <c r="B451" s="32">
        <f t="shared" si="12"/>
        <v>-4.4873443291352171</v>
      </c>
    </row>
    <row r="452" spans="1:2" x14ac:dyDescent="0.25">
      <c r="A452">
        <f t="shared" si="13"/>
        <v>0.89800000000000069</v>
      </c>
      <c r="B452" s="32">
        <f t="shared" ref="B452:B515" si="14">0.323585334495683*COS(1.25226098841235 - 29.4037227718803*$A452) - 0.278838680632391*COS(1.04090145025875*$A452) - 5.11813177262468*COS(0.597704127771972 - 84.3329956365773*$A452)</f>
        <v>-4.7817243255734212</v>
      </c>
    </row>
    <row r="453" spans="1:2" x14ac:dyDescent="0.25">
      <c r="A453">
        <f t="shared" ref="A453:A516" si="15">+A452+$A$1</f>
        <v>0.90000000000000069</v>
      </c>
      <c r="B453" s="32">
        <f t="shared" si="14"/>
        <v>-4.9370319198236272</v>
      </c>
    </row>
    <row r="454" spans="1:2" x14ac:dyDescent="0.25">
      <c r="A454">
        <f t="shared" si="15"/>
        <v>0.90200000000000069</v>
      </c>
      <c r="B454" s="32">
        <f t="shared" si="14"/>
        <v>-4.948869291631536</v>
      </c>
    </row>
    <row r="455" spans="1:2" x14ac:dyDescent="0.25">
      <c r="A455">
        <f t="shared" si="15"/>
        <v>0.90400000000000069</v>
      </c>
      <c r="B455" s="32">
        <f t="shared" si="14"/>
        <v>-4.8169382030301175</v>
      </c>
    </row>
    <row r="456" spans="1:2" x14ac:dyDescent="0.25">
      <c r="A456">
        <f t="shared" si="15"/>
        <v>0.90600000000000069</v>
      </c>
      <c r="B456" s="32">
        <f t="shared" si="14"/>
        <v>-4.5450482863246568</v>
      </c>
    </row>
    <row r="457" spans="1:2" x14ac:dyDescent="0.25">
      <c r="A457">
        <f t="shared" si="15"/>
        <v>0.9080000000000007</v>
      </c>
      <c r="B457" s="32">
        <f t="shared" si="14"/>
        <v>-4.1410086517793614</v>
      </c>
    </row>
    <row r="458" spans="1:2" x14ac:dyDescent="0.25">
      <c r="A458">
        <f t="shared" si="15"/>
        <v>0.9100000000000007</v>
      </c>
      <c r="B458" s="32">
        <f t="shared" si="14"/>
        <v>-3.6164058922098068</v>
      </c>
    </row>
    <row r="459" spans="1:2" x14ac:dyDescent="0.25">
      <c r="A459">
        <f t="shared" si="15"/>
        <v>0.9120000000000007</v>
      </c>
      <c r="B459" s="32">
        <f t="shared" si="14"/>
        <v>-2.9862747861639525</v>
      </c>
    </row>
    <row r="460" spans="1:2" x14ac:dyDescent="0.25">
      <c r="A460">
        <f t="shared" si="15"/>
        <v>0.9140000000000007</v>
      </c>
      <c r="B460" s="32">
        <f t="shared" si="14"/>
        <v>-2.2686710470004239</v>
      </c>
    </row>
    <row r="461" spans="1:2" x14ac:dyDescent="0.25">
      <c r="A461">
        <f t="shared" si="15"/>
        <v>0.9160000000000007</v>
      </c>
      <c r="B461" s="32">
        <f t="shared" si="14"/>
        <v>-1.4841582455106423</v>
      </c>
    </row>
    <row r="462" spans="1:2" x14ac:dyDescent="0.25">
      <c r="A462">
        <f t="shared" si="15"/>
        <v>0.9180000000000007</v>
      </c>
      <c r="B462" s="32">
        <f t="shared" si="14"/>
        <v>-0.65522346986677993</v>
      </c>
    </row>
    <row r="463" spans="1:2" x14ac:dyDescent="0.25">
      <c r="A463">
        <f t="shared" si="15"/>
        <v>0.92000000000000071</v>
      </c>
      <c r="B463" s="32">
        <f t="shared" si="14"/>
        <v>0.19436169052386496</v>
      </c>
    </row>
    <row r="464" spans="1:2" x14ac:dyDescent="0.25">
      <c r="A464">
        <f t="shared" si="15"/>
        <v>0.92200000000000071</v>
      </c>
      <c r="B464" s="32">
        <f t="shared" si="14"/>
        <v>1.0402166986296042</v>
      </c>
    </row>
    <row r="465" spans="1:2" x14ac:dyDescent="0.25">
      <c r="A465">
        <f t="shared" si="15"/>
        <v>0.92400000000000071</v>
      </c>
      <c r="B465" s="32">
        <f t="shared" si="14"/>
        <v>1.8580449849956309</v>
      </c>
    </row>
    <row r="466" spans="1:2" x14ac:dyDescent="0.25">
      <c r="A466">
        <f t="shared" si="15"/>
        <v>0.92600000000000071</v>
      </c>
      <c r="B466" s="32">
        <f t="shared" si="14"/>
        <v>2.6243245556486121</v>
      </c>
    </row>
    <row r="467" spans="1:2" x14ac:dyDescent="0.25">
      <c r="A467">
        <f t="shared" si="15"/>
        <v>0.92800000000000071</v>
      </c>
      <c r="B467" s="32">
        <f t="shared" si="14"/>
        <v>3.3169766890403722</v>
      </c>
    </row>
    <row r="468" spans="1:2" x14ac:dyDescent="0.25">
      <c r="A468">
        <f t="shared" si="15"/>
        <v>0.93000000000000071</v>
      </c>
      <c r="B468" s="32">
        <f t="shared" si="14"/>
        <v>3.9159937399666123</v>
      </c>
    </row>
    <row r="469" spans="1:2" x14ac:dyDescent="0.25">
      <c r="A469">
        <f t="shared" si="15"/>
        <v>0.93200000000000072</v>
      </c>
      <c r="B469" s="32">
        <f t="shared" si="14"/>
        <v>4.4040082287413274</v>
      </c>
    </row>
    <row r="470" spans="1:2" x14ac:dyDescent="0.25">
      <c r="A470">
        <f t="shared" si="15"/>
        <v>0.93400000000000072</v>
      </c>
      <c r="B470" s="32">
        <f t="shared" si="14"/>
        <v>4.7667870600572071</v>
      </c>
    </row>
    <row r="471" spans="1:2" x14ac:dyDescent="0.25">
      <c r="A471">
        <f t="shared" si="15"/>
        <v>0.93600000000000072</v>
      </c>
      <c r="B471" s="32">
        <f t="shared" si="14"/>
        <v>4.9936368406394225</v>
      </c>
    </row>
    <row r="472" spans="1:2" x14ac:dyDescent="0.25">
      <c r="A472">
        <f t="shared" si="15"/>
        <v>0.93800000000000072</v>
      </c>
      <c r="B472" s="32">
        <f t="shared" si="14"/>
        <v>5.0777087876989828</v>
      </c>
    </row>
    <row r="473" spans="1:2" x14ac:dyDescent="0.25">
      <c r="A473">
        <f t="shared" si="15"/>
        <v>0.94000000000000072</v>
      </c>
      <c r="B473" s="32">
        <f t="shared" si="14"/>
        <v>5.0161945697156129</v>
      </c>
    </row>
    <row r="474" spans="1:2" x14ac:dyDescent="0.25">
      <c r="A474">
        <f t="shared" si="15"/>
        <v>0.94200000000000073</v>
      </c>
      <c r="B474" s="32">
        <f t="shared" si="14"/>
        <v>4.8104075163533473</v>
      </c>
    </row>
    <row r="475" spans="1:2" x14ac:dyDescent="0.25">
      <c r="A475">
        <f t="shared" si="15"/>
        <v>0.94400000000000073</v>
      </c>
      <c r="B475" s="32">
        <f t="shared" si="14"/>
        <v>4.4657468874926414</v>
      </c>
    </row>
    <row r="476" spans="1:2" x14ac:dyDescent="0.25">
      <c r="A476">
        <f t="shared" si="15"/>
        <v>0.94600000000000073</v>
      </c>
      <c r="B476" s="32">
        <f t="shared" si="14"/>
        <v>3.9915462101211903</v>
      </c>
    </row>
    <row r="477" spans="1:2" x14ac:dyDescent="0.25">
      <c r="A477">
        <f t="shared" si="15"/>
        <v>0.94800000000000073</v>
      </c>
      <c r="B477" s="32">
        <f t="shared" si="14"/>
        <v>3.4008099819728534</v>
      </c>
    </row>
    <row r="478" spans="1:2" x14ac:dyDescent="0.25">
      <c r="A478">
        <f t="shared" si="15"/>
        <v>0.95000000000000073</v>
      </c>
      <c r="B478" s="32">
        <f t="shared" si="14"/>
        <v>2.7098462089651023</v>
      </c>
    </row>
    <row r="479" spans="1:2" x14ac:dyDescent="0.25">
      <c r="A479">
        <f t="shared" si="15"/>
        <v>0.95200000000000073</v>
      </c>
      <c r="B479" s="32">
        <f t="shared" si="14"/>
        <v>1.9378051997431101</v>
      </c>
    </row>
    <row r="480" spans="1:2" x14ac:dyDescent="0.25">
      <c r="A480">
        <f t="shared" si="15"/>
        <v>0.95400000000000074</v>
      </c>
      <c r="B480" s="32">
        <f t="shared" si="14"/>
        <v>1.1061377010953866</v>
      </c>
    </row>
    <row r="481" spans="1:2" x14ac:dyDescent="0.25">
      <c r="A481">
        <f t="shared" si="15"/>
        <v>0.95600000000000074</v>
      </c>
      <c r="B481" s="32">
        <f t="shared" si="14"/>
        <v>0.23798774715063598</v>
      </c>
    </row>
    <row r="482" spans="1:2" x14ac:dyDescent="0.25">
      <c r="A482">
        <f t="shared" si="15"/>
        <v>0.95800000000000074</v>
      </c>
      <c r="B482" s="32">
        <f t="shared" si="14"/>
        <v>-0.64246255186275847</v>
      </c>
    </row>
    <row r="483" spans="1:2" x14ac:dyDescent="0.25">
      <c r="A483">
        <f t="shared" si="15"/>
        <v>0.96000000000000074</v>
      </c>
      <c r="B483" s="32">
        <f t="shared" si="14"/>
        <v>-1.5106776915052109</v>
      </c>
    </row>
    <row r="484" spans="1:2" x14ac:dyDescent="0.25">
      <c r="A484">
        <f t="shared" si="15"/>
        <v>0.96200000000000074</v>
      </c>
      <c r="B484" s="32">
        <f t="shared" si="14"/>
        <v>-2.3424634994416098</v>
      </c>
    </row>
    <row r="485" spans="1:2" x14ac:dyDescent="0.25">
      <c r="A485">
        <f t="shared" si="15"/>
        <v>0.96400000000000075</v>
      </c>
      <c r="B485" s="32">
        <f t="shared" si="14"/>
        <v>-3.1146521948404953</v>
      </c>
    </row>
    <row r="486" spans="1:2" x14ac:dyDescent="0.25">
      <c r="A486">
        <f t="shared" si="15"/>
        <v>0.96600000000000075</v>
      </c>
      <c r="B486" s="32">
        <f t="shared" si="14"/>
        <v>-3.8057583437997322</v>
      </c>
    </row>
    <row r="487" spans="1:2" x14ac:dyDescent="0.25">
      <c r="A487">
        <f t="shared" si="15"/>
        <v>0.96800000000000075</v>
      </c>
      <c r="B487" s="32">
        <f t="shared" si="14"/>
        <v>-4.3965870996455454</v>
      </c>
    </row>
    <row r="488" spans="1:2" x14ac:dyDescent="0.25">
      <c r="A488">
        <f t="shared" si="15"/>
        <v>0.97000000000000075</v>
      </c>
      <c r="B488" s="32">
        <f t="shared" si="14"/>
        <v>-4.870777471041241</v>
      </c>
    </row>
    <row r="489" spans="1:2" x14ac:dyDescent="0.25">
      <c r="A489">
        <f t="shared" si="15"/>
        <v>0.97200000000000075</v>
      </c>
      <c r="B489" s="32">
        <f t="shared" si="14"/>
        <v>-5.2152652046783663</v>
      </c>
    </row>
    <row r="490" spans="1:2" x14ac:dyDescent="0.25">
      <c r="A490">
        <f t="shared" si="15"/>
        <v>0.97400000000000075</v>
      </c>
      <c r="B490" s="32">
        <f t="shared" si="14"/>
        <v>-5.4206521505857843</v>
      </c>
    </row>
    <row r="491" spans="1:2" x14ac:dyDescent="0.25">
      <c r="A491">
        <f t="shared" si="15"/>
        <v>0.97600000000000076</v>
      </c>
      <c r="B491" s="32">
        <f t="shared" si="14"/>
        <v>-5.4814716320310337</v>
      </c>
    </row>
    <row r="492" spans="1:2" x14ac:dyDescent="0.25">
      <c r="A492">
        <f t="shared" si="15"/>
        <v>0.97800000000000076</v>
      </c>
      <c r="B492" s="32">
        <f t="shared" si="14"/>
        <v>-5.3963422932875558</v>
      </c>
    </row>
    <row r="493" spans="1:2" x14ac:dyDescent="0.25">
      <c r="A493">
        <f t="shared" si="15"/>
        <v>0.98000000000000076</v>
      </c>
      <c r="B493" s="32">
        <f t="shared" si="14"/>
        <v>-5.1680060634372751</v>
      </c>
    </row>
    <row r="494" spans="1:2" x14ac:dyDescent="0.25">
      <c r="A494">
        <f t="shared" si="15"/>
        <v>0.98200000000000076</v>
      </c>
      <c r="B494" s="32">
        <f t="shared" si="14"/>
        <v>-4.8032491630520759</v>
      </c>
    </row>
    <row r="495" spans="1:2" x14ac:dyDescent="0.25">
      <c r="A495">
        <f t="shared" si="15"/>
        <v>0.98400000000000076</v>
      </c>
      <c r="B495" s="32">
        <f t="shared" si="14"/>
        <v>-4.3127083997139133</v>
      </c>
    </row>
    <row r="496" spans="1:2" x14ac:dyDescent="0.25">
      <c r="A496">
        <f t="shared" si="15"/>
        <v>0.98600000000000076</v>
      </c>
      <c r="B496" s="32">
        <f t="shared" si="14"/>
        <v>-3.7105682536923323</v>
      </c>
    </row>
    <row r="497" spans="1:2" x14ac:dyDescent="0.25">
      <c r="A497">
        <f t="shared" si="15"/>
        <v>0.98800000000000077</v>
      </c>
      <c r="B497" s="32">
        <f t="shared" si="14"/>
        <v>-3.0141573543127982</v>
      </c>
    </row>
    <row r="498" spans="1:2" x14ac:dyDescent="0.25">
      <c r="A498">
        <f t="shared" si="15"/>
        <v>0.99000000000000077</v>
      </c>
      <c r="B498" s="32">
        <f t="shared" si="14"/>
        <v>-2.2434558026617228</v>
      </c>
    </row>
    <row r="499" spans="1:2" x14ac:dyDescent="0.25">
      <c r="A499">
        <f t="shared" si="15"/>
        <v>0.99200000000000077</v>
      </c>
      <c r="B499" s="32">
        <f t="shared" si="14"/>
        <v>-1.4205273262517819</v>
      </c>
    </row>
    <row r="500" spans="1:2" x14ac:dyDescent="0.25">
      <c r="A500">
        <f t="shared" si="15"/>
        <v>0.99400000000000077</v>
      </c>
      <c r="B500" s="32">
        <f t="shared" si="14"/>
        <v>-0.56889238431814659</v>
      </c>
    </row>
    <row r="501" spans="1:2" x14ac:dyDescent="0.25">
      <c r="A501">
        <f t="shared" si="15"/>
        <v>0.99600000000000077</v>
      </c>
      <c r="B501" s="32">
        <f t="shared" si="14"/>
        <v>0.2871399820109044</v>
      </c>
    </row>
    <row r="502" spans="1:2" x14ac:dyDescent="0.25">
      <c r="A502">
        <f t="shared" si="15"/>
        <v>0.99800000000000078</v>
      </c>
      <c r="B502" s="32">
        <f t="shared" si="14"/>
        <v>1.123162589873389</v>
      </c>
    </row>
    <row r="503" spans="1:2" x14ac:dyDescent="0.25">
      <c r="A503">
        <f t="shared" si="15"/>
        <v>1.0000000000000007</v>
      </c>
      <c r="B503" s="32">
        <f t="shared" si="14"/>
        <v>1.9153632480637834</v>
      </c>
    </row>
    <row r="504" spans="1:2" x14ac:dyDescent="0.25">
      <c r="A504">
        <f t="shared" si="15"/>
        <v>1.0020000000000007</v>
      </c>
      <c r="B504" s="32">
        <f t="shared" si="14"/>
        <v>2.641200910434971</v>
      </c>
    </row>
    <row r="505" spans="1:2" x14ac:dyDescent="0.25">
      <c r="A505">
        <f t="shared" si="15"/>
        <v>1.0040000000000007</v>
      </c>
      <c r="B505" s="32">
        <f t="shared" si="14"/>
        <v>3.2800456583230648</v>
      </c>
    </row>
    <row r="506" spans="1:2" x14ac:dyDescent="0.25">
      <c r="A506">
        <f t="shared" si="15"/>
        <v>1.0060000000000007</v>
      </c>
      <c r="B506" s="32">
        <f t="shared" si="14"/>
        <v>3.8137643478988661</v>
      </c>
    </row>
    <row r="507" spans="1:2" x14ac:dyDescent="0.25">
      <c r="A507">
        <f t="shared" si="15"/>
        <v>1.0080000000000007</v>
      </c>
      <c r="B507" s="32">
        <f t="shared" si="14"/>
        <v>4.2272353007520538</v>
      </c>
    </row>
    <row r="508" spans="1:2" x14ac:dyDescent="0.25">
      <c r="A508">
        <f t="shared" si="15"/>
        <v>1.0100000000000007</v>
      </c>
      <c r="B508" s="32">
        <f t="shared" si="14"/>
        <v>4.5087774301626773</v>
      </c>
    </row>
    <row r="509" spans="1:2" x14ac:dyDescent="0.25">
      <c r="A509">
        <f t="shared" si="15"/>
        <v>1.0120000000000007</v>
      </c>
      <c r="B509" s="32">
        <f t="shared" si="14"/>
        <v>4.6504816242323814</v>
      </c>
    </row>
    <row r="510" spans="1:2" x14ac:dyDescent="0.25">
      <c r="A510">
        <f t="shared" si="15"/>
        <v>1.0140000000000007</v>
      </c>
      <c r="B510" s="32">
        <f t="shared" si="14"/>
        <v>4.6484349814141828</v>
      </c>
    </row>
    <row r="511" spans="1:2" x14ac:dyDescent="0.25">
      <c r="A511">
        <f t="shared" si="15"/>
        <v>1.0160000000000007</v>
      </c>
      <c r="B511" s="32">
        <f t="shared" si="14"/>
        <v>4.5028315352490305</v>
      </c>
    </row>
    <row r="512" spans="1:2" x14ac:dyDescent="0.25">
      <c r="A512">
        <f t="shared" si="15"/>
        <v>1.0180000000000007</v>
      </c>
      <c r="B512" s="32">
        <f t="shared" si="14"/>
        <v>4.217966326977737</v>
      </c>
    </row>
    <row r="513" spans="1:2" x14ac:dyDescent="0.25">
      <c r="A513">
        <f t="shared" si="15"/>
        <v>1.0200000000000007</v>
      </c>
      <c r="B513" s="32">
        <f t="shared" si="14"/>
        <v>3.802112995706143</v>
      </c>
    </row>
    <row r="514" spans="1:2" x14ac:dyDescent="0.25">
      <c r="A514">
        <f t="shared" si="15"/>
        <v>1.0220000000000007</v>
      </c>
      <c r="B514" s="32">
        <f t="shared" si="14"/>
        <v>3.2672883619904232</v>
      </c>
    </row>
    <row r="515" spans="1:2" x14ac:dyDescent="0.25">
      <c r="A515">
        <f t="shared" si="15"/>
        <v>1.0240000000000007</v>
      </c>
      <c r="B515" s="32">
        <f t="shared" si="14"/>
        <v>2.628910688244992</v>
      </c>
    </row>
    <row r="516" spans="1:2" x14ac:dyDescent="0.25">
      <c r="A516">
        <f t="shared" si="15"/>
        <v>1.0260000000000007</v>
      </c>
      <c r="B516" s="32">
        <f t="shared" ref="B516:B579" si="16">0.323585334495683*COS(1.25226098841235 - 29.4037227718803*$A516) - 0.278838680632391*COS(1.04090145025875*$A516) - 5.11813177262468*COS(0.597704127771972 - 84.3329956365773*$A516)</f>
        <v>1.9053613172213175</v>
      </c>
    </row>
    <row r="517" spans="1:2" x14ac:dyDescent="0.25">
      <c r="A517">
        <f t="shared" ref="A517:A580" si="17">+A516+$A$1</f>
        <v>1.0280000000000007</v>
      </c>
      <c r="B517" s="32">
        <f t="shared" si="16"/>
        <v>1.1174621323165157</v>
      </c>
    </row>
    <row r="518" spans="1:2" x14ac:dyDescent="0.25">
      <c r="A518">
        <f t="shared" si="17"/>
        <v>1.0300000000000007</v>
      </c>
      <c r="B518" s="32">
        <f t="shared" si="16"/>
        <v>0.28788367280502153</v>
      </c>
    </row>
    <row r="519" spans="1:2" x14ac:dyDescent="0.25">
      <c r="A519">
        <f t="shared" si="17"/>
        <v>1.0320000000000007</v>
      </c>
      <c r="B519" s="32">
        <f t="shared" si="16"/>
        <v>-0.55949929456195757</v>
      </c>
    </row>
    <row r="520" spans="1:2" x14ac:dyDescent="0.25">
      <c r="A520">
        <f t="shared" si="17"/>
        <v>1.0340000000000007</v>
      </c>
      <c r="B520" s="32">
        <f t="shared" si="16"/>
        <v>-1.4002864546474869</v>
      </c>
    </row>
    <row r="521" spans="1:2" x14ac:dyDescent="0.25">
      <c r="A521">
        <f t="shared" si="17"/>
        <v>1.0360000000000007</v>
      </c>
      <c r="B521" s="32">
        <f t="shared" si="16"/>
        <v>-2.2102456084487505</v>
      </c>
    </row>
    <row r="522" spans="1:2" x14ac:dyDescent="0.25">
      <c r="A522">
        <f t="shared" si="17"/>
        <v>1.0380000000000007</v>
      </c>
      <c r="B522" s="32">
        <f t="shared" si="16"/>
        <v>-2.9660016322430782</v>
      </c>
    </row>
    <row r="523" spans="1:2" x14ac:dyDescent="0.25">
      <c r="A523">
        <f t="shared" si="17"/>
        <v>1.0400000000000007</v>
      </c>
      <c r="B523" s="32">
        <f t="shared" si="16"/>
        <v>-3.6457011738742007</v>
      </c>
    </row>
    <row r="524" spans="1:2" x14ac:dyDescent="0.25">
      <c r="A524">
        <f t="shared" si="17"/>
        <v>1.0420000000000007</v>
      </c>
      <c r="B524" s="32">
        <f t="shared" si="16"/>
        <v>-4.2296342170774475</v>
      </c>
    </row>
    <row r="525" spans="1:2" x14ac:dyDescent="0.25">
      <c r="A525">
        <f t="shared" si="17"/>
        <v>1.0440000000000007</v>
      </c>
      <c r="B525" s="32">
        <f t="shared" si="16"/>
        <v>-4.7007948686679129</v>
      </c>
    </row>
    <row r="526" spans="1:2" x14ac:dyDescent="0.25">
      <c r="A526">
        <f t="shared" si="17"/>
        <v>1.0460000000000007</v>
      </c>
      <c r="B526" s="32">
        <f t="shared" si="16"/>
        <v>-5.0453654481386252</v>
      </c>
    </row>
    <row r="527" spans="1:2" x14ac:dyDescent="0.25">
      <c r="A527">
        <f t="shared" si="17"/>
        <v>1.0480000000000007</v>
      </c>
      <c r="B527" s="32">
        <f t="shared" si="16"/>
        <v>-5.2531101357946142</v>
      </c>
    </row>
    <row r="528" spans="1:2" x14ac:dyDescent="0.25">
      <c r="A528">
        <f t="shared" si="17"/>
        <v>1.0500000000000007</v>
      </c>
      <c r="B528" s="32">
        <f t="shared" si="16"/>
        <v>-5.3176670022040096</v>
      </c>
    </row>
    <row r="529" spans="1:2" x14ac:dyDescent="0.25">
      <c r="A529">
        <f t="shared" si="17"/>
        <v>1.0520000000000007</v>
      </c>
      <c r="B529" s="32">
        <f t="shared" si="16"/>
        <v>-5.2367301256421177</v>
      </c>
    </row>
    <row r="530" spans="1:2" x14ac:dyDescent="0.25">
      <c r="A530">
        <f t="shared" si="17"/>
        <v>1.0540000000000007</v>
      </c>
      <c r="B530" s="32">
        <f t="shared" si="16"/>
        <v>-5.0121166234874464</v>
      </c>
    </row>
    <row r="531" spans="1:2" x14ac:dyDescent="0.25">
      <c r="A531">
        <f t="shared" si="17"/>
        <v>1.0560000000000007</v>
      </c>
      <c r="B531" s="32">
        <f t="shared" si="16"/>
        <v>-4.6497166896746105</v>
      </c>
    </row>
    <row r="532" spans="1:2" x14ac:dyDescent="0.25">
      <c r="A532">
        <f t="shared" si="17"/>
        <v>1.0580000000000007</v>
      </c>
      <c r="B532" s="32">
        <f t="shared" si="16"/>
        <v>-4.159328050621224</v>
      </c>
    </row>
    <row r="533" spans="1:2" x14ac:dyDescent="0.25">
      <c r="A533">
        <f t="shared" si="17"/>
        <v>1.0600000000000007</v>
      </c>
      <c r="B533" s="32">
        <f t="shared" si="16"/>
        <v>-3.5543795322918093</v>
      </c>
    </row>
    <row r="534" spans="1:2" x14ac:dyDescent="0.25">
      <c r="A534">
        <f t="shared" si="17"/>
        <v>1.0620000000000007</v>
      </c>
      <c r="B534" s="32">
        <f t="shared" si="16"/>
        <v>-2.8515515781462391</v>
      </c>
    </row>
    <row r="535" spans="1:2" x14ac:dyDescent="0.25">
      <c r="A535">
        <f t="shared" si="17"/>
        <v>1.0640000000000007</v>
      </c>
      <c r="B535" s="32">
        <f t="shared" si="16"/>
        <v>-2.0703044823235732</v>
      </c>
    </row>
    <row r="536" spans="1:2" x14ac:dyDescent="0.25">
      <c r="A536">
        <f t="shared" si="17"/>
        <v>1.0660000000000007</v>
      </c>
      <c r="B536" s="32">
        <f t="shared" si="16"/>
        <v>-1.232327721536024</v>
      </c>
    </row>
    <row r="537" spans="1:2" x14ac:dyDescent="0.25">
      <c r="A537">
        <f t="shared" si="17"/>
        <v>1.0680000000000007</v>
      </c>
      <c r="B537" s="32">
        <f t="shared" si="16"/>
        <v>-0.36092600845657169</v>
      </c>
    </row>
    <row r="538" spans="1:2" x14ac:dyDescent="0.25">
      <c r="A538">
        <f t="shared" si="17"/>
        <v>1.0700000000000007</v>
      </c>
      <c r="B538" s="32">
        <f t="shared" si="16"/>
        <v>0.51964051467809036</v>
      </c>
    </row>
    <row r="539" spans="1:2" x14ac:dyDescent="0.25">
      <c r="A539">
        <f t="shared" si="17"/>
        <v>1.0720000000000007</v>
      </c>
      <c r="B539" s="32">
        <f t="shared" si="16"/>
        <v>1.3848432219238811</v>
      </c>
    </row>
    <row r="540" spans="1:2" x14ac:dyDescent="0.25">
      <c r="A540">
        <f t="shared" si="17"/>
        <v>1.0740000000000007</v>
      </c>
      <c r="B540" s="32">
        <f t="shared" si="16"/>
        <v>2.2105795982992471</v>
      </c>
    </row>
    <row r="541" spans="1:2" x14ac:dyDescent="0.25">
      <c r="A541">
        <f t="shared" si="17"/>
        <v>1.0760000000000007</v>
      </c>
      <c r="B541" s="32">
        <f t="shared" si="16"/>
        <v>2.9738557754409531</v>
      </c>
    </row>
    <row r="542" spans="1:2" x14ac:dyDescent="0.25">
      <c r="A542">
        <f t="shared" si="17"/>
        <v>1.0780000000000007</v>
      </c>
      <c r="B542" s="32">
        <f t="shared" si="16"/>
        <v>3.6534376425467157</v>
      </c>
    </row>
    <row r="543" spans="1:2" x14ac:dyDescent="0.25">
      <c r="A543">
        <f t="shared" si="17"/>
        <v>1.0800000000000007</v>
      </c>
      <c r="B543" s="32">
        <f t="shared" si="16"/>
        <v>4.2304520586258745</v>
      </c>
    </row>
    <row r="544" spans="1:2" x14ac:dyDescent="0.25">
      <c r="A544">
        <f t="shared" si="17"/>
        <v>1.0820000000000007</v>
      </c>
      <c r="B544" s="32">
        <f t="shared" si="16"/>
        <v>4.6889211080932762</v>
      </c>
    </row>
    <row r="545" spans="1:2" x14ac:dyDescent="0.25">
      <c r="A545">
        <f t="shared" si="17"/>
        <v>1.0840000000000007</v>
      </c>
      <c r="B545" s="32">
        <f t="shared" si="16"/>
        <v>5.0162142418545486</v>
      </c>
    </row>
    <row r="546" spans="1:2" x14ac:dyDescent="0.25">
      <c r="A546">
        <f t="shared" si="17"/>
        <v>1.0860000000000007</v>
      </c>
      <c r="B546" s="32">
        <f t="shared" si="16"/>
        <v>5.2034054763231214</v>
      </c>
    </row>
    <row r="547" spans="1:2" x14ac:dyDescent="0.25">
      <c r="A547">
        <f t="shared" si="17"/>
        <v>1.0880000000000007</v>
      </c>
      <c r="B547" s="32">
        <f t="shared" si="16"/>
        <v>5.2455255171392308</v>
      </c>
    </row>
    <row r="548" spans="1:2" x14ac:dyDescent="0.25">
      <c r="A548">
        <f t="shared" si="17"/>
        <v>1.0900000000000007</v>
      </c>
      <c r="B548" s="32">
        <f t="shared" si="16"/>
        <v>5.1417016562681503</v>
      </c>
    </row>
    <row r="549" spans="1:2" x14ac:dyDescent="0.25">
      <c r="A549">
        <f t="shared" si="17"/>
        <v>1.0920000000000007</v>
      </c>
      <c r="B549" s="32">
        <f t="shared" si="16"/>
        <v>4.8951814760066359</v>
      </c>
    </row>
    <row r="550" spans="1:2" x14ac:dyDescent="0.25">
      <c r="A550">
        <f t="shared" si="17"/>
        <v>1.0940000000000007</v>
      </c>
      <c r="B550" s="32">
        <f t="shared" si="16"/>
        <v>4.513239690837108</v>
      </c>
    </row>
    <row r="551" spans="1:2" x14ac:dyDescent="0.25">
      <c r="A551">
        <f t="shared" si="17"/>
        <v>1.0960000000000008</v>
      </c>
      <c r="B551" s="32">
        <f t="shared" si="16"/>
        <v>4.006970774454766</v>
      </c>
    </row>
    <row r="552" spans="1:2" x14ac:dyDescent="0.25">
      <c r="A552">
        <f t="shared" si="17"/>
        <v>1.0980000000000008</v>
      </c>
      <c r="B552" s="32">
        <f t="shared" si="16"/>
        <v>3.3909732605346772</v>
      </c>
    </row>
    <row r="553" spans="1:2" x14ac:dyDescent="0.25">
      <c r="A553">
        <f t="shared" si="17"/>
        <v>1.1000000000000008</v>
      </c>
      <c r="B553" s="32">
        <f t="shared" si="16"/>
        <v>2.6829346799123073</v>
      </c>
    </row>
    <row r="554" spans="1:2" x14ac:dyDescent="0.25">
      <c r="A554">
        <f t="shared" si="17"/>
        <v>1.1020000000000008</v>
      </c>
      <c r="B554" s="32">
        <f t="shared" si="16"/>
        <v>1.9031289165816525</v>
      </c>
    </row>
    <row r="555" spans="1:2" x14ac:dyDescent="0.25">
      <c r="A555">
        <f t="shared" si="17"/>
        <v>1.1040000000000008</v>
      </c>
      <c r="B555" s="32">
        <f t="shared" si="16"/>
        <v>1.0738402502401296</v>
      </c>
    </row>
    <row r="556" spans="1:2" x14ac:dyDescent="0.25">
      <c r="A556">
        <f t="shared" si="17"/>
        <v>1.1060000000000008</v>
      </c>
      <c r="B556" s="32">
        <f t="shared" si="16"/>
        <v>0.2187304334991956</v>
      </c>
    </row>
    <row r="557" spans="1:2" x14ac:dyDescent="0.25">
      <c r="A557">
        <f t="shared" si="17"/>
        <v>1.1080000000000008</v>
      </c>
      <c r="B557" s="32">
        <f t="shared" si="16"/>
        <v>-0.63783323171472484</v>
      </c>
    </row>
    <row r="558" spans="1:2" x14ac:dyDescent="0.25">
      <c r="A558">
        <f t="shared" si="17"/>
        <v>1.1100000000000008</v>
      </c>
      <c r="B558" s="32">
        <f t="shared" si="16"/>
        <v>-1.4714697474879297</v>
      </c>
    </row>
    <row r="559" spans="1:2" x14ac:dyDescent="0.25">
      <c r="A559">
        <f t="shared" si="17"/>
        <v>1.1120000000000008</v>
      </c>
      <c r="B559" s="32">
        <f t="shared" si="16"/>
        <v>-2.2584765666003506</v>
      </c>
    </row>
    <row r="560" spans="1:2" x14ac:dyDescent="0.25">
      <c r="A560">
        <f t="shared" si="17"/>
        <v>1.1140000000000008</v>
      </c>
      <c r="B560" s="32">
        <f t="shared" si="16"/>
        <v>-2.9765023881864141</v>
      </c>
    </row>
    <row r="561" spans="1:2" x14ac:dyDescent="0.25">
      <c r="A561">
        <f t="shared" si="17"/>
        <v>1.1160000000000008</v>
      </c>
      <c r="B561" s="32">
        <f t="shared" si="16"/>
        <v>-3.6051815075352378</v>
      </c>
    </row>
    <row r="562" spans="1:2" x14ac:dyDescent="0.25">
      <c r="A562">
        <f t="shared" si="17"/>
        <v>1.1180000000000008</v>
      </c>
      <c r="B562" s="32">
        <f t="shared" si="16"/>
        <v>-4.1267117166459659</v>
      </c>
    </row>
    <row r="563" spans="1:2" x14ac:dyDescent="0.25">
      <c r="A563">
        <f t="shared" si="17"/>
        <v>1.1200000000000008</v>
      </c>
      <c r="B563" s="32">
        <f t="shared" si="16"/>
        <v>-4.5263593545658738</v>
      </c>
    </row>
    <row r="564" spans="1:2" x14ac:dyDescent="0.25">
      <c r="A564">
        <f t="shared" si="17"/>
        <v>1.1220000000000008</v>
      </c>
      <c r="B564" s="32">
        <f t="shared" si="16"/>
        <v>-4.7928771744197798</v>
      </c>
    </row>
    <row r="565" spans="1:2" x14ac:dyDescent="0.25">
      <c r="A565">
        <f t="shared" si="17"/>
        <v>1.1240000000000008</v>
      </c>
      <c r="B565" s="32">
        <f t="shared" si="16"/>
        <v>-4.9188231687060284</v>
      </c>
    </row>
    <row r="566" spans="1:2" x14ac:dyDescent="0.25">
      <c r="A566">
        <f t="shared" si="17"/>
        <v>1.1260000000000008</v>
      </c>
      <c r="B566" s="32">
        <f t="shared" si="16"/>
        <v>-4.9007713056465541</v>
      </c>
    </row>
    <row r="567" spans="1:2" x14ac:dyDescent="0.25">
      <c r="A567">
        <f t="shared" si="17"/>
        <v>1.1280000000000008</v>
      </c>
      <c r="B567" s="32">
        <f t="shared" si="16"/>
        <v>-4.7394081973560374</v>
      </c>
    </row>
    <row r="568" spans="1:2" x14ac:dyDescent="0.25">
      <c r="A568">
        <f t="shared" si="17"/>
        <v>1.1300000000000008</v>
      </c>
      <c r="B568" s="32">
        <f t="shared" si="16"/>
        <v>-4.4395129582618642</v>
      </c>
    </row>
    <row r="569" spans="1:2" x14ac:dyDescent="0.25">
      <c r="A569">
        <f t="shared" si="17"/>
        <v>1.1320000000000008</v>
      </c>
      <c r="B569" s="32">
        <f t="shared" si="16"/>
        <v>-4.0098208276743037</v>
      </c>
    </row>
    <row r="570" spans="1:2" x14ac:dyDescent="0.25">
      <c r="A570">
        <f t="shared" si="17"/>
        <v>1.1340000000000008</v>
      </c>
      <c r="B570" s="32">
        <f t="shared" si="16"/>
        <v>-3.4627744295786775</v>
      </c>
    </row>
    <row r="571" spans="1:2" x14ac:dyDescent="0.25">
      <c r="A571">
        <f t="shared" si="17"/>
        <v>1.1360000000000008</v>
      </c>
      <c r="B571" s="32">
        <f t="shared" si="16"/>
        <v>-2.8141697319645318</v>
      </c>
    </row>
    <row r="572" spans="1:2" x14ac:dyDescent="0.25">
      <c r="A572">
        <f t="shared" si="17"/>
        <v>1.1380000000000008</v>
      </c>
      <c r="B572" s="32">
        <f t="shared" si="16"/>
        <v>-2.0827067568036814</v>
      </c>
    </row>
    <row r="573" spans="1:2" x14ac:dyDescent="0.25">
      <c r="A573">
        <f t="shared" si="17"/>
        <v>1.1400000000000008</v>
      </c>
      <c r="B573" s="32">
        <f t="shared" si="16"/>
        <v>-1.2894577953187314</v>
      </c>
    </row>
    <row r="574" spans="1:2" x14ac:dyDescent="0.25">
      <c r="A574">
        <f t="shared" si="17"/>
        <v>1.1420000000000008</v>
      </c>
      <c r="B574" s="32">
        <f t="shared" si="16"/>
        <v>-0.45726822471153056</v>
      </c>
    </row>
    <row r="575" spans="1:2" x14ac:dyDescent="0.25">
      <c r="A575">
        <f t="shared" si="17"/>
        <v>1.1440000000000008</v>
      </c>
      <c r="B575" s="32">
        <f t="shared" si="16"/>
        <v>0.38989306440283256</v>
      </c>
    </row>
    <row r="576" spans="1:2" x14ac:dyDescent="0.25">
      <c r="A576">
        <f t="shared" si="17"/>
        <v>1.1460000000000008</v>
      </c>
      <c r="B576" s="32">
        <f t="shared" si="16"/>
        <v>1.227615190288998</v>
      </c>
    </row>
    <row r="577" spans="1:2" x14ac:dyDescent="0.25">
      <c r="A577">
        <f t="shared" si="17"/>
        <v>1.1480000000000008</v>
      </c>
      <c r="B577" s="32">
        <f t="shared" si="16"/>
        <v>2.0317394055619338</v>
      </c>
    </row>
    <row r="578" spans="1:2" x14ac:dyDescent="0.25">
      <c r="A578">
        <f t="shared" si="17"/>
        <v>1.1500000000000008</v>
      </c>
      <c r="B578" s="32">
        <f t="shared" si="16"/>
        <v>2.7790461213945403</v>
      </c>
    </row>
    <row r="579" spans="1:2" x14ac:dyDescent="0.25">
      <c r="A579">
        <f t="shared" si="17"/>
        <v>1.1520000000000008</v>
      </c>
      <c r="B579" s="32">
        <f t="shared" si="16"/>
        <v>3.4479153273711027</v>
      </c>
    </row>
    <row r="580" spans="1:2" x14ac:dyDescent="0.25">
      <c r="A580">
        <f t="shared" si="17"/>
        <v>1.1540000000000008</v>
      </c>
      <c r="B580" s="32">
        <f t="shared" ref="B580:B643" si="18">0.323585334495683*COS(1.25226098841235 - 29.4037227718803*$A580) - 0.278838680632391*COS(1.04090145025875*$A580) - 5.11813177262468*COS(0.597704127771972 - 84.3329956365773*$A580)</f>
        <v>4.0189416587797719</v>
      </c>
    </row>
    <row r="581" spans="1:2" x14ac:dyDescent="0.25">
      <c r="A581">
        <f t="shared" ref="A581:A644" si="19">+A580+$A$1</f>
        <v>1.1560000000000008</v>
      </c>
      <c r="B581" s="32">
        <f t="shared" si="18"/>
        <v>4.4754866501235249</v>
      </c>
    </row>
    <row r="582" spans="1:2" x14ac:dyDescent="0.25">
      <c r="A582">
        <f t="shared" si="19"/>
        <v>1.1580000000000008</v>
      </c>
      <c r="B582" s="32">
        <f t="shared" si="18"/>
        <v>4.8041524962013282</v>
      </c>
    </row>
    <row r="583" spans="1:2" x14ac:dyDescent="0.25">
      <c r="A583">
        <f t="shared" si="19"/>
        <v>1.1600000000000008</v>
      </c>
      <c r="B583" s="32">
        <f t="shared" si="18"/>
        <v>4.995163869671619</v>
      </c>
    </row>
    <row r="584" spans="1:2" x14ac:dyDescent="0.25">
      <c r="A584">
        <f t="shared" si="19"/>
        <v>1.1620000000000008</v>
      </c>
      <c r="B584" s="32">
        <f t="shared" si="18"/>
        <v>5.0426469533451197</v>
      </c>
    </row>
    <row r="585" spans="1:2" x14ac:dyDescent="0.25">
      <c r="A585">
        <f t="shared" si="19"/>
        <v>1.1640000000000008</v>
      </c>
      <c r="B585" s="32">
        <f t="shared" si="18"/>
        <v>4.9447977625028718</v>
      </c>
    </row>
    <row r="586" spans="1:2" x14ac:dyDescent="0.25">
      <c r="A586">
        <f t="shared" si="19"/>
        <v>1.1660000000000008</v>
      </c>
      <c r="B586" s="32">
        <f t="shared" si="18"/>
        <v>4.7039349745153309</v>
      </c>
    </row>
    <row r="587" spans="1:2" x14ac:dyDescent="0.25">
      <c r="A587">
        <f t="shared" si="19"/>
        <v>1.1680000000000008</v>
      </c>
      <c r="B587" s="32">
        <f t="shared" si="18"/>
        <v>4.3264357607745447</v>
      </c>
    </row>
    <row r="588" spans="1:2" x14ac:dyDescent="0.25">
      <c r="A588">
        <f t="shared" si="19"/>
        <v>1.1700000000000008</v>
      </c>
      <c r="B588" s="32">
        <f t="shared" si="18"/>
        <v>3.8225564364197875</v>
      </c>
    </row>
    <row r="589" spans="1:2" x14ac:dyDescent="0.25">
      <c r="A589">
        <f t="shared" si="19"/>
        <v>1.1720000000000008</v>
      </c>
      <c r="B589" s="32">
        <f t="shared" si="18"/>
        <v>3.2061430123001999</v>
      </c>
    </row>
    <row r="590" spans="1:2" x14ac:dyDescent="0.25">
      <c r="A590">
        <f t="shared" si="19"/>
        <v>1.1740000000000008</v>
      </c>
      <c r="B590" s="32">
        <f t="shared" si="18"/>
        <v>2.4942398583009622</v>
      </c>
    </row>
    <row r="591" spans="1:2" x14ac:dyDescent="0.25">
      <c r="A591">
        <f t="shared" si="19"/>
        <v>1.1760000000000008</v>
      </c>
      <c r="B591" s="32">
        <f t="shared" si="18"/>
        <v>1.7066075788777439</v>
      </c>
    </row>
    <row r="592" spans="1:2" x14ac:dyDescent="0.25">
      <c r="A592">
        <f t="shared" si="19"/>
        <v>1.1780000000000008</v>
      </c>
      <c r="B592" s="32">
        <f t="shared" si="18"/>
        <v>0.86516377833364855</v>
      </c>
    </row>
    <row r="593" spans="1:2" x14ac:dyDescent="0.25">
      <c r="A593">
        <f t="shared" si="19"/>
        <v>1.1800000000000008</v>
      </c>
      <c r="B593" s="32">
        <f t="shared" si="18"/>
        <v>-6.6374181013073852E-3</v>
      </c>
    </row>
    <row r="594" spans="1:2" x14ac:dyDescent="0.25">
      <c r="A594">
        <f t="shared" si="19"/>
        <v>1.1820000000000008</v>
      </c>
      <c r="B594" s="32">
        <f t="shared" si="18"/>
        <v>-0.8844694830722335</v>
      </c>
    </row>
    <row r="595" spans="1:2" x14ac:dyDescent="0.25">
      <c r="A595">
        <f t="shared" si="19"/>
        <v>1.1840000000000008</v>
      </c>
      <c r="B595" s="32">
        <f t="shared" si="18"/>
        <v>-1.7438224028219123</v>
      </c>
    </row>
    <row r="596" spans="1:2" x14ac:dyDescent="0.25">
      <c r="A596">
        <f t="shared" si="19"/>
        <v>1.1860000000000008</v>
      </c>
      <c r="B596" s="32">
        <f t="shared" si="18"/>
        <v>-2.5606968429836829</v>
      </c>
    </row>
    <row r="597" spans="1:2" x14ac:dyDescent="0.25">
      <c r="A597">
        <f t="shared" si="19"/>
        <v>1.1880000000000008</v>
      </c>
      <c r="B597" s="32">
        <f t="shared" si="18"/>
        <v>-3.3122838684476794</v>
      </c>
    </row>
    <row r="598" spans="1:2" x14ac:dyDescent="0.25">
      <c r="A598">
        <f t="shared" si="19"/>
        <v>1.1900000000000008</v>
      </c>
      <c r="B598" s="32">
        <f t="shared" si="18"/>
        <v>-3.9776109311247021</v>
      </c>
    </row>
    <row r="599" spans="1:2" x14ac:dyDescent="0.25">
      <c r="A599">
        <f t="shared" si="19"/>
        <v>1.1920000000000008</v>
      </c>
      <c r="B599" s="32">
        <f t="shared" si="18"/>
        <v>-4.5381357965983851</v>
      </c>
    </row>
    <row r="600" spans="1:2" x14ac:dyDescent="0.25">
      <c r="A600">
        <f t="shared" si="19"/>
        <v>1.1940000000000008</v>
      </c>
      <c r="B600" s="32">
        <f t="shared" si="18"/>
        <v>-4.9782715579949111</v>
      </c>
    </row>
    <row r="601" spans="1:2" x14ac:dyDescent="0.25">
      <c r="A601">
        <f t="shared" si="19"/>
        <v>1.1960000000000008</v>
      </c>
      <c r="B601" s="32">
        <f t="shared" si="18"/>
        <v>-5.2858278409898283</v>
      </c>
    </row>
    <row r="602" spans="1:2" x14ac:dyDescent="0.25">
      <c r="A602">
        <f t="shared" si="19"/>
        <v>1.1980000000000008</v>
      </c>
      <c r="B602" s="32">
        <f t="shared" si="18"/>
        <v>-5.452355682210813</v>
      </c>
    </row>
    <row r="603" spans="1:2" x14ac:dyDescent="0.25">
      <c r="A603">
        <f t="shared" si="19"/>
        <v>1.2000000000000008</v>
      </c>
      <c r="B603" s="32">
        <f t="shared" si="18"/>
        <v>-5.4733862968821558</v>
      </c>
    </row>
    <row r="604" spans="1:2" x14ac:dyDescent="0.25">
      <c r="A604">
        <f t="shared" si="19"/>
        <v>1.2020000000000008</v>
      </c>
      <c r="B604" s="32">
        <f t="shared" si="18"/>
        <v>-5.348556962815433</v>
      </c>
    </row>
    <row r="605" spans="1:2" x14ac:dyDescent="0.25">
      <c r="A605">
        <f t="shared" si="19"/>
        <v>1.2040000000000008</v>
      </c>
      <c r="B605" s="32">
        <f t="shared" si="18"/>
        <v>-5.081620451316553</v>
      </c>
    </row>
    <row r="606" spans="1:2" x14ac:dyDescent="0.25">
      <c r="A606">
        <f t="shared" si="19"/>
        <v>1.2060000000000008</v>
      </c>
      <c r="B606" s="32">
        <f t="shared" si="18"/>
        <v>-4.6803377403376611</v>
      </c>
    </row>
    <row r="607" spans="1:2" x14ac:dyDescent="0.25">
      <c r="A607">
        <f t="shared" si="19"/>
        <v>1.2080000000000009</v>
      </c>
      <c r="B607" s="32">
        <f t="shared" si="18"/>
        <v>-4.1562570574617199</v>
      </c>
    </row>
    <row r="608" spans="1:2" x14ac:dyDescent="0.25">
      <c r="A608">
        <f t="shared" si="19"/>
        <v>1.2100000000000009</v>
      </c>
      <c r="B608" s="32">
        <f t="shared" si="18"/>
        <v>-3.524385526064409</v>
      </c>
    </row>
    <row r="609" spans="1:2" x14ac:dyDescent="0.25">
      <c r="A609">
        <f t="shared" si="19"/>
        <v>1.2120000000000009</v>
      </c>
      <c r="B609" s="32">
        <f t="shared" si="18"/>
        <v>-2.8027627357048468</v>
      </c>
    </row>
    <row r="610" spans="1:2" x14ac:dyDescent="0.25">
      <c r="A610">
        <f t="shared" si="19"/>
        <v>1.2140000000000009</v>
      </c>
      <c r="B610" s="32">
        <f t="shared" si="18"/>
        <v>-2.011948340954496</v>
      </c>
    </row>
    <row r="611" spans="1:2" x14ac:dyDescent="0.25">
      <c r="A611">
        <f t="shared" si="19"/>
        <v>1.2160000000000009</v>
      </c>
      <c r="B611" s="32">
        <f t="shared" si="18"/>
        <v>-1.1744382325009211</v>
      </c>
    </row>
    <row r="612" spans="1:2" x14ac:dyDescent="0.25">
      <c r="A612">
        <f t="shared" si="19"/>
        <v>1.2180000000000009</v>
      </c>
      <c r="B612" s="32">
        <f t="shared" si="18"/>
        <v>-0.31402585121598936</v>
      </c>
    </row>
    <row r="613" spans="1:2" x14ac:dyDescent="0.25">
      <c r="A613">
        <f t="shared" si="19"/>
        <v>1.2200000000000009</v>
      </c>
      <c r="B613" s="32">
        <f t="shared" si="18"/>
        <v>0.54487322755975753</v>
      </c>
    </row>
    <row r="614" spans="1:2" x14ac:dyDescent="0.25">
      <c r="A614">
        <f t="shared" si="19"/>
        <v>1.2220000000000009</v>
      </c>
      <c r="B614" s="32">
        <f t="shared" si="18"/>
        <v>1.377914270176344</v>
      </c>
    </row>
    <row r="615" spans="1:2" x14ac:dyDescent="0.25">
      <c r="A615">
        <f t="shared" si="19"/>
        <v>1.2240000000000009</v>
      </c>
      <c r="B615" s="32">
        <f t="shared" si="18"/>
        <v>2.1615142538876859</v>
      </c>
    </row>
    <row r="616" spans="1:2" x14ac:dyDescent="0.25">
      <c r="A616">
        <f t="shared" si="19"/>
        <v>1.2260000000000009</v>
      </c>
      <c r="B616" s="32">
        <f t="shared" si="18"/>
        <v>2.8735210218596645</v>
      </c>
    </row>
    <row r="617" spans="1:2" x14ac:dyDescent="0.25">
      <c r="A617">
        <f t="shared" si="19"/>
        <v>1.2280000000000009</v>
      </c>
      <c r="B617" s="32">
        <f t="shared" si="18"/>
        <v>3.4938417333155347</v>
      </c>
    </row>
    <row r="618" spans="1:2" x14ac:dyDescent="0.25">
      <c r="A618">
        <f t="shared" si="19"/>
        <v>1.2300000000000009</v>
      </c>
      <c r="B618" s="32">
        <f t="shared" si="18"/>
        <v>4.005012773727838</v>
      </c>
    </row>
    <row r="619" spans="1:2" x14ac:dyDescent="0.25">
      <c r="A619">
        <f t="shared" si="19"/>
        <v>1.2320000000000009</v>
      </c>
      <c r="B619" s="32">
        <f t="shared" si="18"/>
        <v>4.3926949517085676</v>
      </c>
    </row>
    <row r="620" spans="1:2" x14ac:dyDescent="0.25">
      <c r="A620">
        <f t="shared" si="19"/>
        <v>1.2340000000000009</v>
      </c>
      <c r="B620" s="32">
        <f t="shared" si="18"/>
        <v>4.6460799299979669</v>
      </c>
    </row>
    <row r="621" spans="1:2" x14ac:dyDescent="0.25">
      <c r="A621">
        <f t="shared" si="19"/>
        <v>1.2360000000000009</v>
      </c>
      <c r="B621" s="32">
        <f t="shared" si="18"/>
        <v>4.7581963575232473</v>
      </c>
    </row>
    <row r="622" spans="1:2" x14ac:dyDescent="0.25">
      <c r="A622">
        <f t="shared" si="19"/>
        <v>1.2380000000000009</v>
      </c>
      <c r="B622" s="32">
        <f t="shared" si="18"/>
        <v>4.726107016377</v>
      </c>
    </row>
    <row r="623" spans="1:2" x14ac:dyDescent="0.25">
      <c r="A623">
        <f t="shared" si="19"/>
        <v>1.2400000000000009</v>
      </c>
      <c r="B623" s="32">
        <f t="shared" si="18"/>
        <v>4.5509913909589281</v>
      </c>
    </row>
    <row r="624" spans="1:2" x14ac:dyDescent="0.25">
      <c r="A624">
        <f t="shared" si="19"/>
        <v>1.2420000000000009</v>
      </c>
      <c r="B624" s="32">
        <f t="shared" si="18"/>
        <v>4.2381113186358856</v>
      </c>
    </row>
    <row r="625" spans="1:2" x14ac:dyDescent="0.25">
      <c r="A625">
        <f t="shared" si="19"/>
        <v>1.2440000000000009</v>
      </c>
      <c r="B625" s="32">
        <f t="shared" si="18"/>
        <v>3.7966606998067109</v>
      </c>
    </row>
    <row r="626" spans="1:2" x14ac:dyDescent="0.25">
      <c r="A626">
        <f t="shared" si="19"/>
        <v>1.2460000000000009</v>
      </c>
      <c r="B626" s="32">
        <f t="shared" si="18"/>
        <v>3.2395035360263997</v>
      </c>
    </row>
    <row r="627" spans="1:2" x14ac:dyDescent="0.25">
      <c r="A627">
        <f t="shared" si="19"/>
        <v>1.2480000000000009</v>
      </c>
      <c r="B627" s="32">
        <f t="shared" si="18"/>
        <v>2.5828077344522482</v>
      </c>
    </row>
    <row r="628" spans="1:2" x14ac:dyDescent="0.25">
      <c r="A628">
        <f t="shared" si="19"/>
        <v>1.2500000000000009</v>
      </c>
      <c r="B628" s="32">
        <f t="shared" si="18"/>
        <v>1.8455850753677434</v>
      </c>
    </row>
    <row r="629" spans="1:2" x14ac:dyDescent="0.25">
      <c r="A629">
        <f t="shared" si="19"/>
        <v>1.2520000000000009</v>
      </c>
      <c r="B629" s="32">
        <f t="shared" si="18"/>
        <v>1.049150402948412</v>
      </c>
    </row>
    <row r="630" spans="1:2" x14ac:dyDescent="0.25">
      <c r="A630">
        <f t="shared" si="19"/>
        <v>1.2540000000000009</v>
      </c>
      <c r="B630" s="32">
        <f t="shared" si="18"/>
        <v>0.21651539217332075</v>
      </c>
    </row>
    <row r="631" spans="1:2" x14ac:dyDescent="0.25">
      <c r="A631">
        <f t="shared" si="19"/>
        <v>1.2560000000000009</v>
      </c>
      <c r="B631" s="32">
        <f t="shared" si="18"/>
        <v>-0.62826589822085044</v>
      </c>
    </row>
    <row r="632" spans="1:2" x14ac:dyDescent="0.25">
      <c r="A632">
        <f t="shared" si="19"/>
        <v>1.2580000000000009</v>
      </c>
      <c r="B632" s="32">
        <f t="shared" si="18"/>
        <v>-1.4607811082966577</v>
      </c>
    </row>
    <row r="633" spans="1:2" x14ac:dyDescent="0.25">
      <c r="A633">
        <f t="shared" si="19"/>
        <v>1.2600000000000009</v>
      </c>
      <c r="B633" s="32">
        <f t="shared" si="18"/>
        <v>-2.2569538752799532</v>
      </c>
    </row>
    <row r="634" spans="1:2" x14ac:dyDescent="0.25">
      <c r="A634">
        <f t="shared" si="19"/>
        <v>1.2620000000000009</v>
      </c>
      <c r="B634" s="32">
        <f t="shared" si="18"/>
        <v>-2.9937286379299533</v>
      </c>
    </row>
    <row r="635" spans="1:2" x14ac:dyDescent="0.25">
      <c r="A635">
        <f t="shared" si="19"/>
        <v>1.2640000000000009</v>
      </c>
      <c r="B635" s="32">
        <f t="shared" si="18"/>
        <v>-3.6497265064169957</v>
      </c>
    </row>
    <row r="636" spans="1:2" x14ac:dyDescent="0.25">
      <c r="A636">
        <f t="shared" si="19"/>
        <v>1.2660000000000009</v>
      </c>
      <c r="B636" s="32">
        <f t="shared" si="18"/>
        <v>-4.2058535782696804</v>
      </c>
    </row>
    <row r="637" spans="1:2" x14ac:dyDescent="0.25">
      <c r="A637">
        <f t="shared" si="19"/>
        <v>1.2680000000000009</v>
      </c>
      <c r="B637" s="32">
        <f t="shared" si="18"/>
        <v>-4.645844430462633</v>
      </c>
    </row>
    <row r="638" spans="1:2" x14ac:dyDescent="0.25">
      <c r="A638">
        <f t="shared" si="19"/>
        <v>1.2700000000000009</v>
      </c>
      <c r="B638" s="32">
        <f t="shared" si="18"/>
        <v>-4.9567253573834416</v>
      </c>
    </row>
    <row r="639" spans="1:2" x14ac:dyDescent="0.25">
      <c r="A639">
        <f t="shared" si="19"/>
        <v>1.2720000000000009</v>
      </c>
      <c r="B639" s="32">
        <f t="shared" si="18"/>
        <v>-5.1291842020244172</v>
      </c>
    </row>
    <row r="640" spans="1:2" x14ac:dyDescent="0.25">
      <c r="A640">
        <f t="shared" si="19"/>
        <v>1.2740000000000009</v>
      </c>
      <c r="B640" s="32">
        <f t="shared" si="18"/>
        <v>-5.1578362786573084</v>
      </c>
    </row>
    <row r="641" spans="1:2" x14ac:dyDescent="0.25">
      <c r="A641">
        <f t="shared" si="19"/>
        <v>1.2760000000000009</v>
      </c>
      <c r="B641" s="32">
        <f t="shared" si="18"/>
        <v>-5.0413788342263848</v>
      </c>
    </row>
    <row r="642" spans="1:2" x14ac:dyDescent="0.25">
      <c r="A642">
        <f t="shared" si="19"/>
        <v>1.2780000000000009</v>
      </c>
      <c r="B642" s="32">
        <f t="shared" si="18"/>
        <v>-4.7826296590481503</v>
      </c>
    </row>
    <row r="643" spans="1:2" x14ac:dyDescent="0.25">
      <c r="A643">
        <f t="shared" si="19"/>
        <v>1.2800000000000009</v>
      </c>
      <c r="B643" s="32">
        <f t="shared" si="18"/>
        <v>-4.3884487453527665</v>
      </c>
    </row>
    <row r="644" spans="1:2" x14ac:dyDescent="0.25">
      <c r="A644">
        <f t="shared" si="19"/>
        <v>1.2820000000000009</v>
      </c>
      <c r="B644" s="32">
        <f t="shared" ref="B644:B707" si="20">0.323585334495683*COS(1.25226098841235 - 29.4037227718803*$A644) - 0.278838680632391*COS(1.04090145025875*$A644) - 5.11813177262468*COS(0.597704127771972 - 84.3329956365773*$A644)</f>
        <v>-3.8695452114287638</v>
      </c>
    </row>
    <row r="645" spans="1:2" x14ac:dyDescent="0.25">
      <c r="A645">
        <f t="shared" ref="A645:A708" si="21">+A644+$A$1</f>
        <v>1.2840000000000009</v>
      </c>
      <c r="B645" s="32">
        <f t="shared" si="20"/>
        <v>-3.2401749654375553</v>
      </c>
    </row>
    <row r="646" spans="1:2" x14ac:dyDescent="0.25">
      <c r="A646">
        <f t="shared" si="21"/>
        <v>1.2860000000000009</v>
      </c>
      <c r="B646" s="32">
        <f t="shared" si="20"/>
        <v>-2.5177376839287957</v>
      </c>
    </row>
    <row r="647" spans="1:2" x14ac:dyDescent="0.25">
      <c r="A647">
        <f t="shared" si="21"/>
        <v>1.2880000000000009</v>
      </c>
      <c r="B647" s="32">
        <f t="shared" si="20"/>
        <v>-1.7222845377065477</v>
      </c>
    </row>
    <row r="648" spans="1:2" x14ac:dyDescent="0.25">
      <c r="A648">
        <f t="shared" si="21"/>
        <v>1.2900000000000009</v>
      </c>
      <c r="B648" s="32">
        <f t="shared" si="20"/>
        <v>-0.87595063086278246</v>
      </c>
    </row>
    <row r="649" spans="1:2" x14ac:dyDescent="0.25">
      <c r="A649">
        <f t="shared" si="21"/>
        <v>1.2920000000000009</v>
      </c>
      <c r="B649" s="32">
        <f t="shared" si="20"/>
        <v>-2.3282556210923455E-3</v>
      </c>
    </row>
    <row r="650" spans="1:2" x14ac:dyDescent="0.25">
      <c r="A650">
        <f t="shared" si="21"/>
        <v>1.2940000000000009</v>
      </c>
      <c r="B650" s="32">
        <f t="shared" si="20"/>
        <v>0.87420125452926079</v>
      </c>
    </row>
    <row r="651" spans="1:2" x14ac:dyDescent="0.25">
      <c r="A651">
        <f t="shared" si="21"/>
        <v>1.2960000000000009</v>
      </c>
      <c r="B651" s="32">
        <f t="shared" si="20"/>
        <v>1.7291581157585503</v>
      </c>
    </row>
    <row r="652" spans="1:2" x14ac:dyDescent="0.25">
      <c r="A652">
        <f t="shared" si="21"/>
        <v>1.2980000000000009</v>
      </c>
      <c r="B652" s="32">
        <f t="shared" si="20"/>
        <v>2.5386575340726192</v>
      </c>
    </row>
    <row r="653" spans="1:2" x14ac:dyDescent="0.25">
      <c r="A653">
        <f t="shared" si="21"/>
        <v>1.3000000000000009</v>
      </c>
      <c r="B653" s="32">
        <f t="shared" si="20"/>
        <v>3.2800863188784279</v>
      </c>
    </row>
    <row r="654" spans="1:2" x14ac:dyDescent="0.25">
      <c r="A654">
        <f t="shared" si="21"/>
        <v>1.3020000000000009</v>
      </c>
      <c r="B654" s="32">
        <f t="shared" si="20"/>
        <v>3.9327434714229272</v>
      </c>
    </row>
    <row r="655" spans="1:2" x14ac:dyDescent="0.25">
      <c r="A655">
        <f t="shared" si="21"/>
        <v>1.3040000000000009</v>
      </c>
      <c r="B655" s="32">
        <f t="shared" si="20"/>
        <v>4.4784265717932419</v>
      </c>
    </row>
    <row r="656" spans="1:2" x14ac:dyDescent="0.25">
      <c r="A656">
        <f t="shared" si="21"/>
        <v>1.3060000000000009</v>
      </c>
      <c r="B656" s="32">
        <f t="shared" si="20"/>
        <v>4.9019473262104905</v>
      </c>
    </row>
    <row r="657" spans="1:2" x14ac:dyDescent="0.25">
      <c r="A657">
        <f t="shared" si="21"/>
        <v>1.3080000000000009</v>
      </c>
      <c r="B657" s="32">
        <f t="shared" si="20"/>
        <v>5.1915616465922998</v>
      </c>
    </row>
    <row r="658" spans="1:2" x14ac:dyDescent="0.25">
      <c r="A658">
        <f t="shared" si="21"/>
        <v>1.3100000000000009</v>
      </c>
      <c r="B658" s="32">
        <f t="shared" si="20"/>
        <v>5.3393020597421073</v>
      </c>
    </row>
    <row r="659" spans="1:2" x14ac:dyDescent="0.25">
      <c r="A659">
        <f t="shared" si="21"/>
        <v>1.3120000000000009</v>
      </c>
      <c r="B659" s="32">
        <f t="shared" si="20"/>
        <v>5.3412030152184045</v>
      </c>
    </row>
    <row r="660" spans="1:2" x14ac:dyDescent="0.25">
      <c r="A660">
        <f t="shared" si="21"/>
        <v>1.3140000000000009</v>
      </c>
      <c r="B660" s="32">
        <f t="shared" si="20"/>
        <v>5.1974127002769244</v>
      </c>
    </row>
    <row r="661" spans="1:2" x14ac:dyDescent="0.25">
      <c r="A661">
        <f t="shared" si="21"/>
        <v>1.3160000000000009</v>
      </c>
      <c r="B661" s="32">
        <f t="shared" si="20"/>
        <v>4.9121881910101486</v>
      </c>
    </row>
    <row r="662" spans="1:2" x14ac:dyDescent="0.25">
      <c r="A662">
        <f t="shared" si="21"/>
        <v>1.3180000000000009</v>
      </c>
      <c r="B662" s="32">
        <f t="shared" si="20"/>
        <v>4.493774079522459</v>
      </c>
    </row>
    <row r="663" spans="1:2" x14ac:dyDescent="0.25">
      <c r="A663">
        <f t="shared" si="21"/>
        <v>1.320000000000001</v>
      </c>
      <c r="B663" s="32">
        <f t="shared" si="20"/>
        <v>3.9541680237164609</v>
      </c>
    </row>
    <row r="664" spans="1:2" x14ac:dyDescent="0.25">
      <c r="A664">
        <f t="shared" si="21"/>
        <v>1.322000000000001</v>
      </c>
      <c r="B664" s="32">
        <f t="shared" si="20"/>
        <v>3.3087798751803388</v>
      </c>
    </row>
    <row r="665" spans="1:2" x14ac:dyDescent="0.25">
      <c r="A665">
        <f t="shared" si="21"/>
        <v>1.324000000000001</v>
      </c>
      <c r="B665" s="32">
        <f t="shared" si="20"/>
        <v>2.5759940606872003</v>
      </c>
    </row>
    <row r="666" spans="1:2" x14ac:dyDescent="0.25">
      <c r="A666">
        <f t="shared" si="21"/>
        <v>1.326000000000001</v>
      </c>
      <c r="B666" s="32">
        <f t="shared" si="20"/>
        <v>1.776647638232649</v>
      </c>
    </row>
    <row r="667" spans="1:2" x14ac:dyDescent="0.25">
      <c r="A667">
        <f t="shared" si="21"/>
        <v>1.328000000000001</v>
      </c>
      <c r="B667" s="32">
        <f t="shared" si="20"/>
        <v>0.9334388414356849</v>
      </c>
    </row>
    <row r="668" spans="1:2" x14ac:dyDescent="0.25">
      <c r="A668">
        <f t="shared" si="21"/>
        <v>1.330000000000001</v>
      </c>
      <c r="B668" s="32">
        <f t="shared" si="20"/>
        <v>7.0282898592949256E-2</v>
      </c>
    </row>
    <row r="669" spans="1:2" x14ac:dyDescent="0.25">
      <c r="A669">
        <f t="shared" si="21"/>
        <v>1.332000000000001</v>
      </c>
      <c r="B669" s="32">
        <f t="shared" si="20"/>
        <v>-0.788366591265526</v>
      </c>
    </row>
    <row r="670" spans="1:2" x14ac:dyDescent="0.25">
      <c r="A670">
        <f t="shared" si="21"/>
        <v>1.334000000000001</v>
      </c>
      <c r="B670" s="32">
        <f t="shared" si="20"/>
        <v>-1.6182114657852915</v>
      </c>
    </row>
    <row r="671" spans="1:2" x14ac:dyDescent="0.25">
      <c r="A671">
        <f t="shared" si="21"/>
        <v>1.336000000000001</v>
      </c>
      <c r="B671" s="32">
        <f t="shared" si="20"/>
        <v>-2.395798300037129</v>
      </c>
    </row>
    <row r="672" spans="1:2" x14ac:dyDescent="0.25">
      <c r="A672">
        <f t="shared" si="21"/>
        <v>1.338000000000001</v>
      </c>
      <c r="B672" s="32">
        <f t="shared" si="20"/>
        <v>-3.0991836387172826</v>
      </c>
    </row>
    <row r="673" spans="1:2" x14ac:dyDescent="0.25">
      <c r="A673">
        <f t="shared" si="21"/>
        <v>1.340000000000001</v>
      </c>
      <c r="B673" s="32">
        <f t="shared" si="20"/>
        <v>-3.7085562813176054</v>
      </c>
    </row>
    <row r="674" spans="1:2" x14ac:dyDescent="0.25">
      <c r="A674">
        <f t="shared" si="21"/>
        <v>1.342000000000001</v>
      </c>
      <c r="B674" s="32">
        <f t="shared" si="20"/>
        <v>-4.2067989609809873</v>
      </c>
    </row>
    <row r="675" spans="1:2" x14ac:dyDescent="0.25">
      <c r="A675">
        <f t="shared" si="21"/>
        <v>1.344000000000001</v>
      </c>
      <c r="B675" s="32">
        <f t="shared" si="20"/>
        <v>-4.5799734781282027</v>
      </c>
    </row>
    <row r="676" spans="1:2" x14ac:dyDescent="0.25">
      <c r="A676">
        <f t="shared" si="21"/>
        <v>1.346000000000001</v>
      </c>
      <c r="B676" s="32">
        <f t="shared" si="20"/>
        <v>-4.8177155226698725</v>
      </c>
    </row>
    <row r="677" spans="1:2" x14ac:dyDescent="0.25">
      <c r="A677">
        <f t="shared" si="21"/>
        <v>1.348000000000001</v>
      </c>
      <c r="B677" s="32">
        <f t="shared" si="20"/>
        <v>-4.9135279820300495</v>
      </c>
    </row>
    <row r="678" spans="1:2" x14ac:dyDescent="0.25">
      <c r="A678">
        <f t="shared" si="21"/>
        <v>1.350000000000001</v>
      </c>
      <c r="B678" s="32">
        <f t="shared" si="20"/>
        <v>-4.8649644135579351</v>
      </c>
    </row>
    <row r="679" spans="1:2" x14ac:dyDescent="0.25">
      <c r="A679">
        <f t="shared" si="21"/>
        <v>1.352000000000001</v>
      </c>
      <c r="B679" s="32">
        <f t="shared" si="20"/>
        <v>-4.6736974774110767</v>
      </c>
    </row>
    <row r="680" spans="1:2" x14ac:dyDescent="0.25">
      <c r="A680">
        <f t="shared" si="21"/>
        <v>1.354000000000001</v>
      </c>
      <c r="B680" s="32">
        <f t="shared" si="20"/>
        <v>-4.3454703911824826</v>
      </c>
    </row>
    <row r="681" spans="1:2" x14ac:dyDescent="0.25">
      <c r="A681">
        <f t="shared" si="21"/>
        <v>1.356000000000001</v>
      </c>
      <c r="B681" s="32">
        <f t="shared" si="20"/>
        <v>-3.889932787742973</v>
      </c>
    </row>
    <row r="682" spans="1:2" x14ac:dyDescent="0.25">
      <c r="A682">
        <f t="shared" si="21"/>
        <v>1.358000000000001</v>
      </c>
      <c r="B682" s="32">
        <f t="shared" si="20"/>
        <v>-3.320365638749188</v>
      </c>
    </row>
    <row r="683" spans="1:2" x14ac:dyDescent="0.25">
      <c r="A683">
        <f t="shared" si="21"/>
        <v>1.360000000000001</v>
      </c>
      <c r="B683" s="32">
        <f t="shared" si="20"/>
        <v>-2.653303054908402</v>
      </c>
    </row>
    <row r="684" spans="1:2" x14ac:dyDescent="0.25">
      <c r="A684">
        <f t="shared" si="21"/>
        <v>1.362000000000001</v>
      </c>
      <c r="B684" s="32">
        <f t="shared" si="20"/>
        <v>-1.9080617010336511</v>
      </c>
    </row>
    <row r="685" spans="1:2" x14ac:dyDescent="0.25">
      <c r="A685">
        <f t="shared" si="21"/>
        <v>1.364000000000001</v>
      </c>
      <c r="B685" s="32">
        <f t="shared" si="20"/>
        <v>-1.1061911860925024</v>
      </c>
    </row>
    <row r="686" spans="1:2" x14ac:dyDescent="0.25">
      <c r="A686">
        <f t="shared" si="21"/>
        <v>1.366000000000001</v>
      </c>
      <c r="B686" s="32">
        <f t="shared" si="20"/>
        <v>-0.2708610314365591</v>
      </c>
    </row>
    <row r="687" spans="1:2" x14ac:dyDescent="0.25">
      <c r="A687">
        <f t="shared" si="21"/>
        <v>1.368000000000001</v>
      </c>
      <c r="B687" s="32">
        <f t="shared" si="20"/>
        <v>0.57379837946892798</v>
      </c>
    </row>
    <row r="688" spans="1:2" x14ac:dyDescent="0.25">
      <c r="A688">
        <f t="shared" si="21"/>
        <v>1.370000000000001</v>
      </c>
      <c r="B688" s="32">
        <f t="shared" si="20"/>
        <v>1.4033821602983245</v>
      </c>
    </row>
    <row r="689" spans="1:2" x14ac:dyDescent="0.25">
      <c r="A689">
        <f t="shared" si="21"/>
        <v>1.372000000000001</v>
      </c>
      <c r="B689" s="32">
        <f t="shared" si="20"/>
        <v>2.1939051054008365</v>
      </c>
    </row>
    <row r="690" spans="1:2" x14ac:dyDescent="0.25">
      <c r="A690">
        <f t="shared" si="21"/>
        <v>1.374000000000001</v>
      </c>
      <c r="B690" s="32">
        <f t="shared" si="20"/>
        <v>2.9224839907382743</v>
      </c>
    </row>
    <row r="691" spans="1:2" x14ac:dyDescent="0.25">
      <c r="A691">
        <f t="shared" si="21"/>
        <v>1.376000000000001</v>
      </c>
      <c r="B691" s="32">
        <f t="shared" si="20"/>
        <v>3.5679886224880155</v>
      </c>
    </row>
    <row r="692" spans="1:2" x14ac:dyDescent="0.25">
      <c r="A692">
        <f t="shared" si="21"/>
        <v>1.378000000000001</v>
      </c>
      <c r="B692" s="32">
        <f t="shared" si="20"/>
        <v>4.1116431504606537</v>
      </c>
    </row>
    <row r="693" spans="1:2" x14ac:dyDescent="0.25">
      <c r="A693">
        <f t="shared" si="21"/>
        <v>1.380000000000001</v>
      </c>
      <c r="B693" s="32">
        <f t="shared" si="20"/>
        <v>4.5375605749506054</v>
      </c>
    </row>
    <row r="694" spans="1:2" x14ac:dyDescent="0.25">
      <c r="A694">
        <f t="shared" si="21"/>
        <v>1.382000000000001</v>
      </c>
      <c r="B694" s="32">
        <f t="shared" si="20"/>
        <v>4.8331952716216611</v>
      </c>
    </row>
    <row r="695" spans="1:2" x14ac:dyDescent="0.25">
      <c r="A695">
        <f t="shared" si="21"/>
        <v>1.384000000000001</v>
      </c>
      <c r="B695" s="32">
        <f t="shared" si="20"/>
        <v>4.9897006857271755</v>
      </c>
    </row>
    <row r="696" spans="1:2" x14ac:dyDescent="0.25">
      <c r="A696">
        <f t="shared" si="21"/>
        <v>1.386000000000001</v>
      </c>
      <c r="B696" s="32">
        <f t="shared" si="20"/>
        <v>5.0021820383360076</v>
      </c>
    </row>
    <row r="697" spans="1:2" x14ac:dyDescent="0.25">
      <c r="A697">
        <f t="shared" si="21"/>
        <v>1.388000000000001</v>
      </c>
      <c r="B697" s="32">
        <f t="shared" si="20"/>
        <v>4.8698368669021033</v>
      </c>
    </row>
    <row r="698" spans="1:2" x14ac:dyDescent="0.25">
      <c r="A698">
        <f t="shared" si="21"/>
        <v>1.390000000000001</v>
      </c>
      <c r="B698" s="32">
        <f t="shared" si="20"/>
        <v>4.595979405907733</v>
      </c>
    </row>
    <row r="699" spans="1:2" x14ac:dyDescent="0.25">
      <c r="A699">
        <f t="shared" si="21"/>
        <v>1.392000000000001</v>
      </c>
      <c r="B699" s="32">
        <f t="shared" si="20"/>
        <v>4.1879481100846121</v>
      </c>
    </row>
    <row r="700" spans="1:2" x14ac:dyDescent="0.25">
      <c r="A700">
        <f t="shared" si="21"/>
        <v>1.394000000000001</v>
      </c>
      <c r="B700" s="32">
        <f t="shared" si="20"/>
        <v>3.6568989393047424</v>
      </c>
    </row>
    <row r="701" spans="1:2" x14ac:dyDescent="0.25">
      <c r="A701">
        <f t="shared" si="21"/>
        <v>1.396000000000001</v>
      </c>
      <c r="B701" s="32">
        <f t="shared" si="20"/>
        <v>3.0174902665080809</v>
      </c>
    </row>
    <row r="702" spans="1:2" x14ac:dyDescent="0.25">
      <c r="A702">
        <f t="shared" si="21"/>
        <v>1.398000000000001</v>
      </c>
      <c r="B702" s="32">
        <f t="shared" si="20"/>
        <v>2.2874683459767962</v>
      </c>
    </row>
    <row r="703" spans="1:2" x14ac:dyDescent="0.25">
      <c r="A703">
        <f t="shared" si="21"/>
        <v>1.400000000000001</v>
      </c>
      <c r="B703" s="32">
        <f t="shared" si="20"/>
        <v>1.4871651015799783</v>
      </c>
    </row>
    <row r="704" spans="1:2" x14ac:dyDescent="0.25">
      <c r="A704">
        <f t="shared" si="21"/>
        <v>1.402000000000001</v>
      </c>
      <c r="B704" s="32">
        <f t="shared" si="20"/>
        <v>0.638922483193473</v>
      </c>
    </row>
    <row r="705" spans="1:2" x14ac:dyDescent="0.25">
      <c r="A705">
        <f t="shared" si="21"/>
        <v>1.404000000000001</v>
      </c>
      <c r="B705" s="32">
        <f t="shared" si="20"/>
        <v>-0.23354027627455007</v>
      </c>
    </row>
    <row r="706" spans="1:2" x14ac:dyDescent="0.25">
      <c r="A706">
        <f t="shared" si="21"/>
        <v>1.406000000000001</v>
      </c>
      <c r="B706" s="32">
        <f t="shared" si="20"/>
        <v>-1.1057985501108287</v>
      </c>
    </row>
    <row r="707" spans="1:2" x14ac:dyDescent="0.25">
      <c r="A707">
        <f t="shared" si="21"/>
        <v>1.408000000000001</v>
      </c>
      <c r="B707" s="32">
        <f t="shared" si="20"/>
        <v>-1.9534142889302972</v>
      </c>
    </row>
    <row r="708" spans="1:2" x14ac:dyDescent="0.25">
      <c r="A708">
        <f t="shared" si="21"/>
        <v>1.410000000000001</v>
      </c>
      <c r="B708" s="32">
        <f t="shared" ref="B708:B771" si="22">0.323585334495683*COS(1.25226098841235 - 29.4037227718803*$A708) - 0.278838680632391*COS(1.04090145025875*$A708) - 5.11813177262468*COS(0.597704127771972 - 84.3329956365773*$A708)</f>
        <v>-2.7526284392147615</v>
      </c>
    </row>
    <row r="709" spans="1:2" x14ac:dyDescent="0.25">
      <c r="A709">
        <f t="shared" ref="A709:A772" si="23">+A708+$A$1</f>
        <v>1.412000000000001</v>
      </c>
      <c r="B709" s="32">
        <f t="shared" si="22"/>
        <v>-3.4810341618262473</v>
      </c>
    </row>
    <row r="710" spans="1:2" x14ac:dyDescent="0.25">
      <c r="A710">
        <f t="shared" si="23"/>
        <v>1.414000000000001</v>
      </c>
      <c r="B710" s="32">
        <f t="shared" si="22"/>
        <v>-4.1182117477354181</v>
      </c>
    </row>
    <row r="711" spans="1:2" x14ac:dyDescent="0.25">
      <c r="A711">
        <f t="shared" si="23"/>
        <v>1.416000000000001</v>
      </c>
      <c r="B711" s="32">
        <f t="shared" si="22"/>
        <v>-4.6463072150124338</v>
      </c>
    </row>
    <row r="712" spans="1:2" x14ac:dyDescent="0.25">
      <c r="A712">
        <f t="shared" si="23"/>
        <v>1.418000000000001</v>
      </c>
      <c r="B712" s="32">
        <f t="shared" si="22"/>
        <v>-5.0505381692341826</v>
      </c>
    </row>
    <row r="713" spans="1:2" x14ac:dyDescent="0.25">
      <c r="A713">
        <f t="shared" si="23"/>
        <v>1.420000000000001</v>
      </c>
      <c r="B713" s="32">
        <f t="shared" si="22"/>
        <v>-5.3196125735054034</v>
      </c>
    </row>
    <row r="714" spans="1:2" x14ac:dyDescent="0.25">
      <c r="A714">
        <f t="shared" si="23"/>
        <v>1.422000000000001</v>
      </c>
      <c r="B714" s="32">
        <f t="shared" si="22"/>
        <v>-5.4460485457002727</v>
      </c>
    </row>
    <row r="715" spans="1:2" x14ac:dyDescent="0.25">
      <c r="A715">
        <f t="shared" si="23"/>
        <v>1.424000000000001</v>
      </c>
      <c r="B715" s="32">
        <f t="shared" si="22"/>
        <v>-5.4263861091631016</v>
      </c>
    </row>
    <row r="716" spans="1:2" x14ac:dyDescent="0.25">
      <c r="A716">
        <f t="shared" si="23"/>
        <v>1.426000000000001</v>
      </c>
      <c r="B716" s="32">
        <f t="shared" si="22"/>
        <v>-5.2612848892500423</v>
      </c>
    </row>
    <row r="717" spans="1:2" x14ac:dyDescent="0.25">
      <c r="A717">
        <f t="shared" si="23"/>
        <v>1.428000000000001</v>
      </c>
      <c r="B717" s="32">
        <f t="shared" si="22"/>
        <v>-4.9555049847327197</v>
      </c>
    </row>
    <row r="718" spans="1:2" x14ac:dyDescent="0.25">
      <c r="A718">
        <f t="shared" si="23"/>
        <v>1.430000000000001</v>
      </c>
      <c r="B718" s="32">
        <f t="shared" si="22"/>
        <v>-4.5177715583600087</v>
      </c>
    </row>
    <row r="719" spans="1:2" x14ac:dyDescent="0.25">
      <c r="A719">
        <f t="shared" si="23"/>
        <v>1.432000000000001</v>
      </c>
      <c r="B719" s="32">
        <f t="shared" si="22"/>
        <v>-3.9605269906964171</v>
      </c>
    </row>
    <row r="720" spans="1:2" x14ac:dyDescent="0.25">
      <c r="A720">
        <f t="shared" si="23"/>
        <v>1.4340000000000011</v>
      </c>
      <c r="B720" s="32">
        <f t="shared" si="22"/>
        <v>-3.2995776320757031</v>
      </c>
    </row>
    <row r="721" spans="1:2" x14ac:dyDescent="0.25">
      <c r="A721">
        <f t="shared" si="23"/>
        <v>1.4360000000000011</v>
      </c>
      <c r="B721" s="32">
        <f t="shared" si="22"/>
        <v>-2.5536451785701582</v>
      </c>
    </row>
    <row r="722" spans="1:2" x14ac:dyDescent="0.25">
      <c r="A722">
        <f t="shared" si="23"/>
        <v>1.4380000000000011</v>
      </c>
      <c r="B722" s="32">
        <f t="shared" si="22"/>
        <v>-1.7438354043947366</v>
      </c>
    </row>
    <row r="723" spans="1:2" x14ac:dyDescent="0.25">
      <c r="A723">
        <f t="shared" si="23"/>
        <v>1.4400000000000011</v>
      </c>
      <c r="B723" s="32">
        <f t="shared" si="22"/>
        <v>-0.89303932832369182</v>
      </c>
    </row>
    <row r="724" spans="1:2" x14ac:dyDescent="0.25">
      <c r="A724">
        <f t="shared" si="23"/>
        <v>1.4420000000000011</v>
      </c>
      <c r="B724" s="32">
        <f t="shared" si="22"/>
        <v>-2.5283808946346575E-2</v>
      </c>
    </row>
    <row r="725" spans="1:2" x14ac:dyDescent="0.25">
      <c r="A725">
        <f t="shared" si="23"/>
        <v>1.4440000000000011</v>
      </c>
      <c r="B725" s="32">
        <f t="shared" si="22"/>
        <v>0.83495000149148424</v>
      </c>
    </row>
    <row r="726" spans="1:2" x14ac:dyDescent="0.25">
      <c r="A726">
        <f t="shared" si="23"/>
        <v>1.4460000000000011</v>
      </c>
      <c r="B726" s="32">
        <f t="shared" si="22"/>
        <v>1.6634210030390297</v>
      </c>
    </row>
    <row r="727" spans="1:2" x14ac:dyDescent="0.25">
      <c r="A727">
        <f t="shared" si="23"/>
        <v>1.4480000000000011</v>
      </c>
      <c r="B727" s="32">
        <f t="shared" si="22"/>
        <v>2.4368155892203922</v>
      </c>
    </row>
    <row r="728" spans="1:2" x14ac:dyDescent="0.25">
      <c r="A728">
        <f t="shared" si="23"/>
        <v>1.4500000000000011</v>
      </c>
      <c r="B728" s="32">
        <f t="shared" si="22"/>
        <v>3.1334086751567796</v>
      </c>
    </row>
    <row r="729" spans="1:2" x14ac:dyDescent="0.25">
      <c r="A729">
        <f t="shared" si="23"/>
        <v>1.4520000000000011</v>
      </c>
      <c r="B729" s="32">
        <f t="shared" si="22"/>
        <v>3.7336795542814367</v>
      </c>
    </row>
    <row r="730" spans="1:2" x14ac:dyDescent="0.25">
      <c r="A730">
        <f t="shared" si="23"/>
        <v>1.4540000000000011</v>
      </c>
      <c r="B730" s="32">
        <f t="shared" si="22"/>
        <v>4.2208651076053085</v>
      </c>
    </row>
    <row r="731" spans="1:2" x14ac:dyDescent="0.25">
      <c r="A731">
        <f t="shared" si="23"/>
        <v>1.4560000000000011</v>
      </c>
      <c r="B731" s="32">
        <f t="shared" si="22"/>
        <v>4.5814346677715649</v>
      </c>
    </row>
    <row r="732" spans="1:2" x14ac:dyDescent="0.25">
      <c r="A732">
        <f t="shared" si="23"/>
        <v>1.4580000000000011</v>
      </c>
      <c r="B732" s="32">
        <f t="shared" si="22"/>
        <v>4.805473063926855</v>
      </c>
    </row>
    <row r="733" spans="1:2" x14ac:dyDescent="0.25">
      <c r="A733">
        <f t="shared" si="23"/>
        <v>1.4600000000000011</v>
      </c>
      <c r="B733" s="32">
        <f t="shared" si="22"/>
        <v>4.8869609796164095</v>
      </c>
    </row>
    <row r="734" spans="1:2" x14ac:dyDescent="0.25">
      <c r="A734">
        <f t="shared" si="23"/>
        <v>1.4620000000000011</v>
      </c>
      <c r="B734" s="32">
        <f t="shared" si="22"/>
        <v>4.8239446705170419</v>
      </c>
    </row>
    <row r="735" spans="1:2" x14ac:dyDescent="0.25">
      <c r="A735">
        <f t="shared" si="23"/>
        <v>1.4640000000000011</v>
      </c>
      <c r="B735" s="32">
        <f t="shared" si="22"/>
        <v>4.6185902291323737</v>
      </c>
    </row>
    <row r="736" spans="1:2" x14ac:dyDescent="0.25">
      <c r="A736">
        <f t="shared" si="23"/>
        <v>1.4660000000000011</v>
      </c>
      <c r="B736" s="32">
        <f t="shared" si="22"/>
        <v>4.2771208604667645</v>
      </c>
    </row>
    <row r="737" spans="1:2" x14ac:dyDescent="0.25">
      <c r="A737">
        <f t="shared" si="23"/>
        <v>1.4680000000000011</v>
      </c>
      <c r="B737" s="32">
        <f t="shared" si="22"/>
        <v>3.8096389531644661</v>
      </c>
    </row>
    <row r="738" spans="1:2" x14ac:dyDescent="0.25">
      <c r="A738">
        <f t="shared" si="23"/>
        <v>1.4700000000000011</v>
      </c>
      <c r="B738" s="32">
        <f t="shared" si="22"/>
        <v>3.2298380004095852</v>
      </c>
    </row>
    <row r="739" spans="1:2" x14ac:dyDescent="0.25">
      <c r="A739">
        <f t="shared" si="23"/>
        <v>1.4720000000000011</v>
      </c>
      <c r="B739" s="32">
        <f t="shared" si="22"/>
        <v>2.5546125512321334</v>
      </c>
    </row>
    <row r="740" spans="1:2" x14ac:dyDescent="0.25">
      <c r="A740">
        <f t="shared" si="23"/>
        <v>1.4740000000000011</v>
      </c>
      <c r="B740" s="32">
        <f t="shared" si="22"/>
        <v>1.8035772670236432</v>
      </c>
    </row>
    <row r="741" spans="1:2" x14ac:dyDescent="0.25">
      <c r="A741">
        <f t="shared" si="23"/>
        <v>1.4760000000000011</v>
      </c>
      <c r="B741" s="32">
        <f t="shared" si="22"/>
        <v>0.99850873789717431</v>
      </c>
    </row>
    <row r="742" spans="1:2" x14ac:dyDescent="0.25">
      <c r="A742">
        <f t="shared" si="23"/>
        <v>1.4780000000000011</v>
      </c>
      <c r="B742" s="32">
        <f t="shared" si="22"/>
        <v>0.16272590580687993</v>
      </c>
    </row>
    <row r="743" spans="1:2" x14ac:dyDescent="0.25">
      <c r="A743">
        <f t="shared" si="23"/>
        <v>1.4800000000000011</v>
      </c>
      <c r="B743" s="32">
        <f t="shared" si="22"/>
        <v>-0.67957331613989713</v>
      </c>
    </row>
    <row r="744" spans="1:2" x14ac:dyDescent="0.25">
      <c r="A744">
        <f t="shared" si="23"/>
        <v>1.4820000000000011</v>
      </c>
      <c r="B744" s="32">
        <f t="shared" si="22"/>
        <v>-1.5040003954521373</v>
      </c>
    </row>
    <row r="745" spans="1:2" x14ac:dyDescent="0.25">
      <c r="A745">
        <f t="shared" si="23"/>
        <v>1.4840000000000011</v>
      </c>
      <c r="B745" s="32">
        <f t="shared" si="22"/>
        <v>-2.286669961591469</v>
      </c>
    </row>
    <row r="746" spans="1:2" x14ac:dyDescent="0.25">
      <c r="A746">
        <f t="shared" si="23"/>
        <v>1.4860000000000011</v>
      </c>
      <c r="B746" s="32">
        <f t="shared" si="22"/>
        <v>-3.0048793211993856</v>
      </c>
    </row>
    <row r="747" spans="1:2" x14ac:dyDescent="0.25">
      <c r="A747">
        <f t="shared" si="23"/>
        <v>1.4880000000000011</v>
      </c>
      <c r="B747" s="32">
        <f t="shared" si="22"/>
        <v>-3.6377544163729549</v>
      </c>
    </row>
    <row r="748" spans="1:2" x14ac:dyDescent="0.25">
      <c r="A748">
        <f t="shared" si="23"/>
        <v>1.4900000000000011</v>
      </c>
      <c r="B748" s="32">
        <f t="shared" si="22"/>
        <v>-4.1668438874922193</v>
      </c>
    </row>
    <row r="749" spans="1:2" x14ac:dyDescent="0.25">
      <c r="A749">
        <f t="shared" si="23"/>
        <v>1.4920000000000011</v>
      </c>
      <c r="B749" s="32">
        <f t="shared" si="22"/>
        <v>-4.5766443749308312</v>
      </c>
    </row>
    <row r="750" spans="1:2" x14ac:dyDescent="0.25">
      <c r="A750">
        <f t="shared" si="23"/>
        <v>1.4940000000000011</v>
      </c>
      <c r="B750" s="32">
        <f t="shared" si="22"/>
        <v>-4.8550421454877215</v>
      </c>
    </row>
    <row r="751" spans="1:2" x14ac:dyDescent="0.25">
      <c r="A751">
        <f t="shared" si="23"/>
        <v>1.4960000000000011</v>
      </c>
      <c r="B751" s="32">
        <f t="shared" si="22"/>
        <v>-4.9936585041831103</v>
      </c>
    </row>
    <row r="752" spans="1:2" x14ac:dyDescent="0.25">
      <c r="A752">
        <f t="shared" si="23"/>
        <v>1.4980000000000011</v>
      </c>
      <c r="B752" s="32">
        <f t="shared" si="22"/>
        <v>-4.9880891827625424</v>
      </c>
    </row>
    <row r="753" spans="1:2" x14ac:dyDescent="0.25">
      <c r="A753">
        <f t="shared" si="23"/>
        <v>1.5000000000000011</v>
      </c>
      <c r="B753" s="32">
        <f t="shared" si="22"/>
        <v>-4.8380309053517916</v>
      </c>
    </row>
    <row r="754" spans="1:2" x14ac:dyDescent="0.25">
      <c r="A754">
        <f t="shared" si="23"/>
        <v>1.5020000000000011</v>
      </c>
      <c r="B754" s="32">
        <f t="shared" si="22"/>
        <v>-4.5472915337990685</v>
      </c>
    </row>
    <row r="755" spans="1:2" x14ac:dyDescent="0.25">
      <c r="A755">
        <f t="shared" si="23"/>
        <v>1.5040000000000011</v>
      </c>
      <c r="B755" s="32">
        <f t="shared" si="22"/>
        <v>-4.1236834994537865</v>
      </c>
    </row>
    <row r="756" spans="1:2" x14ac:dyDescent="0.25">
      <c r="A756">
        <f t="shared" si="23"/>
        <v>1.5060000000000011</v>
      </c>
      <c r="B756" s="32">
        <f t="shared" si="22"/>
        <v>-3.5788035406846896</v>
      </c>
    </row>
    <row r="757" spans="1:2" x14ac:dyDescent="0.25">
      <c r="A757">
        <f t="shared" si="23"/>
        <v>1.5080000000000011</v>
      </c>
      <c r="B757" s="32">
        <f t="shared" si="22"/>
        <v>-2.9277049923204572</v>
      </c>
    </row>
    <row r="758" spans="1:2" x14ac:dyDescent="0.25">
      <c r="A758">
        <f t="shared" si="23"/>
        <v>1.5100000000000011</v>
      </c>
      <c r="B758" s="32">
        <f t="shared" si="22"/>
        <v>-2.1884719228232394</v>
      </c>
    </row>
    <row r="759" spans="1:2" x14ac:dyDescent="0.25">
      <c r="A759">
        <f t="shared" si="23"/>
        <v>1.5120000000000011</v>
      </c>
      <c r="B759" s="32">
        <f t="shared" si="22"/>
        <v>-1.3817072008251972</v>
      </c>
    </row>
    <row r="760" spans="1:2" x14ac:dyDescent="0.25">
      <c r="A760">
        <f t="shared" si="23"/>
        <v>1.5140000000000011</v>
      </c>
      <c r="B760" s="32">
        <f t="shared" si="22"/>
        <v>-0.52994901560970742</v>
      </c>
    </row>
    <row r="761" spans="1:2" x14ac:dyDescent="0.25">
      <c r="A761">
        <f t="shared" si="23"/>
        <v>1.5160000000000011</v>
      </c>
      <c r="B761" s="32">
        <f t="shared" si="22"/>
        <v>0.34296759313743397</v>
      </c>
    </row>
    <row r="762" spans="1:2" x14ac:dyDescent="0.25">
      <c r="A762">
        <f t="shared" si="23"/>
        <v>1.5180000000000011</v>
      </c>
      <c r="B762" s="32">
        <f t="shared" si="22"/>
        <v>1.2125860800730528</v>
      </c>
    </row>
    <row r="763" spans="1:2" x14ac:dyDescent="0.25">
      <c r="A763">
        <f t="shared" si="23"/>
        <v>1.5200000000000011</v>
      </c>
      <c r="B763" s="32">
        <f t="shared" si="22"/>
        <v>2.0545214504368197</v>
      </c>
    </row>
    <row r="764" spans="1:2" x14ac:dyDescent="0.25">
      <c r="A764">
        <f t="shared" si="23"/>
        <v>1.5220000000000011</v>
      </c>
      <c r="B764" s="32">
        <f t="shared" si="22"/>
        <v>2.8451513618700552</v>
      </c>
    </row>
    <row r="765" spans="1:2" x14ac:dyDescent="0.25">
      <c r="A765">
        <f t="shared" si="23"/>
        <v>1.5240000000000011</v>
      </c>
      <c r="B765" s="32">
        <f t="shared" si="22"/>
        <v>3.5622856610965488</v>
      </c>
    </row>
    <row r="766" spans="1:2" x14ac:dyDescent="0.25">
      <c r="A766">
        <f t="shared" si="23"/>
        <v>1.5260000000000011</v>
      </c>
      <c r="B766" s="32">
        <f t="shared" si="22"/>
        <v>4.1857953565162171</v>
      </c>
    </row>
    <row r="767" spans="1:2" x14ac:dyDescent="0.25">
      <c r="A767">
        <f t="shared" si="23"/>
        <v>1.5280000000000011</v>
      </c>
      <c r="B767" s="32">
        <f t="shared" si="22"/>
        <v>4.6981831787126564</v>
      </c>
    </row>
    <row r="768" spans="1:2" x14ac:dyDescent="0.25">
      <c r="A768">
        <f t="shared" si="23"/>
        <v>1.5300000000000011</v>
      </c>
      <c r="B768" s="32">
        <f t="shared" si="22"/>
        <v>5.0850795383715806</v>
      </c>
    </row>
    <row r="769" spans="1:2" x14ac:dyDescent="0.25">
      <c r="A769">
        <f t="shared" si="23"/>
        <v>1.5320000000000011</v>
      </c>
      <c r="B769" s="32">
        <f t="shared" si="22"/>
        <v>5.3356498080809018</v>
      </c>
    </row>
    <row r="770" spans="1:2" x14ac:dyDescent="0.25">
      <c r="A770">
        <f t="shared" si="23"/>
        <v>1.5340000000000011</v>
      </c>
      <c r="B770" s="32">
        <f t="shared" si="22"/>
        <v>5.4429013708787988</v>
      </c>
    </row>
    <row r="771" spans="1:2" x14ac:dyDescent="0.25">
      <c r="A771">
        <f t="shared" si="23"/>
        <v>1.5360000000000011</v>
      </c>
      <c r="B771" s="32">
        <f t="shared" si="22"/>
        <v>5.4038817228004392</v>
      </c>
    </row>
    <row r="772" spans="1:2" x14ac:dyDescent="0.25">
      <c r="A772">
        <f t="shared" si="23"/>
        <v>1.5380000000000011</v>
      </c>
      <c r="B772" s="32">
        <f t="shared" ref="B772:B835" si="24">0.323585334495683*COS(1.25226098841235 - 29.4037227718803*$A772) - 0.278838680632391*COS(1.04090145025875*$A772) - 5.11813177262468*COS(0.597704127771972 - 84.3329956365773*$A772)</f>
        <v>5.2197620083290657</v>
      </c>
    </row>
    <row r="773" spans="1:2" x14ac:dyDescent="0.25">
      <c r="A773">
        <f t="shared" ref="A773:A836" si="25">+A772+$A$1</f>
        <v>1.5400000000000011</v>
      </c>
      <c r="B773" s="32">
        <f t="shared" si="24"/>
        <v>4.8958036188416969</v>
      </c>
    </row>
    <row r="774" spans="1:2" x14ac:dyDescent="0.25">
      <c r="A774">
        <f t="shared" si="25"/>
        <v>1.5420000000000011</v>
      </c>
      <c r="B774" s="32">
        <f t="shared" si="24"/>
        <v>4.4412088025776519</v>
      </c>
    </row>
    <row r="775" spans="1:2" x14ac:dyDescent="0.25">
      <c r="A775">
        <f t="shared" si="25"/>
        <v>1.5440000000000011</v>
      </c>
      <c r="B775" s="32">
        <f t="shared" si="24"/>
        <v>3.8688595261780154</v>
      </c>
    </row>
    <row r="776" spans="1:2" x14ac:dyDescent="0.25">
      <c r="A776">
        <f t="shared" si="25"/>
        <v>1.5460000000000012</v>
      </c>
      <c r="B776" s="32">
        <f t="shared" si="24"/>
        <v>3.1949519990222597</v>
      </c>
    </row>
    <row r="777" spans="1:2" x14ac:dyDescent="0.25">
      <c r="A777">
        <f t="shared" si="25"/>
        <v>1.5480000000000012</v>
      </c>
      <c r="B777" s="32">
        <f t="shared" si="24"/>
        <v>2.438537232435793</v>
      </c>
    </row>
    <row r="778" spans="1:2" x14ac:dyDescent="0.25">
      <c r="A778">
        <f t="shared" si="25"/>
        <v>1.5500000000000012</v>
      </c>
      <c r="B778" s="32">
        <f t="shared" si="24"/>
        <v>1.6209806723181261</v>
      </c>
    </row>
    <row r="779" spans="1:2" x14ac:dyDescent="0.25">
      <c r="A779">
        <f t="shared" si="25"/>
        <v>1.5520000000000012</v>
      </c>
      <c r="B779" s="32">
        <f t="shared" si="24"/>
        <v>0.76535624017554649</v>
      </c>
    </row>
    <row r="780" spans="1:2" x14ac:dyDescent="0.25">
      <c r="A780">
        <f t="shared" si="25"/>
        <v>1.5540000000000012</v>
      </c>
      <c r="B780" s="32">
        <f t="shared" si="24"/>
        <v>-0.10420802123439221</v>
      </c>
    </row>
    <row r="781" spans="1:2" x14ac:dyDescent="0.25">
      <c r="A781">
        <f t="shared" si="25"/>
        <v>1.5560000000000012</v>
      </c>
      <c r="B781" s="32">
        <f t="shared" si="24"/>
        <v>-0.9632141282610307</v>
      </c>
    </row>
    <row r="782" spans="1:2" x14ac:dyDescent="0.25">
      <c r="A782">
        <f t="shared" si="25"/>
        <v>1.5580000000000012</v>
      </c>
      <c r="B782" s="32">
        <f t="shared" si="24"/>
        <v>-1.7874887471633667</v>
      </c>
    </row>
    <row r="783" spans="1:2" x14ac:dyDescent="0.25">
      <c r="A783">
        <f t="shared" si="25"/>
        <v>1.5600000000000012</v>
      </c>
      <c r="B783" s="32">
        <f t="shared" si="24"/>
        <v>-2.5538684846451059</v>
      </c>
    </row>
    <row r="784" spans="1:2" x14ac:dyDescent="0.25">
      <c r="A784">
        <f t="shared" si="25"/>
        <v>1.5620000000000012</v>
      </c>
      <c r="B784" s="32">
        <f t="shared" si="24"/>
        <v>-3.2408564316620279</v>
      </c>
    </row>
    <row r="785" spans="1:2" x14ac:dyDescent="0.25">
      <c r="A785">
        <f t="shared" si="25"/>
        <v>1.5640000000000012</v>
      </c>
      <c r="B785" s="32">
        <f t="shared" si="24"/>
        <v>-3.829231330187167</v>
      </c>
    </row>
    <row r="786" spans="1:2" x14ac:dyDescent="0.25">
      <c r="A786">
        <f t="shared" si="25"/>
        <v>1.5660000000000012</v>
      </c>
      <c r="B786" s="32">
        <f t="shared" si="24"/>
        <v>-4.3025920774949462</v>
      </c>
    </row>
    <row r="787" spans="1:2" x14ac:dyDescent="0.25">
      <c r="A787">
        <f t="shared" si="25"/>
        <v>1.5680000000000012</v>
      </c>
      <c r="B787" s="32">
        <f t="shared" si="24"/>
        <v>-4.647822117975374</v>
      </c>
    </row>
    <row r="788" spans="1:2" x14ac:dyDescent="0.25">
      <c r="A788">
        <f t="shared" si="25"/>
        <v>1.5700000000000012</v>
      </c>
      <c r="B788" s="32">
        <f t="shared" si="24"/>
        <v>-4.8554605463986436</v>
      </c>
    </row>
    <row r="789" spans="1:2" x14ac:dyDescent="0.25">
      <c r="A789">
        <f t="shared" si="25"/>
        <v>1.5720000000000012</v>
      </c>
      <c r="B789" s="32">
        <f t="shared" si="24"/>
        <v>-4.9199693944052099</v>
      </c>
    </row>
    <row r="790" spans="1:2" x14ac:dyDescent="0.25">
      <c r="A790">
        <f t="shared" si="25"/>
        <v>1.5740000000000012</v>
      </c>
      <c r="B790" s="32">
        <f t="shared" si="24"/>
        <v>-4.8398895186311757</v>
      </c>
    </row>
    <row r="791" spans="1:2" x14ac:dyDescent="0.25">
      <c r="A791">
        <f t="shared" si="25"/>
        <v>1.5760000000000012</v>
      </c>
      <c r="B791" s="32">
        <f t="shared" si="24"/>
        <v>-4.6178806706723474</v>
      </c>
    </row>
    <row r="792" spans="1:2" x14ac:dyDescent="0.25">
      <c r="A792">
        <f t="shared" si="25"/>
        <v>1.5780000000000012</v>
      </c>
      <c r="B792" s="32">
        <f t="shared" si="24"/>
        <v>-4.2606446163076965</v>
      </c>
    </row>
    <row r="793" spans="1:2" x14ac:dyDescent="0.25">
      <c r="A793">
        <f t="shared" si="25"/>
        <v>1.5800000000000012</v>
      </c>
      <c r="B793" s="32">
        <f t="shared" si="24"/>
        <v>-3.7787334907447057</v>
      </c>
    </row>
    <row r="794" spans="1:2" x14ac:dyDescent="0.25">
      <c r="A794">
        <f t="shared" si="25"/>
        <v>1.5820000000000012</v>
      </c>
      <c r="B794" s="32">
        <f t="shared" si="24"/>
        <v>-3.1862488339155144</v>
      </c>
    </row>
    <row r="795" spans="1:2" x14ac:dyDescent="0.25">
      <c r="A795">
        <f t="shared" si="25"/>
        <v>1.5840000000000012</v>
      </c>
      <c r="B795" s="32">
        <f t="shared" si="24"/>
        <v>-2.5004398525933453</v>
      </c>
    </row>
    <row r="796" spans="1:2" x14ac:dyDescent="0.25">
      <c r="A796">
        <f t="shared" si="25"/>
        <v>1.5860000000000012</v>
      </c>
      <c r="B796" s="32">
        <f t="shared" si="24"/>
        <v>-1.7412123162562692</v>
      </c>
    </row>
    <row r="797" spans="1:2" x14ac:dyDescent="0.25">
      <c r="A797">
        <f t="shared" si="25"/>
        <v>1.5880000000000012</v>
      </c>
      <c r="B797" s="32">
        <f t="shared" si="24"/>
        <v>-0.93056203003234284</v>
      </c>
    </row>
    <row r="798" spans="1:2" x14ac:dyDescent="0.25">
      <c r="A798">
        <f t="shared" si="25"/>
        <v>1.5900000000000012</v>
      </c>
      <c r="B798" s="32">
        <f t="shared" si="24"/>
        <v>-9.1948968714402543E-2</v>
      </c>
    </row>
    <row r="799" spans="1:2" x14ac:dyDescent="0.25">
      <c r="A799">
        <f t="shared" si="25"/>
        <v>1.5920000000000012</v>
      </c>
      <c r="B799" s="32">
        <f t="shared" si="24"/>
        <v>0.75037015999601964</v>
      </c>
    </row>
    <row r="800" spans="1:2" x14ac:dyDescent="0.25">
      <c r="A800">
        <f t="shared" si="25"/>
        <v>1.5940000000000012</v>
      </c>
      <c r="B800" s="32">
        <f t="shared" si="24"/>
        <v>1.5720319749904723</v>
      </c>
    </row>
    <row r="801" spans="1:2" x14ac:dyDescent="0.25">
      <c r="A801">
        <f t="shared" si="25"/>
        <v>1.5960000000000012</v>
      </c>
      <c r="B801" s="32">
        <f t="shared" si="24"/>
        <v>2.3492595138861443</v>
      </c>
    </row>
    <row r="802" spans="1:2" x14ac:dyDescent="0.25">
      <c r="A802">
        <f t="shared" si="25"/>
        <v>1.5980000000000012</v>
      </c>
      <c r="B802" s="32">
        <f t="shared" si="24"/>
        <v>3.059538681583915</v>
      </c>
    </row>
    <row r="803" spans="1:2" x14ac:dyDescent="0.25">
      <c r="A803">
        <f t="shared" si="25"/>
        <v>1.6000000000000012</v>
      </c>
      <c r="B803" s="32">
        <f t="shared" si="24"/>
        <v>3.6822588514111256</v>
      </c>
    </row>
    <row r="804" spans="1:2" x14ac:dyDescent="0.25">
      <c r="A804">
        <f t="shared" si="25"/>
        <v>1.6020000000000012</v>
      </c>
      <c r="B804" s="32">
        <f t="shared" si="24"/>
        <v>4.1992994324088455</v>
      </c>
    </row>
    <row r="805" spans="1:2" x14ac:dyDescent="0.25">
      <c r="A805">
        <f t="shared" si="25"/>
        <v>1.6040000000000012</v>
      </c>
      <c r="B805" s="32">
        <f t="shared" si="24"/>
        <v>4.595545749886762</v>
      </c>
    </row>
    <row r="806" spans="1:2" x14ac:dyDescent="0.25">
      <c r="A806">
        <f t="shared" si="25"/>
        <v>1.6060000000000012</v>
      </c>
      <c r="B806" s="32">
        <f t="shared" si="24"/>
        <v>4.8593195925836561</v>
      </c>
    </row>
    <row r="807" spans="1:2" x14ac:dyDescent="0.25">
      <c r="A807">
        <f t="shared" si="25"/>
        <v>1.6080000000000012</v>
      </c>
      <c r="B807" s="32">
        <f t="shared" si="24"/>
        <v>4.9827122016785426</v>
      </c>
    </row>
    <row r="808" spans="1:2" x14ac:dyDescent="0.25">
      <c r="A808">
        <f t="shared" si="25"/>
        <v>1.6100000000000012</v>
      </c>
      <c r="B808" s="32">
        <f t="shared" si="24"/>
        <v>4.9618102457819395</v>
      </c>
    </row>
    <row r="809" spans="1:2" x14ac:dyDescent="0.25">
      <c r="A809">
        <f t="shared" si="25"/>
        <v>1.6120000000000012</v>
      </c>
      <c r="B809" s="32">
        <f t="shared" si="24"/>
        <v>4.7968083632994096</v>
      </c>
    </row>
    <row r="810" spans="1:2" x14ac:dyDescent="0.25">
      <c r="A810">
        <f t="shared" si="25"/>
        <v>1.6140000000000012</v>
      </c>
      <c r="B810" s="32">
        <f t="shared" si="24"/>
        <v>4.4920050730076486</v>
      </c>
    </row>
    <row r="811" spans="1:2" x14ac:dyDescent="0.25">
      <c r="A811">
        <f t="shared" si="25"/>
        <v>1.6160000000000012</v>
      </c>
      <c r="B811" s="32">
        <f t="shared" si="24"/>
        <v>4.0556821639450309</v>
      </c>
    </row>
    <row r="812" spans="1:2" x14ac:dyDescent="0.25">
      <c r="A812">
        <f t="shared" si="25"/>
        <v>1.6180000000000012</v>
      </c>
      <c r="B812" s="32">
        <f t="shared" si="24"/>
        <v>3.4998709828415508</v>
      </c>
    </row>
    <row r="813" spans="1:2" x14ac:dyDescent="0.25">
      <c r="A813">
        <f t="shared" si="25"/>
        <v>1.6200000000000012</v>
      </c>
      <c r="B813" s="32">
        <f t="shared" si="24"/>
        <v>2.8400122474439637</v>
      </c>
    </row>
    <row r="814" spans="1:2" x14ac:dyDescent="0.25">
      <c r="A814">
        <f t="shared" si="25"/>
        <v>1.6220000000000012</v>
      </c>
      <c r="B814" s="32">
        <f t="shared" si="24"/>
        <v>2.0945190361177559</v>
      </c>
    </row>
    <row r="815" spans="1:2" x14ac:dyDescent="0.25">
      <c r="A815">
        <f t="shared" si="25"/>
        <v>1.6240000000000012</v>
      </c>
      <c r="B815" s="32">
        <f t="shared" si="24"/>
        <v>1.2842553522620475</v>
      </c>
    </row>
    <row r="816" spans="1:2" x14ac:dyDescent="0.25">
      <c r="A816">
        <f t="shared" si="25"/>
        <v>1.6260000000000012</v>
      </c>
      <c r="B816" s="32">
        <f t="shared" si="24"/>
        <v>0.4319450583675789</v>
      </c>
    </row>
    <row r="817" spans="1:2" x14ac:dyDescent="0.25">
      <c r="A817">
        <f t="shared" si="25"/>
        <v>1.6280000000000012</v>
      </c>
      <c r="B817" s="32">
        <f t="shared" si="24"/>
        <v>-0.43847204904501791</v>
      </c>
    </row>
    <row r="818" spans="1:2" x14ac:dyDescent="0.25">
      <c r="A818">
        <f t="shared" si="25"/>
        <v>1.6300000000000012</v>
      </c>
      <c r="B818" s="32">
        <f t="shared" si="24"/>
        <v>-1.3025187519180699</v>
      </c>
    </row>
    <row r="819" spans="1:2" x14ac:dyDescent="0.25">
      <c r="A819">
        <f t="shared" si="25"/>
        <v>1.6320000000000012</v>
      </c>
      <c r="B819" s="32">
        <f t="shared" si="24"/>
        <v>-2.1358742570059897</v>
      </c>
    </row>
    <row r="820" spans="1:2" x14ac:dyDescent="0.25">
      <c r="A820">
        <f t="shared" si="25"/>
        <v>1.6340000000000012</v>
      </c>
      <c r="B820" s="32">
        <f t="shared" si="24"/>
        <v>-2.9150636870368394</v>
      </c>
    </row>
    <row r="821" spans="1:2" x14ac:dyDescent="0.25">
      <c r="A821">
        <f t="shared" si="25"/>
        <v>1.6360000000000012</v>
      </c>
      <c r="B821" s="32">
        <f t="shared" si="24"/>
        <v>-3.6181236509510368</v>
      </c>
    </row>
    <row r="822" spans="1:2" x14ac:dyDescent="0.25">
      <c r="A822">
        <f t="shared" si="25"/>
        <v>1.6380000000000012</v>
      </c>
      <c r="B822" s="32">
        <f t="shared" si="24"/>
        <v>-4.2252250060814847</v>
      </c>
    </row>
    <row r="823" spans="1:2" x14ac:dyDescent="0.25">
      <c r="A823">
        <f t="shared" si="25"/>
        <v>1.6400000000000012</v>
      </c>
      <c r="B823" s="32">
        <f t="shared" si="24"/>
        <v>-4.7192351397590944</v>
      </c>
    </row>
    <row r="824" spans="1:2" x14ac:dyDescent="0.25">
      <c r="A824">
        <f t="shared" si="25"/>
        <v>1.6420000000000012</v>
      </c>
      <c r="B824" s="32">
        <f t="shared" si="24"/>
        <v>-5.0862038139983037</v>
      </c>
    </row>
    <row r="825" spans="1:2" x14ac:dyDescent="0.25">
      <c r="A825">
        <f t="shared" si="25"/>
        <v>1.6440000000000012</v>
      </c>
      <c r="B825" s="32">
        <f t="shared" si="24"/>
        <v>-5.3157587859456434</v>
      </c>
    </row>
    <row r="826" spans="1:2" x14ac:dyDescent="0.25">
      <c r="A826">
        <f t="shared" si="25"/>
        <v>1.6460000000000012</v>
      </c>
      <c r="B826" s="32">
        <f t="shared" si="24"/>
        <v>-5.4013999770828018</v>
      </c>
    </row>
    <row r="827" spans="1:2" x14ac:dyDescent="0.25">
      <c r="A827">
        <f t="shared" si="25"/>
        <v>1.6480000000000012</v>
      </c>
      <c r="B827" s="32">
        <f t="shared" si="24"/>
        <v>-5.3406838431215231</v>
      </c>
    </row>
    <row r="828" spans="1:2" x14ac:dyDescent="0.25">
      <c r="A828">
        <f t="shared" si="25"/>
        <v>1.6500000000000012</v>
      </c>
      <c r="B828" s="32">
        <f t="shared" si="24"/>
        <v>-5.1352927123905809</v>
      </c>
    </row>
    <row r="829" spans="1:2" x14ac:dyDescent="0.25">
      <c r="A829">
        <f t="shared" si="25"/>
        <v>1.6520000000000012</v>
      </c>
      <c r="B829" s="32">
        <f t="shared" si="24"/>
        <v>-4.7909871248727978</v>
      </c>
    </row>
    <row r="830" spans="1:2" x14ac:dyDescent="0.25">
      <c r="A830">
        <f t="shared" si="25"/>
        <v>1.6540000000000012</v>
      </c>
      <c r="B830" s="32">
        <f t="shared" si="24"/>
        <v>-4.3174425242575341</v>
      </c>
    </row>
    <row r="831" spans="1:2" x14ac:dyDescent="0.25">
      <c r="A831">
        <f t="shared" si="25"/>
        <v>1.6560000000000012</v>
      </c>
      <c r="B831" s="32">
        <f t="shared" si="24"/>
        <v>-3.7279749371985442</v>
      </c>
    </row>
    <row r="832" spans="1:2" x14ac:dyDescent="0.25">
      <c r="A832">
        <f t="shared" si="25"/>
        <v>1.6580000000000013</v>
      </c>
      <c r="B832" s="32">
        <f t="shared" si="24"/>
        <v>-3.0391634242754288</v>
      </c>
    </row>
    <row r="833" spans="1:2" x14ac:dyDescent="0.25">
      <c r="A833">
        <f t="shared" si="25"/>
        <v>1.6600000000000013</v>
      </c>
      <c r="B833" s="32">
        <f t="shared" si="24"/>
        <v>-2.2703800165346895</v>
      </c>
    </row>
    <row r="834" spans="1:2" x14ac:dyDescent="0.25">
      <c r="A834">
        <f t="shared" si="25"/>
        <v>1.6620000000000013</v>
      </c>
      <c r="B834" s="32">
        <f t="shared" si="24"/>
        <v>-1.4432404767994191</v>
      </c>
    </row>
    <row r="835" spans="1:2" x14ac:dyDescent="0.25">
      <c r="A835">
        <f t="shared" si="25"/>
        <v>1.6640000000000013</v>
      </c>
      <c r="B835" s="32">
        <f t="shared" si="24"/>
        <v>-0.58099147168412757</v>
      </c>
    </row>
    <row r="836" spans="1:2" x14ac:dyDescent="0.25">
      <c r="A836">
        <f t="shared" si="25"/>
        <v>1.6660000000000013</v>
      </c>
      <c r="B836" s="32">
        <f t="shared" ref="B836:B899" si="26">0.323585334495683*COS(1.25226098841235 - 29.4037227718803*$A836) - 0.278838680632391*COS(1.04090145025875*$A836) - 5.11813177262468*COS(0.597704127771972 - 84.3329956365773*$A836)</f>
        <v>0.29214845534827671</v>
      </c>
    </row>
    <row r="837" spans="1:2" x14ac:dyDescent="0.25">
      <c r="A837">
        <f t="shared" ref="A837:A900" si="27">+A836+$A$1</f>
        <v>1.6680000000000013</v>
      </c>
      <c r="B837" s="32">
        <f t="shared" si="26"/>
        <v>1.1516754086804613</v>
      </c>
    </row>
    <row r="838" spans="1:2" x14ac:dyDescent="0.25">
      <c r="A838">
        <f t="shared" si="27"/>
        <v>1.6700000000000013</v>
      </c>
      <c r="B838" s="32">
        <f t="shared" si="26"/>
        <v>1.9734946816676755</v>
      </c>
    </row>
    <row r="839" spans="1:2" x14ac:dyDescent="0.25">
      <c r="A839">
        <f t="shared" si="27"/>
        <v>1.6720000000000013</v>
      </c>
      <c r="B839" s="32">
        <f t="shared" si="26"/>
        <v>2.7346036056506748</v>
      </c>
    </row>
    <row r="840" spans="1:2" x14ac:dyDescent="0.25">
      <c r="A840">
        <f t="shared" si="27"/>
        <v>1.6740000000000013</v>
      </c>
      <c r="B840" s="32">
        <f t="shared" si="26"/>
        <v>3.4137433304085301</v>
      </c>
    </row>
    <row r="841" spans="1:2" x14ac:dyDescent="0.25">
      <c r="A841">
        <f t="shared" si="27"/>
        <v>1.6760000000000013</v>
      </c>
      <c r="B841" s="32">
        <f t="shared" si="26"/>
        <v>3.9920010416227028</v>
      </c>
    </row>
    <row r="842" spans="1:2" x14ac:dyDescent="0.25">
      <c r="A842">
        <f t="shared" si="27"/>
        <v>1.6780000000000013</v>
      </c>
      <c r="B842" s="32">
        <f t="shared" si="26"/>
        <v>4.4533455278109102</v>
      </c>
    </row>
    <row r="843" spans="1:2" x14ac:dyDescent="0.25">
      <c r="A843">
        <f t="shared" si="27"/>
        <v>1.6800000000000013</v>
      </c>
      <c r="B843" s="32">
        <f t="shared" si="26"/>
        <v>4.7850809010198194</v>
      </c>
    </row>
    <row r="844" spans="1:2" x14ac:dyDescent="0.25">
      <c r="A844">
        <f t="shared" si="27"/>
        <v>1.6820000000000013</v>
      </c>
      <c r="B844" s="32">
        <f t="shared" si="26"/>
        <v>4.9782055986551015</v>
      </c>
    </row>
    <row r="845" spans="1:2" x14ac:dyDescent="0.25">
      <c r="A845">
        <f t="shared" si="27"/>
        <v>1.6840000000000013</v>
      </c>
      <c r="B845" s="32">
        <f t="shared" si="26"/>
        <v>5.0276664822327062</v>
      </c>
    </row>
    <row r="846" spans="1:2" x14ac:dyDescent="0.25">
      <c r="A846">
        <f t="shared" si="27"/>
        <v>1.6860000000000013</v>
      </c>
      <c r="B846" s="32">
        <f t="shared" si="26"/>
        <v>4.9325008262619354</v>
      </c>
    </row>
    <row r="847" spans="1:2" x14ac:dyDescent="0.25">
      <c r="A847">
        <f t="shared" si="27"/>
        <v>1.6880000000000013</v>
      </c>
      <c r="B847" s="32">
        <f t="shared" si="26"/>
        <v>4.695862172418555</v>
      </c>
    </row>
    <row r="848" spans="1:2" x14ac:dyDescent="0.25">
      <c r="A848">
        <f t="shared" si="27"/>
        <v>1.6900000000000013</v>
      </c>
      <c r="B848" s="32">
        <f t="shared" si="26"/>
        <v>4.3249293203220809</v>
      </c>
    </row>
    <row r="849" spans="1:2" x14ac:dyDescent="0.25">
      <c r="A849">
        <f t="shared" si="27"/>
        <v>1.6920000000000013</v>
      </c>
      <c r="B849" s="32">
        <f t="shared" si="26"/>
        <v>3.8307010430530908</v>
      </c>
    </row>
    <row r="850" spans="1:2" x14ac:dyDescent="0.25">
      <c r="A850">
        <f t="shared" si="27"/>
        <v>1.6940000000000013</v>
      </c>
      <c r="B850" s="32">
        <f t="shared" si="26"/>
        <v>3.2276823588934644</v>
      </c>
    </row>
    <row r="851" spans="1:2" x14ac:dyDescent="0.25">
      <c r="A851">
        <f t="shared" si="27"/>
        <v>1.6960000000000013</v>
      </c>
      <c r="B851" s="32">
        <f t="shared" si="26"/>
        <v>2.5334712686030771</v>
      </c>
    </row>
    <row r="852" spans="1:2" x14ac:dyDescent="0.25">
      <c r="A852">
        <f t="shared" si="27"/>
        <v>1.6980000000000013</v>
      </c>
      <c r="B852" s="32">
        <f t="shared" si="26"/>
        <v>1.76825769250047</v>
      </c>
    </row>
    <row r="853" spans="1:2" x14ac:dyDescent="0.25">
      <c r="A853">
        <f t="shared" si="27"/>
        <v>1.7000000000000013</v>
      </c>
      <c r="B853" s="32">
        <f t="shared" si="26"/>
        <v>0.95424883352167755</v>
      </c>
    </row>
    <row r="854" spans="1:2" x14ac:dyDescent="0.25">
      <c r="A854">
        <f t="shared" si="27"/>
        <v>1.7020000000000013</v>
      </c>
      <c r="B854" s="32">
        <f t="shared" si="26"/>
        <v>0.11503728057427742</v>
      </c>
    </row>
    <row r="855" spans="1:2" x14ac:dyDescent="0.25">
      <c r="A855">
        <f t="shared" si="27"/>
        <v>1.7040000000000013</v>
      </c>
      <c r="B855" s="32">
        <f t="shared" si="26"/>
        <v>-0.72507020839899949</v>
      </c>
    </row>
    <row r="856" spans="1:2" x14ac:dyDescent="0.25">
      <c r="A856">
        <f t="shared" si="27"/>
        <v>1.7060000000000013</v>
      </c>
      <c r="B856" s="32">
        <f t="shared" si="26"/>
        <v>-1.5417441882760774</v>
      </c>
    </row>
    <row r="857" spans="1:2" x14ac:dyDescent="0.25">
      <c r="A857">
        <f t="shared" si="27"/>
        <v>1.7080000000000013</v>
      </c>
      <c r="B857" s="32">
        <f t="shared" si="26"/>
        <v>-2.3113246430422674</v>
      </c>
    </row>
    <row r="858" spans="1:2" x14ac:dyDescent="0.25">
      <c r="A858">
        <f t="shared" si="27"/>
        <v>1.7100000000000013</v>
      </c>
      <c r="B858" s="32">
        <f t="shared" si="26"/>
        <v>-3.0114940880463159</v>
      </c>
    </row>
    <row r="859" spans="1:2" x14ac:dyDescent="0.25">
      <c r="A859">
        <f t="shared" si="27"/>
        <v>1.7120000000000013</v>
      </c>
      <c r="B859" s="32">
        <f t="shared" si="26"/>
        <v>-3.6219125494464848</v>
      </c>
    </row>
    <row r="860" spans="1:2" x14ac:dyDescent="0.25">
      <c r="A860">
        <f t="shared" si="27"/>
        <v>1.7140000000000013</v>
      </c>
      <c r="B860" s="32">
        <f t="shared" si="26"/>
        <v>-4.1247963941002963</v>
      </c>
    </row>
    <row r="861" spans="1:2" x14ac:dyDescent="0.25">
      <c r="A861">
        <f t="shared" si="27"/>
        <v>1.7160000000000013</v>
      </c>
      <c r="B861" s="32">
        <f t="shared" si="26"/>
        <v>-4.5054245768125085</v>
      </c>
    </row>
    <row r="862" spans="1:2" x14ac:dyDescent="0.25">
      <c r="A862">
        <f t="shared" si="27"/>
        <v>1.7180000000000013</v>
      </c>
      <c r="B862" s="32">
        <f t="shared" si="26"/>
        <v>-4.7525579319186582</v>
      </c>
    </row>
    <row r="863" spans="1:2" x14ac:dyDescent="0.25">
      <c r="A863">
        <f t="shared" si="27"/>
        <v>1.7200000000000013</v>
      </c>
      <c r="B863" s="32">
        <f t="shared" si="26"/>
        <v>-4.8587596041869467</v>
      </c>
    </row>
    <row r="864" spans="1:2" x14ac:dyDescent="0.25">
      <c r="A864">
        <f t="shared" si="27"/>
        <v>1.7220000000000013</v>
      </c>
      <c r="B864" s="32">
        <f t="shared" si="26"/>
        <v>-4.8206075199140397</v>
      </c>
    </row>
    <row r="865" spans="1:2" x14ac:dyDescent="0.25">
      <c r="A865">
        <f t="shared" si="27"/>
        <v>1.7240000000000013</v>
      </c>
      <c r="B865" s="32">
        <f t="shared" si="26"/>
        <v>-4.6387928632423394</v>
      </c>
    </row>
    <row r="866" spans="1:2" x14ac:dyDescent="0.25">
      <c r="A866">
        <f t="shared" si="27"/>
        <v>1.7260000000000013</v>
      </c>
      <c r="B866" s="32">
        <f t="shared" si="26"/>
        <v>-4.3181017581743895</v>
      </c>
    </row>
    <row r="867" spans="1:2" x14ac:dyDescent="0.25">
      <c r="A867">
        <f t="shared" si="27"/>
        <v>1.7280000000000013</v>
      </c>
      <c r="B867" s="32">
        <f t="shared" si="26"/>
        <v>-3.8672806716751658</v>
      </c>
    </row>
    <row r="868" spans="1:2" x14ac:dyDescent="0.25">
      <c r="A868">
        <f t="shared" si="27"/>
        <v>1.7300000000000013</v>
      </c>
      <c r="B868" s="32">
        <f t="shared" si="26"/>
        <v>-3.2987893535581088</v>
      </c>
    </row>
    <row r="869" spans="1:2" x14ac:dyDescent="0.25">
      <c r="A869">
        <f t="shared" si="27"/>
        <v>1.7320000000000013</v>
      </c>
      <c r="B869" s="32">
        <f t="shared" si="26"/>
        <v>-2.6284483208753691</v>
      </c>
    </row>
    <row r="870" spans="1:2" x14ac:dyDescent="0.25">
      <c r="A870">
        <f t="shared" si="27"/>
        <v>1.7340000000000013</v>
      </c>
      <c r="B870" s="32">
        <f t="shared" si="26"/>
        <v>-1.8749908876907313</v>
      </c>
    </row>
    <row r="871" spans="1:2" x14ac:dyDescent="0.25">
      <c r="A871">
        <f t="shared" si="27"/>
        <v>1.7360000000000013</v>
      </c>
      <c r="B871" s="32">
        <f t="shared" si="26"/>
        <v>-1.0595324504472727</v>
      </c>
    </row>
    <row r="872" spans="1:2" x14ac:dyDescent="0.25">
      <c r="A872">
        <f t="shared" si="27"/>
        <v>1.7380000000000013</v>
      </c>
      <c r="B872" s="32">
        <f t="shared" si="26"/>
        <v>-0.20497208776172421</v>
      </c>
    </row>
    <row r="873" spans="1:2" x14ac:dyDescent="0.25">
      <c r="A873">
        <f t="shared" si="27"/>
        <v>1.7400000000000013</v>
      </c>
      <c r="B873" s="32">
        <f t="shared" si="26"/>
        <v>0.66465654526855489</v>
      </c>
    </row>
    <row r="874" spans="1:2" x14ac:dyDescent="0.25">
      <c r="A874">
        <f t="shared" si="27"/>
        <v>1.7420000000000013</v>
      </c>
      <c r="B874" s="32">
        <f t="shared" si="26"/>
        <v>1.5248666088117848</v>
      </c>
    </row>
    <row r="875" spans="1:2" x14ac:dyDescent="0.25">
      <c r="A875">
        <f t="shared" si="27"/>
        <v>1.7440000000000013</v>
      </c>
      <c r="B875" s="32">
        <f t="shared" si="26"/>
        <v>2.3514124200655617</v>
      </c>
    </row>
    <row r="876" spans="1:2" x14ac:dyDescent="0.25">
      <c r="A876">
        <f t="shared" si="27"/>
        <v>1.7460000000000013</v>
      </c>
      <c r="B876" s="32">
        <f t="shared" si="26"/>
        <v>3.1209770411600344</v>
      </c>
    </row>
    <row r="877" spans="1:2" x14ac:dyDescent="0.25">
      <c r="A877">
        <f t="shared" si="27"/>
        <v>1.7480000000000013</v>
      </c>
      <c r="B877" s="32">
        <f t="shared" si="26"/>
        <v>3.8118336006977867</v>
      </c>
    </row>
    <row r="878" spans="1:2" x14ac:dyDescent="0.25">
      <c r="A878">
        <f t="shared" si="27"/>
        <v>1.7500000000000013</v>
      </c>
      <c r="B878" s="32">
        <f t="shared" si="26"/>
        <v>4.4044615815626758</v>
      </c>
    </row>
    <row r="879" spans="1:2" x14ac:dyDescent="0.25">
      <c r="A879">
        <f t="shared" si="27"/>
        <v>1.7520000000000013</v>
      </c>
      <c r="B879" s="32">
        <f t="shared" si="26"/>
        <v>4.8821005854062447</v>
      </c>
    </row>
    <row r="880" spans="1:2" x14ac:dyDescent="0.25">
      <c r="A880">
        <f t="shared" si="27"/>
        <v>1.7540000000000013</v>
      </c>
      <c r="B880" s="32">
        <f t="shared" si="26"/>
        <v>5.2312258583556055</v>
      </c>
    </row>
    <row r="881" spans="1:2" x14ac:dyDescent="0.25">
      <c r="A881">
        <f t="shared" si="27"/>
        <v>1.7560000000000013</v>
      </c>
      <c r="B881" s="32">
        <f t="shared" si="26"/>
        <v>5.4419320826355291</v>
      </c>
    </row>
    <row r="882" spans="1:2" x14ac:dyDescent="0.25">
      <c r="A882">
        <f t="shared" si="27"/>
        <v>1.7580000000000013</v>
      </c>
      <c r="B882" s="32">
        <f t="shared" si="26"/>
        <v>5.5082145419583384</v>
      </c>
    </row>
    <row r="883" spans="1:2" x14ac:dyDescent="0.25">
      <c r="A883">
        <f t="shared" si="27"/>
        <v>1.7600000000000013</v>
      </c>
      <c r="B883" s="32">
        <f t="shared" si="26"/>
        <v>5.4281396808188882</v>
      </c>
    </row>
    <row r="884" spans="1:2" x14ac:dyDescent="0.25">
      <c r="A884">
        <f t="shared" si="27"/>
        <v>1.7620000000000013</v>
      </c>
      <c r="B884" s="32">
        <f t="shared" si="26"/>
        <v>5.2039002165926096</v>
      </c>
    </row>
    <row r="885" spans="1:2" x14ac:dyDescent="0.25">
      <c r="A885">
        <f t="shared" si="27"/>
        <v>1.7640000000000013</v>
      </c>
      <c r="B885" s="32">
        <f t="shared" si="26"/>
        <v>4.8417532394926557</v>
      </c>
    </row>
    <row r="886" spans="1:2" x14ac:dyDescent="0.25">
      <c r="A886">
        <f t="shared" si="27"/>
        <v>1.7660000000000013</v>
      </c>
      <c r="B886" s="32">
        <f t="shared" si="26"/>
        <v>4.3518430560161585</v>
      </c>
    </row>
    <row r="887" spans="1:2" x14ac:dyDescent="0.25">
      <c r="A887">
        <f t="shared" si="27"/>
        <v>1.7680000000000013</v>
      </c>
      <c r="B887" s="32">
        <f t="shared" si="26"/>
        <v>3.7479138022623268</v>
      </c>
    </row>
    <row r="888" spans="1:2" x14ac:dyDescent="0.25">
      <c r="A888">
        <f t="shared" si="27"/>
        <v>1.7700000000000014</v>
      </c>
      <c r="B888" s="32">
        <f t="shared" si="26"/>
        <v>3.046919981607747</v>
      </c>
    </row>
    <row r="889" spans="1:2" x14ac:dyDescent="0.25">
      <c r="A889">
        <f t="shared" si="27"/>
        <v>1.7720000000000014</v>
      </c>
      <c r="B889" s="32">
        <f t="shared" si="26"/>
        <v>2.2685459779062103</v>
      </c>
    </row>
    <row r="890" spans="1:2" x14ac:dyDescent="0.25">
      <c r="A890">
        <f t="shared" si="27"/>
        <v>1.7740000000000014</v>
      </c>
      <c r="B890" s="32">
        <f t="shared" si="26"/>
        <v>1.4346481784238625</v>
      </c>
    </row>
    <row r="891" spans="1:2" x14ac:dyDescent="0.25">
      <c r="A891">
        <f t="shared" si="27"/>
        <v>1.7760000000000014</v>
      </c>
      <c r="B891" s="32">
        <f t="shared" si="26"/>
        <v>0.56863553682238388</v>
      </c>
    </row>
    <row r="892" spans="1:2" x14ac:dyDescent="0.25">
      <c r="A892">
        <f t="shared" si="27"/>
        <v>1.7780000000000014</v>
      </c>
      <c r="B892" s="32">
        <f t="shared" si="26"/>
        <v>-0.30519384665814764</v>
      </c>
    </row>
    <row r="893" spans="1:2" x14ac:dyDescent="0.25">
      <c r="A893">
        <f t="shared" si="27"/>
        <v>1.7800000000000014</v>
      </c>
      <c r="B893" s="32">
        <f t="shared" si="26"/>
        <v>-1.1623413026774674</v>
      </c>
    </row>
    <row r="894" spans="1:2" x14ac:dyDescent="0.25">
      <c r="A894">
        <f t="shared" si="27"/>
        <v>1.7820000000000014</v>
      </c>
      <c r="B894" s="32">
        <f t="shared" si="26"/>
        <v>-1.978801789066615</v>
      </c>
    </row>
    <row r="895" spans="1:2" x14ac:dyDescent="0.25">
      <c r="A895">
        <f t="shared" si="27"/>
        <v>1.7840000000000014</v>
      </c>
      <c r="B895" s="32">
        <f t="shared" si="26"/>
        <v>-2.731744007807881</v>
      </c>
    </row>
    <row r="896" spans="1:2" x14ac:dyDescent="0.25">
      <c r="A896">
        <f t="shared" si="27"/>
        <v>1.7860000000000014</v>
      </c>
      <c r="B896" s="32">
        <f t="shared" si="26"/>
        <v>-3.400157144469385</v>
      </c>
    </row>
    <row r="897" spans="1:2" x14ac:dyDescent="0.25">
      <c r="A897">
        <f t="shared" si="27"/>
        <v>1.7880000000000014</v>
      </c>
      <c r="B897" s="32">
        <f t="shared" si="26"/>
        <v>-3.9654458793426803</v>
      </c>
    </row>
    <row r="898" spans="1:2" x14ac:dyDescent="0.25">
      <c r="A898">
        <f t="shared" si="27"/>
        <v>1.7900000000000014</v>
      </c>
      <c r="B898" s="32">
        <f t="shared" si="26"/>
        <v>-4.4119567878417723</v>
      </c>
    </row>
    <row r="899" spans="1:2" x14ac:dyDescent="0.25">
      <c r="A899">
        <f t="shared" si="27"/>
        <v>1.7920000000000014</v>
      </c>
      <c r="B899" s="32">
        <f t="shared" si="26"/>
        <v>-4.7274211951481728</v>
      </c>
    </row>
    <row r="900" spans="1:2" x14ac:dyDescent="0.25">
      <c r="A900">
        <f t="shared" si="27"/>
        <v>1.7940000000000014</v>
      </c>
      <c r="B900" s="32">
        <f t="shared" ref="B900:B963" si="28">0.323585334495683*COS(1.25226098841235 - 29.4037227718803*$A900) - 0.278838680632391*COS(1.04090145025875*$A900) - 5.11813177262468*COS(0.597704127771972 - 84.3329956365773*$A900)</f>
        <v>-4.903301921363683</v>
      </c>
    </row>
    <row r="901" spans="1:2" x14ac:dyDescent="0.25">
      <c r="A901">
        <f t="shared" ref="A901:A964" si="29">+A900+$A$1</f>
        <v>1.7960000000000014</v>
      </c>
      <c r="B901" s="32">
        <f t="shared" si="28"/>
        <v>-4.9350340812677738</v>
      </c>
    </row>
    <row r="902" spans="1:2" x14ac:dyDescent="0.25">
      <c r="A902">
        <f t="shared" si="29"/>
        <v>1.7980000000000014</v>
      </c>
      <c r="B902" s="32">
        <f t="shared" si="28"/>
        <v>-4.8221531097407171</v>
      </c>
    </row>
    <row r="903" spans="1:2" x14ac:dyDescent="0.25">
      <c r="A903">
        <f t="shared" si="29"/>
        <v>1.8000000000000014</v>
      </c>
      <c r="B903" s="32">
        <f t="shared" si="28"/>
        <v>-4.568306384672681</v>
      </c>
    </row>
    <row r="904" spans="1:2" x14ac:dyDescent="0.25">
      <c r="A904">
        <f t="shared" si="29"/>
        <v>1.8020000000000014</v>
      </c>
      <c r="B904" s="32">
        <f t="shared" si="28"/>
        <v>-4.1811481228910425</v>
      </c>
    </row>
    <row r="905" spans="1:2" x14ac:dyDescent="0.25">
      <c r="A905">
        <f t="shared" si="29"/>
        <v>1.8040000000000014</v>
      </c>
      <c r="B905" s="32">
        <f t="shared" si="28"/>
        <v>-3.6721205375396382</v>
      </c>
    </row>
    <row r="906" spans="1:2" x14ac:dyDescent="0.25">
      <c r="A906">
        <f t="shared" si="29"/>
        <v>1.8060000000000014</v>
      </c>
      <c r="B906" s="32">
        <f t="shared" si="28"/>
        <v>-3.0561274734124022</v>
      </c>
    </row>
    <row r="907" spans="1:2" x14ac:dyDescent="0.25">
      <c r="A907">
        <f t="shared" si="29"/>
        <v>1.8080000000000014</v>
      </c>
      <c r="B907" s="32">
        <f t="shared" si="28"/>
        <v>-2.3511097883616108</v>
      </c>
    </row>
    <row r="908" spans="1:2" x14ac:dyDescent="0.25">
      <c r="A908">
        <f t="shared" si="29"/>
        <v>1.8100000000000014</v>
      </c>
      <c r="B908" s="32">
        <f t="shared" si="28"/>
        <v>-1.5775345374670173</v>
      </c>
    </row>
    <row r="909" spans="1:2" x14ac:dyDescent="0.25">
      <c r="A909">
        <f t="shared" si="29"/>
        <v>1.8120000000000014</v>
      </c>
      <c r="B909" s="32">
        <f t="shared" si="28"/>
        <v>-0.75781246301480787</v>
      </c>
    </row>
    <row r="910" spans="1:2" x14ac:dyDescent="0.25">
      <c r="A910">
        <f t="shared" si="29"/>
        <v>1.8140000000000014</v>
      </c>
      <c r="B910" s="32">
        <f t="shared" si="28"/>
        <v>8.4339671929492849E-2</v>
      </c>
    </row>
    <row r="911" spans="1:2" x14ac:dyDescent="0.25">
      <c r="A911">
        <f t="shared" si="29"/>
        <v>1.8160000000000014</v>
      </c>
      <c r="B911" s="32">
        <f t="shared" si="28"/>
        <v>0.92457380320529081</v>
      </c>
    </row>
    <row r="912" spans="1:2" x14ac:dyDescent="0.25">
      <c r="A912">
        <f t="shared" si="29"/>
        <v>1.8180000000000014</v>
      </c>
      <c r="B912" s="32">
        <f t="shared" si="28"/>
        <v>1.7386031837945601</v>
      </c>
    </row>
    <row r="913" spans="1:2" x14ac:dyDescent="0.25">
      <c r="A913">
        <f t="shared" si="29"/>
        <v>1.8200000000000014</v>
      </c>
      <c r="B913" s="32">
        <f t="shared" si="28"/>
        <v>2.5028932379967368</v>
      </c>
    </row>
    <row r="914" spans="1:2" x14ac:dyDescent="0.25">
      <c r="A914">
        <f t="shared" si="29"/>
        <v>1.8220000000000014</v>
      </c>
      <c r="B914" s="32">
        <f t="shared" si="28"/>
        <v>3.1953310390676317</v>
      </c>
    </row>
    <row r="915" spans="1:2" x14ac:dyDescent="0.25">
      <c r="A915">
        <f t="shared" si="29"/>
        <v>1.8240000000000014</v>
      </c>
      <c r="B915" s="32">
        <f t="shared" si="28"/>
        <v>3.7958544046421387</v>
      </c>
    </row>
    <row r="916" spans="1:2" x14ac:dyDescent="0.25">
      <c r="A916">
        <f t="shared" si="29"/>
        <v>1.8260000000000014</v>
      </c>
      <c r="B916" s="32">
        <f t="shared" si="28"/>
        <v>4.2870227504537466</v>
      </c>
    </row>
    <row r="917" spans="1:2" x14ac:dyDescent="0.25">
      <c r="A917">
        <f t="shared" si="29"/>
        <v>1.8280000000000014</v>
      </c>
      <c r="B917" s="32">
        <f t="shared" si="28"/>
        <v>4.6545134959552215</v>
      </c>
    </row>
    <row r="918" spans="1:2" x14ac:dyDescent="0.25">
      <c r="A918">
        <f t="shared" si="29"/>
        <v>1.8300000000000014</v>
      </c>
      <c r="B918" s="32">
        <f t="shared" si="28"/>
        <v>4.8875299284984415</v>
      </c>
    </row>
    <row r="919" spans="1:2" x14ac:dyDescent="0.25">
      <c r="A919">
        <f t="shared" si="29"/>
        <v>1.8320000000000014</v>
      </c>
      <c r="B919" s="32">
        <f t="shared" si="28"/>
        <v>4.9791089457821558</v>
      </c>
    </row>
    <row r="920" spans="1:2" x14ac:dyDescent="0.25">
      <c r="A920">
        <f t="shared" si="29"/>
        <v>1.8340000000000014</v>
      </c>
      <c r="B920" s="32">
        <f t="shared" si="28"/>
        <v>4.9263199380069951</v>
      </c>
    </row>
    <row r="921" spans="1:2" x14ac:dyDescent="0.25">
      <c r="A921">
        <f t="shared" si="29"/>
        <v>1.8360000000000014</v>
      </c>
      <c r="B921" s="32">
        <f t="shared" si="28"/>
        <v>4.730349160926524</v>
      </c>
    </row>
    <row r="922" spans="1:2" x14ac:dyDescent="0.25">
      <c r="A922">
        <f t="shared" si="29"/>
        <v>1.8380000000000014</v>
      </c>
      <c r="B922" s="32">
        <f t="shared" si="28"/>
        <v>4.3964672010674404</v>
      </c>
    </row>
    <row r="923" spans="1:2" x14ac:dyDescent="0.25">
      <c r="A923">
        <f t="shared" si="29"/>
        <v>1.8400000000000014</v>
      </c>
      <c r="B923" s="32">
        <f t="shared" si="28"/>
        <v>3.9338804525695159</v>
      </c>
    </row>
    <row r="924" spans="1:2" x14ac:dyDescent="0.25">
      <c r="A924">
        <f t="shared" si="29"/>
        <v>1.8420000000000014</v>
      </c>
      <c r="B924" s="32">
        <f t="shared" si="28"/>
        <v>3.35547081718925</v>
      </c>
    </row>
    <row r="925" spans="1:2" x14ac:dyDescent="0.25">
      <c r="A925">
        <f t="shared" si="29"/>
        <v>1.8440000000000014</v>
      </c>
      <c r="B925" s="32">
        <f t="shared" si="28"/>
        <v>2.6774310115948627</v>
      </c>
    </row>
    <row r="926" spans="1:2" x14ac:dyDescent="0.25">
      <c r="A926">
        <f t="shared" si="29"/>
        <v>1.8460000000000014</v>
      </c>
      <c r="B926" s="32">
        <f t="shared" si="28"/>
        <v>1.9188058291010326</v>
      </c>
    </row>
    <row r="927" spans="1:2" x14ac:dyDescent="0.25">
      <c r="A927">
        <f t="shared" si="29"/>
        <v>1.8480000000000014</v>
      </c>
      <c r="B927" s="32">
        <f t="shared" si="28"/>
        <v>1.1009523723710124</v>
      </c>
    </row>
    <row r="928" spans="1:2" x14ac:dyDescent="0.25">
      <c r="A928">
        <f t="shared" si="29"/>
        <v>1.8500000000000014</v>
      </c>
      <c r="B928" s="32">
        <f t="shared" si="28"/>
        <v>0.24693457357583468</v>
      </c>
    </row>
    <row r="929" spans="1:2" x14ac:dyDescent="0.25">
      <c r="A929">
        <f t="shared" si="29"/>
        <v>1.8520000000000014</v>
      </c>
      <c r="B929" s="32">
        <f t="shared" si="28"/>
        <v>-0.61913081622181587</v>
      </c>
    </row>
    <row r="930" spans="1:2" x14ac:dyDescent="0.25">
      <c r="A930">
        <f t="shared" si="29"/>
        <v>1.8540000000000014</v>
      </c>
      <c r="B930" s="32">
        <f t="shared" si="28"/>
        <v>-1.4727582090338307</v>
      </c>
    </row>
    <row r="931" spans="1:2" x14ac:dyDescent="0.25">
      <c r="A931">
        <f t="shared" si="29"/>
        <v>1.8560000000000014</v>
      </c>
      <c r="B931" s="32">
        <f t="shared" si="28"/>
        <v>-2.2897877229131796</v>
      </c>
    </row>
    <row r="932" spans="1:2" x14ac:dyDescent="0.25">
      <c r="A932">
        <f t="shared" si="29"/>
        <v>1.8580000000000014</v>
      </c>
      <c r="B932" s="32">
        <f t="shared" si="28"/>
        <v>-3.047070575519208</v>
      </c>
    </row>
    <row r="933" spans="1:2" x14ac:dyDescent="0.25">
      <c r="A933">
        <f t="shared" si="29"/>
        <v>1.8600000000000014</v>
      </c>
      <c r="B933" s="32">
        <f t="shared" si="28"/>
        <v>-3.7231258772166069</v>
      </c>
    </row>
    <row r="934" spans="1:2" x14ac:dyDescent="0.25">
      <c r="A934">
        <f t="shared" si="29"/>
        <v>1.8620000000000014</v>
      </c>
      <c r="B934" s="32">
        <f t="shared" si="28"/>
        <v>-4.2987501840258737</v>
      </c>
    </row>
    <row r="935" spans="1:2" x14ac:dyDescent="0.25">
      <c r="A935">
        <f t="shared" si="29"/>
        <v>1.8640000000000014</v>
      </c>
      <c r="B935" s="32">
        <f t="shared" si="28"/>
        <v>-4.757562511118687</v>
      </c>
    </row>
    <row r="936" spans="1:2" x14ac:dyDescent="0.25">
      <c r="A936">
        <f t="shared" si="29"/>
        <v>1.8660000000000014</v>
      </c>
      <c r="B936" s="32">
        <f t="shared" si="28"/>
        <v>-5.0864693389073228</v>
      </c>
    </row>
    <row r="937" spans="1:2" x14ac:dyDescent="0.25">
      <c r="A937">
        <f t="shared" si="29"/>
        <v>1.8680000000000014</v>
      </c>
      <c r="B937" s="32">
        <f t="shared" si="28"/>
        <v>-5.2760364141200657</v>
      </c>
    </row>
    <row r="938" spans="1:2" x14ac:dyDescent="0.25">
      <c r="A938">
        <f t="shared" si="29"/>
        <v>1.8700000000000014</v>
      </c>
      <c r="B938" s="32">
        <f t="shared" si="28"/>
        <v>-5.3207567931574244</v>
      </c>
    </row>
    <row r="939" spans="1:2" x14ac:dyDescent="0.25">
      <c r="A939">
        <f t="shared" si="29"/>
        <v>1.8720000000000014</v>
      </c>
      <c r="B939" s="32">
        <f t="shared" si="28"/>
        <v>-5.2192075194280276</v>
      </c>
    </row>
    <row r="940" spans="1:2" x14ac:dyDescent="0.25">
      <c r="A940">
        <f t="shared" si="29"/>
        <v>1.8740000000000014</v>
      </c>
      <c r="B940" s="32">
        <f t="shared" si="28"/>
        <v>-4.9740904866964728</v>
      </c>
    </row>
    <row r="941" spans="1:2" x14ac:dyDescent="0.25">
      <c r="A941">
        <f t="shared" si="29"/>
        <v>1.8760000000000014</v>
      </c>
      <c r="B941" s="32">
        <f t="shared" si="28"/>
        <v>-4.5921563270522761</v>
      </c>
    </row>
    <row r="942" spans="1:2" x14ac:dyDescent="0.25">
      <c r="A942">
        <f t="shared" si="29"/>
        <v>1.8780000000000014</v>
      </c>
      <c r="B942" s="32">
        <f t="shared" si="28"/>
        <v>-4.0840134816534208</v>
      </c>
    </row>
    <row r="943" spans="1:2" x14ac:dyDescent="0.25">
      <c r="A943">
        <f t="shared" si="29"/>
        <v>1.8800000000000014</v>
      </c>
      <c r="B943" s="32">
        <f t="shared" si="28"/>
        <v>-3.4638278706964352</v>
      </c>
    </row>
    <row r="944" spans="1:2" x14ac:dyDescent="0.25">
      <c r="A944">
        <f t="shared" si="29"/>
        <v>1.8820000000000014</v>
      </c>
      <c r="B944" s="32">
        <f t="shared" si="28"/>
        <v>-2.7489216836526484</v>
      </c>
    </row>
    <row r="945" spans="1:2" x14ac:dyDescent="0.25">
      <c r="A945">
        <f t="shared" si="29"/>
        <v>1.8840000000000015</v>
      </c>
      <c r="B945" s="32">
        <f t="shared" si="28"/>
        <v>-1.9592826735652311</v>
      </c>
    </row>
    <row r="946" spans="1:2" x14ac:dyDescent="0.25">
      <c r="A946">
        <f t="shared" si="29"/>
        <v>1.8860000000000015</v>
      </c>
      <c r="B946" s="32">
        <f t="shared" si="28"/>
        <v>-1.1169978788938812</v>
      </c>
    </row>
    <row r="947" spans="1:2" x14ac:dyDescent="0.25">
      <c r="A947">
        <f t="shared" si="29"/>
        <v>1.8880000000000015</v>
      </c>
      <c r="B947" s="32">
        <f t="shared" si="28"/>
        <v>-0.24562784092938719</v>
      </c>
    </row>
    <row r="948" spans="1:2" x14ac:dyDescent="0.25">
      <c r="A948">
        <f t="shared" si="29"/>
        <v>1.8900000000000015</v>
      </c>
      <c r="B948" s="32">
        <f t="shared" si="28"/>
        <v>0.63046092667436804</v>
      </c>
    </row>
    <row r="949" spans="1:2" x14ac:dyDescent="0.25">
      <c r="A949">
        <f t="shared" si="29"/>
        <v>1.8920000000000015</v>
      </c>
      <c r="B949" s="32">
        <f t="shared" si="28"/>
        <v>1.4867862751061764</v>
      </c>
    </row>
    <row r="950" spans="1:2" x14ac:dyDescent="0.25">
      <c r="A950">
        <f t="shared" si="29"/>
        <v>1.8940000000000015</v>
      </c>
      <c r="B950" s="32">
        <f t="shared" si="28"/>
        <v>2.2994439761587531</v>
      </c>
    </row>
    <row r="951" spans="1:2" x14ac:dyDescent="0.25">
      <c r="A951">
        <f t="shared" si="29"/>
        <v>1.8960000000000015</v>
      </c>
      <c r="B951" s="32">
        <f t="shared" si="28"/>
        <v>3.0457848172368531</v>
      </c>
    </row>
    <row r="952" spans="1:2" x14ac:dyDescent="0.25">
      <c r="A952">
        <f t="shared" si="29"/>
        <v>1.8980000000000015</v>
      </c>
      <c r="B952" s="32">
        <f t="shared" si="28"/>
        <v>3.7050560236723533</v>
      </c>
    </row>
    <row r="953" spans="1:2" x14ac:dyDescent="0.25">
      <c r="A953">
        <f t="shared" si="29"/>
        <v>1.9000000000000015</v>
      </c>
      <c r="B953" s="32">
        <f t="shared" si="28"/>
        <v>4.25898880902239</v>
      </c>
    </row>
    <row r="954" spans="1:2" x14ac:dyDescent="0.25">
      <c r="A954">
        <f t="shared" si="29"/>
        <v>1.9020000000000015</v>
      </c>
      <c r="B954" s="32">
        <f t="shared" si="28"/>
        <v>4.6923153831237556</v>
      </c>
    </row>
    <row r="955" spans="1:2" x14ac:dyDescent="0.25">
      <c r="A955">
        <f t="shared" si="29"/>
        <v>1.9040000000000015</v>
      </c>
      <c r="B955" s="32">
        <f t="shared" si="28"/>
        <v>4.9932007498836963</v>
      </c>
    </row>
    <row r="956" spans="1:2" x14ac:dyDescent="0.25">
      <c r="A956">
        <f t="shared" si="29"/>
        <v>1.9060000000000015</v>
      </c>
      <c r="B956" s="32">
        <f t="shared" si="28"/>
        <v>5.1535770452611738</v>
      </c>
    </row>
    <row r="957" spans="1:2" x14ac:dyDescent="0.25">
      <c r="A957">
        <f t="shared" si="29"/>
        <v>1.9080000000000015</v>
      </c>
      <c r="B957" s="32">
        <f t="shared" si="28"/>
        <v>5.1693709320005743</v>
      </c>
    </row>
    <row r="958" spans="1:2" x14ac:dyDescent="0.25">
      <c r="A958">
        <f t="shared" si="29"/>
        <v>1.9100000000000015</v>
      </c>
      <c r="B958" s="32">
        <f t="shared" si="28"/>
        <v>5.0406176029211922</v>
      </c>
    </row>
    <row r="959" spans="1:2" x14ac:dyDescent="0.25">
      <c r="A959">
        <f t="shared" si="29"/>
        <v>1.9120000000000015</v>
      </c>
      <c r="B959" s="32">
        <f t="shared" si="28"/>
        <v>4.7714581627894876</v>
      </c>
    </row>
    <row r="960" spans="1:2" x14ac:dyDescent="0.25">
      <c r="A960">
        <f t="shared" si="29"/>
        <v>1.9140000000000015</v>
      </c>
      <c r="B960" s="32">
        <f t="shared" si="28"/>
        <v>4.3700204686770334</v>
      </c>
    </row>
    <row r="961" spans="1:2" x14ac:dyDescent="0.25">
      <c r="A961">
        <f t="shared" si="29"/>
        <v>1.9160000000000015</v>
      </c>
      <c r="B961" s="32">
        <f t="shared" si="28"/>
        <v>3.848186816296101</v>
      </c>
    </row>
    <row r="962" spans="1:2" x14ac:dyDescent="0.25">
      <c r="A962">
        <f t="shared" si="29"/>
        <v>1.9180000000000015</v>
      </c>
      <c r="B962" s="32">
        <f t="shared" si="28"/>
        <v>3.2212550712320089</v>
      </c>
    </row>
    <row r="963" spans="1:2" x14ac:dyDescent="0.25">
      <c r="A963">
        <f t="shared" si="29"/>
        <v>1.9200000000000015</v>
      </c>
      <c r="B963" s="32">
        <f t="shared" si="28"/>
        <v>2.5075028681213838</v>
      </c>
    </row>
    <row r="964" spans="1:2" x14ac:dyDescent="0.25">
      <c r="A964">
        <f t="shared" si="29"/>
        <v>1.9220000000000015</v>
      </c>
      <c r="B964" s="32">
        <f t="shared" ref="B964:B1027" si="30">0.323585334495683*COS(1.25226098841235 - 29.4037227718803*$A964) - 0.278838680632391*COS(1.04090145025875*$A964) - 5.11813177262468*COS(0.597704127771972 - 84.3329956365773*$A964)</f>
        <v>1.7276672518175411</v>
      </c>
    </row>
    <row r="965" spans="1:2" x14ac:dyDescent="0.25">
      <c r="A965">
        <f t="shared" ref="A965:A1028" si="31">+A964+$A$1</f>
        <v>1.9240000000000015</v>
      </c>
      <c r="B965" s="32">
        <f t="shared" si="30"/>
        <v>0.90435453438080327</v>
      </c>
    </row>
    <row r="966" spans="1:2" x14ac:dyDescent="0.25">
      <c r="A966">
        <f t="shared" si="31"/>
        <v>1.9260000000000015</v>
      </c>
      <c r="B966" s="32">
        <f t="shared" si="30"/>
        <v>6.1397122206752364E-2</v>
      </c>
    </row>
    <row r="967" spans="1:2" x14ac:dyDescent="0.25">
      <c r="A967">
        <f t="shared" si="31"/>
        <v>1.9280000000000015</v>
      </c>
      <c r="B967" s="32">
        <f t="shared" si="30"/>
        <v>-0.77682442743777824</v>
      </c>
    </row>
    <row r="968" spans="1:2" x14ac:dyDescent="0.25">
      <c r="A968">
        <f t="shared" si="31"/>
        <v>1.9300000000000015</v>
      </c>
      <c r="B968" s="32">
        <f t="shared" si="30"/>
        <v>-1.5860748744718145</v>
      </c>
    </row>
    <row r="969" spans="1:2" x14ac:dyDescent="0.25">
      <c r="A969">
        <f t="shared" si="31"/>
        <v>1.9320000000000015</v>
      </c>
      <c r="B969" s="32">
        <f t="shared" si="30"/>
        <v>-2.3429536021661033</v>
      </c>
    </row>
    <row r="970" spans="1:2" x14ac:dyDescent="0.25">
      <c r="A970">
        <f t="shared" si="31"/>
        <v>1.9340000000000015</v>
      </c>
      <c r="B970" s="32">
        <f t="shared" si="30"/>
        <v>-3.0255601931816201</v>
      </c>
    </row>
    <row r="971" spans="1:2" x14ac:dyDescent="0.25">
      <c r="A971">
        <f t="shared" si="31"/>
        <v>1.9360000000000015</v>
      </c>
      <c r="B971" s="32">
        <f t="shared" si="30"/>
        <v>-3.6141173808696925</v>
      </c>
    </row>
    <row r="972" spans="1:2" x14ac:dyDescent="0.25">
      <c r="A972">
        <f t="shared" si="31"/>
        <v>1.9380000000000015</v>
      </c>
      <c r="B972" s="32">
        <f t="shared" si="30"/>
        <v>-4.0915336911179887</v>
      </c>
    </row>
    <row r="973" spans="1:2" x14ac:dyDescent="0.25">
      <c r="A973">
        <f t="shared" si="31"/>
        <v>1.9400000000000015</v>
      </c>
      <c r="B973" s="32">
        <f t="shared" si="30"/>
        <v>-4.4438898018407453</v>
      </c>
    </row>
    <row r="974" spans="1:2" x14ac:dyDescent="0.25">
      <c r="A974">
        <f t="shared" si="31"/>
        <v>1.9420000000000015</v>
      </c>
      <c r="B974" s="32">
        <f t="shared" si="30"/>
        <v>-4.6608348123640271</v>
      </c>
    </row>
    <row r="975" spans="1:2" x14ac:dyDescent="0.25">
      <c r="A975">
        <f t="shared" si="31"/>
        <v>1.9440000000000015</v>
      </c>
      <c r="B975" s="32">
        <f t="shared" si="30"/>
        <v>-4.7358811720078373</v>
      </c>
    </row>
    <row r="976" spans="1:2" x14ac:dyDescent="0.25">
      <c r="A976">
        <f t="shared" si="31"/>
        <v>1.9460000000000015</v>
      </c>
      <c r="B976" s="32">
        <f t="shared" si="30"/>
        <v>-4.6665898935277097</v>
      </c>
    </row>
    <row r="977" spans="1:2" x14ac:dyDescent="0.25">
      <c r="A977">
        <f t="shared" si="31"/>
        <v>1.9480000000000015</v>
      </c>
      <c r="B977" s="32">
        <f t="shared" si="30"/>
        <v>-4.4546407911313928</v>
      </c>
    </row>
    <row r="978" spans="1:2" x14ac:dyDescent="0.25">
      <c r="A978">
        <f t="shared" si="31"/>
        <v>1.9500000000000015</v>
      </c>
      <c r="B978" s="32">
        <f t="shared" si="30"/>
        <v>-4.1057857461385208</v>
      </c>
    </row>
    <row r="979" spans="1:2" x14ac:dyDescent="0.25">
      <c r="A979">
        <f t="shared" si="31"/>
        <v>1.9520000000000015</v>
      </c>
      <c r="B979" s="32">
        <f t="shared" si="30"/>
        <v>-3.6296863233928769</v>
      </c>
    </row>
    <row r="980" spans="1:2" x14ac:dyDescent="0.25">
      <c r="A980">
        <f t="shared" si="31"/>
        <v>1.9540000000000015</v>
      </c>
      <c r="B980" s="32">
        <f t="shared" si="30"/>
        <v>-3.0396403440383377</v>
      </c>
    </row>
    <row r="981" spans="1:2" x14ac:dyDescent="0.25">
      <c r="A981">
        <f t="shared" si="31"/>
        <v>1.9560000000000015</v>
      </c>
      <c r="B981" s="32">
        <f t="shared" si="30"/>
        <v>-2.3522051720681412</v>
      </c>
    </row>
    <row r="982" spans="1:2" x14ac:dyDescent="0.25">
      <c r="A982">
        <f t="shared" si="31"/>
        <v>1.9580000000000015</v>
      </c>
      <c r="B982" s="32">
        <f t="shared" si="30"/>
        <v>-1.5867284037085942</v>
      </c>
    </row>
    <row r="983" spans="1:2" x14ac:dyDescent="0.25">
      <c r="A983">
        <f t="shared" si="31"/>
        <v>1.9600000000000015</v>
      </c>
      <c r="B983" s="32">
        <f t="shared" si="30"/>
        <v>-0.76479927698476835</v>
      </c>
    </row>
    <row r="984" spans="1:2" x14ac:dyDescent="0.25">
      <c r="A984">
        <f t="shared" si="31"/>
        <v>1.9620000000000015</v>
      </c>
      <c r="B984" s="32">
        <f t="shared" si="30"/>
        <v>9.0363630837586917E-2</v>
      </c>
    </row>
    <row r="985" spans="1:2" x14ac:dyDescent="0.25">
      <c r="A985">
        <f t="shared" si="31"/>
        <v>1.9640000000000015</v>
      </c>
      <c r="B985" s="32">
        <f t="shared" si="30"/>
        <v>0.95457104171997287</v>
      </c>
    </row>
    <row r="986" spans="1:2" x14ac:dyDescent="0.25">
      <c r="A986">
        <f t="shared" si="31"/>
        <v>1.9660000000000015</v>
      </c>
      <c r="B986" s="32">
        <f t="shared" si="30"/>
        <v>1.8033492596389928</v>
      </c>
    </row>
    <row r="987" spans="1:2" x14ac:dyDescent="0.25">
      <c r="A987">
        <f t="shared" si="31"/>
        <v>1.9680000000000015</v>
      </c>
      <c r="B987" s="32">
        <f t="shared" si="30"/>
        <v>2.6126346212025782</v>
      </c>
    </row>
    <row r="988" spans="1:2" x14ac:dyDescent="0.25">
      <c r="A988">
        <f t="shared" si="31"/>
        <v>1.9700000000000015</v>
      </c>
      <c r="B988" s="32">
        <f t="shared" si="30"/>
        <v>3.359456405465953</v>
      </c>
    </row>
    <row r="989" spans="1:2" x14ac:dyDescent="0.25">
      <c r="A989">
        <f t="shared" si="31"/>
        <v>1.9720000000000015</v>
      </c>
      <c r="B989" s="32">
        <f t="shared" si="30"/>
        <v>4.0225888215232857</v>
      </c>
    </row>
    <row r="990" spans="1:2" x14ac:dyDescent="0.25">
      <c r="A990">
        <f t="shared" si="31"/>
        <v>1.9740000000000015</v>
      </c>
      <c r="B990" s="32">
        <f t="shared" si="30"/>
        <v>4.5831535697126968</v>
      </c>
    </row>
    <row r="991" spans="1:2" x14ac:dyDescent="0.25">
      <c r="A991">
        <f t="shared" si="31"/>
        <v>1.9760000000000015</v>
      </c>
      <c r="B991" s="32">
        <f t="shared" si="30"/>
        <v>5.0251558747060567</v>
      </c>
    </row>
    <row r="992" spans="1:2" x14ac:dyDescent="0.25">
      <c r="A992">
        <f t="shared" si="31"/>
        <v>1.9780000000000015</v>
      </c>
      <c r="B992" s="32">
        <f t="shared" si="30"/>
        <v>5.3359387765470716</v>
      </c>
    </row>
    <row r="993" spans="1:2" x14ac:dyDescent="0.25">
      <c r="A993">
        <f t="shared" si="31"/>
        <v>1.9800000000000015</v>
      </c>
      <c r="B993" s="32">
        <f t="shared" si="30"/>
        <v>5.506542785278814</v>
      </c>
    </row>
    <row r="994" spans="1:2" x14ac:dyDescent="0.25">
      <c r="A994">
        <f t="shared" si="31"/>
        <v>1.9820000000000015</v>
      </c>
      <c r="B994" s="32">
        <f t="shared" si="30"/>
        <v>5.5319606903432428</v>
      </c>
    </row>
    <row r="995" spans="1:2" x14ac:dyDescent="0.25">
      <c r="A995">
        <f t="shared" si="31"/>
        <v>1.9840000000000015</v>
      </c>
      <c r="B995" s="32">
        <f t="shared" si="30"/>
        <v>5.411280291208536</v>
      </c>
    </row>
    <row r="996" spans="1:2" x14ac:dyDescent="0.25">
      <c r="A996">
        <f t="shared" si="31"/>
        <v>1.9860000000000015</v>
      </c>
      <c r="B996" s="32">
        <f t="shared" si="30"/>
        <v>5.1477109962604821</v>
      </c>
    </row>
    <row r="997" spans="1:2" x14ac:dyDescent="0.25">
      <c r="A997">
        <f t="shared" si="31"/>
        <v>1.9880000000000015</v>
      </c>
      <c r="B997" s="32">
        <f t="shared" si="30"/>
        <v>4.7484935326038835</v>
      </c>
    </row>
    <row r="998" spans="1:2" x14ac:dyDescent="0.25">
      <c r="A998">
        <f t="shared" si="31"/>
        <v>1.9900000000000015</v>
      </c>
      <c r="B998" s="32">
        <f t="shared" si="30"/>
        <v>4.224695326535385</v>
      </c>
    </row>
    <row r="999" spans="1:2" x14ac:dyDescent="0.25">
      <c r="A999">
        <f t="shared" si="31"/>
        <v>1.9920000000000015</v>
      </c>
      <c r="B999" s="32">
        <f t="shared" si="30"/>
        <v>3.5908973589247775</v>
      </c>
    </row>
    <row r="1000" spans="1:2" x14ac:dyDescent="0.25">
      <c r="A1000">
        <f t="shared" si="31"/>
        <v>1.9940000000000015</v>
      </c>
      <c r="B1000" s="32">
        <f t="shared" si="30"/>
        <v>2.8647813794972468</v>
      </c>
    </row>
    <row r="1001" spans="1:2" x14ac:dyDescent="0.25">
      <c r="A1001">
        <f t="shared" si="31"/>
        <v>1.9960000000000016</v>
      </c>
      <c r="B1001" s="32">
        <f t="shared" si="30"/>
        <v>2.0666291916462378</v>
      </c>
    </row>
    <row r="1002" spans="1:2" x14ac:dyDescent="0.25">
      <c r="A1002">
        <f t="shared" si="31"/>
        <v>1.9980000000000016</v>
      </c>
      <c r="B1002" s="32">
        <f t="shared" si="30"/>
        <v>1.2187482146609707</v>
      </c>
    </row>
    <row r="1003" spans="1:2" x14ac:dyDescent="0.25">
      <c r="A1003">
        <f t="shared" si="31"/>
        <v>2.0000000000000013</v>
      </c>
      <c r="B1003" s="32">
        <f t="shared" si="30"/>
        <v>0.34483962232845733</v>
      </c>
    </row>
    <row r="1004" spans="1:2" x14ac:dyDescent="0.25">
      <c r="A1004">
        <f t="shared" si="31"/>
        <v>2.0020000000000011</v>
      </c>
      <c r="B1004" s="32">
        <f t="shared" si="30"/>
        <v>-0.5306730136291552</v>
      </c>
    </row>
    <row r="1005" spans="1:2" x14ac:dyDescent="0.25">
      <c r="A1005">
        <f t="shared" si="31"/>
        <v>2.0040000000000009</v>
      </c>
      <c r="B1005" s="32">
        <f t="shared" si="30"/>
        <v>-1.3833355261225089</v>
      </c>
    </row>
    <row r="1006" spans="1:2" x14ac:dyDescent="0.25">
      <c r="A1006">
        <f t="shared" si="31"/>
        <v>2.0060000000000007</v>
      </c>
      <c r="B1006" s="32">
        <f t="shared" si="30"/>
        <v>-2.1893557720303312</v>
      </c>
    </row>
    <row r="1007" spans="1:2" x14ac:dyDescent="0.25">
      <c r="A1007">
        <f t="shared" si="31"/>
        <v>2.0080000000000005</v>
      </c>
      <c r="B1007" s="32">
        <f t="shared" si="30"/>
        <v>-2.9262774160588907</v>
      </c>
    </row>
    <row r="1008" spans="1:2" x14ac:dyDescent="0.25">
      <c r="A1008">
        <f t="shared" si="31"/>
        <v>2.0100000000000002</v>
      </c>
      <c r="B1008" s="32">
        <f t="shared" si="30"/>
        <v>-3.5736157616151702</v>
      </c>
    </row>
    <row r="1009" spans="1:2" x14ac:dyDescent="0.25">
      <c r="A1009">
        <f t="shared" si="31"/>
        <v>2.012</v>
      </c>
      <c r="B1009" s="32">
        <f t="shared" si="30"/>
        <v>-4.113437588460604</v>
      </c>
    </row>
    <row r="1010" spans="1:2" x14ac:dyDescent="0.25">
      <c r="A1010">
        <f t="shared" si="31"/>
        <v>2.0139999999999998</v>
      </c>
      <c r="B1010" s="32">
        <f t="shared" si="30"/>
        <v>-4.5308685461737115</v>
      </c>
    </row>
    <row r="1011" spans="1:2" x14ac:dyDescent="0.25">
      <c r="A1011">
        <f t="shared" si="31"/>
        <v>2.0159999999999996</v>
      </c>
      <c r="B1011" s="32">
        <f t="shared" si="30"/>
        <v>-4.814513708587187</v>
      </c>
    </row>
    <row r="1012" spans="1:2" x14ac:dyDescent="0.25">
      <c r="A1012">
        <f t="shared" si="31"/>
        <v>2.0179999999999993</v>
      </c>
      <c r="B1012" s="32">
        <f t="shared" si="30"/>
        <v>-4.956779359014706</v>
      </c>
    </row>
    <row r="1013" spans="1:2" x14ac:dyDescent="0.25">
      <c r="A1013">
        <f t="shared" si="31"/>
        <v>2.0199999999999991</v>
      </c>
      <c r="B1013" s="32">
        <f t="shared" si="30"/>
        <v>-4.9540868793081962</v>
      </c>
    </row>
    <row r="1014" spans="1:2" x14ac:dyDescent="0.25">
      <c r="A1014">
        <f t="shared" si="31"/>
        <v>2.0219999999999989</v>
      </c>
      <c r="B1014" s="32">
        <f t="shared" si="30"/>
        <v>-4.8069726780195552</v>
      </c>
    </row>
    <row r="1015" spans="1:2" x14ac:dyDescent="0.25">
      <c r="A1015">
        <f t="shared" si="31"/>
        <v>2.0239999999999987</v>
      </c>
      <c r="B1015" s="32">
        <f t="shared" si="30"/>
        <v>-4.5200713272787016</v>
      </c>
    </row>
    <row r="1016" spans="1:2" x14ac:dyDescent="0.25">
      <c r="A1016">
        <f t="shared" si="31"/>
        <v>2.0259999999999985</v>
      </c>
      <c r="B1016" s="32">
        <f t="shared" si="30"/>
        <v>-4.1019823926449446</v>
      </c>
    </row>
    <row r="1017" spans="1:2" x14ac:dyDescent="0.25">
      <c r="A1017">
        <f t="shared" si="31"/>
        <v>2.0279999999999982</v>
      </c>
      <c r="B1017" s="32">
        <f t="shared" si="30"/>
        <v>-3.5650247410733926</v>
      </c>
    </row>
    <row r="1018" spans="1:2" x14ac:dyDescent="0.25">
      <c r="A1018">
        <f t="shared" si="31"/>
        <v>2.029999999999998</v>
      </c>
      <c r="B1018" s="32">
        <f t="shared" si="30"/>
        <v>-2.9248853055739876</v>
      </c>
    </row>
    <row r="1019" spans="1:2" x14ac:dyDescent="0.25">
      <c r="A1019">
        <f t="shared" si="31"/>
        <v>2.0319999999999978</v>
      </c>
      <c r="B1019" s="32">
        <f t="shared" si="30"/>
        <v>-2.200172280503403</v>
      </c>
    </row>
    <row r="1020" spans="1:2" x14ac:dyDescent="0.25">
      <c r="A1020">
        <f t="shared" si="31"/>
        <v>2.0339999999999976</v>
      </c>
      <c r="B1020" s="32">
        <f t="shared" si="30"/>
        <v>-1.4118854337005566</v>
      </c>
    </row>
    <row r="1021" spans="1:2" x14ac:dyDescent="0.25">
      <c r="A1021">
        <f t="shared" si="31"/>
        <v>2.0359999999999974</v>
      </c>
      <c r="B1021" s="32">
        <f t="shared" si="30"/>
        <v>-0.58281857388763758</v>
      </c>
    </row>
    <row r="1022" spans="1:2" x14ac:dyDescent="0.25">
      <c r="A1022">
        <f t="shared" si="31"/>
        <v>2.0379999999999971</v>
      </c>
      <c r="B1022" s="32">
        <f t="shared" si="30"/>
        <v>0.26308886285938099</v>
      </c>
    </row>
    <row r="1023" spans="1:2" x14ac:dyDescent="0.25">
      <c r="A1023">
        <f t="shared" si="31"/>
        <v>2.0399999999999969</v>
      </c>
      <c r="B1023" s="32">
        <f t="shared" si="30"/>
        <v>1.1014326998426098</v>
      </c>
    </row>
    <row r="1024" spans="1:2" x14ac:dyDescent="0.25">
      <c r="A1024">
        <f t="shared" si="31"/>
        <v>2.0419999999999967</v>
      </c>
      <c r="B1024" s="32">
        <f t="shared" si="30"/>
        <v>1.9080380504717336</v>
      </c>
    </row>
    <row r="1025" spans="1:2" x14ac:dyDescent="0.25">
      <c r="A1025">
        <f t="shared" si="31"/>
        <v>2.0439999999999965</v>
      </c>
      <c r="B1025" s="32">
        <f t="shared" si="30"/>
        <v>2.6596467909109633</v>
      </c>
    </row>
    <row r="1026" spans="1:2" x14ac:dyDescent="0.25">
      <c r="A1026">
        <f t="shared" si="31"/>
        <v>2.0459999999999963</v>
      </c>
      <c r="B1026" s="32">
        <f t="shared" si="30"/>
        <v>3.3345789588572696</v>
      </c>
    </row>
    <row r="1027" spans="1:2" x14ac:dyDescent="0.25">
      <c r="A1027">
        <f t="shared" si="31"/>
        <v>2.047999999999996</v>
      </c>
      <c r="B1027" s="32">
        <f t="shared" si="30"/>
        <v>3.9133493028571578</v>
      </c>
    </row>
    <row r="1028" spans="1:2" x14ac:dyDescent="0.25">
      <c r="A1028">
        <f t="shared" si="31"/>
        <v>2.0499999999999958</v>
      </c>
      <c r="B1028" s="32">
        <f t="shared" ref="B1028:B1091" si="32">0.323585334495683*COS(1.25226098841235 - 29.4037227718803*$A1028) - 0.278838680632391*COS(1.04090145025875*$A1028) - 5.11813177262468*COS(0.597704127771972 - 84.3329956365773*$A1028)</f>
        <v>4.3792214796384163</v>
      </c>
    </row>
    <row r="1029" spans="1:2" x14ac:dyDescent="0.25">
      <c r="A1029">
        <f t="shared" ref="A1029:A1092" si="33">+A1028+$A$1</f>
        <v>2.0519999999999956</v>
      </c>
      <c r="B1029" s="32">
        <f t="shared" si="32"/>
        <v>4.7186841667610793</v>
      </c>
    </row>
    <row r="1030" spans="1:2" x14ac:dyDescent="0.25">
      <c r="A1030">
        <f t="shared" si="33"/>
        <v>2.0539999999999954</v>
      </c>
      <c r="B1030" s="32">
        <f t="shared" si="32"/>
        <v>4.9218355742332252</v>
      </c>
    </row>
    <row r="1031" spans="1:2" x14ac:dyDescent="0.25">
      <c r="A1031">
        <f t="shared" si="33"/>
        <v>2.0559999999999952</v>
      </c>
      <c r="B1031" s="32">
        <f t="shared" si="32"/>
        <v>4.9826654387026075</v>
      </c>
    </row>
    <row r="1032" spans="1:2" x14ac:dyDescent="0.25">
      <c r="A1032">
        <f t="shared" si="33"/>
        <v>2.0579999999999949</v>
      </c>
      <c r="B1032" s="32">
        <f t="shared" si="32"/>
        <v>4.8992264936289738</v>
      </c>
    </row>
    <row r="1033" spans="1:2" x14ac:dyDescent="0.25">
      <c r="A1033">
        <f t="shared" si="33"/>
        <v>2.0599999999999947</v>
      </c>
      <c r="B1033" s="32">
        <f t="shared" si="32"/>
        <v>4.673690545878153</v>
      </c>
    </row>
    <row r="1034" spans="1:2" x14ac:dyDescent="0.25">
      <c r="A1034">
        <f t="shared" si="33"/>
        <v>2.0619999999999945</v>
      </c>
      <c r="B1034" s="32">
        <f t="shared" si="32"/>
        <v>4.3122875644318635</v>
      </c>
    </row>
    <row r="1035" spans="1:2" x14ac:dyDescent="0.25">
      <c r="A1035">
        <f t="shared" si="33"/>
        <v>2.0639999999999943</v>
      </c>
      <c r="B1035" s="32">
        <f t="shared" si="32"/>
        <v>3.8251295074147444</v>
      </c>
    </row>
    <row r="1036" spans="1:2" x14ac:dyDescent="0.25">
      <c r="A1036">
        <f t="shared" si="33"/>
        <v>2.0659999999999941</v>
      </c>
      <c r="B1036" s="32">
        <f t="shared" si="32"/>
        <v>3.2259238851669716</v>
      </c>
    </row>
    <row r="1037" spans="1:2" x14ac:dyDescent="0.25">
      <c r="A1037">
        <f t="shared" si="33"/>
        <v>2.0679999999999938</v>
      </c>
      <c r="B1037" s="32">
        <f t="shared" si="32"/>
        <v>2.5315851867840244</v>
      </c>
    </row>
    <row r="1038" spans="1:2" x14ac:dyDescent="0.25">
      <c r="A1038">
        <f t="shared" si="33"/>
        <v>2.0699999999999936</v>
      </c>
      <c r="B1038" s="32">
        <f t="shared" si="32"/>
        <v>1.761755196585052</v>
      </c>
    </row>
    <row r="1039" spans="1:2" x14ac:dyDescent="0.25">
      <c r="A1039">
        <f t="shared" si="33"/>
        <v>2.0719999999999934</v>
      </c>
      <c r="B1039" s="32">
        <f t="shared" si="32"/>
        <v>0.93824581307078014</v>
      </c>
    </row>
    <row r="1040" spans="1:2" x14ac:dyDescent="0.25">
      <c r="A1040">
        <f t="shared" si="33"/>
        <v>2.0739999999999932</v>
      </c>
      <c r="B1040" s="32">
        <f t="shared" si="32"/>
        <v>8.4420182705740698E-2</v>
      </c>
    </row>
    <row r="1041" spans="1:2" x14ac:dyDescent="0.25">
      <c r="A1041">
        <f t="shared" si="33"/>
        <v>2.075999999999993</v>
      </c>
      <c r="B1041" s="32">
        <f t="shared" si="32"/>
        <v>-0.77547028813224483</v>
      </c>
    </row>
    <row r="1042" spans="1:2" x14ac:dyDescent="0.25">
      <c r="A1042">
        <f t="shared" si="33"/>
        <v>2.0779999999999927</v>
      </c>
      <c r="B1042" s="32">
        <f t="shared" si="32"/>
        <v>-1.6169742271496605</v>
      </c>
    </row>
    <row r="1043" spans="1:2" x14ac:dyDescent="0.25">
      <c r="A1043">
        <f t="shared" si="33"/>
        <v>2.0799999999999925</v>
      </c>
      <c r="B1043" s="32">
        <f t="shared" si="32"/>
        <v>-2.4161343616542132</v>
      </c>
    </row>
    <row r="1044" spans="1:2" x14ac:dyDescent="0.25">
      <c r="A1044">
        <f t="shared" si="33"/>
        <v>2.0819999999999923</v>
      </c>
      <c r="B1044" s="32">
        <f t="shared" si="32"/>
        <v>-3.1501676570335371</v>
      </c>
    </row>
    <row r="1045" spans="1:2" x14ac:dyDescent="0.25">
      <c r="A1045">
        <f t="shared" si="33"/>
        <v>2.0839999999999921</v>
      </c>
      <c r="B1045" s="32">
        <f t="shared" si="32"/>
        <v>-3.7981122245637979</v>
      </c>
    </row>
    <row r="1046" spans="1:2" x14ac:dyDescent="0.25">
      <c r="A1046">
        <f t="shared" si="33"/>
        <v>2.0859999999999919</v>
      </c>
      <c r="B1046" s="32">
        <f t="shared" si="32"/>
        <v>-4.3414226377062537</v>
      </c>
    </row>
    <row r="1047" spans="1:2" x14ac:dyDescent="0.25">
      <c r="A1047">
        <f t="shared" si="33"/>
        <v>2.0879999999999916</v>
      </c>
      <c r="B1047" s="32">
        <f t="shared" si="32"/>
        <v>-4.7644967599305934</v>
      </c>
    </row>
    <row r="1048" spans="1:2" x14ac:dyDescent="0.25">
      <c r="A1048">
        <f t="shared" si="33"/>
        <v>2.0899999999999914</v>
      </c>
      <c r="B1048" s="32">
        <f t="shared" si="32"/>
        <v>-5.0551191305445524</v>
      </c>
    </row>
    <row r="1049" spans="1:2" x14ac:dyDescent="0.25">
      <c r="A1049">
        <f t="shared" si="33"/>
        <v>2.0919999999999912</v>
      </c>
      <c r="B1049" s="32">
        <f t="shared" si="32"/>
        <v>-5.2048083228505355</v>
      </c>
    </row>
    <row r="1050" spans="1:2" x14ac:dyDescent="0.25">
      <c r="A1050">
        <f t="shared" si="33"/>
        <v>2.093999999999991</v>
      </c>
      <c r="B1050" s="32">
        <f t="shared" si="32"/>
        <v>-5.2090584139849181</v>
      </c>
    </row>
    <row r="1051" spans="1:2" x14ac:dyDescent="0.25">
      <c r="A1051">
        <f t="shared" si="33"/>
        <v>2.0959999999999908</v>
      </c>
      <c r="B1051" s="32">
        <f t="shared" si="32"/>
        <v>-5.0674677106972288</v>
      </c>
    </row>
    <row r="1052" spans="1:2" x14ac:dyDescent="0.25">
      <c r="A1052">
        <f t="shared" si="33"/>
        <v>2.0979999999999905</v>
      </c>
      <c r="B1052" s="32">
        <f t="shared" si="32"/>
        <v>-4.7837510748060739</v>
      </c>
    </row>
    <row r="1053" spans="1:2" x14ac:dyDescent="0.25">
      <c r="A1053">
        <f t="shared" si="33"/>
        <v>2.0999999999999903</v>
      </c>
      <c r="B1053" s="32">
        <f t="shared" si="32"/>
        <v>-4.3656354953271403</v>
      </c>
    </row>
    <row r="1054" spans="1:2" x14ac:dyDescent="0.25">
      <c r="A1054">
        <f t="shared" si="33"/>
        <v>2.1019999999999901</v>
      </c>
      <c r="B1054" s="32">
        <f t="shared" si="32"/>
        <v>-3.8246418675557341</v>
      </c>
    </row>
    <row r="1055" spans="1:2" x14ac:dyDescent="0.25">
      <c r="A1055">
        <f t="shared" si="33"/>
        <v>2.1039999999999899</v>
      </c>
      <c r="B1055" s="32">
        <f t="shared" si="32"/>
        <v>-3.175759168672573</v>
      </c>
    </row>
    <row r="1056" spans="1:2" x14ac:dyDescent="0.25">
      <c r="A1056">
        <f t="shared" si="33"/>
        <v>2.1059999999999897</v>
      </c>
      <c r="B1056" s="32">
        <f t="shared" si="32"/>
        <v>-2.437020273071445</v>
      </c>
    </row>
    <row r="1057" spans="1:2" x14ac:dyDescent="0.25">
      <c r="A1057">
        <f t="shared" si="33"/>
        <v>2.1079999999999894</v>
      </c>
      <c r="B1057" s="32">
        <f t="shared" si="32"/>
        <v>-1.6289914419250342</v>
      </c>
    </row>
    <row r="1058" spans="1:2" x14ac:dyDescent="0.25">
      <c r="A1058">
        <f t="shared" si="33"/>
        <v>2.1099999999999892</v>
      </c>
      <c r="B1058" s="32">
        <f t="shared" si="32"/>
        <v>-0.77418997128762568</v>
      </c>
    </row>
    <row r="1059" spans="1:2" x14ac:dyDescent="0.25">
      <c r="A1059">
        <f t="shared" si="33"/>
        <v>2.111999999999989</v>
      </c>
      <c r="B1059" s="32">
        <f t="shared" si="32"/>
        <v>0.10355347825058653</v>
      </c>
    </row>
    <row r="1060" spans="1:2" x14ac:dyDescent="0.25">
      <c r="A1060">
        <f t="shared" si="33"/>
        <v>2.1139999999999888</v>
      </c>
      <c r="B1060" s="32">
        <f t="shared" si="32"/>
        <v>0.97976977753982231</v>
      </c>
    </row>
    <row r="1061" spans="1:2" x14ac:dyDescent="0.25">
      <c r="A1061">
        <f t="shared" si="33"/>
        <v>2.1159999999999886</v>
      </c>
      <c r="B1061" s="32">
        <f t="shared" si="32"/>
        <v>1.8300443013373044</v>
      </c>
    </row>
    <row r="1062" spans="1:2" x14ac:dyDescent="0.25">
      <c r="A1062">
        <f t="shared" si="33"/>
        <v>2.1179999999999883</v>
      </c>
      <c r="B1062" s="32">
        <f t="shared" si="32"/>
        <v>2.630708315245311</v>
      </c>
    </row>
    <row r="1063" spans="1:2" x14ac:dyDescent="0.25">
      <c r="A1063">
        <f t="shared" si="33"/>
        <v>2.1199999999999881</v>
      </c>
      <c r="B1063" s="32">
        <f t="shared" si="32"/>
        <v>3.3595091602392984</v>
      </c>
    </row>
    <row r="1064" spans="1:2" x14ac:dyDescent="0.25">
      <c r="A1064">
        <f t="shared" si="33"/>
        <v>2.1219999999999879</v>
      </c>
      <c r="B1064" s="32">
        <f t="shared" si="32"/>
        <v>3.9962402197580449</v>
      </c>
    </row>
    <row r="1065" spans="1:2" x14ac:dyDescent="0.25">
      <c r="A1065">
        <f t="shared" si="33"/>
        <v>2.1239999999999877</v>
      </c>
      <c r="B1065" s="32">
        <f t="shared" si="32"/>
        <v>4.5233127958299013</v>
      </c>
    </row>
    <row r="1066" spans="1:2" x14ac:dyDescent="0.25">
      <c r="A1066">
        <f t="shared" si="33"/>
        <v>2.1259999999999875</v>
      </c>
      <c r="B1066" s="32">
        <f t="shared" si="32"/>
        <v>4.9262536694607046</v>
      </c>
    </row>
    <row r="1067" spans="1:2" x14ac:dyDescent="0.25">
      <c r="A1067">
        <f t="shared" si="33"/>
        <v>2.1279999999999872</v>
      </c>
      <c r="B1067" s="32">
        <f t="shared" si="32"/>
        <v>5.1941142297065666</v>
      </c>
    </row>
    <row r="1068" spans="1:2" x14ac:dyDescent="0.25">
      <c r="A1068">
        <f t="shared" si="33"/>
        <v>2.129999999999987</v>
      </c>
      <c r="B1068" s="32">
        <f t="shared" si="32"/>
        <v>5.3197795656518894</v>
      </c>
    </row>
    <row r="1069" spans="1:2" x14ac:dyDescent="0.25">
      <c r="A1069">
        <f t="shared" si="33"/>
        <v>2.1319999999999868</v>
      </c>
      <c r="B1069" s="32">
        <f t="shared" si="32"/>
        <v>5.3001687546679515</v>
      </c>
    </row>
    <row r="1070" spans="1:2" x14ac:dyDescent="0.25">
      <c r="A1070">
        <f t="shared" si="33"/>
        <v>2.1339999999999866</v>
      </c>
      <c r="B1070" s="32">
        <f t="shared" si="32"/>
        <v>5.136320668270101</v>
      </c>
    </row>
    <row r="1071" spans="1:2" x14ac:dyDescent="0.25">
      <c r="A1071">
        <f t="shared" si="33"/>
        <v>2.1359999999999864</v>
      </c>
      <c r="B1071" s="32">
        <f t="shared" si="32"/>
        <v>4.8333628659770831</v>
      </c>
    </row>
    <row r="1072" spans="1:2" x14ac:dyDescent="0.25">
      <c r="A1072">
        <f t="shared" si="33"/>
        <v>2.1379999999999861</v>
      </c>
      <c r="B1072" s="32">
        <f t="shared" si="32"/>
        <v>4.4003644655996421</v>
      </c>
    </row>
    <row r="1073" spans="1:2" x14ac:dyDescent="0.25">
      <c r="A1073">
        <f t="shared" si="33"/>
        <v>2.1399999999999859</v>
      </c>
      <c r="B1073" s="32">
        <f t="shared" si="32"/>
        <v>3.8500771711720412</v>
      </c>
    </row>
    <row r="1074" spans="1:2" x14ac:dyDescent="0.25">
      <c r="A1074">
        <f t="shared" si="33"/>
        <v>2.1419999999999857</v>
      </c>
      <c r="B1074" s="32">
        <f t="shared" si="32"/>
        <v>3.19857181384398</v>
      </c>
    </row>
    <row r="1075" spans="1:2" x14ac:dyDescent="0.25">
      <c r="A1075">
        <f t="shared" si="33"/>
        <v>2.1439999999999855</v>
      </c>
      <c r="B1075" s="32">
        <f t="shared" si="32"/>
        <v>2.4647807263824708</v>
      </c>
    </row>
    <row r="1076" spans="1:2" x14ac:dyDescent="0.25">
      <c r="A1076">
        <f t="shared" si="33"/>
        <v>2.1459999999999853</v>
      </c>
      <c r="B1076" s="32">
        <f t="shared" si="32"/>
        <v>1.6699589443422196</v>
      </c>
    </row>
    <row r="1077" spans="1:2" x14ac:dyDescent="0.25">
      <c r="A1077">
        <f t="shared" si="33"/>
        <v>2.147999999999985</v>
      </c>
      <c r="B1077" s="32">
        <f t="shared" si="32"/>
        <v>0.83707953059330475</v>
      </c>
    </row>
    <row r="1078" spans="1:2" x14ac:dyDescent="0.25">
      <c r="A1078">
        <f t="shared" si="33"/>
        <v>2.1499999999999848</v>
      </c>
      <c r="B1078" s="32">
        <f t="shared" si="32"/>
        <v>-9.8198106185606315E-3</v>
      </c>
    </row>
    <row r="1079" spans="1:2" x14ac:dyDescent="0.25">
      <c r="A1079">
        <f t="shared" si="33"/>
        <v>2.1519999999999846</v>
      </c>
      <c r="B1079" s="32">
        <f t="shared" si="32"/>
        <v>-0.84632028162717832</v>
      </c>
    </row>
    <row r="1080" spans="1:2" x14ac:dyDescent="0.25">
      <c r="A1080">
        <f t="shared" si="33"/>
        <v>2.1539999999999844</v>
      </c>
      <c r="B1080" s="32">
        <f t="shared" si="32"/>
        <v>-1.6483162970300589</v>
      </c>
    </row>
    <row r="1081" spans="1:2" x14ac:dyDescent="0.25">
      <c r="A1081">
        <f t="shared" si="33"/>
        <v>2.1559999999999842</v>
      </c>
      <c r="B1081" s="32">
        <f t="shared" si="32"/>
        <v>-2.3927008376975114</v>
      </c>
    </row>
    <row r="1082" spans="1:2" x14ac:dyDescent="0.25">
      <c r="A1082">
        <f t="shared" si="33"/>
        <v>2.1579999999999839</v>
      </c>
      <c r="B1082" s="32">
        <f t="shared" si="32"/>
        <v>-3.0580223979782368</v>
      </c>
    </row>
    <row r="1083" spans="1:2" x14ac:dyDescent="0.25">
      <c r="A1083">
        <f t="shared" si="33"/>
        <v>2.1599999999999837</v>
      </c>
      <c r="B1083" s="32">
        <f t="shared" si="32"/>
        <v>-3.6250948774088085</v>
      </c>
    </row>
    <row r="1084" spans="1:2" x14ac:dyDescent="0.25">
      <c r="A1084">
        <f t="shared" si="33"/>
        <v>2.1619999999999835</v>
      </c>
      <c r="B1084" s="32">
        <f t="shared" si="32"/>
        <v>-4.0775431039575949</v>
      </c>
    </row>
    <row r="1085" spans="1:2" x14ac:dyDescent="0.25">
      <c r="A1085">
        <f t="shared" si="33"/>
        <v>2.1639999999999833</v>
      </c>
      <c r="B1085" s="32">
        <f t="shared" si="32"/>
        <v>-4.4022685029177939</v>
      </c>
    </row>
    <row r="1086" spans="1:2" x14ac:dyDescent="0.25">
      <c r="A1086">
        <f t="shared" si="33"/>
        <v>2.1659999999999831</v>
      </c>
      <c r="B1086" s="32">
        <f t="shared" si="32"/>
        <v>-4.5898216921680524</v>
      </c>
    </row>
    <row r="1087" spans="1:2" x14ac:dyDescent="0.25">
      <c r="A1087">
        <f t="shared" si="33"/>
        <v>2.1679999999999828</v>
      </c>
      <c r="B1087" s="32">
        <f t="shared" si="32"/>
        <v>-4.6346714263088913</v>
      </c>
    </row>
    <row r="1088" spans="1:2" x14ac:dyDescent="0.25">
      <c r="A1088">
        <f t="shared" si="33"/>
        <v>2.1699999999999826</v>
      </c>
      <c r="B1088" s="32">
        <f t="shared" si="32"/>
        <v>-4.5353622541766629</v>
      </c>
    </row>
    <row r="1089" spans="1:2" x14ac:dyDescent="0.25">
      <c r="A1089">
        <f t="shared" si="33"/>
        <v>2.1719999999999824</v>
      </c>
      <c r="B1089" s="32">
        <f t="shared" si="32"/>
        <v>-4.2945564129455782</v>
      </c>
    </row>
    <row r="1090" spans="1:2" x14ac:dyDescent="0.25">
      <c r="A1090">
        <f t="shared" si="33"/>
        <v>2.1739999999999822</v>
      </c>
      <c r="B1090" s="32">
        <f t="shared" si="32"/>
        <v>-3.9189587677983031</v>
      </c>
    </row>
    <row r="1091" spans="1:2" x14ac:dyDescent="0.25">
      <c r="A1091">
        <f t="shared" si="33"/>
        <v>2.1759999999999819</v>
      </c>
      <c r="B1091" s="32">
        <f t="shared" si="32"/>
        <v>-3.4191269257247763</v>
      </c>
    </row>
    <row r="1092" spans="1:2" x14ac:dyDescent="0.25">
      <c r="A1092">
        <f t="shared" si="33"/>
        <v>2.1779999999999817</v>
      </c>
      <c r="B1092" s="32">
        <f t="shared" ref="B1092:B1155" si="34">0.323585334495683*COS(1.25226098841235 - 29.4037227718803*$A1092) - 0.278838680632391*COS(1.04090145025875*$A1092) - 5.11813177262468*COS(0.597704127771972 - 84.3329956365773*$A1092)</f>
        <v>-2.8091719111836762</v>
      </c>
    </row>
    <row r="1093" spans="1:2" x14ac:dyDescent="0.25">
      <c r="A1093">
        <f t="shared" ref="A1093:A1156" si="35">+A1092+$A$1</f>
        <v>2.1799999999999815</v>
      </c>
      <c r="B1093" s="32">
        <f t="shared" si="34"/>
        <v>-2.1063578976340844</v>
      </c>
    </row>
    <row r="1094" spans="1:2" x14ac:dyDescent="0.25">
      <c r="A1094">
        <f t="shared" si="35"/>
        <v>2.1819999999999813</v>
      </c>
      <c r="B1094" s="32">
        <f t="shared" si="34"/>
        <v>-1.3306123541501691</v>
      </c>
    </row>
    <row r="1095" spans="1:2" x14ac:dyDescent="0.25">
      <c r="A1095">
        <f t="shared" si="35"/>
        <v>2.1839999999999811</v>
      </c>
      <c r="B1095" s="32">
        <f t="shared" si="34"/>
        <v>-0.50396050916029977</v>
      </c>
    </row>
    <row r="1096" spans="1:2" x14ac:dyDescent="0.25">
      <c r="A1096">
        <f t="shared" si="35"/>
        <v>2.1859999999999808</v>
      </c>
      <c r="B1096" s="32">
        <f t="shared" si="34"/>
        <v>0.35009981837040677</v>
      </c>
    </row>
    <row r="1097" spans="1:2" x14ac:dyDescent="0.25">
      <c r="A1097">
        <f t="shared" si="35"/>
        <v>2.1879999999999806</v>
      </c>
      <c r="B1097" s="32">
        <f t="shared" si="34"/>
        <v>1.2072652772439421</v>
      </c>
    </row>
    <row r="1098" spans="1:2" x14ac:dyDescent="0.25">
      <c r="A1098">
        <f t="shared" si="35"/>
        <v>2.1899999999999804</v>
      </c>
      <c r="B1098" s="32">
        <f t="shared" si="34"/>
        <v>2.043116999553789</v>
      </c>
    </row>
    <row r="1099" spans="1:2" x14ac:dyDescent="0.25">
      <c r="A1099">
        <f t="shared" si="35"/>
        <v>2.1919999999999802</v>
      </c>
      <c r="B1099" s="32">
        <f t="shared" si="34"/>
        <v>2.8338139892921319</v>
      </c>
    </row>
    <row r="1100" spans="1:2" x14ac:dyDescent="0.25">
      <c r="A1100">
        <f t="shared" si="35"/>
        <v>2.19399999999998</v>
      </c>
      <c r="B1100" s="32">
        <f t="shared" si="34"/>
        <v>3.5567702038402915</v>
      </c>
    </row>
    <row r="1101" spans="1:2" x14ac:dyDescent="0.25">
      <c r="A1101">
        <f t="shared" si="35"/>
        <v>2.1959999999999797</v>
      </c>
      <c r="B1101" s="32">
        <f t="shared" si="34"/>
        <v>4.1912961106346103</v>
      </c>
    </row>
    <row r="1102" spans="1:2" x14ac:dyDescent="0.25">
      <c r="A1102">
        <f t="shared" si="35"/>
        <v>2.1979999999999795</v>
      </c>
      <c r="B1102" s="32">
        <f t="shared" si="34"/>
        <v>4.7191865092026504</v>
      </c>
    </row>
    <row r="1103" spans="1:2" x14ac:dyDescent="0.25">
      <c r="A1103">
        <f t="shared" si="35"/>
        <v>2.1999999999999793</v>
      </c>
      <c r="B1103" s="32">
        <f t="shared" si="34"/>
        <v>5.1252379334883704</v>
      </c>
    </row>
    <row r="1104" spans="1:2" x14ac:dyDescent="0.25">
      <c r="A1104">
        <f t="shared" si="35"/>
        <v>2.2019999999999791</v>
      </c>
      <c r="B1104" s="32">
        <f t="shared" si="34"/>
        <v>5.3976809476548944</v>
      </c>
    </row>
    <row r="1105" spans="1:2" x14ac:dyDescent="0.25">
      <c r="A1105">
        <f t="shared" si="35"/>
        <v>2.2039999999999789</v>
      </c>
      <c r="B1105" s="32">
        <f t="shared" si="34"/>
        <v>5.5285150636496629</v>
      </c>
    </row>
    <row r="1106" spans="1:2" x14ac:dyDescent="0.25">
      <c r="A1106">
        <f t="shared" si="35"/>
        <v>2.2059999999999786</v>
      </c>
      <c r="B1106" s="32">
        <f t="shared" si="34"/>
        <v>5.5137367722102537</v>
      </c>
    </row>
    <row r="1107" spans="1:2" x14ac:dyDescent="0.25">
      <c r="A1107">
        <f t="shared" si="35"/>
        <v>2.2079999999999784</v>
      </c>
      <c r="B1107" s="32">
        <f t="shared" si="34"/>
        <v>5.3534542122439888</v>
      </c>
    </row>
    <row r="1108" spans="1:2" x14ac:dyDescent="0.25">
      <c r="A1108">
        <f t="shared" si="35"/>
        <v>2.2099999999999782</v>
      </c>
      <c r="B1108" s="32">
        <f t="shared" si="34"/>
        <v>5.0518852205506422</v>
      </c>
    </row>
    <row r="1109" spans="1:2" x14ac:dyDescent="0.25">
      <c r="A1109">
        <f t="shared" si="35"/>
        <v>2.211999999999978</v>
      </c>
      <c r="B1109" s="32">
        <f t="shared" si="34"/>
        <v>4.6172388133697382</v>
      </c>
    </row>
    <row r="1110" spans="1:2" x14ac:dyDescent="0.25">
      <c r="A1110">
        <f t="shared" si="35"/>
        <v>2.2139999999999778</v>
      </c>
      <c r="B1110" s="32">
        <f t="shared" si="34"/>
        <v>4.0614834593015487</v>
      </c>
    </row>
    <row r="1111" spans="1:2" x14ac:dyDescent="0.25">
      <c r="A1111">
        <f t="shared" si="35"/>
        <v>2.2159999999999775</v>
      </c>
      <c r="B1111" s="32">
        <f t="shared" si="34"/>
        <v>3.4000087158820813</v>
      </c>
    </row>
    <row r="1112" spans="1:2" x14ac:dyDescent="0.25">
      <c r="A1112">
        <f t="shared" si="35"/>
        <v>2.2179999999999773</v>
      </c>
      <c r="B1112" s="32">
        <f t="shared" si="34"/>
        <v>2.6511898283144619</v>
      </c>
    </row>
    <row r="1113" spans="1:2" x14ac:dyDescent="0.25">
      <c r="A1113">
        <f t="shared" si="35"/>
        <v>2.2199999999999771</v>
      </c>
      <c r="B1113" s="32">
        <f t="shared" si="34"/>
        <v>1.8358676426841418</v>
      </c>
    </row>
    <row r="1114" spans="1:2" x14ac:dyDescent="0.25">
      <c r="A1114">
        <f t="shared" si="35"/>
        <v>2.2219999999999769</v>
      </c>
      <c r="B1114" s="32">
        <f t="shared" si="34"/>
        <v>0.97675858925195724</v>
      </c>
    </row>
    <row r="1115" spans="1:2" x14ac:dyDescent="0.25">
      <c r="A1115">
        <f t="shared" si="35"/>
        <v>2.2239999999999767</v>
      </c>
      <c r="B1115" s="32">
        <f t="shared" si="34"/>
        <v>9.7811475934127423E-2</v>
      </c>
    </row>
    <row r="1116" spans="1:2" x14ac:dyDescent="0.25">
      <c r="A1116">
        <f t="shared" si="35"/>
        <v>2.2259999999999764</v>
      </c>
      <c r="B1116" s="32">
        <f t="shared" si="34"/>
        <v>-0.77647065849449448</v>
      </c>
    </row>
    <row r="1117" spans="1:2" x14ac:dyDescent="0.25">
      <c r="A1117">
        <f t="shared" si="35"/>
        <v>2.2279999999999762</v>
      </c>
      <c r="B1117" s="32">
        <f t="shared" si="34"/>
        <v>-1.6217243904228424</v>
      </c>
    </row>
    <row r="1118" spans="1:2" x14ac:dyDescent="0.25">
      <c r="A1118">
        <f t="shared" si="35"/>
        <v>2.229999999999976</v>
      </c>
      <c r="B1118" s="32">
        <f t="shared" si="34"/>
        <v>-2.4144157701532589</v>
      </c>
    </row>
    <row r="1119" spans="1:2" x14ac:dyDescent="0.25">
      <c r="A1119">
        <f t="shared" si="35"/>
        <v>2.2319999999999758</v>
      </c>
      <c r="B1119" s="32">
        <f t="shared" si="34"/>
        <v>-3.1325066201237299</v>
      </c>
    </row>
    <row r="1120" spans="1:2" x14ac:dyDescent="0.25">
      <c r="A1120">
        <f t="shared" si="35"/>
        <v>2.2339999999999756</v>
      </c>
      <c r="B1120" s="32">
        <f t="shared" si="34"/>
        <v>-3.7560783680830729</v>
      </c>
    </row>
    <row r="1121" spans="1:2" x14ac:dyDescent="0.25">
      <c r="A1121">
        <f t="shared" si="35"/>
        <v>2.2359999999999753</v>
      </c>
      <c r="B1121" s="32">
        <f t="shared" si="34"/>
        <v>-4.2678957159442188</v>
      </c>
    </row>
    <row r="1122" spans="1:2" x14ac:dyDescent="0.25">
      <c r="A1122">
        <f t="shared" si="35"/>
        <v>2.2379999999999751</v>
      </c>
      <c r="B1122" s="32">
        <f t="shared" si="34"/>
        <v>-4.6538941525782338</v>
      </c>
    </row>
    <row r="1123" spans="1:2" x14ac:dyDescent="0.25">
      <c r="A1123">
        <f t="shared" si="35"/>
        <v>2.2399999999999749</v>
      </c>
      <c r="B1123" s="32">
        <f t="shared" si="34"/>
        <v>-4.9035774801964074</v>
      </c>
    </row>
    <row r="1124" spans="1:2" x14ac:dyDescent="0.25">
      <c r="A1124">
        <f t="shared" si="35"/>
        <v>2.2419999999999747</v>
      </c>
      <c r="B1124" s="32">
        <f t="shared" si="34"/>
        <v>-5.0103140778444688</v>
      </c>
    </row>
    <row r="1125" spans="1:2" x14ac:dyDescent="0.25">
      <c r="A1125">
        <f t="shared" si="35"/>
        <v>2.2439999999999745</v>
      </c>
      <c r="B1125" s="32">
        <f t="shared" si="34"/>
        <v>-4.9715234994302815</v>
      </c>
    </row>
    <row r="1126" spans="1:2" x14ac:dyDescent="0.25">
      <c r="A1126">
        <f t="shared" si="35"/>
        <v>2.2459999999999742</v>
      </c>
      <c r="B1126" s="32">
        <f t="shared" si="34"/>
        <v>-4.788748116052032</v>
      </c>
    </row>
    <row r="1127" spans="1:2" x14ac:dyDescent="0.25">
      <c r="A1127">
        <f t="shared" si="35"/>
        <v>2.247999999999974</v>
      </c>
      <c r="B1127" s="32">
        <f t="shared" si="34"/>
        <v>-4.4676077748655567</v>
      </c>
    </row>
    <row r="1128" spans="1:2" x14ac:dyDescent="0.25">
      <c r="A1128">
        <f t="shared" si="35"/>
        <v>2.2499999999999738</v>
      </c>
      <c r="B1128" s="32">
        <f t="shared" si="34"/>
        <v>-4.0176387667287861</v>
      </c>
    </row>
    <row r="1129" spans="1:2" x14ac:dyDescent="0.25">
      <c r="A1129">
        <f t="shared" si="35"/>
        <v>2.2519999999999736</v>
      </c>
      <c r="B1129" s="32">
        <f t="shared" si="34"/>
        <v>-3.4520216781688973</v>
      </c>
    </row>
    <row r="1130" spans="1:2" x14ac:dyDescent="0.25">
      <c r="A1130">
        <f t="shared" si="35"/>
        <v>2.2539999999999734</v>
      </c>
      <c r="B1130" s="32">
        <f t="shared" si="34"/>
        <v>-2.7872058566473705</v>
      </c>
    </row>
    <row r="1131" spans="1:2" x14ac:dyDescent="0.25">
      <c r="A1131">
        <f t="shared" si="35"/>
        <v>2.2559999999999731</v>
      </c>
      <c r="B1131" s="32">
        <f t="shared" si="34"/>
        <v>-2.0424411521584154</v>
      </c>
    </row>
    <row r="1132" spans="1:2" x14ac:dyDescent="0.25">
      <c r="A1132">
        <f t="shared" si="35"/>
        <v>2.2579999999999729</v>
      </c>
      <c r="B1132" s="32">
        <f t="shared" si="34"/>
        <v>-1.2392302296075213</v>
      </c>
    </row>
    <row r="1133" spans="1:2" x14ac:dyDescent="0.25">
      <c r="A1133">
        <f t="shared" si="35"/>
        <v>2.2599999999999727</v>
      </c>
      <c r="B1133" s="32">
        <f t="shared" si="34"/>
        <v>-0.40071700050939552</v>
      </c>
    </row>
    <row r="1134" spans="1:2" x14ac:dyDescent="0.25">
      <c r="A1134">
        <f t="shared" si="35"/>
        <v>2.2619999999999725</v>
      </c>
      <c r="B1134" s="32">
        <f t="shared" si="34"/>
        <v>0.44897146466104021</v>
      </c>
    </row>
    <row r="1135" spans="1:2" x14ac:dyDescent="0.25">
      <c r="A1135">
        <f t="shared" si="35"/>
        <v>2.2639999999999723</v>
      </c>
      <c r="B1135" s="32">
        <f t="shared" si="34"/>
        <v>1.2854108620864437</v>
      </c>
    </row>
    <row r="1136" spans="1:2" x14ac:dyDescent="0.25">
      <c r="A1136">
        <f t="shared" si="35"/>
        <v>2.265999999999972</v>
      </c>
      <c r="B1136" s="32">
        <f t="shared" si="34"/>
        <v>2.0845739469713536</v>
      </c>
    </row>
    <row r="1137" spans="1:2" x14ac:dyDescent="0.25">
      <c r="A1137">
        <f t="shared" si="35"/>
        <v>2.2679999999999718</v>
      </c>
      <c r="B1137" s="32">
        <f t="shared" si="34"/>
        <v>2.8235134842137266</v>
      </c>
    </row>
    <row r="1138" spans="1:2" x14ac:dyDescent="0.25">
      <c r="A1138">
        <f t="shared" si="35"/>
        <v>2.2699999999999716</v>
      </c>
      <c r="B1138" s="32">
        <f t="shared" si="34"/>
        <v>3.4810144710870081</v>
      </c>
    </row>
    <row r="1139" spans="1:2" x14ac:dyDescent="0.25">
      <c r="A1139">
        <f t="shared" si="35"/>
        <v>2.2719999999999714</v>
      </c>
      <c r="B1139" s="32">
        <f t="shared" si="34"/>
        <v>4.0381971179814489</v>
      </c>
    </row>
    <row r="1140" spans="1:2" x14ac:dyDescent="0.25">
      <c r="A1140">
        <f t="shared" si="35"/>
        <v>2.2739999999999712</v>
      </c>
      <c r="B1140" s="32">
        <f t="shared" si="34"/>
        <v>4.4790534710601655</v>
      </c>
    </row>
    <row r="1141" spans="1:2" x14ac:dyDescent="0.25">
      <c r="A1141">
        <f t="shared" si="35"/>
        <v>2.2759999999999709</v>
      </c>
      <c r="B1141" s="32">
        <f t="shared" si="34"/>
        <v>4.7909024442668589</v>
      </c>
    </row>
    <row r="1142" spans="1:2" x14ac:dyDescent="0.25">
      <c r="A1142">
        <f t="shared" si="35"/>
        <v>2.2779999999999707</v>
      </c>
      <c r="B1142" s="32">
        <f t="shared" si="34"/>
        <v>4.9647503440323311</v>
      </c>
    </row>
    <row r="1143" spans="1:2" x14ac:dyDescent="0.25">
      <c r="A1143">
        <f t="shared" si="35"/>
        <v>2.2799999999999705</v>
      </c>
      <c r="B1143" s="32">
        <f t="shared" si="34"/>
        <v>4.9955466525244008</v>
      </c>
    </row>
    <row r="1144" spans="1:2" x14ac:dyDescent="0.25">
      <c r="A1144">
        <f t="shared" si="35"/>
        <v>2.2819999999999703</v>
      </c>
      <c r="B1144" s="32">
        <f t="shared" si="34"/>
        <v>4.8823278082494941</v>
      </c>
    </row>
    <row r="1145" spans="1:2" x14ac:dyDescent="0.25">
      <c r="A1145">
        <f t="shared" si="35"/>
        <v>2.2839999999999701</v>
      </c>
      <c r="B1145" s="32">
        <f t="shared" si="34"/>
        <v>4.6282449018617573</v>
      </c>
    </row>
    <row r="1146" spans="1:2" x14ac:dyDescent="0.25">
      <c r="A1146">
        <f t="shared" si="35"/>
        <v>2.2859999999999698</v>
      </c>
      <c r="B1146" s="32">
        <f t="shared" si="34"/>
        <v>4.240474499941711</v>
      </c>
    </row>
    <row r="1147" spans="1:2" x14ac:dyDescent="0.25">
      <c r="A1147">
        <f t="shared" si="35"/>
        <v>2.2879999999999696</v>
      </c>
      <c r="B1147" s="32">
        <f t="shared" si="34"/>
        <v>3.730015126760605</v>
      </c>
    </row>
    <row r="1148" spans="1:2" x14ac:dyDescent="0.25">
      <c r="A1148">
        <f t="shared" si="35"/>
        <v>2.2899999999999694</v>
      </c>
      <c r="B1148" s="32">
        <f t="shared" si="34"/>
        <v>3.1113751795006839</v>
      </c>
    </row>
    <row r="1149" spans="1:2" x14ac:dyDescent="0.25">
      <c r="A1149">
        <f t="shared" si="35"/>
        <v>2.2919999999999692</v>
      </c>
      <c r="B1149" s="32">
        <f t="shared" si="34"/>
        <v>2.4021611339415356</v>
      </c>
    </row>
    <row r="1150" spans="1:2" x14ac:dyDescent="0.25">
      <c r="A1150">
        <f t="shared" si="35"/>
        <v>2.293999999999969</v>
      </c>
      <c r="B1150" s="32">
        <f t="shared" si="34"/>
        <v>1.6225777277975313</v>
      </c>
    </row>
    <row r="1151" spans="1:2" x14ac:dyDescent="0.25">
      <c r="A1151">
        <f t="shared" si="35"/>
        <v>2.2959999999999687</v>
      </c>
      <c r="B1151" s="32">
        <f t="shared" si="34"/>
        <v>0.79485430737361606</v>
      </c>
    </row>
    <row r="1152" spans="1:2" x14ac:dyDescent="0.25">
      <c r="A1152">
        <f t="shared" si="35"/>
        <v>2.2979999999999685</v>
      </c>
      <c r="B1152" s="32">
        <f t="shared" si="34"/>
        <v>-5.7386380918822491E-2</v>
      </c>
    </row>
    <row r="1153" spans="1:2" x14ac:dyDescent="0.25">
      <c r="A1153">
        <f t="shared" si="35"/>
        <v>2.2999999999999683</v>
      </c>
      <c r="B1153" s="32">
        <f t="shared" si="34"/>
        <v>-0.90979903884827928</v>
      </c>
    </row>
    <row r="1154" spans="1:2" x14ac:dyDescent="0.25">
      <c r="A1154">
        <f t="shared" si="35"/>
        <v>2.3019999999999681</v>
      </c>
      <c r="B1154" s="32">
        <f t="shared" si="34"/>
        <v>-1.7380072637817794</v>
      </c>
    </row>
    <row r="1155" spans="1:2" x14ac:dyDescent="0.25">
      <c r="A1155">
        <f t="shared" si="35"/>
        <v>2.3039999999999679</v>
      </c>
      <c r="B1155" s="32">
        <f t="shared" si="34"/>
        <v>-2.5182959696216667</v>
      </c>
    </row>
    <row r="1156" spans="1:2" x14ac:dyDescent="0.25">
      <c r="A1156">
        <f t="shared" si="35"/>
        <v>2.3059999999999676</v>
      </c>
      <c r="B1156" s="32">
        <f t="shared" ref="B1156:B1219" si="36">0.323585334495683*COS(1.25226098841235 - 29.4037227718803*$A1156) - 0.278838680632391*COS(1.04090145025875*$A1156) - 5.11813177262468*COS(0.597704127771972 - 84.3329956365773*$A1156)</f>
        <v>-3.2282851277083626</v>
      </c>
    </row>
    <row r="1157" spans="1:2" x14ac:dyDescent="0.25">
      <c r="A1157">
        <f t="shared" ref="A1157:A1220" si="37">+A1156+$A$1</f>
        <v>2.3079999999999674</v>
      </c>
      <c r="B1157" s="32">
        <f t="shared" si="36"/>
        <v>-3.8475657039811701</v>
      </c>
    </row>
    <row r="1158" spans="1:2" x14ac:dyDescent="0.25">
      <c r="A1158">
        <f t="shared" si="37"/>
        <v>2.3099999999999672</v>
      </c>
      <c r="B1158" s="32">
        <f t="shared" si="36"/>
        <v>-4.3582797412932024</v>
      </c>
    </row>
    <row r="1159" spans="1:2" x14ac:dyDescent="0.25">
      <c r="A1159">
        <f t="shared" si="37"/>
        <v>2.311999999999967</v>
      </c>
      <c r="B1159" s="32">
        <f t="shared" si="36"/>
        <v>-4.7456281206978854</v>
      </c>
    </row>
    <row r="1160" spans="1:2" x14ac:dyDescent="0.25">
      <c r="A1160">
        <f t="shared" si="37"/>
        <v>2.3139999999999668</v>
      </c>
      <c r="B1160" s="32">
        <f t="shared" si="36"/>
        <v>-4.9982915877733607</v>
      </c>
    </row>
    <row r="1161" spans="1:2" x14ac:dyDescent="0.25">
      <c r="A1161">
        <f t="shared" si="37"/>
        <v>2.3159999999999665</v>
      </c>
      <c r="B1161" s="32">
        <f t="shared" si="36"/>
        <v>-5.1087530913956103</v>
      </c>
    </row>
    <row r="1162" spans="1:2" x14ac:dyDescent="0.25">
      <c r="A1162">
        <f t="shared" si="37"/>
        <v>2.3179999999999663</v>
      </c>
      <c r="B1162" s="32">
        <f t="shared" si="36"/>
        <v>-5.0735122829524304</v>
      </c>
    </row>
    <row r="1163" spans="1:2" x14ac:dyDescent="0.25">
      <c r="A1163">
        <f t="shared" si="37"/>
        <v>2.3199999999999661</v>
      </c>
      <c r="B1163" s="32">
        <f t="shared" si="36"/>
        <v>-4.8931860843228474</v>
      </c>
    </row>
    <row r="1164" spans="1:2" x14ac:dyDescent="0.25">
      <c r="A1164">
        <f t="shared" si="37"/>
        <v>2.3219999999999659</v>
      </c>
      <c r="B1164" s="32">
        <f t="shared" si="36"/>
        <v>-4.5724924661829647</v>
      </c>
    </row>
    <row r="1165" spans="1:2" x14ac:dyDescent="0.25">
      <c r="A1165">
        <f t="shared" si="37"/>
        <v>2.3239999999999656</v>
      </c>
      <c r="B1165" s="32">
        <f t="shared" si="36"/>
        <v>-4.1201178925742834</v>
      </c>
    </row>
    <row r="1166" spans="1:2" x14ac:dyDescent="0.25">
      <c r="A1166">
        <f t="shared" si="37"/>
        <v>2.3259999999999654</v>
      </c>
      <c r="B1166" s="32">
        <f t="shared" si="36"/>
        <v>-3.5484721891201199</v>
      </c>
    </row>
    <row r="1167" spans="1:2" x14ac:dyDescent="0.25">
      <c r="A1167">
        <f t="shared" si="37"/>
        <v>2.3279999999999652</v>
      </c>
      <c r="B1167" s="32">
        <f t="shared" si="36"/>
        <v>-2.8733377871045436</v>
      </c>
    </row>
    <row r="1168" spans="1:2" x14ac:dyDescent="0.25">
      <c r="A1168">
        <f t="shared" si="37"/>
        <v>2.329999999999965</v>
      </c>
      <c r="B1168" s="32">
        <f t="shared" si="36"/>
        <v>-2.1134232931655479</v>
      </c>
    </row>
    <row r="1169" spans="1:2" x14ac:dyDescent="0.25">
      <c r="A1169">
        <f t="shared" si="37"/>
        <v>2.3319999999999648</v>
      </c>
      <c r="B1169" s="32">
        <f t="shared" si="36"/>
        <v>-1.2898340495217604</v>
      </c>
    </row>
    <row r="1170" spans="1:2" x14ac:dyDescent="0.25">
      <c r="A1170">
        <f t="shared" si="37"/>
        <v>2.3339999999999645</v>
      </c>
      <c r="B1170" s="32">
        <f t="shared" si="36"/>
        <v>-0.42547470540269738</v>
      </c>
    </row>
    <row r="1171" spans="1:2" x14ac:dyDescent="0.25">
      <c r="A1171">
        <f t="shared" si="37"/>
        <v>2.3359999999999643</v>
      </c>
      <c r="B1171" s="32">
        <f t="shared" si="36"/>
        <v>0.45559925018387226</v>
      </c>
    </row>
    <row r="1172" spans="1:2" x14ac:dyDescent="0.25">
      <c r="A1172">
        <f t="shared" si="37"/>
        <v>2.3379999999999641</v>
      </c>
      <c r="B1172" s="32">
        <f t="shared" si="36"/>
        <v>1.3288625957840077</v>
      </c>
    </row>
    <row r="1173" spans="1:2" x14ac:dyDescent="0.25">
      <c r="A1173">
        <f t="shared" si="37"/>
        <v>2.3399999999999639</v>
      </c>
      <c r="B1173" s="32">
        <f t="shared" si="36"/>
        <v>2.1700148000924906</v>
      </c>
    </row>
    <row r="1174" spans="1:2" x14ac:dyDescent="0.25">
      <c r="A1174">
        <f t="shared" si="37"/>
        <v>2.3419999999999637</v>
      </c>
      <c r="B1174" s="32">
        <f t="shared" si="36"/>
        <v>2.9556680571271001</v>
      </c>
    </row>
    <row r="1175" spans="1:2" x14ac:dyDescent="0.25">
      <c r="A1175">
        <f t="shared" si="37"/>
        <v>2.3439999999999634</v>
      </c>
      <c r="B1175" s="32">
        <f t="shared" si="36"/>
        <v>3.6640094126158411</v>
      </c>
    </row>
    <row r="1176" spans="1:2" x14ac:dyDescent="0.25">
      <c r="A1176">
        <f t="shared" si="37"/>
        <v>2.3459999999999632</v>
      </c>
      <c r="B1176" s="32">
        <f t="shared" si="36"/>
        <v>4.275418195564491</v>
      </c>
    </row>
    <row r="1177" spans="1:2" x14ac:dyDescent="0.25">
      <c r="A1177">
        <f t="shared" si="37"/>
        <v>2.347999999999963</v>
      </c>
      <c r="B1177" s="32">
        <f t="shared" si="36"/>
        <v>4.7730212374406555</v>
      </c>
    </row>
    <row r="1178" spans="1:2" x14ac:dyDescent="0.25">
      <c r="A1178">
        <f t="shared" si="37"/>
        <v>2.3499999999999628</v>
      </c>
      <c r="B1178" s="32">
        <f t="shared" si="36"/>
        <v>5.1431701270314125</v>
      </c>
    </row>
    <row r="1179" spans="1:2" x14ac:dyDescent="0.25">
      <c r="A1179">
        <f t="shared" si="37"/>
        <v>2.3519999999999626</v>
      </c>
      <c r="B1179" s="32">
        <f t="shared" si="36"/>
        <v>5.3758269616801755</v>
      </c>
    </row>
    <row r="1180" spans="1:2" x14ac:dyDescent="0.25">
      <c r="A1180">
        <f t="shared" si="37"/>
        <v>2.3539999999999623</v>
      </c>
      <c r="B1180" s="32">
        <f t="shared" si="36"/>
        <v>5.4648476524995333</v>
      </c>
    </row>
    <row r="1181" spans="1:2" x14ac:dyDescent="0.25">
      <c r="A1181">
        <f t="shared" si="37"/>
        <v>2.3559999999999621</v>
      </c>
      <c r="B1181" s="32">
        <f t="shared" si="36"/>
        <v>5.4081547485778527</v>
      </c>
    </row>
    <row r="1182" spans="1:2" x14ac:dyDescent="0.25">
      <c r="A1182">
        <f t="shared" si="37"/>
        <v>2.3579999999999619</v>
      </c>
      <c r="B1182" s="32">
        <f t="shared" si="36"/>
        <v>5.2077948806434708</v>
      </c>
    </row>
    <row r="1183" spans="1:2" x14ac:dyDescent="0.25">
      <c r="A1183">
        <f t="shared" si="37"/>
        <v>2.3599999999999617</v>
      </c>
      <c r="B1183" s="32">
        <f t="shared" si="36"/>
        <v>4.869879199128869</v>
      </c>
    </row>
    <row r="1184" spans="1:2" x14ac:dyDescent="0.25">
      <c r="A1184">
        <f t="shared" si="37"/>
        <v>2.3619999999999615</v>
      </c>
      <c r="B1184" s="32">
        <f t="shared" si="36"/>
        <v>4.4044085021576631</v>
      </c>
    </row>
    <row r="1185" spans="1:2" x14ac:dyDescent="0.25">
      <c r="A1185">
        <f t="shared" si="37"/>
        <v>2.3639999999999612</v>
      </c>
      <c r="B1185" s="32">
        <f t="shared" si="36"/>
        <v>3.8249880214221568</v>
      </c>
    </row>
    <row r="1186" spans="1:2" x14ac:dyDescent="0.25">
      <c r="A1186">
        <f t="shared" si="37"/>
        <v>2.365999999999961</v>
      </c>
      <c r="B1186" s="32">
        <f t="shared" si="36"/>
        <v>3.1484399653478121</v>
      </c>
    </row>
    <row r="1187" spans="1:2" x14ac:dyDescent="0.25">
      <c r="A1187">
        <f t="shared" si="37"/>
        <v>2.3679999999999608</v>
      </c>
      <c r="B1187" s="32">
        <f t="shared" si="36"/>
        <v>2.3943248204900653</v>
      </c>
    </row>
    <row r="1188" spans="1:2" x14ac:dyDescent="0.25">
      <c r="A1188">
        <f t="shared" si="37"/>
        <v>2.3699999999999606</v>
      </c>
      <c r="B1188" s="32">
        <f t="shared" si="36"/>
        <v>1.5843850014216838</v>
      </c>
    </row>
    <row r="1189" spans="1:2" x14ac:dyDescent="0.25">
      <c r="A1189">
        <f t="shared" si="37"/>
        <v>2.3719999999999604</v>
      </c>
      <c r="B1189" s="32">
        <f t="shared" si="36"/>
        <v>0.74192664296863542</v>
      </c>
    </row>
    <row r="1190" spans="1:2" x14ac:dyDescent="0.25">
      <c r="A1190">
        <f t="shared" si="37"/>
        <v>2.3739999999999601</v>
      </c>
      <c r="B1190" s="32">
        <f t="shared" si="36"/>
        <v>-0.10884291601254614</v>
      </c>
    </row>
    <row r="1191" spans="1:2" x14ac:dyDescent="0.25">
      <c r="A1191">
        <f t="shared" si="37"/>
        <v>2.3759999999999599</v>
      </c>
      <c r="B1191" s="32">
        <f t="shared" si="36"/>
        <v>-0.94350315085450753</v>
      </c>
    </row>
    <row r="1192" spans="1:2" x14ac:dyDescent="0.25">
      <c r="A1192">
        <f t="shared" si="37"/>
        <v>2.3779999999999597</v>
      </c>
      <c r="B1192" s="32">
        <f t="shared" si="36"/>
        <v>-1.7381143413252234</v>
      </c>
    </row>
    <row r="1193" spans="1:2" x14ac:dyDescent="0.25">
      <c r="A1193">
        <f t="shared" si="37"/>
        <v>2.3799999999999595</v>
      </c>
      <c r="B1193" s="32">
        <f t="shared" si="36"/>
        <v>-2.4698978347137577</v>
      </c>
    </row>
    <row r="1194" spans="1:2" x14ac:dyDescent="0.25">
      <c r="A1194">
        <f t="shared" si="37"/>
        <v>2.3819999999999593</v>
      </c>
      <c r="B1194" s="32">
        <f t="shared" si="36"/>
        <v>-3.1178832724340153</v>
      </c>
    </row>
    <row r="1195" spans="1:2" x14ac:dyDescent="0.25">
      <c r="A1195">
        <f t="shared" si="37"/>
        <v>2.383999999999959</v>
      </c>
      <c r="B1195" s="32">
        <f t="shared" si="36"/>
        <v>-3.6635044087235933</v>
      </c>
    </row>
    <row r="1196" spans="1:2" x14ac:dyDescent="0.25">
      <c r="A1196">
        <f t="shared" si="37"/>
        <v>2.3859999999999588</v>
      </c>
      <c r="B1196" s="32">
        <f t="shared" si="36"/>
        <v>-4.0911266093117682</v>
      </c>
    </row>
    <row r="1197" spans="1:2" x14ac:dyDescent="0.25">
      <c r="A1197">
        <f t="shared" si="37"/>
        <v>2.3879999999999586</v>
      </c>
      <c r="B1197" s="32">
        <f t="shared" si="36"/>
        <v>-4.3884910572230966</v>
      </c>
    </row>
    <row r="1198" spans="1:2" x14ac:dyDescent="0.25">
      <c r="A1198">
        <f t="shared" si="37"/>
        <v>2.3899999999999584</v>
      </c>
      <c r="B1198" s="32">
        <f t="shared" si="36"/>
        <v>-4.5470630571164454</v>
      </c>
    </row>
    <row r="1199" spans="1:2" x14ac:dyDescent="0.25">
      <c r="A1199">
        <f t="shared" si="37"/>
        <v>2.3919999999999582</v>
      </c>
      <c r="B1199" s="32">
        <f t="shared" si="36"/>
        <v>-4.5622745516459595</v>
      </c>
    </row>
    <row r="1200" spans="1:2" x14ac:dyDescent="0.25">
      <c r="A1200">
        <f t="shared" si="37"/>
        <v>2.3939999999999579</v>
      </c>
      <c r="B1200" s="32">
        <f t="shared" si="36"/>
        <v>-4.4336539660089391</v>
      </c>
    </row>
    <row r="1201" spans="1:2" x14ac:dyDescent="0.25">
      <c r="A1201">
        <f t="shared" si="37"/>
        <v>2.3959999999999577</v>
      </c>
      <c r="B1201" s="32">
        <f t="shared" si="36"/>
        <v>-4.1648396948939661</v>
      </c>
    </row>
    <row r="1202" spans="1:2" x14ac:dyDescent="0.25">
      <c r="A1202">
        <f t="shared" si="37"/>
        <v>2.3979999999999575</v>
      </c>
      <c r="B1202" s="32">
        <f t="shared" si="36"/>
        <v>-3.7634768487015591</v>
      </c>
    </row>
    <row r="1203" spans="1:2" x14ac:dyDescent="0.25">
      <c r="A1203">
        <f t="shared" si="37"/>
        <v>2.3999999999999573</v>
      </c>
      <c r="B1203" s="32">
        <f t="shared" si="36"/>
        <v>-3.2410001894431399</v>
      </c>
    </row>
    <row r="1204" spans="1:2" x14ac:dyDescent="0.25">
      <c r="A1204">
        <f t="shared" si="37"/>
        <v>2.4019999999999571</v>
      </c>
      <c r="B1204" s="32">
        <f t="shared" si="36"/>
        <v>-2.6123094170882073</v>
      </c>
    </row>
    <row r="1205" spans="1:2" x14ac:dyDescent="0.25">
      <c r="A1205">
        <f t="shared" si="37"/>
        <v>2.4039999999999568</v>
      </c>
      <c r="B1205" s="32">
        <f t="shared" si="36"/>
        <v>-1.8953460226470278</v>
      </c>
    </row>
    <row r="1206" spans="1:2" x14ac:dyDescent="0.25">
      <c r="A1206">
        <f t="shared" si="37"/>
        <v>2.4059999999999566</v>
      </c>
      <c r="B1206" s="32">
        <f t="shared" si="36"/>
        <v>-1.1105837182261329</v>
      </c>
    </row>
    <row r="1207" spans="1:2" x14ac:dyDescent="0.25">
      <c r="A1207">
        <f t="shared" si="37"/>
        <v>2.4079999999999564</v>
      </c>
      <c r="B1207" s="32">
        <f t="shared" si="36"/>
        <v>-0.28044690737506728</v>
      </c>
    </row>
    <row r="1208" spans="1:2" x14ac:dyDescent="0.25">
      <c r="A1208">
        <f t="shared" si="37"/>
        <v>2.4099999999999562</v>
      </c>
      <c r="B1208" s="32">
        <f t="shared" si="36"/>
        <v>0.57132629835558291</v>
      </c>
    </row>
    <row r="1209" spans="1:2" x14ac:dyDescent="0.25">
      <c r="A1209">
        <f t="shared" si="37"/>
        <v>2.411999999999956</v>
      </c>
      <c r="B1209" s="32">
        <f t="shared" si="36"/>
        <v>1.4203584365824982</v>
      </c>
    </row>
    <row r="1210" spans="1:2" x14ac:dyDescent="0.25">
      <c r="A1210">
        <f t="shared" si="37"/>
        <v>2.4139999999999557</v>
      </c>
      <c r="B1210" s="32">
        <f t="shared" si="36"/>
        <v>2.242325283918758</v>
      </c>
    </row>
    <row r="1211" spans="1:2" x14ac:dyDescent="0.25">
      <c r="A1211">
        <f t="shared" si="37"/>
        <v>2.4159999999999555</v>
      </c>
      <c r="B1211" s="32">
        <f t="shared" si="36"/>
        <v>3.0136470196330896</v>
      </c>
    </row>
    <row r="1212" spans="1:2" x14ac:dyDescent="0.25">
      <c r="A1212">
        <f t="shared" si="37"/>
        <v>2.4179999999999553</v>
      </c>
      <c r="B1212" s="32">
        <f t="shared" si="36"/>
        <v>3.7121583444950588</v>
      </c>
    </row>
    <row r="1213" spans="1:2" x14ac:dyDescent="0.25">
      <c r="A1213">
        <f t="shared" si="37"/>
        <v>2.4199999999999551</v>
      </c>
      <c r="B1213" s="32">
        <f t="shared" si="36"/>
        <v>4.317738533144551</v>
      </c>
    </row>
    <row r="1214" spans="1:2" x14ac:dyDescent="0.25">
      <c r="A1214">
        <f t="shared" si="37"/>
        <v>2.4219999999999549</v>
      </c>
      <c r="B1214" s="32">
        <f t="shared" si="36"/>
        <v>4.8128835351760912</v>
      </c>
    </row>
    <row r="1215" spans="1:2" x14ac:dyDescent="0.25">
      <c r="A1215">
        <f t="shared" si="37"/>
        <v>2.4239999999999546</v>
      </c>
      <c r="B1215" s="32">
        <f t="shared" si="36"/>
        <v>5.1832038845697479</v>
      </c>
    </row>
    <row r="1216" spans="1:2" x14ac:dyDescent="0.25">
      <c r="A1216">
        <f t="shared" si="37"/>
        <v>2.4259999999999544</v>
      </c>
      <c r="B1216" s="32">
        <f t="shared" si="36"/>
        <v>5.4178342824747503</v>
      </c>
    </row>
    <row r="1217" spans="1:2" x14ac:dyDescent="0.25">
      <c r="A1217">
        <f t="shared" si="37"/>
        <v>2.4279999999999542</v>
      </c>
      <c r="B1217" s="32">
        <f t="shared" si="36"/>
        <v>5.5097432249035441</v>
      </c>
    </row>
    <row r="1218" spans="1:2" x14ac:dyDescent="0.25">
      <c r="A1218">
        <f t="shared" si="37"/>
        <v>2.429999999999954</v>
      </c>
      <c r="B1218" s="32">
        <f t="shared" si="36"/>
        <v>5.4559338834800872</v>
      </c>
    </row>
    <row r="1219" spans="1:2" x14ac:dyDescent="0.25">
      <c r="A1219">
        <f t="shared" si="37"/>
        <v>2.4319999999999538</v>
      </c>
      <c r="B1219" s="32">
        <f t="shared" si="36"/>
        <v>5.2575305335123206</v>
      </c>
    </row>
    <row r="1220" spans="1:2" x14ac:dyDescent="0.25">
      <c r="A1220">
        <f t="shared" si="37"/>
        <v>2.4339999999999535</v>
      </c>
      <c r="B1220" s="32">
        <f t="shared" ref="B1220:B1244" si="38">0.323585334495683*COS(1.25226098841235 - 29.4037227718803*$A1220) - 0.278838680632391*COS(1.04090145025875*$A1220) - 5.11813177262468*COS(0.597704127771972 - 84.3329956365773*$A1220)</f>
        <v>4.9197480717316777</v>
      </c>
    </row>
    <row r="1221" spans="1:2" x14ac:dyDescent="0.25">
      <c r="A1221">
        <f t="shared" ref="A1221:A1244" si="39">+A1220+$A$1</f>
        <v>2.4359999999999533</v>
      </c>
      <c r="B1221" s="32">
        <f t="shared" si="38"/>
        <v>4.4517454838828456</v>
      </c>
    </row>
    <row r="1222" spans="1:2" x14ac:dyDescent="0.25">
      <c r="A1222">
        <f t="shared" si="39"/>
        <v>2.4379999999999531</v>
      </c>
      <c r="B1222" s="32">
        <f t="shared" si="38"/>
        <v>3.8663674157910473</v>
      </c>
    </row>
    <row r="1223" spans="1:2" x14ac:dyDescent="0.25">
      <c r="A1223">
        <f t="shared" si="39"/>
        <v>2.4399999999999529</v>
      </c>
      <c r="B1223" s="32">
        <f t="shared" si="38"/>
        <v>3.1797811771145525</v>
      </c>
    </row>
    <row r="1224" spans="1:2" x14ac:dyDescent="0.25">
      <c r="A1224">
        <f t="shared" si="39"/>
        <v>2.4419999999999527</v>
      </c>
      <c r="B1224" s="32">
        <f t="shared" si="38"/>
        <v>2.4110194745752627</v>
      </c>
    </row>
    <row r="1225" spans="1:2" x14ac:dyDescent="0.25">
      <c r="A1225">
        <f t="shared" si="39"/>
        <v>2.4439999999999524</v>
      </c>
      <c r="B1225" s="32">
        <f t="shared" si="38"/>
        <v>1.5814418468374636</v>
      </c>
    </row>
    <row r="1226" spans="1:2" x14ac:dyDescent="0.25">
      <c r="A1226">
        <f t="shared" si="39"/>
        <v>2.4459999999999522</v>
      </c>
      <c r="B1226" s="32">
        <f t="shared" si="38"/>
        <v>0.71413008043473736</v>
      </c>
    </row>
    <row r="1227" spans="1:2" x14ac:dyDescent="0.25">
      <c r="A1227">
        <f t="shared" si="39"/>
        <v>2.447999999999952</v>
      </c>
      <c r="B1227" s="32">
        <f t="shared" si="38"/>
        <v>-0.16676524024218065</v>
      </c>
    </row>
    <row r="1228" spans="1:2" x14ac:dyDescent="0.25">
      <c r="A1228">
        <f t="shared" si="39"/>
        <v>2.4499999999999518</v>
      </c>
      <c r="B1228" s="32">
        <f t="shared" si="38"/>
        <v>-1.0367085090768895</v>
      </c>
    </row>
    <row r="1229" spans="1:2" x14ac:dyDescent="0.25">
      <c r="A1229">
        <f t="shared" si="39"/>
        <v>2.4519999999999516</v>
      </c>
      <c r="B1229" s="32">
        <f t="shared" si="38"/>
        <v>-1.8714737999991133</v>
      </c>
    </row>
    <row r="1230" spans="1:2" x14ac:dyDescent="0.25">
      <c r="A1230">
        <f t="shared" si="39"/>
        <v>2.4539999999999513</v>
      </c>
      <c r="B1230" s="32">
        <f t="shared" si="38"/>
        <v>-2.6478307838441446</v>
      </c>
    </row>
    <row r="1231" spans="1:2" x14ac:dyDescent="0.25">
      <c r="A1231">
        <f t="shared" si="39"/>
        <v>2.4559999999999511</v>
      </c>
      <c r="B1231" s="32">
        <f t="shared" si="38"/>
        <v>-3.3442023990604848</v>
      </c>
    </row>
    <row r="1232" spans="1:2" x14ac:dyDescent="0.25">
      <c r="A1232">
        <f t="shared" si="39"/>
        <v>2.4579999999999509</v>
      </c>
      <c r="B1232" s="32">
        <f t="shared" si="38"/>
        <v>-3.9412756166379852</v>
      </c>
    </row>
    <row r="1233" spans="1:2" x14ac:dyDescent="0.25">
      <c r="A1233">
        <f t="shared" si="39"/>
        <v>2.4599999999999507</v>
      </c>
      <c r="B1233" s="32">
        <f t="shared" si="38"/>
        <v>-4.4225479708016628</v>
      </c>
    </row>
    <row r="1234" spans="1:2" x14ac:dyDescent="0.25">
      <c r="A1234">
        <f t="shared" si="39"/>
        <v>2.4619999999999505</v>
      </c>
      <c r="B1234" s="32">
        <f t="shared" si="38"/>
        <v>-4.7747943499686096</v>
      </c>
    </row>
    <row r="1235" spans="1:2" x14ac:dyDescent="0.25">
      <c r="A1235">
        <f t="shared" si="39"/>
        <v>2.4639999999999502</v>
      </c>
      <c r="B1235" s="32">
        <f t="shared" si="38"/>
        <v>-4.9884408054508347</v>
      </c>
    </row>
    <row r="1236" spans="1:2" x14ac:dyDescent="0.25">
      <c r="A1236">
        <f t="shared" si="39"/>
        <v>2.46599999999995</v>
      </c>
      <c r="B1236" s="32">
        <f t="shared" si="38"/>
        <v>-5.0578347741937613</v>
      </c>
    </row>
    <row r="1237" spans="1:2" x14ac:dyDescent="0.25">
      <c r="A1237">
        <f t="shared" si="39"/>
        <v>2.4679999999999498</v>
      </c>
      <c r="B1237" s="32">
        <f t="shared" si="38"/>
        <v>-4.9814040515671243</v>
      </c>
    </row>
    <row r="1238" spans="1:2" x14ac:dyDescent="0.25">
      <c r="A1238">
        <f t="shared" si="39"/>
        <v>2.4699999999999496</v>
      </c>
      <c r="B1238" s="32">
        <f t="shared" si="38"/>
        <v>-4.7617000074469544</v>
      </c>
    </row>
    <row r="1239" spans="1:2" x14ac:dyDescent="0.25">
      <c r="A1239">
        <f t="shared" si="39"/>
        <v>2.4719999999999493</v>
      </c>
      <c r="B1239" s="32">
        <f t="shared" si="38"/>
        <v>-4.4053238239346673</v>
      </c>
    </row>
    <row r="1240" spans="1:2" x14ac:dyDescent="0.25">
      <c r="A1240">
        <f t="shared" si="39"/>
        <v>2.4739999999999491</v>
      </c>
      <c r="B1240" s="32">
        <f t="shared" si="38"/>
        <v>-3.9227378528249592</v>
      </c>
    </row>
    <row r="1241" spans="1:2" x14ac:dyDescent="0.25">
      <c r="A1241">
        <f t="shared" si="39"/>
        <v>2.4759999999999489</v>
      </c>
      <c r="B1241" s="32">
        <f t="shared" si="38"/>
        <v>-3.3279674511339041</v>
      </c>
    </row>
    <row r="1242" spans="1:2" x14ac:dyDescent="0.25">
      <c r="A1242">
        <f t="shared" si="39"/>
        <v>2.4779999999999487</v>
      </c>
      <c r="B1242" s="32">
        <f t="shared" si="38"/>
        <v>-2.6382017611126187</v>
      </c>
    </row>
    <row r="1243" spans="1:2" x14ac:dyDescent="0.25">
      <c r="A1243">
        <f t="shared" si="39"/>
        <v>2.4799999999999485</v>
      </c>
      <c r="B1243" s="32">
        <f t="shared" si="38"/>
        <v>-1.8733047689840334</v>
      </c>
    </row>
    <row r="1244" spans="1:2" x14ac:dyDescent="0.25">
      <c r="A1244">
        <f t="shared" si="39"/>
        <v>2.4819999999999482</v>
      </c>
      <c r="B1244" s="32">
        <f t="shared" si="38"/>
        <v>-1.0552505227674358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E12" sqref="E12:F12"/>
    </sheetView>
  </sheetViews>
  <sheetFormatPr defaultRowHeight="15" x14ac:dyDescent="0.25"/>
  <sheetData>
    <row r="1" spans="1:7" x14ac:dyDescent="0.25">
      <c r="A1" t="s">
        <v>25</v>
      </c>
      <c r="B1" t="s">
        <v>26</v>
      </c>
      <c r="C1" t="s">
        <v>27</v>
      </c>
      <c r="D1" t="s">
        <v>28</v>
      </c>
      <c r="E1">
        <v>134.25999976907599</v>
      </c>
      <c r="F1">
        <f>2*PI()/E1*365.242</f>
        <v>17.092828630359236</v>
      </c>
    </row>
    <row r="2" spans="1:7" x14ac:dyDescent="0.25">
      <c r="B2" t="s">
        <v>29</v>
      </c>
      <c r="C2" t="s">
        <v>30</v>
      </c>
      <c r="D2" t="s">
        <v>29</v>
      </c>
      <c r="E2">
        <v>0.70574265942608205</v>
      </c>
      <c r="F2">
        <f>2*PI()/E2</f>
        <v>8.9029410696090618</v>
      </c>
      <c r="G2" t="s">
        <v>32</v>
      </c>
    </row>
    <row r="3" spans="1:7" x14ac:dyDescent="0.25">
      <c r="B3" t="s">
        <v>28</v>
      </c>
      <c r="C3">
        <v>0.64316271434084404</v>
      </c>
    </row>
    <row r="4" spans="1:7" x14ac:dyDescent="0.25">
      <c r="B4" t="s">
        <v>28</v>
      </c>
      <c r="C4" t="s">
        <v>31</v>
      </c>
      <c r="D4" t="s">
        <v>28</v>
      </c>
      <c r="E4">
        <v>84.332631713732795</v>
      </c>
      <c r="F4">
        <f>2*PI()/E4*365.242</f>
        <v>27.212279770360656</v>
      </c>
    </row>
    <row r="5" spans="1:7" x14ac:dyDescent="0.25">
      <c r="E5">
        <f>+E1-2*PI()</f>
        <v>127.9768144618964</v>
      </c>
      <c r="F5">
        <f t="shared" ref="F5:F13" si="0">2*PI()/E5*365.242</f>
        <v>17.932022902852932</v>
      </c>
    </row>
    <row r="6" spans="1:7" x14ac:dyDescent="0.25">
      <c r="E6">
        <f>+E5-2*PI()</f>
        <v>121.6936291547168</v>
      </c>
      <c r="F6">
        <f t="shared" si="0"/>
        <v>18.857874351394816</v>
      </c>
    </row>
    <row r="7" spans="1:7" x14ac:dyDescent="0.25">
      <c r="E7">
        <f t="shared" ref="E7:E13" si="1">+E6-2*PI()</f>
        <v>115.41044384753721</v>
      </c>
      <c r="F7">
        <f t="shared" si="0"/>
        <v>19.884536368273032</v>
      </c>
    </row>
    <row r="8" spans="1:7" x14ac:dyDescent="0.25">
      <c r="E8">
        <f t="shared" si="1"/>
        <v>109.12725854035762</v>
      </c>
      <c r="F8">
        <f t="shared" si="0"/>
        <v>21.029421967163128</v>
      </c>
    </row>
    <row r="9" spans="1:7" x14ac:dyDescent="0.25">
      <c r="E9">
        <f t="shared" si="1"/>
        <v>102.84407323317802</v>
      </c>
      <c r="F9">
        <f t="shared" si="0"/>
        <v>22.314199504347769</v>
      </c>
    </row>
    <row r="10" spans="1:7" x14ac:dyDescent="0.25">
      <c r="E10">
        <f t="shared" si="1"/>
        <v>96.560887925998429</v>
      </c>
      <c r="F10">
        <f t="shared" si="0"/>
        <v>23.766177147455611</v>
      </c>
    </row>
    <row r="11" spans="1:7" x14ac:dyDescent="0.25">
      <c r="E11">
        <f t="shared" si="1"/>
        <v>90.277702618818836</v>
      </c>
      <c r="F11">
        <f t="shared" si="0"/>
        <v>25.420265485206386</v>
      </c>
    </row>
    <row r="12" spans="1:7" x14ac:dyDescent="0.25">
      <c r="E12">
        <f t="shared" si="1"/>
        <v>83.994517311639243</v>
      </c>
      <c r="F12">
        <f t="shared" si="0"/>
        <v>27.321821011844555</v>
      </c>
    </row>
    <row r="13" spans="1:7" x14ac:dyDescent="0.25">
      <c r="E13">
        <f t="shared" si="1"/>
        <v>77.711332004459649</v>
      </c>
      <c r="F13">
        <f t="shared" si="0"/>
        <v>29.530869035074439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selection activeCell="B18" sqref="B18"/>
    </sheetView>
  </sheetViews>
  <sheetFormatPr defaultRowHeight="15" x14ac:dyDescent="0.25"/>
  <sheetData>
    <row r="1" spans="1:16" x14ac:dyDescent="0.25">
      <c r="A1">
        <v>9</v>
      </c>
      <c r="B1">
        <f>2048/12/A1</f>
        <v>18.962962962962962</v>
      </c>
    </row>
    <row r="2" spans="1:16" x14ac:dyDescent="0.25">
      <c r="A2">
        <v>13</v>
      </c>
      <c r="B2">
        <f t="shared" ref="B2:B17" si="0">2048/12/A2</f>
        <v>13.128205128205128</v>
      </c>
    </row>
    <row r="3" spans="1:16" x14ac:dyDescent="0.25">
      <c r="A3">
        <v>18.7</v>
      </c>
      <c r="B3">
        <f t="shared" si="0"/>
        <v>9.1265597147950093</v>
      </c>
      <c r="D3" s="29"/>
      <c r="E3" s="29" t="s">
        <v>15</v>
      </c>
      <c r="F3" s="29">
        <v>9</v>
      </c>
      <c r="G3" s="29">
        <v>6.32</v>
      </c>
      <c r="H3" s="29">
        <v>4.37</v>
      </c>
      <c r="I3" s="30">
        <v>4</v>
      </c>
      <c r="J3" s="29">
        <v>2.89</v>
      </c>
      <c r="K3" s="29"/>
      <c r="L3" s="29" t="s">
        <v>16</v>
      </c>
      <c r="M3" s="29"/>
      <c r="N3" s="29" t="s">
        <v>17</v>
      </c>
      <c r="O3" s="29"/>
      <c r="P3" s="29"/>
    </row>
    <row r="4" spans="1:16" x14ac:dyDescent="0.25">
      <c r="A4">
        <v>27</v>
      </c>
      <c r="B4">
        <f t="shared" si="0"/>
        <v>6.3209876543209873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 x14ac:dyDescent="0.25">
      <c r="A5">
        <v>39</v>
      </c>
      <c r="B5">
        <f t="shared" si="0"/>
        <v>4.3760683760683756</v>
      </c>
    </row>
    <row r="6" spans="1:16" x14ac:dyDescent="0.25">
      <c r="A6">
        <v>42</v>
      </c>
      <c r="B6">
        <f t="shared" si="0"/>
        <v>4.0634920634920633</v>
      </c>
    </row>
    <row r="7" spans="1:16" x14ac:dyDescent="0.25">
      <c r="A7">
        <v>59</v>
      </c>
      <c r="B7">
        <f t="shared" si="0"/>
        <v>2.8926553672316384</v>
      </c>
    </row>
    <row r="8" spans="1:16" x14ac:dyDescent="0.25">
      <c r="A8">
        <v>73</v>
      </c>
      <c r="B8">
        <f t="shared" si="0"/>
        <v>2.3378995433789953</v>
      </c>
    </row>
    <row r="9" spans="1:16" x14ac:dyDescent="0.25">
      <c r="A9">
        <v>76</v>
      </c>
      <c r="B9">
        <f t="shared" si="0"/>
        <v>2.2456140350877192</v>
      </c>
    </row>
    <row r="10" spans="1:16" x14ac:dyDescent="0.25">
      <c r="A10">
        <v>95</v>
      </c>
      <c r="B10">
        <f t="shared" si="0"/>
        <v>1.7964912280701753</v>
      </c>
    </row>
    <row r="11" spans="1:16" x14ac:dyDescent="0.25">
      <c r="A11">
        <v>97</v>
      </c>
      <c r="B11">
        <f t="shared" si="0"/>
        <v>1.7594501718213058</v>
      </c>
    </row>
    <row r="12" spans="1:16" x14ac:dyDescent="0.25">
      <c r="A12">
        <v>111</v>
      </c>
      <c r="B12">
        <f t="shared" si="0"/>
        <v>1.5375375375375375</v>
      </c>
    </row>
    <row r="13" spans="1:16" x14ac:dyDescent="0.25">
      <c r="A13">
        <v>118</v>
      </c>
      <c r="B13">
        <f t="shared" si="0"/>
        <v>1.4463276836158192</v>
      </c>
    </row>
    <row r="14" spans="1:16" x14ac:dyDescent="0.25">
      <c r="A14" s="31">
        <v>4</v>
      </c>
      <c r="B14" s="31">
        <f t="shared" si="0"/>
        <v>42.666666666666664</v>
      </c>
    </row>
    <row r="15" spans="1:16" x14ac:dyDescent="0.25">
      <c r="A15" s="31">
        <v>34</v>
      </c>
      <c r="B15" s="31">
        <f t="shared" si="0"/>
        <v>5.0196078431372548</v>
      </c>
    </row>
    <row r="16" spans="1:16" x14ac:dyDescent="0.25">
      <c r="A16" s="31">
        <v>80</v>
      </c>
      <c r="B16" s="31">
        <f t="shared" si="0"/>
        <v>2.1333333333333333</v>
      </c>
    </row>
    <row r="17" spans="1:2" x14ac:dyDescent="0.25">
      <c r="A17" s="31">
        <v>120</v>
      </c>
      <c r="B17" s="31">
        <f t="shared" si="0"/>
        <v>1.4222222222222221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4"/>
  <sheetViews>
    <sheetView workbookViewId="0">
      <selection activeCell="G7" sqref="G7"/>
    </sheetView>
  </sheetViews>
  <sheetFormatPr defaultRowHeight="15" x14ac:dyDescent="0.25"/>
  <sheetData>
    <row r="1" spans="1:9" x14ac:dyDescent="0.25">
      <c r="A1" t="s">
        <v>18</v>
      </c>
      <c r="B1" t="s">
        <v>19</v>
      </c>
      <c r="C1" t="s">
        <v>20</v>
      </c>
      <c r="D1" t="s">
        <v>21</v>
      </c>
      <c r="E1" t="s">
        <v>18</v>
      </c>
      <c r="F1" t="s">
        <v>22</v>
      </c>
    </row>
    <row r="2" spans="1:9" x14ac:dyDescent="0.25">
      <c r="A2">
        <v>1900</v>
      </c>
      <c r="B2">
        <v>3</v>
      </c>
      <c r="C2">
        <v>21</v>
      </c>
      <c r="D2">
        <v>2415099.5688399998</v>
      </c>
      <c r="E2">
        <f>+A2+B2/12+C2/(365.242)</f>
        <v>1900.3074961258562</v>
      </c>
      <c r="F2">
        <v>-21.035399999999999</v>
      </c>
      <c r="I2" t="e">
        <f>+day</f>
        <v>#NAME?</v>
      </c>
    </row>
    <row r="3" spans="1:9" x14ac:dyDescent="0.25">
      <c r="A3">
        <v>1900</v>
      </c>
      <c r="B3">
        <v>9</v>
      </c>
      <c r="C3">
        <v>23</v>
      </c>
      <c r="D3">
        <v>2415286.0140999998</v>
      </c>
      <c r="E3">
        <f t="shared" ref="E3:E66" si="0">+A3+B3/12+C3/(365.242)</f>
        <v>1900.8129719473663</v>
      </c>
      <c r="F3">
        <v>-3.6122999999999998</v>
      </c>
      <c r="G3">
        <f>+D3-D2</f>
        <v>186.44525999994949</v>
      </c>
    </row>
    <row r="4" spans="1:9" x14ac:dyDescent="0.25">
      <c r="A4">
        <v>1901</v>
      </c>
      <c r="B4">
        <v>3</v>
      </c>
      <c r="C4">
        <v>21</v>
      </c>
      <c r="D4">
        <v>2415464.8081100001</v>
      </c>
      <c r="E4">
        <f t="shared" si="0"/>
        <v>1901.3074961258562</v>
      </c>
      <c r="F4">
        <v>6.7918000000000003</v>
      </c>
      <c r="G4">
        <f>+D4-D2</f>
        <v>365.23927000025287</v>
      </c>
      <c r="H4">
        <f>+G4/(G3+G4)</f>
        <v>0.66204370457898987</v>
      </c>
    </row>
    <row r="5" spans="1:9" x14ac:dyDescent="0.25">
      <c r="A5">
        <v>1901</v>
      </c>
      <c r="B5">
        <v>9</v>
      </c>
      <c r="C5">
        <v>23</v>
      </c>
      <c r="D5">
        <v>2415651.2563</v>
      </c>
      <c r="E5">
        <f t="shared" si="0"/>
        <v>1901.8129719473663</v>
      </c>
      <c r="F5">
        <v>-15.8225</v>
      </c>
      <c r="G5">
        <f t="shared" ref="G5:G10" si="1">+D5-D4</f>
        <v>186.44818999990821</v>
      </c>
    </row>
    <row r="6" spans="1:9" x14ac:dyDescent="0.25">
      <c r="A6">
        <v>1902</v>
      </c>
      <c r="B6">
        <v>3</v>
      </c>
      <c r="C6">
        <v>21</v>
      </c>
      <c r="D6">
        <v>2415830.0532399998</v>
      </c>
      <c r="E6">
        <f t="shared" si="0"/>
        <v>1902.3074961258562</v>
      </c>
      <c r="F6">
        <v>6.6543000000000001</v>
      </c>
      <c r="G6">
        <f t="shared" si="1"/>
        <v>178.79693999979645</v>
      </c>
    </row>
    <row r="7" spans="1:9" x14ac:dyDescent="0.25">
      <c r="A7">
        <v>1902</v>
      </c>
      <c r="B7">
        <v>9</v>
      </c>
      <c r="C7">
        <v>23</v>
      </c>
      <c r="D7">
        <v>2416016.4968400002</v>
      </c>
      <c r="E7">
        <f t="shared" si="0"/>
        <v>1902.8129719473663</v>
      </c>
      <c r="F7">
        <v>18.1938</v>
      </c>
      <c r="G7">
        <f t="shared" si="1"/>
        <v>186.44360000034794</v>
      </c>
    </row>
    <row r="8" spans="1:9" x14ac:dyDescent="0.25">
      <c r="A8">
        <v>1903</v>
      </c>
      <c r="B8">
        <v>3</v>
      </c>
      <c r="C8">
        <v>21</v>
      </c>
      <c r="D8">
        <v>2416195.3020000001</v>
      </c>
      <c r="E8">
        <f t="shared" si="0"/>
        <v>1903.3074961258562</v>
      </c>
      <c r="F8">
        <v>-18.4954</v>
      </c>
      <c r="G8">
        <f t="shared" si="1"/>
        <v>178.80515999998897</v>
      </c>
    </row>
    <row r="9" spans="1:9" x14ac:dyDescent="0.25">
      <c r="A9">
        <v>1903</v>
      </c>
      <c r="B9">
        <v>9</v>
      </c>
      <c r="C9">
        <v>24</v>
      </c>
      <c r="D9">
        <v>2416381.73875</v>
      </c>
      <c r="E9">
        <f t="shared" si="0"/>
        <v>1903.8157098581214</v>
      </c>
      <c r="F9">
        <v>-12.635400000000001</v>
      </c>
      <c r="G9">
        <f t="shared" si="1"/>
        <v>186.43674999987707</v>
      </c>
    </row>
    <row r="10" spans="1:9" x14ac:dyDescent="0.25">
      <c r="A10">
        <v>1904</v>
      </c>
      <c r="B10">
        <v>3</v>
      </c>
      <c r="C10">
        <v>21</v>
      </c>
      <c r="D10">
        <v>2416560.54073</v>
      </c>
      <c r="E10">
        <f t="shared" si="0"/>
        <v>1904.3074961258562</v>
      </c>
      <c r="F10">
        <v>11.3285</v>
      </c>
      <c r="G10">
        <f t="shared" si="1"/>
        <v>178.80197999998927</v>
      </c>
    </row>
    <row r="11" spans="1:9" x14ac:dyDescent="0.25">
      <c r="A11">
        <v>1904</v>
      </c>
      <c r="B11">
        <v>9</v>
      </c>
      <c r="C11">
        <v>23</v>
      </c>
      <c r="D11">
        <v>2416746.9863300002</v>
      </c>
      <c r="E11">
        <f t="shared" si="0"/>
        <v>1904.8129719473663</v>
      </c>
      <c r="F11">
        <v>-5.8114999999999997</v>
      </c>
    </row>
    <row r="12" spans="1:9" x14ac:dyDescent="0.25">
      <c r="A12">
        <v>1905</v>
      </c>
      <c r="B12">
        <v>3</v>
      </c>
      <c r="C12">
        <v>21</v>
      </c>
      <c r="D12">
        <v>2416925.7900100001</v>
      </c>
      <c r="E12">
        <f t="shared" si="0"/>
        <v>1905.3074961258562</v>
      </c>
      <c r="F12">
        <v>0.55149999999999999</v>
      </c>
    </row>
    <row r="13" spans="1:9" x14ac:dyDescent="0.25">
      <c r="A13">
        <v>1905</v>
      </c>
      <c r="B13">
        <v>9</v>
      </c>
      <c r="C13">
        <v>23</v>
      </c>
      <c r="D13">
        <v>2417112.2291999999</v>
      </c>
      <c r="E13">
        <f t="shared" si="0"/>
        <v>1905.8129719473663</v>
      </c>
      <c r="F13">
        <v>17.6738</v>
      </c>
    </row>
    <row r="14" spans="1:9" x14ac:dyDescent="0.25">
      <c r="A14">
        <v>1906</v>
      </c>
      <c r="B14">
        <v>3</v>
      </c>
      <c r="C14">
        <v>21</v>
      </c>
      <c r="D14">
        <v>2417291.0367399999</v>
      </c>
      <c r="E14">
        <f t="shared" si="0"/>
        <v>1906.3074961258562</v>
      </c>
      <c r="F14">
        <v>-15.546900000000001</v>
      </c>
    </row>
    <row r="15" spans="1:9" x14ac:dyDescent="0.25">
      <c r="A15">
        <v>1906</v>
      </c>
      <c r="B15">
        <v>9</v>
      </c>
      <c r="C15">
        <v>23</v>
      </c>
      <c r="D15">
        <v>2417477.46881</v>
      </c>
      <c r="E15">
        <f t="shared" si="0"/>
        <v>1906.8129719473663</v>
      </c>
      <c r="F15">
        <v>-18.709299999999999</v>
      </c>
    </row>
    <row r="16" spans="1:9" x14ac:dyDescent="0.25">
      <c r="A16">
        <v>1907</v>
      </c>
      <c r="B16">
        <v>3</v>
      </c>
      <c r="C16">
        <v>21</v>
      </c>
      <c r="D16">
        <v>2417656.2729699998</v>
      </c>
      <c r="E16">
        <f t="shared" si="0"/>
        <v>1907.3074961258562</v>
      </c>
      <c r="F16">
        <v>20.139099999999999</v>
      </c>
    </row>
    <row r="17" spans="1:9" x14ac:dyDescent="0.25">
      <c r="A17">
        <v>1907</v>
      </c>
      <c r="B17">
        <v>9</v>
      </c>
      <c r="C17">
        <v>24</v>
      </c>
      <c r="D17">
        <v>2417842.7145799999</v>
      </c>
      <c r="E17">
        <f t="shared" si="0"/>
        <v>1907.8157098581214</v>
      </c>
      <c r="F17">
        <v>5.9751000000000003</v>
      </c>
    </row>
    <row r="18" spans="1:9" x14ac:dyDescent="0.25">
      <c r="A18">
        <v>1908</v>
      </c>
      <c r="B18">
        <v>3</v>
      </c>
      <c r="C18">
        <v>21</v>
      </c>
      <c r="D18">
        <v>2418021.5189800002</v>
      </c>
      <c r="E18">
        <f t="shared" si="0"/>
        <v>1908.3074961258562</v>
      </c>
      <c r="F18">
        <v>-9.3557000000000006</v>
      </c>
    </row>
    <row r="19" spans="1:9" x14ac:dyDescent="0.25">
      <c r="A19">
        <v>1908</v>
      </c>
      <c r="B19">
        <v>9</v>
      </c>
      <c r="C19">
        <v>23</v>
      </c>
      <c r="D19">
        <v>2418207.9572000001</v>
      </c>
      <c r="E19">
        <f t="shared" si="0"/>
        <v>1908.8129719473663</v>
      </c>
      <c r="F19">
        <v>12.9436</v>
      </c>
    </row>
    <row r="20" spans="1:9" x14ac:dyDescent="0.25">
      <c r="A20">
        <v>1909</v>
      </c>
      <c r="B20">
        <v>3</v>
      </c>
      <c r="C20">
        <v>21</v>
      </c>
      <c r="D20">
        <v>2418386.7590600001</v>
      </c>
      <c r="E20">
        <f t="shared" si="0"/>
        <v>1909.3074961258562</v>
      </c>
      <c r="F20">
        <v>-8.7021999999999995</v>
      </c>
    </row>
    <row r="21" spans="1:9" x14ac:dyDescent="0.25">
      <c r="A21">
        <v>1909</v>
      </c>
      <c r="B21">
        <v>9</v>
      </c>
      <c r="C21">
        <v>23</v>
      </c>
      <c r="D21">
        <v>2418573.19765</v>
      </c>
      <c r="E21">
        <f t="shared" si="0"/>
        <v>1909.8129719473663</v>
      </c>
      <c r="F21">
        <v>-26.4895</v>
      </c>
    </row>
    <row r="22" spans="1:9" x14ac:dyDescent="0.25">
      <c r="A22">
        <v>1910</v>
      </c>
      <c r="B22">
        <v>3</v>
      </c>
      <c r="C22">
        <v>21</v>
      </c>
      <c r="D22">
        <v>2418752.0020599999</v>
      </c>
      <c r="E22">
        <f t="shared" si="0"/>
        <v>1910.3074961258562</v>
      </c>
      <c r="F22">
        <v>21.375499999999999</v>
      </c>
    </row>
    <row r="23" spans="1:9" x14ac:dyDescent="0.25">
      <c r="A23">
        <v>1910</v>
      </c>
      <c r="B23">
        <v>9</v>
      </c>
      <c r="C23">
        <v>23</v>
      </c>
      <c r="D23">
        <v>2418938.4380800002</v>
      </c>
      <c r="E23">
        <f t="shared" si="0"/>
        <v>1910.8129719473663</v>
      </c>
      <c r="F23">
        <v>21.691700000000001</v>
      </c>
    </row>
    <row r="24" spans="1:9" x14ac:dyDescent="0.25">
      <c r="A24">
        <v>1911</v>
      </c>
      <c r="B24">
        <v>3</v>
      </c>
      <c r="C24">
        <v>21</v>
      </c>
      <c r="D24">
        <v>2419117.24615</v>
      </c>
      <c r="E24">
        <f t="shared" si="0"/>
        <v>1911.3074961258562</v>
      </c>
      <c r="F24">
        <v>-26.1082</v>
      </c>
    </row>
    <row r="25" spans="1:9" x14ac:dyDescent="0.25">
      <c r="A25">
        <v>1911</v>
      </c>
      <c r="B25">
        <v>9</v>
      </c>
      <c r="C25">
        <v>24</v>
      </c>
      <c r="D25">
        <v>2419303.6789000002</v>
      </c>
      <c r="E25">
        <f t="shared" si="0"/>
        <v>1911.8157098581214</v>
      </c>
      <c r="F25">
        <v>-7.2305999999999999</v>
      </c>
    </row>
    <row r="26" spans="1:9" x14ac:dyDescent="0.25">
      <c r="A26">
        <v>1912</v>
      </c>
      <c r="B26">
        <v>3</v>
      </c>
      <c r="C26">
        <v>20</v>
      </c>
      <c r="D26">
        <v>2419482.4787599999</v>
      </c>
      <c r="E26">
        <f t="shared" si="0"/>
        <v>1912.3047582151012</v>
      </c>
      <c r="F26">
        <v>8.9967000000000006</v>
      </c>
    </row>
    <row r="27" spans="1:9" x14ac:dyDescent="0.25">
      <c r="A27">
        <v>1912</v>
      </c>
      <c r="B27">
        <v>9</v>
      </c>
      <c r="C27">
        <v>23</v>
      </c>
      <c r="D27">
        <v>2419668.9222900001</v>
      </c>
      <c r="E27">
        <f t="shared" si="0"/>
        <v>1912.8129719473663</v>
      </c>
      <c r="F27">
        <v>-16.9878</v>
      </c>
    </row>
    <row r="28" spans="1:9" x14ac:dyDescent="0.25">
      <c r="A28">
        <v>1913</v>
      </c>
      <c r="B28">
        <v>3</v>
      </c>
      <c r="C28">
        <v>21</v>
      </c>
      <c r="D28">
        <v>2419847.7208599998</v>
      </c>
      <c r="E28">
        <f t="shared" si="0"/>
        <v>1913.3074961258562</v>
      </c>
      <c r="F28">
        <v>8.0279000000000007</v>
      </c>
    </row>
    <row r="29" spans="1:9" x14ac:dyDescent="0.25">
      <c r="A29">
        <v>1913</v>
      </c>
      <c r="B29">
        <v>9</v>
      </c>
      <c r="C29">
        <v>23</v>
      </c>
      <c r="D29">
        <v>2420034.1616799999</v>
      </c>
      <c r="E29">
        <f t="shared" si="0"/>
        <v>1913.8129719473663</v>
      </c>
      <c r="F29">
        <v>27.7745</v>
      </c>
      <c r="H29">
        <f>100/63</f>
        <v>1.5873015873015872</v>
      </c>
      <c r="I29">
        <f>40/25</f>
        <v>1.6</v>
      </c>
    </row>
    <row r="30" spans="1:9" x14ac:dyDescent="0.25">
      <c r="A30">
        <v>1914</v>
      </c>
      <c r="B30">
        <v>3</v>
      </c>
      <c r="C30">
        <v>21</v>
      </c>
      <c r="D30">
        <v>2420212.96582</v>
      </c>
      <c r="E30">
        <f t="shared" si="0"/>
        <v>1914.3074961258562</v>
      </c>
      <c r="F30">
        <v>-24.161300000000001</v>
      </c>
    </row>
    <row r="31" spans="1:9" x14ac:dyDescent="0.25">
      <c r="A31">
        <v>1914</v>
      </c>
      <c r="B31">
        <v>9</v>
      </c>
      <c r="C31">
        <v>23</v>
      </c>
      <c r="D31">
        <v>2420399.3985100002</v>
      </c>
      <c r="E31">
        <f t="shared" si="0"/>
        <v>1914.8129719473663</v>
      </c>
      <c r="F31">
        <v>-24.820900000000002</v>
      </c>
    </row>
    <row r="32" spans="1:9" x14ac:dyDescent="0.25">
      <c r="A32">
        <v>1915</v>
      </c>
      <c r="B32">
        <v>3</v>
      </c>
      <c r="C32">
        <v>21</v>
      </c>
      <c r="D32">
        <v>2420578.2023100001</v>
      </c>
      <c r="E32">
        <f t="shared" si="0"/>
        <v>1915.3074961258562</v>
      </c>
      <c r="F32">
        <v>25.870699999999999</v>
      </c>
    </row>
    <row r="33" spans="1:6" x14ac:dyDescent="0.25">
      <c r="A33">
        <v>1915</v>
      </c>
      <c r="B33">
        <v>9</v>
      </c>
      <c r="C33">
        <v>24</v>
      </c>
      <c r="D33">
        <v>2420764.64157</v>
      </c>
      <c r="E33">
        <f t="shared" si="0"/>
        <v>1915.8157098581214</v>
      </c>
      <c r="F33">
        <v>6.5804</v>
      </c>
    </row>
    <row r="34" spans="1:6" x14ac:dyDescent="0.25">
      <c r="A34">
        <v>1916</v>
      </c>
      <c r="B34">
        <v>3</v>
      </c>
      <c r="C34">
        <v>20</v>
      </c>
      <c r="D34">
        <v>2420943.4492600001</v>
      </c>
      <c r="E34">
        <f t="shared" si="0"/>
        <v>1916.3047582151012</v>
      </c>
      <c r="F34">
        <v>-11.2197</v>
      </c>
    </row>
    <row r="35" spans="1:6" x14ac:dyDescent="0.25">
      <c r="A35">
        <v>1916</v>
      </c>
      <c r="B35">
        <v>9</v>
      </c>
      <c r="C35">
        <v>23</v>
      </c>
      <c r="D35">
        <v>2421129.8852900001</v>
      </c>
      <c r="E35">
        <f t="shared" si="0"/>
        <v>1916.8129719473663</v>
      </c>
      <c r="F35">
        <v>14.277900000000001</v>
      </c>
    </row>
    <row r="36" spans="1:6" x14ac:dyDescent="0.25">
      <c r="A36">
        <v>1917</v>
      </c>
      <c r="B36">
        <v>3</v>
      </c>
      <c r="C36">
        <v>21</v>
      </c>
      <c r="D36">
        <v>2421308.69257</v>
      </c>
      <c r="E36">
        <f t="shared" si="0"/>
        <v>1917.3074961258562</v>
      </c>
      <c r="F36">
        <v>-7.9931999999999999</v>
      </c>
    </row>
    <row r="37" spans="1:6" x14ac:dyDescent="0.25">
      <c r="A37">
        <v>1917</v>
      </c>
      <c r="B37">
        <v>9</v>
      </c>
      <c r="C37">
        <v>23</v>
      </c>
      <c r="D37">
        <v>2421495.1251500002</v>
      </c>
      <c r="E37">
        <f t="shared" si="0"/>
        <v>1917.8129719473663</v>
      </c>
      <c r="F37">
        <v>-25.368600000000001</v>
      </c>
    </row>
    <row r="38" spans="1:6" x14ac:dyDescent="0.25">
      <c r="A38">
        <v>1918</v>
      </c>
      <c r="B38">
        <v>3</v>
      </c>
      <c r="C38">
        <v>21</v>
      </c>
      <c r="D38">
        <v>2421673.9345</v>
      </c>
      <c r="E38">
        <f t="shared" si="0"/>
        <v>1918.3074961258562</v>
      </c>
      <c r="F38">
        <v>18.8172</v>
      </c>
    </row>
    <row r="39" spans="1:6" x14ac:dyDescent="0.25">
      <c r="A39">
        <v>1918</v>
      </c>
      <c r="B39">
        <v>9</v>
      </c>
      <c r="C39">
        <v>23</v>
      </c>
      <c r="D39">
        <v>2421860.3650799999</v>
      </c>
      <c r="E39">
        <f t="shared" si="0"/>
        <v>1918.8129719473663</v>
      </c>
      <c r="F39">
        <v>18.578199999999999</v>
      </c>
    </row>
    <row r="40" spans="1:6" x14ac:dyDescent="0.25">
      <c r="A40">
        <v>1919</v>
      </c>
      <c r="B40">
        <v>3</v>
      </c>
      <c r="C40">
        <v>21</v>
      </c>
      <c r="D40">
        <v>2422039.1799900001</v>
      </c>
      <c r="E40">
        <f t="shared" si="0"/>
        <v>1919.3074961258562</v>
      </c>
      <c r="F40">
        <v>-20.416399999999999</v>
      </c>
    </row>
    <row r="41" spans="1:6" x14ac:dyDescent="0.25">
      <c r="A41">
        <v>1919</v>
      </c>
      <c r="B41">
        <v>9</v>
      </c>
      <c r="C41">
        <v>24</v>
      </c>
      <c r="D41">
        <v>2422225.6079299999</v>
      </c>
      <c r="E41">
        <f t="shared" si="0"/>
        <v>1919.8157098581214</v>
      </c>
      <c r="F41">
        <v>-4.2194000000000003</v>
      </c>
    </row>
    <row r="42" spans="1:6" x14ac:dyDescent="0.25">
      <c r="A42">
        <v>1920</v>
      </c>
      <c r="B42">
        <v>3</v>
      </c>
      <c r="C42">
        <v>20</v>
      </c>
      <c r="D42">
        <v>2422404.4161999999</v>
      </c>
      <c r="E42">
        <f t="shared" si="0"/>
        <v>1920.3047582151012</v>
      </c>
      <c r="F42">
        <v>4.6420000000000003</v>
      </c>
    </row>
    <row r="43" spans="1:6" x14ac:dyDescent="0.25">
      <c r="A43">
        <v>1920</v>
      </c>
      <c r="B43">
        <v>9</v>
      </c>
      <c r="C43">
        <v>23</v>
      </c>
      <c r="D43">
        <v>2422590.8529099999</v>
      </c>
      <c r="E43">
        <f t="shared" si="0"/>
        <v>1920.8129719473663</v>
      </c>
      <c r="F43">
        <v>-14.6388</v>
      </c>
    </row>
    <row r="44" spans="1:6" x14ac:dyDescent="0.25">
      <c r="A44">
        <v>1921</v>
      </c>
      <c r="B44">
        <v>3</v>
      </c>
      <c r="C44">
        <v>21</v>
      </c>
      <c r="D44">
        <v>2422769.66047</v>
      </c>
      <c r="E44">
        <f t="shared" si="0"/>
        <v>1921.3074961258562</v>
      </c>
      <c r="F44">
        <v>8.4291999999999998</v>
      </c>
    </row>
    <row r="45" spans="1:6" x14ac:dyDescent="0.25">
      <c r="A45">
        <v>1921</v>
      </c>
      <c r="B45">
        <v>9</v>
      </c>
      <c r="C45">
        <v>23</v>
      </c>
      <c r="D45">
        <v>2422956.0970800002</v>
      </c>
      <c r="E45">
        <f t="shared" si="0"/>
        <v>1921.8129719473663</v>
      </c>
      <c r="F45">
        <v>17.268599999999999</v>
      </c>
    </row>
    <row r="46" spans="1:6" x14ac:dyDescent="0.25">
      <c r="A46">
        <v>1922</v>
      </c>
      <c r="B46">
        <v>3</v>
      </c>
      <c r="C46">
        <v>21</v>
      </c>
      <c r="D46">
        <v>2423134.9087700001</v>
      </c>
      <c r="E46">
        <f t="shared" si="0"/>
        <v>1922.3074961258562</v>
      </c>
      <c r="F46">
        <v>-18.416499999999999</v>
      </c>
    </row>
    <row r="47" spans="1:6" x14ac:dyDescent="0.25">
      <c r="A47">
        <v>1922</v>
      </c>
      <c r="B47">
        <v>9</v>
      </c>
      <c r="C47">
        <v>23</v>
      </c>
      <c r="D47">
        <v>2423321.3400099999</v>
      </c>
      <c r="E47">
        <f t="shared" si="0"/>
        <v>1922.8129719473663</v>
      </c>
      <c r="F47">
        <v>-11.5924</v>
      </c>
    </row>
    <row r="48" spans="1:6" x14ac:dyDescent="0.25">
      <c r="A48">
        <v>1923</v>
      </c>
      <c r="B48">
        <v>3</v>
      </c>
      <c r="C48">
        <v>21</v>
      </c>
      <c r="D48">
        <v>2423500.1449899999</v>
      </c>
      <c r="E48">
        <f t="shared" si="0"/>
        <v>1923.3074961258562</v>
      </c>
      <c r="F48">
        <v>11.557</v>
      </c>
    </row>
    <row r="49" spans="1:6" x14ac:dyDescent="0.25">
      <c r="A49">
        <v>1923</v>
      </c>
      <c r="B49">
        <v>9</v>
      </c>
      <c r="C49">
        <v>24</v>
      </c>
      <c r="D49">
        <v>2423686.5858300002</v>
      </c>
      <c r="E49">
        <f t="shared" si="0"/>
        <v>1923.8157098581214</v>
      </c>
      <c r="F49">
        <v>-5.6656000000000004</v>
      </c>
    </row>
    <row r="50" spans="1:6" x14ac:dyDescent="0.25">
      <c r="A50">
        <v>1924</v>
      </c>
      <c r="B50">
        <v>3</v>
      </c>
      <c r="C50">
        <v>20</v>
      </c>
      <c r="D50">
        <v>2423865.389</v>
      </c>
      <c r="E50">
        <f t="shared" si="0"/>
        <v>1924.3047582151012</v>
      </c>
      <c r="F50">
        <v>2.8134000000000001</v>
      </c>
    </row>
    <row r="51" spans="1:6" x14ac:dyDescent="0.25">
      <c r="A51">
        <v>1924</v>
      </c>
      <c r="B51">
        <v>9</v>
      </c>
      <c r="C51">
        <v>23</v>
      </c>
      <c r="D51">
        <v>2424051.8321500001</v>
      </c>
      <c r="E51">
        <f t="shared" si="0"/>
        <v>1924.8129719473663</v>
      </c>
      <c r="F51">
        <v>18.400099999999998</v>
      </c>
    </row>
    <row r="52" spans="1:6" x14ac:dyDescent="0.25">
      <c r="A52">
        <v>1925</v>
      </c>
      <c r="B52">
        <v>3</v>
      </c>
      <c r="C52">
        <v>21</v>
      </c>
      <c r="D52">
        <v>2424230.6334699998</v>
      </c>
      <c r="E52">
        <f t="shared" si="0"/>
        <v>1925.3074961258562</v>
      </c>
      <c r="F52">
        <v>-17.2654</v>
      </c>
    </row>
    <row r="53" spans="1:6" x14ac:dyDescent="0.25">
      <c r="A53">
        <v>1925</v>
      </c>
      <c r="B53">
        <v>9</v>
      </c>
      <c r="C53">
        <v>23</v>
      </c>
      <c r="D53">
        <v>2424417.0718200002</v>
      </c>
      <c r="E53">
        <f t="shared" si="0"/>
        <v>1925.8129719473663</v>
      </c>
      <c r="F53">
        <v>-17.833300000000001</v>
      </c>
    </row>
    <row r="54" spans="1:6" x14ac:dyDescent="0.25">
      <c r="A54">
        <v>1926</v>
      </c>
      <c r="B54">
        <v>3</v>
      </c>
      <c r="C54">
        <v>21</v>
      </c>
      <c r="D54">
        <v>2424595.8758299998</v>
      </c>
      <c r="E54">
        <f t="shared" si="0"/>
        <v>1926.3074961258562</v>
      </c>
      <c r="F54">
        <v>20.8032</v>
      </c>
    </row>
    <row r="55" spans="1:6" x14ac:dyDescent="0.25">
      <c r="A55">
        <v>1926</v>
      </c>
      <c r="B55">
        <v>9</v>
      </c>
      <c r="C55">
        <v>23</v>
      </c>
      <c r="D55">
        <v>2424782.3101599999</v>
      </c>
      <c r="E55">
        <f t="shared" si="0"/>
        <v>1926.8129719473663</v>
      </c>
      <c r="F55">
        <v>5.3667999999999996</v>
      </c>
    </row>
    <row r="56" spans="1:6" x14ac:dyDescent="0.25">
      <c r="A56">
        <v>1927</v>
      </c>
      <c r="B56">
        <v>3</v>
      </c>
      <c r="C56">
        <v>21</v>
      </c>
      <c r="D56">
        <v>2424961.12439</v>
      </c>
      <c r="E56">
        <f t="shared" si="0"/>
        <v>1927.3074961258562</v>
      </c>
      <c r="F56">
        <v>-9.7181999999999995</v>
      </c>
    </row>
    <row r="57" spans="1:6" x14ac:dyDescent="0.25">
      <c r="A57">
        <v>1927</v>
      </c>
      <c r="B57">
        <v>9</v>
      </c>
      <c r="C57">
        <v>24</v>
      </c>
      <c r="D57">
        <v>2425147.5534399999</v>
      </c>
      <c r="E57">
        <f t="shared" si="0"/>
        <v>1927.8157098581214</v>
      </c>
      <c r="F57">
        <v>11.835800000000001</v>
      </c>
    </row>
    <row r="58" spans="1:6" x14ac:dyDescent="0.25">
      <c r="A58">
        <v>1928</v>
      </c>
      <c r="B58">
        <v>3</v>
      </c>
      <c r="C58">
        <v>20</v>
      </c>
      <c r="D58">
        <v>2425326.3640700001</v>
      </c>
      <c r="E58">
        <f t="shared" si="0"/>
        <v>1928.3047582151012</v>
      </c>
      <c r="F58">
        <v>-10.621499999999999</v>
      </c>
    </row>
    <row r="59" spans="1:6" x14ac:dyDescent="0.25">
      <c r="A59">
        <v>1928</v>
      </c>
      <c r="B59">
        <v>9</v>
      </c>
      <c r="C59">
        <v>23</v>
      </c>
      <c r="D59">
        <v>2425512.7955</v>
      </c>
      <c r="E59">
        <f t="shared" si="0"/>
        <v>1928.8129719473663</v>
      </c>
      <c r="F59">
        <v>-26.464700000000001</v>
      </c>
    </row>
    <row r="60" spans="1:6" x14ac:dyDescent="0.25">
      <c r="A60">
        <v>1929</v>
      </c>
      <c r="B60">
        <v>3</v>
      </c>
      <c r="C60">
        <v>21</v>
      </c>
      <c r="D60">
        <v>2425691.6075499998</v>
      </c>
      <c r="E60">
        <f t="shared" si="0"/>
        <v>1929.3074961258562</v>
      </c>
      <c r="F60">
        <v>22.6784</v>
      </c>
    </row>
    <row r="61" spans="1:6" x14ac:dyDescent="0.25">
      <c r="A61">
        <v>1929</v>
      </c>
      <c r="B61">
        <v>9</v>
      </c>
      <c r="C61">
        <v>23</v>
      </c>
      <c r="D61">
        <v>2425878.0363400001</v>
      </c>
      <c r="E61">
        <f t="shared" si="0"/>
        <v>1929.8129719473663</v>
      </c>
      <c r="F61">
        <v>19.7803</v>
      </c>
    </row>
    <row r="62" spans="1:6" x14ac:dyDescent="0.25">
      <c r="A62">
        <v>1930</v>
      </c>
      <c r="B62">
        <v>3</v>
      </c>
      <c r="C62">
        <v>21</v>
      </c>
      <c r="D62">
        <v>2426056.85402</v>
      </c>
      <c r="E62">
        <f t="shared" si="0"/>
        <v>1930.3074961258562</v>
      </c>
      <c r="F62">
        <v>-27.796199999999999</v>
      </c>
    </row>
    <row r="63" spans="1:6" x14ac:dyDescent="0.25">
      <c r="A63">
        <v>1930</v>
      </c>
      <c r="B63">
        <v>9</v>
      </c>
      <c r="C63">
        <v>23</v>
      </c>
      <c r="D63">
        <v>2426243.2749700001</v>
      </c>
      <c r="E63">
        <f t="shared" si="0"/>
        <v>1930.8129719473663</v>
      </c>
      <c r="F63">
        <v>-7.1848999999999998</v>
      </c>
    </row>
    <row r="64" spans="1:6" x14ac:dyDescent="0.25">
      <c r="A64">
        <v>1931</v>
      </c>
      <c r="B64">
        <v>3</v>
      </c>
      <c r="C64">
        <v>21</v>
      </c>
      <c r="D64">
        <v>2426422.0877299998</v>
      </c>
      <c r="E64">
        <f t="shared" si="0"/>
        <v>1931.3074961258562</v>
      </c>
      <c r="F64">
        <v>9.8588000000000005</v>
      </c>
    </row>
    <row r="65" spans="1:6" x14ac:dyDescent="0.25">
      <c r="A65">
        <v>1931</v>
      </c>
      <c r="B65">
        <v>9</v>
      </c>
      <c r="C65">
        <v>24</v>
      </c>
      <c r="D65">
        <v>2426608.5162</v>
      </c>
      <c r="E65">
        <f t="shared" si="0"/>
        <v>1931.8157098581214</v>
      </c>
      <c r="F65">
        <v>-15.347300000000001</v>
      </c>
    </row>
    <row r="66" spans="1:6" x14ac:dyDescent="0.25">
      <c r="A66">
        <v>1932</v>
      </c>
      <c r="B66">
        <v>3</v>
      </c>
      <c r="C66">
        <v>20</v>
      </c>
      <c r="D66">
        <v>2426787.3289100002</v>
      </c>
      <c r="E66">
        <f t="shared" si="0"/>
        <v>1932.3047582151012</v>
      </c>
      <c r="F66">
        <v>10.179</v>
      </c>
    </row>
    <row r="67" spans="1:6" x14ac:dyDescent="0.25">
      <c r="A67">
        <v>1932</v>
      </c>
      <c r="B67">
        <v>9</v>
      </c>
      <c r="C67">
        <v>23</v>
      </c>
      <c r="D67">
        <v>2426973.7610499999</v>
      </c>
      <c r="E67">
        <f t="shared" ref="E67:E130" si="2">+A67+B67/12+C67/(365.242)</f>
        <v>1932.8129719473663</v>
      </c>
      <c r="F67">
        <v>28.162500000000001</v>
      </c>
    </row>
    <row r="68" spans="1:6" x14ac:dyDescent="0.25">
      <c r="A68">
        <v>1933</v>
      </c>
      <c r="B68">
        <v>3</v>
      </c>
      <c r="C68">
        <v>21</v>
      </c>
      <c r="D68">
        <v>2427152.5716200001</v>
      </c>
      <c r="E68">
        <f t="shared" si="2"/>
        <v>1933.3074961258562</v>
      </c>
      <c r="F68">
        <v>-24.450600000000001</v>
      </c>
    </row>
    <row r="69" spans="1:6" x14ac:dyDescent="0.25">
      <c r="A69">
        <v>1933</v>
      </c>
      <c r="B69">
        <v>9</v>
      </c>
      <c r="C69">
        <v>23</v>
      </c>
      <c r="D69">
        <v>2427339.0008100001</v>
      </c>
      <c r="E69">
        <f t="shared" si="2"/>
        <v>1933.8129719473663</v>
      </c>
      <c r="F69">
        <v>-23.083500000000001</v>
      </c>
    </row>
    <row r="70" spans="1:6" x14ac:dyDescent="0.25">
      <c r="A70">
        <v>1934</v>
      </c>
      <c r="B70">
        <v>3</v>
      </c>
      <c r="C70">
        <v>21</v>
      </c>
      <c r="D70">
        <v>2427517.8110600002</v>
      </c>
      <c r="E70">
        <f t="shared" si="2"/>
        <v>1934.3074961258562</v>
      </c>
      <c r="F70">
        <v>26.002600000000001</v>
      </c>
    </row>
    <row r="71" spans="1:6" x14ac:dyDescent="0.25">
      <c r="A71">
        <v>1934</v>
      </c>
      <c r="B71">
        <v>9</v>
      </c>
      <c r="C71">
        <v>23</v>
      </c>
      <c r="D71">
        <v>2427704.23973</v>
      </c>
      <c r="E71">
        <f t="shared" si="2"/>
        <v>1934.8129719473663</v>
      </c>
      <c r="F71">
        <v>6.2656999999999998</v>
      </c>
    </row>
    <row r="72" spans="1:6" x14ac:dyDescent="0.25">
      <c r="A72">
        <v>1935</v>
      </c>
      <c r="B72">
        <v>3</v>
      </c>
      <c r="C72">
        <v>21</v>
      </c>
      <c r="D72">
        <v>2427883.0540200002</v>
      </c>
      <c r="E72">
        <f t="shared" si="2"/>
        <v>1935.3074961258562</v>
      </c>
      <c r="F72">
        <v>-10.922700000000001</v>
      </c>
    </row>
    <row r="73" spans="1:6" x14ac:dyDescent="0.25">
      <c r="A73">
        <v>1935</v>
      </c>
      <c r="B73">
        <v>9</v>
      </c>
      <c r="C73">
        <v>23</v>
      </c>
      <c r="D73">
        <v>2428069.4848500001</v>
      </c>
      <c r="E73">
        <f t="shared" si="2"/>
        <v>1935.8129719473663</v>
      </c>
      <c r="F73">
        <v>11.902900000000001</v>
      </c>
    </row>
    <row r="74" spans="1:6" x14ac:dyDescent="0.25">
      <c r="A74">
        <v>1936</v>
      </c>
      <c r="B74">
        <v>3</v>
      </c>
      <c r="C74">
        <v>20</v>
      </c>
      <c r="D74">
        <v>2428248.2901900001</v>
      </c>
      <c r="E74">
        <f t="shared" si="2"/>
        <v>1936.3047582151012</v>
      </c>
      <c r="F74">
        <v>-9.9481000000000002</v>
      </c>
    </row>
    <row r="75" spans="1:6" x14ac:dyDescent="0.25">
      <c r="A75">
        <v>1936</v>
      </c>
      <c r="B75">
        <v>9</v>
      </c>
      <c r="C75">
        <v>23</v>
      </c>
      <c r="D75">
        <v>2428434.7263799999</v>
      </c>
      <c r="E75">
        <f t="shared" si="2"/>
        <v>1936.8129719473663</v>
      </c>
      <c r="F75">
        <v>-24.1845</v>
      </c>
    </row>
    <row r="76" spans="1:6" x14ac:dyDescent="0.25">
      <c r="A76">
        <v>1937</v>
      </c>
      <c r="B76">
        <v>3</v>
      </c>
      <c r="C76">
        <v>21</v>
      </c>
      <c r="D76">
        <v>2428613.53131</v>
      </c>
      <c r="E76">
        <f t="shared" si="2"/>
        <v>1937.3074961258562</v>
      </c>
      <c r="F76">
        <v>18.7881</v>
      </c>
    </row>
    <row r="77" spans="1:6" x14ac:dyDescent="0.25">
      <c r="A77">
        <v>1937</v>
      </c>
      <c r="B77">
        <v>9</v>
      </c>
      <c r="C77">
        <v>23</v>
      </c>
      <c r="D77">
        <v>2428799.9673299999</v>
      </c>
      <c r="E77">
        <f t="shared" si="2"/>
        <v>1937.8129719473663</v>
      </c>
      <c r="F77">
        <v>16.203399999999998</v>
      </c>
    </row>
    <row r="78" spans="1:6" x14ac:dyDescent="0.25">
      <c r="A78">
        <v>1938</v>
      </c>
      <c r="B78">
        <v>3</v>
      </c>
      <c r="C78">
        <v>21</v>
      </c>
      <c r="D78">
        <v>2428978.7799300002</v>
      </c>
      <c r="E78">
        <f t="shared" si="2"/>
        <v>1938.3074961258562</v>
      </c>
      <c r="F78">
        <v>-20.779599999999999</v>
      </c>
    </row>
    <row r="79" spans="1:6" x14ac:dyDescent="0.25">
      <c r="A79">
        <v>1938</v>
      </c>
      <c r="B79">
        <v>9</v>
      </c>
      <c r="C79">
        <v>23</v>
      </c>
      <c r="D79">
        <v>2429165.2080000001</v>
      </c>
      <c r="E79">
        <f t="shared" si="2"/>
        <v>1938.8129719473663</v>
      </c>
      <c r="F79">
        <v>-3.6015000000000001</v>
      </c>
    </row>
    <row r="80" spans="1:6" x14ac:dyDescent="0.25">
      <c r="A80">
        <v>1939</v>
      </c>
      <c r="B80">
        <v>3</v>
      </c>
      <c r="C80">
        <v>21</v>
      </c>
      <c r="D80">
        <v>2429344.0197800002</v>
      </c>
      <c r="E80">
        <f t="shared" si="2"/>
        <v>1939.3074961258562</v>
      </c>
      <c r="F80">
        <v>3.9942000000000002</v>
      </c>
    </row>
    <row r="81" spans="1:6" x14ac:dyDescent="0.25">
      <c r="A81">
        <v>1939</v>
      </c>
      <c r="B81">
        <v>9</v>
      </c>
      <c r="C81">
        <v>23</v>
      </c>
      <c r="D81">
        <v>2429530.45102</v>
      </c>
      <c r="E81">
        <f t="shared" si="2"/>
        <v>1939.8129719473663</v>
      </c>
      <c r="F81">
        <v>-13.7745</v>
      </c>
    </row>
    <row r="82" spans="1:6" x14ac:dyDescent="0.25">
      <c r="A82">
        <v>1940</v>
      </c>
      <c r="B82">
        <v>3</v>
      </c>
      <c r="C82">
        <v>20</v>
      </c>
      <c r="D82">
        <v>2429709.2664899998</v>
      </c>
      <c r="E82">
        <f t="shared" si="2"/>
        <v>1940.3047582151012</v>
      </c>
      <c r="F82">
        <v>10.6196</v>
      </c>
    </row>
    <row r="83" spans="1:6" x14ac:dyDescent="0.25">
      <c r="A83">
        <v>1940</v>
      </c>
      <c r="B83">
        <v>9</v>
      </c>
      <c r="C83">
        <v>23</v>
      </c>
      <c r="D83">
        <v>2429895.69833</v>
      </c>
      <c r="E83">
        <f t="shared" si="2"/>
        <v>1940.8129719473663</v>
      </c>
      <c r="F83">
        <v>17.1556</v>
      </c>
    </row>
    <row r="84" spans="1:6" x14ac:dyDescent="0.25">
      <c r="A84">
        <v>1941</v>
      </c>
      <c r="B84">
        <v>3</v>
      </c>
      <c r="C84">
        <v>21</v>
      </c>
      <c r="D84">
        <v>2430074.5141699999</v>
      </c>
      <c r="E84">
        <f t="shared" si="2"/>
        <v>1941.3074961258562</v>
      </c>
      <c r="F84">
        <v>-18.457899999999999</v>
      </c>
    </row>
    <row r="85" spans="1:6" x14ac:dyDescent="0.25">
      <c r="A85">
        <v>1941</v>
      </c>
      <c r="B85">
        <v>9</v>
      </c>
      <c r="C85">
        <v>23</v>
      </c>
      <c r="D85">
        <v>2430260.9394299998</v>
      </c>
      <c r="E85">
        <f t="shared" si="2"/>
        <v>1941.8129719473663</v>
      </c>
      <c r="F85">
        <v>-9.5076000000000001</v>
      </c>
    </row>
    <row r="86" spans="1:6" x14ac:dyDescent="0.25">
      <c r="A86">
        <v>1942</v>
      </c>
      <c r="B86">
        <v>3</v>
      </c>
      <c r="C86">
        <v>21</v>
      </c>
      <c r="D86">
        <v>2430439.7574</v>
      </c>
      <c r="E86">
        <f t="shared" si="2"/>
        <v>1942.3074961258562</v>
      </c>
      <c r="F86">
        <v>12.1357</v>
      </c>
    </row>
    <row r="87" spans="1:6" x14ac:dyDescent="0.25">
      <c r="A87">
        <v>1942</v>
      </c>
      <c r="B87">
        <v>9</v>
      </c>
      <c r="C87">
        <v>23</v>
      </c>
      <c r="D87">
        <v>2430626.1781100002</v>
      </c>
      <c r="E87">
        <f t="shared" si="2"/>
        <v>1942.8129719473663</v>
      </c>
      <c r="F87">
        <v>-6.5364000000000004</v>
      </c>
    </row>
    <row r="88" spans="1:6" x14ac:dyDescent="0.25">
      <c r="A88">
        <v>1943</v>
      </c>
      <c r="B88">
        <v>3</v>
      </c>
      <c r="C88">
        <v>21</v>
      </c>
      <c r="D88">
        <v>2430805.00183</v>
      </c>
      <c r="E88">
        <f t="shared" si="2"/>
        <v>1943.3074961258562</v>
      </c>
      <c r="F88">
        <v>3.6389</v>
      </c>
    </row>
    <row r="89" spans="1:6" x14ac:dyDescent="0.25">
      <c r="A89">
        <v>1943</v>
      </c>
      <c r="B89">
        <v>9</v>
      </c>
      <c r="C89">
        <v>23</v>
      </c>
      <c r="D89">
        <v>2430991.4248299999</v>
      </c>
      <c r="E89">
        <f t="shared" si="2"/>
        <v>1943.8129719473663</v>
      </c>
      <c r="F89">
        <v>18.1919</v>
      </c>
    </row>
    <row r="90" spans="1:6" x14ac:dyDescent="0.25">
      <c r="A90">
        <v>1944</v>
      </c>
      <c r="B90">
        <v>3</v>
      </c>
      <c r="C90">
        <v>20</v>
      </c>
      <c r="D90">
        <v>2431170.2420899998</v>
      </c>
      <c r="E90">
        <f t="shared" si="2"/>
        <v>1944.3047582151012</v>
      </c>
      <c r="F90">
        <v>-19.079899999999999</v>
      </c>
    </row>
    <row r="91" spans="1:6" x14ac:dyDescent="0.25">
      <c r="A91">
        <v>1944</v>
      </c>
      <c r="B91">
        <v>9</v>
      </c>
      <c r="C91">
        <v>23</v>
      </c>
      <c r="D91">
        <v>2431356.66781</v>
      </c>
      <c r="E91">
        <f t="shared" si="2"/>
        <v>1944.8129719473663</v>
      </c>
      <c r="F91">
        <v>-17.197500000000002</v>
      </c>
    </row>
    <row r="92" spans="1:6" x14ac:dyDescent="0.25">
      <c r="A92">
        <v>1945</v>
      </c>
      <c r="B92">
        <v>3</v>
      </c>
      <c r="C92">
        <v>20</v>
      </c>
      <c r="D92">
        <v>2431535.4841800001</v>
      </c>
      <c r="E92">
        <f t="shared" si="2"/>
        <v>1945.3047582151012</v>
      </c>
      <c r="F92">
        <v>21.603300000000001</v>
      </c>
    </row>
    <row r="93" spans="1:6" x14ac:dyDescent="0.25">
      <c r="A93">
        <v>1945</v>
      </c>
      <c r="B93">
        <v>9</v>
      </c>
      <c r="C93">
        <v>23</v>
      </c>
      <c r="D93">
        <v>2431721.9095800002</v>
      </c>
      <c r="E93">
        <f t="shared" si="2"/>
        <v>1945.8129719473663</v>
      </c>
      <c r="F93">
        <v>3.2481</v>
      </c>
    </row>
    <row r="94" spans="1:6" x14ac:dyDescent="0.25">
      <c r="A94">
        <v>1946</v>
      </c>
      <c r="B94">
        <v>3</v>
      </c>
      <c r="C94">
        <v>21</v>
      </c>
      <c r="D94">
        <v>2431900.73104</v>
      </c>
      <c r="E94">
        <f t="shared" si="2"/>
        <v>1946.3074961258562</v>
      </c>
      <c r="F94">
        <v>-11.747299999999999</v>
      </c>
    </row>
    <row r="95" spans="1:6" x14ac:dyDescent="0.25">
      <c r="A95">
        <v>1946</v>
      </c>
      <c r="B95">
        <v>9</v>
      </c>
      <c r="C95">
        <v>23</v>
      </c>
      <c r="D95">
        <v>2432087.1532299998</v>
      </c>
      <c r="E95">
        <f t="shared" si="2"/>
        <v>1946.8129719473663</v>
      </c>
      <c r="F95">
        <v>12.115500000000001</v>
      </c>
    </row>
    <row r="96" spans="1:6" x14ac:dyDescent="0.25">
      <c r="A96">
        <v>1947</v>
      </c>
      <c r="B96">
        <v>3</v>
      </c>
      <c r="C96">
        <v>21</v>
      </c>
      <c r="D96">
        <v>2432265.9671499999</v>
      </c>
      <c r="E96">
        <f t="shared" si="2"/>
        <v>1947.3074961258562</v>
      </c>
      <c r="F96">
        <v>-11.2607</v>
      </c>
    </row>
    <row r="97" spans="1:6" x14ac:dyDescent="0.25">
      <c r="A97">
        <v>1947</v>
      </c>
      <c r="B97">
        <v>9</v>
      </c>
      <c r="C97">
        <v>23</v>
      </c>
      <c r="D97">
        <v>2432452.39488</v>
      </c>
      <c r="E97">
        <f t="shared" si="2"/>
        <v>1947.8129719473663</v>
      </c>
      <c r="F97">
        <v>-27.063700000000001</v>
      </c>
    </row>
    <row r="98" spans="1:6" x14ac:dyDescent="0.25">
      <c r="A98">
        <v>1948</v>
      </c>
      <c r="B98">
        <v>3</v>
      </c>
      <c r="C98">
        <v>20</v>
      </c>
      <c r="D98">
        <v>2432631.2061100001</v>
      </c>
      <c r="E98">
        <f t="shared" si="2"/>
        <v>1948.3047582151012</v>
      </c>
      <c r="F98">
        <v>24.764900000000001</v>
      </c>
    </row>
    <row r="99" spans="1:6" x14ac:dyDescent="0.25">
      <c r="A99">
        <v>1948</v>
      </c>
      <c r="B99">
        <v>9</v>
      </c>
      <c r="C99">
        <v>23</v>
      </c>
      <c r="D99">
        <v>2432817.6400799998</v>
      </c>
      <c r="E99">
        <f t="shared" si="2"/>
        <v>1948.8129719473663</v>
      </c>
      <c r="F99">
        <v>19.5947</v>
      </c>
    </row>
    <row r="100" spans="1:6" x14ac:dyDescent="0.25">
      <c r="A100">
        <v>1949</v>
      </c>
      <c r="B100">
        <v>3</v>
      </c>
      <c r="C100">
        <v>20</v>
      </c>
      <c r="D100">
        <v>2432996.4500299999</v>
      </c>
      <c r="E100">
        <f t="shared" si="2"/>
        <v>1949.3047582151012</v>
      </c>
      <c r="F100">
        <v>-28.261500000000002</v>
      </c>
    </row>
    <row r="101" spans="1:6" x14ac:dyDescent="0.25">
      <c r="A101">
        <v>1949</v>
      </c>
      <c r="B101">
        <v>9</v>
      </c>
      <c r="C101">
        <v>23</v>
      </c>
      <c r="D101">
        <v>2433182.8790600002</v>
      </c>
      <c r="E101">
        <f t="shared" si="2"/>
        <v>1949.8129719473663</v>
      </c>
      <c r="F101">
        <v>-5.2789000000000001</v>
      </c>
    </row>
    <row r="102" spans="1:6" x14ac:dyDescent="0.25">
      <c r="A102">
        <v>1950</v>
      </c>
      <c r="B102">
        <v>3</v>
      </c>
      <c r="C102">
        <v>21</v>
      </c>
      <c r="D102">
        <v>2433361.6910899999</v>
      </c>
      <c r="E102">
        <f t="shared" si="2"/>
        <v>1950.3074961258562</v>
      </c>
      <c r="F102">
        <v>11.786099999999999</v>
      </c>
    </row>
    <row r="103" spans="1:6" x14ac:dyDescent="0.25">
      <c r="A103">
        <v>1950</v>
      </c>
      <c r="B103">
        <v>9</v>
      </c>
      <c r="C103">
        <v>23</v>
      </c>
      <c r="D103">
        <v>2433548.1135999998</v>
      </c>
      <c r="E103">
        <f t="shared" si="2"/>
        <v>1950.8129719473663</v>
      </c>
      <c r="F103">
        <v>-14.597899999999999</v>
      </c>
    </row>
    <row r="104" spans="1:6" x14ac:dyDescent="0.25">
      <c r="A104">
        <v>1951</v>
      </c>
      <c r="B104">
        <v>3</v>
      </c>
      <c r="C104">
        <v>21</v>
      </c>
      <c r="D104">
        <v>2433726.9345399998</v>
      </c>
      <c r="E104">
        <f t="shared" si="2"/>
        <v>1951.3074961258562</v>
      </c>
      <c r="F104">
        <v>10.1556</v>
      </c>
    </row>
    <row r="105" spans="1:6" x14ac:dyDescent="0.25">
      <c r="A105">
        <v>1951</v>
      </c>
      <c r="B105">
        <v>9</v>
      </c>
      <c r="C105">
        <v>23</v>
      </c>
      <c r="D105">
        <v>2433913.3589400002</v>
      </c>
      <c r="E105">
        <f t="shared" si="2"/>
        <v>1951.8129719473663</v>
      </c>
      <c r="F105">
        <v>27.079799999999999</v>
      </c>
    </row>
    <row r="106" spans="1:6" x14ac:dyDescent="0.25">
      <c r="A106">
        <v>1952</v>
      </c>
      <c r="B106">
        <v>3</v>
      </c>
      <c r="C106">
        <v>20</v>
      </c>
      <c r="D106">
        <v>2434092.1762299999</v>
      </c>
      <c r="E106">
        <f t="shared" si="2"/>
        <v>1952.3047582151012</v>
      </c>
      <c r="F106">
        <v>-25.630199999999999</v>
      </c>
    </row>
    <row r="107" spans="1:6" x14ac:dyDescent="0.25">
      <c r="A107">
        <v>1952</v>
      </c>
      <c r="B107">
        <v>9</v>
      </c>
      <c r="C107">
        <v>23</v>
      </c>
      <c r="D107">
        <v>2434278.5997799998</v>
      </c>
      <c r="E107">
        <f t="shared" si="2"/>
        <v>1952.8129719473663</v>
      </c>
      <c r="F107">
        <v>-21.2653</v>
      </c>
    </row>
    <row r="108" spans="1:6" x14ac:dyDescent="0.25">
      <c r="A108">
        <v>1953</v>
      </c>
      <c r="B108">
        <v>3</v>
      </c>
      <c r="C108">
        <v>20</v>
      </c>
      <c r="D108">
        <v>2434457.4170300001</v>
      </c>
      <c r="E108">
        <f t="shared" si="2"/>
        <v>1953.3047582151012</v>
      </c>
      <c r="F108">
        <v>26.069299999999998</v>
      </c>
    </row>
    <row r="109" spans="1:6" x14ac:dyDescent="0.25">
      <c r="A109">
        <v>1953</v>
      </c>
      <c r="B109">
        <v>9</v>
      </c>
      <c r="C109">
        <v>23</v>
      </c>
      <c r="D109">
        <v>2434643.8374399999</v>
      </c>
      <c r="E109">
        <f t="shared" si="2"/>
        <v>1953.8129719473663</v>
      </c>
      <c r="F109">
        <v>4.1649000000000003</v>
      </c>
    </row>
    <row r="110" spans="1:6" x14ac:dyDescent="0.25">
      <c r="A110">
        <v>1954</v>
      </c>
      <c r="B110">
        <v>3</v>
      </c>
      <c r="C110">
        <v>21</v>
      </c>
      <c r="D110">
        <v>2434822.6621099999</v>
      </c>
      <c r="E110">
        <f t="shared" si="2"/>
        <v>1954.3074961258562</v>
      </c>
      <c r="F110">
        <v>-12.372400000000001</v>
      </c>
    </row>
    <row r="111" spans="1:6" x14ac:dyDescent="0.25">
      <c r="A111">
        <v>1954</v>
      </c>
      <c r="B111">
        <v>9</v>
      </c>
      <c r="C111">
        <v>23</v>
      </c>
      <c r="D111">
        <v>2435009.0800600001</v>
      </c>
      <c r="E111">
        <f t="shared" si="2"/>
        <v>1954.8129719473663</v>
      </c>
      <c r="F111">
        <v>11.0436</v>
      </c>
    </row>
    <row r="112" spans="1:6" x14ac:dyDescent="0.25">
      <c r="A112">
        <v>1955</v>
      </c>
      <c r="B112">
        <v>3</v>
      </c>
      <c r="C112">
        <v>21</v>
      </c>
      <c r="D112">
        <v>2435187.8993899999</v>
      </c>
      <c r="E112">
        <f t="shared" si="2"/>
        <v>1955.3074961258562</v>
      </c>
      <c r="F112">
        <v>-10.469900000000001</v>
      </c>
    </row>
    <row r="113" spans="1:6" x14ac:dyDescent="0.25">
      <c r="A113">
        <v>1955</v>
      </c>
      <c r="B113">
        <v>9</v>
      </c>
      <c r="C113">
        <v>23</v>
      </c>
      <c r="D113">
        <v>2435374.3200699999</v>
      </c>
      <c r="E113">
        <f t="shared" si="2"/>
        <v>1955.8129719473663</v>
      </c>
      <c r="F113">
        <v>-23.7224</v>
      </c>
    </row>
    <row r="114" spans="1:6" x14ac:dyDescent="0.25">
      <c r="A114">
        <v>1956</v>
      </c>
      <c r="B114">
        <v>3</v>
      </c>
      <c r="C114">
        <v>20</v>
      </c>
      <c r="D114">
        <v>2435553.1390999998</v>
      </c>
      <c r="E114">
        <f t="shared" si="2"/>
        <v>1956.3047582151012</v>
      </c>
      <c r="F114">
        <v>19.737100000000002</v>
      </c>
    </row>
    <row r="115" spans="1:6" x14ac:dyDescent="0.25">
      <c r="A115">
        <v>1956</v>
      </c>
      <c r="B115">
        <v>9</v>
      </c>
      <c r="C115">
        <v>23</v>
      </c>
      <c r="D115">
        <v>2435739.5660199998</v>
      </c>
      <c r="E115">
        <f t="shared" si="2"/>
        <v>1956.8129719473663</v>
      </c>
      <c r="F115">
        <v>14.6381</v>
      </c>
    </row>
    <row r="116" spans="1:6" x14ac:dyDescent="0.25">
      <c r="A116">
        <v>1957</v>
      </c>
      <c r="B116">
        <v>3</v>
      </c>
      <c r="C116">
        <v>20</v>
      </c>
      <c r="D116">
        <v>2435918.3864600002</v>
      </c>
      <c r="E116">
        <f t="shared" si="2"/>
        <v>1957.3047582151012</v>
      </c>
      <c r="F116">
        <v>-20.3598</v>
      </c>
    </row>
    <row r="117" spans="1:6" x14ac:dyDescent="0.25">
      <c r="A117">
        <v>1957</v>
      </c>
      <c r="B117">
        <v>9</v>
      </c>
      <c r="C117">
        <v>23</v>
      </c>
      <c r="D117">
        <v>2436104.8097799998</v>
      </c>
      <c r="E117">
        <f t="shared" si="2"/>
        <v>1957.8129719473663</v>
      </c>
      <c r="F117">
        <v>-1.5256000000000001</v>
      </c>
    </row>
    <row r="118" spans="1:6" x14ac:dyDescent="0.25">
      <c r="A118">
        <v>1958</v>
      </c>
      <c r="B118">
        <v>3</v>
      </c>
      <c r="C118">
        <v>21</v>
      </c>
      <c r="D118">
        <v>2436283.62904</v>
      </c>
      <c r="E118">
        <f t="shared" si="2"/>
        <v>1958.3074961258562</v>
      </c>
      <c r="F118">
        <v>4.3041999999999998</v>
      </c>
    </row>
    <row r="119" spans="1:6" x14ac:dyDescent="0.25">
      <c r="A119">
        <v>1958</v>
      </c>
      <c r="B119">
        <v>9</v>
      </c>
      <c r="C119">
        <v>23</v>
      </c>
      <c r="D119">
        <v>2436470.04782</v>
      </c>
      <c r="E119">
        <f t="shared" si="2"/>
        <v>1958.8129719473663</v>
      </c>
      <c r="F119">
        <v>-13.299799999999999</v>
      </c>
    </row>
    <row r="120" spans="1:6" x14ac:dyDescent="0.25">
      <c r="A120">
        <v>1959</v>
      </c>
      <c r="B120">
        <v>3</v>
      </c>
      <c r="C120">
        <v>21</v>
      </c>
      <c r="D120">
        <v>2436648.8712200001</v>
      </c>
      <c r="E120">
        <f t="shared" si="2"/>
        <v>1959.3074961258562</v>
      </c>
      <c r="F120">
        <v>11.4076</v>
      </c>
    </row>
    <row r="121" spans="1:6" x14ac:dyDescent="0.25">
      <c r="A121">
        <v>1959</v>
      </c>
      <c r="B121">
        <v>9</v>
      </c>
      <c r="C121">
        <v>23</v>
      </c>
      <c r="D121">
        <v>2436835.2975499998</v>
      </c>
      <c r="E121">
        <f t="shared" si="2"/>
        <v>1959.8129719473663</v>
      </c>
      <c r="F121">
        <v>16.910499999999999</v>
      </c>
    </row>
    <row r="122" spans="1:6" x14ac:dyDescent="0.25">
      <c r="A122">
        <v>1960</v>
      </c>
      <c r="B122">
        <v>3</v>
      </c>
      <c r="C122">
        <v>20</v>
      </c>
      <c r="D122">
        <v>2437014.1129700001</v>
      </c>
      <c r="E122">
        <f t="shared" si="2"/>
        <v>1960.3047582151012</v>
      </c>
      <c r="F122">
        <v>-18.725000000000001</v>
      </c>
    </row>
    <row r="123" spans="1:6" x14ac:dyDescent="0.25">
      <c r="A123">
        <v>1960</v>
      </c>
      <c r="B123">
        <v>9</v>
      </c>
      <c r="C123">
        <v>23</v>
      </c>
      <c r="D123">
        <v>2437200.5408800002</v>
      </c>
      <c r="E123">
        <f t="shared" si="2"/>
        <v>1960.8129719473663</v>
      </c>
      <c r="F123">
        <v>-7.2926000000000002</v>
      </c>
    </row>
    <row r="124" spans="1:6" x14ac:dyDescent="0.25">
      <c r="A124">
        <v>1961</v>
      </c>
      <c r="B124">
        <v>3</v>
      </c>
      <c r="C124">
        <v>20</v>
      </c>
      <c r="D124">
        <v>2437379.3556400002</v>
      </c>
      <c r="E124">
        <f t="shared" si="2"/>
        <v>1961.3047582151012</v>
      </c>
      <c r="F124">
        <v>12.758599999999999</v>
      </c>
    </row>
    <row r="125" spans="1:6" x14ac:dyDescent="0.25">
      <c r="A125">
        <v>1961</v>
      </c>
      <c r="B125">
        <v>9</v>
      </c>
      <c r="C125">
        <v>23</v>
      </c>
      <c r="D125">
        <v>2437565.7794900001</v>
      </c>
      <c r="E125">
        <f t="shared" si="2"/>
        <v>1961.8129719473663</v>
      </c>
      <c r="F125">
        <v>-8.6605000000000008</v>
      </c>
    </row>
    <row r="126" spans="1:6" x14ac:dyDescent="0.25">
      <c r="A126">
        <v>1962</v>
      </c>
      <c r="B126">
        <v>3</v>
      </c>
      <c r="C126">
        <v>21</v>
      </c>
      <c r="D126">
        <v>2437744.6038700002</v>
      </c>
      <c r="E126">
        <f t="shared" si="2"/>
        <v>1962.3074961258562</v>
      </c>
      <c r="F126">
        <v>3.3738000000000001</v>
      </c>
    </row>
    <row r="127" spans="1:6" x14ac:dyDescent="0.25">
      <c r="A127">
        <v>1962</v>
      </c>
      <c r="B127">
        <v>9</v>
      </c>
      <c r="C127">
        <v>23</v>
      </c>
      <c r="D127">
        <v>2437931.0244700001</v>
      </c>
      <c r="E127">
        <f t="shared" si="2"/>
        <v>1962.8129719473663</v>
      </c>
      <c r="F127">
        <v>18.6188</v>
      </c>
    </row>
    <row r="128" spans="1:6" x14ac:dyDescent="0.25">
      <c r="A128">
        <v>1963</v>
      </c>
      <c r="B128">
        <v>3</v>
      </c>
      <c r="C128">
        <v>21</v>
      </c>
      <c r="D128">
        <v>2438109.8470100001</v>
      </c>
      <c r="E128">
        <f t="shared" si="2"/>
        <v>1963.3074961258562</v>
      </c>
      <c r="F128">
        <v>-20.721399999999999</v>
      </c>
    </row>
    <row r="129" spans="1:6" x14ac:dyDescent="0.25">
      <c r="A129">
        <v>1963</v>
      </c>
      <c r="B129">
        <v>9</v>
      </c>
      <c r="C129">
        <v>23</v>
      </c>
      <c r="D129">
        <v>2438296.26633</v>
      </c>
      <c r="E129">
        <f t="shared" si="2"/>
        <v>1963.8129719473663</v>
      </c>
      <c r="F129">
        <v>-18.617100000000001</v>
      </c>
    </row>
    <row r="130" spans="1:6" x14ac:dyDescent="0.25">
      <c r="A130">
        <v>1964</v>
      </c>
      <c r="B130">
        <v>3</v>
      </c>
      <c r="C130">
        <v>20</v>
      </c>
      <c r="D130">
        <v>2438475.0902</v>
      </c>
      <c r="E130">
        <f t="shared" si="2"/>
        <v>1964.3047582151012</v>
      </c>
      <c r="F130">
        <v>21.922899999999998</v>
      </c>
    </row>
    <row r="131" spans="1:6" x14ac:dyDescent="0.25">
      <c r="A131">
        <v>1964</v>
      </c>
      <c r="B131">
        <v>9</v>
      </c>
      <c r="C131">
        <v>23</v>
      </c>
      <c r="D131">
        <v>2438661.5115899998</v>
      </c>
      <c r="E131">
        <f t="shared" ref="E131:E194" si="3">+A131+B131/12+C131/(365.242)</f>
        <v>1964.8129719473663</v>
      </c>
      <c r="F131">
        <v>1.3347</v>
      </c>
    </row>
    <row r="132" spans="1:6" x14ac:dyDescent="0.25">
      <c r="A132">
        <v>1965</v>
      </c>
      <c r="B132">
        <v>3</v>
      </c>
      <c r="C132">
        <v>20</v>
      </c>
      <c r="D132">
        <v>2438840.33666</v>
      </c>
      <c r="E132">
        <f t="shared" si="3"/>
        <v>1965.3047582151012</v>
      </c>
      <c r="F132">
        <v>-13.496700000000001</v>
      </c>
    </row>
    <row r="133" spans="1:6" x14ac:dyDescent="0.25">
      <c r="A133">
        <v>1965</v>
      </c>
      <c r="B133">
        <v>9</v>
      </c>
      <c r="C133">
        <v>23</v>
      </c>
      <c r="D133">
        <v>2439026.7541800002</v>
      </c>
      <c r="E133">
        <f t="shared" si="3"/>
        <v>1965.8129719473663</v>
      </c>
      <c r="F133">
        <v>14.055300000000001</v>
      </c>
    </row>
    <row r="134" spans="1:6" x14ac:dyDescent="0.25">
      <c r="A134">
        <v>1966</v>
      </c>
      <c r="B134">
        <v>3</v>
      </c>
      <c r="C134">
        <v>21</v>
      </c>
      <c r="D134">
        <v>2439205.5784300002</v>
      </c>
      <c r="E134">
        <f t="shared" si="3"/>
        <v>1966.3074961258562</v>
      </c>
      <c r="F134">
        <v>-9.8428000000000004</v>
      </c>
    </row>
    <row r="135" spans="1:6" x14ac:dyDescent="0.25">
      <c r="A135">
        <v>1966</v>
      </c>
      <c r="B135">
        <v>9</v>
      </c>
      <c r="C135">
        <v>23</v>
      </c>
      <c r="D135">
        <v>2439391.9883099999</v>
      </c>
      <c r="E135">
        <f t="shared" si="3"/>
        <v>1966.8129719473663</v>
      </c>
      <c r="F135">
        <v>-26.7926</v>
      </c>
    </row>
    <row r="136" spans="1:6" x14ac:dyDescent="0.25">
      <c r="A136">
        <v>1967</v>
      </c>
      <c r="B136">
        <v>3</v>
      </c>
      <c r="C136">
        <v>21</v>
      </c>
      <c r="D136">
        <v>2439570.8172499998</v>
      </c>
      <c r="E136">
        <f t="shared" si="3"/>
        <v>1967.3074961258562</v>
      </c>
      <c r="F136">
        <v>25.349499999999999</v>
      </c>
    </row>
    <row r="137" spans="1:6" x14ac:dyDescent="0.25">
      <c r="A137">
        <v>1967</v>
      </c>
      <c r="B137">
        <v>9</v>
      </c>
      <c r="C137">
        <v>23</v>
      </c>
      <c r="D137">
        <v>2439757.23477</v>
      </c>
      <c r="E137">
        <f t="shared" si="3"/>
        <v>1967.8129719473663</v>
      </c>
      <c r="F137">
        <v>20.443899999999999</v>
      </c>
    </row>
    <row r="138" spans="1:6" x14ac:dyDescent="0.25">
      <c r="A138">
        <v>1968</v>
      </c>
      <c r="B138">
        <v>3</v>
      </c>
      <c r="C138">
        <v>20</v>
      </c>
      <c r="D138">
        <v>2439936.0569699998</v>
      </c>
      <c r="E138">
        <f t="shared" si="3"/>
        <v>1968.3047582151012</v>
      </c>
      <c r="F138">
        <v>-27.882200000000001</v>
      </c>
    </row>
    <row r="139" spans="1:6" x14ac:dyDescent="0.25">
      <c r="A139">
        <v>1968</v>
      </c>
      <c r="B139">
        <v>9</v>
      </c>
      <c r="C139">
        <v>22</v>
      </c>
      <c r="D139">
        <v>2440122.4765300001</v>
      </c>
      <c r="E139">
        <f t="shared" si="3"/>
        <v>1968.8102340366113</v>
      </c>
      <c r="F139">
        <v>-3.1183000000000001</v>
      </c>
    </row>
    <row r="140" spans="1:6" x14ac:dyDescent="0.25">
      <c r="A140">
        <v>1969</v>
      </c>
      <c r="B140">
        <v>3</v>
      </c>
      <c r="C140">
        <v>20</v>
      </c>
      <c r="D140">
        <v>2440301.2973000002</v>
      </c>
      <c r="E140">
        <f t="shared" si="3"/>
        <v>1969.3047582151012</v>
      </c>
      <c r="F140">
        <v>13.8796</v>
      </c>
    </row>
    <row r="141" spans="1:6" x14ac:dyDescent="0.25">
      <c r="A141">
        <v>1969</v>
      </c>
      <c r="B141">
        <v>9</v>
      </c>
      <c r="C141">
        <v>23</v>
      </c>
      <c r="D141">
        <v>2440487.7131500002</v>
      </c>
      <c r="E141">
        <f t="shared" si="3"/>
        <v>1969.8129719473663</v>
      </c>
      <c r="F141">
        <v>-16.000499999999999</v>
      </c>
    </row>
    <row r="142" spans="1:6" x14ac:dyDescent="0.25">
      <c r="A142">
        <v>1970</v>
      </c>
      <c r="B142">
        <v>3</v>
      </c>
      <c r="C142">
        <v>21</v>
      </c>
      <c r="D142">
        <v>2440666.5391299999</v>
      </c>
      <c r="E142">
        <f t="shared" si="3"/>
        <v>1970.3074961258562</v>
      </c>
      <c r="F142">
        <v>8.6539999999999999</v>
      </c>
    </row>
    <row r="143" spans="1:6" x14ac:dyDescent="0.25">
      <c r="A143">
        <v>1970</v>
      </c>
      <c r="B143">
        <v>9</v>
      </c>
      <c r="C143">
        <v>23</v>
      </c>
      <c r="D143">
        <v>2440852.9576300001</v>
      </c>
      <c r="E143">
        <f t="shared" si="3"/>
        <v>1970.8129719473663</v>
      </c>
      <c r="F143">
        <v>26.393599999999999</v>
      </c>
    </row>
    <row r="144" spans="1:6" x14ac:dyDescent="0.25">
      <c r="A144">
        <v>1971</v>
      </c>
      <c r="B144">
        <v>3</v>
      </c>
      <c r="C144">
        <v>21</v>
      </c>
      <c r="D144">
        <v>2441031.7765000002</v>
      </c>
      <c r="E144">
        <f t="shared" si="3"/>
        <v>1971.3074961258562</v>
      </c>
      <c r="F144">
        <v>-26.818300000000001</v>
      </c>
    </row>
    <row r="145" spans="1:6" x14ac:dyDescent="0.25">
      <c r="A145">
        <v>1971</v>
      </c>
      <c r="B145">
        <v>9</v>
      </c>
      <c r="C145">
        <v>23</v>
      </c>
      <c r="D145">
        <v>2441218.1978600002</v>
      </c>
      <c r="E145">
        <f t="shared" si="3"/>
        <v>1971.8129719473663</v>
      </c>
      <c r="F145">
        <v>-21.8627</v>
      </c>
    </row>
    <row r="146" spans="1:6" x14ac:dyDescent="0.25">
      <c r="A146">
        <v>1972</v>
      </c>
      <c r="B146">
        <v>3</v>
      </c>
      <c r="C146">
        <v>20</v>
      </c>
      <c r="D146">
        <v>2441397.0148800001</v>
      </c>
      <c r="E146">
        <f t="shared" si="3"/>
        <v>1972.3047582151012</v>
      </c>
      <c r="F146">
        <v>25.466899999999999</v>
      </c>
    </row>
    <row r="147" spans="1:6" x14ac:dyDescent="0.25">
      <c r="A147">
        <v>1972</v>
      </c>
      <c r="B147">
        <v>9</v>
      </c>
      <c r="C147">
        <v>22</v>
      </c>
      <c r="D147">
        <v>2441583.4394299998</v>
      </c>
      <c r="E147">
        <f t="shared" si="3"/>
        <v>1972.8102340366113</v>
      </c>
      <c r="F147">
        <v>2.1404999999999998</v>
      </c>
    </row>
    <row r="148" spans="1:6" x14ac:dyDescent="0.25">
      <c r="A148">
        <v>1973</v>
      </c>
      <c r="B148">
        <v>3</v>
      </c>
      <c r="C148">
        <v>20</v>
      </c>
      <c r="D148">
        <v>2441762.2586699999</v>
      </c>
      <c r="E148">
        <f t="shared" si="3"/>
        <v>1973.3047582151012</v>
      </c>
      <c r="F148">
        <v>-13.5007</v>
      </c>
    </row>
    <row r="149" spans="1:6" x14ac:dyDescent="0.25">
      <c r="A149">
        <v>1973</v>
      </c>
      <c r="B149">
        <v>9</v>
      </c>
      <c r="C149">
        <v>23</v>
      </c>
      <c r="D149">
        <v>2441948.6813500002</v>
      </c>
      <c r="E149">
        <f t="shared" si="3"/>
        <v>1973.8129719473663</v>
      </c>
      <c r="F149">
        <v>12.099299999999999</v>
      </c>
    </row>
    <row r="150" spans="1:6" x14ac:dyDescent="0.25">
      <c r="A150">
        <v>1974</v>
      </c>
      <c r="B150">
        <v>3</v>
      </c>
      <c r="C150">
        <v>21</v>
      </c>
      <c r="D150">
        <v>2442127.5046199998</v>
      </c>
      <c r="E150">
        <f t="shared" si="3"/>
        <v>1974.3074961258562</v>
      </c>
      <c r="F150">
        <v>-9.0158000000000005</v>
      </c>
    </row>
    <row r="151" spans="1:6" x14ac:dyDescent="0.25">
      <c r="A151">
        <v>1974</v>
      </c>
      <c r="B151">
        <v>9</v>
      </c>
      <c r="C151">
        <v>23</v>
      </c>
      <c r="D151">
        <v>2442313.9155899999</v>
      </c>
      <c r="E151">
        <f t="shared" si="3"/>
        <v>1974.8129719473663</v>
      </c>
      <c r="F151">
        <v>-22.440300000000001</v>
      </c>
    </row>
    <row r="152" spans="1:6" x14ac:dyDescent="0.25">
      <c r="A152">
        <v>1975</v>
      </c>
      <c r="B152">
        <v>3</v>
      </c>
      <c r="C152">
        <v>21</v>
      </c>
      <c r="D152">
        <v>2442492.7477099998</v>
      </c>
      <c r="E152">
        <f t="shared" si="3"/>
        <v>1975.3074961258562</v>
      </c>
      <c r="F152">
        <v>19.734100000000002</v>
      </c>
    </row>
    <row r="153" spans="1:6" x14ac:dyDescent="0.25">
      <c r="A153">
        <v>1975</v>
      </c>
      <c r="B153">
        <v>9</v>
      </c>
      <c r="C153">
        <v>23</v>
      </c>
      <c r="D153">
        <v>2442679.1633600001</v>
      </c>
      <c r="E153">
        <f t="shared" si="3"/>
        <v>1975.8129719473663</v>
      </c>
      <c r="F153">
        <v>13.790800000000001</v>
      </c>
    </row>
    <row r="154" spans="1:6" x14ac:dyDescent="0.25">
      <c r="A154">
        <v>1976</v>
      </c>
      <c r="B154">
        <v>3</v>
      </c>
      <c r="C154">
        <v>20</v>
      </c>
      <c r="D154">
        <v>2442857.99279</v>
      </c>
      <c r="E154">
        <f t="shared" si="3"/>
        <v>1976.3047582151012</v>
      </c>
      <c r="F154">
        <v>-19.3659</v>
      </c>
    </row>
    <row r="155" spans="1:6" x14ac:dyDescent="0.25">
      <c r="A155">
        <v>1976</v>
      </c>
      <c r="B155">
        <v>9</v>
      </c>
      <c r="C155">
        <v>22</v>
      </c>
      <c r="D155">
        <v>2443044.4084800002</v>
      </c>
      <c r="E155">
        <f t="shared" si="3"/>
        <v>1976.8102340366113</v>
      </c>
      <c r="F155">
        <v>0.77980000000000005</v>
      </c>
    </row>
    <row r="156" spans="1:6" x14ac:dyDescent="0.25">
      <c r="A156">
        <v>1977</v>
      </c>
      <c r="B156">
        <v>3</v>
      </c>
      <c r="C156">
        <v>20</v>
      </c>
      <c r="D156">
        <v>2443223.2376999999</v>
      </c>
      <c r="E156">
        <f t="shared" si="3"/>
        <v>1977.3047582151012</v>
      </c>
      <c r="F156">
        <v>4.7923999999999998</v>
      </c>
    </row>
    <row r="157" spans="1:6" x14ac:dyDescent="0.25">
      <c r="A157">
        <v>1977</v>
      </c>
      <c r="B157">
        <v>9</v>
      </c>
      <c r="C157">
        <v>23</v>
      </c>
      <c r="D157">
        <v>2443409.6453399998</v>
      </c>
      <c r="E157">
        <f t="shared" si="3"/>
        <v>1977.8129719473663</v>
      </c>
      <c r="F157">
        <v>-14.2812</v>
      </c>
    </row>
    <row r="158" spans="1:6" x14ac:dyDescent="0.25">
      <c r="A158">
        <v>1978</v>
      </c>
      <c r="B158">
        <v>3</v>
      </c>
      <c r="C158">
        <v>20</v>
      </c>
      <c r="D158">
        <v>2443588.48166</v>
      </c>
      <c r="E158">
        <f t="shared" si="3"/>
        <v>1978.3047582151012</v>
      </c>
      <c r="F158">
        <v>11.4895</v>
      </c>
    </row>
    <row r="159" spans="1:6" x14ac:dyDescent="0.25">
      <c r="A159">
        <v>1978</v>
      </c>
      <c r="B159">
        <v>9</v>
      </c>
      <c r="C159">
        <v>23</v>
      </c>
      <c r="D159">
        <v>2443774.8926599999</v>
      </c>
      <c r="E159">
        <f t="shared" si="3"/>
        <v>1978.8129719473663</v>
      </c>
      <c r="F159">
        <v>17.2669</v>
      </c>
    </row>
    <row r="160" spans="1:6" x14ac:dyDescent="0.25">
      <c r="A160">
        <v>1979</v>
      </c>
      <c r="B160">
        <v>3</v>
      </c>
      <c r="C160">
        <v>21</v>
      </c>
      <c r="D160">
        <v>2443953.72358</v>
      </c>
      <c r="E160">
        <f t="shared" si="3"/>
        <v>1979.3074961258562</v>
      </c>
      <c r="F160">
        <v>-19.092300000000002</v>
      </c>
    </row>
    <row r="161" spans="1:6" x14ac:dyDescent="0.25">
      <c r="A161">
        <v>1979</v>
      </c>
      <c r="B161">
        <v>9</v>
      </c>
      <c r="C161">
        <v>23</v>
      </c>
      <c r="D161">
        <v>2444140.1364000002</v>
      </c>
      <c r="E161">
        <f t="shared" si="3"/>
        <v>1979.8129719473663</v>
      </c>
      <c r="F161">
        <v>-6.7378999999999998</v>
      </c>
    </row>
    <row r="162" spans="1:6" x14ac:dyDescent="0.25">
      <c r="A162">
        <v>1980</v>
      </c>
      <c r="B162">
        <v>3</v>
      </c>
      <c r="C162">
        <v>20</v>
      </c>
      <c r="D162">
        <v>2444318.9650699999</v>
      </c>
      <c r="E162">
        <f t="shared" si="3"/>
        <v>1980.3047582151012</v>
      </c>
      <c r="F162">
        <v>12.4475</v>
      </c>
    </row>
    <row r="163" spans="1:6" x14ac:dyDescent="0.25">
      <c r="A163">
        <v>1980</v>
      </c>
      <c r="B163">
        <v>9</v>
      </c>
      <c r="C163">
        <v>22</v>
      </c>
      <c r="D163">
        <v>2444505.38105</v>
      </c>
      <c r="E163">
        <f t="shared" si="3"/>
        <v>1980.8102340366113</v>
      </c>
      <c r="F163">
        <v>-11.2049</v>
      </c>
    </row>
    <row r="164" spans="1:6" x14ac:dyDescent="0.25">
      <c r="A164">
        <v>1981</v>
      </c>
      <c r="B164">
        <v>3</v>
      </c>
      <c r="C164">
        <v>20</v>
      </c>
      <c r="D164">
        <v>2444684.2103200001</v>
      </c>
      <c r="E164">
        <f t="shared" si="3"/>
        <v>1981.3047582151012</v>
      </c>
      <c r="F164">
        <v>2.6356000000000002</v>
      </c>
    </row>
    <row r="165" spans="1:6" x14ac:dyDescent="0.25">
      <c r="A165">
        <v>1981</v>
      </c>
      <c r="B165">
        <v>9</v>
      </c>
      <c r="C165">
        <v>23</v>
      </c>
      <c r="D165">
        <v>2444870.6286200001</v>
      </c>
      <c r="E165">
        <f t="shared" si="3"/>
        <v>1981.8129719473663</v>
      </c>
      <c r="F165">
        <v>19.632899999999999</v>
      </c>
    </row>
    <row r="166" spans="1:6" x14ac:dyDescent="0.25">
      <c r="A166">
        <v>1982</v>
      </c>
      <c r="B166">
        <v>3</v>
      </c>
      <c r="C166">
        <v>20</v>
      </c>
      <c r="D166">
        <v>2445049.4554499998</v>
      </c>
      <c r="E166">
        <f t="shared" si="3"/>
        <v>1982.3047582151012</v>
      </c>
      <c r="F166">
        <v>-20.6935</v>
      </c>
    </row>
    <row r="167" spans="1:6" x14ac:dyDescent="0.25">
      <c r="A167">
        <v>1982</v>
      </c>
      <c r="B167">
        <v>9</v>
      </c>
      <c r="C167">
        <v>23</v>
      </c>
      <c r="D167">
        <v>2445235.8654299998</v>
      </c>
      <c r="E167">
        <f t="shared" si="3"/>
        <v>1982.8129719473663</v>
      </c>
      <c r="F167">
        <v>-20.130400000000002</v>
      </c>
    </row>
    <row r="168" spans="1:6" x14ac:dyDescent="0.25">
      <c r="A168">
        <v>1983</v>
      </c>
      <c r="B168">
        <v>3</v>
      </c>
      <c r="C168">
        <v>21</v>
      </c>
      <c r="D168">
        <v>2445414.6935899998</v>
      </c>
      <c r="E168">
        <f t="shared" si="3"/>
        <v>1983.3074961258562</v>
      </c>
      <c r="F168">
        <v>21.042999999999999</v>
      </c>
    </row>
    <row r="169" spans="1:6" x14ac:dyDescent="0.25">
      <c r="A169">
        <v>1983</v>
      </c>
      <c r="B169">
        <v>9</v>
      </c>
      <c r="C169">
        <v>23</v>
      </c>
      <c r="D169">
        <v>2445601.1122499998</v>
      </c>
      <c r="E169">
        <f t="shared" si="3"/>
        <v>1983.8129719473663</v>
      </c>
      <c r="F169">
        <v>1.1026</v>
      </c>
    </row>
    <row r="170" spans="1:6" x14ac:dyDescent="0.25">
      <c r="A170">
        <v>1984</v>
      </c>
      <c r="B170">
        <v>3</v>
      </c>
      <c r="C170">
        <v>20</v>
      </c>
      <c r="D170">
        <v>2445779.93358</v>
      </c>
      <c r="E170">
        <f t="shared" si="3"/>
        <v>1984.3047582151012</v>
      </c>
      <c r="F170">
        <v>-13.8111</v>
      </c>
    </row>
    <row r="171" spans="1:6" x14ac:dyDescent="0.25">
      <c r="A171">
        <v>1984</v>
      </c>
      <c r="B171">
        <v>9</v>
      </c>
      <c r="C171">
        <v>22</v>
      </c>
      <c r="D171">
        <v>2445966.3561800001</v>
      </c>
      <c r="E171">
        <f t="shared" si="3"/>
        <v>1984.8102340366113</v>
      </c>
      <c r="F171">
        <v>16.1355</v>
      </c>
    </row>
    <row r="172" spans="1:6" x14ac:dyDescent="0.25">
      <c r="A172">
        <v>1985</v>
      </c>
      <c r="B172">
        <v>3</v>
      </c>
      <c r="C172">
        <v>20</v>
      </c>
      <c r="D172">
        <v>2446145.1762199998</v>
      </c>
      <c r="E172">
        <f t="shared" si="3"/>
        <v>1985.3047582151012</v>
      </c>
      <c r="F172">
        <v>-8.2787000000000006</v>
      </c>
    </row>
    <row r="173" spans="1:6" x14ac:dyDescent="0.25">
      <c r="A173">
        <v>1985</v>
      </c>
      <c r="B173">
        <v>9</v>
      </c>
      <c r="C173">
        <v>23</v>
      </c>
      <c r="D173">
        <v>2446331.5885200002</v>
      </c>
      <c r="E173">
        <f t="shared" si="3"/>
        <v>1985.8129719473663</v>
      </c>
      <c r="F173">
        <v>-27.232700000000001</v>
      </c>
    </row>
    <row r="174" spans="1:6" x14ac:dyDescent="0.25">
      <c r="A174">
        <v>1986</v>
      </c>
      <c r="B174">
        <v>3</v>
      </c>
      <c r="C174">
        <v>20</v>
      </c>
      <c r="D174">
        <v>2446510.4185500001</v>
      </c>
      <c r="E174">
        <f t="shared" si="3"/>
        <v>1986.3047582151012</v>
      </c>
      <c r="F174">
        <v>25.810099999999998</v>
      </c>
    </row>
    <row r="175" spans="1:6" x14ac:dyDescent="0.25">
      <c r="A175">
        <v>1986</v>
      </c>
      <c r="B175">
        <v>9</v>
      </c>
      <c r="C175">
        <v>23</v>
      </c>
      <c r="D175">
        <v>2446696.83256</v>
      </c>
      <c r="E175">
        <f t="shared" si="3"/>
        <v>1986.8129719473663</v>
      </c>
      <c r="F175">
        <v>22.625299999999999</v>
      </c>
    </row>
    <row r="176" spans="1:6" x14ac:dyDescent="0.25">
      <c r="A176">
        <v>1987</v>
      </c>
      <c r="B176">
        <v>3</v>
      </c>
      <c r="C176">
        <v>21</v>
      </c>
      <c r="D176">
        <v>2446875.6611000001</v>
      </c>
      <c r="E176">
        <f t="shared" si="3"/>
        <v>1987.3074961258562</v>
      </c>
      <c r="F176">
        <v>-27.362400000000001</v>
      </c>
    </row>
    <row r="177" spans="1:6" x14ac:dyDescent="0.25">
      <c r="A177">
        <v>1987</v>
      </c>
      <c r="B177">
        <v>9</v>
      </c>
      <c r="C177">
        <v>23</v>
      </c>
      <c r="D177">
        <v>2447062.0731100002</v>
      </c>
      <c r="E177">
        <f t="shared" si="3"/>
        <v>1987.8129719473663</v>
      </c>
      <c r="F177">
        <v>-2.9859</v>
      </c>
    </row>
    <row r="178" spans="1:6" x14ac:dyDescent="0.25">
      <c r="A178">
        <v>1988</v>
      </c>
      <c r="B178">
        <v>3</v>
      </c>
      <c r="C178">
        <v>20</v>
      </c>
      <c r="D178">
        <v>2447240.9018199998</v>
      </c>
      <c r="E178">
        <f t="shared" si="3"/>
        <v>1988.3047582151012</v>
      </c>
      <c r="F178">
        <v>14.454599999999999</v>
      </c>
    </row>
    <row r="179" spans="1:6" x14ac:dyDescent="0.25">
      <c r="A179">
        <v>1988</v>
      </c>
      <c r="B179">
        <v>9</v>
      </c>
      <c r="C179">
        <v>22</v>
      </c>
      <c r="D179">
        <v>2447427.31171</v>
      </c>
      <c r="E179">
        <f t="shared" si="3"/>
        <v>1988.8102340366113</v>
      </c>
      <c r="F179">
        <v>-18.570900000000002</v>
      </c>
    </row>
    <row r="180" spans="1:6" x14ac:dyDescent="0.25">
      <c r="A180">
        <v>1989</v>
      </c>
      <c r="B180">
        <v>3</v>
      </c>
      <c r="C180">
        <v>20</v>
      </c>
      <c r="D180">
        <v>2447606.14463</v>
      </c>
      <c r="E180">
        <f t="shared" si="3"/>
        <v>1989.3047582151012</v>
      </c>
      <c r="F180">
        <v>6.3204000000000002</v>
      </c>
    </row>
    <row r="181" spans="1:6" x14ac:dyDescent="0.25">
      <c r="A181">
        <v>1989</v>
      </c>
      <c r="B181">
        <v>9</v>
      </c>
      <c r="C181">
        <v>23</v>
      </c>
      <c r="D181">
        <v>2447792.55529</v>
      </c>
      <c r="E181">
        <f t="shared" si="3"/>
        <v>1989.8129719473663</v>
      </c>
      <c r="F181">
        <v>25.912400000000002</v>
      </c>
    </row>
    <row r="182" spans="1:6" x14ac:dyDescent="0.25">
      <c r="A182">
        <v>1990</v>
      </c>
      <c r="B182">
        <v>3</v>
      </c>
      <c r="C182">
        <v>20</v>
      </c>
      <c r="D182">
        <v>2447971.38839</v>
      </c>
      <c r="E182">
        <f t="shared" si="3"/>
        <v>1990.3047582151012</v>
      </c>
      <c r="F182">
        <v>-25.737300000000001</v>
      </c>
    </row>
    <row r="183" spans="1:6" x14ac:dyDescent="0.25">
      <c r="A183">
        <v>1990</v>
      </c>
      <c r="B183">
        <v>9</v>
      </c>
      <c r="C183">
        <v>23</v>
      </c>
      <c r="D183">
        <v>2448157.7885500002</v>
      </c>
      <c r="E183">
        <f t="shared" si="3"/>
        <v>1990.8129719473663</v>
      </c>
      <c r="F183">
        <v>-22.6844</v>
      </c>
    </row>
    <row r="184" spans="1:6" x14ac:dyDescent="0.25">
      <c r="A184">
        <v>1991</v>
      </c>
      <c r="B184">
        <v>3</v>
      </c>
      <c r="C184">
        <v>21</v>
      </c>
      <c r="D184">
        <v>2448336.62635</v>
      </c>
      <c r="E184">
        <f t="shared" si="3"/>
        <v>1991.3074961258562</v>
      </c>
      <c r="F184">
        <v>23.629200000000001</v>
      </c>
    </row>
    <row r="185" spans="1:6" x14ac:dyDescent="0.25">
      <c r="A185">
        <v>1991</v>
      </c>
      <c r="B185">
        <v>9</v>
      </c>
      <c r="C185">
        <v>23</v>
      </c>
      <c r="D185">
        <v>2448523.0334000001</v>
      </c>
      <c r="E185">
        <f t="shared" si="3"/>
        <v>1991.8129719473663</v>
      </c>
      <c r="F185">
        <v>1.6144000000000001</v>
      </c>
    </row>
    <row r="186" spans="1:6" x14ac:dyDescent="0.25">
      <c r="A186">
        <v>1992</v>
      </c>
      <c r="B186">
        <v>3</v>
      </c>
      <c r="C186">
        <v>20</v>
      </c>
      <c r="D186">
        <v>2448701.8667100002</v>
      </c>
      <c r="E186">
        <f t="shared" si="3"/>
        <v>1992.3047582151012</v>
      </c>
      <c r="F186">
        <v>-13.4961</v>
      </c>
    </row>
    <row r="187" spans="1:6" x14ac:dyDescent="0.25">
      <c r="A187">
        <v>1992</v>
      </c>
      <c r="B187">
        <v>9</v>
      </c>
      <c r="C187">
        <v>22</v>
      </c>
      <c r="D187">
        <v>2448888.2797099999</v>
      </c>
      <c r="E187">
        <f t="shared" si="3"/>
        <v>1992.8102340366113</v>
      </c>
      <c r="F187">
        <v>13.8916</v>
      </c>
    </row>
    <row r="188" spans="1:6" x14ac:dyDescent="0.25">
      <c r="A188">
        <v>1993</v>
      </c>
      <c r="B188">
        <v>3</v>
      </c>
      <c r="C188">
        <v>20</v>
      </c>
      <c r="D188">
        <v>2449067.1115600001</v>
      </c>
      <c r="E188">
        <f t="shared" si="3"/>
        <v>1993.3047582151012</v>
      </c>
      <c r="F188">
        <v>-7.3708999999999998</v>
      </c>
    </row>
    <row r="189" spans="1:6" x14ac:dyDescent="0.25">
      <c r="A189">
        <v>1993</v>
      </c>
      <c r="B189">
        <v>9</v>
      </c>
      <c r="C189">
        <v>23</v>
      </c>
      <c r="D189">
        <v>2449253.5156100001</v>
      </c>
      <c r="E189">
        <f t="shared" si="3"/>
        <v>1993.8129719473663</v>
      </c>
      <c r="F189">
        <v>-21.717600000000001</v>
      </c>
    </row>
    <row r="190" spans="1:6" x14ac:dyDescent="0.25">
      <c r="A190">
        <v>1994</v>
      </c>
      <c r="B190">
        <v>3</v>
      </c>
      <c r="C190">
        <v>20</v>
      </c>
      <c r="D190">
        <v>2449432.3527899999</v>
      </c>
      <c r="E190">
        <f t="shared" si="3"/>
        <v>1994.3047582151012</v>
      </c>
      <c r="F190">
        <v>19.670400000000001</v>
      </c>
    </row>
    <row r="191" spans="1:6" x14ac:dyDescent="0.25">
      <c r="A191">
        <v>1994</v>
      </c>
      <c r="B191">
        <v>9</v>
      </c>
      <c r="C191">
        <v>23</v>
      </c>
      <c r="D191">
        <v>2449618.7633600002</v>
      </c>
      <c r="E191">
        <f t="shared" si="3"/>
        <v>1994.8129719473663</v>
      </c>
      <c r="F191">
        <v>14.241300000000001</v>
      </c>
    </row>
    <row r="192" spans="1:6" x14ac:dyDescent="0.25">
      <c r="A192">
        <v>1995</v>
      </c>
      <c r="B192">
        <v>3</v>
      </c>
      <c r="C192">
        <v>21</v>
      </c>
      <c r="D192">
        <v>2449797.5933599998</v>
      </c>
      <c r="E192">
        <f t="shared" si="3"/>
        <v>1995.3074961258562</v>
      </c>
      <c r="F192">
        <v>-18.0566</v>
      </c>
    </row>
    <row r="193" spans="1:6" x14ac:dyDescent="0.25">
      <c r="A193">
        <v>1995</v>
      </c>
      <c r="B193">
        <v>9</v>
      </c>
      <c r="C193">
        <v>23</v>
      </c>
      <c r="D193">
        <v>2449984.0090299998</v>
      </c>
      <c r="E193">
        <f t="shared" si="3"/>
        <v>1995.8129719473663</v>
      </c>
      <c r="F193">
        <v>1.9278</v>
      </c>
    </row>
    <row r="194" spans="1:6" x14ac:dyDescent="0.25">
      <c r="A194">
        <v>1996</v>
      </c>
      <c r="B194">
        <v>3</v>
      </c>
      <c r="C194">
        <v>20</v>
      </c>
      <c r="D194">
        <v>2450162.8354699998</v>
      </c>
      <c r="E194">
        <f t="shared" si="3"/>
        <v>1996.3047582151012</v>
      </c>
      <c r="F194">
        <v>4.2991000000000001</v>
      </c>
    </row>
    <row r="195" spans="1:6" x14ac:dyDescent="0.25">
      <c r="A195">
        <v>1996</v>
      </c>
      <c r="B195">
        <v>9</v>
      </c>
      <c r="C195">
        <v>22</v>
      </c>
      <c r="D195">
        <v>2450349.2500800001</v>
      </c>
      <c r="E195">
        <f t="shared" ref="E195:E234" si="4">+A195+B195/12+C195/(365.242)</f>
        <v>1996.8102340366113</v>
      </c>
      <c r="F195">
        <v>-16.220700000000001</v>
      </c>
    </row>
    <row r="196" spans="1:6" x14ac:dyDescent="0.25">
      <c r="A196">
        <v>1997</v>
      </c>
      <c r="B196">
        <v>3</v>
      </c>
      <c r="C196">
        <v>20</v>
      </c>
      <c r="D196">
        <v>2450528.0796300001</v>
      </c>
      <c r="E196">
        <f t="shared" si="4"/>
        <v>1997.3047582151012</v>
      </c>
      <c r="F196">
        <v>10.815099999999999</v>
      </c>
    </row>
    <row r="197" spans="1:6" x14ac:dyDescent="0.25">
      <c r="A197">
        <v>1997</v>
      </c>
      <c r="B197">
        <v>9</v>
      </c>
      <c r="C197">
        <v>22</v>
      </c>
      <c r="D197">
        <v>2450714.49707</v>
      </c>
      <c r="E197">
        <f t="shared" si="4"/>
        <v>1997.8102340366113</v>
      </c>
      <c r="F197">
        <v>17.3598</v>
      </c>
    </row>
    <row r="198" spans="1:6" x14ac:dyDescent="0.25">
      <c r="A198">
        <v>1998</v>
      </c>
      <c r="B198">
        <v>3</v>
      </c>
      <c r="C198">
        <v>20</v>
      </c>
      <c r="D198">
        <v>2450893.3295399998</v>
      </c>
      <c r="E198">
        <f t="shared" si="4"/>
        <v>1998.3047582151012</v>
      </c>
      <c r="F198">
        <v>-18.7346</v>
      </c>
    </row>
    <row r="199" spans="1:6" x14ac:dyDescent="0.25">
      <c r="A199">
        <v>1998</v>
      </c>
      <c r="B199">
        <v>9</v>
      </c>
      <c r="C199">
        <v>23</v>
      </c>
      <c r="D199">
        <v>2451079.7341700001</v>
      </c>
      <c r="E199">
        <f t="shared" si="4"/>
        <v>1998.8129719473663</v>
      </c>
      <c r="F199">
        <v>-7.2314999999999996</v>
      </c>
    </row>
    <row r="200" spans="1:6" x14ac:dyDescent="0.25">
      <c r="A200">
        <v>1999</v>
      </c>
      <c r="B200">
        <v>3</v>
      </c>
      <c r="C200">
        <v>21</v>
      </c>
      <c r="D200">
        <v>2451258.5734799998</v>
      </c>
      <c r="E200">
        <f t="shared" si="4"/>
        <v>1999.3074961258562</v>
      </c>
      <c r="F200">
        <v>10.5962</v>
      </c>
    </row>
    <row r="201" spans="1:6" x14ac:dyDescent="0.25">
      <c r="A201">
        <v>1999</v>
      </c>
      <c r="B201">
        <v>9</v>
      </c>
      <c r="C201">
        <v>23</v>
      </c>
      <c r="D201">
        <v>2451444.9802199998</v>
      </c>
      <c r="E201">
        <f t="shared" si="4"/>
        <v>1999.8129719473663</v>
      </c>
      <c r="F201">
        <v>-12.190200000000001</v>
      </c>
    </row>
    <row r="202" spans="1:6" x14ac:dyDescent="0.25">
      <c r="A202">
        <v>2000</v>
      </c>
      <c r="B202">
        <v>3</v>
      </c>
      <c r="C202">
        <v>20</v>
      </c>
      <c r="D202">
        <v>2451623.8161499999</v>
      </c>
      <c r="E202">
        <f t="shared" si="4"/>
        <v>2000.3047582151012</v>
      </c>
      <c r="F202">
        <v>2.6806000000000001</v>
      </c>
    </row>
    <row r="203" spans="1:6" x14ac:dyDescent="0.25">
      <c r="A203">
        <v>2000</v>
      </c>
      <c r="B203">
        <v>9</v>
      </c>
      <c r="C203">
        <v>22</v>
      </c>
      <c r="D203">
        <v>2451810.22749</v>
      </c>
      <c r="E203">
        <f t="shared" si="4"/>
        <v>2000.8102340366113</v>
      </c>
      <c r="F203">
        <v>20.706700000000001</v>
      </c>
    </row>
    <row r="204" spans="1:6" x14ac:dyDescent="0.25">
      <c r="A204">
        <v>2001</v>
      </c>
      <c r="B204">
        <v>3</v>
      </c>
      <c r="C204">
        <v>20</v>
      </c>
      <c r="D204">
        <v>2451989.0629599998</v>
      </c>
      <c r="E204">
        <f t="shared" si="4"/>
        <v>2001.3047582151012</v>
      </c>
      <c r="F204">
        <v>-20.623999999999999</v>
      </c>
    </row>
    <row r="205" spans="1:6" x14ac:dyDescent="0.25">
      <c r="A205">
        <v>2001</v>
      </c>
      <c r="B205">
        <v>9</v>
      </c>
      <c r="C205">
        <v>22</v>
      </c>
      <c r="D205">
        <v>2452175.46141</v>
      </c>
      <c r="E205">
        <f t="shared" si="4"/>
        <v>2001.8102340366113</v>
      </c>
      <c r="F205">
        <v>-21.3766</v>
      </c>
    </row>
    <row r="206" spans="1:6" x14ac:dyDescent="0.25">
      <c r="A206">
        <v>2002</v>
      </c>
      <c r="B206">
        <v>3</v>
      </c>
      <c r="C206">
        <v>20</v>
      </c>
      <c r="D206">
        <v>2452354.30284</v>
      </c>
      <c r="E206">
        <f t="shared" si="4"/>
        <v>2002.3047582151012</v>
      </c>
      <c r="F206">
        <v>21.438199999999998</v>
      </c>
    </row>
    <row r="207" spans="1:6" x14ac:dyDescent="0.25">
      <c r="A207">
        <v>2002</v>
      </c>
      <c r="B207">
        <v>9</v>
      </c>
      <c r="C207">
        <v>23</v>
      </c>
      <c r="D207">
        <v>2452540.7050899998</v>
      </c>
      <c r="E207">
        <f t="shared" si="4"/>
        <v>2002.8129719473663</v>
      </c>
      <c r="F207">
        <v>2.5217999999999998</v>
      </c>
    </row>
    <row r="208" spans="1:6" x14ac:dyDescent="0.25">
      <c r="A208">
        <v>2003</v>
      </c>
      <c r="B208">
        <v>3</v>
      </c>
      <c r="C208">
        <v>21</v>
      </c>
      <c r="D208">
        <v>2452719.5414499999</v>
      </c>
      <c r="E208">
        <f t="shared" si="4"/>
        <v>2003.3074961258562</v>
      </c>
      <c r="F208">
        <v>-12.529500000000001</v>
      </c>
    </row>
    <row r="209" spans="1:6" x14ac:dyDescent="0.25">
      <c r="A209">
        <v>2003</v>
      </c>
      <c r="B209">
        <v>9</v>
      </c>
      <c r="C209">
        <v>23</v>
      </c>
      <c r="D209">
        <v>2452905.94912</v>
      </c>
      <c r="E209">
        <f t="shared" si="4"/>
        <v>2003.8129719473663</v>
      </c>
      <c r="F209">
        <v>17.579899999999999</v>
      </c>
    </row>
    <row r="210" spans="1:6" x14ac:dyDescent="0.25">
      <c r="A210">
        <v>2004</v>
      </c>
      <c r="B210">
        <v>3</v>
      </c>
      <c r="C210">
        <v>20</v>
      </c>
      <c r="D210">
        <v>2453084.7837</v>
      </c>
      <c r="E210">
        <f t="shared" si="4"/>
        <v>2004.3047582151012</v>
      </c>
      <c r="F210">
        <v>-7.5518000000000001</v>
      </c>
    </row>
    <row r="211" spans="1:6" x14ac:dyDescent="0.25">
      <c r="A211">
        <v>2004</v>
      </c>
      <c r="B211">
        <v>9</v>
      </c>
      <c r="C211">
        <v>22</v>
      </c>
      <c r="D211">
        <v>2453271.18731</v>
      </c>
      <c r="E211">
        <f t="shared" si="4"/>
        <v>2004.8102340366113</v>
      </c>
      <c r="F211">
        <v>-28.5776</v>
      </c>
    </row>
    <row r="212" spans="1:6" x14ac:dyDescent="0.25">
      <c r="A212">
        <v>2005</v>
      </c>
      <c r="B212">
        <v>3</v>
      </c>
      <c r="C212">
        <v>20</v>
      </c>
      <c r="D212">
        <v>2453450.0231300001</v>
      </c>
      <c r="E212">
        <f t="shared" si="4"/>
        <v>2005.3047582151012</v>
      </c>
      <c r="F212">
        <v>24.616</v>
      </c>
    </row>
    <row r="213" spans="1:6" x14ac:dyDescent="0.25">
      <c r="A213">
        <v>2005</v>
      </c>
      <c r="B213">
        <v>9</v>
      </c>
      <c r="C213">
        <v>22</v>
      </c>
      <c r="D213">
        <v>2453636.4326599999</v>
      </c>
      <c r="E213">
        <f t="shared" si="4"/>
        <v>2005.8102340366113</v>
      </c>
      <c r="F213">
        <v>24.071899999999999</v>
      </c>
    </row>
    <row r="214" spans="1:6" x14ac:dyDescent="0.25">
      <c r="A214">
        <v>2006</v>
      </c>
      <c r="B214">
        <v>3</v>
      </c>
      <c r="C214">
        <v>20</v>
      </c>
      <c r="D214">
        <v>2453815.2676599999</v>
      </c>
      <c r="E214">
        <f t="shared" si="4"/>
        <v>2006.3047582151012</v>
      </c>
      <c r="F214">
        <v>-26.151299999999999</v>
      </c>
    </row>
    <row r="215" spans="1:6" x14ac:dyDescent="0.25">
      <c r="A215">
        <v>2006</v>
      </c>
      <c r="B215">
        <v>9</v>
      </c>
      <c r="C215">
        <v>23</v>
      </c>
      <c r="D215">
        <v>2454001.6688999999</v>
      </c>
      <c r="E215">
        <f t="shared" si="4"/>
        <v>2006.8129719473663</v>
      </c>
      <c r="F215">
        <v>-4.5808</v>
      </c>
    </row>
    <row r="216" spans="1:6" x14ac:dyDescent="0.25">
      <c r="A216">
        <v>2007</v>
      </c>
      <c r="B216">
        <v>3</v>
      </c>
      <c r="C216">
        <v>21</v>
      </c>
      <c r="D216">
        <v>2454180.5050300001</v>
      </c>
      <c r="E216">
        <f t="shared" si="4"/>
        <v>2007.3074961258562</v>
      </c>
      <c r="F216">
        <v>12.6343</v>
      </c>
    </row>
    <row r="217" spans="1:6" x14ac:dyDescent="0.25">
      <c r="A217">
        <v>2007</v>
      </c>
      <c r="B217">
        <v>9</v>
      </c>
      <c r="C217">
        <v>23</v>
      </c>
      <c r="D217">
        <v>2454366.9104599999</v>
      </c>
      <c r="E217">
        <f t="shared" si="4"/>
        <v>2007.8129719473663</v>
      </c>
      <c r="F217">
        <v>-18.986599999999999</v>
      </c>
    </row>
    <row r="218" spans="1:6" x14ac:dyDescent="0.25">
      <c r="A218">
        <v>2008</v>
      </c>
      <c r="B218">
        <v>3</v>
      </c>
      <c r="C218">
        <v>20</v>
      </c>
      <c r="D218">
        <v>2454545.74175</v>
      </c>
      <c r="E218">
        <f t="shared" si="4"/>
        <v>2008.3047582151012</v>
      </c>
      <c r="F218">
        <v>5.1101999999999999</v>
      </c>
    </row>
    <row r="219" spans="1:6" x14ac:dyDescent="0.25">
      <c r="A219">
        <v>2008</v>
      </c>
      <c r="B219">
        <v>9</v>
      </c>
      <c r="C219">
        <v>22</v>
      </c>
      <c r="D219">
        <v>2454732.15576</v>
      </c>
      <c r="E219">
        <f t="shared" si="4"/>
        <v>2008.8102340366113</v>
      </c>
      <c r="F219">
        <v>25.8474</v>
      </c>
    </row>
    <row r="220" spans="1:6" x14ac:dyDescent="0.25">
      <c r="A220">
        <v>2009</v>
      </c>
      <c r="B220">
        <v>3</v>
      </c>
      <c r="C220">
        <v>20</v>
      </c>
      <c r="D220">
        <v>2454910.9885</v>
      </c>
      <c r="E220">
        <f t="shared" si="4"/>
        <v>2009.3047582151012</v>
      </c>
      <c r="F220">
        <v>-24.4634</v>
      </c>
    </row>
    <row r="221" spans="1:6" x14ac:dyDescent="0.25">
      <c r="A221">
        <v>2009</v>
      </c>
      <c r="B221">
        <v>9</v>
      </c>
      <c r="C221">
        <v>22</v>
      </c>
      <c r="D221">
        <v>2455097.3877699999</v>
      </c>
      <c r="E221">
        <f t="shared" si="4"/>
        <v>2009.8102340366113</v>
      </c>
      <c r="F221">
        <v>-23.4161</v>
      </c>
    </row>
    <row r="222" spans="1:6" x14ac:dyDescent="0.25">
      <c r="A222">
        <v>2010</v>
      </c>
      <c r="B222">
        <v>3</v>
      </c>
      <c r="C222">
        <v>20</v>
      </c>
      <c r="D222">
        <v>2455276.2305399999</v>
      </c>
      <c r="E222">
        <f t="shared" si="4"/>
        <v>2010.3047582151012</v>
      </c>
      <c r="F222">
        <v>22.6768</v>
      </c>
    </row>
    <row r="223" spans="1:6" x14ac:dyDescent="0.25">
      <c r="A223">
        <v>2010</v>
      </c>
      <c r="B223">
        <v>9</v>
      </c>
      <c r="C223">
        <v>23</v>
      </c>
      <c r="D223">
        <v>2455462.63111</v>
      </c>
      <c r="E223">
        <f t="shared" si="4"/>
        <v>2010.8129719473663</v>
      </c>
      <c r="F223">
        <v>2.7063999999999999</v>
      </c>
    </row>
    <row r="224" spans="1:6" x14ac:dyDescent="0.25">
      <c r="A224">
        <v>2011</v>
      </c>
      <c r="B224">
        <v>3</v>
      </c>
      <c r="C224">
        <v>20</v>
      </c>
      <c r="D224">
        <v>2455641.4725600001</v>
      </c>
      <c r="E224">
        <f t="shared" si="4"/>
        <v>2011.3047582151012</v>
      </c>
      <c r="F224">
        <v>-12.0791</v>
      </c>
    </row>
    <row r="225" spans="1:6" x14ac:dyDescent="0.25">
      <c r="A225">
        <v>2011</v>
      </c>
      <c r="B225">
        <v>9</v>
      </c>
      <c r="C225">
        <v>23</v>
      </c>
      <c r="D225">
        <v>2455827.8780399999</v>
      </c>
      <c r="E225">
        <f t="shared" si="4"/>
        <v>2011.8129719473663</v>
      </c>
      <c r="F225">
        <v>15.1373</v>
      </c>
    </row>
    <row r="226" spans="1:6" x14ac:dyDescent="0.25">
      <c r="A226">
        <v>2012</v>
      </c>
      <c r="B226">
        <v>3</v>
      </c>
      <c r="C226">
        <v>20</v>
      </c>
      <c r="D226">
        <v>2456006.7181600002</v>
      </c>
      <c r="E226">
        <f t="shared" si="4"/>
        <v>2012.3047582151012</v>
      </c>
      <c r="F226">
        <v>-6.5486000000000004</v>
      </c>
    </row>
    <row r="227" spans="1:6" x14ac:dyDescent="0.25">
      <c r="A227">
        <v>2012</v>
      </c>
      <c r="B227">
        <v>9</v>
      </c>
      <c r="C227">
        <v>22</v>
      </c>
      <c r="D227">
        <v>2456193.1171599999</v>
      </c>
      <c r="E227">
        <f t="shared" si="4"/>
        <v>2012.8102340366113</v>
      </c>
      <c r="F227">
        <v>-21.7791</v>
      </c>
    </row>
    <row r="228" spans="1:6" x14ac:dyDescent="0.25">
      <c r="A228">
        <v>2013</v>
      </c>
      <c r="B228">
        <v>3</v>
      </c>
      <c r="C228">
        <v>20</v>
      </c>
      <c r="D228">
        <v>2456371.9594700001</v>
      </c>
      <c r="E228">
        <f t="shared" si="4"/>
        <v>2013.3047582151012</v>
      </c>
      <c r="F228">
        <v>18.563500000000001</v>
      </c>
    </row>
    <row r="229" spans="1:6" x14ac:dyDescent="0.25">
      <c r="A229">
        <v>2013</v>
      </c>
      <c r="B229">
        <v>9</v>
      </c>
      <c r="C229">
        <v>22</v>
      </c>
      <c r="D229">
        <v>2456558.3637799998</v>
      </c>
      <c r="E229">
        <f t="shared" si="4"/>
        <v>2013.8102340366113</v>
      </c>
      <c r="F229">
        <v>14.430999999999999</v>
      </c>
    </row>
    <row r="230" spans="1:6" x14ac:dyDescent="0.25">
      <c r="A230">
        <v>2014</v>
      </c>
      <c r="B230">
        <v>3</v>
      </c>
      <c r="C230">
        <v>20</v>
      </c>
      <c r="D230">
        <v>2456737.2061100001</v>
      </c>
      <c r="E230">
        <f t="shared" si="4"/>
        <v>2014.3047582151012</v>
      </c>
      <c r="F230">
        <v>-15.946899999999999</v>
      </c>
    </row>
    <row r="231" spans="1:6" x14ac:dyDescent="0.25">
      <c r="A231">
        <v>2014</v>
      </c>
      <c r="B231">
        <v>9</v>
      </c>
      <c r="C231">
        <v>23</v>
      </c>
      <c r="D231">
        <v>2456923.6033100002</v>
      </c>
      <c r="E231">
        <f t="shared" si="4"/>
        <v>2014.8129719473663</v>
      </c>
      <c r="F231">
        <v>1.7946</v>
      </c>
    </row>
    <row r="232" spans="1:6" x14ac:dyDescent="0.25">
      <c r="A232">
        <v>2015</v>
      </c>
      <c r="B232">
        <v>3</v>
      </c>
      <c r="C232">
        <v>20</v>
      </c>
      <c r="D232">
        <v>2457102.4477900001</v>
      </c>
      <c r="E232">
        <f t="shared" si="4"/>
        <v>2015.3047582151012</v>
      </c>
      <c r="F232">
        <v>2.4561000000000002</v>
      </c>
    </row>
    <row r="233" spans="1:6" x14ac:dyDescent="0.25">
      <c r="A233">
        <v>2015</v>
      </c>
      <c r="B233">
        <v>9</v>
      </c>
      <c r="C233">
        <v>23</v>
      </c>
      <c r="D233">
        <v>2457288.8473800002</v>
      </c>
      <c r="E233">
        <f t="shared" si="4"/>
        <v>2015.8129719473663</v>
      </c>
      <c r="F233">
        <v>-16.965800000000002</v>
      </c>
    </row>
    <row r="234" spans="1:6" x14ac:dyDescent="0.25">
      <c r="A234">
        <v>2016</v>
      </c>
      <c r="B234">
        <v>3</v>
      </c>
      <c r="C234">
        <v>20</v>
      </c>
      <c r="D234">
        <v>2457467.6874000002</v>
      </c>
      <c r="E234">
        <f t="shared" si="4"/>
        <v>2016.3047582151012</v>
      </c>
      <c r="F234">
        <v>10.6387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4"/>
  <sheetViews>
    <sheetView workbookViewId="0">
      <selection activeCell="C3" sqref="C3"/>
    </sheetView>
  </sheetViews>
  <sheetFormatPr defaultRowHeight="15" x14ac:dyDescent="0.25"/>
  <cols>
    <col min="3" max="3" width="11.7109375" bestFit="1" customWidth="1"/>
    <col min="5" max="5" width="11.5703125" bestFit="1" customWidth="1"/>
  </cols>
  <sheetData>
    <row r="1" spans="1:9" x14ac:dyDescent="0.25">
      <c r="A1">
        <f>+A2</f>
        <v>2415099.5688399998</v>
      </c>
      <c r="B1">
        <v>365.24200000000002</v>
      </c>
      <c r="C1">
        <v>13.606110408499999</v>
      </c>
      <c r="D1">
        <v>0</v>
      </c>
    </row>
    <row r="2" spans="1:9" x14ac:dyDescent="0.25">
      <c r="A2">
        <v>2415099.5688399998</v>
      </c>
      <c r="B2">
        <f>+(A2-$A$1)/$B$1</f>
        <v>0</v>
      </c>
      <c r="C2">
        <f>+SIN(2*PI()/($C$1/365.242)*$B2+$D$1)</f>
        <v>0</v>
      </c>
      <c r="E2" s="3">
        <v>13.660791120500001</v>
      </c>
      <c r="F2">
        <v>13.606110408499999</v>
      </c>
    </row>
    <row r="3" spans="1:9" x14ac:dyDescent="0.25">
      <c r="A3">
        <v>2415286.0140999998</v>
      </c>
      <c r="B3">
        <f t="shared" ref="B3:B66" si="0">+(A3-$A$1)/$B$1</f>
        <v>0.5104704825840114</v>
      </c>
      <c r="C3">
        <f t="shared" ref="C3:C66" si="1">+SIN(2*PI()/($C$1/365.242)*$B3+$D$1)</f>
        <v>-0.95680998319691568</v>
      </c>
      <c r="E3">
        <v>0.48952570187805816</v>
      </c>
      <c r="I3">
        <f>40/34</f>
        <v>1.1764705882352942</v>
      </c>
    </row>
    <row r="4" spans="1:9" x14ac:dyDescent="0.25">
      <c r="A4">
        <v>2415464.8081100001</v>
      </c>
      <c r="B4">
        <f t="shared" si="0"/>
        <v>0.99999252550433093</v>
      </c>
      <c r="C4">
        <f t="shared" si="1"/>
        <v>-0.83140707828979454</v>
      </c>
    </row>
    <row r="5" spans="1:9" x14ac:dyDescent="0.25">
      <c r="A5">
        <v>2415651.2563</v>
      </c>
      <c r="B5">
        <f t="shared" si="0"/>
        <v>1.5104710301667417</v>
      </c>
      <c r="C5">
        <f t="shared" si="1"/>
        <v>-0.29125761938154293</v>
      </c>
    </row>
    <row r="6" spans="1:9" x14ac:dyDescent="0.25">
      <c r="A6">
        <v>2415830.0532399998</v>
      </c>
      <c r="B6">
        <f t="shared" si="0"/>
        <v>2.0000010951641856</v>
      </c>
      <c r="C6">
        <f t="shared" si="1"/>
        <v>-0.92499728177535745</v>
      </c>
      <c r="G6">
        <f>20/15</f>
        <v>1.3333333333333333</v>
      </c>
    </row>
    <row r="7" spans="1:9" x14ac:dyDescent="0.25">
      <c r="A7">
        <v>2416016.4968400002</v>
      </c>
      <c r="B7">
        <f t="shared" si="0"/>
        <v>2.5104670328174343</v>
      </c>
      <c r="C7">
        <f t="shared" si="1"/>
        <v>0.63306594017116391</v>
      </c>
    </row>
    <row r="8" spans="1:9" x14ac:dyDescent="0.25">
      <c r="A8">
        <v>2416195.3020000001</v>
      </c>
      <c r="B8">
        <f t="shared" si="0"/>
        <v>3.0000196034418121</v>
      </c>
      <c r="C8">
        <f t="shared" si="1"/>
        <v>-0.20236832911367991</v>
      </c>
    </row>
    <row r="9" spans="1:9" x14ac:dyDescent="0.25">
      <c r="A9">
        <v>2416381.73875</v>
      </c>
      <c r="B9">
        <f t="shared" si="0"/>
        <v>3.5104667864050998</v>
      </c>
      <c r="C9">
        <f t="shared" si="1"/>
        <v>0.99547881984398923</v>
      </c>
    </row>
    <row r="10" spans="1:9" x14ac:dyDescent="0.25">
      <c r="A10">
        <v>2416560.54073</v>
      </c>
      <c r="B10">
        <f t="shared" si="0"/>
        <v>4.0000106504732775</v>
      </c>
      <c r="C10">
        <f t="shared" si="1"/>
        <v>0.70193370933605159</v>
      </c>
    </row>
    <row r="11" spans="1:9" x14ac:dyDescent="0.25">
      <c r="A11">
        <v>2416746.9863300002</v>
      </c>
      <c r="B11">
        <f t="shared" si="0"/>
        <v>4.5104820639476593</v>
      </c>
      <c r="C11">
        <f t="shared" si="1"/>
        <v>0.47755649175367648</v>
      </c>
    </row>
    <row r="12" spans="1:9" x14ac:dyDescent="0.25">
      <c r="A12">
        <v>2416925.7900100001</v>
      </c>
      <c r="B12">
        <f t="shared" si="0"/>
        <v>5.0000305824638627</v>
      </c>
      <c r="C12">
        <f t="shared" si="1"/>
        <v>0.98306016605736868</v>
      </c>
    </row>
    <row r="13" spans="1:9" x14ac:dyDescent="0.25">
      <c r="A13">
        <v>2417112.2291999999</v>
      </c>
      <c r="B13">
        <f t="shared" si="0"/>
        <v>5.5104844459292641</v>
      </c>
      <c r="C13">
        <f t="shared" si="1"/>
        <v>-0.4636419422998222</v>
      </c>
    </row>
    <row r="14" spans="1:9" x14ac:dyDescent="0.25">
      <c r="A14">
        <v>2417291.0367399999</v>
      </c>
      <c r="B14">
        <f t="shared" si="0"/>
        <v>6.0000435327811337</v>
      </c>
      <c r="C14">
        <f t="shared" si="1"/>
        <v>0.39703221032194697</v>
      </c>
    </row>
    <row r="15" spans="1:9" x14ac:dyDescent="0.25">
      <c r="A15">
        <v>2417477.46881</v>
      </c>
      <c r="B15">
        <f t="shared" si="0"/>
        <v>6.5104779023226902</v>
      </c>
      <c r="C15">
        <f t="shared" si="1"/>
        <v>-0.99425776762397455</v>
      </c>
    </row>
    <row r="16" spans="1:9" x14ac:dyDescent="0.25">
      <c r="A16">
        <v>2417656.2729699998</v>
      </c>
      <c r="B16">
        <f t="shared" si="0"/>
        <v>7.0000277350358644</v>
      </c>
      <c r="C16">
        <f t="shared" si="1"/>
        <v>-0.54363169047915849</v>
      </c>
    </row>
    <row r="17" spans="1:7" x14ac:dyDescent="0.25">
      <c r="A17">
        <v>2417842.7145799999</v>
      </c>
      <c r="B17">
        <f t="shared" si="0"/>
        <v>7.5104882242460214</v>
      </c>
      <c r="C17">
        <f t="shared" si="1"/>
        <v>-0.64374317587723562</v>
      </c>
    </row>
    <row r="18" spans="1:7" x14ac:dyDescent="0.25">
      <c r="A18">
        <v>2418021.5189800002</v>
      </c>
      <c r="B18">
        <f t="shared" si="0"/>
        <v>8.0000387140589542</v>
      </c>
      <c r="C18">
        <f t="shared" si="1"/>
        <v>-0.99984660500564404</v>
      </c>
    </row>
    <row r="19" spans="1:7" x14ac:dyDescent="0.25">
      <c r="A19">
        <v>2418207.9572000001</v>
      </c>
      <c r="B19">
        <f t="shared" si="0"/>
        <v>8.5104899217511001</v>
      </c>
      <c r="C19">
        <f t="shared" si="1"/>
        <v>0.27703638747475529</v>
      </c>
    </row>
    <row r="20" spans="1:7" x14ac:dyDescent="0.25">
      <c r="A20">
        <v>2418386.7590600001</v>
      </c>
      <c r="B20">
        <f t="shared" si="0"/>
        <v>9.0000334572700353</v>
      </c>
      <c r="C20">
        <f t="shared" si="1"/>
        <v>-0.57044772184206627</v>
      </c>
    </row>
    <row r="21" spans="1:7" x14ac:dyDescent="0.25">
      <c r="A21">
        <v>2418573.19765</v>
      </c>
      <c r="B21">
        <f t="shared" si="0"/>
        <v>9.5104856779892231</v>
      </c>
      <c r="C21">
        <f t="shared" si="1"/>
        <v>0.9526388552235513</v>
      </c>
    </row>
    <row r="22" spans="1:7" x14ac:dyDescent="0.25">
      <c r="A22">
        <v>2418752.0020599999</v>
      </c>
      <c r="B22">
        <f t="shared" si="0"/>
        <v>10.000036195180199</v>
      </c>
      <c r="C22">
        <f t="shared" si="1"/>
        <v>0.36428208755196612</v>
      </c>
    </row>
    <row r="23" spans="1:7" x14ac:dyDescent="0.25">
      <c r="A23">
        <v>2418938.4380800002</v>
      </c>
      <c r="B23">
        <f t="shared" si="0"/>
        <v>10.51048137946999</v>
      </c>
      <c r="C23">
        <f t="shared" si="1"/>
        <v>0.78251475414740956</v>
      </c>
    </row>
    <row r="24" spans="1:7" x14ac:dyDescent="0.25">
      <c r="A24">
        <v>2419117.24615</v>
      </c>
      <c r="B24">
        <f t="shared" si="0"/>
        <v>11.000041917414135</v>
      </c>
      <c r="C24">
        <f t="shared" si="1"/>
        <v>0.97621823296241805</v>
      </c>
      <c r="F24">
        <f>10/21*365.242</f>
        <v>173.92476190476191</v>
      </c>
    </row>
    <row r="25" spans="1:7" x14ac:dyDescent="0.25">
      <c r="A25">
        <v>2419303.6789000002</v>
      </c>
      <c r="B25">
        <f t="shared" si="0"/>
        <v>11.510478148735157</v>
      </c>
      <c r="C25">
        <f t="shared" si="1"/>
        <v>-8.2132219598905376E-2</v>
      </c>
      <c r="F25">
        <v>173.3</v>
      </c>
      <c r="G25">
        <f>1/(1/F25+1/432.78)/365.242</f>
        <v>0.33880911063308722</v>
      </c>
    </row>
    <row r="26" spans="1:7" x14ac:dyDescent="0.25">
      <c r="A26">
        <v>2419482.4787599999</v>
      </c>
      <c r="B26">
        <f t="shared" si="0"/>
        <v>12.000016208431685</v>
      </c>
      <c r="C26">
        <f t="shared" si="1"/>
        <v>0.72056085733260566</v>
      </c>
      <c r="F26">
        <f>+F25/365.242</f>
        <v>0.47447993385207615</v>
      </c>
    </row>
    <row r="27" spans="1:7" x14ac:dyDescent="0.25">
      <c r="A27">
        <v>2419668.9222900001</v>
      </c>
      <c r="B27">
        <f t="shared" si="0"/>
        <v>12.510481954430997</v>
      </c>
      <c r="C27">
        <f t="shared" si="1"/>
        <v>-0.87331073647743973</v>
      </c>
    </row>
    <row r="28" spans="1:7" x14ac:dyDescent="0.25">
      <c r="A28">
        <v>2419847.7208599998</v>
      </c>
      <c r="B28">
        <f t="shared" si="0"/>
        <v>13.000016482222529</v>
      </c>
      <c r="C28">
        <f t="shared" si="1"/>
        <v>-0.17481458059027644</v>
      </c>
    </row>
    <row r="29" spans="1:7" x14ac:dyDescent="0.25">
      <c r="A29">
        <v>2420034.1616799999</v>
      </c>
      <c r="B29">
        <f t="shared" si="0"/>
        <v>13.510474808483295</v>
      </c>
      <c r="C29">
        <f t="shared" si="1"/>
        <v>-0.89032365674923741</v>
      </c>
    </row>
    <row r="30" spans="1:7" x14ac:dyDescent="0.25">
      <c r="A30">
        <v>2420212.96582</v>
      </c>
      <c r="B30">
        <f t="shared" si="0"/>
        <v>14.000024586439112</v>
      </c>
      <c r="C30">
        <f t="shared" si="1"/>
        <v>-0.91468385044588063</v>
      </c>
    </row>
    <row r="31" spans="1:7" x14ac:dyDescent="0.25">
      <c r="A31">
        <v>2420399.3985100002</v>
      </c>
      <c r="B31">
        <f t="shared" si="0"/>
        <v>14.510460653485513</v>
      </c>
      <c r="C31">
        <f t="shared" si="1"/>
        <v>-0.11503831482381215</v>
      </c>
    </row>
    <row r="32" spans="1:7" x14ac:dyDescent="0.25">
      <c r="A32">
        <v>2420578.2023100001</v>
      </c>
      <c r="B32">
        <f t="shared" si="0"/>
        <v>15.000009500550959</v>
      </c>
      <c r="C32">
        <f t="shared" si="1"/>
        <v>-0.84359791609248591</v>
      </c>
    </row>
    <row r="33" spans="1:3" x14ac:dyDescent="0.25">
      <c r="A33">
        <v>2420764.64157</v>
      </c>
      <c r="B33">
        <f t="shared" si="0"/>
        <v>15.510463555670297</v>
      </c>
      <c r="C33">
        <f t="shared" si="1"/>
        <v>0.76083016294166406</v>
      </c>
    </row>
    <row r="34" spans="1:3" x14ac:dyDescent="0.25">
      <c r="A34">
        <v>2420943.4492600001</v>
      </c>
      <c r="B34">
        <f t="shared" si="0"/>
        <v>16.000023053209357</v>
      </c>
      <c r="C34">
        <f t="shared" si="1"/>
        <v>-2.5857230367542686E-2</v>
      </c>
    </row>
    <row r="35" spans="1:3" x14ac:dyDescent="0.25">
      <c r="A35">
        <v>2421129.8852900001</v>
      </c>
      <c r="B35">
        <f t="shared" si="0"/>
        <v>16.51046826487719</v>
      </c>
      <c r="C35">
        <f t="shared" si="1"/>
        <v>0.96286512233564736</v>
      </c>
    </row>
    <row r="36" spans="1:3" x14ac:dyDescent="0.25">
      <c r="A36">
        <v>2421308.69257</v>
      </c>
      <c r="B36">
        <f t="shared" si="0"/>
        <v>17.000026639871944</v>
      </c>
      <c r="C36">
        <f t="shared" si="1"/>
        <v>0.81568331828385154</v>
      </c>
    </row>
    <row r="37" spans="1:3" x14ac:dyDescent="0.25">
      <c r="A37">
        <v>2421495.1251500002</v>
      </c>
      <c r="B37">
        <f t="shared" si="0"/>
        <v>17.510462405748417</v>
      </c>
      <c r="C37">
        <f t="shared" si="1"/>
        <v>0.31082259729855721</v>
      </c>
    </row>
    <row r="38" spans="1:3" x14ac:dyDescent="0.25">
      <c r="A38">
        <v>2421673.9345</v>
      </c>
      <c r="B38">
        <f t="shared" si="0"/>
        <v>18.000026448218239</v>
      </c>
      <c r="C38">
        <f t="shared" si="1"/>
        <v>0.93465106936625664</v>
      </c>
    </row>
    <row r="39" spans="1:3" x14ac:dyDescent="0.25">
      <c r="A39">
        <v>2421860.3650799999</v>
      </c>
      <c r="B39">
        <f t="shared" si="0"/>
        <v>18.510456738272307</v>
      </c>
      <c r="C39">
        <f t="shared" si="1"/>
        <v>-0.61727314944636569</v>
      </c>
    </row>
    <row r="40" spans="1:3" x14ac:dyDescent="0.25">
      <c r="A40">
        <v>2422039.1799900001</v>
      </c>
      <c r="B40">
        <f t="shared" si="0"/>
        <v>19.000036003527097</v>
      </c>
      <c r="C40">
        <f t="shared" si="1"/>
        <v>0.22653005808938828</v>
      </c>
    </row>
    <row r="41" spans="1:3" x14ac:dyDescent="0.25">
      <c r="A41">
        <v>2422225.6079299999</v>
      </c>
      <c r="B41">
        <f t="shared" si="0"/>
        <v>19.510459065496555</v>
      </c>
      <c r="C41">
        <f t="shared" si="1"/>
        <v>-0.99722931232235923</v>
      </c>
    </row>
    <row r="42" spans="1:3" x14ac:dyDescent="0.25">
      <c r="A42">
        <v>2422404.4161999999</v>
      </c>
      <c r="B42">
        <f t="shared" si="0"/>
        <v>20.000020151023197</v>
      </c>
      <c r="C42">
        <f t="shared" si="1"/>
        <v>-0.68494965159086996</v>
      </c>
    </row>
    <row r="43" spans="1:3" x14ac:dyDescent="0.25">
      <c r="A43">
        <v>2422590.8529099999</v>
      </c>
      <c r="B43">
        <f t="shared" si="0"/>
        <v>20.510467224470492</v>
      </c>
      <c r="C43">
        <f t="shared" si="1"/>
        <v>-0.49457032020261638</v>
      </c>
    </row>
    <row r="44" spans="1:3" x14ac:dyDescent="0.25">
      <c r="A44">
        <v>2422769.66047</v>
      </c>
      <c r="B44">
        <f t="shared" si="0"/>
        <v>21.000026366080995</v>
      </c>
      <c r="C44">
        <f t="shared" si="1"/>
        <v>-0.98673442369316777</v>
      </c>
    </row>
    <row r="45" spans="1:3" x14ac:dyDescent="0.25">
      <c r="A45">
        <v>2422956.0970800002</v>
      </c>
      <c r="B45">
        <f t="shared" si="0"/>
        <v>21.510473165737682</v>
      </c>
      <c r="C45">
        <f t="shared" si="1"/>
        <v>0.44576795909110134</v>
      </c>
    </row>
    <row r="46" spans="1:3" x14ac:dyDescent="0.25">
      <c r="A46">
        <v>2423134.9087700001</v>
      </c>
      <c r="B46">
        <f t="shared" si="0"/>
        <v>22.000043614919008</v>
      </c>
      <c r="C46">
        <f t="shared" si="1"/>
        <v>-0.41711319391497298</v>
      </c>
    </row>
    <row r="47" spans="1:3" x14ac:dyDescent="0.25">
      <c r="A47">
        <v>2423321.3400099999</v>
      </c>
      <c r="B47">
        <f t="shared" si="0"/>
        <v>22.510475711993909</v>
      </c>
      <c r="C47">
        <f t="shared" si="1"/>
        <v>0.99171425674627955</v>
      </c>
    </row>
    <row r="48" spans="1:3" x14ac:dyDescent="0.25">
      <c r="A48">
        <v>2423500.1449899999</v>
      </c>
      <c r="B48">
        <f t="shared" si="0"/>
        <v>23.000027789794423</v>
      </c>
      <c r="C48">
        <f t="shared" si="1"/>
        <v>0.52505261651678403</v>
      </c>
    </row>
    <row r="49" spans="1:3" x14ac:dyDescent="0.25">
      <c r="A49">
        <v>2423686.5858300002</v>
      </c>
      <c r="B49">
        <f t="shared" si="0"/>
        <v>23.51048617081382</v>
      </c>
      <c r="C49">
        <f t="shared" si="1"/>
        <v>0.66014008597671037</v>
      </c>
    </row>
    <row r="50" spans="1:3" x14ac:dyDescent="0.25">
      <c r="A50">
        <v>2423865.389</v>
      </c>
      <c r="B50">
        <f t="shared" si="0"/>
        <v>24.000033292995106</v>
      </c>
      <c r="C50">
        <f t="shared" si="1"/>
        <v>0.99925614918401418</v>
      </c>
    </row>
    <row r="51" spans="1:3" x14ac:dyDescent="0.25">
      <c r="A51">
        <v>2424051.8321500001</v>
      </c>
      <c r="B51">
        <f t="shared" si="0"/>
        <v>24.510497998588058</v>
      </c>
      <c r="C51">
        <f t="shared" si="1"/>
        <v>-0.25454220219305707</v>
      </c>
    </row>
    <row r="52" spans="1:3" x14ac:dyDescent="0.25">
      <c r="A52">
        <v>2424230.6334699998</v>
      </c>
      <c r="B52">
        <f t="shared" si="0"/>
        <v>25.000040055634127</v>
      </c>
      <c r="C52">
        <f t="shared" si="1"/>
        <v>0.5892543318294492</v>
      </c>
    </row>
    <row r="53" spans="1:3" x14ac:dyDescent="0.25">
      <c r="A53">
        <v>2424417.0718200002</v>
      </c>
      <c r="B53">
        <f t="shared" si="0"/>
        <v>25.510491619256108</v>
      </c>
      <c r="C53">
        <f t="shared" si="1"/>
        <v>-0.94540162047640086</v>
      </c>
    </row>
    <row r="54" spans="1:3" x14ac:dyDescent="0.25">
      <c r="A54">
        <v>2424595.8758299998</v>
      </c>
      <c r="B54">
        <f t="shared" si="0"/>
        <v>26.000041041282092</v>
      </c>
      <c r="C54">
        <f t="shared" si="1"/>
        <v>-0.34296601130050069</v>
      </c>
    </row>
    <row r="55" spans="1:3" x14ac:dyDescent="0.25">
      <c r="A55">
        <v>2424782.3101599999</v>
      </c>
      <c r="B55">
        <f t="shared" si="0"/>
        <v>26.510481598501897</v>
      </c>
      <c r="C55">
        <f t="shared" si="1"/>
        <v>-0.79602750237860276</v>
      </c>
    </row>
    <row r="56" spans="1:3" x14ac:dyDescent="0.25">
      <c r="A56">
        <v>2424961.12439</v>
      </c>
      <c r="B56">
        <f t="shared" si="0"/>
        <v>27.00005900197722</v>
      </c>
      <c r="C56">
        <f t="shared" si="1"/>
        <v>-0.97052932870556397</v>
      </c>
    </row>
    <row r="57" spans="1:3" x14ac:dyDescent="0.25">
      <c r="A57">
        <v>2425147.5534399999</v>
      </c>
      <c r="B57">
        <f t="shared" si="0"/>
        <v>27.510485103027808</v>
      </c>
      <c r="C57">
        <f t="shared" si="1"/>
        <v>5.9045698899600388E-2</v>
      </c>
    </row>
    <row r="58" spans="1:3" x14ac:dyDescent="0.25">
      <c r="A58">
        <v>2425326.3640700001</v>
      </c>
      <c r="B58">
        <f t="shared" si="0"/>
        <v>28.000052650024585</v>
      </c>
      <c r="C58">
        <f t="shared" si="1"/>
        <v>-0.73977043283584887</v>
      </c>
    </row>
    <row r="59" spans="1:3" x14ac:dyDescent="0.25">
      <c r="A59">
        <v>2425512.7955</v>
      </c>
      <c r="B59">
        <f t="shared" si="0"/>
        <v>28.510485267302666</v>
      </c>
      <c r="C59">
        <f t="shared" si="1"/>
        <v>0.86211393012226378</v>
      </c>
    </row>
    <row r="60" spans="1:3" x14ac:dyDescent="0.25">
      <c r="A60">
        <v>2425691.6075499998</v>
      </c>
      <c r="B60">
        <f t="shared" si="0"/>
        <v>29.000056702131719</v>
      </c>
      <c r="C60">
        <f t="shared" si="1"/>
        <v>0.14643346295962156</v>
      </c>
    </row>
    <row r="61" spans="1:3" x14ac:dyDescent="0.25">
      <c r="A61">
        <v>2425878.0363400001</v>
      </c>
      <c r="B61">
        <f t="shared" si="0"/>
        <v>29.510482091326462</v>
      </c>
      <c r="C61">
        <f t="shared" si="1"/>
        <v>0.90064681488961351</v>
      </c>
    </row>
    <row r="62" spans="1:3" x14ac:dyDescent="0.25">
      <c r="A62">
        <v>2426056.85402</v>
      </c>
      <c r="B62">
        <f t="shared" si="0"/>
        <v>30.000068940593145</v>
      </c>
      <c r="C62">
        <f t="shared" si="1"/>
        <v>0.90238490887212686</v>
      </c>
    </row>
    <row r="63" spans="1:3" x14ac:dyDescent="0.25">
      <c r="A63">
        <v>2426243.2749700001</v>
      </c>
      <c r="B63">
        <f t="shared" si="0"/>
        <v>30.510472864567319</v>
      </c>
      <c r="C63">
        <f t="shared" si="1"/>
        <v>0.13887467600693165</v>
      </c>
    </row>
    <row r="64" spans="1:3" x14ac:dyDescent="0.25">
      <c r="A64">
        <v>2426422.0877299998</v>
      </c>
      <c r="B64">
        <f t="shared" si="0"/>
        <v>31.000046243312511</v>
      </c>
      <c r="C64">
        <f t="shared" si="1"/>
        <v>0.8583873386279296</v>
      </c>
    </row>
    <row r="65" spans="1:3" x14ac:dyDescent="0.25">
      <c r="A65">
        <v>2426608.5162</v>
      </c>
      <c r="B65">
        <f t="shared" si="0"/>
        <v>31.510470756375518</v>
      </c>
      <c r="C65">
        <f t="shared" si="1"/>
        <v>-0.74558020705937922</v>
      </c>
    </row>
    <row r="66" spans="1:3" x14ac:dyDescent="0.25">
      <c r="A66">
        <v>2426787.3289100002</v>
      </c>
      <c r="B66">
        <f t="shared" si="0"/>
        <v>32.00004399822668</v>
      </c>
      <c r="C66">
        <f t="shared" si="1"/>
        <v>5.1342062477213742E-2</v>
      </c>
    </row>
    <row r="67" spans="1:3" x14ac:dyDescent="0.25">
      <c r="A67">
        <v>2426973.7610499999</v>
      </c>
      <c r="B67">
        <f t="shared" ref="B67:B130" si="2">+(A67-$A$1)/$B$1</f>
        <v>32.510478559420896</v>
      </c>
      <c r="C67">
        <f t="shared" ref="C67:C130" si="3">+SIN(2*PI()/($C$1/365.242)*$B67+$D$1)</f>
        <v>-0.9689947316936095</v>
      </c>
    </row>
    <row r="68" spans="1:3" x14ac:dyDescent="0.25">
      <c r="A68">
        <v>2427152.5716200001</v>
      </c>
      <c r="B68">
        <f t="shared" si="2"/>
        <v>33.000045942143053</v>
      </c>
      <c r="C68">
        <f t="shared" si="3"/>
        <v>-0.80083126820626382</v>
      </c>
    </row>
    <row r="69" spans="1:3" x14ac:dyDescent="0.25">
      <c r="A69">
        <v>2427339.0008100001</v>
      </c>
      <c r="B69">
        <f t="shared" si="2"/>
        <v>33.510472426501515</v>
      </c>
      <c r="C69">
        <f t="shared" si="3"/>
        <v>-0.33322344798630055</v>
      </c>
    </row>
    <row r="70" spans="1:3" x14ac:dyDescent="0.25">
      <c r="A70">
        <v>2427517.8110600002</v>
      </c>
      <c r="B70">
        <f t="shared" si="2"/>
        <v>34.000038933091929</v>
      </c>
      <c r="C70">
        <f t="shared" si="3"/>
        <v>-0.94294051409632074</v>
      </c>
    </row>
    <row r="71" spans="1:3" x14ac:dyDescent="0.25">
      <c r="A71">
        <v>2427704.23973</v>
      </c>
      <c r="B71">
        <f t="shared" si="2"/>
        <v>34.51046399373616</v>
      </c>
      <c r="C71">
        <f t="shared" si="3"/>
        <v>0.59885964186470853</v>
      </c>
    </row>
    <row r="72" spans="1:3" x14ac:dyDescent="0.25">
      <c r="A72">
        <v>2427883.0540200002</v>
      </c>
      <c r="B72">
        <f t="shared" si="2"/>
        <v>35.000041561486107</v>
      </c>
      <c r="C72">
        <f t="shared" si="3"/>
        <v>-0.24878238344391201</v>
      </c>
    </row>
    <row r="73" spans="1:3" x14ac:dyDescent="0.25">
      <c r="A73">
        <v>2428069.4848500001</v>
      </c>
      <c r="B73">
        <f t="shared" si="2"/>
        <v>35.510472536017971</v>
      </c>
      <c r="C73">
        <f t="shared" si="3"/>
        <v>0.99873955349627408</v>
      </c>
    </row>
    <row r="74" spans="1:3" x14ac:dyDescent="0.25">
      <c r="A74">
        <v>2428248.2901900001</v>
      </c>
      <c r="B74">
        <f t="shared" si="2"/>
        <v>36.000025599466213</v>
      </c>
      <c r="C74">
        <f t="shared" si="3"/>
        <v>0.66809365053696812</v>
      </c>
    </row>
    <row r="75" spans="1:3" x14ac:dyDescent="0.25">
      <c r="A75">
        <v>2428434.7263799999</v>
      </c>
      <c r="B75">
        <f t="shared" si="2"/>
        <v>36.510471249199277</v>
      </c>
      <c r="C75">
        <f t="shared" si="3"/>
        <v>0.51412831438454099</v>
      </c>
    </row>
    <row r="76" spans="1:3" x14ac:dyDescent="0.25">
      <c r="A76">
        <v>2428613.53131</v>
      </c>
      <c r="B76">
        <f t="shared" si="2"/>
        <v>37.000023190104486</v>
      </c>
      <c r="C76">
        <f t="shared" si="3"/>
        <v>0.98998746359731327</v>
      </c>
    </row>
    <row r="77" spans="1:3" x14ac:dyDescent="0.25">
      <c r="A77">
        <v>2428799.9673299999</v>
      </c>
      <c r="B77">
        <f t="shared" si="2"/>
        <v>37.510468374393007</v>
      </c>
      <c r="C77">
        <f t="shared" si="3"/>
        <v>-0.42672489742207226</v>
      </c>
    </row>
    <row r="78" spans="1:3" x14ac:dyDescent="0.25">
      <c r="A78">
        <v>2428978.7799300002</v>
      </c>
      <c r="B78">
        <f t="shared" si="2"/>
        <v>38.000041315074242</v>
      </c>
      <c r="C78">
        <f t="shared" si="3"/>
        <v>0.4366311624254916</v>
      </c>
    </row>
    <row r="79" spans="1:3" x14ac:dyDescent="0.25">
      <c r="A79">
        <v>2429165.2080000001</v>
      </c>
      <c r="B79">
        <f t="shared" si="2"/>
        <v>38.51046473297226</v>
      </c>
      <c r="C79">
        <f t="shared" si="3"/>
        <v>-0.98892901847203785</v>
      </c>
    </row>
    <row r="80" spans="1:3" x14ac:dyDescent="0.25">
      <c r="A80">
        <v>2429344.0197800002</v>
      </c>
      <c r="B80">
        <f t="shared" si="2"/>
        <v>39.00003542856615</v>
      </c>
      <c r="C80">
        <f t="shared" si="3"/>
        <v>-0.50511629540531311</v>
      </c>
    </row>
    <row r="81" spans="1:3" x14ac:dyDescent="0.25">
      <c r="A81">
        <v>2429530.45102</v>
      </c>
      <c r="B81">
        <f t="shared" si="2"/>
        <v>39.510467525641054</v>
      </c>
      <c r="C81">
        <f t="shared" si="3"/>
        <v>-0.67416403994044061</v>
      </c>
    </row>
    <row r="82" spans="1:3" x14ac:dyDescent="0.25">
      <c r="A82">
        <v>2429709.2664899998</v>
      </c>
      <c r="B82">
        <f t="shared" si="2"/>
        <v>40.000048324124791</v>
      </c>
      <c r="C82">
        <f t="shared" si="3"/>
        <v>-0.99801110443599306</v>
      </c>
    </row>
    <row r="83" spans="1:3" x14ac:dyDescent="0.25">
      <c r="A83">
        <v>2429895.69833</v>
      </c>
      <c r="B83">
        <f t="shared" si="2"/>
        <v>40.51048206394718</v>
      </c>
      <c r="C83">
        <f t="shared" si="3"/>
        <v>0.23584701705126085</v>
      </c>
    </row>
    <row r="84" spans="1:3" x14ac:dyDescent="0.25">
      <c r="A84">
        <v>2430074.5141699999</v>
      </c>
      <c r="B84">
        <f t="shared" si="2"/>
        <v>41.000063875457961</v>
      </c>
      <c r="C84">
        <f t="shared" si="3"/>
        <v>-0.61005105830635109</v>
      </c>
    </row>
    <row r="85" spans="1:3" x14ac:dyDescent="0.25">
      <c r="A85">
        <v>2430260.9394299998</v>
      </c>
      <c r="B85">
        <f t="shared" si="2"/>
        <v>41.510479599826816</v>
      </c>
      <c r="C85">
        <f t="shared" si="3"/>
        <v>0.93871393871465669</v>
      </c>
    </row>
    <row r="86" spans="1:3" x14ac:dyDescent="0.25">
      <c r="A86">
        <v>2430439.7574</v>
      </c>
      <c r="B86">
        <f t="shared" si="2"/>
        <v>42.000067243088566</v>
      </c>
      <c r="C86">
        <f t="shared" si="3"/>
        <v>0.31805896861960936</v>
      </c>
    </row>
    <row r="87" spans="1:3" x14ac:dyDescent="0.25">
      <c r="A87">
        <v>2430626.1781100002</v>
      </c>
      <c r="B87">
        <f t="shared" si="2"/>
        <v>42.51047050996425</v>
      </c>
      <c r="C87">
        <f t="shared" si="3"/>
        <v>0.80803254911029232</v>
      </c>
    </row>
    <row r="88" spans="1:3" x14ac:dyDescent="0.25">
      <c r="A88">
        <v>2430805.00183</v>
      </c>
      <c r="B88">
        <f t="shared" si="2"/>
        <v>43.000073896211596</v>
      </c>
      <c r="C88">
        <f t="shared" si="3"/>
        <v>0.96433881124958898</v>
      </c>
    </row>
    <row r="89" spans="1:3" x14ac:dyDescent="0.25">
      <c r="A89">
        <v>2430991.4248299999</v>
      </c>
      <c r="B89">
        <f t="shared" si="2"/>
        <v>43.510483432902205</v>
      </c>
      <c r="C89">
        <f t="shared" si="3"/>
        <v>-3.738121524877238E-2</v>
      </c>
    </row>
    <row r="90" spans="1:3" x14ac:dyDescent="0.25">
      <c r="A90">
        <v>2431170.2420899998</v>
      </c>
      <c r="B90">
        <f t="shared" si="2"/>
        <v>44.000069132246544</v>
      </c>
      <c r="C90">
        <f t="shared" si="3"/>
        <v>0.75619662162524304</v>
      </c>
    </row>
    <row r="91" spans="1:3" x14ac:dyDescent="0.25">
      <c r="A91">
        <v>2431356.66781</v>
      </c>
      <c r="B91">
        <f t="shared" si="2"/>
        <v>44.510486116055013</v>
      </c>
      <c r="C91">
        <f t="shared" si="3"/>
        <v>-0.85069805129147569</v>
      </c>
    </row>
    <row r="92" spans="1:3" x14ac:dyDescent="0.25">
      <c r="A92">
        <v>2431535.4841800001</v>
      </c>
      <c r="B92">
        <f t="shared" si="2"/>
        <v>45.000069378659347</v>
      </c>
      <c r="C92">
        <f t="shared" si="3"/>
        <v>-0.12254318490309328</v>
      </c>
    </row>
    <row r="93" spans="1:3" x14ac:dyDescent="0.25">
      <c r="A93">
        <v>2431721.9095800002</v>
      </c>
      <c r="B93">
        <f t="shared" si="2"/>
        <v>45.51048548633608</v>
      </c>
      <c r="C93">
        <f t="shared" si="3"/>
        <v>-0.91021384941463968</v>
      </c>
    </row>
    <row r="94" spans="1:3" x14ac:dyDescent="0.25">
      <c r="A94">
        <v>2431900.73104</v>
      </c>
      <c r="B94">
        <f t="shared" si="2"/>
        <v>46.000082684905173</v>
      </c>
      <c r="C94">
        <f t="shared" si="3"/>
        <v>-0.89165242350024443</v>
      </c>
    </row>
    <row r="95" spans="1:3" x14ac:dyDescent="0.25">
      <c r="A95">
        <v>2432087.1532299998</v>
      </c>
      <c r="B95">
        <f t="shared" si="2"/>
        <v>46.51049000388776</v>
      </c>
      <c r="C95">
        <f t="shared" si="3"/>
        <v>-0.1634509417535146</v>
      </c>
    </row>
    <row r="96" spans="1:3" x14ac:dyDescent="0.25">
      <c r="A96">
        <v>2432265.9671499999</v>
      </c>
      <c r="B96">
        <f t="shared" si="2"/>
        <v>47.000066558610662</v>
      </c>
      <c r="C96">
        <f t="shared" si="3"/>
        <v>-0.87113848334340915</v>
      </c>
    </row>
    <row r="97" spans="1:3" x14ac:dyDescent="0.25">
      <c r="A97">
        <v>2432452.39488</v>
      </c>
      <c r="B97">
        <f t="shared" si="2"/>
        <v>47.510489045619586</v>
      </c>
      <c r="C97">
        <f t="shared" si="3"/>
        <v>0.72864980298689042</v>
      </c>
    </row>
    <row r="98" spans="1:3" x14ac:dyDescent="0.25">
      <c r="A98">
        <v>2432631.2061100001</v>
      </c>
      <c r="B98">
        <f t="shared" si="2"/>
        <v>48.000058235362573</v>
      </c>
      <c r="C98">
        <f t="shared" si="3"/>
        <v>-7.5665402371429699E-2</v>
      </c>
    </row>
    <row r="99" spans="1:3" x14ac:dyDescent="0.25">
      <c r="A99">
        <v>2432817.6400799998</v>
      </c>
      <c r="B99">
        <f t="shared" si="2"/>
        <v>48.51049780693338</v>
      </c>
      <c r="C99">
        <f t="shared" si="3"/>
        <v>0.97491692052658452</v>
      </c>
    </row>
    <row r="100" spans="1:3" x14ac:dyDescent="0.25">
      <c r="A100">
        <v>2432996.4500299999</v>
      </c>
      <c r="B100">
        <f t="shared" si="2"/>
        <v>49.000063492150687</v>
      </c>
      <c r="C100">
        <f t="shared" si="3"/>
        <v>0.78565245597617195</v>
      </c>
    </row>
    <row r="101" spans="1:3" x14ac:dyDescent="0.25">
      <c r="A101">
        <v>2433182.8790600002</v>
      </c>
      <c r="B101">
        <f t="shared" si="2"/>
        <v>49.51048953844392</v>
      </c>
      <c r="C101">
        <f t="shared" si="3"/>
        <v>0.35655542300788312</v>
      </c>
    </row>
    <row r="102" spans="1:3" x14ac:dyDescent="0.25">
      <c r="A102">
        <v>2433361.6910899999</v>
      </c>
      <c r="B102">
        <f t="shared" si="2"/>
        <v>50.000060918514336</v>
      </c>
      <c r="C102">
        <f t="shared" si="3"/>
        <v>0.95117912335180343</v>
      </c>
    </row>
    <row r="103" spans="1:3" x14ac:dyDescent="0.25">
      <c r="A103">
        <v>2433548.1135999998</v>
      </c>
      <c r="B103">
        <f t="shared" si="2"/>
        <v>50.510469113628659</v>
      </c>
      <c r="C103">
        <f t="shared" si="3"/>
        <v>-0.58041729481204052</v>
      </c>
    </row>
    <row r="104" spans="1:3" x14ac:dyDescent="0.25">
      <c r="A104">
        <v>2433726.9345399998</v>
      </c>
      <c r="B104">
        <f t="shared" si="2"/>
        <v>51.0000648884848</v>
      </c>
      <c r="C104">
        <f t="shared" si="3"/>
        <v>0.27378788041437302</v>
      </c>
    </row>
    <row r="105" spans="1:3" x14ac:dyDescent="0.25">
      <c r="A105">
        <v>2433913.3589400002</v>
      </c>
      <c r="B105">
        <f t="shared" si="2"/>
        <v>51.510478258251602</v>
      </c>
      <c r="C105">
        <f t="shared" si="3"/>
        <v>-0.99962801121114464</v>
      </c>
    </row>
    <row r="106" spans="1:3" x14ac:dyDescent="0.25">
      <c r="A106">
        <v>2434092.1762299999</v>
      </c>
      <c r="B106">
        <f t="shared" si="2"/>
        <v>52.000064039732614</v>
      </c>
      <c r="C106">
        <f t="shared" si="3"/>
        <v>-0.64665304584881322</v>
      </c>
    </row>
    <row r="107" spans="1:3" x14ac:dyDescent="0.25">
      <c r="A107">
        <v>2434278.5997799998</v>
      </c>
      <c r="B107">
        <f t="shared" si="2"/>
        <v>52.510475082274127</v>
      </c>
      <c r="C107">
        <f t="shared" si="3"/>
        <v>-0.53339520232312376</v>
      </c>
    </row>
    <row r="108" spans="1:3" x14ac:dyDescent="0.25">
      <c r="A108">
        <v>2434457.4170300001</v>
      </c>
      <c r="B108">
        <f t="shared" si="2"/>
        <v>53.000060754240423</v>
      </c>
      <c r="C108">
        <f t="shared" si="3"/>
        <v>-0.99358607686952116</v>
      </c>
    </row>
    <row r="109" spans="1:3" x14ac:dyDescent="0.25">
      <c r="A109">
        <v>2434643.8374399999</v>
      </c>
      <c r="B109">
        <f t="shared" si="2"/>
        <v>53.510463199741729</v>
      </c>
      <c r="C109">
        <f t="shared" si="3"/>
        <v>0.40754975071406335</v>
      </c>
    </row>
    <row r="110" spans="1:3" x14ac:dyDescent="0.25">
      <c r="A110">
        <v>2434822.6621099999</v>
      </c>
      <c r="B110">
        <f t="shared" si="2"/>
        <v>54.000069187004968</v>
      </c>
      <c r="C110">
        <f t="shared" si="3"/>
        <v>-0.46046900039944638</v>
      </c>
    </row>
    <row r="111" spans="1:3" x14ac:dyDescent="0.25">
      <c r="A111">
        <v>2435009.0800600001</v>
      </c>
      <c r="B111">
        <f t="shared" si="2"/>
        <v>54.510464897246806</v>
      </c>
      <c r="C111">
        <f t="shared" si="3"/>
        <v>0.98542548407366393</v>
      </c>
    </row>
    <row r="112" spans="1:3" x14ac:dyDescent="0.25">
      <c r="A112">
        <v>2435187.8993899999</v>
      </c>
      <c r="B112">
        <f t="shared" si="2"/>
        <v>55.00005626406621</v>
      </c>
      <c r="C112">
        <f t="shared" si="3"/>
        <v>0.48295886092945661</v>
      </c>
    </row>
    <row r="113" spans="1:3" x14ac:dyDescent="0.25">
      <c r="A113">
        <v>2435374.3200699999</v>
      </c>
      <c r="B113">
        <f t="shared" si="2"/>
        <v>55.51045944880395</v>
      </c>
      <c r="C113">
        <f t="shared" si="3"/>
        <v>0.68924162145898815</v>
      </c>
    </row>
    <row r="114" spans="1:3" x14ac:dyDescent="0.25">
      <c r="A114">
        <v>2435553.1390999998</v>
      </c>
      <c r="B114">
        <f t="shared" si="2"/>
        <v>56.000049994250247</v>
      </c>
      <c r="C114">
        <f t="shared" si="3"/>
        <v>0.9963612876900757</v>
      </c>
    </row>
    <row r="115" spans="1:3" x14ac:dyDescent="0.25">
      <c r="A115">
        <v>2435739.5660199998</v>
      </c>
      <c r="B115">
        <f t="shared" si="2"/>
        <v>56.510470263551142</v>
      </c>
      <c r="C115">
        <f t="shared" si="3"/>
        <v>-0.21638339561165792</v>
      </c>
    </row>
    <row r="116" spans="1:3" x14ac:dyDescent="0.25">
      <c r="A116">
        <v>2435918.3864600002</v>
      </c>
      <c r="B116">
        <f t="shared" si="2"/>
        <v>57.000064669452954</v>
      </c>
      <c r="C116">
        <f t="shared" si="3"/>
        <v>0.62741634000937851</v>
      </c>
    </row>
    <row r="117" spans="1:3" x14ac:dyDescent="0.25">
      <c r="A117">
        <v>2436104.8097799998</v>
      </c>
      <c r="B117">
        <f t="shared" si="2"/>
        <v>57.510475082274027</v>
      </c>
      <c r="C117">
        <f t="shared" si="3"/>
        <v>-0.93119236730930344</v>
      </c>
    </row>
    <row r="118" spans="1:3" x14ac:dyDescent="0.25">
      <c r="A118">
        <v>2436283.62904</v>
      </c>
      <c r="B118">
        <f t="shared" si="2"/>
        <v>58.000066257440764</v>
      </c>
      <c r="C118">
        <f t="shared" si="3"/>
        <v>-0.29731175399455978</v>
      </c>
    </row>
    <row r="119" spans="1:3" x14ac:dyDescent="0.25">
      <c r="A119">
        <v>2436470.04782</v>
      </c>
      <c r="B119">
        <f t="shared" si="2"/>
        <v>58.510464240147982</v>
      </c>
      <c r="C119">
        <f t="shared" si="3"/>
        <v>-0.82017635790009058</v>
      </c>
    </row>
    <row r="120" spans="1:3" x14ac:dyDescent="0.25">
      <c r="A120">
        <v>2436648.8712200001</v>
      </c>
      <c r="B120">
        <f t="shared" si="2"/>
        <v>59.000066750264864</v>
      </c>
      <c r="C120">
        <f t="shared" si="3"/>
        <v>-0.95863497719223567</v>
      </c>
    </row>
    <row r="121" spans="1:3" x14ac:dyDescent="0.25">
      <c r="A121">
        <v>2436835.2975499998</v>
      </c>
      <c r="B121">
        <f t="shared" si="2"/>
        <v>59.510485404197588</v>
      </c>
      <c r="C121">
        <f t="shared" si="3"/>
        <v>1.5085036054869126E-2</v>
      </c>
    </row>
    <row r="122" spans="1:3" x14ac:dyDescent="0.25">
      <c r="A122">
        <v>2437014.1129700001</v>
      </c>
      <c r="B122">
        <f t="shared" si="2"/>
        <v>60.000066065787301</v>
      </c>
      <c r="C122">
        <f t="shared" si="3"/>
        <v>-0.77006022552150721</v>
      </c>
    </row>
    <row r="123" spans="1:3" x14ac:dyDescent="0.25">
      <c r="A123">
        <v>2437200.5408800002</v>
      </c>
      <c r="B123">
        <f t="shared" si="2"/>
        <v>60.510489045620083</v>
      </c>
      <c r="C123">
        <f t="shared" si="3"/>
        <v>0.83867504307827767</v>
      </c>
    </row>
    <row r="124" spans="1:3" x14ac:dyDescent="0.25">
      <c r="A124">
        <v>2437379.3556400002</v>
      </c>
      <c r="B124">
        <f t="shared" si="2"/>
        <v>61.00006790018768</v>
      </c>
      <c r="C124">
        <f t="shared" si="3"/>
        <v>0.10095722659354724</v>
      </c>
    </row>
    <row r="125" spans="1:3" x14ac:dyDescent="0.25">
      <c r="A125">
        <v>2437565.7794900001</v>
      </c>
      <c r="B125">
        <f t="shared" si="2"/>
        <v>61.510479764102307</v>
      </c>
      <c r="C125">
        <f t="shared" si="3"/>
        <v>0.918712065088791</v>
      </c>
    </row>
    <row r="126" spans="1:3" x14ac:dyDescent="0.25">
      <c r="A126">
        <v>2437744.6038700002</v>
      </c>
      <c r="B126">
        <f t="shared" si="2"/>
        <v>62.000084957371762</v>
      </c>
      <c r="C126">
        <f t="shared" si="3"/>
        <v>0.88130985188200184</v>
      </c>
    </row>
    <row r="127" spans="1:3" x14ac:dyDescent="0.25">
      <c r="A127">
        <v>2437931.0244700001</v>
      </c>
      <c r="B127">
        <f t="shared" si="2"/>
        <v>62.510487923076248</v>
      </c>
      <c r="C127">
        <f t="shared" si="3"/>
        <v>0.18474117601861156</v>
      </c>
    </row>
    <row r="128" spans="1:3" x14ac:dyDescent="0.25">
      <c r="A128">
        <v>2438109.8470100001</v>
      </c>
      <c r="B128">
        <f t="shared" si="2"/>
        <v>63.000088078589798</v>
      </c>
      <c r="C128">
        <f t="shared" si="3"/>
        <v>0.88342293634232139</v>
      </c>
    </row>
    <row r="129" spans="1:3" x14ac:dyDescent="0.25">
      <c r="A129">
        <v>2438296.26633</v>
      </c>
      <c r="B129">
        <f t="shared" si="2"/>
        <v>63.510487539768604</v>
      </c>
      <c r="C129">
        <f t="shared" si="3"/>
        <v>-0.71360488300261293</v>
      </c>
    </row>
    <row r="130" spans="1:3" x14ac:dyDescent="0.25">
      <c r="A130">
        <v>2438475.0902</v>
      </c>
      <c r="B130">
        <f t="shared" si="2"/>
        <v>64.000091336703136</v>
      </c>
      <c r="C130">
        <f t="shared" si="3"/>
        <v>0.10310909644190269</v>
      </c>
    </row>
    <row r="131" spans="1:3" x14ac:dyDescent="0.25">
      <c r="A131">
        <v>2438661.5115899998</v>
      </c>
      <c r="B131">
        <f t="shared" ref="B131:B194" si="4">+(A131-$A$1)/$B$1</f>
        <v>64.510496465357022</v>
      </c>
      <c r="C131">
        <f t="shared" ref="C131:C194" si="5">+SIN(2*PI()/($C$1/365.242)*$B131+$D$1)</f>
        <v>-0.97952593154343515</v>
      </c>
    </row>
    <row r="132" spans="1:3" x14ac:dyDescent="0.25">
      <c r="A132">
        <v>2438840.33666</v>
      </c>
      <c r="B132">
        <f t="shared" si="4"/>
        <v>65.000103547785258</v>
      </c>
      <c r="C132">
        <f t="shared" si="5"/>
        <v>-0.76755773125050131</v>
      </c>
    </row>
    <row r="133" spans="1:3" x14ac:dyDescent="0.25">
      <c r="A133">
        <v>2439026.7541800002</v>
      </c>
      <c r="B133">
        <f t="shared" si="4"/>
        <v>65.510498080725426</v>
      </c>
      <c r="C133">
        <f t="shared" si="5"/>
        <v>-0.37832951026193223</v>
      </c>
    </row>
    <row r="134" spans="1:3" x14ac:dyDescent="0.25">
      <c r="A134">
        <v>2439205.5784300002</v>
      </c>
      <c r="B134">
        <f t="shared" si="4"/>
        <v>66.000102918066318</v>
      </c>
      <c r="C134">
        <f t="shared" si="5"/>
        <v>-0.95974411736588683</v>
      </c>
    </row>
    <row r="135" spans="1:3" x14ac:dyDescent="0.25">
      <c r="A135">
        <v>2439391.9883099999</v>
      </c>
      <c r="B135">
        <f t="shared" si="4"/>
        <v>66.510476533367139</v>
      </c>
      <c r="C135">
        <f t="shared" si="5"/>
        <v>0.56135132047217762</v>
      </c>
    </row>
    <row r="136" spans="1:3" x14ac:dyDescent="0.25">
      <c r="A136">
        <v>2439570.8172499998</v>
      </c>
      <c r="B136">
        <f t="shared" si="4"/>
        <v>67.000094211509079</v>
      </c>
      <c r="C136">
        <f t="shared" si="5"/>
        <v>-0.29957466804313138</v>
      </c>
    </row>
    <row r="137" spans="1:3" x14ac:dyDescent="0.25">
      <c r="A137">
        <v>2439757.23477</v>
      </c>
      <c r="B137">
        <f t="shared" si="4"/>
        <v>67.510488744449248</v>
      </c>
      <c r="C137">
        <f t="shared" si="5"/>
        <v>0.99999374726822488</v>
      </c>
    </row>
    <row r="138" spans="1:3" x14ac:dyDescent="0.25">
      <c r="A138">
        <v>2439936.0569699998</v>
      </c>
      <c r="B138">
        <f t="shared" si="4"/>
        <v>68.000087969072425</v>
      </c>
      <c r="C138">
        <f t="shared" si="5"/>
        <v>0.6265981872401668</v>
      </c>
    </row>
    <row r="139" spans="1:3" x14ac:dyDescent="0.25">
      <c r="A139">
        <v>2440122.4765300001</v>
      </c>
      <c r="B139">
        <f t="shared" si="4"/>
        <v>68.510488087350993</v>
      </c>
      <c r="C139">
        <f t="shared" si="5"/>
        <v>0.5536781204649065</v>
      </c>
    </row>
    <row r="140" spans="1:3" x14ac:dyDescent="0.25">
      <c r="A140">
        <v>2440301.2973000002</v>
      </c>
      <c r="B140">
        <f t="shared" si="4"/>
        <v>69.000083396762591</v>
      </c>
      <c r="C140">
        <f t="shared" si="5"/>
        <v>0.99617170668220312</v>
      </c>
    </row>
    <row r="141" spans="1:3" x14ac:dyDescent="0.25">
      <c r="A141">
        <v>2440487.7131500002</v>
      </c>
      <c r="B141">
        <f t="shared" si="4"/>
        <v>69.510473357391405</v>
      </c>
      <c r="C141">
        <f t="shared" si="5"/>
        <v>-0.3858086561707782</v>
      </c>
    </row>
    <row r="142" spans="1:3" x14ac:dyDescent="0.25">
      <c r="A142">
        <v>2440666.5391299999</v>
      </c>
      <c r="B142">
        <f t="shared" si="4"/>
        <v>70.000082931316996</v>
      </c>
      <c r="C142">
        <f t="shared" si="5"/>
        <v>0.4818927113080953</v>
      </c>
    </row>
    <row r="143" spans="1:3" x14ac:dyDescent="0.25">
      <c r="A143">
        <v>2440852.9576300001</v>
      </c>
      <c r="B143">
        <f t="shared" si="4"/>
        <v>70.510480147409737</v>
      </c>
      <c r="C143">
        <f t="shared" si="5"/>
        <v>-0.98095398039335624</v>
      </c>
    </row>
    <row r="144" spans="1:3" x14ac:dyDescent="0.25">
      <c r="A144">
        <v>2441031.7765000002</v>
      </c>
      <c r="B144">
        <f t="shared" si="4"/>
        <v>71.000070254790813</v>
      </c>
      <c r="C144">
        <f t="shared" si="5"/>
        <v>-0.46151222682097959</v>
      </c>
    </row>
    <row r="145" spans="1:3" x14ac:dyDescent="0.25">
      <c r="A145">
        <v>2441218.1978600002</v>
      </c>
      <c r="B145">
        <f t="shared" si="4"/>
        <v>71.510475301308006</v>
      </c>
      <c r="C145">
        <f t="shared" si="5"/>
        <v>-0.70688701569144907</v>
      </c>
    </row>
    <row r="146" spans="1:3" x14ac:dyDescent="0.25">
      <c r="A146">
        <v>2441397.0148800001</v>
      </c>
      <c r="B146">
        <f t="shared" si="4"/>
        <v>72.000060343553855</v>
      </c>
      <c r="C146">
        <f t="shared" si="5"/>
        <v>-0.99405981780044261</v>
      </c>
    </row>
    <row r="147" spans="1:3" x14ac:dyDescent="0.25">
      <c r="A147">
        <v>2441583.4394299998</v>
      </c>
      <c r="B147">
        <f t="shared" si="4"/>
        <v>72.510474124005313</v>
      </c>
      <c r="C147">
        <f t="shared" si="5"/>
        <v>0.1942429276135309</v>
      </c>
    </row>
    <row r="148" spans="1:3" x14ac:dyDescent="0.25">
      <c r="A148">
        <v>2441762.2586699999</v>
      </c>
      <c r="B148">
        <f t="shared" si="4"/>
        <v>73.00006524441342</v>
      </c>
      <c r="C148">
        <f t="shared" si="5"/>
        <v>-0.6444467899055828</v>
      </c>
    </row>
    <row r="149" spans="1:3" x14ac:dyDescent="0.25">
      <c r="A149">
        <v>2441948.6813500002</v>
      </c>
      <c r="B149">
        <f t="shared" si="4"/>
        <v>73.510473904973566</v>
      </c>
      <c r="C149">
        <f t="shared" si="5"/>
        <v>0.92303531003245309</v>
      </c>
    </row>
    <row r="150" spans="1:3" x14ac:dyDescent="0.25">
      <c r="A150">
        <v>2442127.5046199998</v>
      </c>
      <c r="B150">
        <f t="shared" si="4"/>
        <v>74.000076059160605</v>
      </c>
      <c r="C150">
        <f t="shared" si="5"/>
        <v>0.27467415675923879</v>
      </c>
    </row>
    <row r="151" spans="1:3" x14ac:dyDescent="0.25">
      <c r="A151">
        <v>2442313.9155899999</v>
      </c>
      <c r="B151">
        <f t="shared" si="4"/>
        <v>74.510452658785198</v>
      </c>
      <c r="C151">
        <f t="shared" si="5"/>
        <v>0.83146403179869577</v>
      </c>
    </row>
    <row r="152" spans="1:3" x14ac:dyDescent="0.25">
      <c r="A152">
        <v>2442492.7477099998</v>
      </c>
      <c r="B152">
        <f t="shared" si="4"/>
        <v>75.000079043483339</v>
      </c>
      <c r="C152">
        <f t="shared" si="5"/>
        <v>0.95151431449271007</v>
      </c>
    </row>
    <row r="153" spans="1:3" x14ac:dyDescent="0.25">
      <c r="A153">
        <v>2442679.1633600001</v>
      </c>
      <c r="B153">
        <f t="shared" si="4"/>
        <v>75.510468456530944</v>
      </c>
      <c r="C153">
        <f t="shared" si="5"/>
        <v>4.0277205466358688E-3</v>
      </c>
    </row>
    <row r="154" spans="1:3" x14ac:dyDescent="0.25">
      <c r="A154">
        <v>2442857.99279</v>
      </c>
      <c r="B154">
        <f t="shared" si="4"/>
        <v>76.000087476249163</v>
      </c>
      <c r="C154">
        <f t="shared" si="5"/>
        <v>0.78612770101326657</v>
      </c>
    </row>
    <row r="155" spans="1:3" x14ac:dyDescent="0.25">
      <c r="A155">
        <v>2443044.4084800002</v>
      </c>
      <c r="B155">
        <f t="shared" si="4"/>
        <v>76.510476998812749</v>
      </c>
      <c r="C155">
        <f t="shared" si="5"/>
        <v>-0.8276491033931126</v>
      </c>
    </row>
    <row r="156" spans="1:3" x14ac:dyDescent="0.25">
      <c r="A156">
        <v>2443223.2376999999</v>
      </c>
      <c r="B156">
        <f t="shared" si="4"/>
        <v>77.000095443569165</v>
      </c>
      <c r="C156">
        <f t="shared" si="5"/>
        <v>-7.4443136509965202E-2</v>
      </c>
    </row>
    <row r="157" spans="1:3" x14ac:dyDescent="0.25">
      <c r="A157">
        <v>2443409.6453399998</v>
      </c>
      <c r="B157">
        <f t="shared" si="4"/>
        <v>77.510462925950364</v>
      </c>
      <c r="C157">
        <f t="shared" si="5"/>
        <v>-0.92609916121922364</v>
      </c>
    </row>
    <row r="158" spans="1:3" x14ac:dyDescent="0.25">
      <c r="A158">
        <v>2443588.48166</v>
      </c>
      <c r="B158">
        <f t="shared" si="4"/>
        <v>78.000100809874553</v>
      </c>
      <c r="C158">
        <f t="shared" si="5"/>
        <v>-0.86939738470092709</v>
      </c>
    </row>
    <row r="159" spans="1:3" x14ac:dyDescent="0.25">
      <c r="A159">
        <v>2443774.8926599999</v>
      </c>
      <c r="B159">
        <f t="shared" si="4"/>
        <v>78.510477491635811</v>
      </c>
      <c r="C159">
        <f t="shared" si="5"/>
        <v>-0.20456657874882689</v>
      </c>
    </row>
    <row r="160" spans="1:3" x14ac:dyDescent="0.25">
      <c r="A160">
        <v>2443953.72358</v>
      </c>
      <c r="B160">
        <f t="shared" si="4"/>
        <v>79.000100590841527</v>
      </c>
      <c r="C160">
        <f t="shared" si="5"/>
        <v>-0.89445004572404396</v>
      </c>
    </row>
    <row r="161" spans="1:3" x14ac:dyDescent="0.25">
      <c r="A161">
        <v>2444140.1364000002</v>
      </c>
      <c r="B161">
        <f t="shared" si="4"/>
        <v>79.510482255601332</v>
      </c>
      <c r="C161">
        <f t="shared" si="5"/>
        <v>0.6986794625048337</v>
      </c>
    </row>
    <row r="162" spans="1:3" x14ac:dyDescent="0.25">
      <c r="A162">
        <v>2444318.9650699999</v>
      </c>
      <c r="B162">
        <f t="shared" si="4"/>
        <v>80.000099194506845</v>
      </c>
      <c r="C162">
        <f t="shared" si="5"/>
        <v>-0.1262520171379278</v>
      </c>
    </row>
    <row r="163" spans="1:3" x14ac:dyDescent="0.25">
      <c r="A163">
        <v>2444505.38105</v>
      </c>
      <c r="B163">
        <f t="shared" si="4"/>
        <v>80.510489511064222</v>
      </c>
      <c r="C163">
        <f t="shared" si="5"/>
        <v>0.98350095832686557</v>
      </c>
    </row>
    <row r="164" spans="1:3" x14ac:dyDescent="0.25">
      <c r="A164">
        <v>2444684.2103200001</v>
      </c>
      <c r="B164">
        <f t="shared" si="4"/>
        <v>81.000108092717213</v>
      </c>
      <c r="C164">
        <f t="shared" si="5"/>
        <v>0.75278571161209229</v>
      </c>
    </row>
    <row r="165" spans="1:3" x14ac:dyDescent="0.25">
      <c r="A165">
        <v>2444870.6286200001</v>
      </c>
      <c r="B165">
        <f t="shared" si="4"/>
        <v>81.510504761227466</v>
      </c>
      <c r="C165">
        <f t="shared" si="5"/>
        <v>0.39960838904100676</v>
      </c>
    </row>
    <row r="166" spans="1:3" x14ac:dyDescent="0.25">
      <c r="A166">
        <v>2445049.4554499998</v>
      </c>
      <c r="B166">
        <f t="shared" si="4"/>
        <v>82.000116662377067</v>
      </c>
      <c r="C166">
        <f t="shared" si="5"/>
        <v>0.96628281323078169</v>
      </c>
    </row>
    <row r="167" spans="1:3" x14ac:dyDescent="0.25">
      <c r="A167">
        <v>2445235.8654299998</v>
      </c>
      <c r="B167">
        <f t="shared" si="4"/>
        <v>82.510490551469772</v>
      </c>
      <c r="C167">
        <f t="shared" si="5"/>
        <v>-0.54104699160554415</v>
      </c>
    </row>
    <row r="168" spans="1:3" x14ac:dyDescent="0.25">
      <c r="A168">
        <v>2445414.6935899998</v>
      </c>
      <c r="B168">
        <f t="shared" si="4"/>
        <v>83.000106094041641</v>
      </c>
      <c r="C168">
        <f t="shared" si="5"/>
        <v>0.32236122961338115</v>
      </c>
    </row>
    <row r="169" spans="1:3" x14ac:dyDescent="0.25">
      <c r="A169">
        <v>2445601.1122499998</v>
      </c>
      <c r="B169">
        <f t="shared" si="4"/>
        <v>83.510503748199611</v>
      </c>
      <c r="C169">
        <f t="shared" si="5"/>
        <v>-0.99978021859683419</v>
      </c>
    </row>
    <row r="170" spans="1:3" x14ac:dyDescent="0.25">
      <c r="A170">
        <v>2445779.93358</v>
      </c>
      <c r="B170">
        <f t="shared" si="4"/>
        <v>84.000100590841427</v>
      </c>
      <c r="C170">
        <f t="shared" si="5"/>
        <v>-0.60763534722927648</v>
      </c>
    </row>
    <row r="171" spans="1:3" x14ac:dyDescent="0.25">
      <c r="A171">
        <v>2445966.3561800001</v>
      </c>
      <c r="B171">
        <f t="shared" si="4"/>
        <v>84.510509032368319</v>
      </c>
      <c r="C171">
        <f t="shared" si="5"/>
        <v>-0.5747341586576904</v>
      </c>
    </row>
    <row r="172" spans="1:3" x14ac:dyDescent="0.25">
      <c r="A172">
        <v>2446145.1762199998</v>
      </c>
      <c r="B172">
        <f t="shared" si="4"/>
        <v>85.000102343103862</v>
      </c>
      <c r="C172">
        <f t="shared" si="5"/>
        <v>-0.99805609329507927</v>
      </c>
    </row>
    <row r="173" spans="1:3" x14ac:dyDescent="0.25">
      <c r="A173">
        <v>2446331.5885200002</v>
      </c>
      <c r="B173">
        <f t="shared" si="4"/>
        <v>85.510482584150708</v>
      </c>
      <c r="C173">
        <f t="shared" si="5"/>
        <v>0.36399738259673475</v>
      </c>
    </row>
    <row r="174" spans="1:3" x14ac:dyDescent="0.25">
      <c r="A174">
        <v>2446510.4185500001</v>
      </c>
      <c r="B174">
        <f t="shared" si="4"/>
        <v>86.000103246615154</v>
      </c>
      <c r="C174">
        <f t="shared" si="5"/>
        <v>-0.50398967536247763</v>
      </c>
    </row>
    <row r="175" spans="1:3" x14ac:dyDescent="0.25">
      <c r="A175">
        <v>2446696.83256</v>
      </c>
      <c r="B175">
        <f t="shared" si="4"/>
        <v>86.51048816948807</v>
      </c>
      <c r="C175">
        <f t="shared" si="5"/>
        <v>0.97615692849680802</v>
      </c>
    </row>
    <row r="176" spans="1:3" x14ac:dyDescent="0.25">
      <c r="A176">
        <v>2446875.6611000001</v>
      </c>
      <c r="B176">
        <f t="shared" si="4"/>
        <v>87.000104752466299</v>
      </c>
      <c r="C176">
        <f t="shared" si="5"/>
        <v>0.43668339206181139</v>
      </c>
    </row>
    <row r="177" spans="1:3" x14ac:dyDescent="0.25">
      <c r="A177">
        <v>2447062.0731100002</v>
      </c>
      <c r="B177">
        <f t="shared" si="4"/>
        <v>87.510484199518075</v>
      </c>
      <c r="C177">
        <f t="shared" si="5"/>
        <v>0.72329359233055168</v>
      </c>
    </row>
    <row r="178" spans="1:3" x14ac:dyDescent="0.25">
      <c r="A178">
        <v>2447240.9018199998</v>
      </c>
      <c r="B178">
        <f t="shared" si="4"/>
        <v>88.000101247939583</v>
      </c>
      <c r="C178">
        <f t="shared" si="5"/>
        <v>0.99050381434238333</v>
      </c>
    </row>
    <row r="179" spans="1:3" x14ac:dyDescent="0.25">
      <c r="A179">
        <v>2447427.31171</v>
      </c>
      <c r="B179">
        <f t="shared" si="4"/>
        <v>88.510474890620984</v>
      </c>
      <c r="C179">
        <f t="shared" si="5"/>
        <v>-0.17251707442475692</v>
      </c>
    </row>
    <row r="180" spans="1:3" x14ac:dyDescent="0.25">
      <c r="A180">
        <v>2447606.14463</v>
      </c>
      <c r="B180">
        <f t="shared" si="4"/>
        <v>89.00010346564784</v>
      </c>
      <c r="C180">
        <f t="shared" si="5"/>
        <v>0.66591378655531897</v>
      </c>
    </row>
    <row r="181" spans="1:3" x14ac:dyDescent="0.25">
      <c r="A181">
        <v>2447792.55529</v>
      </c>
      <c r="B181">
        <f t="shared" si="4"/>
        <v>89.510479216519997</v>
      </c>
      <c r="C181">
        <f t="shared" si="5"/>
        <v>-0.91399719080071218</v>
      </c>
    </row>
    <row r="182" spans="1:3" x14ac:dyDescent="0.25">
      <c r="A182">
        <v>2447971.38839</v>
      </c>
      <c r="B182">
        <f t="shared" si="4"/>
        <v>90.000108284370711</v>
      </c>
      <c r="C182">
        <f t="shared" si="5"/>
        <v>-0.24822133744964825</v>
      </c>
    </row>
    <row r="183" spans="1:3" x14ac:dyDescent="0.25">
      <c r="A183">
        <v>2448157.7885500002</v>
      </c>
      <c r="B183">
        <f t="shared" si="4"/>
        <v>90.510455287180349</v>
      </c>
      <c r="C183">
        <f t="shared" si="5"/>
        <v>-0.84370749424878522</v>
      </c>
    </row>
    <row r="184" spans="1:3" x14ac:dyDescent="0.25">
      <c r="A184">
        <v>2448336.62635</v>
      </c>
      <c r="B184">
        <f t="shared" si="4"/>
        <v>91.000097223211426</v>
      </c>
      <c r="C184">
        <f t="shared" si="5"/>
        <v>-0.94351504020090204</v>
      </c>
    </row>
    <row r="185" spans="1:3" x14ac:dyDescent="0.25">
      <c r="A185">
        <v>2448523.0334000001</v>
      </c>
      <c r="B185">
        <f t="shared" si="4"/>
        <v>91.510463090225727</v>
      </c>
      <c r="C185">
        <f t="shared" si="5"/>
        <v>-2.5091815007452535E-2</v>
      </c>
    </row>
    <row r="186" spans="1:3" x14ac:dyDescent="0.25">
      <c r="A186">
        <v>2448701.8667100002</v>
      </c>
      <c r="B186">
        <f t="shared" si="4"/>
        <v>92.000092733038258</v>
      </c>
      <c r="C186">
        <f t="shared" si="5"/>
        <v>-0.80004909869201069</v>
      </c>
    </row>
    <row r="187" spans="1:3" x14ac:dyDescent="0.25">
      <c r="A187">
        <v>2448888.2797099999</v>
      </c>
      <c r="B187">
        <f t="shared" si="4"/>
        <v>92.510474890620642</v>
      </c>
      <c r="C187">
        <f t="shared" si="5"/>
        <v>0.81532465998939352</v>
      </c>
    </row>
    <row r="188" spans="1:3" x14ac:dyDescent="0.25">
      <c r="A188">
        <v>2449067.1115600001</v>
      </c>
      <c r="B188">
        <f t="shared" si="4"/>
        <v>93.000100536083636</v>
      </c>
      <c r="C188">
        <f t="shared" si="5"/>
        <v>5.1658302433083364E-2</v>
      </c>
    </row>
    <row r="189" spans="1:3" x14ac:dyDescent="0.25">
      <c r="A189">
        <v>2449253.5156100001</v>
      </c>
      <c r="B189">
        <f t="shared" si="4"/>
        <v>93.510458189365593</v>
      </c>
      <c r="C189">
        <f t="shared" si="5"/>
        <v>0.93387911719777605</v>
      </c>
    </row>
    <row r="190" spans="1:3" x14ac:dyDescent="0.25">
      <c r="A190">
        <v>2449432.3527899999</v>
      </c>
      <c r="B190">
        <f t="shared" si="4"/>
        <v>94.000098427891828</v>
      </c>
      <c r="C190">
        <f t="shared" si="5"/>
        <v>0.85853790410735553</v>
      </c>
    </row>
    <row r="191" spans="1:3" x14ac:dyDescent="0.25">
      <c r="A191">
        <v>2449618.7633600002</v>
      </c>
      <c r="B191">
        <f t="shared" si="4"/>
        <v>94.51047393235271</v>
      </c>
      <c r="C191">
        <f t="shared" si="5"/>
        <v>0.22543782038471072</v>
      </c>
    </row>
    <row r="192" spans="1:3" x14ac:dyDescent="0.25">
      <c r="A192">
        <v>2449797.5933599998</v>
      </c>
      <c r="B192">
        <f t="shared" si="4"/>
        <v>95.000094512679198</v>
      </c>
      <c r="C192">
        <f t="shared" si="5"/>
        <v>0.90361981230785982</v>
      </c>
    </row>
    <row r="193" spans="1:3" x14ac:dyDescent="0.25">
      <c r="A193">
        <v>2449984.0090299998</v>
      </c>
      <c r="B193">
        <f t="shared" si="4"/>
        <v>95.510483980484153</v>
      </c>
      <c r="C193">
        <f t="shared" si="5"/>
        <v>-0.68258009000075681</v>
      </c>
    </row>
    <row r="194" spans="1:3" x14ac:dyDescent="0.25">
      <c r="A194">
        <v>2450162.8354699998</v>
      </c>
      <c r="B194">
        <f t="shared" si="4"/>
        <v>96.000094813849358</v>
      </c>
      <c r="C194">
        <f t="shared" si="5"/>
        <v>0.14728503617258074</v>
      </c>
    </row>
    <row r="195" spans="1:3" x14ac:dyDescent="0.25">
      <c r="A195">
        <v>2450349.2500800001</v>
      </c>
      <c r="B195">
        <f t="shared" ref="B195:B258" si="6">+(A195-$A$1)/$B$1</f>
        <v>96.510481379469766</v>
      </c>
      <c r="C195">
        <f t="shared" ref="C195:C258" si="7">+SIN(2*PI()/($C$1/365.242)*$B195+$D$1)</f>
        <v>-0.98701867244706887</v>
      </c>
    </row>
    <row r="196" spans="1:3" x14ac:dyDescent="0.25">
      <c r="A196">
        <v>2450528.0796300001</v>
      </c>
      <c r="B196">
        <f t="shared" si="6"/>
        <v>97.000100727737234</v>
      </c>
      <c r="C196">
        <f t="shared" si="7"/>
        <v>-0.73897936236977113</v>
      </c>
    </row>
    <row r="197" spans="1:3" x14ac:dyDescent="0.25">
      <c r="A197">
        <v>2450714.49707</v>
      </c>
      <c r="B197">
        <f t="shared" si="6"/>
        <v>97.510495041644148</v>
      </c>
      <c r="C197">
        <f t="shared" si="7"/>
        <v>-0.41816299539363638</v>
      </c>
    </row>
    <row r="198" spans="1:3" x14ac:dyDescent="0.25">
      <c r="A198">
        <v>2450893.3295399998</v>
      </c>
      <c r="B198">
        <f t="shared" si="6"/>
        <v>98.000122384610705</v>
      </c>
      <c r="C198">
        <f t="shared" si="7"/>
        <v>-0.97193400541248809</v>
      </c>
    </row>
    <row r="199" spans="1:3" x14ac:dyDescent="0.25">
      <c r="A199">
        <v>2451079.7341700001</v>
      </c>
      <c r="B199">
        <f t="shared" si="6"/>
        <v>98.510481625881525</v>
      </c>
      <c r="C199">
        <f t="shared" si="7"/>
        <v>0.523722805680226</v>
      </c>
    </row>
    <row r="200" spans="1:3" x14ac:dyDescent="0.25">
      <c r="A200">
        <v>2451258.5734799998</v>
      </c>
      <c r="B200">
        <f t="shared" si="6"/>
        <v>99.000127696157449</v>
      </c>
      <c r="C200">
        <f t="shared" si="7"/>
        <v>-0.3465007568217976</v>
      </c>
    </row>
    <row r="201" spans="1:3" x14ac:dyDescent="0.25">
      <c r="A201">
        <v>2451444.9802199998</v>
      </c>
      <c r="B201">
        <f t="shared" si="6"/>
        <v>99.510492714419328</v>
      </c>
      <c r="C201">
        <f t="shared" si="7"/>
        <v>0.9991564608642487</v>
      </c>
    </row>
    <row r="202" spans="1:3" x14ac:dyDescent="0.25">
      <c r="A202">
        <v>2451623.8161499999</v>
      </c>
      <c r="B202">
        <f t="shared" si="6"/>
        <v>100.00012953055783</v>
      </c>
      <c r="C202">
        <f t="shared" si="7"/>
        <v>0.58609178849773746</v>
      </c>
    </row>
    <row r="203" spans="1:3" x14ac:dyDescent="0.25">
      <c r="A203">
        <v>2451810.22749</v>
      </c>
      <c r="B203">
        <f t="shared" si="6"/>
        <v>100.51050714320947</v>
      </c>
      <c r="C203">
        <f t="shared" si="7"/>
        <v>0.59231772142395955</v>
      </c>
    </row>
    <row r="204" spans="1:3" x14ac:dyDescent="0.25">
      <c r="A204">
        <v>2451989.0629599998</v>
      </c>
      <c r="B204">
        <f t="shared" si="6"/>
        <v>101.00014269990835</v>
      </c>
      <c r="C204">
        <f t="shared" si="7"/>
        <v>0.99943611707269109</v>
      </c>
    </row>
    <row r="205" spans="1:3" x14ac:dyDescent="0.25">
      <c r="A205">
        <v>2452175.46141</v>
      </c>
      <c r="B205">
        <f t="shared" si="6"/>
        <v>101.51048502089064</v>
      </c>
      <c r="C205">
        <f t="shared" si="7"/>
        <v>-0.3430605869222349</v>
      </c>
    </row>
    <row r="206" spans="1:3" x14ac:dyDescent="0.25">
      <c r="A206">
        <v>2452354.30284</v>
      </c>
      <c r="B206">
        <f t="shared" si="6"/>
        <v>102.00013689553822</v>
      </c>
      <c r="C206">
        <f t="shared" si="7"/>
        <v>0.52767322163761698</v>
      </c>
    </row>
    <row r="207" spans="1:3" x14ac:dyDescent="0.25">
      <c r="A207">
        <v>2452540.7050899998</v>
      </c>
      <c r="B207">
        <f t="shared" si="6"/>
        <v>102.51048962058027</v>
      </c>
      <c r="C207">
        <f t="shared" si="7"/>
        <v>-0.97109396729384978</v>
      </c>
    </row>
    <row r="208" spans="1:3" x14ac:dyDescent="0.25">
      <c r="A208">
        <v>2452719.5414499999</v>
      </c>
      <c r="B208">
        <f t="shared" si="6"/>
        <v>103.00012761402044</v>
      </c>
      <c r="C208">
        <f t="shared" si="7"/>
        <v>-0.41330526189013672</v>
      </c>
    </row>
    <row r="209" spans="1:3" x14ac:dyDescent="0.25">
      <c r="A209">
        <v>2452905.94912</v>
      </c>
      <c r="B209">
        <f t="shared" si="6"/>
        <v>103.51049517853959</v>
      </c>
      <c r="C209">
        <f t="shared" si="7"/>
        <v>-0.73953796042470765</v>
      </c>
    </row>
    <row r="210" spans="1:3" x14ac:dyDescent="0.25">
      <c r="A210">
        <v>2453084.7837</v>
      </c>
      <c r="B210">
        <f t="shared" si="6"/>
        <v>104.00012829849848</v>
      </c>
      <c r="C210">
        <f t="shared" si="7"/>
        <v>-0.98650749187276454</v>
      </c>
    </row>
    <row r="211" spans="1:3" x14ac:dyDescent="0.25">
      <c r="A211">
        <v>2453271.18731</v>
      </c>
      <c r="B211">
        <f t="shared" si="6"/>
        <v>104.51048474709945</v>
      </c>
      <c r="C211">
        <f t="shared" si="7"/>
        <v>0.14919114390192439</v>
      </c>
    </row>
    <row r="212" spans="1:3" x14ac:dyDescent="0.25">
      <c r="A212">
        <v>2453450.0231300001</v>
      </c>
      <c r="B212">
        <f t="shared" si="6"/>
        <v>105.00012126206803</v>
      </c>
      <c r="C212">
        <f t="shared" si="7"/>
        <v>-0.68433513179949812</v>
      </c>
    </row>
    <row r="213" spans="1:3" x14ac:dyDescent="0.25">
      <c r="A213">
        <v>2453636.4326599999</v>
      </c>
      <c r="B213">
        <f t="shared" si="6"/>
        <v>105.51049391910044</v>
      </c>
      <c r="C213">
        <f t="shared" si="7"/>
        <v>0.90380442580489739</v>
      </c>
    </row>
    <row r="214" spans="1:3" x14ac:dyDescent="0.25">
      <c r="A214">
        <v>2453815.2676599999</v>
      </c>
      <c r="B214">
        <f t="shared" si="6"/>
        <v>106.00012818898168</v>
      </c>
      <c r="C214">
        <f t="shared" si="7"/>
        <v>0.22360800306577966</v>
      </c>
    </row>
    <row r="215" spans="1:3" x14ac:dyDescent="0.25">
      <c r="A215">
        <v>2454001.6688999999</v>
      </c>
      <c r="B215">
        <f t="shared" si="6"/>
        <v>106.51047814873449</v>
      </c>
      <c r="C215">
        <f t="shared" si="7"/>
        <v>0.85728899899669253</v>
      </c>
    </row>
    <row r="216" spans="1:3" x14ac:dyDescent="0.25">
      <c r="A216">
        <v>2454180.5050300001</v>
      </c>
      <c r="B216">
        <f t="shared" si="6"/>
        <v>107.00011551245549</v>
      </c>
      <c r="C216">
        <f t="shared" si="7"/>
        <v>0.93491774527073668</v>
      </c>
    </row>
    <row r="217" spans="1:3" x14ac:dyDescent="0.25">
      <c r="A217">
        <v>2454366.9104599999</v>
      </c>
      <c r="B217">
        <f t="shared" si="6"/>
        <v>107.51047694405375</v>
      </c>
      <c r="C217">
        <f t="shared" si="7"/>
        <v>4.9382848420222128E-2</v>
      </c>
    </row>
    <row r="218" spans="1:3" x14ac:dyDescent="0.25">
      <c r="A218">
        <v>2454545.74175</v>
      </c>
      <c r="B218">
        <f t="shared" si="6"/>
        <v>108.00010105628651</v>
      </c>
      <c r="C218">
        <f t="shared" si="7"/>
        <v>0.81385312348252059</v>
      </c>
    </row>
    <row r="219" spans="1:3" x14ac:dyDescent="0.25">
      <c r="A219">
        <v>2454732.15576</v>
      </c>
      <c r="B219">
        <f t="shared" si="6"/>
        <v>108.51048597915943</v>
      </c>
      <c r="C219">
        <f t="shared" si="7"/>
        <v>-0.80128958188087163</v>
      </c>
    </row>
    <row r="220" spans="1:3" x14ac:dyDescent="0.25">
      <c r="A220">
        <v>2454910.9885</v>
      </c>
      <c r="B220">
        <f t="shared" si="6"/>
        <v>109.00011406136241</v>
      </c>
      <c r="C220">
        <f t="shared" si="7"/>
        <v>-2.7424788665679482E-2</v>
      </c>
    </row>
    <row r="221" spans="1:3" x14ac:dyDescent="0.25">
      <c r="A221">
        <v>2455097.3877699999</v>
      </c>
      <c r="B221">
        <f t="shared" si="6"/>
        <v>109.51045862743075</v>
      </c>
      <c r="C221">
        <f t="shared" si="7"/>
        <v>-0.94153485105264889</v>
      </c>
    </row>
    <row r="222" spans="1:3" x14ac:dyDescent="0.25">
      <c r="A222">
        <v>2455276.2305399999</v>
      </c>
      <c r="B222">
        <f t="shared" si="6"/>
        <v>110.00011417087863</v>
      </c>
      <c r="C222">
        <f t="shared" si="7"/>
        <v>-0.84565128090759412</v>
      </c>
    </row>
    <row r="223" spans="1:3" x14ac:dyDescent="0.25">
      <c r="A223">
        <v>2455462.63111</v>
      </c>
      <c r="B223">
        <f t="shared" si="6"/>
        <v>110.5104622962313</v>
      </c>
      <c r="C223">
        <f t="shared" si="7"/>
        <v>-0.24488552072577352</v>
      </c>
    </row>
    <row r="224" spans="1:3" x14ac:dyDescent="0.25">
      <c r="A224">
        <v>2455641.4725600001</v>
      </c>
      <c r="B224">
        <f t="shared" si="6"/>
        <v>111.0001142256375</v>
      </c>
      <c r="C224">
        <f t="shared" si="7"/>
        <v>-0.91416503221149459</v>
      </c>
    </row>
    <row r="225" spans="1:3" x14ac:dyDescent="0.25">
      <c r="A225">
        <v>2455827.8780399999</v>
      </c>
      <c r="B225">
        <f t="shared" si="6"/>
        <v>111.51047579413105</v>
      </c>
      <c r="C225">
        <f t="shared" si="7"/>
        <v>0.66738827631055253</v>
      </c>
    </row>
    <row r="226" spans="1:3" x14ac:dyDescent="0.25">
      <c r="A226">
        <v>2456006.7181600002</v>
      </c>
      <c r="B226">
        <f t="shared" si="6"/>
        <v>112.00012408211629</v>
      </c>
      <c r="C226">
        <f t="shared" si="7"/>
        <v>-0.17384342483510914</v>
      </c>
    </row>
    <row r="227" spans="1:3" x14ac:dyDescent="0.25">
      <c r="A227">
        <v>2456193.1171599999</v>
      </c>
      <c r="B227">
        <f t="shared" si="6"/>
        <v>112.5104679089482</v>
      </c>
      <c r="C227">
        <f t="shared" si="7"/>
        <v>0.98999085096831818</v>
      </c>
    </row>
    <row r="228" spans="1:3" x14ac:dyDescent="0.25">
      <c r="A228">
        <v>2456371.9594700001</v>
      </c>
      <c r="B228">
        <f t="shared" si="6"/>
        <v>113.00012219295773</v>
      </c>
      <c r="C228">
        <f t="shared" si="7"/>
        <v>0.72149702228780688</v>
      </c>
    </row>
    <row r="229" spans="1:3" x14ac:dyDescent="0.25">
      <c r="A229">
        <v>2456558.3637799998</v>
      </c>
      <c r="B229">
        <f t="shared" si="6"/>
        <v>113.51048055809554</v>
      </c>
      <c r="C229">
        <f t="shared" si="7"/>
        <v>0.4358216839804967</v>
      </c>
    </row>
    <row r="230" spans="1:3" x14ac:dyDescent="0.25">
      <c r="A230">
        <v>2456737.2061100001</v>
      </c>
      <c r="B230">
        <f t="shared" si="6"/>
        <v>114.00013489686371</v>
      </c>
      <c r="C230">
        <f t="shared" si="7"/>
        <v>0.97731706294503196</v>
      </c>
    </row>
    <row r="231" spans="1:3" x14ac:dyDescent="0.25">
      <c r="A231">
        <v>2456923.6033100002</v>
      </c>
      <c r="B231">
        <f t="shared" si="6"/>
        <v>114.51047379545699</v>
      </c>
      <c r="C231">
        <f t="shared" si="7"/>
        <v>-0.50601994068543843</v>
      </c>
    </row>
    <row r="232" spans="1:3" x14ac:dyDescent="0.25">
      <c r="A232">
        <v>2457102.4477900001</v>
      </c>
      <c r="B232">
        <f t="shared" si="6"/>
        <v>115.0001340207322</v>
      </c>
      <c r="C232">
        <f t="shared" si="7"/>
        <v>0.36801821267760576</v>
      </c>
    </row>
    <row r="233" spans="1:3" x14ac:dyDescent="0.25">
      <c r="A233">
        <v>2457288.8473800002</v>
      </c>
      <c r="B233">
        <f t="shared" si="6"/>
        <v>115.5104794629323</v>
      </c>
      <c r="C233">
        <f t="shared" si="7"/>
        <v>-0.9981514165059151</v>
      </c>
    </row>
    <row r="234" spans="1:3" x14ac:dyDescent="0.25">
      <c r="A234">
        <v>2457467.6874000002</v>
      </c>
      <c r="B234">
        <f t="shared" si="6"/>
        <v>116.00012747712563</v>
      </c>
      <c r="C234">
        <f t="shared" si="7"/>
        <v>-0.56843417931558848</v>
      </c>
    </row>
    <row r="235" spans="1:3" x14ac:dyDescent="0.25">
      <c r="B235">
        <f t="shared" si="6"/>
        <v>-6612.3270840702871</v>
      </c>
      <c r="C235">
        <f t="shared" si="7"/>
        <v>-0.58950612741689501</v>
      </c>
    </row>
    <row r="236" spans="1:3" x14ac:dyDescent="0.25">
      <c r="B236">
        <f t="shared" si="6"/>
        <v>-6612.3270840702871</v>
      </c>
      <c r="C236">
        <f t="shared" si="7"/>
        <v>-0.58950612741689501</v>
      </c>
    </row>
    <row r="237" spans="1:3" x14ac:dyDescent="0.25">
      <c r="B237">
        <f t="shared" si="6"/>
        <v>-6612.3270840702871</v>
      </c>
      <c r="C237">
        <f t="shared" si="7"/>
        <v>-0.58950612741689501</v>
      </c>
    </row>
    <row r="238" spans="1:3" x14ac:dyDescent="0.25">
      <c r="B238">
        <f t="shared" si="6"/>
        <v>-6612.3270840702871</v>
      </c>
      <c r="C238">
        <f t="shared" si="7"/>
        <v>-0.58950612741689501</v>
      </c>
    </row>
    <row r="239" spans="1:3" x14ac:dyDescent="0.25">
      <c r="B239">
        <f t="shared" si="6"/>
        <v>-6612.3270840702871</v>
      </c>
      <c r="C239">
        <f t="shared" si="7"/>
        <v>-0.58950612741689501</v>
      </c>
    </row>
    <row r="240" spans="1:3" x14ac:dyDescent="0.25">
      <c r="B240">
        <f t="shared" si="6"/>
        <v>-6612.3270840702871</v>
      </c>
      <c r="C240">
        <f t="shared" si="7"/>
        <v>-0.58950612741689501</v>
      </c>
    </row>
    <row r="241" spans="2:3" x14ac:dyDescent="0.25">
      <c r="B241">
        <f t="shared" si="6"/>
        <v>-6612.3270840702871</v>
      </c>
      <c r="C241">
        <f t="shared" si="7"/>
        <v>-0.58950612741689501</v>
      </c>
    </row>
    <row r="242" spans="2:3" x14ac:dyDescent="0.25">
      <c r="B242">
        <f t="shared" si="6"/>
        <v>-6612.3270840702871</v>
      </c>
      <c r="C242">
        <f t="shared" si="7"/>
        <v>-0.58950612741689501</v>
      </c>
    </row>
    <row r="243" spans="2:3" x14ac:dyDescent="0.25">
      <c r="B243">
        <f t="shared" si="6"/>
        <v>-6612.3270840702871</v>
      </c>
      <c r="C243">
        <f t="shared" si="7"/>
        <v>-0.58950612741689501</v>
      </c>
    </row>
    <row r="244" spans="2:3" x14ac:dyDescent="0.25">
      <c r="B244">
        <f t="shared" si="6"/>
        <v>-6612.3270840702871</v>
      </c>
      <c r="C244">
        <f t="shared" si="7"/>
        <v>-0.58950612741689501</v>
      </c>
    </row>
    <row r="245" spans="2:3" x14ac:dyDescent="0.25">
      <c r="B245">
        <f t="shared" si="6"/>
        <v>-6612.3270840702871</v>
      </c>
      <c r="C245">
        <f t="shared" si="7"/>
        <v>-0.58950612741689501</v>
      </c>
    </row>
    <row r="246" spans="2:3" x14ac:dyDescent="0.25">
      <c r="B246">
        <f t="shared" si="6"/>
        <v>-6612.3270840702871</v>
      </c>
      <c r="C246">
        <f t="shared" si="7"/>
        <v>-0.58950612741689501</v>
      </c>
    </row>
    <row r="247" spans="2:3" x14ac:dyDescent="0.25">
      <c r="B247">
        <f t="shared" si="6"/>
        <v>-6612.3270840702871</v>
      </c>
      <c r="C247">
        <f t="shared" si="7"/>
        <v>-0.58950612741689501</v>
      </c>
    </row>
    <row r="248" spans="2:3" x14ac:dyDescent="0.25">
      <c r="B248">
        <f t="shared" si="6"/>
        <v>-6612.3270840702871</v>
      </c>
      <c r="C248">
        <f t="shared" si="7"/>
        <v>-0.58950612741689501</v>
      </c>
    </row>
    <row r="249" spans="2:3" x14ac:dyDescent="0.25">
      <c r="B249">
        <f t="shared" si="6"/>
        <v>-6612.3270840702871</v>
      </c>
      <c r="C249">
        <f t="shared" si="7"/>
        <v>-0.58950612741689501</v>
      </c>
    </row>
    <row r="250" spans="2:3" x14ac:dyDescent="0.25">
      <c r="B250">
        <f t="shared" si="6"/>
        <v>-6612.3270840702871</v>
      </c>
      <c r="C250">
        <f t="shared" si="7"/>
        <v>-0.58950612741689501</v>
      </c>
    </row>
    <row r="251" spans="2:3" x14ac:dyDescent="0.25">
      <c r="B251">
        <f t="shared" si="6"/>
        <v>-6612.3270840702871</v>
      </c>
      <c r="C251">
        <f t="shared" si="7"/>
        <v>-0.58950612741689501</v>
      </c>
    </row>
    <row r="252" spans="2:3" x14ac:dyDescent="0.25">
      <c r="B252">
        <f t="shared" si="6"/>
        <v>-6612.3270840702871</v>
      </c>
      <c r="C252">
        <f t="shared" si="7"/>
        <v>-0.58950612741689501</v>
      </c>
    </row>
    <row r="253" spans="2:3" x14ac:dyDescent="0.25">
      <c r="B253">
        <f t="shared" si="6"/>
        <v>-6612.3270840702871</v>
      </c>
      <c r="C253">
        <f t="shared" si="7"/>
        <v>-0.58950612741689501</v>
      </c>
    </row>
    <row r="254" spans="2:3" x14ac:dyDescent="0.25">
      <c r="B254">
        <f t="shared" si="6"/>
        <v>-6612.3270840702871</v>
      </c>
      <c r="C254">
        <f t="shared" si="7"/>
        <v>-0.58950612741689501</v>
      </c>
    </row>
    <row r="255" spans="2:3" x14ac:dyDescent="0.25">
      <c r="B255">
        <f t="shared" si="6"/>
        <v>-6612.3270840702871</v>
      </c>
      <c r="C255">
        <f t="shared" si="7"/>
        <v>-0.58950612741689501</v>
      </c>
    </row>
    <row r="256" spans="2:3" x14ac:dyDescent="0.25">
      <c r="B256">
        <f t="shared" si="6"/>
        <v>-6612.3270840702871</v>
      </c>
      <c r="C256">
        <f t="shared" si="7"/>
        <v>-0.58950612741689501</v>
      </c>
    </row>
    <row r="257" spans="2:3" x14ac:dyDescent="0.25">
      <c r="B257">
        <f t="shared" si="6"/>
        <v>-6612.3270840702871</v>
      </c>
      <c r="C257">
        <f t="shared" si="7"/>
        <v>-0.58950612741689501</v>
      </c>
    </row>
    <row r="258" spans="2:3" x14ac:dyDescent="0.25">
      <c r="B258">
        <f t="shared" si="6"/>
        <v>-6612.3270840702871</v>
      </c>
      <c r="C258">
        <f t="shared" si="7"/>
        <v>-0.58950612741689501</v>
      </c>
    </row>
    <row r="259" spans="2:3" x14ac:dyDescent="0.25">
      <c r="B259">
        <f t="shared" ref="B259:B274" si="8">+(A259-$A$1)/$B$1</f>
        <v>-6612.3270840702871</v>
      </c>
      <c r="C259">
        <f t="shared" ref="C259:C274" si="9">+SIN(2*PI()/($C$1/365.242)*$B259+$D$1)</f>
        <v>-0.58950612741689501</v>
      </c>
    </row>
    <row r="260" spans="2:3" x14ac:dyDescent="0.25">
      <c r="B260">
        <f t="shared" si="8"/>
        <v>-6612.3270840702871</v>
      </c>
      <c r="C260">
        <f t="shared" si="9"/>
        <v>-0.58950612741689501</v>
      </c>
    </row>
    <row r="261" spans="2:3" x14ac:dyDescent="0.25">
      <c r="B261">
        <f t="shared" si="8"/>
        <v>-6612.3270840702871</v>
      </c>
      <c r="C261">
        <f t="shared" si="9"/>
        <v>-0.58950612741689501</v>
      </c>
    </row>
    <row r="262" spans="2:3" x14ac:dyDescent="0.25">
      <c r="B262">
        <f t="shared" si="8"/>
        <v>-6612.3270840702871</v>
      </c>
      <c r="C262">
        <f t="shared" si="9"/>
        <v>-0.58950612741689501</v>
      </c>
    </row>
    <row r="263" spans="2:3" x14ac:dyDescent="0.25">
      <c r="B263">
        <f t="shared" si="8"/>
        <v>-6612.3270840702871</v>
      </c>
      <c r="C263">
        <f t="shared" si="9"/>
        <v>-0.58950612741689501</v>
      </c>
    </row>
    <row r="264" spans="2:3" x14ac:dyDescent="0.25">
      <c r="B264">
        <f t="shared" si="8"/>
        <v>-6612.3270840702871</v>
      </c>
      <c r="C264">
        <f t="shared" si="9"/>
        <v>-0.58950612741689501</v>
      </c>
    </row>
    <row r="265" spans="2:3" x14ac:dyDescent="0.25">
      <c r="B265">
        <f t="shared" si="8"/>
        <v>-6612.3270840702871</v>
      </c>
      <c r="C265">
        <f t="shared" si="9"/>
        <v>-0.58950612741689501</v>
      </c>
    </row>
    <row r="266" spans="2:3" x14ac:dyDescent="0.25">
      <c r="B266">
        <f t="shared" si="8"/>
        <v>-6612.3270840702871</v>
      </c>
      <c r="C266">
        <f t="shared" si="9"/>
        <v>-0.58950612741689501</v>
      </c>
    </row>
    <row r="267" spans="2:3" x14ac:dyDescent="0.25">
      <c r="B267">
        <f t="shared" si="8"/>
        <v>-6612.3270840702871</v>
      </c>
      <c r="C267">
        <f t="shared" si="9"/>
        <v>-0.58950612741689501</v>
      </c>
    </row>
    <row r="268" spans="2:3" x14ac:dyDescent="0.25">
      <c r="B268">
        <f t="shared" si="8"/>
        <v>-6612.3270840702871</v>
      </c>
      <c r="C268">
        <f t="shared" si="9"/>
        <v>-0.58950612741689501</v>
      </c>
    </row>
    <row r="269" spans="2:3" x14ac:dyDescent="0.25">
      <c r="B269">
        <f t="shared" si="8"/>
        <v>-6612.3270840702871</v>
      </c>
      <c r="C269">
        <f t="shared" si="9"/>
        <v>-0.58950612741689501</v>
      </c>
    </row>
    <row r="270" spans="2:3" x14ac:dyDescent="0.25">
      <c r="B270">
        <f t="shared" si="8"/>
        <v>-6612.3270840702871</v>
      </c>
      <c r="C270">
        <f t="shared" si="9"/>
        <v>-0.58950612741689501</v>
      </c>
    </row>
    <row r="271" spans="2:3" x14ac:dyDescent="0.25">
      <c r="B271">
        <f t="shared" si="8"/>
        <v>-6612.3270840702871</v>
      </c>
      <c r="C271">
        <f t="shared" si="9"/>
        <v>-0.58950612741689501</v>
      </c>
    </row>
    <row r="272" spans="2:3" x14ac:dyDescent="0.25">
      <c r="B272">
        <f t="shared" si="8"/>
        <v>-6612.3270840702871</v>
      </c>
      <c r="C272">
        <f t="shared" si="9"/>
        <v>-0.58950612741689501</v>
      </c>
    </row>
    <row r="273" spans="2:3" x14ac:dyDescent="0.25">
      <c r="B273">
        <f t="shared" si="8"/>
        <v>-6612.3270840702871</v>
      </c>
      <c r="C273">
        <f t="shared" si="9"/>
        <v>-0.58950612741689501</v>
      </c>
    </row>
    <row r="274" spans="2:3" x14ac:dyDescent="0.25">
      <c r="B274">
        <f t="shared" si="8"/>
        <v>-6612.3270840702871</v>
      </c>
      <c r="C274">
        <f t="shared" si="9"/>
        <v>-0.58950612741689501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topLeftCell="A16" workbookViewId="0">
      <selection activeCell="C151" sqref="C151"/>
    </sheetView>
  </sheetViews>
  <sheetFormatPr defaultRowHeight="15" x14ac:dyDescent="0.25"/>
  <sheetData>
    <row r="1" spans="1:13" x14ac:dyDescent="0.25">
      <c r="H1">
        <v>13.65471845681782</v>
      </c>
      <c r="I1">
        <v>1</v>
      </c>
      <c r="J1">
        <v>0</v>
      </c>
      <c r="K1">
        <v>13.459137630390881</v>
      </c>
      <c r="L1">
        <v>1.5737406561165832</v>
      </c>
      <c r="M1">
        <v>48.440600480135544</v>
      </c>
    </row>
    <row r="2" spans="1:13" x14ac:dyDescent="0.25">
      <c r="A2" t="s">
        <v>18</v>
      </c>
      <c r="B2" t="s">
        <v>23</v>
      </c>
      <c r="C2" t="s">
        <v>20</v>
      </c>
      <c r="F2" t="s">
        <v>21</v>
      </c>
      <c r="G2" t="s">
        <v>22</v>
      </c>
      <c r="H2" t="s">
        <v>24</v>
      </c>
    </row>
    <row r="3" spans="1:13" x14ac:dyDescent="0.25">
      <c r="A3">
        <v>1900</v>
      </c>
      <c r="B3">
        <v>6</v>
      </c>
      <c r="C3">
        <v>21</v>
      </c>
      <c r="D3">
        <f>+E3/365.242+0.5</f>
        <v>0.5</v>
      </c>
      <c r="E3">
        <f>+F3-$F$3</f>
        <v>0</v>
      </c>
      <c r="F3">
        <v>2415192.4026700002</v>
      </c>
      <c r="G3">
        <v>12.247199999999999</v>
      </c>
      <c r="H3">
        <f>+$J$1*SIN(2*PI()/($H$1/365.242)*$E3)+$M$1*COS(2*PI()/($H$1/365.242)*$E3)</f>
        <v>48.440600480135544</v>
      </c>
      <c r="I3">
        <f>+CORREL(G3:G236,H3:H236)</f>
        <v>0.44105419876922364</v>
      </c>
    </row>
    <row r="4" spans="1:13" x14ac:dyDescent="0.25">
      <c r="A4">
        <v>1900</v>
      </c>
      <c r="B4">
        <v>12</v>
      </c>
      <c r="C4">
        <v>22</v>
      </c>
      <c r="D4">
        <f t="shared" ref="D4:D67" si="0">+E4/365.242+0.5</f>
        <v>1.0020678070970459</v>
      </c>
      <c r="E4">
        <f t="shared" ref="E4:E67" si="1">+F4-$F$3</f>
        <v>183.37624999973923</v>
      </c>
      <c r="F4">
        <v>2415375.77892</v>
      </c>
      <c r="G4">
        <v>-21.400300000000001</v>
      </c>
      <c r="H4">
        <f t="shared" ref="H4:H67" si="2">+$J$1*SIN(2*PI()/($H$1/365.242)*$E4)+$M$1*COS(2*PI()/($H$1/365.242)*$E4)</f>
        <v>47.934976844432313</v>
      </c>
    </row>
    <row r="5" spans="1:13" x14ac:dyDescent="0.25">
      <c r="A5">
        <v>1901</v>
      </c>
      <c r="B5">
        <v>6</v>
      </c>
      <c r="C5">
        <v>22</v>
      </c>
      <c r="D5">
        <f t="shared" si="0"/>
        <v>1.4999991512465374</v>
      </c>
      <c r="E5">
        <f t="shared" si="1"/>
        <v>365.24168999958783</v>
      </c>
      <c r="F5">
        <v>2415557.6443599998</v>
      </c>
      <c r="G5">
        <v>2.3694000000000002</v>
      </c>
      <c r="H5">
        <f t="shared" si="2"/>
        <v>-32.201403119690369</v>
      </c>
    </row>
    <row r="6" spans="1:13" x14ac:dyDescent="0.25">
      <c r="A6">
        <v>1901</v>
      </c>
      <c r="B6">
        <v>12</v>
      </c>
      <c r="C6">
        <v>22</v>
      </c>
      <c r="D6">
        <f t="shared" si="0"/>
        <v>2.0020803193490853</v>
      </c>
      <c r="E6">
        <f t="shared" si="1"/>
        <v>548.62281999969855</v>
      </c>
      <c r="F6">
        <v>2415741.0254899999</v>
      </c>
      <c r="G6">
        <v>16.001200000000001</v>
      </c>
      <c r="H6">
        <f t="shared" si="2"/>
        <v>11.401327099196772</v>
      </c>
    </row>
    <row r="7" spans="1:13" x14ac:dyDescent="0.25">
      <c r="A7">
        <v>1902</v>
      </c>
      <c r="B7">
        <v>6</v>
      </c>
      <c r="C7">
        <v>22</v>
      </c>
      <c r="D7">
        <f t="shared" si="0"/>
        <v>2.4999970430560117</v>
      </c>
      <c r="E7">
        <f t="shared" si="1"/>
        <v>730.48291999986395</v>
      </c>
      <c r="F7">
        <v>2415922.8855900001</v>
      </c>
      <c r="G7">
        <v>-18.425000000000001</v>
      </c>
      <c r="H7">
        <f t="shared" si="2"/>
        <v>-1.895470829258262</v>
      </c>
    </row>
    <row r="8" spans="1:13" x14ac:dyDescent="0.25">
      <c r="A8">
        <v>1902</v>
      </c>
      <c r="B8">
        <v>12</v>
      </c>
      <c r="C8">
        <v>22</v>
      </c>
      <c r="D8">
        <f t="shared" si="0"/>
        <v>3.0021002239603547</v>
      </c>
      <c r="E8">
        <f t="shared" si="1"/>
        <v>913.8720899997279</v>
      </c>
      <c r="F8">
        <v>2416106.2747599999</v>
      </c>
      <c r="G8">
        <v>-6.0256999999999996</v>
      </c>
      <c r="H8">
        <f t="shared" si="2"/>
        <v>-34.288307555821206</v>
      </c>
    </row>
    <row r="9" spans="1:13" x14ac:dyDescent="0.25">
      <c r="A9">
        <v>1903</v>
      </c>
      <c r="B9">
        <v>6</v>
      </c>
      <c r="C9">
        <v>22</v>
      </c>
      <c r="D9">
        <f t="shared" si="0"/>
        <v>3.499999589312238</v>
      </c>
      <c r="E9">
        <f t="shared" si="1"/>
        <v>1095.7258499995805</v>
      </c>
      <c r="F9">
        <v>2416288.1285199998</v>
      </c>
      <c r="G9">
        <v>14.7477</v>
      </c>
      <c r="H9">
        <f t="shared" si="2"/>
        <v>42.974780912413678</v>
      </c>
    </row>
    <row r="10" spans="1:13" x14ac:dyDescent="0.25">
      <c r="A10">
        <v>1903</v>
      </c>
      <c r="B10">
        <v>12</v>
      </c>
      <c r="C10">
        <v>23</v>
      </c>
      <c r="D10">
        <f t="shared" si="0"/>
        <v>4.0020934339412122</v>
      </c>
      <c r="E10">
        <f t="shared" si="1"/>
        <v>1279.1116099995561</v>
      </c>
      <c r="F10">
        <v>2416471.5142799998</v>
      </c>
      <c r="G10">
        <v>-13.226000000000001</v>
      </c>
      <c r="H10">
        <f t="shared" si="2"/>
        <v>14.662651904687875</v>
      </c>
    </row>
    <row r="11" spans="1:13" x14ac:dyDescent="0.25">
      <c r="A11">
        <v>1904</v>
      </c>
      <c r="B11">
        <v>6</v>
      </c>
      <c r="C11">
        <v>21</v>
      </c>
      <c r="D11">
        <f t="shared" si="0"/>
        <v>4.4999957014789196</v>
      </c>
      <c r="E11">
        <f t="shared" si="1"/>
        <v>1460.9664299995638</v>
      </c>
      <c r="F11">
        <v>2416653.3690999998</v>
      </c>
      <c r="G11">
        <v>-5.2324000000000002</v>
      </c>
      <c r="H11">
        <f t="shared" si="2"/>
        <v>-47.680041036987959</v>
      </c>
    </row>
    <row r="12" spans="1:13" x14ac:dyDescent="0.25">
      <c r="A12">
        <v>1904</v>
      </c>
      <c r="B12">
        <v>12</v>
      </c>
      <c r="C12">
        <v>22</v>
      </c>
      <c r="D12">
        <f t="shared" si="0"/>
        <v>5.0021030440087006</v>
      </c>
      <c r="E12">
        <f t="shared" si="1"/>
        <v>1644.357119999826</v>
      </c>
      <c r="F12">
        <v>2416836.75979</v>
      </c>
      <c r="G12">
        <v>17.627500000000001</v>
      </c>
      <c r="H12">
        <f t="shared" si="2"/>
        <v>44.753605205170075</v>
      </c>
    </row>
    <row r="13" spans="1:13" x14ac:dyDescent="0.25">
      <c r="A13">
        <v>1905</v>
      </c>
      <c r="B13">
        <v>6</v>
      </c>
      <c r="C13">
        <v>22</v>
      </c>
      <c r="D13">
        <f t="shared" si="0"/>
        <v>5.5000176869029085</v>
      </c>
      <c r="E13">
        <f t="shared" si="1"/>
        <v>1826.2164599997923</v>
      </c>
      <c r="F13">
        <v>2417018.61913</v>
      </c>
      <c r="G13">
        <v>-12.120100000000001</v>
      </c>
      <c r="H13">
        <f t="shared" si="2"/>
        <v>-36.454066189987515</v>
      </c>
    </row>
    <row r="14" spans="1:13" x14ac:dyDescent="0.25">
      <c r="A14">
        <v>1905</v>
      </c>
      <c r="B14">
        <v>12</v>
      </c>
      <c r="C14">
        <v>22</v>
      </c>
      <c r="D14">
        <f t="shared" si="0"/>
        <v>6.0021055081282535</v>
      </c>
      <c r="E14">
        <f t="shared" si="1"/>
        <v>2009.6000199997798</v>
      </c>
      <c r="F14">
        <v>2417202.00269</v>
      </c>
      <c r="G14">
        <v>-10.810600000000001</v>
      </c>
      <c r="H14">
        <f t="shared" si="2"/>
        <v>-38.436350306697783</v>
      </c>
    </row>
    <row r="15" spans="1:13" x14ac:dyDescent="0.25">
      <c r="A15">
        <v>1906</v>
      </c>
      <c r="B15">
        <v>6</v>
      </c>
      <c r="C15">
        <v>22</v>
      </c>
      <c r="D15">
        <f t="shared" si="0"/>
        <v>6.5000214104620744</v>
      </c>
      <c r="E15">
        <f t="shared" si="1"/>
        <v>2191.4598199999891</v>
      </c>
      <c r="F15">
        <v>2417383.8624900002</v>
      </c>
      <c r="G15">
        <v>19.711300000000001</v>
      </c>
      <c r="H15">
        <f t="shared" si="2"/>
        <v>44.513768395061796</v>
      </c>
    </row>
    <row r="16" spans="1:13" x14ac:dyDescent="0.25">
      <c r="A16">
        <v>1906</v>
      </c>
      <c r="B16">
        <v>12</v>
      </c>
      <c r="C16">
        <v>22</v>
      </c>
      <c r="D16">
        <f t="shared" si="0"/>
        <v>7.0021076436985643</v>
      </c>
      <c r="E16">
        <f t="shared" si="1"/>
        <v>2374.8427999997512</v>
      </c>
      <c r="F16">
        <v>2417567.24547</v>
      </c>
      <c r="G16">
        <v>-4.2742000000000004</v>
      </c>
      <c r="H16">
        <f t="shared" si="2"/>
        <v>-5.3330512982297167</v>
      </c>
    </row>
    <row r="17" spans="1:14" x14ac:dyDescent="0.25">
      <c r="A17">
        <v>1907</v>
      </c>
      <c r="B17">
        <v>6</v>
      </c>
      <c r="C17">
        <v>22</v>
      </c>
      <c r="D17">
        <f t="shared" si="0"/>
        <v>7.5000076387708914</v>
      </c>
      <c r="E17">
        <f t="shared" si="1"/>
        <v>2556.6967899999581</v>
      </c>
      <c r="F17">
        <v>2417749.0994600002</v>
      </c>
      <c r="G17">
        <v>-12.084</v>
      </c>
      <c r="H17">
        <f t="shared" si="2"/>
        <v>-43.4956939507626</v>
      </c>
    </row>
    <row r="18" spans="1:14" x14ac:dyDescent="0.25">
      <c r="A18">
        <v>1907</v>
      </c>
      <c r="B18">
        <v>12</v>
      </c>
      <c r="C18">
        <v>22</v>
      </c>
      <c r="D18">
        <f t="shared" si="0"/>
        <v>8.0021262888714961</v>
      </c>
      <c r="E18">
        <f t="shared" si="1"/>
        <v>2740.0916100000031</v>
      </c>
      <c r="F18">
        <v>2417932.4942800002</v>
      </c>
      <c r="G18">
        <v>20.345300000000002</v>
      </c>
      <c r="H18">
        <f t="shared" si="2"/>
        <v>40.524873958548319</v>
      </c>
    </row>
    <row r="19" spans="1:14" x14ac:dyDescent="0.25">
      <c r="A19">
        <v>1908</v>
      </c>
      <c r="B19">
        <v>6</v>
      </c>
      <c r="C19">
        <v>21</v>
      </c>
      <c r="D19">
        <f t="shared" si="0"/>
        <v>8.5000220401804381</v>
      </c>
      <c r="E19">
        <f t="shared" si="1"/>
        <v>2921.9440499995835</v>
      </c>
      <c r="F19">
        <v>2418114.3467199998</v>
      </c>
      <c r="G19">
        <v>-2.3797000000000001</v>
      </c>
      <c r="H19">
        <f t="shared" si="2"/>
        <v>-29.880404095472009</v>
      </c>
    </row>
    <row r="20" spans="1:14" x14ac:dyDescent="0.25">
      <c r="A20">
        <v>1908</v>
      </c>
      <c r="B20">
        <v>12</v>
      </c>
      <c r="C20">
        <v>22</v>
      </c>
      <c r="D20">
        <f t="shared" si="0"/>
        <v>9.002113749239335</v>
      </c>
      <c r="E20">
        <f t="shared" si="1"/>
        <v>3105.3290299996734</v>
      </c>
      <c r="F20">
        <v>2418297.7316999999</v>
      </c>
      <c r="G20">
        <v>-22.1234</v>
      </c>
      <c r="H20">
        <f t="shared" si="2"/>
        <v>-36.869243389198473</v>
      </c>
    </row>
    <row r="21" spans="1:14" x14ac:dyDescent="0.25">
      <c r="A21">
        <v>1909</v>
      </c>
      <c r="B21">
        <v>6</v>
      </c>
      <c r="C21">
        <v>22</v>
      </c>
      <c r="D21">
        <f t="shared" si="0"/>
        <v>9.5000183166217411</v>
      </c>
      <c r="E21">
        <f t="shared" si="1"/>
        <v>3287.184689999558</v>
      </c>
      <c r="F21">
        <v>2418479.5873599998</v>
      </c>
      <c r="G21">
        <v>18.688400000000001</v>
      </c>
      <c r="H21">
        <f t="shared" si="2"/>
        <v>47.064692351897776</v>
      </c>
    </row>
    <row r="22" spans="1:14" x14ac:dyDescent="0.25">
      <c r="A22">
        <v>1909</v>
      </c>
      <c r="B22">
        <v>12</v>
      </c>
      <c r="C22">
        <v>22</v>
      </c>
      <c r="D22">
        <f t="shared" si="0"/>
        <v>10.00210980664866</v>
      </c>
      <c r="E22">
        <f t="shared" si="1"/>
        <v>3470.56958999997</v>
      </c>
      <c r="F22">
        <v>2418662.9722600002</v>
      </c>
      <c r="G22">
        <v>8.2881</v>
      </c>
      <c r="H22">
        <f t="shared" si="2"/>
        <v>10.161064588854128</v>
      </c>
    </row>
    <row r="23" spans="1:14" x14ac:dyDescent="0.25">
      <c r="A23">
        <v>1910</v>
      </c>
      <c r="B23">
        <v>6</v>
      </c>
      <c r="C23">
        <v>22</v>
      </c>
      <c r="D23">
        <f t="shared" si="0"/>
        <v>10.500008213732132</v>
      </c>
      <c r="E23">
        <f t="shared" si="1"/>
        <v>3652.4229999999516</v>
      </c>
      <c r="F23">
        <v>2418844.8256700002</v>
      </c>
      <c r="G23">
        <v>-26.051600000000001</v>
      </c>
      <c r="H23">
        <f t="shared" si="2"/>
        <v>-48.408069957994798</v>
      </c>
    </row>
    <row r="24" spans="1:14" x14ac:dyDescent="0.25">
      <c r="A24">
        <v>1910</v>
      </c>
      <c r="B24">
        <v>12</v>
      </c>
      <c r="C24">
        <v>22</v>
      </c>
      <c r="D24">
        <f t="shared" si="0"/>
        <v>11.00211640501306</v>
      </c>
      <c r="E24">
        <f t="shared" si="1"/>
        <v>3835.8139999997802</v>
      </c>
      <c r="F24">
        <v>2419028.21667</v>
      </c>
      <c r="G24">
        <v>6.5316000000000001</v>
      </c>
      <c r="H24">
        <f t="shared" si="2"/>
        <v>42.935906356361556</v>
      </c>
      <c r="K24">
        <v>36</v>
      </c>
      <c r="L24">
        <f>440000-415000</f>
        <v>25000</v>
      </c>
      <c r="M24">
        <f>+L24/K24</f>
        <v>694.44444444444446</v>
      </c>
      <c r="N24">
        <f>+M24/365.242</f>
        <v>1.9013269132368249</v>
      </c>
    </row>
    <row r="25" spans="1:14" x14ac:dyDescent="0.25">
      <c r="A25">
        <v>1911</v>
      </c>
      <c r="B25">
        <v>6</v>
      </c>
      <c r="C25">
        <v>22</v>
      </c>
      <c r="D25">
        <f t="shared" si="0"/>
        <v>11.500005119892604</v>
      </c>
      <c r="E25">
        <f t="shared" si="1"/>
        <v>4017.6638699998148</v>
      </c>
      <c r="F25">
        <v>2419210.06654</v>
      </c>
      <c r="G25">
        <v>11.856400000000001</v>
      </c>
      <c r="H25">
        <f t="shared" si="2"/>
        <v>35.691398753596033</v>
      </c>
      <c r="K25">
        <v>26</v>
      </c>
      <c r="L25">
        <v>15000</v>
      </c>
      <c r="M25">
        <f>+L25/K25</f>
        <v>576.92307692307691</v>
      </c>
      <c r="N25">
        <f>+M25/365.242</f>
        <v>1.579563897150593</v>
      </c>
    </row>
    <row r="26" spans="1:14" x14ac:dyDescent="0.25">
      <c r="A26">
        <v>1911</v>
      </c>
      <c r="B26">
        <v>12</v>
      </c>
      <c r="C26">
        <v>22</v>
      </c>
      <c r="D26">
        <f t="shared" si="0"/>
        <v>12.00210307138711</v>
      </c>
      <c r="E26">
        <f t="shared" si="1"/>
        <v>4201.0511299995705</v>
      </c>
      <c r="F26">
        <v>2419393.4537999998</v>
      </c>
      <c r="G26">
        <v>-26.4876</v>
      </c>
      <c r="H26">
        <f t="shared" si="2"/>
        <v>-44.538589766975562</v>
      </c>
    </row>
    <row r="27" spans="1:14" x14ac:dyDescent="0.25">
      <c r="A27">
        <v>1912</v>
      </c>
      <c r="B27">
        <v>6</v>
      </c>
      <c r="C27">
        <v>21</v>
      </c>
      <c r="D27">
        <f t="shared" si="0"/>
        <v>12.499991594613991</v>
      </c>
      <c r="E27">
        <f t="shared" si="1"/>
        <v>4382.9009300000034</v>
      </c>
      <c r="F27">
        <v>2419575.3036000002</v>
      </c>
      <c r="G27">
        <v>1.1146</v>
      </c>
      <c r="H27">
        <f t="shared" si="2"/>
        <v>-33.471878446433792</v>
      </c>
    </row>
    <row r="28" spans="1:14" x14ac:dyDescent="0.25">
      <c r="A28">
        <v>1912</v>
      </c>
      <c r="B28">
        <v>12</v>
      </c>
      <c r="C28">
        <v>22</v>
      </c>
      <c r="D28">
        <f t="shared" si="0"/>
        <v>13.002108875758994</v>
      </c>
      <c r="E28">
        <f t="shared" si="1"/>
        <v>4566.2952499999665</v>
      </c>
      <c r="F28">
        <v>2419758.6979200002</v>
      </c>
      <c r="G28">
        <v>24.0867</v>
      </c>
      <c r="H28">
        <f t="shared" si="2"/>
        <v>32.04639191429186</v>
      </c>
    </row>
    <row r="29" spans="1:14" x14ac:dyDescent="0.25">
      <c r="A29">
        <v>1913</v>
      </c>
      <c r="B29">
        <v>6</v>
      </c>
      <c r="C29">
        <v>22</v>
      </c>
      <c r="D29">
        <f t="shared" si="0"/>
        <v>13.499999452416729</v>
      </c>
      <c r="E29">
        <f t="shared" si="1"/>
        <v>4748.145799999591</v>
      </c>
      <c r="F29">
        <v>2419940.5484699998</v>
      </c>
      <c r="G29">
        <v>-22.6676</v>
      </c>
      <c r="H29">
        <f t="shared" si="2"/>
        <v>-27.956734840435786</v>
      </c>
    </row>
    <row r="30" spans="1:14" x14ac:dyDescent="0.25">
      <c r="A30">
        <v>1913</v>
      </c>
      <c r="B30">
        <v>12</v>
      </c>
      <c r="C30">
        <v>22</v>
      </c>
      <c r="D30">
        <f t="shared" si="0"/>
        <v>14.002112133872336</v>
      </c>
      <c r="E30">
        <f t="shared" si="1"/>
        <v>4931.5384399998002</v>
      </c>
      <c r="F30">
        <v>2420123.94111</v>
      </c>
      <c r="G30">
        <v>-12.424300000000001</v>
      </c>
      <c r="H30">
        <f t="shared" si="2"/>
        <v>17.644289096765611</v>
      </c>
    </row>
    <row r="31" spans="1:14" x14ac:dyDescent="0.25">
      <c r="A31">
        <v>1914</v>
      </c>
      <c r="B31">
        <v>6</v>
      </c>
      <c r="C31">
        <v>22</v>
      </c>
      <c r="D31">
        <f t="shared" si="0"/>
        <v>14.499993921837198</v>
      </c>
      <c r="E31">
        <f t="shared" si="1"/>
        <v>5113.3857799996622</v>
      </c>
      <c r="F31">
        <v>2420305.7884499999</v>
      </c>
      <c r="G31">
        <v>27.028700000000001</v>
      </c>
      <c r="H31">
        <f t="shared" si="2"/>
        <v>44.629009670069216</v>
      </c>
    </row>
    <row r="32" spans="1:14" x14ac:dyDescent="0.25">
      <c r="A32">
        <v>1914</v>
      </c>
      <c r="B32">
        <v>12</v>
      </c>
      <c r="C32">
        <v>22</v>
      </c>
      <c r="D32">
        <f t="shared" si="0"/>
        <v>15.002110381609095</v>
      </c>
      <c r="E32">
        <f t="shared" si="1"/>
        <v>5296.7797999996692</v>
      </c>
      <c r="F32">
        <v>2420489.1824699999</v>
      </c>
      <c r="G32">
        <v>-7.1166999999999998</v>
      </c>
      <c r="H32">
        <f t="shared" si="2"/>
        <v>-44.429515069759702</v>
      </c>
    </row>
    <row r="33" spans="1:8" x14ac:dyDescent="0.25">
      <c r="A33">
        <v>1915</v>
      </c>
      <c r="B33">
        <v>6</v>
      </c>
      <c r="C33">
        <v>22</v>
      </c>
      <c r="D33">
        <f t="shared" si="0"/>
        <v>15.499967062932399</v>
      </c>
      <c r="E33">
        <f t="shared" si="1"/>
        <v>5478.6179699995555</v>
      </c>
      <c r="F33">
        <v>2420671.0206399998</v>
      </c>
      <c r="G33">
        <v>-14.721399999999999</v>
      </c>
      <c r="H33">
        <f t="shared" si="2"/>
        <v>-19.683597270743455</v>
      </c>
    </row>
    <row r="34" spans="1:8" x14ac:dyDescent="0.25">
      <c r="A34">
        <v>1915</v>
      </c>
      <c r="B34">
        <v>12</v>
      </c>
      <c r="C34">
        <v>22</v>
      </c>
      <c r="D34">
        <f t="shared" si="0"/>
        <v>16.002119690505381</v>
      </c>
      <c r="E34">
        <f t="shared" si="1"/>
        <v>5662.0251999995671</v>
      </c>
      <c r="F34">
        <v>2420854.4278699998</v>
      </c>
      <c r="G34">
        <v>24.228899999999999</v>
      </c>
      <c r="H34">
        <f t="shared" si="2"/>
        <v>23.793868455589916</v>
      </c>
    </row>
    <row r="35" spans="1:8" x14ac:dyDescent="0.25">
      <c r="A35">
        <v>1916</v>
      </c>
      <c r="B35">
        <v>6</v>
      </c>
      <c r="C35">
        <v>21</v>
      </c>
      <c r="D35">
        <f t="shared" si="0"/>
        <v>16.499979575185712</v>
      </c>
      <c r="E35">
        <f t="shared" si="1"/>
        <v>5843.8645399999805</v>
      </c>
      <c r="F35">
        <v>2421036.2672100002</v>
      </c>
      <c r="G35">
        <v>-0.8931</v>
      </c>
      <c r="H35">
        <f t="shared" si="2"/>
        <v>42.242279741656681</v>
      </c>
    </row>
    <row r="36" spans="1:8" x14ac:dyDescent="0.25">
      <c r="A36">
        <v>1916</v>
      </c>
      <c r="B36">
        <v>12</v>
      </c>
      <c r="C36">
        <v>22</v>
      </c>
      <c r="D36">
        <f t="shared" si="0"/>
        <v>17.00210884837934</v>
      </c>
      <c r="E36">
        <f t="shared" si="1"/>
        <v>6027.2632399997674</v>
      </c>
      <c r="F36">
        <v>2421219.66591</v>
      </c>
      <c r="G36">
        <v>-23.674099999999999</v>
      </c>
      <c r="H36">
        <f t="shared" si="2"/>
        <v>-13.539372031837237</v>
      </c>
    </row>
    <row r="37" spans="1:8" x14ac:dyDescent="0.25">
      <c r="A37">
        <v>1917</v>
      </c>
      <c r="B37">
        <v>6</v>
      </c>
      <c r="C37">
        <v>22</v>
      </c>
      <c r="D37">
        <f t="shared" si="0"/>
        <v>17.499982313095877</v>
      </c>
      <c r="E37">
        <f t="shared" si="1"/>
        <v>6209.1075399997644</v>
      </c>
      <c r="F37">
        <v>2421401.51021</v>
      </c>
      <c r="G37">
        <v>18.226299999999998</v>
      </c>
      <c r="H37">
        <f t="shared" si="2"/>
        <v>0.21447370155610845</v>
      </c>
    </row>
    <row r="38" spans="1:8" x14ac:dyDescent="0.25">
      <c r="A38">
        <v>1917</v>
      </c>
      <c r="B38">
        <v>12</v>
      </c>
      <c r="C38">
        <v>22</v>
      </c>
      <c r="D38">
        <f t="shared" si="0"/>
        <v>18.002106329501625</v>
      </c>
      <c r="E38">
        <f t="shared" si="1"/>
        <v>6392.5043199998327</v>
      </c>
      <c r="F38">
        <v>2421584.90699</v>
      </c>
      <c r="G38">
        <v>9.8821999999999992</v>
      </c>
      <c r="H38">
        <f t="shared" si="2"/>
        <v>-21.410662614825284</v>
      </c>
    </row>
    <row r="39" spans="1:8" x14ac:dyDescent="0.25">
      <c r="A39">
        <v>1918</v>
      </c>
      <c r="B39">
        <v>6</v>
      </c>
      <c r="C39">
        <v>22</v>
      </c>
      <c r="D39">
        <f t="shared" si="0"/>
        <v>18.499976289692484</v>
      </c>
      <c r="E39">
        <f t="shared" si="1"/>
        <v>6574.347339999862</v>
      </c>
      <c r="F39">
        <v>2421766.7500100001</v>
      </c>
      <c r="G39">
        <v>-23.0442</v>
      </c>
      <c r="H39">
        <f t="shared" si="2"/>
        <v>-24.505364108936536</v>
      </c>
    </row>
    <row r="40" spans="1:8" x14ac:dyDescent="0.25">
      <c r="A40">
        <v>1918</v>
      </c>
      <c r="B40">
        <v>12</v>
      </c>
      <c r="C40">
        <v>22</v>
      </c>
      <c r="D40">
        <f t="shared" si="0"/>
        <v>19.002120320225256</v>
      </c>
      <c r="E40">
        <f t="shared" si="1"/>
        <v>6757.7514299997129</v>
      </c>
      <c r="F40">
        <v>2421950.1540999999</v>
      </c>
      <c r="G40">
        <v>5.6879</v>
      </c>
      <c r="H40">
        <f t="shared" si="2"/>
        <v>38.808669629352892</v>
      </c>
    </row>
    <row r="41" spans="1:8" x14ac:dyDescent="0.25">
      <c r="A41">
        <v>1919</v>
      </c>
      <c r="B41">
        <v>6</v>
      </c>
      <c r="C41">
        <v>22</v>
      </c>
      <c r="D41">
        <f t="shared" si="0"/>
        <v>19.499986693753762</v>
      </c>
      <c r="E41">
        <f t="shared" si="1"/>
        <v>6939.5931400000118</v>
      </c>
      <c r="F41">
        <v>2422131.9958100002</v>
      </c>
      <c r="G41">
        <v>9.3162000000000003</v>
      </c>
      <c r="H41">
        <f t="shared" si="2"/>
        <v>42.649611043270419</v>
      </c>
    </row>
    <row r="42" spans="1:8" x14ac:dyDescent="0.25">
      <c r="A42">
        <v>1919</v>
      </c>
      <c r="B42">
        <v>12</v>
      </c>
      <c r="C42">
        <v>22</v>
      </c>
      <c r="D42">
        <f t="shared" si="0"/>
        <v>20.002114817025042</v>
      </c>
      <c r="E42">
        <f t="shared" si="1"/>
        <v>7122.9914199998602</v>
      </c>
      <c r="F42">
        <v>2422315.3940900001</v>
      </c>
      <c r="G42">
        <v>-20.467199999999998</v>
      </c>
      <c r="H42">
        <f t="shared" si="2"/>
        <v>-17.57641173995053</v>
      </c>
    </row>
    <row r="43" spans="1:8" x14ac:dyDescent="0.25">
      <c r="A43">
        <v>1920</v>
      </c>
      <c r="B43">
        <v>6</v>
      </c>
      <c r="C43">
        <v>21</v>
      </c>
      <c r="D43">
        <f t="shared" si="0"/>
        <v>20.499982449991887</v>
      </c>
      <c r="E43">
        <f t="shared" si="1"/>
        <v>7304.8335899999365</v>
      </c>
      <c r="F43">
        <v>2422497.2362600002</v>
      </c>
      <c r="G43">
        <v>2.4885999999999999</v>
      </c>
      <c r="H43">
        <f t="shared" si="2"/>
        <v>-20.70250659692427</v>
      </c>
    </row>
    <row r="44" spans="1:8" x14ac:dyDescent="0.25">
      <c r="A44">
        <v>1920</v>
      </c>
      <c r="B44">
        <v>12</v>
      </c>
      <c r="C44">
        <v>22</v>
      </c>
      <c r="D44">
        <f t="shared" si="0"/>
        <v>21.002117527555889</v>
      </c>
      <c r="E44">
        <f t="shared" si="1"/>
        <v>7488.234409999568</v>
      </c>
      <c r="F44">
        <v>2422680.6370799998</v>
      </c>
      <c r="G44">
        <v>14.3506</v>
      </c>
      <c r="H44">
        <f t="shared" si="2"/>
        <v>-30.863711966118274</v>
      </c>
    </row>
    <row r="45" spans="1:8" x14ac:dyDescent="0.25">
      <c r="A45">
        <v>1921</v>
      </c>
      <c r="B45">
        <v>6</v>
      </c>
      <c r="C45">
        <v>21</v>
      </c>
      <c r="D45">
        <f t="shared" si="0"/>
        <v>21.499996468094832</v>
      </c>
      <c r="E45">
        <f t="shared" si="1"/>
        <v>7670.0807099998929</v>
      </c>
      <c r="F45">
        <v>2422862.4833800001</v>
      </c>
      <c r="G45">
        <v>-18.157599999999999</v>
      </c>
      <c r="H45">
        <f t="shared" si="2"/>
        <v>-46.859849458809052</v>
      </c>
    </row>
    <row r="46" spans="1:8" x14ac:dyDescent="0.25">
      <c r="A46">
        <v>1921</v>
      </c>
      <c r="B46">
        <v>12</v>
      </c>
      <c r="C46">
        <v>22</v>
      </c>
      <c r="D46">
        <f t="shared" si="0"/>
        <v>22.002121278494371</v>
      </c>
      <c r="E46">
        <f t="shared" si="1"/>
        <v>7853.477779999841</v>
      </c>
      <c r="F46">
        <v>2423045.8804500001</v>
      </c>
      <c r="G46">
        <v>-4.2138</v>
      </c>
      <c r="H46">
        <f t="shared" si="2"/>
        <v>46.982669806465992</v>
      </c>
    </row>
    <row r="47" spans="1:8" x14ac:dyDescent="0.25">
      <c r="A47">
        <v>1922</v>
      </c>
      <c r="B47">
        <v>6</v>
      </c>
      <c r="C47">
        <v>22</v>
      </c>
      <c r="D47">
        <f t="shared" si="0"/>
        <v>22.500001341575071</v>
      </c>
      <c r="E47">
        <f t="shared" si="1"/>
        <v>8035.3244899995625</v>
      </c>
      <c r="F47">
        <v>2423227.7271599998</v>
      </c>
      <c r="G47">
        <v>14.351000000000001</v>
      </c>
      <c r="H47">
        <f t="shared" si="2"/>
        <v>28.620195103141974</v>
      </c>
    </row>
    <row r="48" spans="1:8" x14ac:dyDescent="0.25">
      <c r="A48">
        <v>1922</v>
      </c>
      <c r="B48">
        <v>12</v>
      </c>
      <c r="C48">
        <v>22</v>
      </c>
      <c r="D48">
        <f t="shared" si="0"/>
        <v>23.002123222410741</v>
      </c>
      <c r="E48">
        <f t="shared" si="1"/>
        <v>8218.720489999745</v>
      </c>
      <c r="F48">
        <v>2423411.12316</v>
      </c>
      <c r="G48">
        <v>-12.9117</v>
      </c>
      <c r="H48">
        <f t="shared" si="2"/>
        <v>-14.767137519449671</v>
      </c>
    </row>
    <row r="49" spans="1:8" x14ac:dyDescent="0.25">
      <c r="A49">
        <v>1923</v>
      </c>
      <c r="B49">
        <v>6</v>
      </c>
      <c r="C49">
        <v>22</v>
      </c>
      <c r="D49">
        <f t="shared" si="0"/>
        <v>23.49997771340534</v>
      </c>
      <c r="E49">
        <f t="shared" si="1"/>
        <v>8400.5578599995933</v>
      </c>
      <c r="F49">
        <v>2423592.9605299998</v>
      </c>
      <c r="G49">
        <v>-1.9991000000000001</v>
      </c>
      <c r="H49">
        <f t="shared" si="2"/>
        <v>-44.912321364574495</v>
      </c>
    </row>
    <row r="50" spans="1:8" x14ac:dyDescent="0.25">
      <c r="A50">
        <v>1923</v>
      </c>
      <c r="B50">
        <v>12</v>
      </c>
      <c r="C50">
        <v>22</v>
      </c>
      <c r="D50">
        <f t="shared" si="0"/>
        <v>24.002138144024745</v>
      </c>
      <c r="E50">
        <f t="shared" si="1"/>
        <v>8583.9679399998859</v>
      </c>
      <c r="F50">
        <v>2423776.3706100001</v>
      </c>
      <c r="G50">
        <v>18.150600000000001</v>
      </c>
      <c r="H50">
        <f t="shared" si="2"/>
        <v>-48.325670511777481</v>
      </c>
    </row>
    <row r="51" spans="1:8" x14ac:dyDescent="0.25">
      <c r="A51">
        <v>1924</v>
      </c>
      <c r="B51">
        <v>6</v>
      </c>
      <c r="C51">
        <v>21</v>
      </c>
      <c r="D51">
        <f t="shared" si="0"/>
        <v>24.499993209981152</v>
      </c>
      <c r="E51">
        <f t="shared" si="1"/>
        <v>8765.8055199999362</v>
      </c>
      <c r="F51">
        <v>2423958.2081900002</v>
      </c>
      <c r="G51">
        <v>-12.207800000000001</v>
      </c>
      <c r="H51">
        <f t="shared" si="2"/>
        <v>-29.707586425041544</v>
      </c>
    </row>
    <row r="52" spans="1:8" x14ac:dyDescent="0.25">
      <c r="A52">
        <v>1924</v>
      </c>
      <c r="B52">
        <v>12</v>
      </c>
      <c r="C52">
        <v>22</v>
      </c>
      <c r="D52">
        <f t="shared" si="0"/>
        <v>25.002145262592322</v>
      </c>
      <c r="E52">
        <f t="shared" si="1"/>
        <v>8949.2125399997458</v>
      </c>
      <c r="F52">
        <v>2424141.61521</v>
      </c>
      <c r="G52">
        <v>-8.7713000000000001</v>
      </c>
      <c r="H52">
        <f t="shared" si="2"/>
        <v>14.638877437986617</v>
      </c>
    </row>
    <row r="53" spans="1:8" x14ac:dyDescent="0.25">
      <c r="A53">
        <v>1925</v>
      </c>
      <c r="B53">
        <v>6</v>
      </c>
      <c r="C53">
        <v>21</v>
      </c>
      <c r="D53">
        <f t="shared" si="0"/>
        <v>25.499997234708967</v>
      </c>
      <c r="E53">
        <f t="shared" si="1"/>
        <v>9131.0489899995737</v>
      </c>
      <c r="F53">
        <v>2424323.4516599998</v>
      </c>
      <c r="G53">
        <v>20.007300000000001</v>
      </c>
      <c r="H53">
        <f t="shared" si="2"/>
        <v>47.14071358528777</v>
      </c>
    </row>
    <row r="54" spans="1:8" x14ac:dyDescent="0.25">
      <c r="A54">
        <v>1925</v>
      </c>
      <c r="B54">
        <v>12</v>
      </c>
      <c r="C54">
        <v>22</v>
      </c>
      <c r="D54">
        <f t="shared" si="0"/>
        <v>26.002150355105815</v>
      </c>
      <c r="E54">
        <f t="shared" si="1"/>
        <v>9314.4563999995589</v>
      </c>
      <c r="F54">
        <v>2424506.8590699998</v>
      </c>
      <c r="G54">
        <v>-5.5137</v>
      </c>
      <c r="H54">
        <f t="shared" si="2"/>
        <v>37.984601409962991</v>
      </c>
    </row>
    <row r="55" spans="1:8" x14ac:dyDescent="0.25">
      <c r="A55">
        <v>1926</v>
      </c>
      <c r="B55">
        <v>6</v>
      </c>
      <c r="C55">
        <v>22</v>
      </c>
      <c r="D55">
        <f t="shared" si="0"/>
        <v>26.499981217931722</v>
      </c>
      <c r="E55">
        <f t="shared" si="1"/>
        <v>9496.2851399998181</v>
      </c>
      <c r="F55">
        <v>2424688.68781</v>
      </c>
      <c r="G55">
        <v>-11.8042</v>
      </c>
      <c r="H55">
        <f t="shared" si="2"/>
        <v>-47.934152349442201</v>
      </c>
    </row>
    <row r="56" spans="1:8" x14ac:dyDescent="0.25">
      <c r="A56">
        <v>1926</v>
      </c>
      <c r="B56">
        <v>12</v>
      </c>
      <c r="C56">
        <v>22</v>
      </c>
      <c r="D56">
        <f t="shared" si="0"/>
        <v>27.002165988576934</v>
      </c>
      <c r="E56">
        <f t="shared" si="1"/>
        <v>9679.7041099998169</v>
      </c>
      <c r="F56">
        <v>2424872.10678</v>
      </c>
      <c r="G56">
        <v>19.7563</v>
      </c>
      <c r="H56">
        <f t="shared" si="2"/>
        <v>-18.187591590275325</v>
      </c>
    </row>
    <row r="57" spans="1:8" x14ac:dyDescent="0.25">
      <c r="A57">
        <v>1927</v>
      </c>
      <c r="B57">
        <v>6</v>
      </c>
      <c r="C57">
        <v>22</v>
      </c>
      <c r="D57">
        <f t="shared" si="0"/>
        <v>27.499988226983312</v>
      </c>
      <c r="E57">
        <f t="shared" si="1"/>
        <v>9861.5296999998391</v>
      </c>
      <c r="F57">
        <v>2425053.9323700001</v>
      </c>
      <c r="G57">
        <v>-5.6245000000000003</v>
      </c>
      <c r="H57">
        <f t="shared" si="2"/>
        <v>4.8406499694457654</v>
      </c>
    </row>
    <row r="58" spans="1:8" x14ac:dyDescent="0.25">
      <c r="A58">
        <v>1927</v>
      </c>
      <c r="B58">
        <v>12</v>
      </c>
      <c r="C58">
        <v>22</v>
      </c>
      <c r="D58">
        <f t="shared" si="0"/>
        <v>28.002159664003614</v>
      </c>
      <c r="E58">
        <f t="shared" si="1"/>
        <v>10044.943800000008</v>
      </c>
      <c r="F58">
        <v>2425237.3464700002</v>
      </c>
      <c r="G58">
        <v>-22.666399999999999</v>
      </c>
      <c r="H58">
        <f t="shared" si="2"/>
        <v>-5.9238442689718731</v>
      </c>
    </row>
    <row r="59" spans="1:8" x14ac:dyDescent="0.25">
      <c r="A59">
        <v>1928</v>
      </c>
      <c r="B59">
        <v>6</v>
      </c>
      <c r="C59">
        <v>21</v>
      </c>
      <c r="D59">
        <f t="shared" si="0"/>
        <v>28.499980150146513</v>
      </c>
      <c r="E59">
        <f t="shared" si="1"/>
        <v>10226.768749999814</v>
      </c>
      <c r="F59">
        <v>2425419.17142</v>
      </c>
      <c r="G59">
        <v>18.763000000000002</v>
      </c>
      <c r="H59">
        <f t="shared" si="2"/>
        <v>14.307504788915725</v>
      </c>
    </row>
    <row r="60" spans="1:8" x14ac:dyDescent="0.25">
      <c r="A60">
        <v>1928</v>
      </c>
      <c r="B60">
        <v>12</v>
      </c>
      <c r="C60">
        <v>22</v>
      </c>
      <c r="D60">
        <f t="shared" si="0"/>
        <v>29.002153394187651</v>
      </c>
      <c r="E60">
        <f t="shared" si="1"/>
        <v>10410.183509999886</v>
      </c>
      <c r="F60">
        <v>2425602.5861800001</v>
      </c>
      <c r="G60">
        <v>5.8811999999999998</v>
      </c>
      <c r="H60">
        <f t="shared" si="2"/>
        <v>28.673459692956452</v>
      </c>
    </row>
    <row r="61" spans="1:8" x14ac:dyDescent="0.25">
      <c r="A61">
        <v>1929</v>
      </c>
      <c r="B61">
        <v>6</v>
      </c>
      <c r="C61">
        <v>21</v>
      </c>
      <c r="D61">
        <f t="shared" si="0"/>
        <v>29.499991047031656</v>
      </c>
      <c r="E61">
        <f t="shared" si="1"/>
        <v>10592.014729999937</v>
      </c>
      <c r="F61">
        <v>2425784.4174000002</v>
      </c>
      <c r="G61">
        <v>-27.346299999999999</v>
      </c>
      <c r="H61">
        <f t="shared" si="2"/>
        <v>-46.366890107613997</v>
      </c>
    </row>
    <row r="62" spans="1:8" x14ac:dyDescent="0.25">
      <c r="A62">
        <v>1929</v>
      </c>
      <c r="B62">
        <v>12</v>
      </c>
      <c r="C62">
        <v>22</v>
      </c>
      <c r="D62">
        <f t="shared" si="0"/>
        <v>30.002154516730918</v>
      </c>
      <c r="E62">
        <f t="shared" si="1"/>
        <v>10775.425919999834</v>
      </c>
      <c r="F62">
        <v>2425967.82859</v>
      </c>
      <c r="G62">
        <v>6.8384</v>
      </c>
      <c r="H62">
        <f t="shared" si="2"/>
        <v>-48.422569772936733</v>
      </c>
    </row>
    <row r="63" spans="1:8" x14ac:dyDescent="0.25">
      <c r="A63">
        <v>1930</v>
      </c>
      <c r="B63">
        <v>6</v>
      </c>
      <c r="C63">
        <v>22</v>
      </c>
      <c r="D63">
        <f t="shared" si="0"/>
        <v>30.499998110840604</v>
      </c>
      <c r="E63">
        <f t="shared" si="1"/>
        <v>10957.259309999645</v>
      </c>
      <c r="F63">
        <v>2426149.6619799999</v>
      </c>
      <c r="G63">
        <v>11.7629</v>
      </c>
      <c r="H63">
        <f t="shared" si="2"/>
        <v>-2.5272536183838956</v>
      </c>
    </row>
    <row r="64" spans="1:8" x14ac:dyDescent="0.25">
      <c r="A64">
        <v>1930</v>
      </c>
      <c r="B64">
        <v>12</v>
      </c>
      <c r="C64">
        <v>22</v>
      </c>
      <c r="D64">
        <f t="shared" si="0"/>
        <v>31.0021513133754</v>
      </c>
      <c r="E64">
        <f t="shared" si="1"/>
        <v>11140.666749999858</v>
      </c>
      <c r="F64">
        <v>2426333.0694200001</v>
      </c>
      <c r="G64">
        <v>-26.1294</v>
      </c>
      <c r="H64">
        <f t="shared" si="2"/>
        <v>36.213642985239467</v>
      </c>
    </row>
    <row r="65" spans="1:8" x14ac:dyDescent="0.25">
      <c r="A65">
        <v>1931</v>
      </c>
      <c r="B65">
        <v>6</v>
      </c>
      <c r="C65">
        <v>22</v>
      </c>
      <c r="D65">
        <f t="shared" si="0"/>
        <v>31.499972922062607</v>
      </c>
      <c r="E65">
        <f t="shared" si="1"/>
        <v>11322.492109999992</v>
      </c>
      <c r="F65">
        <v>2426514.8947800002</v>
      </c>
      <c r="G65">
        <v>4.0067000000000004</v>
      </c>
      <c r="H65">
        <f t="shared" si="2"/>
        <v>-27.282842968157713</v>
      </c>
    </row>
    <row r="66" spans="1:8" x14ac:dyDescent="0.25">
      <c r="A66">
        <v>1931</v>
      </c>
      <c r="B66">
        <v>12</v>
      </c>
      <c r="C66">
        <v>22</v>
      </c>
      <c r="D66">
        <f t="shared" si="0"/>
        <v>32.002154270318812</v>
      </c>
      <c r="E66">
        <f t="shared" si="1"/>
        <v>11505.909829999786</v>
      </c>
      <c r="F66">
        <v>2426698.3125</v>
      </c>
      <c r="G66">
        <v>25.0227</v>
      </c>
      <c r="H66">
        <f t="shared" si="2"/>
        <v>11.175846180241793</v>
      </c>
    </row>
    <row r="67" spans="1:8" x14ac:dyDescent="0.25">
      <c r="A67">
        <v>1932</v>
      </c>
      <c r="B67">
        <v>6</v>
      </c>
      <c r="C67">
        <v>21</v>
      </c>
      <c r="D67">
        <f t="shared" si="0"/>
        <v>32.499984503424272</v>
      </c>
      <c r="E67">
        <f t="shared" si="1"/>
        <v>11687.738339999691</v>
      </c>
      <c r="F67">
        <v>2426880.1410099999</v>
      </c>
      <c r="G67">
        <v>-21.065999999999999</v>
      </c>
      <c r="H67">
        <f t="shared" si="2"/>
        <v>-40.978693763537471</v>
      </c>
    </row>
    <row r="68" spans="1:8" x14ac:dyDescent="0.25">
      <c r="A68">
        <v>1932</v>
      </c>
      <c r="B68">
        <v>12</v>
      </c>
      <c r="C68">
        <v>22</v>
      </c>
      <c r="D68">
        <f t="shared" ref="D68:D131" si="3">+E68/365.242+0.5</f>
        <v>33.002147014855126</v>
      </c>
      <c r="E68">
        <f t="shared" ref="E68:E131" si="4">+F68-$F$3</f>
        <v>11871.149179999717</v>
      </c>
      <c r="F68">
        <v>2427063.5518499999</v>
      </c>
      <c r="G68">
        <v>-9.4862000000000002</v>
      </c>
      <c r="H68">
        <f t="shared" ref="H68:H131" si="5">+$J$1*SIN(2*PI()/($H$1/365.242)*$E68)+$M$1*COS(2*PI()/($H$1/365.242)*$E68)</f>
        <v>-30.577992034495338</v>
      </c>
    </row>
    <row r="69" spans="1:8" x14ac:dyDescent="0.25">
      <c r="A69">
        <v>1933</v>
      </c>
      <c r="B69">
        <v>6</v>
      </c>
      <c r="C69">
        <v>21</v>
      </c>
      <c r="D69">
        <f t="shared" si="3"/>
        <v>33.499985872380115</v>
      </c>
      <c r="E69">
        <f t="shared" si="4"/>
        <v>12052.980839999858</v>
      </c>
      <c r="F69">
        <v>2427245.3835100001</v>
      </c>
      <c r="G69">
        <v>26.786200000000001</v>
      </c>
      <c r="H69">
        <f t="shared" si="5"/>
        <v>44.28339319433362</v>
      </c>
    </row>
    <row r="70" spans="1:8" x14ac:dyDescent="0.25">
      <c r="A70">
        <v>1933</v>
      </c>
      <c r="B70">
        <v>12</v>
      </c>
      <c r="C70">
        <v>22</v>
      </c>
      <c r="D70">
        <f t="shared" si="3"/>
        <v>34.002137076238867</v>
      </c>
      <c r="E70">
        <f t="shared" si="4"/>
        <v>12236.387549999636</v>
      </c>
      <c r="F70">
        <v>2427428.7902199998</v>
      </c>
      <c r="G70">
        <v>-6.5415999999999999</v>
      </c>
      <c r="H70">
        <f t="shared" si="5"/>
        <v>39.925255670415147</v>
      </c>
    </row>
    <row r="71" spans="1:8" x14ac:dyDescent="0.25">
      <c r="A71">
        <v>1934</v>
      </c>
      <c r="B71">
        <v>6</v>
      </c>
      <c r="C71">
        <v>22</v>
      </c>
      <c r="D71">
        <f t="shared" si="3"/>
        <v>34.499962326347053</v>
      </c>
      <c r="E71">
        <f t="shared" si="4"/>
        <v>12418.214239999652</v>
      </c>
      <c r="F71">
        <v>2427610.6169099999</v>
      </c>
      <c r="G71">
        <v>-13.6721</v>
      </c>
      <c r="H71">
        <f t="shared" si="5"/>
        <v>-48.017158231340531</v>
      </c>
    </row>
    <row r="72" spans="1:8" x14ac:dyDescent="0.25">
      <c r="A72">
        <v>1934</v>
      </c>
      <c r="B72">
        <v>12</v>
      </c>
      <c r="C72">
        <v>22</v>
      </c>
      <c r="D72">
        <f t="shared" si="3"/>
        <v>35.002143647225225</v>
      </c>
      <c r="E72">
        <f t="shared" si="4"/>
        <v>12601.631949999835</v>
      </c>
      <c r="F72">
        <v>2427794.03462</v>
      </c>
      <c r="G72">
        <v>22.4284</v>
      </c>
      <c r="H72">
        <f t="shared" si="5"/>
        <v>-37.14006014153717</v>
      </c>
    </row>
    <row r="73" spans="1:8" x14ac:dyDescent="0.25">
      <c r="A73">
        <v>1935</v>
      </c>
      <c r="B73">
        <v>6</v>
      </c>
      <c r="C73">
        <v>22</v>
      </c>
      <c r="D73">
        <f t="shared" si="3"/>
        <v>35.499965173774484</v>
      </c>
      <c r="E73">
        <f t="shared" si="4"/>
        <v>12783.45727999974</v>
      </c>
      <c r="F73">
        <v>2427975.85995</v>
      </c>
      <c r="G73">
        <v>-3.4323000000000001</v>
      </c>
      <c r="H73">
        <f t="shared" si="5"/>
        <v>28.640384816190576</v>
      </c>
    </row>
    <row r="74" spans="1:8" x14ac:dyDescent="0.25">
      <c r="A74">
        <v>1935</v>
      </c>
      <c r="B74">
        <v>12</v>
      </c>
      <c r="C74">
        <v>22</v>
      </c>
      <c r="D74">
        <f t="shared" si="3"/>
        <v>36.002142113995234</v>
      </c>
      <c r="E74">
        <f t="shared" si="4"/>
        <v>12966.873389999848</v>
      </c>
      <c r="F74">
        <v>2428159.2760600001</v>
      </c>
      <c r="G74">
        <v>-23.0777</v>
      </c>
      <c r="H74">
        <f t="shared" si="5"/>
        <v>3.4895084063980084</v>
      </c>
    </row>
    <row r="75" spans="1:8" x14ac:dyDescent="0.25">
      <c r="A75">
        <v>1936</v>
      </c>
      <c r="B75">
        <v>6</v>
      </c>
      <c r="C75">
        <v>21</v>
      </c>
      <c r="D75">
        <f t="shared" si="3"/>
        <v>36.499956138669276</v>
      </c>
      <c r="E75">
        <f t="shared" si="4"/>
        <v>13148.695979999844</v>
      </c>
      <c r="F75">
        <v>2428341.0986500001</v>
      </c>
      <c r="G75">
        <v>17.296099999999999</v>
      </c>
      <c r="H75">
        <f t="shared" si="5"/>
        <v>-13.921156346828459</v>
      </c>
    </row>
    <row r="76" spans="1:8" x14ac:dyDescent="0.25">
      <c r="A76">
        <v>1936</v>
      </c>
      <c r="B76">
        <v>12</v>
      </c>
      <c r="C76">
        <v>22</v>
      </c>
      <c r="D76">
        <f t="shared" si="3"/>
        <v>37.002144222186232</v>
      </c>
      <c r="E76">
        <f t="shared" si="4"/>
        <v>13332.116159999743</v>
      </c>
      <c r="F76">
        <v>2428524.51883</v>
      </c>
      <c r="G76">
        <v>6.7649999999999997</v>
      </c>
      <c r="H76">
        <f t="shared" si="5"/>
        <v>39.487648259685493</v>
      </c>
    </row>
    <row r="77" spans="1:8" x14ac:dyDescent="0.25">
      <c r="A77">
        <v>1937</v>
      </c>
      <c r="B77">
        <v>6</v>
      </c>
      <c r="C77">
        <v>21</v>
      </c>
      <c r="D77">
        <f t="shared" si="3"/>
        <v>37.499959725331863</v>
      </c>
      <c r="E77">
        <f t="shared" si="4"/>
        <v>13513.93928999966</v>
      </c>
      <c r="F77">
        <v>2428706.3419599999</v>
      </c>
      <c r="G77">
        <v>-23.050799999999999</v>
      </c>
      <c r="H77">
        <f t="shared" si="5"/>
        <v>-35.561943208731236</v>
      </c>
    </row>
    <row r="78" spans="1:8" x14ac:dyDescent="0.25">
      <c r="A78">
        <v>1937</v>
      </c>
      <c r="B78">
        <v>12</v>
      </c>
      <c r="C78">
        <v>22</v>
      </c>
      <c r="D78">
        <f t="shared" si="3"/>
        <v>38.002156570163649</v>
      </c>
      <c r="E78">
        <f t="shared" si="4"/>
        <v>13697.362669999711</v>
      </c>
      <c r="F78">
        <v>2428889.7653399999</v>
      </c>
      <c r="G78">
        <v>5.3925000000000001</v>
      </c>
      <c r="H78">
        <f t="shared" si="5"/>
        <v>-24.69121700025331</v>
      </c>
    </row>
    <row r="79" spans="1:8" x14ac:dyDescent="0.25">
      <c r="A79">
        <v>1938</v>
      </c>
      <c r="B79">
        <v>6</v>
      </c>
      <c r="C79">
        <v>22</v>
      </c>
      <c r="D79">
        <f t="shared" si="3"/>
        <v>38.499965639219731</v>
      </c>
      <c r="E79">
        <f t="shared" si="4"/>
        <v>13879.183449999895</v>
      </c>
      <c r="F79">
        <v>2429071.5861200001</v>
      </c>
      <c r="G79">
        <v>7.4839000000000002</v>
      </c>
      <c r="H79">
        <f t="shared" si="5"/>
        <v>42.220821106180345</v>
      </c>
    </row>
    <row r="80" spans="1:8" x14ac:dyDescent="0.25">
      <c r="A80">
        <v>1938</v>
      </c>
      <c r="B80">
        <v>12</v>
      </c>
      <c r="C80">
        <v>22</v>
      </c>
      <c r="D80">
        <f t="shared" si="3"/>
        <v>39.002162730462814</v>
      </c>
      <c r="E80">
        <f t="shared" si="4"/>
        <v>14062.6069199997</v>
      </c>
      <c r="F80">
        <v>2429255.0095899999</v>
      </c>
      <c r="G80">
        <v>-20.030200000000001</v>
      </c>
      <c r="H80">
        <f t="shared" si="5"/>
        <v>-32.627442774296881</v>
      </c>
    </row>
    <row r="81" spans="1:8" x14ac:dyDescent="0.25">
      <c r="A81">
        <v>1939</v>
      </c>
      <c r="B81">
        <v>6</v>
      </c>
      <c r="C81">
        <v>22</v>
      </c>
      <c r="D81">
        <f t="shared" si="3"/>
        <v>39.49994160036281</v>
      </c>
      <c r="E81">
        <f t="shared" si="4"/>
        <v>14244.416669999715</v>
      </c>
      <c r="F81">
        <v>2429436.8193399999</v>
      </c>
      <c r="G81">
        <v>4.6135000000000002</v>
      </c>
      <c r="H81">
        <f t="shared" si="5"/>
        <v>-48.330126865647493</v>
      </c>
    </row>
    <row r="82" spans="1:8" x14ac:dyDescent="0.25">
      <c r="A82">
        <v>1939</v>
      </c>
      <c r="B82">
        <v>12</v>
      </c>
      <c r="C82">
        <v>22</v>
      </c>
      <c r="D82">
        <f t="shared" si="3"/>
        <v>40.002170533508192</v>
      </c>
      <c r="E82">
        <f t="shared" si="4"/>
        <v>14427.851769999601</v>
      </c>
      <c r="F82">
        <v>2429620.2544399998</v>
      </c>
      <c r="G82">
        <v>13.9696</v>
      </c>
      <c r="H82">
        <f t="shared" si="5"/>
        <v>41.474980594742661</v>
      </c>
    </row>
    <row r="83" spans="1:8" x14ac:dyDescent="0.25">
      <c r="A83">
        <v>1940</v>
      </c>
      <c r="B83">
        <v>6</v>
      </c>
      <c r="C83">
        <v>21</v>
      </c>
      <c r="D83">
        <f t="shared" si="3"/>
        <v>40.49995780879447</v>
      </c>
      <c r="E83">
        <f t="shared" si="4"/>
        <v>14609.664589999709</v>
      </c>
      <c r="F83">
        <v>2429802.0672599999</v>
      </c>
      <c r="G83">
        <v>-17.494599999999998</v>
      </c>
      <c r="H83">
        <f t="shared" si="5"/>
        <v>-12.093417862879567</v>
      </c>
    </row>
    <row r="84" spans="1:8" x14ac:dyDescent="0.25">
      <c r="A84">
        <v>1940</v>
      </c>
      <c r="B84">
        <v>12</v>
      </c>
      <c r="C84">
        <v>21</v>
      </c>
      <c r="D84">
        <f t="shared" si="3"/>
        <v>41.002171081090928</v>
      </c>
      <c r="E84">
        <f t="shared" si="4"/>
        <v>14793.093969999813</v>
      </c>
      <c r="F84">
        <v>2429985.49664</v>
      </c>
      <c r="G84">
        <v>-1.0006999999999999</v>
      </c>
      <c r="H84">
        <f t="shared" si="5"/>
        <v>-4.765530668096507</v>
      </c>
    </row>
    <row r="85" spans="1:8" x14ac:dyDescent="0.25">
      <c r="A85">
        <v>1941</v>
      </c>
      <c r="B85">
        <v>6</v>
      </c>
      <c r="C85">
        <v>21</v>
      </c>
      <c r="D85">
        <f t="shared" si="3"/>
        <v>41.499973770814826</v>
      </c>
      <c r="E85">
        <f t="shared" si="4"/>
        <v>14974.91241999995</v>
      </c>
      <c r="F85">
        <v>2430167.3150900002</v>
      </c>
      <c r="G85">
        <v>14.368</v>
      </c>
      <c r="H85">
        <f t="shared" si="5"/>
        <v>41.116743486652275</v>
      </c>
    </row>
    <row r="86" spans="1:8" x14ac:dyDescent="0.25">
      <c r="A86">
        <v>1941</v>
      </c>
      <c r="B86">
        <v>12</v>
      </c>
      <c r="C86">
        <v>22</v>
      </c>
      <c r="D86">
        <f t="shared" si="3"/>
        <v>42.002172860732678</v>
      </c>
      <c r="E86">
        <f t="shared" si="4"/>
        <v>15158.336619999725</v>
      </c>
      <c r="F86">
        <v>2430350.7392899999</v>
      </c>
      <c r="G86">
        <v>-12.8916</v>
      </c>
      <c r="H86">
        <f t="shared" si="5"/>
        <v>-38.137577806480962</v>
      </c>
    </row>
    <row r="87" spans="1:8" x14ac:dyDescent="0.25">
      <c r="A87">
        <v>1942</v>
      </c>
      <c r="B87">
        <v>6</v>
      </c>
      <c r="C87">
        <v>22</v>
      </c>
      <c r="D87">
        <f t="shared" si="3"/>
        <v>42.499963284616065</v>
      </c>
      <c r="E87">
        <f t="shared" si="4"/>
        <v>15340.150589999743</v>
      </c>
      <c r="F87">
        <v>2430532.55326</v>
      </c>
      <c r="G87">
        <v>0.37959999999999999</v>
      </c>
      <c r="H87">
        <f t="shared" si="5"/>
        <v>-33.43113381149454</v>
      </c>
    </row>
    <row r="88" spans="1:8" x14ac:dyDescent="0.25">
      <c r="A88">
        <v>1942</v>
      </c>
      <c r="B88">
        <v>12</v>
      </c>
      <c r="C88">
        <v>22</v>
      </c>
      <c r="D88">
        <f t="shared" si="3"/>
        <v>43.002186057462517</v>
      </c>
      <c r="E88">
        <f t="shared" si="4"/>
        <v>15523.583439999726</v>
      </c>
      <c r="F88">
        <v>2430715.9861099999</v>
      </c>
      <c r="G88">
        <v>18.299099999999999</v>
      </c>
      <c r="H88">
        <f t="shared" si="5"/>
        <v>24.461903575753592</v>
      </c>
    </row>
    <row r="89" spans="1:8" x14ac:dyDescent="0.25">
      <c r="A89">
        <v>1943</v>
      </c>
      <c r="B89">
        <v>6</v>
      </c>
      <c r="C89">
        <v>22</v>
      </c>
      <c r="D89">
        <f t="shared" si="3"/>
        <v>43.499977740785518</v>
      </c>
      <c r="E89">
        <f t="shared" si="4"/>
        <v>15705.397869999986</v>
      </c>
      <c r="F89">
        <v>2430897.8005400002</v>
      </c>
      <c r="G89">
        <v>-14.2447</v>
      </c>
      <c r="H89">
        <f t="shared" si="5"/>
        <v>-41.312469463506424</v>
      </c>
    </row>
    <row r="90" spans="1:8" x14ac:dyDescent="0.25">
      <c r="A90">
        <v>1943</v>
      </c>
      <c r="B90">
        <v>12</v>
      </c>
      <c r="C90">
        <v>22</v>
      </c>
      <c r="D90">
        <f t="shared" si="3"/>
        <v>44.002188083516842</v>
      </c>
      <c r="E90">
        <f t="shared" si="4"/>
        <v>15888.826179999858</v>
      </c>
      <c r="F90">
        <v>2431081.2288500001</v>
      </c>
      <c r="G90">
        <v>-8.3012999999999995</v>
      </c>
      <c r="H90">
        <f t="shared" si="5"/>
        <v>22.828336448463375</v>
      </c>
    </row>
    <row r="91" spans="1:8" x14ac:dyDescent="0.25">
      <c r="A91">
        <v>1944</v>
      </c>
      <c r="B91">
        <v>6</v>
      </c>
      <c r="C91">
        <v>21</v>
      </c>
      <c r="D91">
        <f t="shared" si="3"/>
        <v>44.49998058821167</v>
      </c>
      <c r="E91">
        <f t="shared" si="4"/>
        <v>16070.640909999609</v>
      </c>
      <c r="F91">
        <v>2431263.0435799998</v>
      </c>
      <c r="G91">
        <v>21.023599999999998</v>
      </c>
      <c r="H91">
        <f t="shared" si="5"/>
        <v>42.010451420057116</v>
      </c>
    </row>
    <row r="92" spans="1:8" x14ac:dyDescent="0.25">
      <c r="A92">
        <v>1944</v>
      </c>
      <c r="B92">
        <v>12</v>
      </c>
      <c r="C92">
        <v>21</v>
      </c>
      <c r="D92">
        <f t="shared" si="3"/>
        <v>45.002182854107232</v>
      </c>
      <c r="E92">
        <f t="shared" si="4"/>
        <v>16254.066269999836</v>
      </c>
      <c r="F92">
        <v>2431446.46894</v>
      </c>
      <c r="G92">
        <v>-8.6234999999999999</v>
      </c>
      <c r="H92">
        <f t="shared" si="5"/>
        <v>-42.385686021366858</v>
      </c>
    </row>
    <row r="93" spans="1:8" x14ac:dyDescent="0.25">
      <c r="A93">
        <v>1945</v>
      </c>
      <c r="B93">
        <v>6</v>
      </c>
      <c r="C93">
        <v>21</v>
      </c>
      <c r="D93">
        <f t="shared" si="3"/>
        <v>45.499983052331224</v>
      </c>
      <c r="E93">
        <f t="shared" si="4"/>
        <v>16435.883809999563</v>
      </c>
      <c r="F93">
        <v>2431628.2864799998</v>
      </c>
      <c r="G93">
        <v>-13.405900000000001</v>
      </c>
      <c r="H93">
        <f t="shared" si="5"/>
        <v>-0.13002021362269936</v>
      </c>
    </row>
    <row r="94" spans="1:8" x14ac:dyDescent="0.25">
      <c r="A94">
        <v>1945</v>
      </c>
      <c r="B94">
        <v>12</v>
      </c>
      <c r="C94">
        <v>22</v>
      </c>
      <c r="D94">
        <f t="shared" si="3"/>
        <v>46.002183374310647</v>
      </c>
      <c r="E94">
        <f t="shared" si="4"/>
        <v>16619.308459999971</v>
      </c>
      <c r="F94">
        <v>2431811.7111300002</v>
      </c>
      <c r="G94">
        <v>20.2362</v>
      </c>
      <c r="H94">
        <f t="shared" si="5"/>
        <v>44.184989218713987</v>
      </c>
    </row>
    <row r="95" spans="1:8" x14ac:dyDescent="0.25">
      <c r="A95">
        <v>1946</v>
      </c>
      <c r="B95">
        <v>6</v>
      </c>
      <c r="C95">
        <v>22</v>
      </c>
      <c r="D95">
        <f t="shared" si="3"/>
        <v>46.499990253036756</v>
      </c>
      <c r="E95">
        <f t="shared" si="4"/>
        <v>16801.128439999651</v>
      </c>
      <c r="F95">
        <v>2431993.5311099999</v>
      </c>
      <c r="G95">
        <v>-8.1852</v>
      </c>
      <c r="H95">
        <f t="shared" si="5"/>
        <v>-47.100755496805903</v>
      </c>
    </row>
    <row r="96" spans="1:8" x14ac:dyDescent="0.25">
      <c r="A96">
        <v>1946</v>
      </c>
      <c r="B96">
        <v>12</v>
      </c>
      <c r="C96">
        <v>22</v>
      </c>
      <c r="D96">
        <f t="shared" si="3"/>
        <v>47.002185838430201</v>
      </c>
      <c r="E96">
        <f t="shared" si="4"/>
        <v>16984.551359999925</v>
      </c>
      <c r="F96">
        <v>2432176.9540300001</v>
      </c>
      <c r="G96">
        <v>-24.375900000000001</v>
      </c>
      <c r="H96">
        <f t="shared" si="5"/>
        <v>-4.908876933324084</v>
      </c>
    </row>
    <row r="97" spans="1:8" x14ac:dyDescent="0.25">
      <c r="A97">
        <v>1947</v>
      </c>
      <c r="B97">
        <v>6</v>
      </c>
      <c r="C97">
        <v>22</v>
      </c>
      <c r="D97">
        <f t="shared" si="3"/>
        <v>47.499963667923844</v>
      </c>
      <c r="E97">
        <f t="shared" si="4"/>
        <v>17166.36072999984</v>
      </c>
      <c r="F97">
        <v>2432358.7634000001</v>
      </c>
      <c r="G97">
        <v>19.559899999999999</v>
      </c>
      <c r="H97">
        <f t="shared" si="5"/>
        <v>27.306057249106612</v>
      </c>
    </row>
    <row r="98" spans="1:8" x14ac:dyDescent="0.25">
      <c r="A98">
        <v>1947</v>
      </c>
      <c r="B98">
        <v>12</v>
      </c>
      <c r="C98">
        <v>22</v>
      </c>
      <c r="D98">
        <f t="shared" si="3"/>
        <v>48.002187672830587</v>
      </c>
      <c r="E98">
        <f t="shared" si="4"/>
        <v>17349.79402999999</v>
      </c>
      <c r="F98">
        <v>2432542.1967000002</v>
      </c>
      <c r="G98">
        <v>5.7324999999999999</v>
      </c>
      <c r="H98">
        <f t="shared" si="5"/>
        <v>-38.149140700051561</v>
      </c>
    </row>
    <row r="99" spans="1:8" x14ac:dyDescent="0.25">
      <c r="A99">
        <v>1948</v>
      </c>
      <c r="B99">
        <v>6</v>
      </c>
      <c r="C99">
        <v>21</v>
      </c>
      <c r="D99">
        <f t="shared" si="3"/>
        <v>48.499969965118311</v>
      </c>
      <c r="E99">
        <f t="shared" si="4"/>
        <v>17531.605029999744</v>
      </c>
      <c r="F99">
        <v>2432724.0077</v>
      </c>
      <c r="G99">
        <v>-27.508099999999999</v>
      </c>
      <c r="H99">
        <f t="shared" si="5"/>
        <v>-46.126616815146924</v>
      </c>
    </row>
    <row r="100" spans="1:8" x14ac:dyDescent="0.25">
      <c r="A100">
        <v>1948</v>
      </c>
      <c r="B100">
        <v>12</v>
      </c>
      <c r="C100">
        <v>21</v>
      </c>
      <c r="D100">
        <f t="shared" si="3"/>
        <v>49.0021915606631</v>
      </c>
      <c r="E100">
        <f t="shared" si="4"/>
        <v>17715.037449999712</v>
      </c>
      <c r="F100">
        <v>2432907.4401199999</v>
      </c>
      <c r="G100">
        <v>9.4680999999999997</v>
      </c>
      <c r="H100">
        <f t="shared" si="5"/>
        <v>43.179452369307747</v>
      </c>
    </row>
    <row r="101" spans="1:8" x14ac:dyDescent="0.25">
      <c r="A101">
        <v>1949</v>
      </c>
      <c r="B101">
        <v>6</v>
      </c>
      <c r="C101">
        <v>21</v>
      </c>
      <c r="D101">
        <f t="shared" si="3"/>
        <v>49.499976974169904</v>
      </c>
      <c r="E101">
        <f t="shared" si="4"/>
        <v>17896.849589999765</v>
      </c>
      <c r="F101">
        <v>2433089.25226</v>
      </c>
      <c r="G101">
        <v>13.463200000000001</v>
      </c>
      <c r="H101">
        <f t="shared" si="5"/>
        <v>-3.1711529986595708</v>
      </c>
    </row>
    <row r="102" spans="1:8" x14ac:dyDescent="0.25">
      <c r="A102">
        <v>1949</v>
      </c>
      <c r="B102">
        <v>12</v>
      </c>
      <c r="C102">
        <v>22</v>
      </c>
      <c r="D102">
        <f t="shared" si="3"/>
        <v>50.002193723612727</v>
      </c>
      <c r="E102">
        <f t="shared" si="4"/>
        <v>18080.28023999976</v>
      </c>
      <c r="F102">
        <v>2433272.68291</v>
      </c>
      <c r="G102">
        <v>-25.040199999999999</v>
      </c>
      <c r="H102">
        <f t="shared" si="5"/>
        <v>-3.4802336034078998</v>
      </c>
    </row>
    <row r="103" spans="1:8" x14ac:dyDescent="0.25">
      <c r="A103">
        <v>1950</v>
      </c>
      <c r="B103">
        <v>6</v>
      </c>
      <c r="C103">
        <v>21</v>
      </c>
      <c r="D103">
        <f t="shared" si="3"/>
        <v>50.499948116590332</v>
      </c>
      <c r="E103">
        <f t="shared" si="4"/>
        <v>18262.081049999688</v>
      </c>
      <c r="F103">
        <v>2433454.4837199999</v>
      </c>
      <c r="G103">
        <v>6.8715000000000002</v>
      </c>
      <c r="H103">
        <f t="shared" si="5"/>
        <v>-35.090664926423365</v>
      </c>
    </row>
    <row r="104" spans="1:8" x14ac:dyDescent="0.25">
      <c r="A104">
        <v>1950</v>
      </c>
      <c r="B104">
        <v>12</v>
      </c>
      <c r="C104">
        <v>22</v>
      </c>
      <c r="D104">
        <f t="shared" si="3"/>
        <v>51.002197474549931</v>
      </c>
      <c r="E104">
        <f t="shared" si="4"/>
        <v>18445.523609999567</v>
      </c>
      <c r="F104">
        <v>2433637.9262799998</v>
      </c>
      <c r="G104">
        <v>25.5566</v>
      </c>
      <c r="H104">
        <f t="shared" si="5"/>
        <v>-42.116137866729062</v>
      </c>
    </row>
    <row r="105" spans="1:8" x14ac:dyDescent="0.25">
      <c r="A105">
        <v>1951</v>
      </c>
      <c r="B105">
        <v>6</v>
      </c>
      <c r="C105">
        <v>22</v>
      </c>
      <c r="D105">
        <f t="shared" si="3"/>
        <v>51.499948718930419</v>
      </c>
      <c r="E105">
        <f t="shared" si="4"/>
        <v>18627.323269999586</v>
      </c>
      <c r="F105">
        <v>2433819.7259399998</v>
      </c>
      <c r="G105">
        <v>-21.825199999999999</v>
      </c>
      <c r="H105">
        <f t="shared" si="5"/>
        <v>-5.9203533810639142</v>
      </c>
    </row>
    <row r="106" spans="1:8" x14ac:dyDescent="0.25">
      <c r="A106">
        <v>1951</v>
      </c>
      <c r="B106">
        <v>12</v>
      </c>
      <c r="C106">
        <v>22</v>
      </c>
      <c r="D106">
        <f t="shared" si="3"/>
        <v>52.002194161678425</v>
      </c>
      <c r="E106">
        <f t="shared" si="4"/>
        <v>18810.764399999753</v>
      </c>
      <c r="F106">
        <v>2434003.16707</v>
      </c>
      <c r="G106">
        <v>-8.5403000000000002</v>
      </c>
      <c r="H106">
        <f t="shared" si="5"/>
        <v>47.695393781331042</v>
      </c>
    </row>
    <row r="107" spans="1:8" x14ac:dyDescent="0.25">
      <c r="A107">
        <v>1952</v>
      </c>
      <c r="B107">
        <v>6</v>
      </c>
      <c r="C107">
        <v>21</v>
      </c>
      <c r="D107">
        <f t="shared" si="3"/>
        <v>52.49994726783838</v>
      </c>
      <c r="E107">
        <f t="shared" si="4"/>
        <v>18992.564739999827</v>
      </c>
      <c r="F107">
        <v>2434184.96741</v>
      </c>
      <c r="G107">
        <v>27.238399999999999</v>
      </c>
      <c r="H107">
        <f t="shared" si="5"/>
        <v>38.80701538596611</v>
      </c>
    </row>
    <row r="108" spans="1:8" x14ac:dyDescent="0.25">
      <c r="A108">
        <v>1952</v>
      </c>
      <c r="B108">
        <v>12</v>
      </c>
      <c r="C108">
        <v>21</v>
      </c>
      <c r="D108">
        <f t="shared" si="3"/>
        <v>53.002183894512918</v>
      </c>
      <c r="E108">
        <f t="shared" si="4"/>
        <v>19176.002649999689</v>
      </c>
      <c r="F108">
        <v>2434368.4053199999</v>
      </c>
      <c r="G108">
        <v>-8.7301000000000002</v>
      </c>
      <c r="H108">
        <f t="shared" si="5"/>
        <v>-43.803741853708274</v>
      </c>
    </row>
    <row r="109" spans="1:8" x14ac:dyDescent="0.25">
      <c r="A109">
        <v>1953</v>
      </c>
      <c r="B109">
        <v>6</v>
      </c>
      <c r="C109">
        <v>21</v>
      </c>
      <c r="D109">
        <f t="shared" si="3"/>
        <v>53.499945214405216</v>
      </c>
      <c r="E109">
        <f t="shared" si="4"/>
        <v>19357.80598999979</v>
      </c>
      <c r="F109">
        <v>2434550.20866</v>
      </c>
      <c r="G109">
        <v>-15.033899999999999</v>
      </c>
      <c r="H109">
        <f t="shared" si="5"/>
        <v>-48.043995184357861</v>
      </c>
    </row>
    <row r="110" spans="1:8" x14ac:dyDescent="0.25">
      <c r="A110">
        <v>1953</v>
      </c>
      <c r="B110">
        <v>12</v>
      </c>
      <c r="C110">
        <v>22</v>
      </c>
      <c r="D110">
        <f t="shared" si="3"/>
        <v>54.002183593343226</v>
      </c>
      <c r="E110">
        <f t="shared" si="4"/>
        <v>19541.244539999869</v>
      </c>
      <c r="F110">
        <v>2434733.6472100001</v>
      </c>
      <c r="G110">
        <v>21.634899999999998</v>
      </c>
      <c r="H110">
        <f t="shared" si="5"/>
        <v>12.099262297370144</v>
      </c>
    </row>
    <row r="111" spans="1:8" x14ac:dyDescent="0.25">
      <c r="A111">
        <v>1954</v>
      </c>
      <c r="B111">
        <v>6</v>
      </c>
      <c r="C111">
        <v>21</v>
      </c>
      <c r="D111">
        <f t="shared" si="3"/>
        <v>54.499955892257105</v>
      </c>
      <c r="E111">
        <f t="shared" si="4"/>
        <v>19723.05188999977</v>
      </c>
      <c r="F111">
        <v>2434915.45456</v>
      </c>
      <c r="G111">
        <v>-6.3108000000000004</v>
      </c>
      <c r="H111">
        <f t="shared" si="5"/>
        <v>-5.2422847991777237</v>
      </c>
    </row>
    <row r="112" spans="1:8" x14ac:dyDescent="0.25">
      <c r="A112">
        <v>1954</v>
      </c>
      <c r="B112">
        <v>12</v>
      </c>
      <c r="C112">
        <v>22</v>
      </c>
      <c r="D112">
        <f t="shared" si="3"/>
        <v>55.002191998728463</v>
      </c>
      <c r="E112">
        <f t="shared" si="4"/>
        <v>19906.489609999582</v>
      </c>
      <c r="F112">
        <v>2435098.8922799998</v>
      </c>
      <c r="G112">
        <v>-23.7104</v>
      </c>
      <c r="H112">
        <f t="shared" si="5"/>
        <v>44.395687900932764</v>
      </c>
    </row>
    <row r="113" spans="1:8" x14ac:dyDescent="0.25">
      <c r="A113">
        <v>1955</v>
      </c>
      <c r="B113">
        <v>6</v>
      </c>
      <c r="C113">
        <v>22</v>
      </c>
      <c r="D113">
        <f t="shared" si="3"/>
        <v>55.499934700827374</v>
      </c>
      <c r="E113">
        <f t="shared" si="4"/>
        <v>20088.286149999592</v>
      </c>
      <c r="F113">
        <v>2435280.6888199998</v>
      </c>
      <c r="G113">
        <v>16.9557</v>
      </c>
      <c r="H113">
        <f t="shared" si="5"/>
        <v>-14.160913146705882</v>
      </c>
    </row>
    <row r="114" spans="1:8" x14ac:dyDescent="0.25">
      <c r="A114">
        <v>1955</v>
      </c>
      <c r="B114">
        <v>12</v>
      </c>
      <c r="C114">
        <v>22</v>
      </c>
      <c r="D114">
        <f t="shared" si="3"/>
        <v>56.002188329928401</v>
      </c>
      <c r="E114">
        <f t="shared" si="4"/>
        <v>20271.730269999709</v>
      </c>
      <c r="F114">
        <v>2435464.1329399999</v>
      </c>
      <c r="G114">
        <v>5.1071</v>
      </c>
      <c r="H114">
        <f t="shared" si="5"/>
        <v>-46.825499923103294</v>
      </c>
    </row>
    <row r="115" spans="1:8" x14ac:dyDescent="0.25">
      <c r="A115">
        <v>1956</v>
      </c>
      <c r="B115">
        <v>6</v>
      </c>
      <c r="C115">
        <v>21</v>
      </c>
      <c r="D115">
        <f t="shared" si="3"/>
        <v>56.499942120566153</v>
      </c>
      <c r="E115">
        <f t="shared" si="4"/>
        <v>20453.530859999824</v>
      </c>
      <c r="F115">
        <v>2435645.93353</v>
      </c>
      <c r="G115">
        <v>-22.194199999999999</v>
      </c>
      <c r="H115">
        <f t="shared" si="5"/>
        <v>-42.126820357138335</v>
      </c>
    </row>
    <row r="116" spans="1:8" x14ac:dyDescent="0.25">
      <c r="A116">
        <v>1956</v>
      </c>
      <c r="B116">
        <v>12</v>
      </c>
      <c r="C116">
        <v>21</v>
      </c>
      <c r="D116">
        <f t="shared" si="3"/>
        <v>57.002188548961882</v>
      </c>
      <c r="E116">
        <f t="shared" si="4"/>
        <v>20636.972349999938</v>
      </c>
      <c r="F116">
        <v>2435829.3750200002</v>
      </c>
      <c r="G116">
        <v>7.0711000000000004</v>
      </c>
      <c r="H116">
        <f t="shared" si="5"/>
        <v>18.9828459106601</v>
      </c>
    </row>
    <row r="117" spans="1:8" x14ac:dyDescent="0.25">
      <c r="A117">
        <v>1957</v>
      </c>
      <c r="B117">
        <v>6</v>
      </c>
      <c r="C117">
        <v>21</v>
      </c>
      <c r="D117">
        <f t="shared" si="3"/>
        <v>57.499957918310621</v>
      </c>
      <c r="E117">
        <f t="shared" si="4"/>
        <v>20818.778629999608</v>
      </c>
      <c r="F117">
        <v>2436011.1812999998</v>
      </c>
      <c r="G117">
        <v>7.4612999999999996</v>
      </c>
      <c r="H117">
        <f t="shared" si="5"/>
        <v>10.647804714286922</v>
      </c>
    </row>
    <row r="118" spans="1:8" x14ac:dyDescent="0.25">
      <c r="A118">
        <v>1957</v>
      </c>
      <c r="B118">
        <v>12</v>
      </c>
      <c r="C118">
        <v>22</v>
      </c>
      <c r="D118">
        <f t="shared" si="3"/>
        <v>58.002189808400459</v>
      </c>
      <c r="E118">
        <f t="shared" si="4"/>
        <v>21002.214809999801</v>
      </c>
      <c r="F118">
        <v>2436194.61748</v>
      </c>
      <c r="G118">
        <v>-19.103200000000001</v>
      </c>
      <c r="H118">
        <f t="shared" si="5"/>
        <v>26.154795940290395</v>
      </c>
    </row>
    <row r="119" spans="1:8" x14ac:dyDescent="0.25">
      <c r="A119">
        <v>1958</v>
      </c>
      <c r="B119">
        <v>6</v>
      </c>
      <c r="C119">
        <v>21</v>
      </c>
      <c r="D119">
        <f t="shared" si="3"/>
        <v>58.499934947239375</v>
      </c>
      <c r="E119">
        <f t="shared" si="4"/>
        <v>21184.012239999603</v>
      </c>
      <c r="F119">
        <v>2436376.4149099998</v>
      </c>
      <c r="G119">
        <v>7.3979999999999997</v>
      </c>
      <c r="H119">
        <f t="shared" si="5"/>
        <v>-32.518312580412207</v>
      </c>
    </row>
    <row r="120" spans="1:8" x14ac:dyDescent="0.25">
      <c r="A120">
        <v>1958</v>
      </c>
      <c r="B120">
        <v>12</v>
      </c>
      <c r="C120">
        <v>22</v>
      </c>
      <c r="D120">
        <f t="shared" si="3"/>
        <v>59.002194791397962</v>
      </c>
      <c r="E120">
        <f t="shared" si="4"/>
        <v>21367.458629999775</v>
      </c>
      <c r="F120">
        <v>2436559.8613</v>
      </c>
      <c r="G120">
        <v>13.9466</v>
      </c>
      <c r="H120">
        <f t="shared" si="5"/>
        <v>-47.463759856883676</v>
      </c>
    </row>
    <row r="121" spans="1:8" x14ac:dyDescent="0.25">
      <c r="A121">
        <v>1959</v>
      </c>
      <c r="B121">
        <v>6</v>
      </c>
      <c r="C121">
        <v>22</v>
      </c>
      <c r="D121">
        <f t="shared" si="3"/>
        <v>59.499943270487933</v>
      </c>
      <c r="E121">
        <f t="shared" si="4"/>
        <v>21549.257279999554</v>
      </c>
      <c r="F121">
        <v>2436741.6599499998</v>
      </c>
      <c r="G121">
        <v>-18.114599999999999</v>
      </c>
      <c r="H121">
        <f t="shared" si="5"/>
        <v>-30.106607451758151</v>
      </c>
    </row>
    <row r="122" spans="1:8" x14ac:dyDescent="0.25">
      <c r="A122">
        <v>1959</v>
      </c>
      <c r="B122">
        <v>12</v>
      </c>
      <c r="C122">
        <v>22</v>
      </c>
      <c r="D122">
        <f t="shared" si="3"/>
        <v>60.002206482276897</v>
      </c>
      <c r="E122">
        <f t="shared" si="4"/>
        <v>21732.704899999779</v>
      </c>
      <c r="F122">
        <v>2436925.10757</v>
      </c>
      <c r="G122">
        <v>1.4064000000000001</v>
      </c>
      <c r="H122">
        <f t="shared" si="5"/>
        <v>-11.689949887594137</v>
      </c>
    </row>
    <row r="123" spans="1:8" x14ac:dyDescent="0.25">
      <c r="A123">
        <v>1960</v>
      </c>
      <c r="B123">
        <v>6</v>
      </c>
      <c r="C123">
        <v>21</v>
      </c>
      <c r="D123">
        <f t="shared" si="3"/>
        <v>60.499950991396638</v>
      </c>
      <c r="E123">
        <f t="shared" si="4"/>
        <v>21914.502099999692</v>
      </c>
      <c r="F123">
        <v>2437106.9047699999</v>
      </c>
      <c r="G123">
        <v>15.012600000000001</v>
      </c>
      <c r="H123">
        <f t="shared" si="5"/>
        <v>43.19803166103074</v>
      </c>
    </row>
    <row r="124" spans="1:8" x14ac:dyDescent="0.25">
      <c r="A124">
        <v>1960</v>
      </c>
      <c r="B124">
        <v>12</v>
      </c>
      <c r="C124">
        <v>21</v>
      </c>
      <c r="D124">
        <f t="shared" si="3"/>
        <v>61.002212423542808</v>
      </c>
      <c r="E124">
        <f t="shared" si="4"/>
        <v>22097.949069999624</v>
      </c>
      <c r="F124">
        <v>2437290.3517399998</v>
      </c>
      <c r="G124">
        <v>-14.5342</v>
      </c>
      <c r="H124">
        <f t="shared" si="5"/>
        <v>48.333080229930871</v>
      </c>
    </row>
    <row r="125" spans="1:8" x14ac:dyDescent="0.25">
      <c r="A125">
        <v>1961</v>
      </c>
      <c r="B125">
        <v>6</v>
      </c>
      <c r="C125">
        <v>21</v>
      </c>
      <c r="D125">
        <f t="shared" si="3"/>
        <v>61.499949731958537</v>
      </c>
      <c r="E125">
        <f t="shared" si="4"/>
        <v>22279.743640000001</v>
      </c>
      <c r="F125">
        <v>2437472.1463100002</v>
      </c>
      <c r="G125">
        <v>0.73499999999999999</v>
      </c>
      <c r="H125">
        <f t="shared" si="5"/>
        <v>-13.518795634788697</v>
      </c>
    </row>
    <row r="126" spans="1:8" x14ac:dyDescent="0.25">
      <c r="A126">
        <v>1961</v>
      </c>
      <c r="B126">
        <v>12</v>
      </c>
      <c r="C126">
        <v>22</v>
      </c>
      <c r="D126">
        <f t="shared" si="3"/>
        <v>62.002222060989617</v>
      </c>
      <c r="E126">
        <f t="shared" si="4"/>
        <v>22463.19458999997</v>
      </c>
      <c r="F126">
        <v>2437655.5972600002</v>
      </c>
      <c r="G126">
        <v>19.0901</v>
      </c>
      <c r="H126">
        <f t="shared" si="5"/>
        <v>-7.2447903771948114</v>
      </c>
    </row>
    <row r="127" spans="1:8" x14ac:dyDescent="0.25">
      <c r="A127">
        <v>1962</v>
      </c>
      <c r="B127">
        <v>6</v>
      </c>
      <c r="C127">
        <v>21</v>
      </c>
      <c r="D127">
        <f t="shared" si="3"/>
        <v>62.499960245535803</v>
      </c>
      <c r="E127">
        <f t="shared" si="4"/>
        <v>22644.989479999989</v>
      </c>
      <c r="F127">
        <v>2437837.3921500002</v>
      </c>
      <c r="G127">
        <v>-16.678999999999998</v>
      </c>
      <c r="H127">
        <f t="shared" si="5"/>
        <v>-46.093951167822055</v>
      </c>
    </row>
    <row r="128" spans="1:8" x14ac:dyDescent="0.25">
      <c r="A128">
        <v>1962</v>
      </c>
      <c r="B128">
        <v>12</v>
      </c>
      <c r="C128">
        <v>22</v>
      </c>
      <c r="D128">
        <f t="shared" si="3"/>
        <v>63.002235969575295</v>
      </c>
      <c r="E128">
        <f t="shared" si="4"/>
        <v>22828.441669999622</v>
      </c>
      <c r="F128">
        <v>2438020.8443399998</v>
      </c>
      <c r="G128">
        <v>-9.7329000000000008</v>
      </c>
      <c r="H128">
        <f t="shared" si="5"/>
        <v>-48.420825716610345</v>
      </c>
    </row>
    <row r="129" spans="1:8" x14ac:dyDescent="0.25">
      <c r="A129">
        <v>1963</v>
      </c>
      <c r="B129">
        <v>6</v>
      </c>
      <c r="C129">
        <v>22</v>
      </c>
      <c r="D129">
        <f t="shared" si="3"/>
        <v>63.499943982345989</v>
      </c>
      <c r="E129">
        <f t="shared" si="4"/>
        <v>23010.225540000014</v>
      </c>
      <c r="F129">
        <v>2438202.6282100002</v>
      </c>
      <c r="G129">
        <v>21.227499999999999</v>
      </c>
      <c r="H129">
        <f t="shared" si="5"/>
        <v>44.32639201244298</v>
      </c>
    </row>
    <row r="130" spans="1:8" x14ac:dyDescent="0.25">
      <c r="A130">
        <v>1963</v>
      </c>
      <c r="B130">
        <v>12</v>
      </c>
      <c r="C130">
        <v>22</v>
      </c>
      <c r="D130">
        <f t="shared" si="3"/>
        <v>64.002232465049843</v>
      </c>
      <c r="E130">
        <f t="shared" si="4"/>
        <v>23193.68238999974</v>
      </c>
      <c r="F130">
        <v>2438386.08506</v>
      </c>
      <c r="G130">
        <v>-11.2691</v>
      </c>
      <c r="H130">
        <f t="shared" si="5"/>
        <v>36.761558605593585</v>
      </c>
    </row>
    <row r="131" spans="1:8" x14ac:dyDescent="0.25">
      <c r="A131">
        <v>1964</v>
      </c>
      <c r="B131">
        <v>6</v>
      </c>
      <c r="C131">
        <v>21</v>
      </c>
      <c r="D131">
        <f t="shared" si="3"/>
        <v>64.499952196077288</v>
      </c>
      <c r="E131">
        <f t="shared" si="4"/>
        <v>23375.47053999966</v>
      </c>
      <c r="F131">
        <v>2438567.8732099999</v>
      </c>
      <c r="G131">
        <v>-14.8531</v>
      </c>
      <c r="H131">
        <f t="shared" si="5"/>
        <v>-26.789238643242516</v>
      </c>
    </row>
    <row r="132" spans="1:8" x14ac:dyDescent="0.25">
      <c r="A132">
        <v>1964</v>
      </c>
      <c r="B132">
        <v>12</v>
      </c>
      <c r="C132">
        <v>21</v>
      </c>
      <c r="D132">
        <f t="shared" ref="D132:D195" si="6">+E132/365.242+0.5</f>
        <v>65.002230904440552</v>
      </c>
      <c r="E132">
        <f t="shared" ref="E132:E195" si="7">+F132-$F$3</f>
        <v>23558.923819999676</v>
      </c>
      <c r="F132">
        <v>2438751.3264899999</v>
      </c>
      <c r="G132">
        <v>21.108799999999999</v>
      </c>
      <c r="H132">
        <f t="shared" ref="H132:H195" si="8">+$J$1*SIN(2*PI()/($H$1/365.242)*$E132)+$M$1*COS(2*PI()/($H$1/365.242)*$E132)</f>
        <v>-2.9866840990443024</v>
      </c>
    </row>
    <row r="133" spans="1:8" x14ac:dyDescent="0.25">
      <c r="A133">
        <v>1965</v>
      </c>
      <c r="B133">
        <v>6</v>
      </c>
      <c r="C133">
        <v>21</v>
      </c>
      <c r="D133">
        <f t="shared" si="6"/>
        <v>65.499971963793243</v>
      </c>
      <c r="E133">
        <f t="shared" si="7"/>
        <v>23740.719759999774</v>
      </c>
      <c r="F133">
        <v>2438933.12243</v>
      </c>
      <c r="G133">
        <v>-8.1696000000000009</v>
      </c>
      <c r="H133">
        <f t="shared" si="8"/>
        <v>-48.385636360067778</v>
      </c>
    </row>
    <row r="134" spans="1:8" x14ac:dyDescent="0.25">
      <c r="A134">
        <v>1965</v>
      </c>
      <c r="B134">
        <v>12</v>
      </c>
      <c r="C134">
        <v>22</v>
      </c>
      <c r="D134">
        <f t="shared" si="6"/>
        <v>66.002235504131448</v>
      </c>
      <c r="E134">
        <f t="shared" si="7"/>
        <v>23924.167499999981</v>
      </c>
      <c r="F134">
        <v>2439116.5701700002</v>
      </c>
      <c r="G134">
        <v>-25.042899999999999</v>
      </c>
      <c r="H134">
        <f t="shared" si="8"/>
        <v>-43.524660355916978</v>
      </c>
    </row>
    <row r="135" spans="1:8" x14ac:dyDescent="0.25">
      <c r="A135">
        <v>1966</v>
      </c>
      <c r="B135">
        <v>6</v>
      </c>
      <c r="C135">
        <v>21</v>
      </c>
      <c r="D135">
        <f t="shared" si="6"/>
        <v>66.499951456841316</v>
      </c>
      <c r="E135">
        <f t="shared" si="7"/>
        <v>24105.954269999638</v>
      </c>
      <c r="F135">
        <v>2439298.3569399999</v>
      </c>
      <c r="G135">
        <v>21.758800000000001</v>
      </c>
      <c r="H135">
        <f t="shared" si="8"/>
        <v>44.411828445826195</v>
      </c>
    </row>
    <row r="136" spans="1:8" x14ac:dyDescent="0.25">
      <c r="A136">
        <v>1966</v>
      </c>
      <c r="B136">
        <v>12</v>
      </c>
      <c r="C136">
        <v>22</v>
      </c>
      <c r="D136">
        <f t="shared" si="6"/>
        <v>67.002234135176082</v>
      </c>
      <c r="E136">
        <f t="shared" si="7"/>
        <v>24289.408999999985</v>
      </c>
      <c r="F136">
        <v>2439481.8116700002</v>
      </c>
      <c r="G136">
        <v>7.7533000000000003</v>
      </c>
      <c r="H136">
        <f t="shared" si="8"/>
        <v>45.381795718313427</v>
      </c>
    </row>
    <row r="137" spans="1:8" x14ac:dyDescent="0.25">
      <c r="A137">
        <v>1967</v>
      </c>
      <c r="B137">
        <v>6</v>
      </c>
      <c r="C137">
        <v>22</v>
      </c>
      <c r="D137">
        <f t="shared" si="6"/>
        <v>67.499953400758969</v>
      </c>
      <c r="E137">
        <f t="shared" si="7"/>
        <v>24471.196980000008</v>
      </c>
      <c r="F137">
        <v>2439663.5996500002</v>
      </c>
      <c r="G137">
        <v>-28.365500000000001</v>
      </c>
      <c r="H137">
        <f t="shared" si="8"/>
        <v>-39.861156235793175</v>
      </c>
    </row>
    <row r="138" spans="1:8" x14ac:dyDescent="0.25">
      <c r="A138">
        <v>1967</v>
      </c>
      <c r="B138">
        <v>12</v>
      </c>
      <c r="C138">
        <v>22</v>
      </c>
      <c r="D138">
        <f t="shared" si="6"/>
        <v>68.002233532835191</v>
      </c>
      <c r="E138">
        <f t="shared" si="7"/>
        <v>24654.650779999793</v>
      </c>
      <c r="F138">
        <v>2439847.05345</v>
      </c>
      <c r="G138">
        <v>12.046799999999999</v>
      </c>
      <c r="H138">
        <f t="shared" si="8"/>
        <v>-16.827308610668975</v>
      </c>
    </row>
    <row r="139" spans="1:8" x14ac:dyDescent="0.25">
      <c r="A139">
        <v>1968</v>
      </c>
      <c r="B139">
        <v>6</v>
      </c>
      <c r="C139">
        <v>21</v>
      </c>
      <c r="D139">
        <f t="shared" si="6"/>
        <v>68.499957151696179</v>
      </c>
      <c r="E139">
        <f t="shared" si="7"/>
        <v>24836.440349999815</v>
      </c>
      <c r="F139">
        <v>2440028.84302</v>
      </c>
      <c r="G139">
        <v>16.187999999999999</v>
      </c>
      <c r="H139">
        <f t="shared" si="8"/>
        <v>-7.6934918489796722</v>
      </c>
    </row>
    <row r="140" spans="1:8" x14ac:dyDescent="0.25">
      <c r="A140">
        <v>1968</v>
      </c>
      <c r="B140">
        <v>12</v>
      </c>
      <c r="C140">
        <v>21</v>
      </c>
      <c r="D140">
        <f t="shared" si="6"/>
        <v>69.002224004906125</v>
      </c>
      <c r="E140">
        <f t="shared" si="7"/>
        <v>25019.889299999923</v>
      </c>
      <c r="F140">
        <v>2440212.2919700001</v>
      </c>
      <c r="G140">
        <v>-25.620100000000001</v>
      </c>
      <c r="H140">
        <f t="shared" si="8"/>
        <v>2.1268065535779819</v>
      </c>
    </row>
    <row r="141" spans="1:8" x14ac:dyDescent="0.25">
      <c r="A141">
        <v>1969</v>
      </c>
      <c r="B141">
        <v>6</v>
      </c>
      <c r="C141">
        <v>21</v>
      </c>
      <c r="D141">
        <f t="shared" si="6"/>
        <v>69.499944420411353</v>
      </c>
      <c r="E141">
        <f t="shared" si="7"/>
        <v>25201.677699999884</v>
      </c>
      <c r="F141">
        <v>2440394.0803700001</v>
      </c>
      <c r="G141">
        <v>7.1479999999999997</v>
      </c>
      <c r="H141">
        <f t="shared" si="8"/>
        <v>13.094150075714639</v>
      </c>
    </row>
    <row r="142" spans="1:8" x14ac:dyDescent="0.25">
      <c r="A142">
        <v>1969</v>
      </c>
      <c r="B142">
        <v>12</v>
      </c>
      <c r="C142">
        <v>22</v>
      </c>
      <c r="D142">
        <f t="shared" si="6"/>
        <v>70.002215380486831</v>
      </c>
      <c r="E142">
        <f t="shared" si="7"/>
        <v>25385.128149999771</v>
      </c>
      <c r="F142">
        <v>2440577.53082</v>
      </c>
      <c r="G142">
        <v>26.607299999999999</v>
      </c>
      <c r="H142">
        <f t="shared" si="8"/>
        <v>15.348025079211023</v>
      </c>
    </row>
    <row r="143" spans="1:8" x14ac:dyDescent="0.25">
      <c r="A143">
        <v>1970</v>
      </c>
      <c r="B143">
        <v>6</v>
      </c>
      <c r="C143">
        <v>21</v>
      </c>
      <c r="D143">
        <f t="shared" si="6"/>
        <v>70.499942777664103</v>
      </c>
      <c r="E143">
        <f t="shared" si="7"/>
        <v>25566.919099999592</v>
      </c>
      <c r="F143">
        <v>2440759.3217699998</v>
      </c>
      <c r="G143">
        <v>-23.211600000000001</v>
      </c>
      <c r="H143">
        <f t="shared" si="8"/>
        <v>-42.459581984424617</v>
      </c>
    </row>
    <row r="144" spans="1:8" x14ac:dyDescent="0.25">
      <c r="A144">
        <v>1970</v>
      </c>
      <c r="B144">
        <v>12</v>
      </c>
      <c r="C144">
        <v>22</v>
      </c>
      <c r="D144">
        <f t="shared" si="6"/>
        <v>71.002222033609854</v>
      </c>
      <c r="E144">
        <f t="shared" si="7"/>
        <v>25750.372579999734</v>
      </c>
      <c r="F144">
        <v>2440942.7752499999</v>
      </c>
      <c r="G144">
        <v>-10.411099999999999</v>
      </c>
      <c r="H144">
        <f t="shared" si="8"/>
        <v>-48.365412782113559</v>
      </c>
    </row>
    <row r="145" spans="1:8" x14ac:dyDescent="0.25">
      <c r="A145">
        <v>1971</v>
      </c>
      <c r="B145">
        <v>6</v>
      </c>
      <c r="C145">
        <v>22</v>
      </c>
      <c r="D145">
        <f t="shared" si="6"/>
        <v>71.499920846999217</v>
      </c>
      <c r="E145">
        <f t="shared" si="7"/>
        <v>25932.153089999687</v>
      </c>
      <c r="F145">
        <v>2441124.5557599999</v>
      </c>
      <c r="G145">
        <v>26.388000000000002</v>
      </c>
      <c r="H145">
        <f t="shared" si="8"/>
        <v>28.071671011473764</v>
      </c>
    </row>
    <row r="146" spans="1:8" x14ac:dyDescent="0.25">
      <c r="A146">
        <v>1971</v>
      </c>
      <c r="B146">
        <v>12</v>
      </c>
      <c r="C146">
        <v>22</v>
      </c>
      <c r="D146">
        <f t="shared" si="6"/>
        <v>72.002221650302218</v>
      </c>
      <c r="E146">
        <f t="shared" si="7"/>
        <v>26115.614439999685</v>
      </c>
      <c r="F146">
        <v>2441308.0171099999</v>
      </c>
      <c r="G146">
        <v>-11.417400000000001</v>
      </c>
      <c r="H146">
        <f t="shared" si="8"/>
        <v>29.040226887630784</v>
      </c>
    </row>
    <row r="147" spans="1:8" x14ac:dyDescent="0.25">
      <c r="A147">
        <v>1972</v>
      </c>
      <c r="B147">
        <v>6</v>
      </c>
      <c r="C147">
        <v>21</v>
      </c>
      <c r="D147">
        <f t="shared" si="6"/>
        <v>72.499917287715135</v>
      </c>
      <c r="E147">
        <f t="shared" si="7"/>
        <v>26297.393789999653</v>
      </c>
      <c r="F147">
        <v>2441489.7964599999</v>
      </c>
      <c r="G147">
        <v>-16.547499999999999</v>
      </c>
      <c r="H147">
        <f t="shared" si="8"/>
        <v>-46.61474003221926</v>
      </c>
    </row>
    <row r="148" spans="1:8" x14ac:dyDescent="0.25">
      <c r="A148">
        <v>1972</v>
      </c>
      <c r="B148">
        <v>12</v>
      </c>
      <c r="C148">
        <v>21</v>
      </c>
      <c r="D148">
        <f t="shared" si="6"/>
        <v>73.002222663329505</v>
      </c>
      <c r="E148">
        <f t="shared" si="7"/>
        <v>26480.856809999794</v>
      </c>
      <c r="F148">
        <v>2441673.25948</v>
      </c>
      <c r="G148">
        <v>21.199300000000001</v>
      </c>
      <c r="H148">
        <f t="shared" si="8"/>
        <v>15.009028574626756</v>
      </c>
    </row>
    <row r="149" spans="1:8" x14ac:dyDescent="0.25">
      <c r="A149">
        <v>1973</v>
      </c>
      <c r="B149">
        <v>6</v>
      </c>
      <c r="C149">
        <v>21</v>
      </c>
      <c r="D149">
        <f t="shared" si="6"/>
        <v>73.499928595287471</v>
      </c>
      <c r="E149">
        <f t="shared" si="7"/>
        <v>26662.639919999987</v>
      </c>
      <c r="F149">
        <v>2441855.0425900002</v>
      </c>
      <c r="G149">
        <v>-7.0270999999999999</v>
      </c>
      <c r="H149">
        <f t="shared" si="8"/>
        <v>12.284425629496994</v>
      </c>
    </row>
    <row r="150" spans="1:8" x14ac:dyDescent="0.25">
      <c r="A150">
        <v>1973</v>
      </c>
      <c r="B150">
        <v>12</v>
      </c>
      <c r="C150">
        <v>22</v>
      </c>
      <c r="D150">
        <f t="shared" si="6"/>
        <v>74.002234710136989</v>
      </c>
      <c r="E150">
        <f t="shared" si="7"/>
        <v>26846.103209999856</v>
      </c>
      <c r="F150">
        <v>2442038.5058800001</v>
      </c>
      <c r="G150">
        <v>-23.286000000000001</v>
      </c>
      <c r="H150">
        <f t="shared" si="8"/>
        <v>-44.995076435444467</v>
      </c>
    </row>
    <row r="151" spans="1:8" x14ac:dyDescent="0.25">
      <c r="A151">
        <v>1974</v>
      </c>
      <c r="B151">
        <v>6</v>
      </c>
      <c r="C151">
        <v>21</v>
      </c>
      <c r="D151">
        <f t="shared" si="6"/>
        <v>74.49990688365456</v>
      </c>
      <c r="E151">
        <f t="shared" si="7"/>
        <v>27027.87398999976</v>
      </c>
      <c r="F151">
        <v>2442220.27666</v>
      </c>
      <c r="G151">
        <v>18.121500000000001</v>
      </c>
      <c r="H151">
        <f t="shared" si="8"/>
        <v>-30.962266558171432</v>
      </c>
    </row>
    <row r="152" spans="1:8" x14ac:dyDescent="0.25">
      <c r="A152">
        <v>1974</v>
      </c>
      <c r="B152">
        <v>12</v>
      </c>
      <c r="C152">
        <v>22</v>
      </c>
      <c r="D152">
        <f t="shared" si="6"/>
        <v>75.002234299450038</v>
      </c>
      <c r="E152">
        <f t="shared" si="7"/>
        <v>27211.34505999973</v>
      </c>
      <c r="F152">
        <v>2442403.7477299999</v>
      </c>
      <c r="G152">
        <v>5.5156000000000001</v>
      </c>
      <c r="H152">
        <f t="shared" si="8"/>
        <v>15.276412435337882</v>
      </c>
    </row>
    <row r="153" spans="1:8" x14ac:dyDescent="0.25">
      <c r="A153">
        <v>1975</v>
      </c>
      <c r="B153">
        <v>6</v>
      </c>
      <c r="C153">
        <v>22</v>
      </c>
      <c r="D153">
        <f t="shared" si="6"/>
        <v>75.499907568132599</v>
      </c>
      <c r="E153">
        <f t="shared" si="7"/>
        <v>27393.116239999887</v>
      </c>
      <c r="F153">
        <v>2442585.5189100001</v>
      </c>
      <c r="G153">
        <v>-21.9407</v>
      </c>
      <c r="H153">
        <f t="shared" si="8"/>
        <v>-11.717049546123629</v>
      </c>
    </row>
    <row r="154" spans="1:8" x14ac:dyDescent="0.25">
      <c r="A154">
        <v>1975</v>
      </c>
      <c r="B154">
        <v>12</v>
      </c>
      <c r="C154">
        <v>22</v>
      </c>
      <c r="D154">
        <f t="shared" si="6"/>
        <v>76.00223648977898</v>
      </c>
      <c r="E154">
        <f t="shared" si="7"/>
        <v>27576.587859999854</v>
      </c>
      <c r="F154">
        <v>2442768.9905300001</v>
      </c>
      <c r="G154">
        <v>9.3888999999999996</v>
      </c>
      <c r="H154">
        <f t="shared" si="8"/>
        <v>31.55080050963188</v>
      </c>
    </row>
    <row r="155" spans="1:8" x14ac:dyDescent="0.25">
      <c r="A155">
        <v>1976</v>
      </c>
      <c r="B155">
        <v>6</v>
      </c>
      <c r="C155">
        <v>21</v>
      </c>
      <c r="D155">
        <f t="shared" si="6"/>
        <v>76.499925227656519</v>
      </c>
      <c r="E155">
        <f t="shared" si="7"/>
        <v>27758.364689999726</v>
      </c>
      <c r="F155">
        <v>2442950.7673599999</v>
      </c>
      <c r="G155">
        <v>8.5989000000000004</v>
      </c>
      <c r="H155">
        <f t="shared" si="8"/>
        <v>38.467135635097115</v>
      </c>
    </row>
    <row r="156" spans="1:8" x14ac:dyDescent="0.25">
      <c r="A156">
        <v>1976</v>
      </c>
      <c r="B156">
        <v>12</v>
      </c>
      <c r="C156">
        <v>21</v>
      </c>
      <c r="D156">
        <f t="shared" si="6"/>
        <v>77.002238597969964</v>
      </c>
      <c r="E156">
        <f t="shared" si="7"/>
        <v>27941.830629999749</v>
      </c>
      <c r="F156">
        <v>2443134.2333</v>
      </c>
      <c r="G156">
        <v>-19.204699999999999</v>
      </c>
      <c r="H156">
        <f t="shared" si="8"/>
        <v>-47.793216596365241</v>
      </c>
    </row>
    <row r="157" spans="1:8" x14ac:dyDescent="0.25">
      <c r="A157">
        <v>1977</v>
      </c>
      <c r="B157">
        <v>6</v>
      </c>
      <c r="C157">
        <v>21</v>
      </c>
      <c r="D157">
        <f t="shared" si="6"/>
        <v>77.499927335847516</v>
      </c>
      <c r="E157">
        <f t="shared" si="7"/>
        <v>28123.607459999621</v>
      </c>
      <c r="F157">
        <v>2443316.0101299998</v>
      </c>
      <c r="G157">
        <v>9.0032999999999994</v>
      </c>
      <c r="H157">
        <f t="shared" si="8"/>
        <v>5.2018038359578007</v>
      </c>
    </row>
    <row r="158" spans="1:8" x14ac:dyDescent="0.25">
      <c r="A158">
        <v>1977</v>
      </c>
      <c r="B158">
        <v>12</v>
      </c>
      <c r="C158">
        <v>21</v>
      </c>
      <c r="D158">
        <f t="shared" si="6"/>
        <v>78.002237721838469</v>
      </c>
      <c r="E158">
        <f t="shared" si="7"/>
        <v>28307.072309999727</v>
      </c>
      <c r="F158">
        <v>2443499.4749799999</v>
      </c>
      <c r="G158">
        <v>14.466799999999999</v>
      </c>
      <c r="H158">
        <f t="shared" si="8"/>
        <v>25.943280218280357</v>
      </c>
    </row>
    <row r="159" spans="1:8" x14ac:dyDescent="0.25">
      <c r="A159">
        <v>1978</v>
      </c>
      <c r="B159">
        <v>6</v>
      </c>
      <c r="C159">
        <v>21</v>
      </c>
      <c r="D159">
        <f t="shared" si="6"/>
        <v>78.499941271813796</v>
      </c>
      <c r="E159">
        <f t="shared" si="7"/>
        <v>28488.854549999814</v>
      </c>
      <c r="F159">
        <v>2443681.25722</v>
      </c>
      <c r="G159">
        <v>-18.658200000000001</v>
      </c>
      <c r="H159">
        <f t="shared" si="8"/>
        <v>-46.445910066653276</v>
      </c>
    </row>
    <row r="160" spans="1:8" x14ac:dyDescent="0.25">
      <c r="A160">
        <v>1978</v>
      </c>
      <c r="B160">
        <v>12</v>
      </c>
      <c r="C160">
        <v>22</v>
      </c>
      <c r="D160">
        <f t="shared" si="6"/>
        <v>79.002255490879662</v>
      </c>
      <c r="E160">
        <f t="shared" si="7"/>
        <v>28672.32079999987</v>
      </c>
      <c r="F160">
        <v>2443864.7234700001</v>
      </c>
      <c r="G160">
        <v>1.8575999999999999</v>
      </c>
      <c r="H160">
        <f t="shared" si="8"/>
        <v>47.900198293796691</v>
      </c>
    </row>
    <row r="161" spans="1:8" x14ac:dyDescent="0.25">
      <c r="A161">
        <v>1979</v>
      </c>
      <c r="B161">
        <v>6</v>
      </c>
      <c r="C161">
        <v>21</v>
      </c>
      <c r="D161">
        <f t="shared" si="6"/>
        <v>79.499937767288344</v>
      </c>
      <c r="E161">
        <f t="shared" si="7"/>
        <v>28854.095269999932</v>
      </c>
      <c r="F161">
        <v>2444046.4979400001</v>
      </c>
      <c r="G161">
        <v>14.5708</v>
      </c>
      <c r="H161">
        <f t="shared" si="8"/>
        <v>27.440503643461742</v>
      </c>
    </row>
    <row r="162" spans="1:8" x14ac:dyDescent="0.25">
      <c r="A162">
        <v>1979</v>
      </c>
      <c r="B162">
        <v>12</v>
      </c>
      <c r="C162">
        <v>22</v>
      </c>
      <c r="D162">
        <f t="shared" si="6"/>
        <v>80.002256147978386</v>
      </c>
      <c r="E162">
        <f t="shared" si="7"/>
        <v>29037.563039999921</v>
      </c>
      <c r="F162">
        <v>2444229.9657100001</v>
      </c>
      <c r="G162">
        <v>-16.7119</v>
      </c>
      <c r="H162">
        <f t="shared" si="8"/>
        <v>-34.213273953956275</v>
      </c>
    </row>
    <row r="163" spans="1:8" x14ac:dyDescent="0.25">
      <c r="A163">
        <v>1980</v>
      </c>
      <c r="B163">
        <v>6</v>
      </c>
      <c r="C163">
        <v>21</v>
      </c>
      <c r="D163">
        <f t="shared" si="6"/>
        <v>80.49994228484131</v>
      </c>
      <c r="E163">
        <f t="shared" si="7"/>
        <v>29219.338920000009</v>
      </c>
      <c r="F163">
        <v>2444411.7415900002</v>
      </c>
      <c r="G163">
        <v>-0.37609999999999999</v>
      </c>
      <c r="H163">
        <f t="shared" si="8"/>
        <v>26.172962392201097</v>
      </c>
    </row>
    <row r="164" spans="1:8" x14ac:dyDescent="0.25">
      <c r="A164">
        <v>1980</v>
      </c>
      <c r="B164">
        <v>12</v>
      </c>
      <c r="C164">
        <v>21</v>
      </c>
      <c r="D164">
        <f t="shared" si="6"/>
        <v>81.002252095870446</v>
      </c>
      <c r="E164">
        <f t="shared" si="7"/>
        <v>29402.803559999913</v>
      </c>
      <c r="F164">
        <v>2444595.2062300001</v>
      </c>
      <c r="G164">
        <v>19.253599999999999</v>
      </c>
      <c r="H164">
        <f t="shared" si="8"/>
        <v>6.6281795050930805</v>
      </c>
    </row>
    <row r="165" spans="1:8" x14ac:dyDescent="0.25">
      <c r="A165">
        <v>1981</v>
      </c>
      <c r="B165">
        <v>6</v>
      </c>
      <c r="C165">
        <v>21</v>
      </c>
      <c r="D165">
        <f t="shared" si="6"/>
        <v>81.499959780090606</v>
      </c>
      <c r="E165">
        <f t="shared" si="7"/>
        <v>29584.587309999857</v>
      </c>
      <c r="F165">
        <v>2444776.9899800001</v>
      </c>
      <c r="G165">
        <v>-18.130500000000001</v>
      </c>
      <c r="H165">
        <f t="shared" si="8"/>
        <v>-27.396647619901632</v>
      </c>
    </row>
    <row r="166" spans="1:8" x14ac:dyDescent="0.25">
      <c r="A166">
        <v>1981</v>
      </c>
      <c r="B166">
        <v>12</v>
      </c>
      <c r="C166">
        <v>21</v>
      </c>
      <c r="D166">
        <f t="shared" si="6"/>
        <v>82.002263430820818</v>
      </c>
      <c r="E166">
        <f t="shared" si="7"/>
        <v>29768.049699999858</v>
      </c>
      <c r="F166">
        <v>2444960.4523700001</v>
      </c>
      <c r="G166">
        <v>-11.1678</v>
      </c>
      <c r="H166">
        <f t="shared" si="8"/>
        <v>48.111996067791267</v>
      </c>
    </row>
    <row r="167" spans="1:8" x14ac:dyDescent="0.25">
      <c r="A167">
        <v>1982</v>
      </c>
      <c r="B167">
        <v>6</v>
      </c>
      <c r="C167">
        <v>21</v>
      </c>
      <c r="D167">
        <f t="shared" si="6"/>
        <v>82.499940450440349</v>
      </c>
      <c r="E167">
        <f t="shared" si="7"/>
        <v>29949.822249999736</v>
      </c>
      <c r="F167">
        <v>2445142.2249199999</v>
      </c>
      <c r="G167">
        <v>21.764700000000001</v>
      </c>
      <c r="H167">
        <f t="shared" si="8"/>
        <v>37.701016377675927</v>
      </c>
    </row>
    <row r="168" spans="1:8" x14ac:dyDescent="0.25">
      <c r="A168">
        <v>1982</v>
      </c>
      <c r="B168">
        <v>12</v>
      </c>
      <c r="C168">
        <v>22</v>
      </c>
      <c r="D168">
        <f t="shared" si="6"/>
        <v>83.002261815452883</v>
      </c>
      <c r="E168">
        <f t="shared" si="7"/>
        <v>30133.291109999642</v>
      </c>
      <c r="F168">
        <v>2445325.6937799999</v>
      </c>
      <c r="G168">
        <v>-11.4488</v>
      </c>
      <c r="H168">
        <f t="shared" si="8"/>
        <v>-37.665479836690146</v>
      </c>
    </row>
    <row r="169" spans="1:8" x14ac:dyDescent="0.25">
      <c r="A169">
        <v>1983</v>
      </c>
      <c r="B169">
        <v>6</v>
      </c>
      <c r="C169">
        <v>21</v>
      </c>
      <c r="D169">
        <f t="shared" si="6"/>
        <v>83.49993516627211</v>
      </c>
      <c r="E169">
        <f t="shared" si="7"/>
        <v>30315.062319999561</v>
      </c>
      <c r="F169">
        <v>2445507.4649899998</v>
      </c>
      <c r="G169">
        <v>-16.000900000000001</v>
      </c>
      <c r="H169">
        <f t="shared" si="8"/>
        <v>-15.264755467839189</v>
      </c>
    </row>
    <row r="170" spans="1:8" x14ac:dyDescent="0.25">
      <c r="A170">
        <v>1983</v>
      </c>
      <c r="B170">
        <v>12</v>
      </c>
      <c r="C170">
        <v>22</v>
      </c>
      <c r="D170">
        <f t="shared" si="6"/>
        <v>84.002268112648622</v>
      </c>
      <c r="E170">
        <f t="shared" si="7"/>
        <v>30498.535410000011</v>
      </c>
      <c r="F170">
        <v>2445690.9380800002</v>
      </c>
      <c r="G170">
        <v>22.589099999999998</v>
      </c>
      <c r="H170">
        <f t="shared" si="8"/>
        <v>-18.483605776843476</v>
      </c>
    </row>
    <row r="171" spans="1:8" x14ac:dyDescent="0.25">
      <c r="A171">
        <v>1984</v>
      </c>
      <c r="B171">
        <v>6</v>
      </c>
      <c r="C171">
        <v>21</v>
      </c>
      <c r="D171">
        <f t="shared" si="6"/>
        <v>84.499944831098233</v>
      </c>
      <c r="E171">
        <f t="shared" si="7"/>
        <v>30680.307849999983</v>
      </c>
      <c r="F171">
        <v>2445872.7105200002</v>
      </c>
      <c r="G171">
        <v>-6.3442999999999996</v>
      </c>
      <c r="H171">
        <f t="shared" si="8"/>
        <v>-44.571551281114459</v>
      </c>
    </row>
    <row r="172" spans="1:8" x14ac:dyDescent="0.25">
      <c r="A172">
        <v>1984</v>
      </c>
      <c r="B172">
        <v>12</v>
      </c>
      <c r="C172">
        <v>21</v>
      </c>
      <c r="D172">
        <f t="shared" si="6"/>
        <v>85.002276518033867</v>
      </c>
      <c r="E172">
        <f t="shared" si="7"/>
        <v>30863.780479999725</v>
      </c>
      <c r="F172">
        <v>2446056.1831499999</v>
      </c>
      <c r="G172">
        <v>-25.686499999999999</v>
      </c>
      <c r="H172">
        <f t="shared" si="8"/>
        <v>47.138521921823205</v>
      </c>
    </row>
    <row r="173" spans="1:8" x14ac:dyDescent="0.25">
      <c r="A173">
        <v>1985</v>
      </c>
      <c r="B173">
        <v>6</v>
      </c>
      <c r="C173">
        <v>21</v>
      </c>
      <c r="D173">
        <f t="shared" si="6"/>
        <v>85.499932318845396</v>
      </c>
      <c r="E173">
        <f t="shared" si="7"/>
        <v>31045.545279999729</v>
      </c>
      <c r="F173">
        <v>2446237.9479499999</v>
      </c>
      <c r="G173">
        <v>23.3947</v>
      </c>
      <c r="H173">
        <f t="shared" si="8"/>
        <v>46.624083418035255</v>
      </c>
    </row>
    <row r="174" spans="1:8" x14ac:dyDescent="0.25">
      <c r="A174">
        <v>1985</v>
      </c>
      <c r="B174">
        <v>12</v>
      </c>
      <c r="C174">
        <v>21</v>
      </c>
      <c r="D174">
        <f t="shared" si="6"/>
        <v>86.002269645878044</v>
      </c>
      <c r="E174">
        <f t="shared" si="7"/>
        <v>31229.01996999979</v>
      </c>
      <c r="F174">
        <v>2446421.42264</v>
      </c>
      <c r="G174">
        <v>10.726599999999999</v>
      </c>
      <c r="H174">
        <f t="shared" si="8"/>
        <v>-36.853220983450846</v>
      </c>
    </row>
    <row r="175" spans="1:8" x14ac:dyDescent="0.25">
      <c r="A175">
        <v>1986</v>
      </c>
      <c r="B175">
        <v>6</v>
      </c>
      <c r="C175">
        <v>21</v>
      </c>
      <c r="D175">
        <f t="shared" si="6"/>
        <v>86.499927335848355</v>
      </c>
      <c r="E175">
        <f t="shared" si="7"/>
        <v>31410.785459999926</v>
      </c>
      <c r="F175">
        <v>2446603.1881300001</v>
      </c>
      <c r="G175">
        <v>-28.092700000000001</v>
      </c>
      <c r="H175">
        <f t="shared" si="8"/>
        <v>-46.055336552604153</v>
      </c>
    </row>
    <row r="176" spans="1:8" x14ac:dyDescent="0.25">
      <c r="A176">
        <v>1986</v>
      </c>
      <c r="B176">
        <v>12</v>
      </c>
      <c r="C176">
        <v>22</v>
      </c>
      <c r="D176">
        <f t="shared" si="6"/>
        <v>87.002281035587046</v>
      </c>
      <c r="E176">
        <f t="shared" si="7"/>
        <v>31594.266129999887</v>
      </c>
      <c r="F176">
        <v>2446786.6688000001</v>
      </c>
      <c r="G176">
        <v>12.584099999999999</v>
      </c>
      <c r="H176">
        <f t="shared" si="8"/>
        <v>-32.315908998887743</v>
      </c>
    </row>
    <row r="177" spans="1:8" x14ac:dyDescent="0.25">
      <c r="A177">
        <v>1987</v>
      </c>
      <c r="B177">
        <v>6</v>
      </c>
      <c r="C177">
        <v>21</v>
      </c>
      <c r="D177">
        <f t="shared" si="6"/>
        <v>87.499912688025432</v>
      </c>
      <c r="E177">
        <f t="shared" si="7"/>
        <v>31776.022109999787</v>
      </c>
      <c r="F177">
        <v>2446968.42478</v>
      </c>
      <c r="G177">
        <v>17.134</v>
      </c>
      <c r="H177">
        <f t="shared" si="8"/>
        <v>46.106496068264015</v>
      </c>
    </row>
    <row r="178" spans="1:8" x14ac:dyDescent="0.25">
      <c r="A178">
        <v>1987</v>
      </c>
      <c r="B178">
        <v>12</v>
      </c>
      <c r="C178">
        <v>22</v>
      </c>
      <c r="D178">
        <f t="shared" si="6"/>
        <v>88.002272055239203</v>
      </c>
      <c r="E178">
        <f t="shared" si="7"/>
        <v>31959.504849999677</v>
      </c>
      <c r="F178">
        <v>2447151.9075199999</v>
      </c>
      <c r="G178">
        <v>-26.855799999999999</v>
      </c>
      <c r="H178">
        <f t="shared" si="8"/>
        <v>42.603527073820018</v>
      </c>
    </row>
    <row r="179" spans="1:8" x14ac:dyDescent="0.25">
      <c r="A179">
        <v>1988</v>
      </c>
      <c r="B179">
        <v>6</v>
      </c>
      <c r="C179">
        <v>21</v>
      </c>
      <c r="D179">
        <f t="shared" si="6"/>
        <v>88.499907595511132</v>
      </c>
      <c r="E179">
        <f t="shared" si="7"/>
        <v>32141.26224999968</v>
      </c>
      <c r="F179">
        <v>2447333.6649199999</v>
      </c>
      <c r="G179">
        <v>4.8167999999999997</v>
      </c>
      <c r="H179">
        <f t="shared" si="8"/>
        <v>-30.307423318967263</v>
      </c>
    </row>
    <row r="180" spans="1:8" x14ac:dyDescent="0.25">
      <c r="A180">
        <v>1988</v>
      </c>
      <c r="B180">
        <v>12</v>
      </c>
      <c r="C180">
        <v>21</v>
      </c>
      <c r="D180">
        <f t="shared" si="6"/>
        <v>89.002259734641569</v>
      </c>
      <c r="E180">
        <f t="shared" si="7"/>
        <v>32324.742349999957</v>
      </c>
      <c r="F180">
        <v>2447517.1450200002</v>
      </c>
      <c r="G180">
        <v>26.277999999999999</v>
      </c>
      <c r="H180">
        <f t="shared" si="8"/>
        <v>-45.393920109263419</v>
      </c>
    </row>
    <row r="181" spans="1:8" x14ac:dyDescent="0.25">
      <c r="A181">
        <v>1989</v>
      </c>
      <c r="B181">
        <v>6</v>
      </c>
      <c r="C181">
        <v>21</v>
      </c>
      <c r="D181">
        <f t="shared" si="6"/>
        <v>89.499922818295062</v>
      </c>
      <c r="E181">
        <f t="shared" si="7"/>
        <v>32506.509809999727</v>
      </c>
      <c r="F181">
        <v>2447698.9124799999</v>
      </c>
      <c r="G181">
        <v>-24.030899999999999</v>
      </c>
      <c r="H181">
        <f t="shared" si="8"/>
        <v>-44.297286237452965</v>
      </c>
    </row>
    <row r="182" spans="1:8" x14ac:dyDescent="0.25">
      <c r="A182">
        <v>1989</v>
      </c>
      <c r="B182">
        <v>12</v>
      </c>
      <c r="C182">
        <v>21</v>
      </c>
      <c r="D182">
        <f t="shared" si="6"/>
        <v>90.002270494630125</v>
      </c>
      <c r="E182">
        <f t="shared" si="7"/>
        <v>32689.988279999699</v>
      </c>
      <c r="F182">
        <v>2447882.3909499999</v>
      </c>
      <c r="G182">
        <v>-12.8697</v>
      </c>
      <c r="H182">
        <f t="shared" si="8"/>
        <v>17.567976688595486</v>
      </c>
    </row>
    <row r="183" spans="1:8" x14ac:dyDescent="0.25">
      <c r="A183">
        <v>1990</v>
      </c>
      <c r="B183">
        <v>6</v>
      </c>
      <c r="C183">
        <v>21</v>
      </c>
      <c r="D183">
        <f t="shared" si="6"/>
        <v>90.499906281314637</v>
      </c>
      <c r="E183">
        <f t="shared" si="7"/>
        <v>32871.745769999921</v>
      </c>
      <c r="F183">
        <v>2448064.1484400001</v>
      </c>
      <c r="G183">
        <v>25.972300000000001</v>
      </c>
      <c r="H183">
        <f t="shared" si="8"/>
        <v>41.647202259821121</v>
      </c>
    </row>
    <row r="184" spans="1:8" x14ac:dyDescent="0.25">
      <c r="A184">
        <v>1990</v>
      </c>
      <c r="B184">
        <v>12</v>
      </c>
      <c r="C184">
        <v>22</v>
      </c>
      <c r="D184">
        <f t="shared" si="6"/>
        <v>91.002263868886885</v>
      </c>
      <c r="E184">
        <f t="shared" si="7"/>
        <v>33055.227859999985</v>
      </c>
      <c r="F184">
        <v>2448247.6305300002</v>
      </c>
      <c r="G184">
        <v>-11.740500000000001</v>
      </c>
      <c r="H184">
        <f t="shared" si="8"/>
        <v>5.696655793989418</v>
      </c>
    </row>
    <row r="185" spans="1:8" x14ac:dyDescent="0.25">
      <c r="A185">
        <v>1991</v>
      </c>
      <c r="B185">
        <v>6</v>
      </c>
      <c r="C185">
        <v>21</v>
      </c>
      <c r="D185">
        <f t="shared" si="6"/>
        <v>91.49990159948625</v>
      </c>
      <c r="E185">
        <f t="shared" si="7"/>
        <v>33236.986059999559</v>
      </c>
      <c r="F185">
        <v>2448429.3887299998</v>
      </c>
      <c r="G185">
        <v>-17.8156</v>
      </c>
      <c r="H185">
        <f t="shared" si="8"/>
        <v>-48.313939366293368</v>
      </c>
    </row>
    <row r="186" spans="1:8" x14ac:dyDescent="0.25">
      <c r="A186">
        <v>1991</v>
      </c>
      <c r="B186">
        <v>12</v>
      </c>
      <c r="C186">
        <v>22</v>
      </c>
      <c r="D186">
        <f t="shared" si="6"/>
        <v>92.002260419118798</v>
      </c>
      <c r="E186">
        <f t="shared" si="7"/>
        <v>33420.468599999789</v>
      </c>
      <c r="F186">
        <v>2448612.87127</v>
      </c>
      <c r="G186">
        <v>21.599499999999999</v>
      </c>
      <c r="H186">
        <f t="shared" si="8"/>
        <v>-34.811020490231741</v>
      </c>
    </row>
    <row r="187" spans="1:8" x14ac:dyDescent="0.25">
      <c r="A187">
        <v>1992</v>
      </c>
      <c r="B187">
        <v>6</v>
      </c>
      <c r="C187">
        <v>21</v>
      </c>
      <c r="D187">
        <f t="shared" si="6"/>
        <v>92.499914714079424</v>
      </c>
      <c r="E187">
        <f t="shared" si="7"/>
        <v>33602.232849999797</v>
      </c>
      <c r="F187">
        <v>2448794.63552</v>
      </c>
      <c r="G187">
        <v>-5.7530000000000001</v>
      </c>
      <c r="H187">
        <f t="shared" si="8"/>
        <v>-9.7323881831292187</v>
      </c>
    </row>
    <row r="188" spans="1:8" x14ac:dyDescent="0.25">
      <c r="A188">
        <v>1992</v>
      </c>
      <c r="B188">
        <v>12</v>
      </c>
      <c r="C188">
        <v>21</v>
      </c>
      <c r="D188">
        <f t="shared" si="6"/>
        <v>93.002262527309796</v>
      </c>
      <c r="E188">
        <f t="shared" si="7"/>
        <v>33785.711369999684</v>
      </c>
      <c r="F188">
        <v>2448978.1140399999</v>
      </c>
      <c r="G188">
        <v>-22.8782</v>
      </c>
      <c r="H188">
        <f t="shared" si="8"/>
        <v>46.859840085800762</v>
      </c>
    </row>
    <row r="189" spans="1:8" x14ac:dyDescent="0.25">
      <c r="A189">
        <v>1993</v>
      </c>
      <c r="B189">
        <v>6</v>
      </c>
      <c r="C189">
        <v>21</v>
      </c>
      <c r="D189">
        <f t="shared" si="6"/>
        <v>93.49990921087921</v>
      </c>
      <c r="E189">
        <f t="shared" si="7"/>
        <v>33967.472839999944</v>
      </c>
      <c r="F189">
        <v>2449159.8755100002</v>
      </c>
      <c r="G189">
        <v>18.923400000000001</v>
      </c>
      <c r="H189">
        <f t="shared" si="8"/>
        <v>33.378893641134816</v>
      </c>
    </row>
    <row r="190" spans="1:8" x14ac:dyDescent="0.25">
      <c r="A190">
        <v>1993</v>
      </c>
      <c r="B190">
        <v>12</v>
      </c>
      <c r="C190">
        <v>21</v>
      </c>
      <c r="D190">
        <f t="shared" si="6"/>
        <v>94.002251356634503</v>
      </c>
      <c r="E190">
        <f t="shared" si="7"/>
        <v>34150.949289999902</v>
      </c>
      <c r="F190">
        <v>2449343.3519600001</v>
      </c>
      <c r="G190">
        <v>7.1590999999999996</v>
      </c>
      <c r="H190">
        <f t="shared" si="8"/>
        <v>-43.271393086213408</v>
      </c>
    </row>
    <row r="191" spans="1:8" x14ac:dyDescent="0.25">
      <c r="A191">
        <v>1994</v>
      </c>
      <c r="B191">
        <v>6</v>
      </c>
      <c r="C191">
        <v>21</v>
      </c>
      <c r="D191">
        <f t="shared" si="6"/>
        <v>94.499907951439823</v>
      </c>
      <c r="E191">
        <f t="shared" si="7"/>
        <v>34332.714379999787</v>
      </c>
      <c r="F191">
        <v>2449525.11705</v>
      </c>
      <c r="G191">
        <v>-20.721900000000002</v>
      </c>
      <c r="H191">
        <f t="shared" si="8"/>
        <v>-48.439119402979003</v>
      </c>
    </row>
    <row r="192" spans="1:8" x14ac:dyDescent="0.25">
      <c r="A192">
        <v>1994</v>
      </c>
      <c r="B192">
        <v>12</v>
      </c>
      <c r="C192">
        <v>22</v>
      </c>
      <c r="D192">
        <f t="shared" si="6"/>
        <v>95.002267373412224</v>
      </c>
      <c r="E192">
        <f t="shared" si="7"/>
        <v>34516.197139999829</v>
      </c>
      <c r="F192">
        <v>2449708.59981</v>
      </c>
      <c r="G192">
        <v>10.770300000000001</v>
      </c>
      <c r="H192">
        <f t="shared" si="8"/>
        <v>-33.870348867327273</v>
      </c>
    </row>
    <row r="193" spans="1:8" x14ac:dyDescent="0.25">
      <c r="A193">
        <v>1995</v>
      </c>
      <c r="B193">
        <v>6</v>
      </c>
      <c r="C193">
        <v>21</v>
      </c>
      <c r="D193">
        <f t="shared" si="6"/>
        <v>95.499904857600299</v>
      </c>
      <c r="E193">
        <f t="shared" si="7"/>
        <v>34697.95524999965</v>
      </c>
      <c r="F193">
        <v>2449890.3579199999</v>
      </c>
      <c r="G193">
        <v>8.923</v>
      </c>
      <c r="H193">
        <f t="shared" si="8"/>
        <v>36.62066221413874</v>
      </c>
    </row>
    <row r="194" spans="1:8" x14ac:dyDescent="0.25">
      <c r="A194">
        <v>1995</v>
      </c>
      <c r="B194">
        <v>12</v>
      </c>
      <c r="C194">
        <v>22</v>
      </c>
      <c r="D194">
        <f t="shared" si="6"/>
        <v>96.002278078643428</v>
      </c>
      <c r="E194">
        <f t="shared" si="7"/>
        <v>34881.443049999885</v>
      </c>
      <c r="F194">
        <v>2450073.8457200001</v>
      </c>
      <c r="G194">
        <v>-19.552499999999998</v>
      </c>
      <c r="H194">
        <f t="shared" si="8"/>
        <v>35.232748562803188</v>
      </c>
    </row>
    <row r="195" spans="1:8" x14ac:dyDescent="0.25">
      <c r="A195">
        <v>1996</v>
      </c>
      <c r="B195">
        <v>6</v>
      </c>
      <c r="C195">
        <v>21</v>
      </c>
      <c r="D195">
        <f t="shared" si="6"/>
        <v>96.499906527726054</v>
      </c>
      <c r="E195">
        <f t="shared" si="7"/>
        <v>35063.197859999724</v>
      </c>
      <c r="F195">
        <v>2450255.6005299999</v>
      </c>
      <c r="G195">
        <v>8.8061000000000007</v>
      </c>
      <c r="H195">
        <f t="shared" si="8"/>
        <v>6.8111701424644542</v>
      </c>
    </row>
    <row r="196" spans="1:8" x14ac:dyDescent="0.25">
      <c r="A196">
        <v>1996</v>
      </c>
      <c r="B196">
        <v>12</v>
      </c>
      <c r="C196">
        <v>21</v>
      </c>
      <c r="D196">
        <f t="shared" ref="D196:D236" si="9">+E196/365.242+0.5</f>
        <v>97.002279255945325</v>
      </c>
      <c r="E196">
        <f t="shared" ref="E196:E236" si="10">+F196-$F$3</f>
        <v>35246.685479999986</v>
      </c>
      <c r="F196">
        <v>2450439.0881500002</v>
      </c>
      <c r="G196">
        <v>13.922800000000001</v>
      </c>
      <c r="H196">
        <f t="shared" ref="H196:H236" si="11">+$J$1*SIN(2*PI()/($H$1/365.242)*$E196)+$M$1*COS(2*PI()/($H$1/365.242)*$E196)</f>
        <v>7.4090762916712611</v>
      </c>
    </row>
    <row r="197" spans="1:8" x14ac:dyDescent="0.25">
      <c r="A197">
        <v>1997</v>
      </c>
      <c r="B197">
        <v>6</v>
      </c>
      <c r="C197">
        <v>21</v>
      </c>
      <c r="D197">
        <f t="shared" si="9"/>
        <v>97.499921257686125</v>
      </c>
      <c r="E197">
        <f t="shared" si="10"/>
        <v>35428.445239999797</v>
      </c>
      <c r="F197">
        <v>2450620.84791</v>
      </c>
      <c r="G197">
        <v>-18.9482</v>
      </c>
      <c r="H197">
        <f t="shared" si="11"/>
        <v>-45.159097009895511</v>
      </c>
    </row>
    <row r="198" spans="1:8" x14ac:dyDescent="0.25">
      <c r="A198">
        <v>1997</v>
      </c>
      <c r="B198">
        <v>12</v>
      </c>
      <c r="C198">
        <v>21</v>
      </c>
      <c r="D198">
        <f t="shared" si="9"/>
        <v>98.002303349558801</v>
      </c>
      <c r="E198">
        <f t="shared" si="10"/>
        <v>35611.936279999558</v>
      </c>
      <c r="F198">
        <v>2450804.3389499998</v>
      </c>
      <c r="G198">
        <v>0.85489999999999999</v>
      </c>
      <c r="H198">
        <f t="shared" si="11"/>
        <v>-27.882542424529369</v>
      </c>
    </row>
    <row r="199" spans="1:8" x14ac:dyDescent="0.25">
      <c r="A199">
        <v>1998</v>
      </c>
      <c r="B199">
        <v>6</v>
      </c>
      <c r="C199">
        <v>21</v>
      </c>
      <c r="D199">
        <f t="shared" si="9"/>
        <v>98.499910169147512</v>
      </c>
      <c r="E199">
        <f t="shared" si="10"/>
        <v>35793.683189999778</v>
      </c>
      <c r="F199">
        <v>2450986.08586</v>
      </c>
      <c r="G199">
        <v>13.5756</v>
      </c>
      <c r="H199">
        <f t="shared" si="11"/>
        <v>40.378740313748786</v>
      </c>
    </row>
    <row r="200" spans="1:8" x14ac:dyDescent="0.25">
      <c r="A200">
        <v>1998</v>
      </c>
      <c r="B200">
        <v>12</v>
      </c>
      <c r="C200">
        <v>22</v>
      </c>
      <c r="D200">
        <f t="shared" si="9"/>
        <v>99.002305156581144</v>
      </c>
      <c r="E200">
        <f t="shared" si="10"/>
        <v>35977.178940000013</v>
      </c>
      <c r="F200">
        <v>2451169.5816100002</v>
      </c>
      <c r="G200">
        <v>-17.751200000000001</v>
      </c>
      <c r="H200">
        <f t="shared" si="11"/>
        <v>-18.564544479662036</v>
      </c>
    </row>
    <row r="201" spans="1:8" x14ac:dyDescent="0.25">
      <c r="A201">
        <v>1999</v>
      </c>
      <c r="B201">
        <v>6</v>
      </c>
      <c r="C201">
        <v>21</v>
      </c>
      <c r="D201">
        <f t="shared" si="9"/>
        <v>99.49990650034745</v>
      </c>
      <c r="E201">
        <f t="shared" si="10"/>
        <v>36158.923849999905</v>
      </c>
      <c r="F201">
        <v>2451351.3265200001</v>
      </c>
      <c r="G201">
        <v>-1.4732000000000001</v>
      </c>
      <c r="H201">
        <f t="shared" si="11"/>
        <v>-15.00894961456231</v>
      </c>
    </row>
    <row r="202" spans="1:8" x14ac:dyDescent="0.25">
      <c r="A202">
        <v>1999</v>
      </c>
      <c r="B202">
        <v>12</v>
      </c>
      <c r="C202">
        <v>22</v>
      </c>
      <c r="D202">
        <f t="shared" si="9"/>
        <v>100.00230299363071</v>
      </c>
      <c r="E202">
        <f t="shared" si="10"/>
        <v>36342.420149999671</v>
      </c>
      <c r="F202">
        <v>2451534.8228199999</v>
      </c>
      <c r="G202">
        <v>19.090399999999999</v>
      </c>
      <c r="H202">
        <f t="shared" si="11"/>
        <v>44.337777868667516</v>
      </c>
    </row>
    <row r="203" spans="1:8" x14ac:dyDescent="0.25">
      <c r="A203">
        <v>2000</v>
      </c>
      <c r="B203">
        <v>6</v>
      </c>
      <c r="C203">
        <v>21</v>
      </c>
      <c r="D203">
        <f t="shared" si="9"/>
        <v>100.49992572048092</v>
      </c>
      <c r="E203">
        <f t="shared" si="10"/>
        <v>36524.172869999893</v>
      </c>
      <c r="F203">
        <v>2451716.5755400001</v>
      </c>
      <c r="G203">
        <v>-18.920999999999999</v>
      </c>
      <c r="H203">
        <f t="shared" si="11"/>
        <v>-47.571457071440307</v>
      </c>
    </row>
    <row r="204" spans="1:8" x14ac:dyDescent="0.25">
      <c r="A204">
        <v>2000</v>
      </c>
      <c r="B204">
        <v>12</v>
      </c>
      <c r="C204">
        <v>21</v>
      </c>
      <c r="D204">
        <f t="shared" si="9"/>
        <v>101.00231279535214</v>
      </c>
      <c r="E204">
        <f t="shared" si="10"/>
        <v>36707.665730000008</v>
      </c>
      <c r="F204">
        <v>2451900.0684000002</v>
      </c>
      <c r="G204">
        <v>-12.001099999999999</v>
      </c>
      <c r="H204">
        <f t="shared" si="11"/>
        <v>-22.709254530012476</v>
      </c>
    </row>
    <row r="205" spans="1:8" x14ac:dyDescent="0.25">
      <c r="A205">
        <v>2001</v>
      </c>
      <c r="B205">
        <v>6</v>
      </c>
      <c r="C205">
        <v>21</v>
      </c>
      <c r="D205">
        <f t="shared" si="9"/>
        <v>101.49992862266571</v>
      </c>
      <c r="E205">
        <f t="shared" si="10"/>
        <v>36889.415929999668</v>
      </c>
      <c r="F205">
        <v>2452081.8185999999</v>
      </c>
      <c r="G205">
        <v>22.0593</v>
      </c>
      <c r="H205">
        <f t="shared" si="11"/>
        <v>14.64829382222856</v>
      </c>
    </row>
    <row r="206" spans="1:8" x14ac:dyDescent="0.25">
      <c r="A206">
        <v>2001</v>
      </c>
      <c r="B206">
        <v>12</v>
      </c>
      <c r="C206">
        <v>21</v>
      </c>
      <c r="D206">
        <f t="shared" si="9"/>
        <v>102.00230441734413</v>
      </c>
      <c r="E206">
        <f t="shared" si="10"/>
        <v>37072.904669999611</v>
      </c>
      <c r="F206">
        <v>2452265.3073399998</v>
      </c>
      <c r="G206">
        <v>-10.133599999999999</v>
      </c>
      <c r="H206">
        <f t="shared" si="11"/>
        <v>5.148942234905852</v>
      </c>
    </row>
    <row r="207" spans="1:8" x14ac:dyDescent="0.25">
      <c r="A207">
        <v>2002</v>
      </c>
      <c r="B207">
        <v>6</v>
      </c>
      <c r="C207">
        <v>21</v>
      </c>
      <c r="D207">
        <f t="shared" si="9"/>
        <v>102.49992522765625</v>
      </c>
      <c r="E207">
        <f t="shared" si="10"/>
        <v>37254.656689999625</v>
      </c>
      <c r="F207">
        <v>2452447.0593599998</v>
      </c>
      <c r="G207">
        <v>-14.978</v>
      </c>
      <c r="H207">
        <f t="shared" si="11"/>
        <v>17.972827962318885</v>
      </c>
    </row>
    <row r="208" spans="1:8" x14ac:dyDescent="0.25">
      <c r="A208">
        <v>2002</v>
      </c>
      <c r="B208">
        <v>12</v>
      </c>
      <c r="C208">
        <v>22</v>
      </c>
      <c r="D208">
        <f t="shared" si="9"/>
        <v>103.00231279535133</v>
      </c>
      <c r="E208">
        <f t="shared" si="10"/>
        <v>37438.149729999714</v>
      </c>
      <c r="F208">
        <v>2452630.5523999999</v>
      </c>
      <c r="G208">
        <v>24.2134</v>
      </c>
      <c r="H208">
        <f t="shared" si="11"/>
        <v>46.720502353209277</v>
      </c>
    </row>
    <row r="209" spans="1:8" x14ac:dyDescent="0.25">
      <c r="A209">
        <v>2003</v>
      </c>
      <c r="B209">
        <v>6</v>
      </c>
      <c r="C209">
        <v>21</v>
      </c>
      <c r="D209">
        <f t="shared" si="9"/>
        <v>103.49992062796709</v>
      </c>
      <c r="E209">
        <f t="shared" si="10"/>
        <v>37619.897009999957</v>
      </c>
      <c r="F209">
        <v>2452812.2996800002</v>
      </c>
      <c r="G209">
        <v>-3.8578000000000001</v>
      </c>
      <c r="H209">
        <f t="shared" si="11"/>
        <v>-40.590107803159853</v>
      </c>
    </row>
    <row r="210" spans="1:8" x14ac:dyDescent="0.25">
      <c r="A210">
        <v>2003</v>
      </c>
      <c r="B210">
        <v>12</v>
      </c>
      <c r="C210">
        <v>22</v>
      </c>
      <c r="D210">
        <f t="shared" si="9"/>
        <v>104.00231460237241</v>
      </c>
      <c r="E210">
        <f t="shared" si="10"/>
        <v>37803.392389999703</v>
      </c>
      <c r="F210">
        <v>2452995.7950599999</v>
      </c>
      <c r="G210">
        <v>-25.543399999999998</v>
      </c>
      <c r="H210">
        <f t="shared" si="11"/>
        <v>-35.792831518796199</v>
      </c>
    </row>
    <row r="211" spans="1:8" x14ac:dyDescent="0.25">
      <c r="A211">
        <v>2004</v>
      </c>
      <c r="B211">
        <v>6</v>
      </c>
      <c r="C211">
        <v>21</v>
      </c>
      <c r="D211">
        <f t="shared" si="9"/>
        <v>104.49991665799583</v>
      </c>
      <c r="E211">
        <f t="shared" si="10"/>
        <v>37985.137559999712</v>
      </c>
      <c r="F211">
        <v>2453177.5402299999</v>
      </c>
      <c r="G211">
        <v>23.102900000000002</v>
      </c>
      <c r="H211">
        <f t="shared" si="11"/>
        <v>48.305431847190924</v>
      </c>
    </row>
    <row r="212" spans="1:8" x14ac:dyDescent="0.25">
      <c r="A212">
        <v>2004</v>
      </c>
      <c r="B212">
        <v>12</v>
      </c>
      <c r="C212">
        <v>21</v>
      </c>
      <c r="D212">
        <f t="shared" si="9"/>
        <v>105.00229428707441</v>
      </c>
      <c r="E212">
        <f t="shared" si="10"/>
        <v>38168.626969999634</v>
      </c>
      <c r="F212">
        <v>2453361.0296399998</v>
      </c>
      <c r="G212">
        <v>12.247999999999999</v>
      </c>
      <c r="H212">
        <f t="shared" si="11"/>
        <v>44.839213430495569</v>
      </c>
    </row>
    <row r="213" spans="1:8" x14ac:dyDescent="0.25">
      <c r="A213">
        <v>2005</v>
      </c>
      <c r="B213">
        <v>6</v>
      </c>
      <c r="C213">
        <v>21</v>
      </c>
      <c r="D213">
        <f t="shared" si="9"/>
        <v>105.49991816384696</v>
      </c>
      <c r="E213">
        <f t="shared" si="10"/>
        <v>38350.380109999795</v>
      </c>
      <c r="F213">
        <v>2453542.78278</v>
      </c>
      <c r="G213">
        <v>-27.569900000000001</v>
      </c>
      <c r="H213">
        <f t="shared" si="11"/>
        <v>-23.559403005878242</v>
      </c>
    </row>
    <row r="214" spans="1:8" x14ac:dyDescent="0.25">
      <c r="A214">
        <v>2005</v>
      </c>
      <c r="B214">
        <v>12</v>
      </c>
      <c r="C214">
        <v>21</v>
      </c>
      <c r="D214">
        <f t="shared" si="9"/>
        <v>106.00230351383402</v>
      </c>
      <c r="E214">
        <f t="shared" si="10"/>
        <v>38533.872339999769</v>
      </c>
      <c r="F214">
        <v>2453726.27501</v>
      </c>
      <c r="G214">
        <v>10.350899999999999</v>
      </c>
      <c r="H214">
        <f t="shared" si="11"/>
        <v>13.356285004461878</v>
      </c>
    </row>
    <row r="215" spans="1:8" x14ac:dyDescent="0.25">
      <c r="A215">
        <v>2006</v>
      </c>
      <c r="B215">
        <v>6</v>
      </c>
      <c r="C215">
        <v>21</v>
      </c>
      <c r="D215">
        <f t="shared" si="9"/>
        <v>106.49990151734927</v>
      </c>
      <c r="E215">
        <f t="shared" si="10"/>
        <v>38715.616029999685</v>
      </c>
      <c r="F215">
        <v>2453908.0186999999</v>
      </c>
      <c r="G215">
        <v>16.4878</v>
      </c>
      <c r="H215">
        <f t="shared" si="11"/>
        <v>28.69596547273817</v>
      </c>
    </row>
    <row r="216" spans="1:8" x14ac:dyDescent="0.25">
      <c r="A216">
        <v>2006</v>
      </c>
      <c r="B216">
        <v>12</v>
      </c>
      <c r="C216">
        <v>22</v>
      </c>
      <c r="D216">
        <f t="shared" si="9"/>
        <v>107.00230099495631</v>
      </c>
      <c r="E216">
        <f t="shared" si="10"/>
        <v>38899.113419999834</v>
      </c>
      <c r="F216">
        <v>2454091.51609</v>
      </c>
      <c r="G216">
        <v>-26.998999999999999</v>
      </c>
      <c r="H216">
        <f t="shared" si="11"/>
        <v>-41.287956757383363</v>
      </c>
    </row>
    <row r="217" spans="1:8" x14ac:dyDescent="0.25">
      <c r="A217">
        <v>2007</v>
      </c>
      <c r="B217">
        <v>6</v>
      </c>
      <c r="C217">
        <v>21</v>
      </c>
      <c r="D217">
        <f t="shared" si="9"/>
        <v>107.49988648621975</v>
      </c>
      <c r="E217">
        <f t="shared" si="10"/>
        <v>39080.852539999876</v>
      </c>
      <c r="F217">
        <v>2454273.2552100001</v>
      </c>
      <c r="G217">
        <v>1.8917999999999999</v>
      </c>
      <c r="H217">
        <f t="shared" si="11"/>
        <v>-29.737349962618524</v>
      </c>
    </row>
    <row r="218" spans="1:8" x14ac:dyDescent="0.25">
      <c r="A218">
        <v>2007</v>
      </c>
      <c r="B218">
        <v>12</v>
      </c>
      <c r="C218">
        <v>22</v>
      </c>
      <c r="D218">
        <f t="shared" si="9"/>
        <v>108.00229576554671</v>
      </c>
      <c r="E218">
        <f t="shared" si="10"/>
        <v>39264.353509999812</v>
      </c>
      <c r="F218">
        <v>2454456.75618</v>
      </c>
      <c r="G218">
        <v>25.193300000000001</v>
      </c>
      <c r="H218">
        <f t="shared" si="11"/>
        <v>48.426217346154679</v>
      </c>
    </row>
    <row r="219" spans="1:8" x14ac:dyDescent="0.25">
      <c r="A219">
        <v>2008</v>
      </c>
      <c r="B219">
        <v>6</v>
      </c>
      <c r="C219">
        <v>21</v>
      </c>
      <c r="D219">
        <f t="shared" si="9"/>
        <v>108.49989497374293</v>
      </c>
      <c r="E219">
        <f t="shared" si="10"/>
        <v>39446.097639999818</v>
      </c>
      <c r="F219">
        <v>2454638.50031</v>
      </c>
      <c r="G219">
        <v>-24.043099999999999</v>
      </c>
      <c r="H219">
        <f t="shared" si="11"/>
        <v>-33.22197823061402</v>
      </c>
    </row>
    <row r="220" spans="1:8" x14ac:dyDescent="0.25">
      <c r="A220">
        <v>2008</v>
      </c>
      <c r="B220">
        <v>12</v>
      </c>
      <c r="C220">
        <v>21</v>
      </c>
      <c r="D220">
        <f t="shared" si="9"/>
        <v>109.00230997530359</v>
      </c>
      <c r="E220">
        <f t="shared" si="10"/>
        <v>39629.600699999835</v>
      </c>
      <c r="F220">
        <v>2454822.00337</v>
      </c>
      <c r="G220">
        <v>-14.6425</v>
      </c>
      <c r="H220">
        <f t="shared" si="11"/>
        <v>10.644669883740375</v>
      </c>
    </row>
    <row r="221" spans="1:8" x14ac:dyDescent="0.25">
      <c r="A221">
        <v>2009</v>
      </c>
      <c r="B221">
        <v>6</v>
      </c>
      <c r="C221">
        <v>21</v>
      </c>
      <c r="D221">
        <f t="shared" si="9"/>
        <v>109.49989059308575</v>
      </c>
      <c r="E221">
        <f t="shared" si="10"/>
        <v>39811.338039999828</v>
      </c>
      <c r="F221">
        <v>2455003.74071</v>
      </c>
      <c r="G221">
        <v>25.165600000000001</v>
      </c>
      <c r="H221">
        <f t="shared" si="11"/>
        <v>47.584948506767844</v>
      </c>
    </row>
    <row r="222" spans="1:8" x14ac:dyDescent="0.25">
      <c r="A222">
        <v>2009</v>
      </c>
      <c r="B222">
        <v>12</v>
      </c>
      <c r="C222">
        <v>21</v>
      </c>
      <c r="D222">
        <f t="shared" si="9"/>
        <v>110.00229962600142</v>
      </c>
      <c r="E222">
        <f t="shared" si="10"/>
        <v>39994.838920000009</v>
      </c>
      <c r="F222">
        <v>2455187.2415900002</v>
      </c>
      <c r="G222">
        <v>-10.323</v>
      </c>
      <c r="H222">
        <f t="shared" si="11"/>
        <v>-22.454396453308366</v>
      </c>
    </row>
    <row r="223" spans="1:8" x14ac:dyDescent="0.25">
      <c r="A223">
        <v>2010</v>
      </c>
      <c r="B223">
        <v>6</v>
      </c>
      <c r="C223">
        <v>21</v>
      </c>
      <c r="D223">
        <f t="shared" si="9"/>
        <v>110.49987996999168</v>
      </c>
      <c r="E223">
        <f t="shared" si="10"/>
        <v>40176.576159999706</v>
      </c>
      <c r="F223">
        <v>2455368.9788299999</v>
      </c>
      <c r="G223">
        <v>-16.645399999999999</v>
      </c>
      <c r="H223">
        <f t="shared" si="11"/>
        <v>-48.366296056905647</v>
      </c>
    </row>
    <row r="224" spans="1:8" x14ac:dyDescent="0.25">
      <c r="A224">
        <v>2010</v>
      </c>
      <c r="B224">
        <v>12</v>
      </c>
      <c r="C224">
        <v>21</v>
      </c>
      <c r="D224">
        <f t="shared" si="9"/>
        <v>111.00230570416264</v>
      </c>
      <c r="E224">
        <f t="shared" si="10"/>
        <v>40360.08313999977</v>
      </c>
      <c r="F224">
        <v>2455552.48581</v>
      </c>
      <c r="G224">
        <v>22.235800000000001</v>
      </c>
      <c r="H224">
        <f t="shared" si="11"/>
        <v>47.657775628683979</v>
      </c>
    </row>
    <row r="225" spans="1:8" x14ac:dyDescent="0.25">
      <c r="A225">
        <v>2011</v>
      </c>
      <c r="B225">
        <v>6</v>
      </c>
      <c r="C225">
        <v>21</v>
      </c>
      <c r="D225">
        <f t="shared" si="9"/>
        <v>111.49987923075548</v>
      </c>
      <c r="E225">
        <f t="shared" si="10"/>
        <v>40541.817889999598</v>
      </c>
      <c r="F225">
        <v>2455734.2205599998</v>
      </c>
      <c r="G225">
        <v>-3.5413999999999999</v>
      </c>
      <c r="H225">
        <f t="shared" si="11"/>
        <v>29.89282452447052</v>
      </c>
    </row>
    <row r="226" spans="1:8" x14ac:dyDescent="0.25">
      <c r="A226">
        <v>2011</v>
      </c>
      <c r="B226">
        <v>12</v>
      </c>
      <c r="C226">
        <v>22</v>
      </c>
      <c r="D226">
        <f t="shared" si="9"/>
        <v>112.0023116180505</v>
      </c>
      <c r="E226">
        <f t="shared" si="10"/>
        <v>40725.327300000004</v>
      </c>
      <c r="F226">
        <v>2455917.7299700002</v>
      </c>
      <c r="G226">
        <v>-21.729399999999998</v>
      </c>
      <c r="H226">
        <f t="shared" si="11"/>
        <v>-6.3769832137474243</v>
      </c>
    </row>
    <row r="227" spans="1:8" x14ac:dyDescent="0.25">
      <c r="A227">
        <v>2012</v>
      </c>
      <c r="B227">
        <v>6</v>
      </c>
      <c r="C227">
        <v>20</v>
      </c>
      <c r="D227">
        <f t="shared" si="9"/>
        <v>112.49988651359897</v>
      </c>
      <c r="E227">
        <f t="shared" si="10"/>
        <v>40907.062549999915</v>
      </c>
      <c r="F227">
        <v>2456099.4652200001</v>
      </c>
      <c r="G227">
        <v>18.384699999999999</v>
      </c>
      <c r="H227">
        <f t="shared" si="11"/>
        <v>30.373208980689565</v>
      </c>
    </row>
    <row r="228" spans="1:8" x14ac:dyDescent="0.25">
      <c r="A228">
        <v>2012</v>
      </c>
      <c r="B228">
        <v>12</v>
      </c>
      <c r="C228">
        <v>21</v>
      </c>
      <c r="D228">
        <f t="shared" si="9"/>
        <v>113.00229844869918</v>
      </c>
      <c r="E228">
        <f t="shared" si="10"/>
        <v>41090.564489999786</v>
      </c>
      <c r="F228">
        <v>2456282.96716</v>
      </c>
      <c r="G228">
        <v>8.0954999999999995</v>
      </c>
      <c r="H228">
        <f t="shared" si="11"/>
        <v>2.1645298452402879</v>
      </c>
    </row>
    <row r="229" spans="1:8" x14ac:dyDescent="0.25">
      <c r="A229">
        <v>2013</v>
      </c>
      <c r="B229">
        <v>6</v>
      </c>
      <c r="C229">
        <v>21</v>
      </c>
      <c r="D229">
        <f t="shared" si="9"/>
        <v>113.49989919012563</v>
      </c>
      <c r="E229">
        <f t="shared" si="10"/>
        <v>41272.309179999866</v>
      </c>
      <c r="F229">
        <v>2456464.7118500001</v>
      </c>
      <c r="G229">
        <v>-19.2637</v>
      </c>
      <c r="H229">
        <f t="shared" si="11"/>
        <v>-34.410142966399121</v>
      </c>
    </row>
    <row r="230" spans="1:8" x14ac:dyDescent="0.25">
      <c r="A230">
        <v>2013</v>
      </c>
      <c r="B230">
        <v>12</v>
      </c>
      <c r="C230">
        <v>21</v>
      </c>
      <c r="D230">
        <f t="shared" si="9"/>
        <v>114.00231922944218</v>
      </c>
      <c r="E230">
        <f t="shared" si="10"/>
        <v>41455.814079999924</v>
      </c>
      <c r="F230">
        <v>2456648.2167500001</v>
      </c>
      <c r="G230">
        <v>10.218</v>
      </c>
      <c r="H230">
        <f t="shared" si="11"/>
        <v>41.148158738878806</v>
      </c>
    </row>
    <row r="231" spans="1:8" x14ac:dyDescent="0.25">
      <c r="A231">
        <v>2014</v>
      </c>
      <c r="B231">
        <v>6</v>
      </c>
      <c r="C231">
        <v>21</v>
      </c>
      <c r="D231">
        <f t="shared" si="9"/>
        <v>114.4998969176592</v>
      </c>
      <c r="E231">
        <f t="shared" si="10"/>
        <v>41637.550349999685</v>
      </c>
      <c r="F231">
        <v>2456829.9530199999</v>
      </c>
      <c r="G231">
        <v>7.9855</v>
      </c>
      <c r="H231">
        <f t="shared" si="11"/>
        <v>1.6358599702383876</v>
      </c>
    </row>
    <row r="232" spans="1:8" x14ac:dyDescent="0.25">
      <c r="A232">
        <v>2014</v>
      </c>
      <c r="B232">
        <v>12</v>
      </c>
      <c r="C232">
        <v>21</v>
      </c>
      <c r="D232">
        <f t="shared" si="9"/>
        <v>115.00232593732257</v>
      </c>
      <c r="E232">
        <f t="shared" si="10"/>
        <v>41821.058529999573</v>
      </c>
      <c r="F232">
        <v>2457013.4611999998</v>
      </c>
      <c r="G232">
        <v>-19.140499999999999</v>
      </c>
      <c r="H232">
        <f t="shared" si="11"/>
        <v>13.969068436068296</v>
      </c>
    </row>
    <row r="233" spans="1:8" x14ac:dyDescent="0.25">
      <c r="A233">
        <v>2015</v>
      </c>
      <c r="B233">
        <v>6</v>
      </c>
      <c r="C233">
        <v>21</v>
      </c>
      <c r="D233">
        <f t="shared" si="9"/>
        <v>115.49989349527043</v>
      </c>
      <c r="E233">
        <f t="shared" si="10"/>
        <v>42002.791099999566</v>
      </c>
      <c r="F233">
        <v>2457195.1937699998</v>
      </c>
      <c r="G233">
        <v>8.1463999999999999</v>
      </c>
      <c r="H233">
        <f t="shared" si="11"/>
        <v>29.387457388602805</v>
      </c>
    </row>
    <row r="234" spans="1:8" x14ac:dyDescent="0.25">
      <c r="A234">
        <v>2015</v>
      </c>
      <c r="B234">
        <v>12</v>
      </c>
      <c r="C234">
        <v>22</v>
      </c>
      <c r="D234">
        <f t="shared" si="9"/>
        <v>116.00231920206205</v>
      </c>
      <c r="E234">
        <f t="shared" si="10"/>
        <v>42186.298069999553</v>
      </c>
      <c r="F234">
        <v>2457378.7007399998</v>
      </c>
      <c r="G234">
        <v>12.3667</v>
      </c>
      <c r="H234">
        <f t="shared" si="11"/>
        <v>-33.888173441708432</v>
      </c>
    </row>
    <row r="235" spans="1:8" x14ac:dyDescent="0.25">
      <c r="A235">
        <v>2016</v>
      </c>
      <c r="B235">
        <v>6</v>
      </c>
      <c r="C235">
        <v>20</v>
      </c>
      <c r="D235">
        <f t="shared" si="9"/>
        <v>116.49990830736844</v>
      </c>
      <c r="E235">
        <f t="shared" si="10"/>
        <v>42368.038509999868</v>
      </c>
      <c r="F235">
        <v>2457560.4411800001</v>
      </c>
      <c r="G235">
        <v>-19.458300000000001</v>
      </c>
      <c r="H235">
        <f t="shared" si="11"/>
        <v>-30.63849252672183</v>
      </c>
    </row>
    <row r="236" spans="1:8" x14ac:dyDescent="0.25">
      <c r="A236">
        <v>2016</v>
      </c>
      <c r="B236">
        <v>12</v>
      </c>
      <c r="C236">
        <v>21</v>
      </c>
      <c r="D236">
        <f t="shared" si="9"/>
        <v>117.00233395940144</v>
      </c>
      <c r="E236">
        <f t="shared" si="10"/>
        <v>42551.545459999703</v>
      </c>
      <c r="F236">
        <v>2457743.9481299999</v>
      </c>
      <c r="G236">
        <v>-0.12690000000000001</v>
      </c>
      <c r="H236">
        <f t="shared" si="11"/>
        <v>25.943450823844351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Sheet7</vt:lpstr>
      <vt:lpstr>Sheet8</vt:lpstr>
      <vt:lpstr>Sheet6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</dc:creator>
  <cp:lastModifiedBy>pp</cp:lastModifiedBy>
  <dcterms:created xsi:type="dcterms:W3CDTF">2016-01-30T22:37:47Z</dcterms:created>
  <dcterms:modified xsi:type="dcterms:W3CDTF">2016-09-01T04:42:11Z</dcterms:modified>
</cp:coreProperties>
</file>