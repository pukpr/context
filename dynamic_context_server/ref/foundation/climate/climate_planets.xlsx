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drawings/drawing9.xml" ContentType="application/vnd.openxmlformats-officedocument.drawingml.chartshapes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gif" ContentType="image/gif"/>
  <Override PartName="/xl/drawings/drawing11.xml" ContentType="application/vnd.openxmlformats-officedocument.drawingml.chartshap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drawings/drawing10.xml" ContentType="application/vnd.openxmlformats-officedocument.drawing+xml"/>
  <Override PartName="/xl/charts/chart14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95" windowWidth="17100" windowHeight="8265" firstSheet="1" activeTab="7"/>
  </bookViews>
  <sheets>
    <sheet name="Mars English" sheetId="3" r:id="rId1"/>
    <sheet name="At" sheetId="1" r:id="rId2"/>
    <sheet name="Iso_s" sheetId="2" r:id="rId3"/>
    <sheet name="Mars Metric" sheetId="5" r:id="rId4"/>
    <sheet name="Venus_1.5" sheetId="7" r:id="rId5"/>
    <sheet name="Venus_Pressure (2)" sheetId="9" r:id="rId6"/>
    <sheet name="specific heat" sheetId="10" r:id="rId7"/>
    <sheet name="bigPlanets" sheetId="11" r:id="rId8"/>
    <sheet name="venusWiki" sheetId="12" r:id="rId9"/>
  </sheets>
  <externalReferences>
    <externalReference r:id="rId10"/>
  </externalReferences>
  <definedNames>
    <definedName name="Gravity" localSheetId="5">'Venus_Pressure (2)'!$F$2</definedName>
    <definedName name="Gravity">Venus_1.5!$F$2</definedName>
    <definedName name="MW" localSheetId="5">'Venus_Pressure (2)'!$F$3</definedName>
    <definedName name="MW">Venus_1.5!$F$3</definedName>
    <definedName name="n" localSheetId="5">'Venus_Pressure (2)'!$B$2</definedName>
    <definedName name="n">Venus_1.5!$B$2</definedName>
    <definedName name="P_0" localSheetId="5">'Venus_Pressure (2)'!$A$6</definedName>
    <definedName name="P_0">Venus_1.5!$A$6</definedName>
    <definedName name="R_gas" localSheetId="5">'Venus_Pressure (2)'!$F$1</definedName>
    <definedName name="R_gas">Venus_1.5!$F$1</definedName>
    <definedName name="T_0" localSheetId="5">'Venus_Pressure (2)'!$A$5</definedName>
    <definedName name="T_0">Venus_1.5!$A$5</definedName>
    <definedName name="Z_0" localSheetId="5">'Venus_Pressure (2)'!$A$4</definedName>
    <definedName name="Z_0">Venus_1.5!$A$4</definedName>
  </definedNames>
  <calcPr calcId="125725"/>
</workbook>
</file>

<file path=xl/calcChain.xml><?xml version="1.0" encoding="utf-8"?>
<calcChain xmlns="http://schemas.openxmlformats.org/spreadsheetml/2006/main">
  <c r="E26" i="10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C97" i="9"/>
  <c r="B97"/>
  <c r="C94"/>
  <c r="C89"/>
  <c r="B94"/>
  <c r="B89"/>
  <c r="C30" i="12"/>
  <c r="B2" i="7"/>
  <c r="C27" i="12"/>
  <c r="C26"/>
  <c r="C25"/>
  <c r="C24"/>
  <c r="C23"/>
  <c r="C22"/>
  <c r="C21"/>
  <c r="C20"/>
  <c r="C19"/>
  <c r="C18"/>
  <c r="C17"/>
  <c r="C16"/>
  <c r="C15"/>
  <c r="C14"/>
  <c r="C13"/>
  <c r="C12"/>
  <c r="C11"/>
  <c r="C10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C2"/>
  <c r="B26" i="10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B7"/>
  <c r="B6"/>
  <c r="B5"/>
  <c r="C11" i="11" l="1"/>
  <c r="B11"/>
  <c r="A11"/>
  <c r="A12" s="1"/>
  <c r="E10"/>
  <c r="D10"/>
  <c r="C10"/>
  <c r="B10"/>
  <c r="B2" i="9"/>
  <c r="I20" i="10"/>
  <c r="I11"/>
  <c r="K2" i="9"/>
  <c r="K1"/>
  <c r="J27"/>
  <c r="I27"/>
  <c r="J26"/>
  <c r="I26"/>
  <c r="J25"/>
  <c r="I25"/>
  <c r="J24"/>
  <c r="I24"/>
  <c r="J23"/>
  <c r="I23"/>
  <c r="J22"/>
  <c r="I22"/>
  <c r="J21"/>
  <c r="I21"/>
  <c r="J20"/>
  <c r="I20"/>
  <c r="J19"/>
  <c r="I19"/>
  <c r="J18"/>
  <c r="I18"/>
  <c r="J17"/>
  <c r="I17"/>
  <c r="J16"/>
  <c r="I16"/>
  <c r="J15"/>
  <c r="I15"/>
  <c r="J14"/>
  <c r="I14"/>
  <c r="J13"/>
  <c r="I13"/>
  <c r="J12"/>
  <c r="I12"/>
  <c r="J11"/>
  <c r="I11"/>
  <c r="A11"/>
  <c r="J10"/>
  <c r="I10"/>
  <c r="B6"/>
  <c r="D5"/>
  <c r="A4"/>
  <c r="O2"/>
  <c r="J27" i="7"/>
  <c r="J26"/>
  <c r="J25"/>
  <c r="J24"/>
  <c r="J23"/>
  <c r="J22"/>
  <c r="J21"/>
  <c r="J20"/>
  <c r="J19"/>
  <c r="J18"/>
  <c r="J17"/>
  <c r="J16"/>
  <c r="J15"/>
  <c r="J14"/>
  <c r="J13"/>
  <c r="J12"/>
  <c r="J11"/>
  <c r="J10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D5"/>
  <c r="B6"/>
  <c r="A4"/>
  <c r="O2"/>
  <c r="A11"/>
  <c r="A12" s="1"/>
  <c r="B11" i="5"/>
  <c r="B12"/>
  <c r="B10"/>
  <c r="E10" s="1"/>
  <c r="B8"/>
  <c r="D1"/>
  <c r="C10"/>
  <c r="A11"/>
  <c r="A12" s="1"/>
  <c r="E1" i="3"/>
  <c r="C10"/>
  <c r="B10"/>
  <c r="E10" s="1"/>
  <c r="A11"/>
  <c r="C11" s="1"/>
  <c r="E8" i="2"/>
  <c r="D8"/>
  <c r="C8"/>
  <c r="E11"/>
  <c r="D11"/>
  <c r="E10"/>
  <c r="D10"/>
  <c r="C10"/>
  <c r="B11"/>
  <c r="B2"/>
  <c r="B8" s="1"/>
  <c r="A12"/>
  <c r="A11"/>
  <c r="C11" s="1"/>
  <c r="E12" i="11" l="1"/>
  <c r="A13"/>
  <c r="D12"/>
  <c r="C12"/>
  <c r="B12"/>
  <c r="D11"/>
  <c r="E11"/>
  <c r="D12" i="2"/>
  <c r="C12"/>
  <c r="B12"/>
  <c r="E12"/>
  <c r="A13"/>
  <c r="B11" i="9"/>
  <c r="B10" i="2"/>
  <c r="E12" i="5"/>
  <c r="D12" s="1"/>
  <c r="C11" i="9"/>
  <c r="K4"/>
  <c r="Q2"/>
  <c r="C10"/>
  <c r="B10"/>
  <c r="K4" i="7"/>
  <c r="A12" i="9"/>
  <c r="Q2" i="7"/>
  <c r="B11"/>
  <c r="B12"/>
  <c r="B10"/>
  <c r="C12"/>
  <c r="C11"/>
  <c r="C10"/>
  <c r="A13"/>
  <c r="B13" s="1"/>
  <c r="C12" i="5"/>
  <c r="C11"/>
  <c r="E11"/>
  <c r="D11" s="1"/>
  <c r="D10"/>
  <c r="A13"/>
  <c r="B13" s="1"/>
  <c r="D10" i="3"/>
  <c r="A12"/>
  <c r="C12" s="1"/>
  <c r="B11"/>
  <c r="E11" s="1"/>
  <c r="D11" s="1"/>
  <c r="D13" i="11" l="1"/>
  <c r="C13"/>
  <c r="A14"/>
  <c r="B13"/>
  <c r="E13"/>
  <c r="C13" i="7"/>
  <c r="A14" i="2"/>
  <c r="E13"/>
  <c r="B13"/>
  <c r="D13"/>
  <c r="C13"/>
  <c r="A13" i="9"/>
  <c r="B12"/>
  <c r="C12"/>
  <c r="A14" i="7"/>
  <c r="E13" i="5"/>
  <c r="D13" s="1"/>
  <c r="C13"/>
  <c r="A14"/>
  <c r="B14" s="1"/>
  <c r="A13" i="3"/>
  <c r="C13" s="1"/>
  <c r="B12"/>
  <c r="E12" s="1"/>
  <c r="D12" s="1"/>
  <c r="C14" i="11" l="1"/>
  <c r="A15"/>
  <c r="B14"/>
  <c r="D14"/>
  <c r="E14"/>
  <c r="A15" i="2"/>
  <c r="B14"/>
  <c r="E14"/>
  <c r="D14"/>
  <c r="C14"/>
  <c r="B13" i="9"/>
  <c r="C13"/>
  <c r="A14"/>
  <c r="C14" i="7"/>
  <c r="B14"/>
  <c r="A15"/>
  <c r="C14" i="5"/>
  <c r="E14"/>
  <c r="D14" s="1"/>
  <c r="A15"/>
  <c r="B15" s="1"/>
  <c r="A14" i="3"/>
  <c r="C14" s="1"/>
  <c r="B13"/>
  <c r="E13" s="1"/>
  <c r="D13" s="1"/>
  <c r="A16" i="11" l="1"/>
  <c r="B15"/>
  <c r="C15"/>
  <c r="E15"/>
  <c r="D15"/>
  <c r="A16" i="2"/>
  <c r="C15"/>
  <c r="B15"/>
  <c r="E15"/>
  <c r="D15"/>
  <c r="A15" i="9"/>
  <c r="B14"/>
  <c r="C14"/>
  <c r="C15" i="7"/>
  <c r="B15"/>
  <c r="A16"/>
  <c r="C15" i="5"/>
  <c r="E15"/>
  <c r="D15" s="1"/>
  <c r="A16"/>
  <c r="B16" s="1"/>
  <c r="A15" i="3"/>
  <c r="C15" s="1"/>
  <c r="B14"/>
  <c r="E14" s="1"/>
  <c r="D14" s="1"/>
  <c r="E16" i="11" l="1"/>
  <c r="D16"/>
  <c r="A17"/>
  <c r="C16"/>
  <c r="B16"/>
  <c r="A17" i="2"/>
  <c r="D16"/>
  <c r="C16"/>
  <c r="E16"/>
  <c r="B16"/>
  <c r="B15" i="9"/>
  <c r="C15"/>
  <c r="A16"/>
  <c r="C16" i="7"/>
  <c r="B16"/>
  <c r="A17"/>
  <c r="C16" i="5"/>
  <c r="E16"/>
  <c r="D16" s="1"/>
  <c r="A17"/>
  <c r="B17" s="1"/>
  <c r="A16" i="3"/>
  <c r="C16" s="1"/>
  <c r="B15"/>
  <c r="E15" s="1"/>
  <c r="D15" s="1"/>
  <c r="D17" i="11" l="1"/>
  <c r="C17"/>
  <c r="A18"/>
  <c r="B17"/>
  <c r="E17"/>
  <c r="A18" i="2"/>
  <c r="E17"/>
  <c r="B17"/>
  <c r="D17"/>
  <c r="C17"/>
  <c r="B16" i="9"/>
  <c r="C16"/>
  <c r="A17"/>
  <c r="B17" i="7"/>
  <c r="C17"/>
  <c r="A18"/>
  <c r="C17" i="5"/>
  <c r="E17"/>
  <c r="D17" s="1"/>
  <c r="A18"/>
  <c r="B18" s="1"/>
  <c r="A17" i="3"/>
  <c r="C17" s="1"/>
  <c r="B16"/>
  <c r="E16" s="1"/>
  <c r="D16" s="1"/>
  <c r="C18" i="11" l="1"/>
  <c r="D18"/>
  <c r="A19"/>
  <c r="B18"/>
  <c r="E18"/>
  <c r="B18" i="2"/>
  <c r="E18"/>
  <c r="D18"/>
  <c r="C18"/>
  <c r="A18" i="9"/>
  <c r="B17"/>
  <c r="C17"/>
  <c r="B18" i="7"/>
  <c r="C18"/>
  <c r="A19"/>
  <c r="E18" i="5"/>
  <c r="D18" s="1"/>
  <c r="C18"/>
  <c r="A19"/>
  <c r="B19" s="1"/>
  <c r="B17" i="3"/>
  <c r="E17" s="1"/>
  <c r="D17" s="1"/>
  <c r="A18"/>
  <c r="C18" s="1"/>
  <c r="A20" i="11" l="1"/>
  <c r="B19"/>
  <c r="E19"/>
  <c r="D19"/>
  <c r="C19"/>
  <c r="B18" i="9"/>
  <c r="C18"/>
  <c r="A19"/>
  <c r="B19" i="7"/>
  <c r="C19"/>
  <c r="A20"/>
  <c r="E19" i="5"/>
  <c r="D19" s="1"/>
  <c r="C19"/>
  <c r="A20"/>
  <c r="B20" s="1"/>
  <c r="B18" i="3"/>
  <c r="E18" s="1"/>
  <c r="D18" s="1"/>
  <c r="A19"/>
  <c r="C19" s="1"/>
  <c r="E20" i="11" l="1"/>
  <c r="A21"/>
  <c r="D20"/>
  <c r="B20"/>
  <c r="C20"/>
  <c r="C19" i="9"/>
  <c r="A20"/>
  <c r="B19"/>
  <c r="B20" i="7"/>
  <c r="C20"/>
  <c r="A21"/>
  <c r="E20" i="5"/>
  <c r="D20" s="1"/>
  <c r="C20"/>
  <c r="A21"/>
  <c r="B21" s="1"/>
  <c r="B19" i="3"/>
  <c r="E19" s="1"/>
  <c r="D19" s="1"/>
  <c r="A20"/>
  <c r="C20" s="1"/>
  <c r="D21" i="11" l="1"/>
  <c r="C21"/>
  <c r="A22"/>
  <c r="B21"/>
  <c r="E21"/>
  <c r="A21" i="9"/>
  <c r="B20"/>
  <c r="C20"/>
  <c r="C21" i="7"/>
  <c r="B21"/>
  <c r="A22"/>
  <c r="E21" i="5"/>
  <c r="D21" s="1"/>
  <c r="C21"/>
  <c r="A22"/>
  <c r="B22" s="1"/>
  <c r="B20" i="3"/>
  <c r="E20" s="1"/>
  <c r="D20" s="1"/>
  <c r="A21"/>
  <c r="C21" s="1"/>
  <c r="C22" i="11" l="1"/>
  <c r="D22"/>
  <c r="A23"/>
  <c r="B22"/>
  <c r="E22"/>
  <c r="B21" i="9"/>
  <c r="C21"/>
  <c r="A22"/>
  <c r="B22" i="7"/>
  <c r="C22"/>
  <c r="A23"/>
  <c r="E22" i="5"/>
  <c r="D22" s="1"/>
  <c r="C22"/>
  <c r="A23"/>
  <c r="B23" s="1"/>
  <c r="B21" i="3"/>
  <c r="E21" s="1"/>
  <c r="D21" s="1"/>
  <c r="A22"/>
  <c r="C22" s="1"/>
  <c r="A24" i="11" l="1"/>
  <c r="B23"/>
  <c r="E23"/>
  <c r="C23"/>
  <c r="D23"/>
  <c r="A23" i="9"/>
  <c r="C22"/>
  <c r="B22"/>
  <c r="B23" i="7"/>
  <c r="C23"/>
  <c r="A24"/>
  <c r="C23" i="5"/>
  <c r="E23"/>
  <c r="D23" s="1"/>
  <c r="A24"/>
  <c r="B24" s="1"/>
  <c r="B22" i="3"/>
  <c r="E22" s="1"/>
  <c r="D22" s="1"/>
  <c r="A23"/>
  <c r="C23" s="1"/>
  <c r="E24" i="11" l="1"/>
  <c r="A25"/>
  <c r="D24"/>
  <c r="C24"/>
  <c r="B24"/>
  <c r="B23" i="9"/>
  <c r="C23"/>
  <c r="A24"/>
  <c r="C24" i="7"/>
  <c r="B24"/>
  <c r="A25"/>
  <c r="C24" i="5"/>
  <c r="E24"/>
  <c r="D24" s="1"/>
  <c r="A25"/>
  <c r="B25" s="1"/>
  <c r="B23" i="3"/>
  <c r="E23" s="1"/>
  <c r="D23" s="1"/>
  <c r="A24"/>
  <c r="C24" s="1"/>
  <c r="D25" i="11" l="1"/>
  <c r="C25"/>
  <c r="A26"/>
  <c r="B25"/>
  <c r="E25"/>
  <c r="B24" i="9"/>
  <c r="C24"/>
  <c r="A25"/>
  <c r="C25" i="7"/>
  <c r="B25"/>
  <c r="A26"/>
  <c r="E25" i="5"/>
  <c r="D25" s="1"/>
  <c r="C25"/>
  <c r="A26"/>
  <c r="B26" s="1"/>
  <c r="B24" i="3"/>
  <c r="E24" s="1"/>
  <c r="D24" s="1"/>
  <c r="A25"/>
  <c r="C25" s="1"/>
  <c r="C26" i="11" l="1"/>
  <c r="A27"/>
  <c r="B26"/>
  <c r="D26"/>
  <c r="E26"/>
  <c r="A26" i="9"/>
  <c r="B25"/>
  <c r="C25"/>
  <c r="B26" i="7"/>
  <c r="C26"/>
  <c r="A27"/>
  <c r="E26" i="5"/>
  <c r="D26" s="1"/>
  <c r="C26"/>
  <c r="A27"/>
  <c r="B27" s="1"/>
  <c r="B25" i="3"/>
  <c r="E25" s="1"/>
  <c r="D25" s="1"/>
  <c r="A26"/>
  <c r="C26" s="1"/>
  <c r="A28" i="11" l="1"/>
  <c r="B27"/>
  <c r="E27"/>
  <c r="D27"/>
  <c r="C27"/>
  <c r="B26" i="9"/>
  <c r="A27"/>
  <c r="C26"/>
  <c r="C27" i="7"/>
  <c r="B27"/>
  <c r="A28"/>
  <c r="E27" i="5"/>
  <c r="D27" s="1"/>
  <c r="C27"/>
  <c r="A28"/>
  <c r="B28" s="1"/>
  <c r="B26" i="3"/>
  <c r="E26" s="1"/>
  <c r="D26" s="1"/>
  <c r="A27"/>
  <c r="C27" s="1"/>
  <c r="E28" i="11" l="1"/>
  <c r="B28"/>
  <c r="D28"/>
  <c r="A29"/>
  <c r="C28"/>
  <c r="C27" i="9"/>
  <c r="A28"/>
  <c r="B27"/>
  <c r="B28" i="7"/>
  <c r="C28"/>
  <c r="A29"/>
  <c r="E28" i="5"/>
  <c r="D28" s="1"/>
  <c r="C28"/>
  <c r="A29"/>
  <c r="B29" s="1"/>
  <c r="B27" i="3"/>
  <c r="E27" s="1"/>
  <c r="D27" s="1"/>
  <c r="A28"/>
  <c r="C28" s="1"/>
  <c r="D29" i="11" l="1"/>
  <c r="C29"/>
  <c r="A30"/>
  <c r="B29"/>
  <c r="E29"/>
  <c r="B28" i="9"/>
  <c r="C28"/>
  <c r="A29"/>
  <c r="C29" i="7"/>
  <c r="B29"/>
  <c r="A30"/>
  <c r="E29" i="5"/>
  <c r="D29" s="1"/>
  <c r="C29"/>
  <c r="A30"/>
  <c r="B30" s="1"/>
  <c r="B28" i="3"/>
  <c r="E28" s="1"/>
  <c r="D28" s="1"/>
  <c r="A29"/>
  <c r="C29" s="1"/>
  <c r="C30" i="11" l="1"/>
  <c r="D30"/>
  <c r="A31"/>
  <c r="B30"/>
  <c r="E30"/>
  <c r="C29" i="9"/>
  <c r="A30"/>
  <c r="B29"/>
  <c r="B30" i="7"/>
  <c r="C30"/>
  <c r="A31"/>
  <c r="C30" i="5"/>
  <c r="E30"/>
  <c r="D30" s="1"/>
  <c r="A31"/>
  <c r="B31" s="1"/>
  <c r="B29" i="3"/>
  <c r="E29" s="1"/>
  <c r="D29" s="1"/>
  <c r="A30"/>
  <c r="C30" s="1"/>
  <c r="A32" i="11" l="1"/>
  <c r="B31"/>
  <c r="E31"/>
  <c r="C31"/>
  <c r="D31"/>
  <c r="B30" i="9"/>
  <c r="C30"/>
  <c r="A31"/>
  <c r="C31" i="7"/>
  <c r="B31"/>
  <c r="A32"/>
  <c r="C31" i="5"/>
  <c r="E31"/>
  <c r="D31" s="1"/>
  <c r="A32"/>
  <c r="B32" s="1"/>
  <c r="B30" i="3"/>
  <c r="E30" s="1"/>
  <c r="D30" s="1"/>
  <c r="A31"/>
  <c r="C31" s="1"/>
  <c r="E32" i="11" l="1"/>
  <c r="A33"/>
  <c r="D32"/>
  <c r="C32"/>
  <c r="B32"/>
  <c r="C31" i="9"/>
  <c r="B31"/>
  <c r="A32"/>
  <c r="C32" i="7"/>
  <c r="B32"/>
  <c r="A33"/>
  <c r="C32" i="5"/>
  <c r="E32"/>
  <c r="D32" s="1"/>
  <c r="A33"/>
  <c r="B33" s="1"/>
  <c r="B31" i="3"/>
  <c r="E31" s="1"/>
  <c r="D31" s="1"/>
  <c r="A32"/>
  <c r="C32" s="1"/>
  <c r="D33" i="11" l="1"/>
  <c r="C33"/>
  <c r="A34"/>
  <c r="B33"/>
  <c r="E33"/>
  <c r="B32" i="9"/>
  <c r="C32"/>
  <c r="A33"/>
  <c r="B33" i="7"/>
  <c r="C33"/>
  <c r="A34"/>
  <c r="E33" i="5"/>
  <c r="D33" s="1"/>
  <c r="C33"/>
  <c r="A34"/>
  <c r="B32" i="3"/>
  <c r="E32" s="1"/>
  <c r="D32" s="1"/>
  <c r="A33"/>
  <c r="C33" s="1"/>
  <c r="C34" i="11" l="1"/>
  <c r="A35"/>
  <c r="B34"/>
  <c r="D34"/>
  <c r="E34"/>
  <c r="B34" i="5"/>
  <c r="A35"/>
  <c r="B33" i="9"/>
  <c r="C33"/>
  <c r="A34"/>
  <c r="C34" i="7"/>
  <c r="B34"/>
  <c r="A35"/>
  <c r="E34" i="5"/>
  <c r="D34" s="1"/>
  <c r="C34"/>
  <c r="B33" i="3"/>
  <c r="E33" s="1"/>
  <c r="D33" s="1"/>
  <c r="A34"/>
  <c r="C34" s="1"/>
  <c r="A36" i="11" l="1"/>
  <c r="B35"/>
  <c r="C35"/>
  <c r="E35"/>
  <c r="D35"/>
  <c r="A36" i="5"/>
  <c r="C35"/>
  <c r="B35"/>
  <c r="E35" s="1"/>
  <c r="D35" s="1"/>
  <c r="A35" i="9"/>
  <c r="C34"/>
  <c r="B34"/>
  <c r="B35" i="7"/>
  <c r="C35"/>
  <c r="A36"/>
  <c r="B34" i="3"/>
  <c r="E34" s="1"/>
  <c r="D34" s="1"/>
  <c r="A35"/>
  <c r="C35" s="1"/>
  <c r="E36" i="11" l="1"/>
  <c r="D36"/>
  <c r="A37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C36"/>
  <c r="B36"/>
  <c r="B36" i="5"/>
  <c r="E36" s="1"/>
  <c r="D36" s="1"/>
  <c r="C36"/>
  <c r="A37"/>
  <c r="B35" i="9"/>
  <c r="C35"/>
  <c r="A36"/>
  <c r="B36" i="7"/>
  <c r="C36"/>
  <c r="A37"/>
  <c r="B35" i="3"/>
  <c r="E35" s="1"/>
  <c r="D35" s="1"/>
  <c r="A36"/>
  <c r="C36" s="1"/>
  <c r="B37" i="5" l="1"/>
  <c r="E37" s="1"/>
  <c r="D37" s="1"/>
  <c r="A38"/>
  <c r="C37"/>
  <c r="B36" i="9"/>
  <c r="C36"/>
  <c r="A37"/>
  <c r="C37" i="7"/>
  <c r="B37"/>
  <c r="A38"/>
  <c r="B36" i="3"/>
  <c r="E36" s="1"/>
  <c r="D36" s="1"/>
  <c r="A37"/>
  <c r="C37" s="1"/>
  <c r="B38" i="5" l="1"/>
  <c r="E38" s="1"/>
  <c r="D38" s="1"/>
  <c r="A39"/>
  <c r="C38"/>
  <c r="C37" i="9"/>
  <c r="A38"/>
  <c r="B37"/>
  <c r="B38" i="7"/>
  <c r="C38"/>
  <c r="A39"/>
  <c r="C39" s="1"/>
  <c r="B37" i="3"/>
  <c r="E37" s="1"/>
  <c r="D37" s="1"/>
  <c r="A38"/>
  <c r="C38" s="1"/>
  <c r="B39" i="5" l="1"/>
  <c r="E39" s="1"/>
  <c r="D39" s="1"/>
  <c r="A40"/>
  <c r="C39"/>
  <c r="B38" i="9"/>
  <c r="C38"/>
  <c r="A39"/>
  <c r="B39" i="7"/>
  <c r="A40"/>
  <c r="B38" i="3"/>
  <c r="E38" s="1"/>
  <c r="D38" s="1"/>
  <c r="A39"/>
  <c r="C39" s="1"/>
  <c r="B40" i="5" l="1"/>
  <c r="E40" s="1"/>
  <c r="D40" s="1"/>
  <c r="C40"/>
  <c r="A41"/>
  <c r="C39" i="9"/>
  <c r="B39"/>
  <c r="A40"/>
  <c r="B40" i="7"/>
  <c r="C40"/>
  <c r="A41"/>
  <c r="B39" i="3"/>
  <c r="E39" s="1"/>
  <c r="D39" s="1"/>
  <c r="A40"/>
  <c r="C40" s="1"/>
  <c r="B41" i="5" l="1"/>
  <c r="E41" s="1"/>
  <c r="D41" s="1"/>
  <c r="C41"/>
  <c r="A42"/>
  <c r="B40" i="9"/>
  <c r="C40"/>
  <c r="A41"/>
  <c r="B41" i="7"/>
  <c r="C41"/>
  <c r="A42"/>
  <c r="B40" i="3"/>
  <c r="E40" s="1"/>
  <c r="D40" s="1"/>
  <c r="A41"/>
  <c r="C41" s="1"/>
  <c r="B42" i="5" l="1"/>
  <c r="E42" s="1"/>
  <c r="D42" s="1"/>
  <c r="A43"/>
  <c r="C42"/>
  <c r="B41" i="9"/>
  <c r="C41"/>
  <c r="A42"/>
  <c r="C42" i="7"/>
  <c r="B42"/>
  <c r="A43"/>
  <c r="B41" i="3"/>
  <c r="E41" s="1"/>
  <c r="D41" s="1"/>
  <c r="A42"/>
  <c r="C42" s="1"/>
  <c r="B43" i="5" l="1"/>
  <c r="E43" s="1"/>
  <c r="D43" s="1"/>
  <c r="C43"/>
  <c r="A44"/>
  <c r="A43" i="9"/>
  <c r="C42"/>
  <c r="B42"/>
  <c r="B43" i="7"/>
  <c r="C43"/>
  <c r="A44"/>
  <c r="B42" i="3"/>
  <c r="E42" s="1"/>
  <c r="D42" s="1"/>
  <c r="A43"/>
  <c r="C43" s="1"/>
  <c r="B44" i="5" l="1"/>
  <c r="E44" s="1"/>
  <c r="D44" s="1"/>
  <c r="C44"/>
  <c r="A45"/>
  <c r="B43" i="9"/>
  <c r="C43"/>
  <c r="A44"/>
  <c r="C44" i="7"/>
  <c r="B44"/>
  <c r="A45"/>
  <c r="B43" i="3"/>
  <c r="E43" s="1"/>
  <c r="D43" s="1"/>
  <c r="A44"/>
  <c r="C44" s="1"/>
  <c r="B45" i="5" l="1"/>
  <c r="E45" s="1"/>
  <c r="D45" s="1"/>
  <c r="A46"/>
  <c r="C45"/>
  <c r="A45" i="9"/>
  <c r="B44"/>
  <c r="C44"/>
  <c r="B45" i="7"/>
  <c r="C45"/>
  <c r="A46"/>
  <c r="B44" i="3"/>
  <c r="E44" s="1"/>
  <c r="D44" s="1"/>
  <c r="A45"/>
  <c r="C45" s="1"/>
  <c r="B46" i="5" l="1"/>
  <c r="E46" s="1"/>
  <c r="D46" s="1"/>
  <c r="C46"/>
  <c r="A47"/>
  <c r="C45" i="9"/>
  <c r="A46"/>
  <c r="B45"/>
  <c r="C46" i="7"/>
  <c r="B46"/>
  <c r="A47"/>
  <c r="B45" i="3"/>
  <c r="E45" s="1"/>
  <c r="D45" s="1"/>
  <c r="A46"/>
  <c r="C46" s="1"/>
  <c r="B47" i="5" l="1"/>
  <c r="E47" s="1"/>
  <c r="D47" s="1"/>
  <c r="A48"/>
  <c r="C47"/>
  <c r="B46" i="9"/>
  <c r="C46"/>
  <c r="A47"/>
  <c r="C47" i="7"/>
  <c r="B47"/>
  <c r="A48"/>
  <c r="B46" i="3"/>
  <c r="E46" s="1"/>
  <c r="D46" s="1"/>
  <c r="A47"/>
  <c r="C47" s="1"/>
  <c r="B48" i="5" l="1"/>
  <c r="E48" s="1"/>
  <c r="D48" s="1"/>
  <c r="A49"/>
  <c r="C48"/>
  <c r="A48" i="9"/>
  <c r="B47"/>
  <c r="C47"/>
  <c r="C48" i="7"/>
  <c r="B48"/>
  <c r="A49"/>
  <c r="B47" i="3"/>
  <c r="E47" s="1"/>
  <c r="D47" s="1"/>
  <c r="A48"/>
  <c r="C48" s="1"/>
  <c r="B49" i="5" l="1"/>
  <c r="E49" s="1"/>
  <c r="D49" s="1"/>
  <c r="C49"/>
  <c r="A50"/>
  <c r="B48" i="9"/>
  <c r="C48"/>
  <c r="A49"/>
  <c r="B49" i="7"/>
  <c r="C49"/>
  <c r="A50"/>
  <c r="B48" i="3"/>
  <c r="E48" s="1"/>
  <c r="D48" s="1"/>
  <c r="A49"/>
  <c r="C49" s="1"/>
  <c r="B50" i="5" l="1"/>
  <c r="E50" s="1"/>
  <c r="D50" s="1"/>
  <c r="A51"/>
  <c r="C50"/>
  <c r="B49" i="9"/>
  <c r="C49"/>
  <c r="A50"/>
  <c r="B50" i="7"/>
  <c r="C50"/>
  <c r="A51"/>
  <c r="B49" i="3"/>
  <c r="E49" s="1"/>
  <c r="D49" s="1"/>
  <c r="A50"/>
  <c r="C50" s="1"/>
  <c r="B51" i="5" l="1"/>
  <c r="E51" s="1"/>
  <c r="D51" s="1"/>
  <c r="A52"/>
  <c r="C51"/>
  <c r="A51" i="9"/>
  <c r="B50"/>
  <c r="C50"/>
  <c r="C51" i="7"/>
  <c r="B51"/>
  <c r="A52"/>
  <c r="B50" i="3"/>
  <c r="E50" s="1"/>
  <c r="D50" s="1"/>
  <c r="A51"/>
  <c r="C51" s="1"/>
  <c r="B52" i="5" l="1"/>
  <c r="E52" s="1"/>
  <c r="D52" s="1"/>
  <c r="C52"/>
  <c r="A53"/>
  <c r="B51" i="9"/>
  <c r="C51"/>
  <c r="A52"/>
  <c r="C52" i="7"/>
  <c r="B52"/>
  <c r="A53"/>
  <c r="B51" i="3"/>
  <c r="E51" s="1"/>
  <c r="D51" s="1"/>
  <c r="A52"/>
  <c r="C52" s="1"/>
  <c r="B53" i="5" l="1"/>
  <c r="E53" s="1"/>
  <c r="D53" s="1"/>
  <c r="A54"/>
  <c r="C53"/>
  <c r="A53" i="9"/>
  <c r="B52"/>
  <c r="C52"/>
  <c r="B53" i="7"/>
  <c r="C53"/>
  <c r="A54"/>
  <c r="B52" i="3"/>
  <c r="E52" s="1"/>
  <c r="D52" s="1"/>
  <c r="A53"/>
  <c r="C53" s="1"/>
  <c r="B54" i="5" l="1"/>
  <c r="E54" s="1"/>
  <c r="D54" s="1"/>
  <c r="C54"/>
  <c r="A55"/>
  <c r="C53" i="9"/>
  <c r="A54"/>
  <c r="B53"/>
  <c r="B54" i="7"/>
  <c r="C54"/>
  <c r="A55"/>
  <c r="B53" i="3"/>
  <c r="E53" s="1"/>
  <c r="D53" s="1"/>
  <c r="A54"/>
  <c r="C54" s="1"/>
  <c r="B55" i="5" l="1"/>
  <c r="E55" s="1"/>
  <c r="D55" s="1"/>
  <c r="A56"/>
  <c r="C55"/>
  <c r="B54" i="9"/>
  <c r="C54"/>
  <c r="A55"/>
  <c r="B55" i="7"/>
  <c r="C55"/>
  <c r="A56"/>
  <c r="B54" i="3"/>
  <c r="E54" s="1"/>
  <c r="D54" s="1"/>
  <c r="A55"/>
  <c r="C55" s="1"/>
  <c r="B56" i="5" l="1"/>
  <c r="E56" s="1"/>
  <c r="D56" s="1"/>
  <c r="C56"/>
  <c r="A57"/>
  <c r="A56" i="9"/>
  <c r="B55"/>
  <c r="C55"/>
  <c r="B56" i="7"/>
  <c r="C56"/>
  <c r="A57"/>
  <c r="B55" i="3"/>
  <c r="E55" s="1"/>
  <c r="D55" s="1"/>
  <c r="A56"/>
  <c r="C56" s="1"/>
  <c r="B57" i="5" l="1"/>
  <c r="E57" s="1"/>
  <c r="D57" s="1"/>
  <c r="C57"/>
  <c r="A58"/>
  <c r="B56" i="9"/>
  <c r="C56"/>
  <c r="A57"/>
  <c r="B57" i="7"/>
  <c r="C57"/>
  <c r="A58"/>
  <c r="B56" i="3"/>
  <c r="E56" s="1"/>
  <c r="D56" s="1"/>
  <c r="A57"/>
  <c r="C57" s="1"/>
  <c r="B58" i="5" l="1"/>
  <c r="E58" s="1"/>
  <c r="D58" s="1"/>
  <c r="C58"/>
  <c r="A59"/>
  <c r="B57" i="9"/>
  <c r="C57"/>
  <c r="A58"/>
  <c r="C58" i="7"/>
  <c r="B58"/>
  <c r="A59"/>
  <c r="B57" i="3"/>
  <c r="E57" s="1"/>
  <c r="D57" s="1"/>
  <c r="A58"/>
  <c r="C58" s="1"/>
  <c r="B59" i="5" l="1"/>
  <c r="E59" s="1"/>
  <c r="D59" s="1"/>
  <c r="A60"/>
  <c r="C59"/>
  <c r="A59" i="9"/>
  <c r="B58"/>
  <c r="C58"/>
  <c r="C59" i="7"/>
  <c r="B59"/>
  <c r="A60"/>
  <c r="B58" i="3"/>
  <c r="E58" s="1"/>
  <c r="D58" s="1"/>
  <c r="A59"/>
  <c r="C59" s="1"/>
  <c r="B60" i="5" l="1"/>
  <c r="E60" s="1"/>
  <c r="D60" s="1"/>
  <c r="C60"/>
  <c r="A61"/>
  <c r="B59" i="9"/>
  <c r="C59"/>
  <c r="A60"/>
  <c r="C60" i="7"/>
  <c r="B60"/>
  <c r="A61"/>
  <c r="B59" i="3"/>
  <c r="E59" s="1"/>
  <c r="D59" s="1"/>
  <c r="A60"/>
  <c r="C60" s="1"/>
  <c r="B61" i="5" l="1"/>
  <c r="E61" s="1"/>
  <c r="D61" s="1"/>
  <c r="C61"/>
  <c r="A62"/>
  <c r="B60" i="9"/>
  <c r="C60"/>
  <c r="A61"/>
  <c r="B61" i="7"/>
  <c r="C61"/>
  <c r="A62"/>
  <c r="B60" i="3"/>
  <c r="E60" s="1"/>
  <c r="D60" s="1"/>
  <c r="A61"/>
  <c r="C61" s="1"/>
  <c r="B62" i="5" l="1"/>
  <c r="E62" s="1"/>
  <c r="D62" s="1"/>
  <c r="C62"/>
  <c r="A63"/>
  <c r="C61" i="9"/>
  <c r="A62"/>
  <c r="B61"/>
  <c r="C62" i="7"/>
  <c r="B62"/>
  <c r="A63"/>
  <c r="B61" i="3"/>
  <c r="E61" s="1"/>
  <c r="D61" s="1"/>
  <c r="A62"/>
  <c r="C62" s="1"/>
  <c r="B63" i="5" l="1"/>
  <c r="E63" s="1"/>
  <c r="D63" s="1"/>
  <c r="C63"/>
  <c r="A64"/>
  <c r="B62" i="9"/>
  <c r="C62"/>
  <c r="A63"/>
  <c r="C63" i="7"/>
  <c r="B63"/>
  <c r="A64"/>
  <c r="B62" i="3"/>
  <c r="E62" s="1"/>
  <c r="D62" s="1"/>
  <c r="A63"/>
  <c r="C63" s="1"/>
  <c r="B64" i="5" l="1"/>
  <c r="E64" s="1"/>
  <c r="D64" s="1"/>
  <c r="A65"/>
  <c r="C64"/>
  <c r="C63" i="9"/>
  <c r="B63"/>
  <c r="A64"/>
  <c r="B64" i="7"/>
  <c r="C64"/>
  <c r="A65"/>
  <c r="B63" i="3"/>
  <c r="E63" s="1"/>
  <c r="D63" s="1"/>
  <c r="A64"/>
  <c r="C64" s="1"/>
  <c r="B65" i="5" l="1"/>
  <c r="E65" s="1"/>
  <c r="D65" s="1"/>
  <c r="C65"/>
  <c r="A66"/>
  <c r="B64" i="9"/>
  <c r="C64"/>
  <c r="A65"/>
  <c r="C65" i="7"/>
  <c r="B65"/>
  <c r="A66"/>
  <c r="B64" i="3"/>
  <c r="E64" s="1"/>
  <c r="D64" s="1"/>
  <c r="A65"/>
  <c r="C65" s="1"/>
  <c r="B66" i="5" l="1"/>
  <c r="E66" s="1"/>
  <c r="D66" s="1"/>
  <c r="C66"/>
  <c r="A67"/>
  <c r="B65" i="9"/>
  <c r="C65"/>
  <c r="A66"/>
  <c r="C66" i="7"/>
  <c r="B66"/>
  <c r="A67"/>
  <c r="B65" i="3"/>
  <c r="E65" s="1"/>
  <c r="D65" s="1"/>
  <c r="A66"/>
  <c r="C66" s="1"/>
  <c r="B67" i="5" l="1"/>
  <c r="E67" s="1"/>
  <c r="D67" s="1"/>
  <c r="A68"/>
  <c r="C67"/>
  <c r="A67" i="9"/>
  <c r="C66"/>
  <c r="B66"/>
  <c r="B67" i="7"/>
  <c r="C67"/>
  <c r="A68"/>
  <c r="B66" i="3"/>
  <c r="E66" s="1"/>
  <c r="D66" s="1"/>
  <c r="A67"/>
  <c r="C67" s="1"/>
  <c r="B68" i="5" l="1"/>
  <c r="E68" s="1"/>
  <c r="D68" s="1"/>
  <c r="C68"/>
  <c r="A69"/>
  <c r="B67" i="9"/>
  <c r="C67"/>
  <c r="A68"/>
  <c r="B68" i="7"/>
  <c r="C68"/>
  <c r="A69"/>
  <c r="B67" i="3"/>
  <c r="E67" s="1"/>
  <c r="D67" s="1"/>
  <c r="A68"/>
  <c r="C68" s="1"/>
  <c r="B69" i="5" l="1"/>
  <c r="E69" s="1"/>
  <c r="D69" s="1"/>
  <c r="C69"/>
  <c r="A70"/>
  <c r="A69" i="9"/>
  <c r="B68"/>
  <c r="C68"/>
  <c r="C69" i="7"/>
  <c r="B69"/>
  <c r="A70"/>
  <c r="B68" i="3"/>
  <c r="E68" s="1"/>
  <c r="D68" s="1"/>
  <c r="A69"/>
  <c r="C69" s="1"/>
  <c r="B70" i="5" l="1"/>
  <c r="E70" s="1"/>
  <c r="D70" s="1"/>
  <c r="A71"/>
  <c r="C70"/>
  <c r="C69" i="9"/>
  <c r="A70"/>
  <c r="B69"/>
  <c r="C70" i="7"/>
  <c r="B70"/>
  <c r="A71"/>
  <c r="B69" i="3"/>
  <c r="E69" s="1"/>
  <c r="D69" s="1"/>
  <c r="A70"/>
  <c r="C70" s="1"/>
  <c r="B71" i="5" l="1"/>
  <c r="E71" s="1"/>
  <c r="D71" s="1"/>
  <c r="A72"/>
  <c r="C71"/>
  <c r="B70" i="9"/>
  <c r="C70"/>
  <c r="A71"/>
  <c r="C71" i="7"/>
  <c r="B71"/>
  <c r="A72"/>
  <c r="B70" i="3"/>
  <c r="E70" s="1"/>
  <c r="D70" s="1"/>
  <c r="A71"/>
  <c r="C71" s="1"/>
  <c r="B72" i="5" l="1"/>
  <c r="E72" s="1"/>
  <c r="D72" s="1"/>
  <c r="A73"/>
  <c r="C72"/>
  <c r="B71" i="9"/>
  <c r="C71"/>
  <c r="A72"/>
  <c r="B72" i="7"/>
  <c r="C72"/>
  <c r="A73"/>
  <c r="B71" i="3"/>
  <c r="E71" s="1"/>
  <c r="D71" s="1"/>
  <c r="A72"/>
  <c r="C72" s="1"/>
  <c r="B73" i="5" l="1"/>
  <c r="E73" s="1"/>
  <c r="D73" s="1"/>
  <c r="C73"/>
  <c r="A74"/>
  <c r="B72" i="9"/>
  <c r="C72"/>
  <c r="A73"/>
  <c r="C73" i="7"/>
  <c r="B73"/>
  <c r="A74"/>
  <c r="B72" i="3"/>
  <c r="E72" s="1"/>
  <c r="D72" s="1"/>
  <c r="A73"/>
  <c r="C73" s="1"/>
  <c r="B74" i="5" l="1"/>
  <c r="E74" s="1"/>
  <c r="D74" s="1"/>
  <c r="C74"/>
  <c r="A75"/>
  <c r="B73" i="9"/>
  <c r="C73"/>
  <c r="A74"/>
  <c r="C74" i="7"/>
  <c r="B74"/>
  <c r="A75"/>
  <c r="B73" i="3"/>
  <c r="E73" s="1"/>
  <c r="D73" s="1"/>
  <c r="A74"/>
  <c r="C74" s="1"/>
  <c r="B75" i="5" l="1"/>
  <c r="E75" s="1"/>
  <c r="D75" s="1"/>
  <c r="A76"/>
  <c r="C75"/>
  <c r="A75" i="9"/>
  <c r="B74"/>
  <c r="C74"/>
  <c r="B75" i="7"/>
  <c r="C75"/>
  <c r="A76"/>
  <c r="B74" i="3"/>
  <c r="E74" s="1"/>
  <c r="D74" s="1"/>
  <c r="A75"/>
  <c r="C75" s="1"/>
  <c r="B76" i="5" l="1"/>
  <c r="E76" s="1"/>
  <c r="D76" s="1"/>
  <c r="C76"/>
  <c r="A77"/>
  <c r="B75" i="9"/>
  <c r="C75"/>
  <c r="A76"/>
  <c r="B76" i="7"/>
  <c r="C76"/>
  <c r="A77"/>
  <c r="B75" i="3"/>
  <c r="E75" s="1"/>
  <c r="D75" s="1"/>
  <c r="A76"/>
  <c r="C76" s="1"/>
  <c r="B77" i="5" l="1"/>
  <c r="E77" s="1"/>
  <c r="D77" s="1"/>
  <c r="C77"/>
  <c r="A78"/>
  <c r="B76" i="9"/>
  <c r="C76"/>
  <c r="A77"/>
  <c r="B77" i="7"/>
  <c r="C77"/>
  <c r="A78"/>
  <c r="B76" i="3"/>
  <c r="E76" s="1"/>
  <c r="D76" s="1"/>
  <c r="A77"/>
  <c r="C77" s="1"/>
  <c r="B78" i="5" l="1"/>
  <c r="E78" s="1"/>
  <c r="D78" s="1"/>
  <c r="C78"/>
  <c r="A79"/>
  <c r="C77" i="9"/>
  <c r="A78"/>
  <c r="B77"/>
  <c r="B78" i="7"/>
  <c r="C78"/>
  <c r="A79"/>
  <c r="B77" i="3"/>
  <c r="E77" s="1"/>
  <c r="D77" s="1"/>
  <c r="A78"/>
  <c r="C78" s="1"/>
  <c r="B79" i="5" l="1"/>
  <c r="E79" s="1"/>
  <c r="D79" s="1"/>
  <c r="C79"/>
  <c r="A80"/>
  <c r="B78" i="9"/>
  <c r="C78"/>
  <c r="A79"/>
  <c r="C79" i="7"/>
  <c r="B79"/>
  <c r="A80"/>
  <c r="B78" i="3"/>
  <c r="E78" s="1"/>
  <c r="D78" s="1"/>
  <c r="A79"/>
  <c r="C79" s="1"/>
  <c r="B80" i="5" l="1"/>
  <c r="E80" s="1"/>
  <c r="D80" s="1"/>
  <c r="C80"/>
  <c r="C79" i="9"/>
  <c r="A80"/>
  <c r="B79"/>
  <c r="B80" i="7"/>
  <c r="C80"/>
  <c r="A81"/>
  <c r="B79" i="3"/>
  <c r="E79" s="1"/>
  <c r="D79" s="1"/>
  <c r="A80"/>
  <c r="C80" l="1"/>
  <c r="A81"/>
  <c r="B80" i="9"/>
  <c r="C80"/>
  <c r="A81"/>
  <c r="C81" i="7"/>
  <c r="B81"/>
  <c r="A82"/>
  <c r="B80" i="3"/>
  <c r="E80" s="1"/>
  <c r="D80" s="1"/>
  <c r="B81" l="1"/>
  <c r="E81" s="1"/>
  <c r="D81" s="1"/>
  <c r="A82"/>
  <c r="C81"/>
  <c r="B81" i="9"/>
  <c r="C81"/>
  <c r="A82"/>
  <c r="B82" i="7"/>
  <c r="C82"/>
  <c r="A83"/>
  <c r="B82" i="3" l="1"/>
  <c r="E82" s="1"/>
  <c r="D82" s="1"/>
  <c r="A83"/>
  <c r="C82"/>
  <c r="A83" i="9"/>
  <c r="B82"/>
  <c r="C82"/>
  <c r="B83" i="7"/>
  <c r="C83"/>
  <c r="A84"/>
  <c r="A84" i="3" l="1"/>
  <c r="C83"/>
  <c r="B83"/>
  <c r="E83" s="1"/>
  <c r="D83" s="1"/>
  <c r="B83" i="9"/>
  <c r="C83"/>
  <c r="A84"/>
  <c r="B84" i="7"/>
  <c r="C84"/>
  <c r="A85"/>
  <c r="C84" i="3" l="1"/>
  <c r="A85"/>
  <c r="B84"/>
  <c r="E84" s="1"/>
  <c r="D84" s="1"/>
  <c r="A85" i="9"/>
  <c r="B84"/>
  <c r="C84"/>
  <c r="C85" i="7"/>
  <c r="B85"/>
  <c r="A86"/>
  <c r="B85" i="3" l="1"/>
  <c r="E85" s="1"/>
  <c r="D85" s="1"/>
  <c r="C85"/>
  <c r="A86"/>
  <c r="C85" i="9"/>
  <c r="A86"/>
  <c r="B85"/>
  <c r="C86" i="7"/>
  <c r="B86"/>
  <c r="A87"/>
  <c r="B86" i="3" l="1"/>
  <c r="E86" s="1"/>
  <c r="D86" s="1"/>
  <c r="A87"/>
  <c r="C86"/>
  <c r="B86" i="9"/>
  <c r="C86"/>
  <c r="A87"/>
  <c r="B87" i="7"/>
  <c r="C87"/>
  <c r="A88"/>
  <c r="B87" i="3" l="1"/>
  <c r="E87" s="1"/>
  <c r="D87" s="1"/>
  <c r="A88"/>
  <c r="C87"/>
  <c r="B87" i="9"/>
  <c r="C87"/>
  <c r="A88"/>
  <c r="C88" i="7"/>
  <c r="B88"/>
  <c r="A89"/>
  <c r="B88" i="3" l="1"/>
  <c r="E88" s="1"/>
  <c r="D88" s="1"/>
  <c r="C88"/>
  <c r="A89"/>
  <c r="B88" i="9"/>
  <c r="C88"/>
  <c r="A89"/>
  <c r="B89" i="7"/>
  <c r="C89"/>
  <c r="A90"/>
  <c r="A90" i="3" l="1"/>
  <c r="B89"/>
  <c r="E89" s="1"/>
  <c r="D89" s="1"/>
  <c r="C89"/>
  <c r="A90" i="9"/>
  <c r="B90" i="7"/>
  <c r="C90"/>
  <c r="A91"/>
  <c r="A91" i="3" l="1"/>
  <c r="B90"/>
  <c r="E90" s="1"/>
  <c r="D90" s="1"/>
  <c r="C90"/>
  <c r="A91" i="9"/>
  <c r="B90"/>
  <c r="C90"/>
  <c r="B91" i="7"/>
  <c r="C91"/>
  <c r="A92"/>
  <c r="C91" i="3" l="1"/>
  <c r="B91"/>
  <c r="E91" s="1"/>
  <c r="D91" s="1"/>
  <c r="A92"/>
  <c r="B91" i="9"/>
  <c r="C91"/>
  <c r="A92"/>
  <c r="C92" i="7"/>
  <c r="B92"/>
  <c r="A93"/>
  <c r="C92" i="3" l="1"/>
  <c r="B92"/>
  <c r="E92" s="1"/>
  <c r="D92" s="1"/>
  <c r="A93"/>
  <c r="B92" i="9"/>
  <c r="C92"/>
  <c r="A93"/>
  <c r="B93" i="7"/>
  <c r="C93"/>
  <c r="A94"/>
  <c r="C93" i="3" l="1"/>
  <c r="B93"/>
  <c r="E93" s="1"/>
  <c r="D93" s="1"/>
  <c r="A94"/>
  <c r="C93" i="9"/>
  <c r="A94"/>
  <c r="B93"/>
  <c r="B94" i="7"/>
  <c r="C94"/>
  <c r="A95"/>
  <c r="C94" i="3" l="1"/>
  <c r="A95"/>
  <c r="B94"/>
  <c r="E94" s="1"/>
  <c r="D94" s="1"/>
  <c r="A95" i="9"/>
  <c r="C95" i="7"/>
  <c r="B95"/>
  <c r="A96"/>
  <c r="C95" i="3" l="1"/>
  <c r="A96"/>
  <c r="B95"/>
  <c r="E95" s="1"/>
  <c r="D95" s="1"/>
  <c r="C95" i="9"/>
  <c r="B95"/>
  <c r="A96"/>
  <c r="C96" i="7"/>
  <c r="B96"/>
  <c r="A97"/>
  <c r="C96" i="3" l="1"/>
  <c r="B96"/>
  <c r="E96" s="1"/>
  <c r="D96" s="1"/>
  <c r="A97"/>
  <c r="B96" i="9"/>
  <c r="C96"/>
  <c r="A97"/>
  <c r="B97" i="7"/>
  <c r="C97"/>
  <c r="A98"/>
  <c r="C97" i="3" l="1"/>
  <c r="B97"/>
  <c r="E97" s="1"/>
  <c r="D97" s="1"/>
  <c r="A98"/>
  <c r="C98" i="7"/>
  <c r="B98"/>
  <c r="A99"/>
  <c r="C98" i="3" l="1"/>
  <c r="A99"/>
  <c r="B98"/>
  <c r="E98" s="1"/>
  <c r="D98" s="1"/>
  <c r="C99" i="7"/>
  <c r="B99"/>
  <c r="A100"/>
  <c r="C99" i="3" l="1"/>
  <c r="B99"/>
  <c r="E99" s="1"/>
  <c r="D99" s="1"/>
  <c r="A100"/>
  <c r="B100" i="7"/>
  <c r="C100"/>
  <c r="A101"/>
  <c r="C100" i="3" l="1"/>
  <c r="B100"/>
  <c r="E100" s="1"/>
  <c r="D100" s="1"/>
  <c r="A101"/>
  <c r="B101" i="7"/>
  <c r="C101"/>
  <c r="A102"/>
  <c r="C101" i="3" l="1"/>
  <c r="B101"/>
  <c r="E101" s="1"/>
  <c r="D101" s="1"/>
  <c r="A102"/>
  <c r="C102" i="7"/>
  <c r="B102"/>
  <c r="A103"/>
  <c r="C102" i="3" l="1"/>
  <c r="A103"/>
  <c r="B102"/>
  <c r="E102" s="1"/>
  <c r="D102" s="1"/>
  <c r="C103" i="7"/>
  <c r="B103"/>
  <c r="A104"/>
  <c r="C103" i="3" l="1"/>
  <c r="B103"/>
  <c r="E103" s="1"/>
  <c r="D103" s="1"/>
  <c r="A104"/>
  <c r="B104" i="7"/>
  <c r="C104"/>
  <c r="A105"/>
  <c r="C104" i="3" l="1"/>
  <c r="B104"/>
  <c r="E104" s="1"/>
  <c r="D104" s="1"/>
  <c r="A105"/>
  <c r="B105" i="7"/>
  <c r="C105"/>
  <c r="A106"/>
  <c r="C105" i="3" l="1"/>
  <c r="B105"/>
  <c r="E105" s="1"/>
  <c r="D105" s="1"/>
  <c r="A106"/>
  <c r="B106" i="7"/>
  <c r="C106"/>
  <c r="A107"/>
  <c r="C106" i="3" l="1"/>
  <c r="B106"/>
  <c r="E106" s="1"/>
  <c r="D106" s="1"/>
  <c r="A107"/>
  <c r="C107" i="7"/>
  <c r="B107"/>
  <c r="A108"/>
  <c r="C107" i="3" l="1"/>
  <c r="B107"/>
  <c r="E107" s="1"/>
  <c r="D107" s="1"/>
  <c r="A108"/>
  <c r="B108" i="7"/>
  <c r="C108"/>
  <c r="A109"/>
  <c r="C108" i="3" l="1"/>
  <c r="B108"/>
  <c r="E108" s="1"/>
  <c r="D108" s="1"/>
  <c r="A109"/>
  <c r="C109" i="7"/>
  <c r="B109"/>
  <c r="A110"/>
  <c r="C109" i="3" l="1"/>
  <c r="B109"/>
  <c r="E109" s="1"/>
  <c r="D109" s="1"/>
  <c r="A110"/>
  <c r="B110" i="7"/>
  <c r="C110"/>
  <c r="C110" i="3" l="1"/>
  <c r="A111"/>
  <c r="B110"/>
  <c r="E110" s="1"/>
  <c r="D110" s="1"/>
  <c r="C111" l="1"/>
  <c r="B111"/>
  <c r="E111" s="1"/>
  <c r="D111" s="1"/>
  <c r="A112"/>
  <c r="C112" l="1"/>
  <c r="B112"/>
  <c r="E112" s="1"/>
  <c r="D112" s="1"/>
  <c r="A113"/>
  <c r="C113" l="1"/>
  <c r="B113"/>
  <c r="E113" s="1"/>
  <c r="D113" s="1"/>
  <c r="A114"/>
  <c r="C114" l="1"/>
  <c r="A115"/>
  <c r="B114"/>
  <c r="E114" s="1"/>
  <c r="D114" s="1"/>
  <c r="C115" l="1"/>
  <c r="B115"/>
  <c r="E115" s="1"/>
  <c r="D115" s="1"/>
  <c r="A116"/>
  <c r="C116" l="1"/>
  <c r="B116"/>
  <c r="E116" s="1"/>
  <c r="D116" s="1"/>
  <c r="A117"/>
  <c r="C117" l="1"/>
  <c r="B117"/>
  <c r="E117" s="1"/>
  <c r="D117" s="1"/>
  <c r="A118"/>
  <c r="C118" l="1"/>
  <c r="B118"/>
  <c r="E118" s="1"/>
  <c r="D118" s="1"/>
  <c r="A119"/>
  <c r="C119" l="1"/>
  <c r="B119"/>
  <c r="E119" s="1"/>
  <c r="D119" s="1"/>
  <c r="A120"/>
  <c r="C120" l="1"/>
  <c r="B120"/>
  <c r="E120" s="1"/>
  <c r="D120" s="1"/>
  <c r="A121"/>
  <c r="C121" l="1"/>
  <c r="B121"/>
  <c r="E121" s="1"/>
  <c r="D121" s="1"/>
  <c r="A122"/>
  <c r="B122" l="1"/>
  <c r="E122" s="1"/>
  <c r="D122" s="1"/>
  <c r="A123"/>
  <c r="C122"/>
  <c r="A124" l="1"/>
  <c r="C123"/>
  <c r="B123"/>
  <c r="E123" s="1"/>
  <c r="D123" s="1"/>
  <c r="B124" l="1"/>
  <c r="E124" s="1"/>
  <c r="D124" s="1"/>
  <c r="C124"/>
  <c r="A125"/>
  <c r="B125" l="1"/>
  <c r="E125" s="1"/>
  <c r="D125" s="1"/>
  <c r="C125"/>
  <c r="A126"/>
  <c r="C126" l="1"/>
  <c r="A127"/>
  <c r="B126"/>
  <c r="E126" s="1"/>
  <c r="D126" s="1"/>
  <c r="A128" l="1"/>
  <c r="B127"/>
  <c r="E127" s="1"/>
  <c r="D127" s="1"/>
  <c r="C127"/>
  <c r="C128" l="1"/>
  <c r="B128"/>
  <c r="E128" s="1"/>
  <c r="D128" s="1"/>
  <c r="A129"/>
  <c r="C129" l="1"/>
  <c r="A130"/>
  <c r="B129"/>
  <c r="E129" s="1"/>
  <c r="D129" s="1"/>
  <c r="B130" l="1"/>
  <c r="E130" s="1"/>
  <c r="D130" s="1"/>
  <c r="A131"/>
  <c r="C130"/>
  <c r="A132" l="1"/>
  <c r="C131"/>
  <c r="B131"/>
  <c r="E131" s="1"/>
  <c r="D131" s="1"/>
  <c r="C132" l="1"/>
  <c r="B132"/>
  <c r="E132" s="1"/>
  <c r="D132" s="1"/>
  <c r="A133"/>
  <c r="B133" l="1"/>
  <c r="E133" s="1"/>
  <c r="D133" s="1"/>
  <c r="C133"/>
  <c r="A134"/>
  <c r="A135" l="1"/>
  <c r="C134"/>
  <c r="B134"/>
  <c r="E134" s="1"/>
  <c r="D134" s="1"/>
  <c r="A136" l="1"/>
  <c r="C135"/>
  <c r="B135"/>
  <c r="E135" s="1"/>
  <c r="D135" s="1"/>
  <c r="C136" l="1"/>
  <c r="A137"/>
  <c r="B136"/>
  <c r="E136" s="1"/>
  <c r="D136" s="1"/>
  <c r="A138" l="1"/>
  <c r="C137"/>
  <c r="B137"/>
  <c r="E137" s="1"/>
  <c r="D137" s="1"/>
  <c r="B138" l="1"/>
  <c r="E138" s="1"/>
  <c r="D138" s="1"/>
  <c r="C138"/>
  <c r="A139"/>
  <c r="C139" l="1"/>
  <c r="A140"/>
  <c r="B139"/>
  <c r="E139" s="1"/>
  <c r="D139" s="1"/>
  <c r="B140" l="1"/>
  <c r="E140" s="1"/>
  <c r="D140" s="1"/>
  <c r="A141"/>
  <c r="C140"/>
  <c r="B141" l="1"/>
  <c r="E141" s="1"/>
  <c r="D141" s="1"/>
  <c r="A142"/>
  <c r="C141"/>
  <c r="B142" l="1"/>
  <c r="E142" s="1"/>
  <c r="D142" s="1"/>
  <c r="A143"/>
  <c r="C142"/>
  <c r="B143" l="1"/>
  <c r="E143" s="1"/>
  <c r="D143" s="1"/>
  <c r="A144"/>
  <c r="C143"/>
  <c r="A145" l="1"/>
  <c r="C144"/>
  <c r="B144"/>
  <c r="E144" s="1"/>
  <c r="D144" s="1"/>
  <c r="A146" l="1"/>
  <c r="B145"/>
  <c r="E145" s="1"/>
  <c r="D145" s="1"/>
  <c r="C145"/>
  <c r="C146" l="1"/>
  <c r="A147"/>
  <c r="B146"/>
  <c r="E146" s="1"/>
  <c r="D146" s="1"/>
  <c r="B147" l="1"/>
  <c r="E147" s="1"/>
  <c r="D147" s="1"/>
  <c r="A148"/>
  <c r="C147"/>
  <c r="C148" l="1"/>
  <c r="B148"/>
  <c r="E148" s="1"/>
  <c r="D148" s="1"/>
  <c r="A149"/>
  <c r="B149" l="1"/>
  <c r="E149" s="1"/>
  <c r="D149" s="1"/>
  <c r="C149"/>
  <c r="A150"/>
  <c r="C150" l="1"/>
  <c r="B150"/>
  <c r="E150" s="1"/>
  <c r="D150" s="1"/>
  <c r="A151"/>
  <c r="B151" l="1"/>
  <c r="E151" s="1"/>
  <c r="D151" s="1"/>
  <c r="A152"/>
  <c r="C151"/>
  <c r="C152" l="1"/>
  <c r="A153"/>
  <c r="B152"/>
  <c r="E152" s="1"/>
  <c r="D152" s="1"/>
  <c r="A154" l="1"/>
  <c r="B153"/>
  <c r="E153" s="1"/>
  <c r="D153" s="1"/>
  <c r="C153"/>
  <c r="B154" l="1"/>
  <c r="E154" s="1"/>
  <c r="D154" s="1"/>
  <c r="C154"/>
  <c r="A155"/>
  <c r="B155" l="1"/>
  <c r="E155" s="1"/>
  <c r="D155" s="1"/>
  <c r="A156"/>
  <c r="C155"/>
  <c r="B156" l="1"/>
  <c r="E156" s="1"/>
  <c r="D156" s="1"/>
  <c r="A157"/>
  <c r="C156"/>
  <c r="B157" l="1"/>
  <c r="E157" s="1"/>
  <c r="D157" s="1"/>
  <c r="C157"/>
  <c r="A158"/>
  <c r="C158" l="1"/>
  <c r="B158"/>
  <c r="E158" s="1"/>
  <c r="D158" s="1"/>
  <c r="A159"/>
  <c r="B159" l="1"/>
  <c r="E159" s="1"/>
  <c r="D159" s="1"/>
  <c r="C159"/>
  <c r="A160"/>
  <c r="C160" l="1"/>
  <c r="B160"/>
  <c r="E160" s="1"/>
  <c r="D160" s="1"/>
  <c r="A161"/>
  <c r="B161" l="1"/>
  <c r="E161" s="1"/>
  <c r="D161" s="1"/>
  <c r="A162"/>
  <c r="C161"/>
  <c r="A163" l="1"/>
  <c r="B162"/>
  <c r="E162" s="1"/>
  <c r="D162" s="1"/>
  <c r="C162"/>
  <c r="C163" l="1"/>
  <c r="A164"/>
  <c r="B163"/>
  <c r="E163" s="1"/>
  <c r="D163" s="1"/>
  <c r="A165" l="1"/>
  <c r="B164"/>
  <c r="E164" s="1"/>
  <c r="D164" s="1"/>
  <c r="C164"/>
  <c r="C165" l="1"/>
  <c r="B165"/>
  <c r="E165" s="1"/>
  <c r="D165" s="1"/>
  <c r="A166"/>
  <c r="C166" l="1"/>
  <c r="A167"/>
  <c r="B166"/>
  <c r="E166" s="1"/>
  <c r="D166" s="1"/>
  <c r="C167" l="1"/>
  <c r="B167"/>
  <c r="E167" s="1"/>
  <c r="D167" s="1"/>
  <c r="A168"/>
  <c r="C168" l="1"/>
  <c r="A169"/>
  <c r="B168"/>
  <c r="E168" s="1"/>
  <c r="D168" s="1"/>
  <c r="B169" l="1"/>
  <c r="E169" s="1"/>
  <c r="D169" s="1"/>
  <c r="A170"/>
  <c r="C169"/>
  <c r="B170" l="1"/>
  <c r="E170" s="1"/>
  <c r="D170" s="1"/>
  <c r="A171"/>
  <c r="C170"/>
  <c r="C171" l="1"/>
  <c r="A172"/>
  <c r="B171"/>
  <c r="E171" s="1"/>
  <c r="D171" s="1"/>
  <c r="C172" l="1"/>
  <c r="B172"/>
  <c r="E172" s="1"/>
  <c r="D172" s="1"/>
  <c r="A173"/>
  <c r="A174" l="1"/>
  <c r="B173"/>
  <c r="E173" s="1"/>
  <c r="D173" s="1"/>
  <c r="C173"/>
  <c r="A175" l="1"/>
  <c r="C174"/>
  <c r="B174"/>
  <c r="E174" s="1"/>
  <c r="D174" s="1"/>
  <c r="B175" l="1"/>
  <c r="E175" s="1"/>
  <c r="D175" s="1"/>
  <c r="C175"/>
  <c r="A176"/>
  <c r="C176" l="1"/>
  <c r="A177"/>
  <c r="B176"/>
  <c r="E176" s="1"/>
  <c r="D176" s="1"/>
  <c r="A178" l="1"/>
  <c r="B177"/>
  <c r="E177" s="1"/>
  <c r="D177" s="1"/>
  <c r="C177"/>
  <c r="C178" l="1"/>
  <c r="A179"/>
  <c r="B178"/>
  <c r="E178" s="1"/>
  <c r="D178" s="1"/>
  <c r="A180" l="1"/>
  <c r="B179"/>
  <c r="E179" s="1"/>
  <c r="D179" s="1"/>
  <c r="C179"/>
  <c r="A181" l="1"/>
  <c r="C180"/>
  <c r="B180"/>
  <c r="E180" s="1"/>
  <c r="D180" s="1"/>
  <c r="C181" l="1"/>
  <c r="A182"/>
  <c r="B181"/>
  <c r="E181" s="1"/>
  <c r="D181" s="1"/>
  <c r="C182" l="1"/>
  <c r="B182"/>
  <c r="E182" s="1"/>
  <c r="D182" s="1"/>
  <c r="A183"/>
  <c r="B183" l="1"/>
  <c r="E183" s="1"/>
  <c r="D183" s="1"/>
  <c r="A184"/>
  <c r="C183"/>
  <c r="C184" l="1"/>
  <c r="A185"/>
  <c r="B184"/>
  <c r="E184" s="1"/>
  <c r="D184" s="1"/>
  <c r="B185" l="1"/>
  <c r="E185" s="1"/>
  <c r="D185" s="1"/>
  <c r="A186"/>
  <c r="C185"/>
  <c r="B186" l="1"/>
  <c r="E186" s="1"/>
  <c r="D186" s="1"/>
  <c r="A187"/>
  <c r="C186"/>
  <c r="B187" l="1"/>
  <c r="E187" s="1"/>
  <c r="D187" s="1"/>
  <c r="C187"/>
  <c r="A188"/>
  <c r="C188" l="1"/>
  <c r="A189"/>
  <c r="B188"/>
  <c r="E188" s="1"/>
  <c r="D188" s="1"/>
  <c r="B189" l="1"/>
  <c r="E189" s="1"/>
  <c r="D189" s="1"/>
  <c r="C189"/>
  <c r="A190"/>
  <c r="C190" l="1"/>
  <c r="A191"/>
  <c r="B190"/>
  <c r="E190" s="1"/>
  <c r="D190" s="1"/>
  <c r="B191" l="1"/>
  <c r="E191" s="1"/>
  <c r="D191" s="1"/>
  <c r="C191"/>
  <c r="A192"/>
  <c r="A193" l="1"/>
  <c r="C192"/>
  <c r="B192"/>
  <c r="E192" s="1"/>
  <c r="D192" s="1"/>
  <c r="A194" l="1"/>
  <c r="C193"/>
  <c r="B193"/>
  <c r="E193" s="1"/>
  <c r="D193" s="1"/>
  <c r="A195" l="1"/>
  <c r="B194"/>
  <c r="E194" s="1"/>
  <c r="D194" s="1"/>
  <c r="C194"/>
  <c r="B195" l="1"/>
  <c r="E195" s="1"/>
  <c r="D195" s="1"/>
  <c r="C195"/>
  <c r="A196"/>
  <c r="A197" l="1"/>
  <c r="C196"/>
  <c r="B196"/>
  <c r="E196" s="1"/>
  <c r="D196" s="1"/>
  <c r="A198" l="1"/>
  <c r="B197"/>
  <c r="E197" s="1"/>
  <c r="D197" s="1"/>
  <c r="C197"/>
  <c r="C198" l="1"/>
  <c r="B198"/>
  <c r="E198" s="1"/>
  <c r="D198" s="1"/>
  <c r="A199"/>
  <c r="A200" l="1"/>
  <c r="C199"/>
  <c r="B199"/>
  <c r="E199" s="1"/>
  <c r="D199" s="1"/>
  <c r="C200" l="1"/>
  <c r="A201"/>
  <c r="B200"/>
  <c r="E200" s="1"/>
  <c r="D200" s="1"/>
  <c r="A202" l="1"/>
  <c r="B201"/>
  <c r="E201" s="1"/>
  <c r="D201" s="1"/>
  <c r="C201"/>
  <c r="A203" l="1"/>
  <c r="C202"/>
  <c r="B202"/>
  <c r="E202" s="1"/>
  <c r="D202" s="1"/>
  <c r="B203" l="1"/>
  <c r="E203" s="1"/>
  <c r="D203" s="1"/>
  <c r="C203"/>
  <c r="A204"/>
  <c r="A205" l="1"/>
  <c r="C204"/>
  <c r="B204"/>
  <c r="E204" s="1"/>
  <c r="D204" s="1"/>
  <c r="C205" l="1"/>
  <c r="B205"/>
  <c r="E205" s="1"/>
  <c r="D205" s="1"/>
  <c r="A206"/>
  <c r="B206" l="1"/>
  <c r="E206" s="1"/>
  <c r="D206" s="1"/>
  <c r="C206"/>
  <c r="A207"/>
  <c r="B207" l="1"/>
  <c r="E207" s="1"/>
  <c r="D207" s="1"/>
  <c r="C207"/>
  <c r="A208"/>
  <c r="A209" l="1"/>
  <c r="B208"/>
  <c r="E208" s="1"/>
  <c r="D208" s="1"/>
  <c r="C208"/>
  <c r="B209" l="1"/>
  <c r="E209" s="1"/>
  <c r="D209" s="1"/>
  <c r="A210"/>
  <c r="C209"/>
  <c r="B210" l="1"/>
  <c r="E210" s="1"/>
  <c r="D210" s="1"/>
  <c r="A211"/>
  <c r="C210"/>
  <c r="A212" l="1"/>
  <c r="B211"/>
  <c r="E211" s="1"/>
  <c r="D211" s="1"/>
  <c r="C211"/>
  <c r="C212" l="1"/>
  <c r="A213"/>
  <c r="B212"/>
  <c r="E212" s="1"/>
  <c r="D212" s="1"/>
  <c r="A214" l="1"/>
  <c r="B213"/>
  <c r="E213" s="1"/>
  <c r="D213" s="1"/>
  <c r="C213"/>
  <c r="A215" l="1"/>
  <c r="C214"/>
  <c r="B214"/>
  <c r="E214" s="1"/>
  <c r="D214" s="1"/>
  <c r="B215" l="1"/>
  <c r="E215" s="1"/>
  <c r="D215" s="1"/>
  <c r="A216"/>
  <c r="C215"/>
  <c r="B216" l="1"/>
  <c r="E216" s="1"/>
  <c r="D216" s="1"/>
  <c r="A217"/>
  <c r="C216"/>
  <c r="C217" l="1"/>
  <c r="B217"/>
  <c r="E217" s="1"/>
  <c r="D217" s="1"/>
  <c r="A218"/>
  <c r="A219" l="1"/>
  <c r="B218"/>
  <c r="E218" s="1"/>
  <c r="D218" s="1"/>
  <c r="C218"/>
  <c r="A220" l="1"/>
  <c r="B219"/>
  <c r="E219" s="1"/>
  <c r="D219" s="1"/>
  <c r="C219"/>
  <c r="C220" l="1"/>
  <c r="A221"/>
  <c r="B220"/>
  <c r="E220" s="1"/>
  <c r="D220" s="1"/>
  <c r="A222" l="1"/>
  <c r="B221"/>
  <c r="E221" s="1"/>
  <c r="D221" s="1"/>
  <c r="C221"/>
  <c r="C222" l="1"/>
  <c r="A223"/>
  <c r="B222"/>
  <c r="E222" s="1"/>
  <c r="D222" s="1"/>
  <c r="B223" l="1"/>
  <c r="E223" s="1"/>
  <c r="D223" s="1"/>
  <c r="A224"/>
  <c r="C223"/>
  <c r="C224" l="1"/>
  <c r="A225"/>
  <c r="B224"/>
  <c r="E224" s="1"/>
  <c r="D224" s="1"/>
  <c r="C225" l="1"/>
  <c r="B225"/>
  <c r="E225" s="1"/>
  <c r="D225" s="1"/>
</calcChain>
</file>

<file path=xl/sharedStrings.xml><?xml version="1.0" encoding="utf-8"?>
<sst xmlns="http://schemas.openxmlformats.org/spreadsheetml/2006/main" count="58" uniqueCount="41">
  <si>
    <t>Layer</t>
  </si>
  <si>
    <t>Pressure (Pa)</t>
  </si>
  <si>
    <t>Temp. (K)</t>
  </si>
  <si>
    <t>Altitude (m)</t>
  </si>
  <si>
    <t>adiabatic</t>
  </si>
  <si>
    <t>super-adiabatic</t>
  </si>
  <si>
    <t>isothermal</t>
  </si>
  <si>
    <t>quasi-adiabatic</t>
  </si>
  <si>
    <t>Atitude</t>
  </si>
  <si>
    <t>Pressure</t>
  </si>
  <si>
    <t>Temperature</t>
  </si>
  <si>
    <t>http://www.astro.wisc.edu/~townsend/resource/teaching/diploma/venus-t.gif</t>
  </si>
  <si>
    <t>http://www.astro.wisc.edu/~townsend/resource/teaching/diploma/venus-p.gif</t>
  </si>
  <si>
    <t>Actual</t>
  </si>
  <si>
    <t>R</t>
  </si>
  <si>
    <t>G</t>
  </si>
  <si>
    <t>MW</t>
  </si>
  <si>
    <t>Lapse</t>
  </si>
  <si>
    <t xml:space="preserve">Actual </t>
  </si>
  <si>
    <t>http://en.wikipedia.org/wiki/Atmosphere_of_Venus</t>
  </si>
  <si>
    <t>Marov</t>
  </si>
  <si>
    <r>
      <t>Carbon Dioxide Gas - CO</t>
    </r>
    <r>
      <rPr>
        <vertAlign val="subscript"/>
        <sz val="11"/>
        <color theme="1"/>
        <rFont val="Calibri"/>
        <family val="2"/>
        <scheme val="minor"/>
      </rPr>
      <t>2</t>
    </r>
  </si>
  <si>
    <r>
      <t xml:space="preserve">- </t>
    </r>
    <r>
      <rPr>
        <i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-</t>
    </r>
  </si>
  <si>
    <t>(K)</t>
  </si>
  <si>
    <t>Specific Heat</t>
  </si>
  <si>
    <r>
      <t xml:space="preserve">- </t>
    </r>
    <r>
      <rPr>
        <i/>
        <sz val="11"/>
        <color theme="1"/>
        <rFont val="Calibri"/>
        <family val="2"/>
        <scheme val="minor"/>
      </rPr>
      <t>c</t>
    </r>
    <r>
      <rPr>
        <i/>
        <vertAlign val="sub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 -</t>
    </r>
  </si>
  <si>
    <t>(kJ/kgK)</t>
  </si>
  <si>
    <t>1atm</t>
  </si>
  <si>
    <t>surface</t>
  </si>
  <si>
    <t>http://www.engineeringtoolbox.com/carbon-dioxide-d_974.html</t>
  </si>
  <si>
    <t>http://books.google.com/books?id=G7UtYkLQoYoC&amp;pg=PA385&amp;lpg=PA385&amp;dq=%22lapse+rate%22+of+jupiter&amp;source=bl&amp;ots=jETl82q_FS&amp;sig=TXj8hIblFacX1HIzBn8P-iXHNhA&amp;hl=en&amp;sa=X&amp;ei=0et1UYCbCMnGrgGG6IHwBQ&amp;ved=0CGsQ6AEwCA</t>
  </si>
  <si>
    <t>[1]</t>
  </si>
  <si>
    <r>
      <t xml:space="preserve">L. A. McFadden, P. Weissman, and T. Johnson, </t>
    </r>
    <r>
      <rPr>
        <i/>
        <sz val="11"/>
        <color theme="1"/>
        <rFont val="Calibri"/>
        <family val="2"/>
        <scheme val="minor"/>
      </rPr>
      <t>Encyclopedia of the Solar System</t>
    </r>
    <r>
      <rPr>
        <sz val="11"/>
        <color theme="1"/>
        <rFont val="Calibri"/>
        <family val="2"/>
        <scheme val="minor"/>
      </rPr>
      <t>. Elsevier Science, 2006.</t>
    </r>
  </si>
  <si>
    <t>Jupiter</t>
  </si>
  <si>
    <t>Saturn</t>
  </si>
  <si>
    <t>Uranus</t>
  </si>
  <si>
    <t>Neptune</t>
  </si>
  <si>
    <t>1/T</t>
  </si>
  <si>
    <t>T</t>
  </si>
  <si>
    <t>P model</t>
  </si>
  <si>
    <t>P actual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</si>
</sst>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vertAlign val="sub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vertAlign val="sub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1" fontId="0" fillId="0" borderId="0" xfId="0" applyNumberFormat="1"/>
    <xf numFmtId="0" fontId="2" fillId="0" borderId="0" xfId="1" applyAlignment="1" applyProtection="1"/>
    <xf numFmtId="0" fontId="0" fillId="2" borderId="0" xfId="0" applyFill="1"/>
    <xf numFmtId="2" fontId="0" fillId="0" borderId="0" xfId="0" applyNumberFormat="1" applyAlignment="1">
      <alignment wrapText="1"/>
    </xf>
    <xf numFmtId="11" fontId="0" fillId="2" borderId="0" xfId="0" applyNumberFormat="1" applyFill="1" applyAlignment="1">
      <alignment horizontal="right"/>
    </xf>
    <xf numFmtId="0" fontId="0" fillId="2" borderId="0" xfId="0" applyFill="1" applyAlignment="1">
      <alignment horizontal="right"/>
    </xf>
    <xf numFmtId="0" fontId="0" fillId="0" borderId="0" xfId="0" applyFill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2" fontId="0" fillId="0" borderId="0" xfId="0" applyNumberFormat="1"/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charts/_rels/chart1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9.xml"/><Relationship Id="rId1" Type="http://schemas.openxmlformats.org/officeDocument/2006/relationships/image" Target="../media/image4.gif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'Mars English'!$B$10:$B$300</c:f>
              <c:numCache>
                <c:formatCode>General</c:formatCode>
                <c:ptCount val="291"/>
                <c:pt idx="0">
                  <c:v>-25.68</c:v>
                </c:pt>
                <c:pt idx="1">
                  <c:v>-25.8444</c:v>
                </c:pt>
                <c:pt idx="2">
                  <c:v>-26.008800000000001</c:v>
                </c:pt>
                <c:pt idx="3">
                  <c:v>-26.173200000000001</c:v>
                </c:pt>
                <c:pt idx="4">
                  <c:v>-26.337599999999998</c:v>
                </c:pt>
                <c:pt idx="5">
                  <c:v>-26.501999999999999</c:v>
                </c:pt>
                <c:pt idx="6">
                  <c:v>-26.666399999999999</c:v>
                </c:pt>
                <c:pt idx="7">
                  <c:v>-26.8308</c:v>
                </c:pt>
                <c:pt idx="8">
                  <c:v>-26.995200000000001</c:v>
                </c:pt>
                <c:pt idx="9">
                  <c:v>-27.159600000000001</c:v>
                </c:pt>
                <c:pt idx="10">
                  <c:v>-27.323999999999998</c:v>
                </c:pt>
                <c:pt idx="11">
                  <c:v>-27.488399999999999</c:v>
                </c:pt>
                <c:pt idx="12">
                  <c:v>-27.652799999999999</c:v>
                </c:pt>
                <c:pt idx="13">
                  <c:v>-27.8172</c:v>
                </c:pt>
                <c:pt idx="14">
                  <c:v>-27.9816</c:v>
                </c:pt>
                <c:pt idx="15">
                  <c:v>-28.146000000000001</c:v>
                </c:pt>
                <c:pt idx="16">
                  <c:v>-28.310400000000001</c:v>
                </c:pt>
                <c:pt idx="17">
                  <c:v>-28.474799999999998</c:v>
                </c:pt>
                <c:pt idx="18">
                  <c:v>-28.639199999999999</c:v>
                </c:pt>
                <c:pt idx="19">
                  <c:v>-28.803599999999999</c:v>
                </c:pt>
                <c:pt idx="20">
                  <c:v>-28.968</c:v>
                </c:pt>
                <c:pt idx="21">
                  <c:v>-29.132400000000001</c:v>
                </c:pt>
                <c:pt idx="22">
                  <c:v>-29.296800000000001</c:v>
                </c:pt>
                <c:pt idx="23">
                  <c:v>-29.461199999999998</c:v>
                </c:pt>
                <c:pt idx="24">
                  <c:v>-29.625599999999999</c:v>
                </c:pt>
                <c:pt idx="25">
                  <c:v>-29.79</c:v>
                </c:pt>
                <c:pt idx="26">
                  <c:v>-29.9544</c:v>
                </c:pt>
                <c:pt idx="27">
                  <c:v>-30.1188</c:v>
                </c:pt>
                <c:pt idx="28">
                  <c:v>-30.283200000000001</c:v>
                </c:pt>
                <c:pt idx="29">
                  <c:v>-30.447600000000001</c:v>
                </c:pt>
                <c:pt idx="30">
                  <c:v>-30.611999999999998</c:v>
                </c:pt>
                <c:pt idx="31">
                  <c:v>-30.776399999999999</c:v>
                </c:pt>
                <c:pt idx="32">
                  <c:v>-30.940799999999999</c:v>
                </c:pt>
                <c:pt idx="33">
                  <c:v>-31.1052</c:v>
                </c:pt>
                <c:pt idx="34">
                  <c:v>-31.269600000000001</c:v>
                </c:pt>
                <c:pt idx="35">
                  <c:v>-31.433999999999997</c:v>
                </c:pt>
                <c:pt idx="36">
                  <c:v>-31.598399999999998</c:v>
                </c:pt>
                <c:pt idx="37">
                  <c:v>-31.762799999999999</c:v>
                </c:pt>
                <c:pt idx="38">
                  <c:v>-31.927199999999999</c:v>
                </c:pt>
                <c:pt idx="39">
                  <c:v>-32.0916</c:v>
                </c:pt>
                <c:pt idx="40">
                  <c:v>-32.256</c:v>
                </c:pt>
                <c:pt idx="41">
                  <c:v>-32.420400000000001</c:v>
                </c:pt>
                <c:pt idx="42">
                  <c:v>-32.584800000000001</c:v>
                </c:pt>
                <c:pt idx="43">
                  <c:v>-32.749200000000002</c:v>
                </c:pt>
                <c:pt idx="44">
                  <c:v>-32.913600000000002</c:v>
                </c:pt>
                <c:pt idx="45">
                  <c:v>-33.078000000000003</c:v>
                </c:pt>
                <c:pt idx="46">
                  <c:v>-33.242399999999996</c:v>
                </c:pt>
                <c:pt idx="47">
                  <c:v>-33.406799999999997</c:v>
                </c:pt>
                <c:pt idx="48">
                  <c:v>-33.571199999999997</c:v>
                </c:pt>
                <c:pt idx="49">
                  <c:v>-33.735599999999998</c:v>
                </c:pt>
                <c:pt idx="50">
                  <c:v>-33.9</c:v>
                </c:pt>
                <c:pt idx="51">
                  <c:v>-34.064399999999999</c:v>
                </c:pt>
                <c:pt idx="52">
                  <c:v>-34.2288</c:v>
                </c:pt>
                <c:pt idx="53">
                  <c:v>-34.3932</c:v>
                </c:pt>
                <c:pt idx="54">
                  <c:v>-34.557600000000001</c:v>
                </c:pt>
                <c:pt idx="55">
                  <c:v>-34.722000000000001</c:v>
                </c:pt>
                <c:pt idx="56">
                  <c:v>-34.886400000000002</c:v>
                </c:pt>
                <c:pt idx="57">
                  <c:v>-35.050799999999995</c:v>
                </c:pt>
                <c:pt idx="58">
                  <c:v>-35.215199999999996</c:v>
                </c:pt>
                <c:pt idx="59">
                  <c:v>-35.379599999999996</c:v>
                </c:pt>
                <c:pt idx="60">
                  <c:v>-35.543999999999997</c:v>
                </c:pt>
                <c:pt idx="61">
                  <c:v>-35.708399999999997</c:v>
                </c:pt>
                <c:pt idx="62">
                  <c:v>-35.872799999999998</c:v>
                </c:pt>
                <c:pt idx="63">
                  <c:v>-36.037199999999999</c:v>
                </c:pt>
                <c:pt idx="64">
                  <c:v>-36.201599999999999</c:v>
                </c:pt>
                <c:pt idx="65">
                  <c:v>-36.366</c:v>
                </c:pt>
                <c:pt idx="66">
                  <c:v>-36.5304</c:v>
                </c:pt>
                <c:pt idx="67">
                  <c:v>-36.694800000000001</c:v>
                </c:pt>
                <c:pt idx="68">
                  <c:v>-36.859200000000001</c:v>
                </c:pt>
                <c:pt idx="69">
                  <c:v>-37.023600000000002</c:v>
                </c:pt>
                <c:pt idx="70">
                  <c:v>-37.188000000000002</c:v>
                </c:pt>
                <c:pt idx="71">
                  <c:v>-37.352400000000003</c:v>
                </c:pt>
                <c:pt idx="72">
                  <c:v>-37.516800000000003</c:v>
                </c:pt>
                <c:pt idx="73">
                  <c:v>-37.681199999999997</c:v>
                </c:pt>
                <c:pt idx="74">
                  <c:v>-37.845599999999997</c:v>
                </c:pt>
                <c:pt idx="75">
                  <c:v>-38.01</c:v>
                </c:pt>
                <c:pt idx="76">
                  <c:v>-38.174399999999999</c:v>
                </c:pt>
                <c:pt idx="77">
                  <c:v>-38.4527</c:v>
                </c:pt>
                <c:pt idx="78">
                  <c:v>-38.817799999999998</c:v>
                </c:pt>
                <c:pt idx="79">
                  <c:v>-39.182900000000004</c:v>
                </c:pt>
                <c:pt idx="80">
                  <c:v>-39.548000000000002</c:v>
                </c:pt>
                <c:pt idx="81">
                  <c:v>-39.9131</c:v>
                </c:pt>
                <c:pt idx="82">
                  <c:v>-40.278199999999998</c:v>
                </c:pt>
                <c:pt idx="83">
                  <c:v>-40.643299999999996</c:v>
                </c:pt>
                <c:pt idx="84">
                  <c:v>-41.008399999999995</c:v>
                </c:pt>
                <c:pt idx="85">
                  <c:v>-41.3735</c:v>
                </c:pt>
                <c:pt idx="86">
                  <c:v>-41.738599999999998</c:v>
                </c:pt>
                <c:pt idx="87">
                  <c:v>-42.103700000000003</c:v>
                </c:pt>
                <c:pt idx="88">
                  <c:v>-42.468800000000002</c:v>
                </c:pt>
                <c:pt idx="89">
                  <c:v>-42.8339</c:v>
                </c:pt>
                <c:pt idx="90">
                  <c:v>-43.198999999999998</c:v>
                </c:pt>
                <c:pt idx="91">
                  <c:v>-43.564099999999996</c:v>
                </c:pt>
                <c:pt idx="92">
                  <c:v>-43.929199999999994</c:v>
                </c:pt>
                <c:pt idx="93">
                  <c:v>-44.294299999999993</c:v>
                </c:pt>
                <c:pt idx="94">
                  <c:v>-44.659400000000005</c:v>
                </c:pt>
                <c:pt idx="95">
                  <c:v>-45.024500000000003</c:v>
                </c:pt>
                <c:pt idx="96">
                  <c:v>-45.389600000000002</c:v>
                </c:pt>
                <c:pt idx="97">
                  <c:v>-45.7547</c:v>
                </c:pt>
                <c:pt idx="98">
                  <c:v>-46.119799999999998</c:v>
                </c:pt>
                <c:pt idx="99">
                  <c:v>-46.484899999999996</c:v>
                </c:pt>
                <c:pt idx="100">
                  <c:v>-46.849999999999994</c:v>
                </c:pt>
                <c:pt idx="101">
                  <c:v>-47.215099999999993</c:v>
                </c:pt>
                <c:pt idx="102">
                  <c:v>-47.580200000000005</c:v>
                </c:pt>
                <c:pt idx="103">
                  <c:v>-47.945300000000003</c:v>
                </c:pt>
                <c:pt idx="104">
                  <c:v>-48.310400000000001</c:v>
                </c:pt>
                <c:pt idx="105">
                  <c:v>-48.6755</c:v>
                </c:pt>
                <c:pt idx="106">
                  <c:v>-49.040599999999998</c:v>
                </c:pt>
                <c:pt idx="107">
                  <c:v>-49.405699999999996</c:v>
                </c:pt>
                <c:pt idx="108">
                  <c:v>-49.770799999999994</c:v>
                </c:pt>
                <c:pt idx="109">
                  <c:v>-50.135899999999992</c:v>
                </c:pt>
                <c:pt idx="110">
                  <c:v>-50.501000000000005</c:v>
                </c:pt>
                <c:pt idx="111">
                  <c:v>-50.866100000000003</c:v>
                </c:pt>
                <c:pt idx="112">
                  <c:v>-51.231200000000001</c:v>
                </c:pt>
                <c:pt idx="113">
                  <c:v>-51.596299999999999</c:v>
                </c:pt>
                <c:pt idx="114">
                  <c:v>-51.961399999999998</c:v>
                </c:pt>
                <c:pt idx="115">
                  <c:v>-52.326499999999996</c:v>
                </c:pt>
                <c:pt idx="116">
                  <c:v>-52.691599999999994</c:v>
                </c:pt>
                <c:pt idx="117">
                  <c:v>-53.056699999999992</c:v>
                </c:pt>
                <c:pt idx="118">
                  <c:v>-53.421800000000005</c:v>
                </c:pt>
                <c:pt idx="119">
                  <c:v>-53.786900000000003</c:v>
                </c:pt>
                <c:pt idx="120">
                  <c:v>-54.152000000000001</c:v>
                </c:pt>
                <c:pt idx="121">
                  <c:v>-54.517099999999999</c:v>
                </c:pt>
                <c:pt idx="122">
                  <c:v>-54.882199999999997</c:v>
                </c:pt>
                <c:pt idx="123">
                  <c:v>-55.247299999999996</c:v>
                </c:pt>
                <c:pt idx="124">
                  <c:v>-55.612399999999994</c:v>
                </c:pt>
                <c:pt idx="125">
                  <c:v>-55.977500000000006</c:v>
                </c:pt>
                <c:pt idx="126">
                  <c:v>-56.342600000000004</c:v>
                </c:pt>
                <c:pt idx="127">
                  <c:v>-56.707700000000003</c:v>
                </c:pt>
                <c:pt idx="128">
                  <c:v>-57.072800000000001</c:v>
                </c:pt>
                <c:pt idx="129">
                  <c:v>-57.437899999999999</c:v>
                </c:pt>
                <c:pt idx="130">
                  <c:v>-57.802999999999997</c:v>
                </c:pt>
                <c:pt idx="131">
                  <c:v>-58.168099999999995</c:v>
                </c:pt>
                <c:pt idx="132">
                  <c:v>-58.533199999999994</c:v>
                </c:pt>
                <c:pt idx="133">
                  <c:v>-58.898300000000006</c:v>
                </c:pt>
                <c:pt idx="134">
                  <c:v>-59.263400000000004</c:v>
                </c:pt>
                <c:pt idx="135">
                  <c:v>-59.628500000000003</c:v>
                </c:pt>
                <c:pt idx="136">
                  <c:v>-59.993600000000001</c:v>
                </c:pt>
                <c:pt idx="137">
                  <c:v>-60.358699999999999</c:v>
                </c:pt>
                <c:pt idx="138">
                  <c:v>-60.723799999999997</c:v>
                </c:pt>
                <c:pt idx="139">
                  <c:v>-61.088899999999995</c:v>
                </c:pt>
                <c:pt idx="140">
                  <c:v>-61.453999999999994</c:v>
                </c:pt>
                <c:pt idx="141">
                  <c:v>-61.819100000000006</c:v>
                </c:pt>
                <c:pt idx="142">
                  <c:v>-62.184200000000004</c:v>
                </c:pt>
                <c:pt idx="143">
                  <c:v>-62.549300000000002</c:v>
                </c:pt>
                <c:pt idx="144">
                  <c:v>-62.914400000000001</c:v>
                </c:pt>
                <c:pt idx="145">
                  <c:v>-63.279499999999999</c:v>
                </c:pt>
                <c:pt idx="146">
                  <c:v>-63.644599999999997</c:v>
                </c:pt>
                <c:pt idx="147">
                  <c:v>-64.009699999999995</c:v>
                </c:pt>
                <c:pt idx="148">
                  <c:v>-64.374799999999993</c:v>
                </c:pt>
                <c:pt idx="149">
                  <c:v>-64.739900000000006</c:v>
                </c:pt>
                <c:pt idx="150">
                  <c:v>-65.105000000000004</c:v>
                </c:pt>
                <c:pt idx="151">
                  <c:v>-65.470100000000002</c:v>
                </c:pt>
                <c:pt idx="152">
                  <c:v>-65.8352</c:v>
                </c:pt>
                <c:pt idx="153">
                  <c:v>-66.200299999999999</c:v>
                </c:pt>
                <c:pt idx="154">
                  <c:v>-66.565399999999997</c:v>
                </c:pt>
                <c:pt idx="155">
                  <c:v>-66.930499999999995</c:v>
                </c:pt>
                <c:pt idx="156">
                  <c:v>-67.295599999999993</c:v>
                </c:pt>
                <c:pt idx="157">
                  <c:v>-67.660700000000006</c:v>
                </c:pt>
                <c:pt idx="158">
                  <c:v>-68.025800000000004</c:v>
                </c:pt>
                <c:pt idx="159">
                  <c:v>-68.390900000000002</c:v>
                </c:pt>
                <c:pt idx="160">
                  <c:v>-68.756</c:v>
                </c:pt>
                <c:pt idx="161">
                  <c:v>-69.121099999999998</c:v>
                </c:pt>
                <c:pt idx="162">
                  <c:v>-69.486199999999997</c:v>
                </c:pt>
                <c:pt idx="163">
                  <c:v>-69.851299999999995</c:v>
                </c:pt>
                <c:pt idx="164">
                  <c:v>-70.216399999999993</c:v>
                </c:pt>
                <c:pt idx="165">
                  <c:v>-70.581500000000005</c:v>
                </c:pt>
                <c:pt idx="166">
                  <c:v>-70.946600000000004</c:v>
                </c:pt>
                <c:pt idx="167">
                  <c:v>-71.311700000000002</c:v>
                </c:pt>
                <c:pt idx="168">
                  <c:v>-71.6768</c:v>
                </c:pt>
                <c:pt idx="169">
                  <c:v>-72.041899999999998</c:v>
                </c:pt>
                <c:pt idx="170">
                  <c:v>-72.406999999999996</c:v>
                </c:pt>
                <c:pt idx="171">
                  <c:v>-72.772099999999995</c:v>
                </c:pt>
                <c:pt idx="172">
                  <c:v>-73.137199999999993</c:v>
                </c:pt>
                <c:pt idx="173">
                  <c:v>-73.502300000000005</c:v>
                </c:pt>
                <c:pt idx="174">
                  <c:v>-73.867400000000004</c:v>
                </c:pt>
                <c:pt idx="175">
                  <c:v>-74.232500000000002</c:v>
                </c:pt>
                <c:pt idx="176">
                  <c:v>-74.5976</c:v>
                </c:pt>
                <c:pt idx="177">
                  <c:v>-74.962699999999998</c:v>
                </c:pt>
                <c:pt idx="178">
                  <c:v>-75.327799999999996</c:v>
                </c:pt>
                <c:pt idx="179">
                  <c:v>-75.692900000000009</c:v>
                </c:pt>
                <c:pt idx="180">
                  <c:v>-76.058000000000007</c:v>
                </c:pt>
                <c:pt idx="181">
                  <c:v>-76.423100000000005</c:v>
                </c:pt>
                <c:pt idx="182">
                  <c:v>-76.788200000000003</c:v>
                </c:pt>
                <c:pt idx="183">
                  <c:v>-77.153300000000002</c:v>
                </c:pt>
                <c:pt idx="184">
                  <c:v>-77.5184</c:v>
                </c:pt>
                <c:pt idx="185">
                  <c:v>-77.883499999999998</c:v>
                </c:pt>
                <c:pt idx="186">
                  <c:v>-78.248599999999996</c:v>
                </c:pt>
                <c:pt idx="187">
                  <c:v>-78.613700000000009</c:v>
                </c:pt>
                <c:pt idx="188">
                  <c:v>-78.978800000000007</c:v>
                </c:pt>
                <c:pt idx="189">
                  <c:v>-79.343900000000005</c:v>
                </c:pt>
                <c:pt idx="190">
                  <c:v>-79.709000000000003</c:v>
                </c:pt>
                <c:pt idx="191">
                  <c:v>-80.074100000000001</c:v>
                </c:pt>
                <c:pt idx="192">
                  <c:v>-80.4392</c:v>
                </c:pt>
                <c:pt idx="193">
                  <c:v>-80.804299999999998</c:v>
                </c:pt>
                <c:pt idx="194">
                  <c:v>-81.169399999999996</c:v>
                </c:pt>
                <c:pt idx="195">
                  <c:v>-81.534500000000008</c:v>
                </c:pt>
                <c:pt idx="196">
                  <c:v>-81.899600000000007</c:v>
                </c:pt>
                <c:pt idx="197">
                  <c:v>-82.264700000000005</c:v>
                </c:pt>
                <c:pt idx="198">
                  <c:v>-82.629800000000003</c:v>
                </c:pt>
                <c:pt idx="199">
                  <c:v>-82.994900000000001</c:v>
                </c:pt>
                <c:pt idx="200">
                  <c:v>-83.36</c:v>
                </c:pt>
                <c:pt idx="201">
                  <c:v>-83.725099999999998</c:v>
                </c:pt>
                <c:pt idx="202">
                  <c:v>-84.090199999999996</c:v>
                </c:pt>
                <c:pt idx="203">
                  <c:v>-84.455300000000008</c:v>
                </c:pt>
                <c:pt idx="204">
                  <c:v>-84.820400000000006</c:v>
                </c:pt>
                <c:pt idx="205">
                  <c:v>-85.185500000000005</c:v>
                </c:pt>
                <c:pt idx="206">
                  <c:v>-85.550600000000003</c:v>
                </c:pt>
                <c:pt idx="207">
                  <c:v>-85.915700000000001</c:v>
                </c:pt>
                <c:pt idx="208">
                  <c:v>-86.280799999999999</c:v>
                </c:pt>
                <c:pt idx="209">
                  <c:v>-86.645899999999997</c:v>
                </c:pt>
                <c:pt idx="210">
                  <c:v>-87.010999999999996</c:v>
                </c:pt>
                <c:pt idx="211">
                  <c:v>-87.376100000000008</c:v>
                </c:pt>
                <c:pt idx="212">
                  <c:v>-87.741200000000006</c:v>
                </c:pt>
                <c:pt idx="213">
                  <c:v>-88.106300000000005</c:v>
                </c:pt>
                <c:pt idx="214">
                  <c:v>-88.471400000000003</c:v>
                </c:pt>
                <c:pt idx="215">
                  <c:v>-88.836500000000001</c:v>
                </c:pt>
              </c:numCache>
            </c:numRef>
          </c:xVal>
          <c:yVal>
            <c:numRef>
              <c:f>'Mars English'!$C$10:$C$300</c:f>
              <c:numCache>
                <c:formatCode>General</c:formatCode>
                <c:ptCount val="291"/>
                <c:pt idx="0">
                  <c:v>14.62</c:v>
                </c:pt>
                <c:pt idx="1">
                  <c:v>14.489010337659558</c:v>
                </c:pt>
                <c:pt idx="2">
                  <c:v>14.359194293078357</c:v>
                </c:pt>
                <c:pt idx="3">
                  <c:v>14.230541351085803</c:v>
                </c:pt>
                <c:pt idx="4">
                  <c:v>14.103041090723259</c:v>
                </c:pt>
                <c:pt idx="5">
                  <c:v>13.976683184399921</c:v>
                </c:pt>
                <c:pt idx="6">
                  <c:v>13.85145739705629</c:v>
                </c:pt>
                <c:pt idx="7">
                  <c:v>13.727353585335127</c:v>
                </c:pt>
                <c:pt idx="8">
                  <c:v>13.604361696759828</c:v>
                </c:pt>
                <c:pt idx="9">
                  <c:v>13.482471768920169</c:v>
                </c:pt>
                <c:pt idx="10">
                  <c:v>13.361673928665356</c:v>
                </c:pt>
                <c:pt idx="11">
                  <c:v>13.241958391304278</c:v>
                </c:pt>
                <c:pt idx="12">
                  <c:v>13.123315459812957</c:v>
                </c:pt>
                <c:pt idx="13">
                  <c:v>13.005735524049072</c:v>
                </c:pt>
                <c:pt idx="14">
                  <c:v>12.889209059973542</c:v>
                </c:pt>
                <c:pt idx="15">
                  <c:v>12.773726628879063</c:v>
                </c:pt>
                <c:pt idx="16">
                  <c:v>12.659278876625576</c:v>
                </c:pt>
                <c:pt idx="17">
                  <c:v>12.545856532882576</c:v>
                </c:pt>
                <c:pt idx="18">
                  <c:v>12.433450410378205</c:v>
                </c:pt>
                <c:pt idx="19">
                  <c:v>12.322051404155083</c:v>
                </c:pt>
                <c:pt idx="20">
                  <c:v>12.211650490832795</c:v>
                </c:pt>
                <c:pt idx="21">
                  <c:v>12.102238727877005</c:v>
                </c:pt>
                <c:pt idx="22">
                  <c:v>11.99380725287509</c:v>
                </c:pt>
                <c:pt idx="23">
                  <c:v>11.886347282818289</c:v>
                </c:pt>
                <c:pt idx="24">
                  <c:v>11.779850113390271</c:v>
                </c:pt>
                <c:pt idx="25">
                  <c:v>11.674307118262092</c:v>
                </c:pt>
                <c:pt idx="26">
                  <c:v>11.569709748393436</c:v>
                </c:pt>
                <c:pt idx="27">
                  <c:v>11.466049531340154</c:v>
                </c:pt>
                <c:pt idx="28">
                  <c:v>11.363318070567992</c:v>
                </c:pt>
                <c:pt idx="29">
                  <c:v>11.261507044772456</c:v>
                </c:pt>
                <c:pt idx="30">
                  <c:v>11.160608207204792</c:v>
                </c:pt>
                <c:pt idx="31">
                  <c:v>11.060613385003991</c:v>
                </c:pt>
                <c:pt idx="32">
                  <c:v>10.961514478534783</c:v>
                </c:pt>
                <c:pt idx="33">
                  <c:v>10.86330346073156</c:v>
                </c:pt>
                <c:pt idx="34">
                  <c:v>10.765972376448183</c:v>
                </c:pt>
                <c:pt idx="35">
                  <c:v>10.669513341813611</c:v>
                </c:pt>
                <c:pt idx="36">
                  <c:v>10.573918543593296</c:v>
                </c:pt>
                <c:pt idx="37">
                  <c:v>10.479180238556319</c:v>
                </c:pt>
                <c:pt idx="38">
                  <c:v>10.385290752848171</c:v>
                </c:pt>
                <c:pt idx="39">
                  <c:v>10.292242481369177</c:v>
                </c:pt>
                <c:pt idx="40">
                  <c:v>10.200027887158473</c:v>
                </c:pt>
                <c:pt idx="41">
                  <c:v>10.108639500783509</c:v>
                </c:pt>
                <c:pt idx="42">
                  <c:v>10.018069919735023</c:v>
                </c:pt>
                <c:pt idx="43">
                  <c:v>9.9283118078274288</c:v>
                </c:pt>
                <c:pt idx="44">
                  <c:v>9.8393578946045892</c:v>
                </c:pt>
                <c:pt idx="45">
                  <c:v>9.7512009747508941</c:v>
                </c:pt>
                <c:pt idx="46">
                  <c:v>9.6638339075076392</c:v>
                </c:pt>
                <c:pt idx="47">
                  <c:v>9.5772496160946066</c:v>
                </c:pt>
                <c:pt idx="48">
                  <c:v>9.491441087136856</c:v>
                </c:pt>
                <c:pt idx="49">
                  <c:v>9.4064013700966189</c:v>
                </c:pt>
                <c:pt idx="50">
                  <c:v>9.3221235767103252</c:v>
                </c:pt>
                <c:pt idx="51">
                  <c:v>9.2386008804306297</c:v>
                </c:pt>
                <c:pt idx="52">
                  <c:v>9.1558265158734677</c:v>
                </c:pt>
                <c:pt idx="53">
                  <c:v>9.0737937782700531</c:v>
                </c:pt>
                <c:pt idx="54">
                  <c:v>8.9924960229237882</c:v>
                </c:pt>
                <c:pt idx="55">
                  <c:v>8.9119266646720412</c:v>
                </c:pt>
                <c:pt idx="56">
                  <c:v>8.8320791773527407</c:v>
                </c:pt>
                <c:pt idx="57">
                  <c:v>8.7529470932757611</c:v>
                </c:pt>
                <c:pt idx="58">
                  <c:v>8.6745240026990196</c:v>
                </c:pt>
                <c:pt idx="59">
                  <c:v>8.596803553309309</c:v>
                </c:pt>
                <c:pt idx="60">
                  <c:v>8.5197794497077286</c:v>
                </c:pt>
                <c:pt idx="61">
                  <c:v>8.4434454528997769</c:v>
                </c:pt>
                <c:pt idx="62">
                  <c:v>8.3677953797899765</c:v>
                </c:pt>
                <c:pt idx="63">
                  <c:v>8.2928231026810462</c:v>
                </c:pt>
                <c:pt idx="64">
                  <c:v>8.2185225487775444</c:v>
                </c:pt>
                <c:pt idx="65">
                  <c:v>8.1448876996939816</c:v>
                </c:pt>
                <c:pt idx="66">
                  <c:v>8.0719125909673242</c:v>
                </c:pt>
                <c:pt idx="67">
                  <c:v>7.9995913115738659</c:v>
                </c:pt>
                <c:pt idx="68">
                  <c:v>7.9279180034504346</c:v>
                </c:pt>
                <c:pt idx="69">
                  <c:v>7.8568868610198823</c:v>
                </c:pt>
                <c:pt idx="70">
                  <c:v>7.7864921307208368</c:v>
                </c:pt>
                <c:pt idx="71">
                  <c:v>7.7167281105416556</c:v>
                </c:pt>
                <c:pt idx="72">
                  <c:v>7.6475891495585611</c:v>
                </c:pt>
                <c:pt idx="73">
                  <c:v>7.5790696474779109</c:v>
                </c:pt>
                <c:pt idx="74">
                  <c:v>7.5111640541825748</c:v>
                </c:pt>
                <c:pt idx="75">
                  <c:v>7.4438668692823686</c:v>
                </c:pt>
                <c:pt idx="76">
                  <c:v>7.3771726416685182</c:v>
                </c:pt>
                <c:pt idx="77">
                  <c:v>7.3110759690721219</c:v>
                </c:pt>
                <c:pt idx="78">
                  <c:v>7.2455714976265631</c:v>
                </c:pt>
                <c:pt idx="79">
                  <c:v>7.1806539214338398</c:v>
                </c:pt>
                <c:pt idx="80">
                  <c:v>7.1163179821347855</c:v>
                </c:pt>
                <c:pt idx="81">
                  <c:v>7.0525584684831406</c:v>
                </c:pt>
                <c:pt idx="82">
                  <c:v>6.9893702159234401</c:v>
                </c:pt>
                <c:pt idx="83">
                  <c:v>6.9267481061726777</c:v>
                </c:pt>
                <c:pt idx="84">
                  <c:v>6.8646870668057245</c:v>
                </c:pt>
                <c:pt idx="85">
                  <c:v>6.8031820708444615</c:v>
                </c:pt>
                <c:pt idx="86">
                  <c:v>6.7422281363505858</c:v>
                </c:pt>
                <c:pt idx="87">
                  <c:v>6.6818203260220788</c:v>
                </c:pt>
                <c:pt idx="88">
                  <c:v>6.621953746793273</c:v>
                </c:pt>
                <c:pt idx="89">
                  <c:v>6.5626235494385217</c:v>
                </c:pt>
                <c:pt idx="90">
                  <c:v>6.5038249281793989</c:v>
                </c:pt>
                <c:pt idx="91">
                  <c:v>6.4455531202954344</c:v>
                </c:pt>
                <c:pt idx="92">
                  <c:v>6.3878034057383291</c:v>
                </c:pt>
                <c:pt idx="93">
                  <c:v>6.3305711067496313</c:v>
                </c:pt>
                <c:pt idx="94">
                  <c:v>6.2738515874818273</c:v>
                </c:pt>
                <c:pt idx="95">
                  <c:v>6.2176402536228474</c:v>
                </c:pt>
                <c:pt idx="96">
                  <c:v>6.1619325520239157</c:v>
                </c:pt>
                <c:pt idx="97">
                  <c:v>6.1067239703307425</c:v>
                </c:pt>
                <c:pt idx="98">
                  <c:v>6.0520100366180269</c:v>
                </c:pt>
                <c:pt idx="99">
                  <c:v>5.9977863190272229</c:v>
                </c:pt>
                <c:pt idx="100">
                  <c:v>5.9440484254075585</c:v>
                </c:pt>
                <c:pt idx="101">
                  <c:v>5.8907920029602696</c:v>
                </c:pt>
                <c:pt idx="102">
                  <c:v>5.8380127378860198</c:v>
                </c:pt>
                <c:pt idx="103">
                  <c:v>5.7857063550354804</c:v>
                </c:pt>
                <c:pt idx="104">
                  <c:v>5.7338686175630418</c:v>
                </c:pt>
                <c:pt idx="105">
                  <c:v>5.682495326583628</c:v>
                </c:pt>
                <c:pt idx="106">
                  <c:v>5.6315823208325799</c:v>
                </c:pt>
                <c:pt idx="107">
                  <c:v>5.5811254763285953</c:v>
                </c:pt>
                <c:pt idx="108">
                  <c:v>5.5311207060396823</c:v>
                </c:pt>
                <c:pt idx="109">
                  <c:v>5.4815639595521066</c:v>
                </c:pt>
                <c:pt idx="110">
                  <c:v>5.4324512227423076</c:v>
                </c:pt>
                <c:pt idx="111">
                  <c:v>5.3837785174517512</c:v>
                </c:pt>
                <c:pt idx="112">
                  <c:v>5.3355419011646985</c:v>
                </c:pt>
                <c:pt idx="113">
                  <c:v>5.2877374666888537</c:v>
                </c:pt>
                <c:pt idx="114">
                  <c:v>5.2403613418388906</c:v>
                </c:pt>
                <c:pt idx="115">
                  <c:v>5.1934096891227908</c:v>
                </c:pt>
                <c:pt idx="116">
                  <c:v>5.1468787054310141</c:v>
                </c:pt>
                <c:pt idx="117">
                  <c:v>5.1007646217284419</c:v>
                </c:pt>
                <c:pt idx="118">
                  <c:v>5.055063702749079</c:v>
                </c:pt>
                <c:pt idx="119">
                  <c:v>5.0097722466935037</c:v>
                </c:pt>
                <c:pt idx="120">
                  <c:v>4.9648865849290091</c:v>
                </c:pt>
                <c:pt idx="121">
                  <c:v>4.9204030816924549</c:v>
                </c:pt>
                <c:pt idx="122">
                  <c:v>4.8763181337957544</c:v>
                </c:pt>
                <c:pt idx="123">
                  <c:v>4.8326281703340257</c:v>
                </c:pt>
                <c:pt idx="124">
                  <c:v>4.7893296523963409</c:v>
                </c:pt>
                <c:pt idx="125">
                  <c:v>4.7464190727790729</c:v>
                </c:pt>
                <c:pt idx="126">
                  <c:v>4.7038929557018108</c:v>
                </c:pt>
                <c:pt idx="127">
                  <c:v>4.6617478565258228</c:v>
                </c:pt>
                <c:pt idx="128">
                  <c:v>4.6199803614750286</c:v>
                </c:pt>
                <c:pt idx="129">
                  <c:v>4.5785870873594972</c:v>
                </c:pt>
                <c:pt idx="130">
                  <c:v>4.537564681301391</c:v>
                </c:pt>
                <c:pt idx="131">
                  <c:v>4.4969098204633893</c:v>
                </c:pt>
                <c:pt idx="132">
                  <c:v>4.4566192117795378</c:v>
                </c:pt>
                <c:pt idx="133">
                  <c:v>4.4166895916885034</c:v>
                </c:pt>
                <c:pt idx="134">
                  <c:v>4.3771177258692271</c:v>
                </c:pt>
                <c:pt idx="135">
                  <c:v>4.3379004089789417</c:v>
                </c:pt>
                <c:pt idx="136">
                  <c:v>4.2990344643935376</c:v>
                </c:pt>
                <c:pt idx="137">
                  <c:v>4.2605167439502525</c:v>
                </c:pt>
                <c:pt idx="138">
                  <c:v>4.2223441276926712</c:v>
                </c:pt>
                <c:pt idx="139">
                  <c:v>4.1845135236180058</c:v>
                </c:pt>
                <c:pt idx="140">
                  <c:v>4.147021867426643</c:v>
                </c:pt>
                <c:pt idx="141">
                  <c:v>4.1098661222739308</c:v>
                </c:pt>
                <c:pt idx="142">
                  <c:v>4.0730432785241995</c:v>
                </c:pt>
                <c:pt idx="143">
                  <c:v>4.0365503535069704</c:v>
                </c:pt>
                <c:pt idx="144">
                  <c:v>4.0003843912753654</c:v>
                </c:pt>
                <c:pt idx="145">
                  <c:v>3.9645424623666705</c:v>
                </c:pt>
                <c:pt idx="146">
                  <c:v>3.9290216635650452</c:v>
                </c:pt>
                <c:pt idx="147">
                  <c:v>3.8938191176663683</c:v>
                </c:pt>
                <c:pt idx="148">
                  <c:v>3.858931973245173</c:v>
                </c:pt>
                <c:pt idx="149">
                  <c:v>3.8243574044236879</c:v>
                </c:pt>
                <c:pt idx="150">
                  <c:v>3.7900926106429336</c:v>
                </c:pt>
                <c:pt idx="151">
                  <c:v>3.756134816435881</c:v>
                </c:pt>
                <c:pt idx="152">
                  <c:v>3.7224812712026303</c:v>
                </c:pt>
                <c:pt idx="153">
                  <c:v>3.6891292489876211</c:v>
                </c:pt>
                <c:pt idx="154">
                  <c:v>3.6560760482588153</c:v>
                </c:pt>
                <c:pt idx="155">
                  <c:v>3.6233189916888842</c:v>
                </c:pt>
                <c:pt idx="156">
                  <c:v>3.5908554259383343</c:v>
                </c:pt>
                <c:pt idx="157">
                  <c:v>3.5586827214405918</c:v>
                </c:pt>
                <c:pt idx="158">
                  <c:v>3.526798272189001</c:v>
                </c:pt>
                <c:pt idx="159">
                  <c:v>3.4951994955257386</c:v>
                </c:pt>
                <c:pt idx="160">
                  <c:v>3.4638838319326202</c:v>
                </c:pt>
                <c:pt idx="161">
                  <c:v>3.432848744823771</c:v>
                </c:pt>
                <c:pt idx="162">
                  <c:v>3.4020917203401688</c:v>
                </c:pt>
                <c:pt idx="163">
                  <c:v>3.371610267146012</c:v>
                </c:pt>
                <c:pt idx="164">
                  <c:v>3.3414019162269275</c:v>
                </c:pt>
                <c:pt idx="165">
                  <c:v>3.3114642206899729</c:v>
                </c:pt>
                <c:pt idx="166">
                  <c:v>3.2817947555654432</c:v>
                </c:pt>
                <c:pt idx="167">
                  <c:v>3.2523911176104394</c:v>
                </c:pt>
                <c:pt idx="168">
                  <c:v>3.2232509251142125</c:v>
                </c:pt>
                <c:pt idx="169">
                  <c:v>3.1943718177052367</c:v>
                </c:pt>
                <c:pt idx="170">
                  <c:v>3.1657514561600233</c:v>
                </c:pt>
                <c:pt idx="171">
                  <c:v>3.1373875222136367</c:v>
                </c:pt>
                <c:pt idx="172">
                  <c:v>3.109277718371922</c:v>
                </c:pt>
                <c:pt idx="173">
                  <c:v>3.0814197677253974</c:v>
                </c:pt>
                <c:pt idx="174">
                  <c:v>3.0538114137648287</c:v>
                </c:pt>
                <c:pt idx="175">
                  <c:v>3.0264504201984517</c:v>
                </c:pt>
                <c:pt idx="176">
                  <c:v>2.9993345707708259</c:v>
                </c:pt>
                <c:pt idx="177">
                  <c:v>2.9724616690833239</c:v>
                </c:pt>
                <c:pt idx="178">
                  <c:v>2.945829538416215</c:v>
                </c:pt>
                <c:pt idx="179">
                  <c:v>2.9194360215523552</c:v>
                </c:pt>
                <c:pt idx="180">
                  <c:v>2.8932789806024459</c:v>
                </c:pt>
                <c:pt idx="181">
                  <c:v>2.8673562968318711</c:v>
                </c:pt>
                <c:pt idx="182">
                  <c:v>2.8416658704890705</c:v>
                </c:pt>
                <c:pt idx="183">
                  <c:v>2.8162056206354649</c:v>
                </c:pt>
                <c:pt idx="184">
                  <c:v>2.7909734849768943</c:v>
                </c:pt>
                <c:pt idx="185">
                  <c:v>2.7659674196965773</c:v>
                </c:pt>
                <c:pt idx="186">
                  <c:v>2.7411853992895514</c:v>
                </c:pt>
                <c:pt idx="187">
                  <c:v>2.7166254163986152</c:v>
                </c:pt>
                <c:pt idx="188">
                  <c:v>2.6922854816517265</c:v>
                </c:pt>
                <c:pt idx="189">
                  <c:v>2.6681636235008628</c:v>
                </c:pt>
                <c:pt idx="190">
                  <c:v>2.6442578880623251</c:v>
                </c:pt>
                <c:pt idx="191">
                  <c:v>2.6205663389584717</c:v>
                </c:pt>
                <c:pt idx="192">
                  <c:v>2.5970870571608731</c:v>
                </c:pt>
                <c:pt idx="193">
                  <c:v>2.5738181408348653</c:v>
                </c:pt>
                <c:pt idx="194">
                  <c:v>2.5507577051855042</c:v>
                </c:pt>
                <c:pt idx="195">
                  <c:v>2.5279038823048929</c:v>
                </c:pt>
                <c:pt idx="196">
                  <c:v>2.5052548210208845</c:v>
                </c:pt>
                <c:pt idx="197">
                  <c:v>2.4828086867471302</c:v>
                </c:pt>
                <c:pt idx="198">
                  <c:v>2.4605636613344819</c:v>
                </c:pt>
                <c:pt idx="199">
                  <c:v>2.4385179429237183</c:v>
                </c:pt>
                <c:pt idx="200">
                  <c:v>2.4166697457995951</c:v>
                </c:pt>
                <c:pt idx="201">
                  <c:v>2.3950173002461992</c:v>
                </c:pt>
                <c:pt idx="202">
                  <c:v>2.373558852403602</c:v>
                </c:pt>
                <c:pt idx="203">
                  <c:v>2.3522926641257973</c:v>
                </c:pt>
                <c:pt idx="204">
                  <c:v>2.3312170128399052</c:v>
                </c:pt>
                <c:pt idx="205">
                  <c:v>2.3103301914066505</c:v>
                </c:pt>
                <c:pt idx="206">
                  <c:v>2.2896305079820753</c:v>
                </c:pt>
                <c:pt idx="207">
                  <c:v>2.2691162858805063</c:v>
                </c:pt>
                <c:pt idx="208">
                  <c:v>2.2487858634387359</c:v>
                </c:pt>
                <c:pt idx="209">
                  <c:v>2.2286375938814311</c:v>
                </c:pt>
                <c:pt idx="210">
                  <c:v>2.2086698451877416</c:v>
                </c:pt>
                <c:pt idx="211">
                  <c:v>2.1888809999591059</c:v>
                </c:pt>
                <c:pt idx="212">
                  <c:v>2.1692694552882403</c:v>
                </c:pt>
                <c:pt idx="213">
                  <c:v>2.1498336226293051</c:v>
                </c:pt>
                <c:pt idx="214">
                  <c:v>2.1305719276692265</c:v>
                </c:pt>
                <c:pt idx="215">
                  <c:v>2.1114828102001835</c:v>
                </c:pt>
              </c:numCache>
            </c:numRef>
          </c:yVal>
        </c:ser>
        <c:ser>
          <c:idx val="1"/>
          <c:order val="1"/>
          <c:marker>
            <c:symbol val="none"/>
          </c:marker>
          <c:xVal>
            <c:numRef>
              <c:f>'Mars English'!$B$10:$B$300</c:f>
              <c:numCache>
                <c:formatCode>General</c:formatCode>
                <c:ptCount val="291"/>
                <c:pt idx="0">
                  <c:v>-25.68</c:v>
                </c:pt>
                <c:pt idx="1">
                  <c:v>-25.8444</c:v>
                </c:pt>
                <c:pt idx="2">
                  <c:v>-26.008800000000001</c:v>
                </c:pt>
                <c:pt idx="3">
                  <c:v>-26.173200000000001</c:v>
                </c:pt>
                <c:pt idx="4">
                  <c:v>-26.337599999999998</c:v>
                </c:pt>
                <c:pt idx="5">
                  <c:v>-26.501999999999999</c:v>
                </c:pt>
                <c:pt idx="6">
                  <c:v>-26.666399999999999</c:v>
                </c:pt>
                <c:pt idx="7">
                  <c:v>-26.8308</c:v>
                </c:pt>
                <c:pt idx="8">
                  <c:v>-26.995200000000001</c:v>
                </c:pt>
                <c:pt idx="9">
                  <c:v>-27.159600000000001</c:v>
                </c:pt>
                <c:pt idx="10">
                  <c:v>-27.323999999999998</c:v>
                </c:pt>
                <c:pt idx="11">
                  <c:v>-27.488399999999999</c:v>
                </c:pt>
                <c:pt idx="12">
                  <c:v>-27.652799999999999</c:v>
                </c:pt>
                <c:pt idx="13">
                  <c:v>-27.8172</c:v>
                </c:pt>
                <c:pt idx="14">
                  <c:v>-27.9816</c:v>
                </c:pt>
                <c:pt idx="15">
                  <c:v>-28.146000000000001</c:v>
                </c:pt>
                <c:pt idx="16">
                  <c:v>-28.310400000000001</c:v>
                </c:pt>
                <c:pt idx="17">
                  <c:v>-28.474799999999998</c:v>
                </c:pt>
                <c:pt idx="18">
                  <c:v>-28.639199999999999</c:v>
                </c:pt>
                <c:pt idx="19">
                  <c:v>-28.803599999999999</c:v>
                </c:pt>
                <c:pt idx="20">
                  <c:v>-28.968</c:v>
                </c:pt>
                <c:pt idx="21">
                  <c:v>-29.132400000000001</c:v>
                </c:pt>
                <c:pt idx="22">
                  <c:v>-29.296800000000001</c:v>
                </c:pt>
                <c:pt idx="23">
                  <c:v>-29.461199999999998</c:v>
                </c:pt>
                <c:pt idx="24">
                  <c:v>-29.625599999999999</c:v>
                </c:pt>
                <c:pt idx="25">
                  <c:v>-29.79</c:v>
                </c:pt>
                <c:pt idx="26">
                  <c:v>-29.9544</c:v>
                </c:pt>
                <c:pt idx="27">
                  <c:v>-30.1188</c:v>
                </c:pt>
                <c:pt idx="28">
                  <c:v>-30.283200000000001</c:v>
                </c:pt>
                <c:pt idx="29">
                  <c:v>-30.447600000000001</c:v>
                </c:pt>
                <c:pt idx="30">
                  <c:v>-30.611999999999998</c:v>
                </c:pt>
                <c:pt idx="31">
                  <c:v>-30.776399999999999</c:v>
                </c:pt>
                <c:pt idx="32">
                  <c:v>-30.940799999999999</c:v>
                </c:pt>
                <c:pt idx="33">
                  <c:v>-31.1052</c:v>
                </c:pt>
                <c:pt idx="34">
                  <c:v>-31.269600000000001</c:v>
                </c:pt>
                <c:pt idx="35">
                  <c:v>-31.433999999999997</c:v>
                </c:pt>
                <c:pt idx="36">
                  <c:v>-31.598399999999998</c:v>
                </c:pt>
                <c:pt idx="37">
                  <c:v>-31.762799999999999</c:v>
                </c:pt>
                <c:pt idx="38">
                  <c:v>-31.927199999999999</c:v>
                </c:pt>
                <c:pt idx="39">
                  <c:v>-32.0916</c:v>
                </c:pt>
                <c:pt idx="40">
                  <c:v>-32.256</c:v>
                </c:pt>
                <c:pt idx="41">
                  <c:v>-32.420400000000001</c:v>
                </c:pt>
                <c:pt idx="42">
                  <c:v>-32.584800000000001</c:v>
                </c:pt>
                <c:pt idx="43">
                  <c:v>-32.749200000000002</c:v>
                </c:pt>
                <c:pt idx="44">
                  <c:v>-32.913600000000002</c:v>
                </c:pt>
                <c:pt idx="45">
                  <c:v>-33.078000000000003</c:v>
                </c:pt>
                <c:pt idx="46">
                  <c:v>-33.242399999999996</c:v>
                </c:pt>
                <c:pt idx="47">
                  <c:v>-33.406799999999997</c:v>
                </c:pt>
                <c:pt idx="48">
                  <c:v>-33.571199999999997</c:v>
                </c:pt>
                <c:pt idx="49">
                  <c:v>-33.735599999999998</c:v>
                </c:pt>
                <c:pt idx="50">
                  <c:v>-33.9</c:v>
                </c:pt>
                <c:pt idx="51">
                  <c:v>-34.064399999999999</c:v>
                </c:pt>
                <c:pt idx="52">
                  <c:v>-34.2288</c:v>
                </c:pt>
                <c:pt idx="53">
                  <c:v>-34.3932</c:v>
                </c:pt>
                <c:pt idx="54">
                  <c:v>-34.557600000000001</c:v>
                </c:pt>
                <c:pt idx="55">
                  <c:v>-34.722000000000001</c:v>
                </c:pt>
                <c:pt idx="56">
                  <c:v>-34.886400000000002</c:v>
                </c:pt>
                <c:pt idx="57">
                  <c:v>-35.050799999999995</c:v>
                </c:pt>
                <c:pt idx="58">
                  <c:v>-35.215199999999996</c:v>
                </c:pt>
                <c:pt idx="59">
                  <c:v>-35.379599999999996</c:v>
                </c:pt>
                <c:pt idx="60">
                  <c:v>-35.543999999999997</c:v>
                </c:pt>
                <c:pt idx="61">
                  <c:v>-35.708399999999997</c:v>
                </c:pt>
                <c:pt idx="62">
                  <c:v>-35.872799999999998</c:v>
                </c:pt>
                <c:pt idx="63">
                  <c:v>-36.037199999999999</c:v>
                </c:pt>
                <c:pt idx="64">
                  <c:v>-36.201599999999999</c:v>
                </c:pt>
                <c:pt idx="65">
                  <c:v>-36.366</c:v>
                </c:pt>
                <c:pt idx="66">
                  <c:v>-36.5304</c:v>
                </c:pt>
                <c:pt idx="67">
                  <c:v>-36.694800000000001</c:v>
                </c:pt>
                <c:pt idx="68">
                  <c:v>-36.859200000000001</c:v>
                </c:pt>
                <c:pt idx="69">
                  <c:v>-37.023600000000002</c:v>
                </c:pt>
                <c:pt idx="70">
                  <c:v>-37.188000000000002</c:v>
                </c:pt>
                <c:pt idx="71">
                  <c:v>-37.352400000000003</c:v>
                </c:pt>
                <c:pt idx="72">
                  <c:v>-37.516800000000003</c:v>
                </c:pt>
                <c:pt idx="73">
                  <c:v>-37.681199999999997</c:v>
                </c:pt>
                <c:pt idx="74">
                  <c:v>-37.845599999999997</c:v>
                </c:pt>
                <c:pt idx="75">
                  <c:v>-38.01</c:v>
                </c:pt>
                <c:pt idx="76">
                  <c:v>-38.174399999999999</c:v>
                </c:pt>
                <c:pt idx="77">
                  <c:v>-38.4527</c:v>
                </c:pt>
                <c:pt idx="78">
                  <c:v>-38.817799999999998</c:v>
                </c:pt>
                <c:pt idx="79">
                  <c:v>-39.182900000000004</c:v>
                </c:pt>
                <c:pt idx="80">
                  <c:v>-39.548000000000002</c:v>
                </c:pt>
                <c:pt idx="81">
                  <c:v>-39.9131</c:v>
                </c:pt>
                <c:pt idx="82">
                  <c:v>-40.278199999999998</c:v>
                </c:pt>
                <c:pt idx="83">
                  <c:v>-40.643299999999996</c:v>
                </c:pt>
                <c:pt idx="84">
                  <c:v>-41.008399999999995</c:v>
                </c:pt>
                <c:pt idx="85">
                  <c:v>-41.3735</c:v>
                </c:pt>
                <c:pt idx="86">
                  <c:v>-41.738599999999998</c:v>
                </c:pt>
                <c:pt idx="87">
                  <c:v>-42.103700000000003</c:v>
                </c:pt>
                <c:pt idx="88">
                  <c:v>-42.468800000000002</c:v>
                </c:pt>
                <c:pt idx="89">
                  <c:v>-42.8339</c:v>
                </c:pt>
                <c:pt idx="90">
                  <c:v>-43.198999999999998</c:v>
                </c:pt>
                <c:pt idx="91">
                  <c:v>-43.564099999999996</c:v>
                </c:pt>
                <c:pt idx="92">
                  <c:v>-43.929199999999994</c:v>
                </c:pt>
                <c:pt idx="93">
                  <c:v>-44.294299999999993</c:v>
                </c:pt>
                <c:pt idx="94">
                  <c:v>-44.659400000000005</c:v>
                </c:pt>
                <c:pt idx="95">
                  <c:v>-45.024500000000003</c:v>
                </c:pt>
                <c:pt idx="96">
                  <c:v>-45.389600000000002</c:v>
                </c:pt>
                <c:pt idx="97">
                  <c:v>-45.7547</c:v>
                </c:pt>
                <c:pt idx="98">
                  <c:v>-46.119799999999998</c:v>
                </c:pt>
                <c:pt idx="99">
                  <c:v>-46.484899999999996</c:v>
                </c:pt>
                <c:pt idx="100">
                  <c:v>-46.849999999999994</c:v>
                </c:pt>
                <c:pt idx="101">
                  <c:v>-47.215099999999993</c:v>
                </c:pt>
                <c:pt idx="102">
                  <c:v>-47.580200000000005</c:v>
                </c:pt>
                <c:pt idx="103">
                  <c:v>-47.945300000000003</c:v>
                </c:pt>
                <c:pt idx="104">
                  <c:v>-48.310400000000001</c:v>
                </c:pt>
                <c:pt idx="105">
                  <c:v>-48.6755</c:v>
                </c:pt>
                <c:pt idx="106">
                  <c:v>-49.040599999999998</c:v>
                </c:pt>
                <c:pt idx="107">
                  <c:v>-49.405699999999996</c:v>
                </c:pt>
                <c:pt idx="108">
                  <c:v>-49.770799999999994</c:v>
                </c:pt>
                <c:pt idx="109">
                  <c:v>-50.135899999999992</c:v>
                </c:pt>
                <c:pt idx="110">
                  <c:v>-50.501000000000005</c:v>
                </c:pt>
                <c:pt idx="111">
                  <c:v>-50.866100000000003</c:v>
                </c:pt>
                <c:pt idx="112">
                  <c:v>-51.231200000000001</c:v>
                </c:pt>
                <c:pt idx="113">
                  <c:v>-51.596299999999999</c:v>
                </c:pt>
                <c:pt idx="114">
                  <c:v>-51.961399999999998</c:v>
                </c:pt>
                <c:pt idx="115">
                  <c:v>-52.326499999999996</c:v>
                </c:pt>
                <c:pt idx="116">
                  <c:v>-52.691599999999994</c:v>
                </c:pt>
                <c:pt idx="117">
                  <c:v>-53.056699999999992</c:v>
                </c:pt>
                <c:pt idx="118">
                  <c:v>-53.421800000000005</c:v>
                </c:pt>
                <c:pt idx="119">
                  <c:v>-53.786900000000003</c:v>
                </c:pt>
                <c:pt idx="120">
                  <c:v>-54.152000000000001</c:v>
                </c:pt>
                <c:pt idx="121">
                  <c:v>-54.517099999999999</c:v>
                </c:pt>
                <c:pt idx="122">
                  <c:v>-54.882199999999997</c:v>
                </c:pt>
                <c:pt idx="123">
                  <c:v>-55.247299999999996</c:v>
                </c:pt>
                <c:pt idx="124">
                  <c:v>-55.612399999999994</c:v>
                </c:pt>
                <c:pt idx="125">
                  <c:v>-55.977500000000006</c:v>
                </c:pt>
                <c:pt idx="126">
                  <c:v>-56.342600000000004</c:v>
                </c:pt>
                <c:pt idx="127">
                  <c:v>-56.707700000000003</c:v>
                </c:pt>
                <c:pt idx="128">
                  <c:v>-57.072800000000001</c:v>
                </c:pt>
                <c:pt idx="129">
                  <c:v>-57.437899999999999</c:v>
                </c:pt>
                <c:pt idx="130">
                  <c:v>-57.802999999999997</c:v>
                </c:pt>
                <c:pt idx="131">
                  <c:v>-58.168099999999995</c:v>
                </c:pt>
                <c:pt idx="132">
                  <c:v>-58.533199999999994</c:v>
                </c:pt>
                <c:pt idx="133">
                  <c:v>-58.898300000000006</c:v>
                </c:pt>
                <c:pt idx="134">
                  <c:v>-59.263400000000004</c:v>
                </c:pt>
                <c:pt idx="135">
                  <c:v>-59.628500000000003</c:v>
                </c:pt>
                <c:pt idx="136">
                  <c:v>-59.993600000000001</c:v>
                </c:pt>
                <c:pt idx="137">
                  <c:v>-60.358699999999999</c:v>
                </c:pt>
                <c:pt idx="138">
                  <c:v>-60.723799999999997</c:v>
                </c:pt>
                <c:pt idx="139">
                  <c:v>-61.088899999999995</c:v>
                </c:pt>
                <c:pt idx="140">
                  <c:v>-61.453999999999994</c:v>
                </c:pt>
                <c:pt idx="141">
                  <c:v>-61.819100000000006</c:v>
                </c:pt>
                <c:pt idx="142">
                  <c:v>-62.184200000000004</c:v>
                </c:pt>
                <c:pt idx="143">
                  <c:v>-62.549300000000002</c:v>
                </c:pt>
                <c:pt idx="144">
                  <c:v>-62.914400000000001</c:v>
                </c:pt>
                <c:pt idx="145">
                  <c:v>-63.279499999999999</c:v>
                </c:pt>
                <c:pt idx="146">
                  <c:v>-63.644599999999997</c:v>
                </c:pt>
                <c:pt idx="147">
                  <c:v>-64.009699999999995</c:v>
                </c:pt>
                <c:pt idx="148">
                  <c:v>-64.374799999999993</c:v>
                </c:pt>
                <c:pt idx="149">
                  <c:v>-64.739900000000006</c:v>
                </c:pt>
                <c:pt idx="150">
                  <c:v>-65.105000000000004</c:v>
                </c:pt>
                <c:pt idx="151">
                  <c:v>-65.470100000000002</c:v>
                </c:pt>
                <c:pt idx="152">
                  <c:v>-65.8352</c:v>
                </c:pt>
                <c:pt idx="153">
                  <c:v>-66.200299999999999</c:v>
                </c:pt>
                <c:pt idx="154">
                  <c:v>-66.565399999999997</c:v>
                </c:pt>
                <c:pt idx="155">
                  <c:v>-66.930499999999995</c:v>
                </c:pt>
                <c:pt idx="156">
                  <c:v>-67.295599999999993</c:v>
                </c:pt>
                <c:pt idx="157">
                  <c:v>-67.660700000000006</c:v>
                </c:pt>
                <c:pt idx="158">
                  <c:v>-68.025800000000004</c:v>
                </c:pt>
                <c:pt idx="159">
                  <c:v>-68.390900000000002</c:v>
                </c:pt>
                <c:pt idx="160">
                  <c:v>-68.756</c:v>
                </c:pt>
                <c:pt idx="161">
                  <c:v>-69.121099999999998</c:v>
                </c:pt>
                <c:pt idx="162">
                  <c:v>-69.486199999999997</c:v>
                </c:pt>
                <c:pt idx="163">
                  <c:v>-69.851299999999995</c:v>
                </c:pt>
                <c:pt idx="164">
                  <c:v>-70.216399999999993</c:v>
                </c:pt>
                <c:pt idx="165">
                  <c:v>-70.581500000000005</c:v>
                </c:pt>
                <c:pt idx="166">
                  <c:v>-70.946600000000004</c:v>
                </c:pt>
                <c:pt idx="167">
                  <c:v>-71.311700000000002</c:v>
                </c:pt>
                <c:pt idx="168">
                  <c:v>-71.6768</c:v>
                </c:pt>
                <c:pt idx="169">
                  <c:v>-72.041899999999998</c:v>
                </c:pt>
                <c:pt idx="170">
                  <c:v>-72.406999999999996</c:v>
                </c:pt>
                <c:pt idx="171">
                  <c:v>-72.772099999999995</c:v>
                </c:pt>
                <c:pt idx="172">
                  <c:v>-73.137199999999993</c:v>
                </c:pt>
                <c:pt idx="173">
                  <c:v>-73.502300000000005</c:v>
                </c:pt>
                <c:pt idx="174">
                  <c:v>-73.867400000000004</c:v>
                </c:pt>
                <c:pt idx="175">
                  <c:v>-74.232500000000002</c:v>
                </c:pt>
                <c:pt idx="176">
                  <c:v>-74.5976</c:v>
                </c:pt>
                <c:pt idx="177">
                  <c:v>-74.962699999999998</c:v>
                </c:pt>
                <c:pt idx="178">
                  <c:v>-75.327799999999996</c:v>
                </c:pt>
                <c:pt idx="179">
                  <c:v>-75.692900000000009</c:v>
                </c:pt>
                <c:pt idx="180">
                  <c:v>-76.058000000000007</c:v>
                </c:pt>
                <c:pt idx="181">
                  <c:v>-76.423100000000005</c:v>
                </c:pt>
                <c:pt idx="182">
                  <c:v>-76.788200000000003</c:v>
                </c:pt>
                <c:pt idx="183">
                  <c:v>-77.153300000000002</c:v>
                </c:pt>
                <c:pt idx="184">
                  <c:v>-77.5184</c:v>
                </c:pt>
                <c:pt idx="185">
                  <c:v>-77.883499999999998</c:v>
                </c:pt>
                <c:pt idx="186">
                  <c:v>-78.248599999999996</c:v>
                </c:pt>
                <c:pt idx="187">
                  <c:v>-78.613700000000009</c:v>
                </c:pt>
                <c:pt idx="188">
                  <c:v>-78.978800000000007</c:v>
                </c:pt>
                <c:pt idx="189">
                  <c:v>-79.343900000000005</c:v>
                </c:pt>
                <c:pt idx="190">
                  <c:v>-79.709000000000003</c:v>
                </c:pt>
                <c:pt idx="191">
                  <c:v>-80.074100000000001</c:v>
                </c:pt>
                <c:pt idx="192">
                  <c:v>-80.4392</c:v>
                </c:pt>
                <c:pt idx="193">
                  <c:v>-80.804299999999998</c:v>
                </c:pt>
                <c:pt idx="194">
                  <c:v>-81.169399999999996</c:v>
                </c:pt>
                <c:pt idx="195">
                  <c:v>-81.534500000000008</c:v>
                </c:pt>
                <c:pt idx="196">
                  <c:v>-81.899600000000007</c:v>
                </c:pt>
                <c:pt idx="197">
                  <c:v>-82.264700000000005</c:v>
                </c:pt>
                <c:pt idx="198">
                  <c:v>-82.629800000000003</c:v>
                </c:pt>
                <c:pt idx="199">
                  <c:v>-82.994900000000001</c:v>
                </c:pt>
                <c:pt idx="200">
                  <c:v>-83.36</c:v>
                </c:pt>
                <c:pt idx="201">
                  <c:v>-83.725099999999998</c:v>
                </c:pt>
                <c:pt idx="202">
                  <c:v>-84.090199999999996</c:v>
                </c:pt>
                <c:pt idx="203">
                  <c:v>-84.455300000000008</c:v>
                </c:pt>
                <c:pt idx="204">
                  <c:v>-84.820400000000006</c:v>
                </c:pt>
                <c:pt idx="205">
                  <c:v>-85.185500000000005</c:v>
                </c:pt>
                <c:pt idx="206">
                  <c:v>-85.550600000000003</c:v>
                </c:pt>
                <c:pt idx="207">
                  <c:v>-85.915700000000001</c:v>
                </c:pt>
                <c:pt idx="208">
                  <c:v>-86.280799999999999</c:v>
                </c:pt>
                <c:pt idx="209">
                  <c:v>-86.645899999999997</c:v>
                </c:pt>
                <c:pt idx="210">
                  <c:v>-87.010999999999996</c:v>
                </c:pt>
                <c:pt idx="211">
                  <c:v>-87.376100000000008</c:v>
                </c:pt>
                <c:pt idx="212">
                  <c:v>-87.741200000000006</c:v>
                </c:pt>
                <c:pt idx="213">
                  <c:v>-88.106300000000005</c:v>
                </c:pt>
                <c:pt idx="214">
                  <c:v>-88.471400000000003</c:v>
                </c:pt>
                <c:pt idx="215">
                  <c:v>-88.836500000000001</c:v>
                </c:pt>
              </c:numCache>
            </c:numRef>
          </c:xVal>
          <c:yVal>
            <c:numRef>
              <c:f>'Mars English'!$D$10:$D$300</c:f>
              <c:numCache>
                <c:formatCode>General</c:formatCode>
                <c:ptCount val="291"/>
                <c:pt idx="0">
                  <c:v>11.665457292533841</c:v>
                </c:pt>
                <c:pt idx="1">
                  <c:v>11.638951923751097</c:v>
                </c:pt>
                <c:pt idx="2">
                  <c:v>11.612496760228023</c:v>
                </c:pt>
                <c:pt idx="3">
                  <c:v>11.586091725858553</c:v>
                </c:pt>
                <c:pt idx="4">
                  <c:v>11.55973674462321</c:v>
                </c:pt>
                <c:pt idx="5">
                  <c:v>11.533431740589013</c:v>
                </c:pt>
                <c:pt idx="6">
                  <c:v>11.507176637909369</c:v>
                </c:pt>
                <c:pt idx="7">
                  <c:v>11.480971360824093</c:v>
                </c:pt>
                <c:pt idx="8">
                  <c:v>11.454815833659287</c:v>
                </c:pt>
                <c:pt idx="9">
                  <c:v>11.428709980827263</c:v>
                </c:pt>
                <c:pt idx="10">
                  <c:v>11.402653726826518</c:v>
                </c:pt>
                <c:pt idx="11">
                  <c:v>11.376646996241652</c:v>
                </c:pt>
                <c:pt idx="12">
                  <c:v>11.35068971374327</c:v>
                </c:pt>
                <c:pt idx="13">
                  <c:v>11.324781804087992</c:v>
                </c:pt>
                <c:pt idx="14">
                  <c:v>11.298923192118329</c:v>
                </c:pt>
                <c:pt idx="15">
                  <c:v>11.273113802762589</c:v>
                </c:pt>
                <c:pt idx="16">
                  <c:v>11.247353561034901</c:v>
                </c:pt>
                <c:pt idx="17">
                  <c:v>11.221642392035093</c:v>
                </c:pt>
                <c:pt idx="18">
                  <c:v>11.195980220948625</c:v>
                </c:pt>
                <c:pt idx="19">
                  <c:v>11.17036697304653</c:v>
                </c:pt>
                <c:pt idx="20">
                  <c:v>11.144802573685377</c:v>
                </c:pt>
                <c:pt idx="21">
                  <c:v>11.119286948307147</c:v>
                </c:pt>
                <c:pt idx="22">
                  <c:v>11.093820022439235</c:v>
                </c:pt>
                <c:pt idx="23">
                  <c:v>11.068401721694343</c:v>
                </c:pt>
                <c:pt idx="24">
                  <c:v>11.043031971770406</c:v>
                </c:pt>
                <c:pt idx="25">
                  <c:v>11.017710698450559</c:v>
                </c:pt>
                <c:pt idx="26">
                  <c:v>10.992437827603084</c:v>
                </c:pt>
                <c:pt idx="27">
                  <c:v>10.967213285181261</c:v>
                </c:pt>
                <c:pt idx="28">
                  <c:v>10.942036997223404</c:v>
                </c:pt>
                <c:pt idx="29">
                  <c:v>10.916908889852747</c:v>
                </c:pt>
                <c:pt idx="30">
                  <c:v>10.89182888927737</c:v>
                </c:pt>
                <c:pt idx="31">
                  <c:v>10.866796921790163</c:v>
                </c:pt>
                <c:pt idx="32">
                  <c:v>10.84181291376874</c:v>
                </c:pt>
                <c:pt idx="33">
                  <c:v>10.81687679167538</c:v>
                </c:pt>
                <c:pt idx="34">
                  <c:v>10.791988482056954</c:v>
                </c:pt>
                <c:pt idx="35">
                  <c:v>10.767147911544903</c:v>
                </c:pt>
                <c:pt idx="36">
                  <c:v>10.742355006855092</c:v>
                </c:pt>
                <c:pt idx="37">
                  <c:v>10.71760969478782</c:v>
                </c:pt>
                <c:pt idx="38">
                  <c:v>10.692911902227731</c:v>
                </c:pt>
                <c:pt idx="39">
                  <c:v>10.668261556143722</c:v>
                </c:pt>
                <c:pt idx="40">
                  <c:v>10.643658583588923</c:v>
                </c:pt>
                <c:pt idx="41">
                  <c:v>10.61910291170061</c:v>
                </c:pt>
                <c:pt idx="42">
                  <c:v>10.594594467700119</c:v>
                </c:pt>
                <c:pt idx="43">
                  <c:v>10.570133178892835</c:v>
                </c:pt>
                <c:pt idx="44">
                  <c:v>10.545718972668071</c:v>
                </c:pt>
                <c:pt idx="45">
                  <c:v>10.521351776499039</c:v>
                </c:pt>
                <c:pt idx="46">
                  <c:v>10.497031517942762</c:v>
                </c:pt>
                <c:pt idx="47">
                  <c:v>10.472758124640054</c:v>
                </c:pt>
                <c:pt idx="48">
                  <c:v>10.448531524315381</c:v>
                </c:pt>
                <c:pt idx="49">
                  <c:v>10.424351644776861</c:v>
                </c:pt>
                <c:pt idx="50">
                  <c:v>10.400218413916196</c:v>
                </c:pt>
                <c:pt idx="51">
                  <c:v>10.376131759708533</c:v>
                </c:pt>
                <c:pt idx="52">
                  <c:v>10.352091610212511</c:v>
                </c:pt>
                <c:pt idx="53">
                  <c:v>10.328097893570128</c:v>
                </c:pt>
                <c:pt idx="54">
                  <c:v>10.304150538006654</c:v>
                </c:pt>
                <c:pt idx="55">
                  <c:v>10.280249471830642</c:v>
                </c:pt>
                <c:pt idx="56">
                  <c:v>10.256394623433822</c:v>
                </c:pt>
                <c:pt idx="57">
                  <c:v>10.232585921290996</c:v>
                </c:pt>
                <c:pt idx="58">
                  <c:v>10.208823293960076</c:v>
                </c:pt>
                <c:pt idx="59">
                  <c:v>10.1851066700819</c:v>
                </c:pt>
                <c:pt idx="60">
                  <c:v>10.161435978380279</c:v>
                </c:pt>
                <c:pt idx="61">
                  <c:v>10.137811147661852</c:v>
                </c:pt>
                <c:pt idx="62">
                  <c:v>10.11423210681604</c:v>
                </c:pt>
                <c:pt idx="63">
                  <c:v>10.090698784815025</c:v>
                </c:pt>
                <c:pt idx="64">
                  <c:v>10.067211110713639</c:v>
                </c:pt>
                <c:pt idx="65">
                  <c:v>10.043769013649301</c:v>
                </c:pt>
                <c:pt idx="66">
                  <c:v>10.02037242284198</c:v>
                </c:pt>
                <c:pt idx="67">
                  <c:v>9.9970212675941266</c:v>
                </c:pt>
                <c:pt idx="68">
                  <c:v>9.9737154772905576</c:v>
                </c:pt>
                <c:pt idx="69">
                  <c:v>9.9504549813984813</c:v>
                </c:pt>
                <c:pt idx="70">
                  <c:v>9.9272397094673721</c:v>
                </c:pt>
                <c:pt idx="71">
                  <c:v>9.904069591128895</c:v>
                </c:pt>
                <c:pt idx="72">
                  <c:v>9.8809445560968978</c:v>
                </c:pt>
                <c:pt idx="73">
                  <c:v>9.857864534167307</c:v>
                </c:pt>
                <c:pt idx="74">
                  <c:v>9.8348294552180651</c:v>
                </c:pt>
                <c:pt idx="75">
                  <c:v>9.811839249209056</c:v>
                </c:pt>
                <c:pt idx="76">
                  <c:v>9.7888938461821198</c:v>
                </c:pt>
                <c:pt idx="77">
                  <c:v>9.7501532748377908</c:v>
                </c:pt>
                <c:pt idx="78">
                  <c:v>9.6995235956772472</c:v>
                </c:pt>
                <c:pt idx="79">
                  <c:v>9.649113193917664</c:v>
                </c:pt>
                <c:pt idx="80">
                  <c:v>9.5989213091467693</c:v>
                </c:pt>
                <c:pt idx="81">
                  <c:v>9.5489471829317853</c:v>
                </c:pt>
                <c:pt idx="82">
                  <c:v>9.499190058815886</c:v>
                </c:pt>
                <c:pt idx="83">
                  <c:v>9.449649182314861</c:v>
                </c:pt>
                <c:pt idx="84">
                  <c:v>9.4003238009135952</c:v>
                </c:pt>
                <c:pt idx="85">
                  <c:v>9.3512131640626919</c:v>
                </c:pt>
                <c:pt idx="86">
                  <c:v>9.3023165231750546</c:v>
                </c:pt>
                <c:pt idx="87">
                  <c:v>9.2536331316224043</c:v>
                </c:pt>
                <c:pt idx="88">
                  <c:v>9.2051622447319446</c:v>
                </c:pt>
                <c:pt idx="89">
                  <c:v>9.1569031197828661</c:v>
                </c:pt>
                <c:pt idx="90">
                  <c:v>9.1088550160029449</c:v>
                </c:pt>
                <c:pt idx="91">
                  <c:v>9.0610171945652294</c:v>
                </c:pt>
                <c:pt idx="92">
                  <c:v>9.0133889185844733</c:v>
                </c:pt>
                <c:pt idx="93">
                  <c:v>8.9659694531138356</c:v>
                </c:pt>
                <c:pt idx="94">
                  <c:v>8.9187580651414748</c:v>
                </c:pt>
                <c:pt idx="95">
                  <c:v>8.8717540235870906</c:v>
                </c:pt>
                <c:pt idx="96">
                  <c:v>8.8249565992986074</c:v>
                </c:pt>
                <c:pt idx="97">
                  <c:v>8.7783650650487033</c:v>
                </c:pt>
                <c:pt idx="98">
                  <c:v>8.7319786955314651</c:v>
                </c:pt>
                <c:pt idx="99">
                  <c:v>8.6857967673590153</c:v>
                </c:pt>
                <c:pt idx="100">
                  <c:v>8.6398185590580585</c:v>
                </c:pt>
                <c:pt idx="101">
                  <c:v>8.5940433510665866</c:v>
                </c:pt>
                <c:pt idx="102">
                  <c:v>8.5484704257304251</c:v>
                </c:pt>
                <c:pt idx="103">
                  <c:v>8.5030990672999263</c:v>
                </c:pt>
                <c:pt idx="104">
                  <c:v>8.4579285619265381</c:v>
                </c:pt>
                <c:pt idx="105">
                  <c:v>8.4129581976594725</c:v>
                </c:pt>
                <c:pt idx="106">
                  <c:v>8.3681872644422963</c:v>
                </c:pt>
                <c:pt idx="107">
                  <c:v>8.3236150541096396</c:v>
                </c:pt>
                <c:pt idx="108">
                  <c:v>8.2792408603837622</c:v>
                </c:pt>
                <c:pt idx="109">
                  <c:v>8.2350639788712421</c:v>
                </c:pt>
                <c:pt idx="110">
                  <c:v>8.1910837070595957</c:v>
                </c:pt>
                <c:pt idx="111">
                  <c:v>8.1472993443139252</c:v>
                </c:pt>
                <c:pt idx="112">
                  <c:v>8.1037101918736241</c:v>
                </c:pt>
                <c:pt idx="113">
                  <c:v>8.0603155528489427</c:v>
                </c:pt>
                <c:pt idx="114">
                  <c:v>8.0171147322177045</c:v>
                </c:pt>
                <c:pt idx="115">
                  <c:v>7.9741070368219784</c:v>
                </c:pt>
                <c:pt idx="116">
                  <c:v>7.9312917753646754</c:v>
                </c:pt>
                <c:pt idx="117">
                  <c:v>7.8886682584062955</c:v>
                </c:pt>
                <c:pt idx="118">
                  <c:v>7.846235798361537</c:v>
                </c:pt>
                <c:pt idx="119">
                  <c:v>7.8039937094959848</c:v>
                </c:pt>
                <c:pt idx="120">
                  <c:v>7.7619413079228261</c:v>
                </c:pt>
                <c:pt idx="121">
                  <c:v>7.7200779115994509</c:v>
                </c:pt>
                <c:pt idx="122">
                  <c:v>7.6784028403242166</c:v>
                </c:pt>
                <c:pt idx="123">
                  <c:v>7.6369154157330641</c:v>
                </c:pt>
                <c:pt idx="124">
                  <c:v>7.5956149612962429</c:v>
                </c:pt>
                <c:pt idx="125">
                  <c:v>7.5545008023149958</c:v>
                </c:pt>
                <c:pt idx="126">
                  <c:v>7.5135722659182589</c:v>
                </c:pt>
                <c:pt idx="127">
                  <c:v>7.4728286810593172</c:v>
                </c:pt>
                <c:pt idx="128">
                  <c:v>7.4322693785125766</c:v>
                </c:pt>
                <c:pt idx="129">
                  <c:v>7.3918936908701802</c:v>
                </c:pt>
                <c:pt idx="130">
                  <c:v>7.3517009525388</c:v>
                </c:pt>
                <c:pt idx="131">
                  <c:v>7.3116904997362715</c:v>
                </c:pt>
                <c:pt idx="132">
                  <c:v>7.2718616704883452</c:v>
                </c:pt>
                <c:pt idx="133">
                  <c:v>7.2322138046253999</c:v>
                </c:pt>
                <c:pt idx="134">
                  <c:v>7.1927462437791538</c:v>
                </c:pt>
                <c:pt idx="135">
                  <c:v>7.1534583313793663</c:v>
                </c:pt>
                <c:pt idx="136">
                  <c:v>7.1143494126506024</c:v>
                </c:pt>
                <c:pt idx="137">
                  <c:v>7.0754188346089073</c:v>
                </c:pt>
                <c:pt idx="138">
                  <c:v>7.0366659460585925</c:v>
                </c:pt>
                <c:pt idx="139">
                  <c:v>6.9980900975889142</c:v>
                </c:pt>
                <c:pt idx="140">
                  <c:v>6.9596906415708402</c:v>
                </c:pt>
                <c:pt idx="141">
                  <c:v>6.9214669321537938</c:v>
                </c:pt>
                <c:pt idx="142">
                  <c:v>6.8834183252623573</c:v>
                </c:pt>
                <c:pt idx="143">
                  <c:v>6.8455441785930695</c:v>
                </c:pt>
                <c:pt idx="144">
                  <c:v>6.8078438516111239</c:v>
                </c:pt>
                <c:pt idx="145">
                  <c:v>6.7703167055471383</c:v>
                </c:pt>
                <c:pt idx="146">
                  <c:v>6.7329621033939304</c:v>
                </c:pt>
                <c:pt idx="147">
                  <c:v>6.6957794099032215</c:v>
                </c:pt>
                <c:pt idx="148">
                  <c:v>6.6587679915824536</c:v>
                </c:pt>
                <c:pt idx="149">
                  <c:v>6.6219272166915157</c:v>
                </c:pt>
                <c:pt idx="150">
                  <c:v>6.5852564552395041</c:v>
                </c:pt>
                <c:pt idx="151">
                  <c:v>6.5487550789815305</c:v>
                </c:pt>
                <c:pt idx="152">
                  <c:v>6.5124224614154427</c:v>
                </c:pt>
                <c:pt idx="153">
                  <c:v>6.4762579777786264</c:v>
                </c:pt>
                <c:pt idx="154">
                  <c:v>6.4402610050447935</c:v>
                </c:pt>
                <c:pt idx="155">
                  <c:v>6.4044309219207269</c:v>
                </c:pt>
                <c:pt idx="156">
                  <c:v>6.3687671088431044</c:v>
                </c:pt>
                <c:pt idx="157">
                  <c:v>6.3332689479752409</c:v>
                </c:pt>
                <c:pt idx="158">
                  <c:v>6.2979358232039191</c:v>
                </c:pt>
                <c:pt idx="159">
                  <c:v>6.2627671201361608</c:v>
                </c:pt>
                <c:pt idx="160">
                  <c:v>6.227762226096015</c:v>
                </c:pt>
                <c:pt idx="161">
                  <c:v>6.1929205301213601</c:v>
                </c:pt>
                <c:pt idx="162">
                  <c:v>6.1582414229607352</c:v>
                </c:pt>
                <c:pt idx="163">
                  <c:v>6.1237242970700816</c:v>
                </c:pt>
                <c:pt idx="164">
                  <c:v>6.0893685466096255</c:v>
                </c:pt>
                <c:pt idx="165">
                  <c:v>6.0551735674406215</c:v>
                </c:pt>
                <c:pt idx="166">
                  <c:v>6.0211387571221877</c:v>
                </c:pt>
                <c:pt idx="167">
                  <c:v>5.9872635149081708</c:v>
                </c:pt>
                <c:pt idx="168">
                  <c:v>5.95354724174386</c:v>
                </c:pt>
                <c:pt idx="169">
                  <c:v>5.9199893402629202</c:v>
                </c:pt>
                <c:pt idx="170">
                  <c:v>5.886589214784129</c:v>
                </c:pt>
                <c:pt idx="171">
                  <c:v>5.8533462713082711</c:v>
                </c:pt>
                <c:pt idx="172">
                  <c:v>5.8202599175149325</c:v>
                </c:pt>
                <c:pt idx="173">
                  <c:v>5.7873295627593286</c:v>
                </c:pt>
                <c:pt idx="174">
                  <c:v>5.7545546180691618</c:v>
                </c:pt>
                <c:pt idx="175">
                  <c:v>5.7219344961414649</c:v>
                </c:pt>
                <c:pt idx="176">
                  <c:v>5.6894686113394117</c:v>
                </c:pt>
                <c:pt idx="177">
                  <c:v>5.6571563796892086</c:v>
                </c:pt>
                <c:pt idx="178">
                  <c:v>5.624997218876894</c:v>
                </c:pt>
                <c:pt idx="179">
                  <c:v>5.5929905482452291</c:v>
                </c:pt>
                <c:pt idx="180">
                  <c:v>5.5611357887905424</c:v>
                </c:pt>
                <c:pt idx="181">
                  <c:v>5.5294323631595734</c:v>
                </c:pt>
                <c:pt idx="182">
                  <c:v>5.4978796956463345</c:v>
                </c:pt>
                <c:pt idx="183">
                  <c:v>5.4664772121890115</c:v>
                </c:pt>
                <c:pt idx="184">
                  <c:v>5.4352243403667728</c:v>
                </c:pt>
                <c:pt idx="185">
                  <c:v>5.4041205093966935</c:v>
                </c:pt>
                <c:pt idx="186">
                  <c:v>5.373165150130581</c:v>
                </c:pt>
                <c:pt idx="187">
                  <c:v>5.3423576950518781</c:v>
                </c:pt>
                <c:pt idx="188">
                  <c:v>5.3116975782725619</c:v>
                </c:pt>
                <c:pt idx="189">
                  <c:v>5.2811842355299552</c:v>
                </c:pt>
                <c:pt idx="190">
                  <c:v>5.2508171041836906</c:v>
                </c:pt>
                <c:pt idx="191">
                  <c:v>5.2205956232125548</c:v>
                </c:pt>
                <c:pt idx="192">
                  <c:v>5.1905192332113756</c:v>
                </c:pt>
                <c:pt idx="193">
                  <c:v>5.1605873763879471</c:v>
                </c:pt>
                <c:pt idx="194">
                  <c:v>5.1307994965598906</c:v>
                </c:pt>
                <c:pt idx="195">
                  <c:v>5.1011550391515703</c:v>
                </c:pt>
                <c:pt idx="196">
                  <c:v>5.0716534511910147</c:v>
                </c:pt>
                <c:pt idx="197">
                  <c:v>5.0422941813067794</c:v>
                </c:pt>
                <c:pt idx="198">
                  <c:v>5.0130766797248976</c:v>
                </c:pt>
                <c:pt idx="199">
                  <c:v>4.984000398265759</c:v>
                </c:pt>
                <c:pt idx="200">
                  <c:v>4.9550647903410505</c:v>
                </c:pt>
                <c:pt idx="201">
                  <c:v>4.9262693109506666</c:v>
                </c:pt>
                <c:pt idx="202">
                  <c:v>4.8976134166796061</c:v>
                </c:pt>
                <c:pt idx="203">
                  <c:v>4.8690965656949228</c:v>
                </c:pt>
                <c:pt idx="204">
                  <c:v>4.8407182177426584</c:v>
                </c:pt>
                <c:pt idx="205">
                  <c:v>4.812477834144735</c:v>
                </c:pt>
                <c:pt idx="206">
                  <c:v>4.784374877795929</c:v>
                </c:pt>
                <c:pt idx="207">
                  <c:v>4.7564088131607782</c:v>
                </c:pt>
                <c:pt idx="208">
                  <c:v>4.7285791062705247</c:v>
                </c:pt>
                <c:pt idx="209">
                  <c:v>4.7008852247200759</c:v>
                </c:pt>
                <c:pt idx="210">
                  <c:v>4.6733266376649203</c:v>
                </c:pt>
                <c:pt idx="211">
                  <c:v>4.6459028158181024</c:v>
                </c:pt>
                <c:pt idx="212">
                  <c:v>4.6186132314471493</c:v>
                </c:pt>
                <c:pt idx="213">
                  <c:v>4.5914573583710236</c:v>
                </c:pt>
                <c:pt idx="214">
                  <c:v>4.564434671957132</c:v>
                </c:pt>
                <c:pt idx="215">
                  <c:v>4.5375446491181881</c:v>
                </c:pt>
              </c:numCache>
            </c:numRef>
          </c:yVal>
        </c:ser>
        <c:dLbls/>
        <c:axId val="85288448"/>
        <c:axId val="85419904"/>
      </c:scatterChart>
      <c:valAx>
        <c:axId val="85288448"/>
        <c:scaling>
          <c:orientation val="minMax"/>
        </c:scaling>
        <c:axPos val="t"/>
        <c:numFmt formatCode="General" sourceLinked="1"/>
        <c:tickLblPos val="nextTo"/>
        <c:crossAx val="85419904"/>
        <c:crosses val="autoZero"/>
        <c:crossBetween val="midCat"/>
      </c:valAx>
      <c:valAx>
        <c:axId val="85419904"/>
        <c:scaling>
          <c:orientation val="maxMin"/>
        </c:scaling>
        <c:axPos val="l"/>
        <c:majorGridlines/>
        <c:numFmt formatCode="General" sourceLinked="1"/>
        <c:tickLblPos val="nextTo"/>
        <c:crossAx val="85288448"/>
        <c:crosses val="autoZero"/>
        <c:crossBetween val="midCat"/>
      </c:valAx>
    </c:plotArea>
    <c:legend>
      <c:legendPos val="r"/>
      <c:layout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scatterChart>
        <c:scatterStyle val="lineMarker"/>
        <c:ser>
          <c:idx val="0"/>
          <c:order val="0"/>
          <c:tx>
            <c:strRef>
              <c:f>At!$D$1</c:f>
              <c:strCache>
                <c:ptCount val="1"/>
                <c:pt idx="0">
                  <c:v>Altitude (m)</c:v>
                </c:pt>
              </c:strCache>
            </c:strRef>
          </c:tx>
          <c:spPr>
            <a:ln w="28575">
              <a:noFill/>
            </a:ln>
          </c:spPr>
          <c:xVal>
            <c:numRef>
              <c:f>At!$C$2:$C$25</c:f>
              <c:numCache>
                <c:formatCode>General</c:formatCode>
                <c:ptCount val="24"/>
                <c:pt idx="0">
                  <c:v>216.67</c:v>
                </c:pt>
                <c:pt idx="1">
                  <c:v>216.67</c:v>
                </c:pt>
                <c:pt idx="2">
                  <c:v>216.67</c:v>
                </c:pt>
                <c:pt idx="3">
                  <c:v>216.67</c:v>
                </c:pt>
                <c:pt idx="4">
                  <c:v>216.82</c:v>
                </c:pt>
                <c:pt idx="6">
                  <c:v>225.3</c:v>
                </c:pt>
                <c:pt idx="7">
                  <c:v>232.6</c:v>
                </c:pt>
                <c:pt idx="8">
                  <c:v>239.04</c:v>
                </c:pt>
                <c:pt idx="9">
                  <c:v>244.81</c:v>
                </c:pt>
                <c:pt idx="10">
                  <c:v>250.06</c:v>
                </c:pt>
                <c:pt idx="12">
                  <c:v>254.87</c:v>
                </c:pt>
                <c:pt idx="13">
                  <c:v>259.33</c:v>
                </c:pt>
                <c:pt idx="14">
                  <c:v>263.48</c:v>
                </c:pt>
                <c:pt idx="15">
                  <c:v>267.37</c:v>
                </c:pt>
                <c:pt idx="16">
                  <c:v>271.02999999999997</c:v>
                </c:pt>
                <c:pt idx="18">
                  <c:v>274.49</c:v>
                </c:pt>
                <c:pt idx="19">
                  <c:v>277.77999999999997</c:v>
                </c:pt>
                <c:pt idx="20">
                  <c:v>280.91000000000003</c:v>
                </c:pt>
                <c:pt idx="21">
                  <c:v>283.89</c:v>
                </c:pt>
                <c:pt idx="22">
                  <c:v>286.75</c:v>
                </c:pt>
              </c:numCache>
            </c:numRef>
          </c:xVal>
          <c:yVal>
            <c:numRef>
              <c:f>At!$D$2:$D$25</c:f>
              <c:numCache>
                <c:formatCode>General</c:formatCode>
                <c:ptCount val="24"/>
                <c:pt idx="0">
                  <c:v>26598.2</c:v>
                </c:pt>
                <c:pt idx="1">
                  <c:v>18141.8</c:v>
                </c:pt>
                <c:pt idx="2">
                  <c:v>14759.2</c:v>
                </c:pt>
                <c:pt idx="3">
                  <c:v>12584.7</c:v>
                </c:pt>
                <c:pt idx="4">
                  <c:v>10973.4</c:v>
                </c:pt>
                <c:pt idx="6">
                  <c:v>9668.7000000000007</c:v>
                </c:pt>
                <c:pt idx="7">
                  <c:v>8545.4</c:v>
                </c:pt>
                <c:pt idx="8">
                  <c:v>7555.2</c:v>
                </c:pt>
                <c:pt idx="9">
                  <c:v>6667.2</c:v>
                </c:pt>
                <c:pt idx="10">
                  <c:v>5860.4</c:v>
                </c:pt>
                <c:pt idx="12">
                  <c:v>5119.8999999999996</c:v>
                </c:pt>
                <c:pt idx="13">
                  <c:v>4434.6000000000004</c:v>
                </c:pt>
                <c:pt idx="14">
                  <c:v>3796</c:v>
                </c:pt>
                <c:pt idx="15">
                  <c:v>3197.7</c:v>
                </c:pt>
                <c:pt idx="16">
                  <c:v>2634.2</c:v>
                </c:pt>
                <c:pt idx="18">
                  <c:v>2101.5</c:v>
                </c:pt>
                <c:pt idx="19">
                  <c:v>1595.9</c:v>
                </c:pt>
                <c:pt idx="20">
                  <c:v>1114.5999999999999</c:v>
                </c:pt>
                <c:pt idx="21">
                  <c:v>655</c:v>
                </c:pt>
                <c:pt idx="22">
                  <c:v>215.2</c:v>
                </c:pt>
              </c:numCache>
            </c:numRef>
          </c:yVal>
        </c:ser>
        <c:dLbls/>
        <c:axId val="85483904"/>
        <c:axId val="85485440"/>
      </c:scatterChart>
      <c:valAx>
        <c:axId val="85483904"/>
        <c:scaling>
          <c:orientation val="minMax"/>
          <c:max val="350"/>
          <c:min val="200"/>
        </c:scaling>
        <c:axPos val="b"/>
        <c:numFmt formatCode="General" sourceLinked="1"/>
        <c:tickLblPos val="nextTo"/>
        <c:crossAx val="85485440"/>
        <c:crosses val="autoZero"/>
        <c:crossBetween val="midCat"/>
      </c:valAx>
      <c:valAx>
        <c:axId val="85485440"/>
        <c:scaling>
          <c:orientation val="minMax"/>
          <c:max val="15000"/>
          <c:min val="0"/>
        </c:scaling>
        <c:axPos val="l"/>
        <c:majorGridlines/>
        <c:numFmt formatCode="General" sourceLinked="1"/>
        <c:tickLblPos val="nextTo"/>
        <c:crossAx val="85483904"/>
        <c:crosses val="autoZero"/>
        <c:crossBetween val="midCat"/>
      </c:valAx>
    </c:plotArea>
    <c:legend>
      <c:legendPos val="r"/>
      <c:layout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5905796150481191"/>
          <c:y val="0.21415135608048994"/>
          <c:w val="0.70596281714785658"/>
          <c:h val="0.73444808982210552"/>
        </c:manualLayout>
      </c:layout>
      <c:scatterChart>
        <c:scatterStyle val="lineMarker"/>
        <c:ser>
          <c:idx val="3"/>
          <c:order val="0"/>
          <c:tx>
            <c:strRef>
              <c:f>Iso_s!$E$9</c:f>
              <c:strCache>
                <c:ptCount val="1"/>
                <c:pt idx="0">
                  <c:v>isothermal</c:v>
                </c:pt>
              </c:strCache>
            </c:strRef>
          </c:tx>
          <c:marker>
            <c:symbol val="none"/>
          </c:marker>
          <c:xVal>
            <c:numRef>
              <c:f>Iso_s!$A$10:$A$20</c:f>
              <c:numCache>
                <c:formatCode>General</c:formatCode>
                <c:ptCount val="11"/>
                <c:pt idx="0">
                  <c:v>200</c:v>
                </c:pt>
                <c:pt idx="1">
                  <c:v>210</c:v>
                </c:pt>
                <c:pt idx="2">
                  <c:v>220</c:v>
                </c:pt>
                <c:pt idx="3">
                  <c:v>230</c:v>
                </c:pt>
                <c:pt idx="4">
                  <c:v>240</c:v>
                </c:pt>
                <c:pt idx="5">
                  <c:v>250</c:v>
                </c:pt>
                <c:pt idx="6">
                  <c:v>260</c:v>
                </c:pt>
                <c:pt idx="7">
                  <c:v>270</c:v>
                </c:pt>
                <c:pt idx="8">
                  <c:v>280</c:v>
                </c:pt>
              </c:numCache>
            </c:numRef>
          </c:xVal>
          <c:yVal>
            <c:numRef>
              <c:f>Iso_s!$E$10:$E$20</c:f>
              <c:numCache>
                <c:formatCode>General</c:formatCode>
                <c:ptCount val="11"/>
                <c:pt idx="0">
                  <c:v>2.438913693989178E-12</c:v>
                </c:pt>
                <c:pt idx="1">
                  <c:v>3.2072021853815043E-10</c:v>
                </c:pt>
                <c:pt idx="2">
                  <c:v>3.3609724147148535E-8</c:v>
                </c:pt>
                <c:pt idx="3">
                  <c:v>2.8640491559485906E-6</c:v>
                </c:pt>
                <c:pt idx="4">
                  <c:v>2.0198589217018643E-4</c:v>
                </c:pt>
                <c:pt idx="5">
                  <c:v>1.1972855277587428E-2</c:v>
                </c:pt>
                <c:pt idx="6">
                  <c:v>0.60468843541230699</c:v>
                </c:pt>
                <c:pt idx="7">
                  <c:v>26.337423167418159</c:v>
                </c:pt>
                <c:pt idx="8">
                  <c:v>1000</c:v>
                </c:pt>
              </c:numCache>
            </c:numRef>
          </c:yVal>
        </c:ser>
        <c:ser>
          <c:idx val="2"/>
          <c:order val="1"/>
          <c:tx>
            <c:strRef>
              <c:f>Iso_s!$D$9</c:f>
              <c:strCache>
                <c:ptCount val="1"/>
                <c:pt idx="0">
                  <c:v>super-adiabatic</c:v>
                </c:pt>
              </c:strCache>
            </c:strRef>
          </c:tx>
          <c:marker>
            <c:symbol val="none"/>
          </c:marker>
          <c:xVal>
            <c:numRef>
              <c:f>Iso_s!$A$10:$A$20</c:f>
              <c:numCache>
                <c:formatCode>General</c:formatCode>
                <c:ptCount val="11"/>
                <c:pt idx="0">
                  <c:v>200</c:v>
                </c:pt>
                <c:pt idx="1">
                  <c:v>210</c:v>
                </c:pt>
                <c:pt idx="2">
                  <c:v>220</c:v>
                </c:pt>
                <c:pt idx="3">
                  <c:v>230</c:v>
                </c:pt>
                <c:pt idx="4">
                  <c:v>240</c:v>
                </c:pt>
                <c:pt idx="5">
                  <c:v>250</c:v>
                </c:pt>
                <c:pt idx="6">
                  <c:v>260</c:v>
                </c:pt>
                <c:pt idx="7">
                  <c:v>270</c:v>
                </c:pt>
                <c:pt idx="8">
                  <c:v>280</c:v>
                </c:pt>
              </c:numCache>
            </c:numRef>
          </c:xVal>
          <c:yVal>
            <c:numRef>
              <c:f>Iso_s!$D$10:$D$20</c:f>
              <c:numCache>
                <c:formatCode>General</c:formatCode>
                <c:ptCount val="11"/>
                <c:pt idx="0">
                  <c:v>94.864506164219733</c:v>
                </c:pt>
                <c:pt idx="1">
                  <c:v>133.48388671875</c:v>
                </c:pt>
                <c:pt idx="2">
                  <c:v>184.86408534527033</c:v>
                </c:pt>
                <c:pt idx="3">
                  <c:v>252.34147234767457</c:v>
                </c:pt>
                <c:pt idx="4">
                  <c:v>339.91667708911365</c:v>
                </c:pt>
                <c:pt idx="5">
                  <c:v>452.34921533689379</c:v>
                </c:pt>
                <c:pt idx="6">
                  <c:v>595.26070777421455</c:v>
                </c:pt>
                <c:pt idx="7">
                  <c:v>775.24706320774158</c:v>
                </c:pt>
                <c:pt idx="8">
                  <c:v>1000</c:v>
                </c:pt>
              </c:numCache>
            </c:numRef>
          </c:yVal>
        </c:ser>
        <c:ser>
          <c:idx val="0"/>
          <c:order val="2"/>
          <c:tx>
            <c:strRef>
              <c:f>Iso_s!$B$9</c:f>
              <c:strCache>
                <c:ptCount val="1"/>
                <c:pt idx="0">
                  <c:v>quasi-adiabatic</c:v>
                </c:pt>
              </c:strCache>
            </c:strRef>
          </c:tx>
          <c:marker>
            <c:symbol val="none"/>
          </c:marker>
          <c:xVal>
            <c:numRef>
              <c:f>Iso_s!$A$10:$A$20</c:f>
              <c:numCache>
                <c:formatCode>General</c:formatCode>
                <c:ptCount val="11"/>
                <c:pt idx="0">
                  <c:v>200</c:v>
                </c:pt>
                <c:pt idx="1">
                  <c:v>210</c:v>
                </c:pt>
                <c:pt idx="2">
                  <c:v>220</c:v>
                </c:pt>
                <c:pt idx="3">
                  <c:v>230</c:v>
                </c:pt>
                <c:pt idx="4">
                  <c:v>240</c:v>
                </c:pt>
                <c:pt idx="5">
                  <c:v>250</c:v>
                </c:pt>
                <c:pt idx="6">
                  <c:v>260</c:v>
                </c:pt>
                <c:pt idx="7">
                  <c:v>270</c:v>
                </c:pt>
                <c:pt idx="8">
                  <c:v>280</c:v>
                </c:pt>
              </c:numCache>
            </c:numRef>
          </c:xVal>
          <c:yVal>
            <c:numRef>
              <c:f>Iso_s!$B$10:$B$20</c:f>
              <c:numCache>
                <c:formatCode>General</c:formatCode>
                <c:ptCount val="11"/>
                <c:pt idx="0">
                  <c:v>170.93374695530855</c:v>
                </c:pt>
                <c:pt idx="1">
                  <c:v>220.83689527520528</c:v>
                </c:pt>
                <c:pt idx="2">
                  <c:v>281.92877854631263</c:v>
                </c:pt>
                <c:pt idx="3">
                  <c:v>356.03400081201221</c:v>
                </c:pt>
                <c:pt idx="4">
                  <c:v>445.17355167074669</c:v>
                </c:pt>
                <c:pt idx="5">
                  <c:v>551.57602533802583</c:v>
                </c:pt>
                <c:pt idx="6">
                  <c:v>677.68896241236905</c:v>
                </c:pt>
                <c:pt idx="7">
                  <c:v>826.19031048432919</c:v>
                </c:pt>
                <c:pt idx="8">
                  <c:v>1000</c:v>
                </c:pt>
              </c:numCache>
            </c:numRef>
          </c:yVal>
        </c:ser>
        <c:ser>
          <c:idx val="1"/>
          <c:order val="3"/>
          <c:tx>
            <c:strRef>
              <c:f>Iso_s!$C$9</c:f>
              <c:strCache>
                <c:ptCount val="1"/>
                <c:pt idx="0">
                  <c:v>adiabatic</c:v>
                </c:pt>
              </c:strCache>
            </c:strRef>
          </c:tx>
          <c:marker>
            <c:symbol val="none"/>
          </c:marker>
          <c:xVal>
            <c:numRef>
              <c:f>Iso_s!$A$10:$A$20</c:f>
              <c:numCache>
                <c:formatCode>General</c:formatCode>
                <c:ptCount val="11"/>
                <c:pt idx="0">
                  <c:v>200</c:v>
                </c:pt>
                <c:pt idx="1">
                  <c:v>210</c:v>
                </c:pt>
                <c:pt idx="2">
                  <c:v>220</c:v>
                </c:pt>
                <c:pt idx="3">
                  <c:v>230</c:v>
                </c:pt>
                <c:pt idx="4">
                  <c:v>240</c:v>
                </c:pt>
                <c:pt idx="5">
                  <c:v>250</c:v>
                </c:pt>
                <c:pt idx="6">
                  <c:v>260</c:v>
                </c:pt>
                <c:pt idx="7">
                  <c:v>270</c:v>
                </c:pt>
                <c:pt idx="8">
                  <c:v>280</c:v>
                </c:pt>
              </c:numCache>
            </c:numRef>
          </c:xVal>
          <c:yVal>
            <c:numRef>
              <c:f>Iso_s!$C$10:$C$20</c:f>
              <c:numCache>
                <c:formatCode>General</c:formatCode>
                <c:ptCount val="11"/>
                <c:pt idx="0">
                  <c:v>308.00082169406585</c:v>
                </c:pt>
                <c:pt idx="1">
                  <c:v>365.35446722156007</c:v>
                </c:pt>
                <c:pt idx="2">
                  <c:v>429.95823674546619</c:v>
                </c:pt>
                <c:pt idx="3">
                  <c:v>502.33601537981997</c:v>
                </c:pt>
                <c:pt idx="4">
                  <c:v>583.02373629991564</c:v>
                </c:pt>
                <c:pt idx="5">
                  <c:v>672.56911565793291</c:v>
                </c:pt>
                <c:pt idx="6">
                  <c:v>771.53140426959601</c:v>
                </c:pt>
                <c:pt idx="7">
                  <c:v>880.48115437398292</c:v>
                </c:pt>
                <c:pt idx="8">
                  <c:v>1000</c:v>
                </c:pt>
              </c:numCache>
            </c:numRef>
          </c:yVal>
        </c:ser>
        <c:dLbls/>
        <c:axId val="170398080"/>
        <c:axId val="170400384"/>
      </c:scatterChart>
      <c:valAx>
        <c:axId val="170398080"/>
        <c:scaling>
          <c:orientation val="minMax"/>
          <c:max val="300"/>
          <c:min val="200"/>
        </c:scaling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</a:t>
                </a:r>
              </a:p>
            </c:rich>
          </c:tx>
          <c:layout/>
        </c:title>
        <c:numFmt formatCode="General" sourceLinked="1"/>
        <c:tickLblPos val="nextTo"/>
        <c:crossAx val="170400384"/>
        <c:crosses val="autoZero"/>
        <c:crossBetween val="midCat"/>
      </c:valAx>
      <c:valAx>
        <c:axId val="170400384"/>
        <c:scaling>
          <c:orientation val="maxMin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Pressure</a:t>
                </a:r>
              </a:p>
            </c:rich>
          </c:tx>
          <c:layout/>
        </c:title>
        <c:numFmt formatCode="General" sourceLinked="1"/>
        <c:tickLblPos val="nextTo"/>
        <c:crossAx val="17039808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9725000000000001"/>
          <c:y val="0.60571376494604834"/>
          <c:w val="0.25830555555555557"/>
          <c:h val="0.3348687664041996"/>
        </c:manualLayout>
      </c:layout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'Mars Metric'!$B$10:$B$300</c:f>
              <c:numCache>
                <c:formatCode>General</c:formatCode>
                <c:ptCount val="291"/>
                <c:pt idx="0">
                  <c:v>-31</c:v>
                </c:pt>
                <c:pt idx="1">
                  <c:v>-31.299399999999999</c:v>
                </c:pt>
                <c:pt idx="2">
                  <c:v>-31.598800000000001</c:v>
                </c:pt>
                <c:pt idx="3">
                  <c:v>-31.898199999999999</c:v>
                </c:pt>
                <c:pt idx="4">
                  <c:v>-32.197600000000001</c:v>
                </c:pt>
                <c:pt idx="5">
                  <c:v>-32.497</c:v>
                </c:pt>
                <c:pt idx="6">
                  <c:v>-32.796399999999998</c:v>
                </c:pt>
                <c:pt idx="7">
                  <c:v>-33.095799999999997</c:v>
                </c:pt>
                <c:pt idx="8">
                  <c:v>-33.395200000000003</c:v>
                </c:pt>
                <c:pt idx="9">
                  <c:v>-33.694600000000001</c:v>
                </c:pt>
                <c:pt idx="10">
                  <c:v>-33.994</c:v>
                </c:pt>
                <c:pt idx="11">
                  <c:v>-34.293399999999998</c:v>
                </c:pt>
                <c:pt idx="12">
                  <c:v>-34.592799999999997</c:v>
                </c:pt>
                <c:pt idx="13">
                  <c:v>-34.892200000000003</c:v>
                </c:pt>
                <c:pt idx="14">
                  <c:v>-35.191600000000001</c:v>
                </c:pt>
                <c:pt idx="15">
                  <c:v>-35.491</c:v>
                </c:pt>
                <c:pt idx="16">
                  <c:v>-35.790399999999998</c:v>
                </c:pt>
                <c:pt idx="17">
                  <c:v>-36.089799999999997</c:v>
                </c:pt>
                <c:pt idx="18">
                  <c:v>-36.389200000000002</c:v>
                </c:pt>
                <c:pt idx="19">
                  <c:v>-36.688600000000001</c:v>
                </c:pt>
                <c:pt idx="20">
                  <c:v>-36.988</c:v>
                </c:pt>
                <c:pt idx="21">
                  <c:v>-37.287399999999998</c:v>
                </c:pt>
                <c:pt idx="22">
                  <c:v>-37.586799999999997</c:v>
                </c:pt>
                <c:pt idx="23">
                  <c:v>-37.886200000000002</c:v>
                </c:pt>
                <c:pt idx="24">
                  <c:v>-39.24</c:v>
                </c:pt>
                <c:pt idx="25">
                  <c:v>-39.9</c:v>
                </c:pt>
                <c:pt idx="26">
                  <c:v>-40.56</c:v>
                </c:pt>
                <c:pt idx="27">
                  <c:v>-41.22</c:v>
                </c:pt>
                <c:pt idx="28">
                  <c:v>-41.879999999999995</c:v>
                </c:pt>
                <c:pt idx="29">
                  <c:v>-42.54</c:v>
                </c:pt>
                <c:pt idx="30">
                  <c:v>-43.2</c:v>
                </c:pt>
                <c:pt idx="31">
                  <c:v>-43.86</c:v>
                </c:pt>
                <c:pt idx="32">
                  <c:v>-44.519999999999996</c:v>
                </c:pt>
                <c:pt idx="33">
                  <c:v>-45.18</c:v>
                </c:pt>
                <c:pt idx="34">
                  <c:v>-45.84</c:v>
                </c:pt>
                <c:pt idx="35">
                  <c:v>-46.5</c:v>
                </c:pt>
                <c:pt idx="36">
                  <c:v>-47.16</c:v>
                </c:pt>
                <c:pt idx="37">
                  <c:v>-47.82</c:v>
                </c:pt>
                <c:pt idx="38">
                  <c:v>-48.480000000000004</c:v>
                </c:pt>
                <c:pt idx="39">
                  <c:v>-49.14</c:v>
                </c:pt>
                <c:pt idx="40">
                  <c:v>-49.8</c:v>
                </c:pt>
                <c:pt idx="41">
                  <c:v>-50.46</c:v>
                </c:pt>
                <c:pt idx="42">
                  <c:v>-51.120000000000005</c:v>
                </c:pt>
                <c:pt idx="43">
                  <c:v>-51.78</c:v>
                </c:pt>
                <c:pt idx="44">
                  <c:v>-52.44</c:v>
                </c:pt>
                <c:pt idx="45">
                  <c:v>-53.1</c:v>
                </c:pt>
                <c:pt idx="46">
                  <c:v>-53.760000000000005</c:v>
                </c:pt>
                <c:pt idx="47">
                  <c:v>-54.42</c:v>
                </c:pt>
                <c:pt idx="48">
                  <c:v>-55.08</c:v>
                </c:pt>
                <c:pt idx="49">
                  <c:v>-55.74</c:v>
                </c:pt>
                <c:pt idx="50">
                  <c:v>-56.4</c:v>
                </c:pt>
                <c:pt idx="51">
                  <c:v>-57.06</c:v>
                </c:pt>
                <c:pt idx="52">
                  <c:v>-57.72</c:v>
                </c:pt>
                <c:pt idx="53">
                  <c:v>-58.38</c:v>
                </c:pt>
                <c:pt idx="54">
                  <c:v>-59.04</c:v>
                </c:pt>
                <c:pt idx="55">
                  <c:v>-59.7</c:v>
                </c:pt>
                <c:pt idx="56">
                  <c:v>-60.36</c:v>
                </c:pt>
                <c:pt idx="57">
                  <c:v>-61.02</c:v>
                </c:pt>
                <c:pt idx="58">
                  <c:v>-61.68</c:v>
                </c:pt>
                <c:pt idx="59">
                  <c:v>-62.34</c:v>
                </c:pt>
                <c:pt idx="60">
                  <c:v>-63</c:v>
                </c:pt>
                <c:pt idx="61">
                  <c:v>-63.660000000000004</c:v>
                </c:pt>
                <c:pt idx="62">
                  <c:v>-64.319999999999993</c:v>
                </c:pt>
                <c:pt idx="63">
                  <c:v>-64.98</c:v>
                </c:pt>
                <c:pt idx="64">
                  <c:v>-65.64</c:v>
                </c:pt>
                <c:pt idx="65">
                  <c:v>-66.300000000000011</c:v>
                </c:pt>
                <c:pt idx="66">
                  <c:v>-66.960000000000008</c:v>
                </c:pt>
                <c:pt idx="67">
                  <c:v>-67.62</c:v>
                </c:pt>
                <c:pt idx="68">
                  <c:v>-68.28</c:v>
                </c:pt>
                <c:pt idx="69">
                  <c:v>-68.94</c:v>
                </c:pt>
                <c:pt idx="70">
                  <c:v>-69.599999999999994</c:v>
                </c:pt>
              </c:numCache>
            </c:numRef>
          </c:xVal>
          <c:yVal>
            <c:numRef>
              <c:f>'Mars Metric'!$C$10:$C$300</c:f>
              <c:numCache>
                <c:formatCode>General</c:formatCode>
                <c:ptCount val="291"/>
                <c:pt idx="0">
                  <c:v>0.69899999999999995</c:v>
                </c:pt>
                <c:pt idx="1">
                  <c:v>0.68037950782551138</c:v>
                </c:pt>
                <c:pt idx="2">
                  <c:v>0.66225504244475697</c:v>
                </c:pt>
                <c:pt idx="3">
                  <c:v>0.64461339031978104</c:v>
                </c:pt>
                <c:pt idx="4">
                  <c:v>0.62744168990487392</c:v>
                </c:pt>
                <c:pt idx="5">
                  <c:v>0.61072742226993604</c:v>
                </c:pt>
                <c:pt idx="6">
                  <c:v>0.59445840197362276</c:v>
                </c:pt>
                <c:pt idx="7">
                  <c:v>0.57862276817961877</c:v>
                </c:pt>
                <c:pt idx="8">
                  <c:v>0.56320897600956221</c:v>
                </c:pt>
                <c:pt idx="9">
                  <c:v>0.54820578812631793</c:v>
                </c:pt>
                <c:pt idx="10">
                  <c:v>0.53360226654146037</c:v>
                </c:pt>
                <c:pt idx="11">
                  <c:v>0.5193877646409959</c:v>
                </c:pt>
                <c:pt idx="12">
                  <c:v>0.50555191942350974</c:v>
                </c:pt>
                <c:pt idx="13">
                  <c:v>0.492084643945079</c:v>
                </c:pt>
                <c:pt idx="14">
                  <c:v>0.47897611996544331</c:v>
                </c:pt>
                <c:pt idx="15">
                  <c:v>0.46621679079007355</c:v>
                </c:pt>
                <c:pt idx="16">
                  <c:v>0.45379735430291795</c:v>
                </c:pt>
                <c:pt idx="17">
                  <c:v>0.44170875618474759</c:v>
                </c:pt>
                <c:pt idx="18">
                  <c:v>0.4299421833121565</c:v>
                </c:pt>
                <c:pt idx="19">
                  <c:v>0.41848905733240466</c:v>
                </c:pt>
                <c:pt idx="20">
                  <c:v>0.40734102840941872</c:v>
                </c:pt>
                <c:pt idx="21">
                  <c:v>0.39648996913639201</c:v>
                </c:pt>
                <c:pt idx="22">
                  <c:v>0.38592796861054446</c:v>
                </c:pt>
                <c:pt idx="23">
                  <c:v>0.37564732666572487</c:v>
                </c:pt>
                <c:pt idx="24">
                  <c:v>0.365640548258648</c:v>
                </c:pt>
                <c:pt idx="25">
                  <c:v>0.35590033800467685</c:v>
                </c:pt>
                <c:pt idx="26">
                  <c:v>0.34641959485916329</c:v>
                </c:pt>
                <c:pt idx="27">
                  <c:v>0.337191406940473</c:v>
                </c:pt>
                <c:pt idx="28">
                  <c:v>0.32820904649091664</c:v>
                </c:pt>
                <c:pt idx="29">
                  <c:v>0.31946596497191743</c:v>
                </c:pt>
                <c:pt idx="30">
                  <c:v>0.31095578828983583</c:v>
                </c:pt>
                <c:pt idx="31">
                  <c:v>0.30267231214897344</c:v>
                </c:pt>
                <c:pt idx="32">
                  <c:v>0.29460949752836635</c:v>
                </c:pt>
                <c:pt idx="33">
                  <c:v>0.28676146627907173</c:v>
                </c:pt>
                <c:pt idx="34">
                  <c:v>0.27912249683873652</c:v>
                </c:pt>
                <c:pt idx="35">
                  <c:v>0.2716870200603253</c:v>
                </c:pt>
                <c:pt idx="36">
                  <c:v>0.26444961515196563</c:v>
                </c:pt>
                <c:pt idx="37">
                  <c:v>0.25740500572495034</c:v>
                </c:pt>
                <c:pt idx="38">
                  <c:v>0.25054805594701673</c:v>
                </c:pt>
                <c:pt idx="39">
                  <c:v>0.24387376679809714</c:v>
                </c:pt>
                <c:pt idx="40">
                  <c:v>0.23737727242581241</c:v>
                </c:pt>
                <c:pt idx="41">
                  <c:v>0.23105383659804951</c:v>
                </c:pt>
                <c:pt idx="42">
                  <c:v>0.2248988492500387</c:v>
                </c:pt>
                <c:pt idx="43">
                  <c:v>0.21890782312341237</c:v>
                </c:pt>
                <c:pt idx="44">
                  <c:v>0.21307639049479454</c:v>
                </c:pt>
                <c:pt idx="45">
                  <c:v>0.20740029999153761</c:v>
                </c:pt>
                <c:pt idx="46">
                  <c:v>0.201875413492283</c:v>
                </c:pt>
                <c:pt idx="47">
                  <c:v>0.19649770311008738</c:v>
                </c:pt>
                <c:pt idx="48">
                  <c:v>0.1912632482559152</c:v>
                </c:pt>
                <c:pt idx="49">
                  <c:v>0.18616823278035505</c:v>
                </c:pt>
                <c:pt idx="50">
                  <c:v>0.18120894219147815</c:v>
                </c:pt>
                <c:pt idx="51">
                  <c:v>0.17638176094680896</c:v>
                </c:pt>
                <c:pt idx="52">
                  <c:v>0.17168316981743473</c:v>
                </c:pt>
                <c:pt idx="53">
                  <c:v>0.16710974332233183</c:v>
                </c:pt>
                <c:pt idx="54">
                  <c:v>0.16265814723103814</c:v>
                </c:pt>
                <c:pt idx="55">
                  <c:v>0.15832513613285165</c:v>
                </c:pt>
                <c:pt idx="56">
                  <c:v>0.15410755107078211</c:v>
                </c:pt>
                <c:pt idx="57">
                  <c:v>0.15000231723853161</c:v>
                </c:pt>
                <c:pt idx="58">
                  <c:v>0.14600644173882457</c:v>
                </c:pt>
                <c:pt idx="59">
                  <c:v>0.14211701140145303</c:v>
                </c:pt>
                <c:pt idx="60">
                  <c:v>0.13833119065944663</c:v>
                </c:pt>
                <c:pt idx="61">
                  <c:v>0.13464621948181874</c:v>
                </c:pt>
                <c:pt idx="62">
                  <c:v>0.13105941136138141</c:v>
                </c:pt>
                <c:pt idx="63">
                  <c:v>0.12756815135616301</c:v>
                </c:pt>
                <c:pt idx="64">
                  <c:v>0.1241698941829993</c:v>
                </c:pt>
                <c:pt idx="65">
                  <c:v>0.12086216236190973</c:v>
                </c:pt>
                <c:pt idx="66">
                  <c:v>0.11764254440990445</c:v>
                </c:pt>
                <c:pt idx="67">
                  <c:v>0.1145086930829065</c:v>
                </c:pt>
                <c:pt idx="68">
                  <c:v>0.1114583236645071</c:v>
                </c:pt>
                <c:pt idx="69">
                  <c:v>0.108489212300306</c:v>
                </c:pt>
                <c:pt idx="70">
                  <c:v>0.10559919437662321</c:v>
                </c:pt>
              </c:numCache>
            </c:numRef>
          </c:yVal>
        </c:ser>
        <c:ser>
          <c:idx val="1"/>
          <c:order val="1"/>
          <c:marker>
            <c:symbol val="none"/>
          </c:marker>
          <c:xVal>
            <c:numRef>
              <c:f>'Mars Metric'!$B$10:$B$300</c:f>
              <c:numCache>
                <c:formatCode>General</c:formatCode>
                <c:ptCount val="291"/>
                <c:pt idx="0">
                  <c:v>-31</c:v>
                </c:pt>
                <c:pt idx="1">
                  <c:v>-31.299399999999999</c:v>
                </c:pt>
                <c:pt idx="2">
                  <c:v>-31.598800000000001</c:v>
                </c:pt>
                <c:pt idx="3">
                  <c:v>-31.898199999999999</c:v>
                </c:pt>
                <c:pt idx="4">
                  <c:v>-32.197600000000001</c:v>
                </c:pt>
                <c:pt idx="5">
                  <c:v>-32.497</c:v>
                </c:pt>
                <c:pt idx="6">
                  <c:v>-32.796399999999998</c:v>
                </c:pt>
                <c:pt idx="7">
                  <c:v>-33.095799999999997</c:v>
                </c:pt>
                <c:pt idx="8">
                  <c:v>-33.395200000000003</c:v>
                </c:pt>
                <c:pt idx="9">
                  <c:v>-33.694600000000001</c:v>
                </c:pt>
                <c:pt idx="10">
                  <c:v>-33.994</c:v>
                </c:pt>
                <c:pt idx="11">
                  <c:v>-34.293399999999998</c:v>
                </c:pt>
                <c:pt idx="12">
                  <c:v>-34.592799999999997</c:v>
                </c:pt>
                <c:pt idx="13">
                  <c:v>-34.892200000000003</c:v>
                </c:pt>
                <c:pt idx="14">
                  <c:v>-35.191600000000001</c:v>
                </c:pt>
                <c:pt idx="15">
                  <c:v>-35.491</c:v>
                </c:pt>
                <c:pt idx="16">
                  <c:v>-35.790399999999998</c:v>
                </c:pt>
                <c:pt idx="17">
                  <c:v>-36.089799999999997</c:v>
                </c:pt>
                <c:pt idx="18">
                  <c:v>-36.389200000000002</c:v>
                </c:pt>
                <c:pt idx="19">
                  <c:v>-36.688600000000001</c:v>
                </c:pt>
                <c:pt idx="20">
                  <c:v>-36.988</c:v>
                </c:pt>
                <c:pt idx="21">
                  <c:v>-37.287399999999998</c:v>
                </c:pt>
                <c:pt idx="22">
                  <c:v>-37.586799999999997</c:v>
                </c:pt>
                <c:pt idx="23">
                  <c:v>-37.886200000000002</c:v>
                </c:pt>
                <c:pt idx="24">
                  <c:v>-39.24</c:v>
                </c:pt>
                <c:pt idx="25">
                  <c:v>-39.9</c:v>
                </c:pt>
                <c:pt idx="26">
                  <c:v>-40.56</c:v>
                </c:pt>
                <c:pt idx="27">
                  <c:v>-41.22</c:v>
                </c:pt>
                <c:pt idx="28">
                  <c:v>-41.879999999999995</c:v>
                </c:pt>
                <c:pt idx="29">
                  <c:v>-42.54</c:v>
                </c:pt>
                <c:pt idx="30">
                  <c:v>-43.2</c:v>
                </c:pt>
                <c:pt idx="31">
                  <c:v>-43.86</c:v>
                </c:pt>
                <c:pt idx="32">
                  <c:v>-44.519999999999996</c:v>
                </c:pt>
                <c:pt idx="33">
                  <c:v>-45.18</c:v>
                </c:pt>
                <c:pt idx="34">
                  <c:v>-45.84</c:v>
                </c:pt>
                <c:pt idx="35">
                  <c:v>-46.5</c:v>
                </c:pt>
                <c:pt idx="36">
                  <c:v>-47.16</c:v>
                </c:pt>
                <c:pt idx="37">
                  <c:v>-47.82</c:v>
                </c:pt>
                <c:pt idx="38">
                  <c:v>-48.480000000000004</c:v>
                </c:pt>
                <c:pt idx="39">
                  <c:v>-49.14</c:v>
                </c:pt>
                <c:pt idx="40">
                  <c:v>-49.8</c:v>
                </c:pt>
                <c:pt idx="41">
                  <c:v>-50.46</c:v>
                </c:pt>
                <c:pt idx="42">
                  <c:v>-51.120000000000005</c:v>
                </c:pt>
                <c:pt idx="43">
                  <c:v>-51.78</c:v>
                </c:pt>
                <c:pt idx="44">
                  <c:v>-52.44</c:v>
                </c:pt>
                <c:pt idx="45">
                  <c:v>-53.1</c:v>
                </c:pt>
                <c:pt idx="46">
                  <c:v>-53.760000000000005</c:v>
                </c:pt>
                <c:pt idx="47">
                  <c:v>-54.42</c:v>
                </c:pt>
                <c:pt idx="48">
                  <c:v>-55.08</c:v>
                </c:pt>
                <c:pt idx="49">
                  <c:v>-55.74</c:v>
                </c:pt>
                <c:pt idx="50">
                  <c:v>-56.4</c:v>
                </c:pt>
                <c:pt idx="51">
                  <c:v>-57.06</c:v>
                </c:pt>
                <c:pt idx="52">
                  <c:v>-57.72</c:v>
                </c:pt>
                <c:pt idx="53">
                  <c:v>-58.38</c:v>
                </c:pt>
                <c:pt idx="54">
                  <c:v>-59.04</c:v>
                </c:pt>
                <c:pt idx="55">
                  <c:v>-59.7</c:v>
                </c:pt>
                <c:pt idx="56">
                  <c:v>-60.36</c:v>
                </c:pt>
                <c:pt idx="57">
                  <c:v>-61.02</c:v>
                </c:pt>
                <c:pt idx="58">
                  <c:v>-61.68</c:v>
                </c:pt>
                <c:pt idx="59">
                  <c:v>-62.34</c:v>
                </c:pt>
                <c:pt idx="60">
                  <c:v>-63</c:v>
                </c:pt>
                <c:pt idx="61">
                  <c:v>-63.660000000000004</c:v>
                </c:pt>
                <c:pt idx="62">
                  <c:v>-64.319999999999993</c:v>
                </c:pt>
                <c:pt idx="63">
                  <c:v>-64.98</c:v>
                </c:pt>
                <c:pt idx="64">
                  <c:v>-65.64</c:v>
                </c:pt>
                <c:pt idx="65">
                  <c:v>-66.300000000000011</c:v>
                </c:pt>
                <c:pt idx="66">
                  <c:v>-66.960000000000008</c:v>
                </c:pt>
                <c:pt idx="67">
                  <c:v>-67.62</c:v>
                </c:pt>
                <c:pt idx="68">
                  <c:v>-68.28</c:v>
                </c:pt>
                <c:pt idx="69">
                  <c:v>-68.94</c:v>
                </c:pt>
                <c:pt idx="70">
                  <c:v>-69.599999999999994</c:v>
                </c:pt>
              </c:numCache>
            </c:numRef>
          </c:xVal>
          <c:yVal>
            <c:numRef>
              <c:f>'Mars Metric'!$D$10:$D$300</c:f>
              <c:numCache>
                <c:formatCode>General</c:formatCode>
                <c:ptCount val="291"/>
                <c:pt idx="0">
                  <c:v>0.32370103209562268</c:v>
                </c:pt>
                <c:pt idx="1">
                  <c:v>0.32160403381415087</c:v>
                </c:pt>
                <c:pt idx="2">
                  <c:v>0.3195180463171558</c:v>
                </c:pt>
                <c:pt idx="3">
                  <c:v>0.31744302533865465</c:v>
                </c:pt>
                <c:pt idx="4">
                  <c:v>0.31537892673601958</c:v>
                </c:pt>
                <c:pt idx="5">
                  <c:v>0.31332570648978758</c:v>
                </c:pt>
                <c:pt idx="6">
                  <c:v>0.3112833207034692</c:v>
                </c:pt>
                <c:pt idx="7">
                  <c:v>0.30925172560335645</c:v>
                </c:pt>
                <c:pt idx="8">
                  <c:v>0.30723087753833261</c:v>
                </c:pt>
                <c:pt idx="9">
                  <c:v>0.30522073297968172</c:v>
                </c:pt>
                <c:pt idx="10">
                  <c:v>0.30322124852089688</c:v>
                </c:pt>
                <c:pt idx="11">
                  <c:v>0.30123238087748921</c:v>
                </c:pt>
                <c:pt idx="12">
                  <c:v>0.29925408688679755</c:v>
                </c:pt>
                <c:pt idx="13">
                  <c:v>0.29728632350779816</c:v>
                </c:pt>
                <c:pt idx="14">
                  <c:v>0.29532904782091279</c:v>
                </c:pt>
                <c:pt idx="15">
                  <c:v>0.29338221702781936</c:v>
                </c:pt>
                <c:pt idx="16">
                  <c:v>0.29144578845126035</c:v>
                </c:pt>
                <c:pt idx="17">
                  <c:v>0.28951971953485334</c:v>
                </c:pt>
                <c:pt idx="18">
                  <c:v>0.28760396784289916</c:v>
                </c:pt>
                <c:pt idx="19">
                  <c:v>0.28569849106019335</c:v>
                </c:pt>
                <c:pt idx="20">
                  <c:v>0.28380324699183429</c:v>
                </c:pt>
                <c:pt idx="21">
                  <c:v>0.28191819356303371</c:v>
                </c:pt>
                <c:pt idx="22">
                  <c:v>0.28004328881892609</c:v>
                </c:pt>
                <c:pt idx="23">
                  <c:v>0.27817849092437846</c:v>
                </c:pt>
                <c:pt idx="24">
                  <c:v>0.26987145797179901</c:v>
                </c:pt>
                <c:pt idx="25">
                  <c:v>0.26589510894932028</c:v>
                </c:pt>
                <c:pt idx="26">
                  <c:v>0.26196632235606393</c:v>
                </c:pt>
                <c:pt idx="27">
                  <c:v>0.25808466191353474</c:v>
                </c:pt>
                <c:pt idx="28">
                  <c:v>0.25424969412162118</c:v>
                </c:pt>
                <c:pt idx="29">
                  <c:v>0.25046098824873519</c:v>
                </c:pt>
                <c:pt idx="30">
                  <c:v>0.24671811632196305</c:v>
                </c:pt>
                <c:pt idx="31">
                  <c:v>0.24302065311722104</c:v>
                </c:pt>
                <c:pt idx="32">
                  <c:v>0.23936817614941941</c:v>
                </c:pt>
                <c:pt idx="33">
                  <c:v>0.23576026566263095</c:v>
                </c:pt>
                <c:pt idx="34">
                  <c:v>0.23219650462027078</c:v>
                </c:pt>
                <c:pt idx="35">
                  <c:v>0.22867647869527907</c:v>
                </c:pt>
                <c:pt idx="36">
                  <c:v>0.2251997762603134</c:v>
                </c:pt>
                <c:pt idx="37">
                  <c:v>0.22176598837794725</c:v>
                </c:pt>
                <c:pt idx="38">
                  <c:v>0.21837470879087587</c:v>
                </c:pt>
                <c:pt idx="39">
                  <c:v>0.21502553391213011</c:v>
                </c:pt>
                <c:pt idx="40">
                  <c:v>0.21171806281529462</c:v>
                </c:pt>
                <c:pt idx="41">
                  <c:v>0.20845189722473781</c:v>
                </c:pt>
                <c:pt idx="42">
                  <c:v>0.20522664150584441</c:v>
                </c:pt>
                <c:pt idx="43">
                  <c:v>0.20204190265525782</c:v>
                </c:pt>
                <c:pt idx="44">
                  <c:v>0.19889729029113018</c:v>
                </c:pt>
                <c:pt idx="45">
                  <c:v>0.19579241664337688</c:v>
                </c:pt>
                <c:pt idx="46">
                  <c:v>0.1927268965439414</c:v>
                </c:pt>
                <c:pt idx="47">
                  <c:v>0.18970034741706529</c:v>
                </c:pt>
                <c:pt idx="48">
                  <c:v>0.18671238926956771</c:v>
                </c:pt>
                <c:pt idx="49">
                  <c:v>0.18376264468112857</c:v>
                </c:pt>
                <c:pt idx="50">
                  <c:v>0.18085073879458358</c:v>
                </c:pt>
                <c:pt idx="51">
                  <c:v>0.17797629930622286</c:v>
                </c:pt>
                <c:pt idx="52">
                  <c:v>0.17513895645609923</c:v>
                </c:pt>
                <c:pt idx="53">
                  <c:v>0.17233834301834247</c:v>
                </c:pt>
                <c:pt idx="54">
                  <c:v>0.16957409429148207</c:v>
                </c:pt>
                <c:pt idx="55">
                  <c:v>0.16684584808877659</c:v>
                </c:pt>
                <c:pt idx="56">
                  <c:v>0.16415324472855075</c:v>
                </c:pt>
                <c:pt idx="57">
                  <c:v>0.1614959270245406</c:v>
                </c:pt>
                <c:pt idx="58">
                  <c:v>0.15887354027624445</c:v>
                </c:pt>
                <c:pt idx="59">
                  <c:v>0.15628573225928294</c:v>
                </c:pt>
                <c:pt idx="60">
                  <c:v>0.15373215321576661</c:v>
                </c:pt>
                <c:pt idx="61">
                  <c:v>0.15121245584466927</c:v>
                </c:pt>
                <c:pt idx="62">
                  <c:v>0.14872629529221093</c:v>
                </c:pt>
                <c:pt idx="63">
                  <c:v>0.14627332914224675</c:v>
                </c:pt>
                <c:pt idx="64">
                  <c:v>0.14385321740666529</c:v>
                </c:pt>
                <c:pt idx="65">
                  <c:v>0.14146562251579162</c:v>
                </c:pt>
                <c:pt idx="66">
                  <c:v>0.13911020930880144</c:v>
                </c:pt>
                <c:pt idx="67">
                  <c:v>0.13678664502413987</c:v>
                </c:pt>
                <c:pt idx="68">
                  <c:v>0.13449459928994967</c:v>
                </c:pt>
                <c:pt idx="69">
                  <c:v>0.13223374411450625</c:v>
                </c:pt>
                <c:pt idx="70">
                  <c:v>0.13000375387666097</c:v>
                </c:pt>
              </c:numCache>
            </c:numRef>
          </c:yVal>
        </c:ser>
        <c:dLbls/>
        <c:axId val="175121920"/>
        <c:axId val="175251840"/>
      </c:scatterChart>
      <c:valAx>
        <c:axId val="175121920"/>
        <c:scaling>
          <c:orientation val="minMax"/>
        </c:scaling>
        <c:axPos val="t"/>
        <c:numFmt formatCode="General" sourceLinked="1"/>
        <c:tickLblPos val="nextTo"/>
        <c:crossAx val="175251840"/>
        <c:crosses val="autoZero"/>
        <c:crossBetween val="midCat"/>
      </c:valAx>
      <c:valAx>
        <c:axId val="175251840"/>
        <c:scaling>
          <c:orientation val="maxMin"/>
        </c:scaling>
        <c:axPos val="l"/>
        <c:majorGridlines/>
        <c:numFmt formatCode="General" sourceLinked="1"/>
        <c:tickLblPos val="nextTo"/>
        <c:crossAx val="175121920"/>
        <c:crosses val="autoZero"/>
        <c:crossBetween val="midCat"/>
      </c:valAx>
    </c:plotArea>
    <c:legend>
      <c:legendPos val="r"/>
      <c:layout/>
    </c:legend>
    <c:plotVisOnly val="1"/>
    <c:dispBlanksAs val="gap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940036776863759"/>
          <c:y val="3.2534856219895596E-2"/>
          <c:w val="0.81040662807422659"/>
          <c:h val="0.84942579499662374"/>
        </c:manualLayout>
      </c:layout>
      <c:scatterChart>
        <c:scatterStyle val="lineMarker"/>
        <c:ser>
          <c:idx val="0"/>
          <c:order val="0"/>
          <c:tx>
            <c:strRef>
              <c:f>Venus_1.5!$A$9</c:f>
              <c:strCache>
                <c:ptCount val="1"/>
                <c:pt idx="0">
                  <c:v>Atitude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Venus_1.5!$B$10:$B$110</c:f>
              <c:numCache>
                <c:formatCode>General</c:formatCode>
                <c:ptCount val="101"/>
                <c:pt idx="0">
                  <c:v>87000</c:v>
                </c:pt>
                <c:pt idx="1">
                  <c:v>81881.53852423279</c:v>
                </c:pt>
                <c:pt idx="2">
                  <c:v>77009.631355580612</c:v>
                </c:pt>
                <c:pt idx="3">
                  <c:v>72375.091777491456</c:v>
                </c:pt>
                <c:pt idx="4">
                  <c:v>67968.972816150213</c:v>
                </c:pt>
                <c:pt idx="5">
                  <c:v>63782.563723612722</c:v>
                </c:pt>
                <c:pt idx="6">
                  <c:v>59807.386471380392</c:v>
                </c:pt>
                <c:pt idx="7">
                  <c:v>56035.19225451081</c:v>
                </c:pt>
                <c:pt idx="8">
                  <c:v>52457.958006359884</c:v>
                </c:pt>
                <c:pt idx="9">
                  <c:v>49067.882924053192</c:v>
                </c:pt>
                <c:pt idx="10">
                  <c:v>45857.385004788237</c:v>
                </c:pt>
                <c:pt idx="11">
                  <c:v>42819.09759306864</c:v>
                </c:pt>
                <c:pt idx="12">
                  <c:v>39945.865938976276</c:v>
                </c:pt>
                <c:pt idx="13">
                  <c:v>37230.74376758813</c:v>
                </c:pt>
                <c:pt idx="14">
                  <c:v>34666.989859647292</c:v>
                </c:pt>
                <c:pt idx="15">
                  <c:v>32248.064643601036</c:v>
                </c:pt>
                <c:pt idx="16">
                  <c:v>29967.626799120178</c:v>
                </c:pt>
                <c:pt idx="17">
                  <c:v>27819.529872217823</c:v>
                </c:pt>
                <c:pt idx="18">
                  <c:v>25797.81890208782</c:v>
                </c:pt>
                <c:pt idx="19">
                  <c:v>23896.727059786273</c:v>
                </c:pt>
                <c:pt idx="20">
                  <c:v>22110.672298882997</c:v>
                </c:pt>
                <c:pt idx="21">
                  <c:v>20434.254018212119</c:v>
                </c:pt>
                <c:pt idx="22">
                  <c:v>18862.249736855443</c:v>
                </c:pt>
                <c:pt idx="23">
                  <c:v>17389.61178149479</c:v>
                </c:pt>
                <c:pt idx="24">
                  <c:v>16011.463986273437</c:v>
                </c:pt>
                <c:pt idx="25">
                  <c:v>14723.098405310702</c:v>
                </c:pt>
                <c:pt idx="26">
                  <c:v>13519.972038017453</c:v>
                </c:pt>
                <c:pt idx="27">
                  <c:v>12397.703567364413</c:v>
                </c:pt>
                <c:pt idx="28">
                  <c:v>11352.070111259569</c:v>
                </c:pt>
                <c:pt idx="29">
                  <c:v>10379.003987195074</c:v>
                </c:pt>
                <c:pt idx="30">
                  <c:v>9474.5894903293974</c:v>
                </c:pt>
                <c:pt idx="31">
                  <c:v>8635.0596851745395</c:v>
                </c:pt>
                <c:pt idx="32">
                  <c:v>7856.793211063974</c:v>
                </c:pt>
                <c:pt idx="33">
                  <c:v>7136.3111015817231</c:v>
                </c:pt>
                <c:pt idx="34">
                  <c:v>6470.2736181391911</c:v>
                </c:pt>
                <c:pt idx="35">
                  <c:v>5855.4770978917832</c:v>
                </c:pt>
                <c:pt idx="36">
                  <c:v>5288.8508161938717</c:v>
                </c:pt>
                <c:pt idx="37">
                  <c:v>4767.4538637970991</c:v>
                </c:pt>
                <c:pt idx="38">
                  <c:v>4288.4720390037864</c:v>
                </c:pt>
                <c:pt idx="39">
                  <c:v>3849.2147549946653</c:v>
                </c:pt>
                <c:pt idx="40">
                  <c:v>3447.111962557552</c:v>
                </c:pt>
                <c:pt idx="41">
                  <c:v>3079.7110884519093</c:v>
                </c:pt>
                <c:pt idx="42">
                  <c:v>2744.6739896525173</c:v>
                </c:pt>
                <c:pt idx="43">
                  <c:v>2439.773923724701</c:v>
                </c:pt>
                <c:pt idx="44">
                  <c:v>2162.8925355929628</c:v>
                </c:pt>
                <c:pt idx="45">
                  <c:v>1912.0168609751893</c:v>
                </c:pt>
                <c:pt idx="46">
                  <c:v>1685.2363467651949</c:v>
                </c:pt>
                <c:pt idx="47">
                  <c:v>1480.7398886579849</c:v>
                </c:pt>
                <c:pt idx="48">
                  <c:v>1296.8128863242152</c:v>
                </c:pt>
                <c:pt idx="49">
                  <c:v>1131.8343164534433</c:v>
                </c:pt>
                <c:pt idx="50">
                  <c:v>984.273823999613</c:v>
                </c:pt>
                <c:pt idx="51">
                  <c:v>852.68883197716457</c:v>
                </c:pt>
                <c:pt idx="52">
                  <c:v>735.7216701721037</c:v>
                </c:pt>
                <c:pt idx="53">
                  <c:v>632.09672314952786</c:v>
                </c:pt>
                <c:pt idx="54">
                  <c:v>540.6175979575429</c:v>
                </c:pt>
                <c:pt idx="55">
                  <c:v>460.16431194746582</c:v>
                </c:pt>
                <c:pt idx="56">
                  <c:v>389.69050115160121</c:v>
                </c:pt>
                <c:pt idx="57">
                  <c:v>328.22064968329926</c:v>
                </c:pt>
                <c:pt idx="58">
                  <c:v>274.84734064917222</c:v>
                </c:pt>
                <c:pt idx="59">
                  <c:v>228.72852909090926</c:v>
                </c:pt>
                <c:pt idx="60">
                  <c:v>189.08483750414499</c:v>
                </c:pt>
                <c:pt idx="61">
                  <c:v>155.19687451467323</c:v>
                </c:pt>
                <c:pt idx="62">
                  <c:v>126.40257732836916</c:v>
                </c:pt>
                <c:pt idx="63">
                  <c:v>102.09457861089966</c:v>
                </c:pt>
                <c:pt idx="64">
                  <c:v>81.717598497186998</c:v>
                </c:pt>
                <c:pt idx="65">
                  <c:v>64.765862479298079</c:v>
                </c:pt>
                <c:pt idx="66">
                  <c:v>50.780545975664388</c:v>
                </c:pt>
                <c:pt idx="67">
                  <c:v>39.347246445238888</c:v>
                </c:pt>
                <c:pt idx="68">
                  <c:v>30.093483978433035</c:v>
                </c:pt>
                <c:pt idx="69">
                  <c:v>22.686231373792435</c:v>
                </c:pt>
                <c:pt idx="70">
                  <c:v>16.829474797037815</c:v>
                </c:pt>
                <c:pt idx="71">
                  <c:v>12.26180621936769</c:v>
                </c:pt>
                <c:pt idx="72">
                  <c:v>8.7540489474203813</c:v>
                </c:pt>
                <c:pt idx="73">
                  <c:v>6.1069176913651644</c:v>
                </c:pt>
                <c:pt idx="74">
                  <c:v>4.1487147745644082</c:v>
                </c:pt>
                <c:pt idx="75">
                  <c:v>2.7330642738274431</c:v>
                </c:pt>
                <c:pt idx="76">
                  <c:v>1.7366861010933852</c:v>
                </c:pt>
                <c:pt idx="77">
                  <c:v>1.0572123058510594</c:v>
                </c:pt>
                <c:pt idx="78">
                  <c:v>0.61104820727507347</c:v>
                </c:pt>
                <c:pt idx="79">
                  <c:v>0.33128137675810415</c:v>
                </c:pt>
                <c:pt idx="80">
                  <c:v>0.16564201601493603</c:v>
                </c:pt>
                <c:pt idx="81">
                  <c:v>7.4518960331799833E-2</c:v>
                </c:pt>
                <c:pt idx="82">
                  <c:v>2.9036456222298099E-2</c:v>
                </c:pt>
                <c:pt idx="83">
                  <c:v>9.1981451870124034E-3</c:v>
                </c:pt>
                <c:pt idx="84">
                  <c:v>2.1065617335139031E-3</c:v>
                </c:pt>
                <c:pt idx="85">
                  <c:v>2.6938590014869741E-4</c:v>
                </c:pt>
                <c:pt idx="86">
                  <c:v>8.7359784431894666E-6</c:v>
                </c:pt>
                <c:pt idx="87">
                  <c:v>1.3821966261320559E-11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xVal>
          <c:yVal>
            <c:numRef>
              <c:f>Venus_1.5!$A$10:$A$110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</c:ser>
        <c:ser>
          <c:idx val="1"/>
          <c:order val="1"/>
          <c:tx>
            <c:strRef>
              <c:f>Venus_1.5!$E$9</c:f>
              <c:strCache>
                <c:ptCount val="1"/>
                <c:pt idx="0">
                  <c:v>Actual 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ysClr val="window" lastClr="FFFFFF"/>
              </a:solidFill>
            </c:spPr>
          </c:marker>
          <c:xVal>
            <c:numRef>
              <c:f>Venus_1.5!$E$10:$E$110</c:f>
              <c:numCache>
                <c:formatCode>General</c:formatCode>
                <c:ptCount val="101"/>
                <c:pt idx="34">
                  <c:v>6400</c:v>
                </c:pt>
                <c:pt idx="35">
                  <c:v>6000</c:v>
                </c:pt>
                <c:pt idx="40">
                  <c:v>3450</c:v>
                </c:pt>
                <c:pt idx="46">
                  <c:v>1700</c:v>
                </c:pt>
                <c:pt idx="49">
                  <c:v>1135</c:v>
                </c:pt>
                <c:pt idx="52">
                  <c:v>740</c:v>
                </c:pt>
                <c:pt idx="55">
                  <c:v>460</c:v>
                </c:pt>
                <c:pt idx="58">
                  <c:v>280</c:v>
                </c:pt>
                <c:pt idx="61">
                  <c:v>155</c:v>
                </c:pt>
              </c:numCache>
            </c:numRef>
          </c:xVal>
          <c:yVal>
            <c:numRef>
              <c:f>Venus_1.5!$A$10:$A$110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</c:ser>
        <c:dLbls/>
        <c:axId val="182874880"/>
        <c:axId val="183892992"/>
      </c:scatterChart>
      <c:valAx>
        <c:axId val="182874880"/>
        <c:scaling>
          <c:logBase val="10"/>
          <c:orientation val="minMax"/>
          <c:max val="10000"/>
          <c:min val="1.0000000000000004E-2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Pressure</a:t>
                </a:r>
              </a:p>
            </c:rich>
          </c:tx>
          <c:layout/>
        </c:title>
        <c:numFmt formatCode="General" sourceLinked="1"/>
        <c:tickLblPos val="nextTo"/>
        <c:crossAx val="183892992"/>
        <c:crosses val="autoZero"/>
        <c:crossBetween val="midCat"/>
      </c:valAx>
      <c:valAx>
        <c:axId val="183892992"/>
        <c:scaling>
          <c:orientation val="minMax"/>
          <c:max val="100"/>
          <c:min val="30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Altitude</a:t>
                </a:r>
              </a:p>
            </c:rich>
          </c:tx>
          <c:layout>
            <c:manualLayout>
              <c:xMode val="edge"/>
              <c:yMode val="edge"/>
              <c:x val="4.2361191368994154E-2"/>
              <c:y val="0.33229314387610387"/>
            </c:manualLayout>
          </c:layout>
        </c:title>
        <c:numFmt formatCode="General" sourceLinked="1"/>
        <c:tickLblPos val="nextTo"/>
        <c:crossAx val="182874880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>
        <c:manualLayout>
          <c:xMode val="edge"/>
          <c:yMode val="edge"/>
          <c:x val="0.64177944409035637"/>
          <c:y val="0.32485949624153238"/>
          <c:w val="0.21894649275276096"/>
          <c:h val="0.1483726226529376"/>
        </c:manualLayout>
      </c:layout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9976873728935191"/>
          <c:y val="0.13226314452628907"/>
          <c:w val="0.72683857708649402"/>
          <c:h val="0.84898871512028751"/>
        </c:manualLayout>
      </c:layout>
      <c:scatterChart>
        <c:scatterStyle val="lineMarker"/>
        <c:ser>
          <c:idx val="0"/>
          <c:order val="0"/>
          <c:tx>
            <c:strRef>
              <c:f>Venus_1.5!$B$9</c:f>
              <c:strCache>
                <c:ptCount val="1"/>
                <c:pt idx="0">
                  <c:v>Pressure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Venus_1.5!$C$10:$C$96</c:f>
              <c:numCache>
                <c:formatCode>General</c:formatCode>
                <c:ptCount val="87"/>
                <c:pt idx="0">
                  <c:v>765</c:v>
                </c:pt>
                <c:pt idx="1">
                  <c:v>756.21550289139702</c:v>
                </c:pt>
                <c:pt idx="2">
                  <c:v>747.43100578279405</c:v>
                </c:pt>
                <c:pt idx="3">
                  <c:v>738.64650867419107</c:v>
                </c:pt>
                <c:pt idx="4">
                  <c:v>729.86201156558798</c:v>
                </c:pt>
                <c:pt idx="5">
                  <c:v>721.07751445698511</c:v>
                </c:pt>
                <c:pt idx="6">
                  <c:v>712.29301734838214</c:v>
                </c:pt>
                <c:pt idx="7">
                  <c:v>703.50852023977905</c:v>
                </c:pt>
                <c:pt idx="8">
                  <c:v>694.72402313117607</c:v>
                </c:pt>
                <c:pt idx="9">
                  <c:v>685.93952602257309</c:v>
                </c:pt>
                <c:pt idx="10">
                  <c:v>677.15502891397011</c:v>
                </c:pt>
                <c:pt idx="11">
                  <c:v>668.37053180536714</c:v>
                </c:pt>
                <c:pt idx="12">
                  <c:v>659.58603469676416</c:v>
                </c:pt>
                <c:pt idx="13">
                  <c:v>650.80153758816118</c:v>
                </c:pt>
                <c:pt idx="14">
                  <c:v>642.01704047955809</c:v>
                </c:pt>
                <c:pt idx="15">
                  <c:v>633.23254337095523</c:v>
                </c:pt>
                <c:pt idx="16">
                  <c:v>624.44804626235225</c:v>
                </c:pt>
                <c:pt idx="17">
                  <c:v>615.66354915374916</c:v>
                </c:pt>
                <c:pt idx="18">
                  <c:v>606.8790520451463</c:v>
                </c:pt>
                <c:pt idx="19">
                  <c:v>598.0945549365432</c:v>
                </c:pt>
                <c:pt idx="20">
                  <c:v>589.31005782794023</c:v>
                </c:pt>
                <c:pt idx="21">
                  <c:v>580.52556071933725</c:v>
                </c:pt>
                <c:pt idx="22">
                  <c:v>571.74106361073427</c:v>
                </c:pt>
                <c:pt idx="23">
                  <c:v>562.95656650213118</c:v>
                </c:pt>
                <c:pt idx="24">
                  <c:v>554.17206939352832</c:v>
                </c:pt>
                <c:pt idx="25">
                  <c:v>545.38757228492534</c:v>
                </c:pt>
                <c:pt idx="26">
                  <c:v>536.60307517632236</c:v>
                </c:pt>
                <c:pt idx="27">
                  <c:v>527.81857806771927</c:v>
                </c:pt>
                <c:pt idx="28">
                  <c:v>519.0340809591163</c:v>
                </c:pt>
                <c:pt idx="29">
                  <c:v>510.24958385051332</c:v>
                </c:pt>
                <c:pt idx="30">
                  <c:v>501.4650867419104</c:v>
                </c:pt>
                <c:pt idx="31">
                  <c:v>492.68058963330736</c:v>
                </c:pt>
                <c:pt idx="32">
                  <c:v>483.89609252470439</c:v>
                </c:pt>
                <c:pt idx="33">
                  <c:v>475.11159541610135</c:v>
                </c:pt>
                <c:pt idx="34">
                  <c:v>466.32709830749837</c:v>
                </c:pt>
                <c:pt idx="35">
                  <c:v>457.54260119889545</c:v>
                </c:pt>
                <c:pt idx="36">
                  <c:v>448.75810409029248</c:v>
                </c:pt>
                <c:pt idx="37">
                  <c:v>439.97360698168944</c:v>
                </c:pt>
                <c:pt idx="38">
                  <c:v>431.18910987308641</c:v>
                </c:pt>
                <c:pt idx="39">
                  <c:v>422.40461276448349</c:v>
                </c:pt>
                <c:pt idx="40">
                  <c:v>413.62011565588051</c:v>
                </c:pt>
                <c:pt idx="41">
                  <c:v>404.83561854727753</c:v>
                </c:pt>
                <c:pt idx="42">
                  <c:v>396.0511214386745</c:v>
                </c:pt>
                <c:pt idx="43">
                  <c:v>387.26662433007158</c:v>
                </c:pt>
                <c:pt idx="44">
                  <c:v>378.48212722146855</c:v>
                </c:pt>
                <c:pt idx="45">
                  <c:v>369.69763011286557</c:v>
                </c:pt>
                <c:pt idx="46">
                  <c:v>360.91313300426253</c:v>
                </c:pt>
                <c:pt idx="47">
                  <c:v>352.12863589565956</c:v>
                </c:pt>
                <c:pt idx="48">
                  <c:v>343.34413878705664</c:v>
                </c:pt>
                <c:pt idx="49">
                  <c:v>334.5596416784536</c:v>
                </c:pt>
                <c:pt idx="50">
                  <c:v>325.77514456985062</c:v>
                </c:pt>
                <c:pt idx="51">
                  <c:v>316.9906474612477</c:v>
                </c:pt>
                <c:pt idx="52">
                  <c:v>308.20615035264467</c:v>
                </c:pt>
                <c:pt idx="53">
                  <c:v>299.42165324404169</c:v>
                </c:pt>
                <c:pt idx="54">
                  <c:v>290.63715613543854</c:v>
                </c:pt>
                <c:pt idx="55">
                  <c:v>281.85265902683562</c:v>
                </c:pt>
                <c:pt idx="56">
                  <c:v>273.06816191823265</c:v>
                </c:pt>
                <c:pt idx="57">
                  <c:v>264.28366480962961</c:v>
                </c:pt>
                <c:pt idx="58">
                  <c:v>255.49916770102666</c:v>
                </c:pt>
                <c:pt idx="59">
                  <c:v>246.71467059242372</c:v>
                </c:pt>
                <c:pt idx="60">
                  <c:v>237.93017348382068</c:v>
                </c:pt>
                <c:pt idx="61">
                  <c:v>229.14567637521773</c:v>
                </c:pt>
                <c:pt idx="62">
                  <c:v>220.3611792666147</c:v>
                </c:pt>
                <c:pt idx="63">
                  <c:v>211.57668215801172</c:v>
                </c:pt>
                <c:pt idx="64">
                  <c:v>202.79218504940877</c:v>
                </c:pt>
                <c:pt idx="65">
                  <c:v>194.00768794080574</c:v>
                </c:pt>
                <c:pt idx="66">
                  <c:v>185.22319083220279</c:v>
                </c:pt>
                <c:pt idx="67">
                  <c:v>176.43869372359976</c:v>
                </c:pt>
                <c:pt idx="68">
                  <c:v>167.65419661499681</c:v>
                </c:pt>
                <c:pt idx="69">
                  <c:v>158.86969950639386</c:v>
                </c:pt>
                <c:pt idx="70">
                  <c:v>150.08520239779079</c:v>
                </c:pt>
                <c:pt idx="71">
                  <c:v>141.30070528918785</c:v>
                </c:pt>
                <c:pt idx="72">
                  <c:v>132.5162081805849</c:v>
                </c:pt>
                <c:pt idx="73">
                  <c:v>123.73171107198186</c:v>
                </c:pt>
                <c:pt idx="74">
                  <c:v>114.94721396337891</c:v>
                </c:pt>
                <c:pt idx="75">
                  <c:v>106.16271685477587</c:v>
                </c:pt>
                <c:pt idx="76">
                  <c:v>97.378219746172917</c:v>
                </c:pt>
                <c:pt idx="77">
                  <c:v>88.593722637569968</c:v>
                </c:pt>
                <c:pt idx="78">
                  <c:v>79.80922552896692</c:v>
                </c:pt>
                <c:pt idx="79">
                  <c:v>71.024728420363971</c:v>
                </c:pt>
                <c:pt idx="80">
                  <c:v>62.240231311761022</c:v>
                </c:pt>
                <c:pt idx="81">
                  <c:v>53.455734203157981</c:v>
                </c:pt>
                <c:pt idx="82">
                  <c:v>44.671237094555025</c:v>
                </c:pt>
                <c:pt idx="83">
                  <c:v>35.886739985951991</c:v>
                </c:pt>
                <c:pt idx="84">
                  <c:v>27.102242877349035</c:v>
                </c:pt>
                <c:pt idx="85">
                  <c:v>18.317745768746082</c:v>
                </c:pt>
                <c:pt idx="86">
                  <c:v>9.5332486601431281</c:v>
                </c:pt>
              </c:numCache>
            </c:numRef>
          </c:xVal>
          <c:yVal>
            <c:numRef>
              <c:f>Venus_1.5!$B$10:$B$96</c:f>
              <c:numCache>
                <c:formatCode>General</c:formatCode>
                <c:ptCount val="87"/>
                <c:pt idx="0">
                  <c:v>87000</c:v>
                </c:pt>
                <c:pt idx="1">
                  <c:v>81881.53852423279</c:v>
                </c:pt>
                <c:pt idx="2">
                  <c:v>77009.631355580612</c:v>
                </c:pt>
                <c:pt idx="3">
                  <c:v>72375.091777491456</c:v>
                </c:pt>
                <c:pt idx="4">
                  <c:v>67968.972816150213</c:v>
                </c:pt>
                <c:pt idx="5">
                  <c:v>63782.563723612722</c:v>
                </c:pt>
                <c:pt idx="6">
                  <c:v>59807.386471380392</c:v>
                </c:pt>
                <c:pt idx="7">
                  <c:v>56035.19225451081</c:v>
                </c:pt>
                <c:pt idx="8">
                  <c:v>52457.958006359884</c:v>
                </c:pt>
                <c:pt idx="9">
                  <c:v>49067.882924053192</c:v>
                </c:pt>
                <c:pt idx="10">
                  <c:v>45857.385004788237</c:v>
                </c:pt>
                <c:pt idx="11">
                  <c:v>42819.09759306864</c:v>
                </c:pt>
                <c:pt idx="12">
                  <c:v>39945.865938976276</c:v>
                </c:pt>
                <c:pt idx="13">
                  <c:v>37230.74376758813</c:v>
                </c:pt>
                <c:pt idx="14">
                  <c:v>34666.989859647292</c:v>
                </c:pt>
                <c:pt idx="15">
                  <c:v>32248.064643601036</c:v>
                </c:pt>
                <c:pt idx="16">
                  <c:v>29967.626799120178</c:v>
                </c:pt>
                <c:pt idx="17">
                  <c:v>27819.529872217823</c:v>
                </c:pt>
                <c:pt idx="18">
                  <c:v>25797.81890208782</c:v>
                </c:pt>
                <c:pt idx="19">
                  <c:v>23896.727059786273</c:v>
                </c:pt>
                <c:pt idx="20">
                  <c:v>22110.672298882997</c:v>
                </c:pt>
                <c:pt idx="21">
                  <c:v>20434.254018212119</c:v>
                </c:pt>
                <c:pt idx="22">
                  <c:v>18862.249736855443</c:v>
                </c:pt>
                <c:pt idx="23">
                  <c:v>17389.61178149479</c:v>
                </c:pt>
                <c:pt idx="24">
                  <c:v>16011.463986273437</c:v>
                </c:pt>
                <c:pt idx="25">
                  <c:v>14723.098405310702</c:v>
                </c:pt>
                <c:pt idx="26">
                  <c:v>13519.972038017453</c:v>
                </c:pt>
                <c:pt idx="27">
                  <c:v>12397.703567364413</c:v>
                </c:pt>
                <c:pt idx="28">
                  <c:v>11352.070111259569</c:v>
                </c:pt>
                <c:pt idx="29">
                  <c:v>10379.003987195074</c:v>
                </c:pt>
                <c:pt idx="30">
                  <c:v>9474.5894903293974</c:v>
                </c:pt>
                <c:pt idx="31">
                  <c:v>8635.0596851745395</c:v>
                </c:pt>
                <c:pt idx="32">
                  <c:v>7856.793211063974</c:v>
                </c:pt>
                <c:pt idx="33">
                  <c:v>7136.3111015817231</c:v>
                </c:pt>
                <c:pt idx="34">
                  <c:v>6470.2736181391911</c:v>
                </c:pt>
                <c:pt idx="35">
                  <c:v>5855.4770978917832</c:v>
                </c:pt>
                <c:pt idx="36">
                  <c:v>5288.8508161938717</c:v>
                </c:pt>
                <c:pt idx="37">
                  <c:v>4767.4538637970991</c:v>
                </c:pt>
                <c:pt idx="38">
                  <c:v>4288.4720390037864</c:v>
                </c:pt>
                <c:pt idx="39">
                  <c:v>3849.2147549946653</c:v>
                </c:pt>
                <c:pt idx="40">
                  <c:v>3447.111962557552</c:v>
                </c:pt>
                <c:pt idx="41">
                  <c:v>3079.7110884519093</c:v>
                </c:pt>
                <c:pt idx="42">
                  <c:v>2744.6739896525173</c:v>
                </c:pt>
                <c:pt idx="43">
                  <c:v>2439.773923724701</c:v>
                </c:pt>
                <c:pt idx="44">
                  <c:v>2162.8925355929628</c:v>
                </c:pt>
                <c:pt idx="45">
                  <c:v>1912.0168609751893</c:v>
                </c:pt>
                <c:pt idx="46">
                  <c:v>1685.2363467651949</c:v>
                </c:pt>
                <c:pt idx="47">
                  <c:v>1480.7398886579849</c:v>
                </c:pt>
                <c:pt idx="48">
                  <c:v>1296.8128863242152</c:v>
                </c:pt>
                <c:pt idx="49">
                  <c:v>1131.8343164534433</c:v>
                </c:pt>
                <c:pt idx="50">
                  <c:v>984.273823999613</c:v>
                </c:pt>
                <c:pt idx="51">
                  <c:v>852.68883197716457</c:v>
                </c:pt>
                <c:pt idx="52">
                  <c:v>735.7216701721037</c:v>
                </c:pt>
                <c:pt idx="53">
                  <c:v>632.09672314952786</c:v>
                </c:pt>
                <c:pt idx="54">
                  <c:v>540.6175979575429</c:v>
                </c:pt>
                <c:pt idx="55">
                  <c:v>460.16431194746582</c:v>
                </c:pt>
                <c:pt idx="56">
                  <c:v>389.69050115160121</c:v>
                </c:pt>
                <c:pt idx="57">
                  <c:v>328.22064968329926</c:v>
                </c:pt>
                <c:pt idx="58">
                  <c:v>274.84734064917222</c:v>
                </c:pt>
                <c:pt idx="59">
                  <c:v>228.72852909090926</c:v>
                </c:pt>
                <c:pt idx="60">
                  <c:v>189.08483750414499</c:v>
                </c:pt>
                <c:pt idx="61">
                  <c:v>155.19687451467323</c:v>
                </c:pt>
                <c:pt idx="62">
                  <c:v>126.40257732836916</c:v>
                </c:pt>
                <c:pt idx="63">
                  <c:v>102.09457861089966</c:v>
                </c:pt>
                <c:pt idx="64">
                  <c:v>81.717598497186998</c:v>
                </c:pt>
                <c:pt idx="65">
                  <c:v>64.765862479298079</c:v>
                </c:pt>
                <c:pt idx="66">
                  <c:v>50.780545975664388</c:v>
                </c:pt>
                <c:pt idx="67">
                  <c:v>39.347246445238888</c:v>
                </c:pt>
                <c:pt idx="68">
                  <c:v>30.093483978433035</c:v>
                </c:pt>
                <c:pt idx="69">
                  <c:v>22.686231373792435</c:v>
                </c:pt>
                <c:pt idx="70">
                  <c:v>16.829474797037815</c:v>
                </c:pt>
                <c:pt idx="71">
                  <c:v>12.26180621936769</c:v>
                </c:pt>
                <c:pt idx="72">
                  <c:v>8.7540489474203813</c:v>
                </c:pt>
                <c:pt idx="73">
                  <c:v>6.1069176913651644</c:v>
                </c:pt>
                <c:pt idx="74">
                  <c:v>4.1487147745644082</c:v>
                </c:pt>
                <c:pt idx="75">
                  <c:v>2.7330642738274431</c:v>
                </c:pt>
                <c:pt idx="76">
                  <c:v>1.7366861010933852</c:v>
                </c:pt>
                <c:pt idx="77">
                  <c:v>1.0572123058510594</c:v>
                </c:pt>
                <c:pt idx="78">
                  <c:v>0.61104820727507347</c:v>
                </c:pt>
                <c:pt idx="79">
                  <c:v>0.33128137675810415</c:v>
                </c:pt>
                <c:pt idx="80">
                  <c:v>0.16564201601493603</c:v>
                </c:pt>
                <c:pt idx="81">
                  <c:v>7.4518960331799833E-2</c:v>
                </c:pt>
                <c:pt idx="82">
                  <c:v>2.9036456222298099E-2</c:v>
                </c:pt>
                <c:pt idx="83">
                  <c:v>9.1981451870124034E-3</c:v>
                </c:pt>
                <c:pt idx="84">
                  <c:v>2.1065617335139031E-3</c:v>
                </c:pt>
                <c:pt idx="85">
                  <c:v>2.6938590014869741E-4</c:v>
                </c:pt>
                <c:pt idx="86">
                  <c:v>8.7359784431894666E-6</c:v>
                </c:pt>
              </c:numCache>
            </c:numRef>
          </c:yVal>
        </c:ser>
        <c:ser>
          <c:idx val="2"/>
          <c:order val="1"/>
          <c:tx>
            <c:v>std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ysClr val="window" lastClr="FFFFFF"/>
              </a:solidFill>
            </c:spPr>
          </c:marker>
          <c:xVal>
            <c:numRef>
              <c:f>Venus_1.5!$I$10:$I$39</c:f>
              <c:numCache>
                <c:formatCode>General</c:formatCode>
                <c:ptCount val="30"/>
                <c:pt idx="0">
                  <c:v>735</c:v>
                </c:pt>
                <c:pt idx="1">
                  <c:v>697</c:v>
                </c:pt>
                <c:pt idx="2">
                  <c:v>658</c:v>
                </c:pt>
                <c:pt idx="3">
                  <c:v>621</c:v>
                </c:pt>
                <c:pt idx="4">
                  <c:v>579</c:v>
                </c:pt>
                <c:pt idx="5">
                  <c:v>537</c:v>
                </c:pt>
                <c:pt idx="6">
                  <c:v>495</c:v>
                </c:pt>
                <c:pt idx="7">
                  <c:v>453</c:v>
                </c:pt>
                <c:pt idx="8">
                  <c:v>416</c:v>
                </c:pt>
                <c:pt idx="9">
                  <c:v>383</c:v>
                </c:pt>
                <c:pt idx="10">
                  <c:v>348</c:v>
                </c:pt>
                <c:pt idx="11">
                  <c:v>300</c:v>
                </c:pt>
                <c:pt idx="12">
                  <c:v>263</c:v>
                </c:pt>
                <c:pt idx="13">
                  <c:v>243</c:v>
                </c:pt>
                <c:pt idx="14">
                  <c:v>230</c:v>
                </c:pt>
                <c:pt idx="15">
                  <c:v>197</c:v>
                </c:pt>
                <c:pt idx="16">
                  <c:v>169</c:v>
                </c:pt>
                <c:pt idx="17">
                  <c:v>161</c:v>
                </c:pt>
              </c:numCache>
            </c:numRef>
          </c:xVal>
          <c:yVal>
            <c:numRef>
              <c:f>Venus_1.5!$J$10:$J$41</c:f>
              <c:numCache>
                <c:formatCode>General</c:formatCode>
                <c:ptCount val="32"/>
                <c:pt idx="0">
                  <c:v>92100</c:v>
                </c:pt>
                <c:pt idx="1">
                  <c:v>66650</c:v>
                </c:pt>
                <c:pt idx="2">
                  <c:v>47390</c:v>
                </c:pt>
                <c:pt idx="3">
                  <c:v>33040</c:v>
                </c:pt>
                <c:pt idx="4">
                  <c:v>22520</c:v>
                </c:pt>
                <c:pt idx="5">
                  <c:v>14930</c:v>
                </c:pt>
                <c:pt idx="6">
                  <c:v>9851</c:v>
                </c:pt>
                <c:pt idx="7">
                  <c:v>5917</c:v>
                </c:pt>
                <c:pt idx="8">
                  <c:v>3501</c:v>
                </c:pt>
                <c:pt idx="9">
                  <c:v>1979</c:v>
                </c:pt>
                <c:pt idx="10">
                  <c:v>1066</c:v>
                </c:pt>
                <c:pt idx="11">
                  <c:v>531.4</c:v>
                </c:pt>
                <c:pt idx="12">
                  <c:v>235.7</c:v>
                </c:pt>
                <c:pt idx="13">
                  <c:v>97.65</c:v>
                </c:pt>
                <c:pt idx="14">
                  <c:v>36.900000000000006</c:v>
                </c:pt>
                <c:pt idx="15">
                  <c:v>4.7600000000000007</c:v>
                </c:pt>
                <c:pt idx="16">
                  <c:v>0.37359999999999999</c:v>
                </c:pt>
                <c:pt idx="17">
                  <c:v>2.6599999999999999E-2</c:v>
                </c:pt>
              </c:numCache>
            </c:numRef>
          </c:yVal>
        </c:ser>
        <c:ser>
          <c:idx val="1"/>
          <c:order val="2"/>
          <c:spPr>
            <a:ln>
              <a:noFill/>
            </a:ln>
          </c:spPr>
          <c:marker>
            <c:symbol val="square"/>
            <c:size val="3"/>
            <c:spPr>
              <a:solidFill>
                <a:sysClr val="window" lastClr="FFFFFF"/>
              </a:solidFill>
            </c:spPr>
          </c:marker>
          <c:xVal>
            <c:numRef>
              <c:f>Venus_1.5!$D$10:$D$110</c:f>
              <c:numCache>
                <c:formatCode>General</c:formatCode>
                <c:ptCount val="101"/>
                <c:pt idx="34">
                  <c:v>455</c:v>
                </c:pt>
                <c:pt idx="35">
                  <c:v>446</c:v>
                </c:pt>
                <c:pt idx="40">
                  <c:v>407</c:v>
                </c:pt>
                <c:pt idx="46">
                  <c:v>368</c:v>
                </c:pt>
                <c:pt idx="49">
                  <c:v>346</c:v>
                </c:pt>
                <c:pt idx="52">
                  <c:v>317</c:v>
                </c:pt>
                <c:pt idx="55">
                  <c:v>288</c:v>
                </c:pt>
                <c:pt idx="58">
                  <c:v>258</c:v>
                </c:pt>
                <c:pt idx="61">
                  <c:v>240</c:v>
                </c:pt>
              </c:numCache>
            </c:numRef>
          </c:xVal>
          <c:yVal>
            <c:numRef>
              <c:f>Venus_1.5!$E$10:$E$110</c:f>
              <c:numCache>
                <c:formatCode>General</c:formatCode>
                <c:ptCount val="101"/>
                <c:pt idx="34">
                  <c:v>6400</c:v>
                </c:pt>
                <c:pt idx="35">
                  <c:v>6000</c:v>
                </c:pt>
                <c:pt idx="40">
                  <c:v>3450</c:v>
                </c:pt>
                <c:pt idx="46">
                  <c:v>1700</c:v>
                </c:pt>
                <c:pt idx="49">
                  <c:v>1135</c:v>
                </c:pt>
                <c:pt idx="52">
                  <c:v>740</c:v>
                </c:pt>
                <c:pt idx="55">
                  <c:v>460</c:v>
                </c:pt>
                <c:pt idx="58">
                  <c:v>280</c:v>
                </c:pt>
                <c:pt idx="61">
                  <c:v>155</c:v>
                </c:pt>
              </c:numCache>
            </c:numRef>
          </c:yVal>
        </c:ser>
        <c:dLbls/>
        <c:axId val="193314176"/>
        <c:axId val="193334272"/>
      </c:scatterChart>
      <c:valAx>
        <c:axId val="193314176"/>
        <c:scaling>
          <c:orientation val="minMax"/>
          <c:max val="800"/>
          <c:min val="200"/>
        </c:scaling>
        <c:axPos val="t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</a:t>
                </a:r>
              </a:p>
            </c:rich>
          </c:tx>
          <c:layout/>
        </c:title>
        <c:numFmt formatCode="General" sourceLinked="1"/>
        <c:tickLblPos val="nextTo"/>
        <c:spPr>
          <a:ln>
            <a:prstDash val="sysDot"/>
          </a:ln>
        </c:spPr>
        <c:crossAx val="193334272"/>
        <c:crosses val="autoZero"/>
        <c:crossBetween val="midCat"/>
      </c:valAx>
      <c:valAx>
        <c:axId val="193334272"/>
        <c:scaling>
          <c:logBase val="10"/>
          <c:orientation val="maxMin"/>
          <c:max val="100000"/>
          <c:min val="1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Pressure</a:t>
                </a:r>
              </a:p>
              <a:p>
                <a:pPr>
                  <a:defRPr/>
                </a:pPr>
                <a:endParaRPr lang="en-US"/>
              </a:p>
            </c:rich>
          </c:tx>
          <c:layout/>
        </c:title>
        <c:numFmt formatCode="General" sourceLinked="1"/>
        <c:tickLblPos val="nextTo"/>
        <c:crossAx val="19331417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2600455651282008"/>
          <c:y val="0.14313460817397822"/>
          <c:w val="0.17238091647274997"/>
          <c:h val="0.16666279618273525"/>
        </c:manualLayout>
      </c:layout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56771900377657"/>
          <c:y val="4.4900087489063864E-2"/>
          <c:w val="0.72628374431252518"/>
          <c:h val="0.79042589676290453"/>
        </c:manualLayout>
      </c:layout>
      <c:scatterChart>
        <c:scatterStyle val="lineMarker"/>
        <c:ser>
          <c:idx val="0"/>
          <c:order val="0"/>
          <c:tx>
            <c:strRef>
              <c:f>Venus_1.5!$A$9</c:f>
              <c:strCache>
                <c:ptCount val="1"/>
                <c:pt idx="0">
                  <c:v>Atitude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Venus_1.5!$C$10:$C$110</c:f>
              <c:numCache>
                <c:formatCode>General</c:formatCode>
                <c:ptCount val="101"/>
                <c:pt idx="0">
                  <c:v>765</c:v>
                </c:pt>
                <c:pt idx="1">
                  <c:v>756.21550289139702</c:v>
                </c:pt>
                <c:pt idx="2">
                  <c:v>747.43100578279405</c:v>
                </c:pt>
                <c:pt idx="3">
                  <c:v>738.64650867419107</c:v>
                </c:pt>
                <c:pt idx="4">
                  <c:v>729.86201156558798</c:v>
                </c:pt>
                <c:pt idx="5">
                  <c:v>721.07751445698511</c:v>
                </c:pt>
                <c:pt idx="6">
                  <c:v>712.29301734838214</c:v>
                </c:pt>
                <c:pt idx="7">
                  <c:v>703.50852023977905</c:v>
                </c:pt>
                <c:pt idx="8">
                  <c:v>694.72402313117607</c:v>
                </c:pt>
                <c:pt idx="9">
                  <c:v>685.93952602257309</c:v>
                </c:pt>
                <c:pt idx="10">
                  <c:v>677.15502891397011</c:v>
                </c:pt>
                <c:pt idx="11">
                  <c:v>668.37053180536714</c:v>
                </c:pt>
                <c:pt idx="12">
                  <c:v>659.58603469676416</c:v>
                </c:pt>
                <c:pt idx="13">
                  <c:v>650.80153758816118</c:v>
                </c:pt>
                <c:pt idx="14">
                  <c:v>642.01704047955809</c:v>
                </c:pt>
                <c:pt idx="15">
                  <c:v>633.23254337095523</c:v>
                </c:pt>
                <c:pt idx="16">
                  <c:v>624.44804626235225</c:v>
                </c:pt>
                <c:pt idx="17">
                  <c:v>615.66354915374916</c:v>
                </c:pt>
                <c:pt idx="18">
                  <c:v>606.8790520451463</c:v>
                </c:pt>
                <c:pt idx="19">
                  <c:v>598.0945549365432</c:v>
                </c:pt>
                <c:pt idx="20">
                  <c:v>589.31005782794023</c:v>
                </c:pt>
                <c:pt idx="21">
                  <c:v>580.52556071933725</c:v>
                </c:pt>
                <c:pt idx="22">
                  <c:v>571.74106361073427</c:v>
                </c:pt>
                <c:pt idx="23">
                  <c:v>562.95656650213118</c:v>
                </c:pt>
                <c:pt idx="24">
                  <c:v>554.17206939352832</c:v>
                </c:pt>
                <c:pt idx="25">
                  <c:v>545.38757228492534</c:v>
                </c:pt>
                <c:pt idx="26">
                  <c:v>536.60307517632236</c:v>
                </c:pt>
                <c:pt idx="27">
                  <c:v>527.81857806771927</c:v>
                </c:pt>
                <c:pt idx="28">
                  <c:v>519.0340809591163</c:v>
                </c:pt>
                <c:pt idx="29">
                  <c:v>510.24958385051332</c:v>
                </c:pt>
                <c:pt idx="30">
                  <c:v>501.4650867419104</c:v>
                </c:pt>
                <c:pt idx="31">
                  <c:v>492.68058963330736</c:v>
                </c:pt>
                <c:pt idx="32">
                  <c:v>483.89609252470439</c:v>
                </c:pt>
                <c:pt idx="33">
                  <c:v>475.11159541610135</c:v>
                </c:pt>
                <c:pt idx="34">
                  <c:v>466.32709830749837</c:v>
                </c:pt>
                <c:pt idx="35">
                  <c:v>457.54260119889545</c:v>
                </c:pt>
                <c:pt idx="36">
                  <c:v>448.75810409029248</c:v>
                </c:pt>
                <c:pt idx="37">
                  <c:v>439.97360698168944</c:v>
                </c:pt>
                <c:pt idx="38">
                  <c:v>431.18910987308641</c:v>
                </c:pt>
                <c:pt idx="39">
                  <c:v>422.40461276448349</c:v>
                </c:pt>
                <c:pt idx="40">
                  <c:v>413.62011565588051</c:v>
                </c:pt>
                <c:pt idx="41">
                  <c:v>404.83561854727753</c:v>
                </c:pt>
                <c:pt idx="42">
                  <c:v>396.0511214386745</c:v>
                </c:pt>
                <c:pt idx="43">
                  <c:v>387.26662433007158</c:v>
                </c:pt>
                <c:pt idx="44">
                  <c:v>378.48212722146855</c:v>
                </c:pt>
                <c:pt idx="45">
                  <c:v>369.69763011286557</c:v>
                </c:pt>
                <c:pt idx="46">
                  <c:v>360.91313300426253</c:v>
                </c:pt>
                <c:pt idx="47">
                  <c:v>352.12863589565956</c:v>
                </c:pt>
                <c:pt idx="48">
                  <c:v>343.34413878705664</c:v>
                </c:pt>
                <c:pt idx="49">
                  <c:v>334.5596416784536</c:v>
                </c:pt>
                <c:pt idx="50">
                  <c:v>325.77514456985062</c:v>
                </c:pt>
                <c:pt idx="51">
                  <c:v>316.9906474612477</c:v>
                </c:pt>
                <c:pt idx="52">
                  <c:v>308.20615035264467</c:v>
                </c:pt>
                <c:pt idx="53">
                  <c:v>299.42165324404169</c:v>
                </c:pt>
                <c:pt idx="54">
                  <c:v>290.63715613543854</c:v>
                </c:pt>
                <c:pt idx="55">
                  <c:v>281.85265902683562</c:v>
                </c:pt>
                <c:pt idx="56">
                  <c:v>273.06816191823265</c:v>
                </c:pt>
                <c:pt idx="57">
                  <c:v>264.28366480962961</c:v>
                </c:pt>
                <c:pt idx="58">
                  <c:v>255.49916770102666</c:v>
                </c:pt>
                <c:pt idx="59">
                  <c:v>246.71467059242372</c:v>
                </c:pt>
                <c:pt idx="60">
                  <c:v>237.93017348382068</c:v>
                </c:pt>
                <c:pt idx="61">
                  <c:v>229.14567637521773</c:v>
                </c:pt>
                <c:pt idx="62">
                  <c:v>220.3611792666147</c:v>
                </c:pt>
                <c:pt idx="63">
                  <c:v>211.57668215801172</c:v>
                </c:pt>
                <c:pt idx="64">
                  <c:v>202.79218504940877</c:v>
                </c:pt>
                <c:pt idx="65">
                  <c:v>194.00768794080574</c:v>
                </c:pt>
                <c:pt idx="66">
                  <c:v>185.22319083220279</c:v>
                </c:pt>
                <c:pt idx="67">
                  <c:v>176.43869372359976</c:v>
                </c:pt>
                <c:pt idx="68">
                  <c:v>167.65419661499681</c:v>
                </c:pt>
                <c:pt idx="69">
                  <c:v>158.86969950639386</c:v>
                </c:pt>
                <c:pt idx="70">
                  <c:v>150.08520239779079</c:v>
                </c:pt>
                <c:pt idx="71">
                  <c:v>141.30070528918785</c:v>
                </c:pt>
                <c:pt idx="72">
                  <c:v>132.5162081805849</c:v>
                </c:pt>
                <c:pt idx="73">
                  <c:v>123.73171107198186</c:v>
                </c:pt>
                <c:pt idx="74">
                  <c:v>114.94721396337891</c:v>
                </c:pt>
                <c:pt idx="75">
                  <c:v>106.16271685477587</c:v>
                </c:pt>
                <c:pt idx="76">
                  <c:v>97.378219746172917</c:v>
                </c:pt>
                <c:pt idx="77">
                  <c:v>88.593722637569968</c:v>
                </c:pt>
                <c:pt idx="78">
                  <c:v>79.80922552896692</c:v>
                </c:pt>
                <c:pt idx="79">
                  <c:v>71.024728420363971</c:v>
                </c:pt>
                <c:pt idx="80">
                  <c:v>62.240231311761022</c:v>
                </c:pt>
                <c:pt idx="81">
                  <c:v>53.455734203157981</c:v>
                </c:pt>
                <c:pt idx="82">
                  <c:v>44.671237094555025</c:v>
                </c:pt>
                <c:pt idx="83">
                  <c:v>35.886739985951991</c:v>
                </c:pt>
                <c:pt idx="84">
                  <c:v>27.102242877349035</c:v>
                </c:pt>
                <c:pt idx="85">
                  <c:v>18.317745768746082</c:v>
                </c:pt>
                <c:pt idx="86">
                  <c:v>9.5332486601431281</c:v>
                </c:pt>
                <c:pt idx="87">
                  <c:v>0.74875155154000561</c:v>
                </c:pt>
                <c:pt idx="88">
                  <c:v>-8.0357455570629472</c:v>
                </c:pt>
                <c:pt idx="89">
                  <c:v>-16.820242665665901</c:v>
                </c:pt>
                <c:pt idx="90">
                  <c:v>-25.604739774268854</c:v>
                </c:pt>
                <c:pt idx="91">
                  <c:v>-34.389236882871806</c:v>
                </c:pt>
                <c:pt idx="92">
                  <c:v>-43.173733991474933</c:v>
                </c:pt>
                <c:pt idx="93">
                  <c:v>-51.958231100077882</c:v>
                </c:pt>
                <c:pt idx="94">
                  <c:v>-60.742728208680838</c:v>
                </c:pt>
                <c:pt idx="95">
                  <c:v>-69.527225317283794</c:v>
                </c:pt>
                <c:pt idx="96">
                  <c:v>-78.311722425886742</c:v>
                </c:pt>
                <c:pt idx="97">
                  <c:v>-87.096219534489691</c:v>
                </c:pt>
                <c:pt idx="98">
                  <c:v>-95.880716643092825</c:v>
                </c:pt>
                <c:pt idx="99">
                  <c:v>-104.66521375169577</c:v>
                </c:pt>
                <c:pt idx="100">
                  <c:v>-113.44971086029872</c:v>
                </c:pt>
              </c:numCache>
            </c:numRef>
          </c:xVal>
          <c:yVal>
            <c:numRef>
              <c:f>Venus_1.5!$A$10:$A$110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</c:ser>
        <c:ser>
          <c:idx val="1"/>
          <c:order val="1"/>
          <c:tx>
            <c:strRef>
              <c:f>Venus_1.5!$D$9</c:f>
              <c:strCache>
                <c:ptCount val="1"/>
                <c:pt idx="0">
                  <c:v>Actual</c:v>
                </c:pt>
              </c:strCache>
            </c:strRef>
          </c:tx>
          <c:spPr>
            <a:ln>
              <a:noFill/>
            </a:ln>
          </c:spPr>
          <c:marker>
            <c:symbol val="square"/>
            <c:size val="2"/>
            <c:spPr>
              <a:solidFill>
                <a:sysClr val="window" lastClr="FFFFFF"/>
              </a:solidFill>
            </c:spPr>
          </c:marker>
          <c:xVal>
            <c:numRef>
              <c:f>Venus_1.5!$D$10:$D$110</c:f>
              <c:numCache>
                <c:formatCode>General</c:formatCode>
                <c:ptCount val="101"/>
                <c:pt idx="34">
                  <c:v>455</c:v>
                </c:pt>
                <c:pt idx="35">
                  <c:v>446</c:v>
                </c:pt>
                <c:pt idx="40">
                  <c:v>407</c:v>
                </c:pt>
                <c:pt idx="46">
                  <c:v>368</c:v>
                </c:pt>
                <c:pt idx="49">
                  <c:v>346</c:v>
                </c:pt>
                <c:pt idx="52">
                  <c:v>317</c:v>
                </c:pt>
                <c:pt idx="55">
                  <c:v>288</c:v>
                </c:pt>
                <c:pt idx="58">
                  <c:v>258</c:v>
                </c:pt>
                <c:pt idx="61">
                  <c:v>240</c:v>
                </c:pt>
              </c:numCache>
            </c:numRef>
          </c:xVal>
          <c:yVal>
            <c:numRef>
              <c:f>Venus_1.5!$A$10:$A$110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</c:ser>
        <c:dLbls/>
        <c:axId val="194209664"/>
        <c:axId val="194523136"/>
      </c:scatterChart>
      <c:valAx>
        <c:axId val="194209664"/>
        <c:scaling>
          <c:orientation val="minMax"/>
          <c:max val="500"/>
          <c:min val="10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</a:t>
                </a:r>
              </a:p>
            </c:rich>
          </c:tx>
          <c:layout/>
        </c:title>
        <c:numFmt formatCode="General" sourceLinked="1"/>
        <c:tickLblPos val="nextTo"/>
        <c:crossAx val="194523136"/>
        <c:crosses val="autoZero"/>
        <c:crossBetween val="midCat"/>
      </c:valAx>
      <c:valAx>
        <c:axId val="194523136"/>
        <c:scaling>
          <c:orientation val="minMax"/>
          <c:max val="100"/>
          <c:min val="30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Altitude</a:t>
                </a:r>
              </a:p>
            </c:rich>
          </c:tx>
          <c:layout/>
        </c:title>
        <c:numFmt formatCode="General" sourceLinked="1"/>
        <c:tickLblPos val="nextTo"/>
        <c:crossAx val="194209664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>
        <c:manualLayout>
          <c:xMode val="edge"/>
          <c:yMode val="edge"/>
          <c:x val="0.52785659145547981"/>
          <c:y val="0.39494450434146444"/>
          <c:w val="0.32196414319683397"/>
          <c:h val="8.0368503937007854E-2"/>
        </c:manualLayout>
      </c:layout>
    </c:legend>
    <c:plotVisOnly val="1"/>
    <c:dispBlanksAs val="gap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940036776863759"/>
          <c:y val="3.2534856219895596E-2"/>
          <c:w val="0.81040662807422659"/>
          <c:h val="0.84942579499662352"/>
        </c:manualLayout>
      </c:layout>
      <c:scatterChart>
        <c:scatterStyle val="lineMarker"/>
        <c:ser>
          <c:idx val="0"/>
          <c:order val="0"/>
          <c:tx>
            <c:strRef>
              <c:f>'Venus_Pressure (2)'!$A$9</c:f>
              <c:strCache>
                <c:ptCount val="1"/>
                <c:pt idx="0">
                  <c:v>Atitude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'Venus_Pressure (2)'!$B$10:$B$110</c:f>
              <c:numCache>
                <c:formatCode>General</c:formatCode>
                <c:ptCount val="101"/>
                <c:pt idx="0">
                  <c:v>92000</c:v>
                </c:pt>
                <c:pt idx="1">
                  <c:v>86223.073484520821</c:v>
                </c:pt>
                <c:pt idx="2">
                  <c:v>80751.654541358977</c:v>
                </c:pt>
                <c:pt idx="3">
                  <c:v>75572.678936014345</c:v>
                </c:pt>
                <c:pt idx="4">
                  <c:v>70673.505983965151</c:v>
                </c:pt>
                <c:pt idx="5">
                  <c:v>66041.909295522346</c:v>
                </c:pt>
                <c:pt idx="6">
                  <c:v>61666.067622927687</c:v>
                </c:pt>
                <c:pt idx="7">
                  <c:v>57534.555809694233</c:v>
                </c:pt>
                <c:pt idx="8">
                  <c:v>53636.335842190354</c:v>
                </c:pt>
                <c:pt idx="9">
                  <c:v>49960.748003466586</c:v>
                </c:pt>
                <c:pt idx="10">
                  <c:v>46497.5021293256</c:v>
                </c:pt>
                <c:pt idx="11">
                  <c:v>43236.668966635094</c:v>
                </c:pt>
                <c:pt idx="12">
                  <c:v>40168.671633884063</c:v>
                </c:pt>
                <c:pt idx="13">
                  <c:v>37284.277183981743</c:v>
                </c:pt>
                <c:pt idx="14">
                  <c:v>34574.588269299842</c:v>
                </c:pt>
                <c:pt idx="15">
                  <c:v>32031.034908957801</c:v>
                </c:pt>
                <c:pt idx="16">
                  <c:v>29645.366358350988</c:v>
                </c:pt>
                <c:pt idx="17">
                  <c:v>27409.643080922113</c:v>
                </c:pt>
                <c:pt idx="18">
                  <c:v>25316.228822175599</c:v>
                </c:pt>
                <c:pt idx="19">
                  <c:v>23357.782785935004</c:v>
                </c:pt>
                <c:pt idx="20">
                  <c:v>21527.251912843545</c:v>
                </c:pt>
                <c:pt idx="21">
                  <c:v>19817.863261107632</c:v>
                </c:pt>
                <c:pt idx="22">
                  <c:v>18223.116489483498</c:v>
                </c:pt>
                <c:pt idx="23">
                  <c:v>16736.776442506845</c:v>
                </c:pt>
                <c:pt idx="24">
                  <c:v>15352.865837965574</c:v>
                </c:pt>
                <c:pt idx="25">
                  <c:v>14065.658056615544</c:v>
                </c:pt>
                <c:pt idx="26">
                  <c:v>12869.670034139444</c:v>
                </c:pt>
                <c:pt idx="27">
                  <c:v>11759.655255348604</c:v>
                </c:pt>
                <c:pt idx="28">
                  <c:v>10730.596850627995</c:v>
                </c:pt>
                <c:pt idx="29">
                  <c:v>9777.7007946241829</c:v>
                </c:pt>
                <c:pt idx="30">
                  <c:v>8896.3892071764003</c:v>
                </c:pt>
                <c:pt idx="31">
                  <c:v>8082.2937564906315</c:v>
                </c:pt>
                <c:pt idx="32">
                  <c:v>7331.2491645567816</c:v>
                </c:pt>
                <c:pt idx="33">
                  <c:v>6639.2868148088801</c:v>
                </c:pt>
                <c:pt idx="34">
                  <c:v>6002.6284620283423</c:v>
                </c:pt>
                <c:pt idx="35">
                  <c:v>5417.6800444903001</c:v>
                </c:pt>
                <c:pt idx="36">
                  <c:v>4881.0255983529742</c:v>
                </c:pt>
                <c:pt idx="37">
                  <c:v>4389.4212742901018</c:v>
                </c:pt>
                <c:pt idx="38">
                  <c:v>3939.7894563664181</c:v>
                </c:pt>
                <c:pt idx="39">
                  <c:v>3529.2129831562065</c:v>
                </c:pt>
                <c:pt idx="40">
                  <c:v>3154.9294711048829</c:v>
                </c:pt>
                <c:pt idx="41">
                  <c:v>2814.3257401336473</c:v>
                </c:pt>
                <c:pt idx="42">
                  <c:v>2504.9323414871924</c:v>
                </c:pt>
                <c:pt idx="43">
                  <c:v>2224.4181878244544</c:v>
                </c:pt>
                <c:pt idx="44">
                  <c:v>1970.5852855524308</c:v>
                </c:pt>
                <c:pt idx="45">
                  <c:v>1741.3635694030459</c:v>
                </c:pt>
                <c:pt idx="46">
                  <c:v>1534.8058392530722</c:v>
                </c:pt>
                <c:pt idx="47">
                  <c:v>1349.0827991871213</c:v>
                </c:pt>
                <c:pt idx="48">
                  <c:v>1182.4781988036464</c:v>
                </c:pt>
                <c:pt idx="49">
                  <c:v>1033.3840767640645</c:v>
                </c:pt>
                <c:pt idx="50">
                  <c:v>900.29610658486604</c:v>
                </c:pt>
                <c:pt idx="51">
                  <c:v>781.80904467283665</c:v>
                </c:pt>
                <c:pt idx="52">
                  <c:v>676.61228060329188</c:v>
                </c:pt>
                <c:pt idx="53">
                  <c:v>583.4854896413849</c:v>
                </c:pt>
                <c:pt idx="54">
                  <c:v>501.2943875064762</c:v>
                </c:pt>
                <c:pt idx="55">
                  <c:v>428.98658737953826</c:v>
                </c:pt>
                <c:pt idx="56">
                  <c:v>365.58755915362798</c:v>
                </c:pt>
                <c:pt idx="57">
                  <c:v>310.19669092741634</c:v>
                </c:pt>
                <c:pt idx="58">
                  <c:v>261.98345274176114</c:v>
                </c:pt>
                <c:pt idx="59">
                  <c:v>220.18366255934254</c:v>
                </c:pt>
                <c:pt idx="60">
                  <c:v>184.09585448735555</c:v>
                </c:pt>
                <c:pt idx="61">
                  <c:v>153.07774924324875</c:v>
                </c:pt>
                <c:pt idx="62">
                  <c:v>126.54282686352359</c:v>
                </c:pt>
                <c:pt idx="63">
                  <c:v>103.95700165558959</c:v>
                </c:pt>
                <c:pt idx="64">
                  <c:v>84.835399392669146</c:v>
                </c:pt>
                <c:pt idx="65">
                  <c:v>68.739236751760359</c:v>
                </c:pt>
                <c:pt idx="66">
                  <c:v>55.272802994655535</c:v>
                </c:pt>
                <c:pt idx="67">
                  <c:v>44.080543892011207</c:v>
                </c:pt>
                <c:pt idx="68">
                  <c:v>34.84424789047533</c:v>
                </c:pt>
                <c:pt idx="69">
                  <c:v>27.280334522868444</c:v>
                </c:pt>
                <c:pt idx="70">
                  <c:v>21.137245061419428</c:v>
                </c:pt>
                <c:pt idx="71">
                  <c:v>16.19293541405623</c:v>
                </c:pt>
                <c:pt idx="72">
                  <c:v>12.252471263751119</c:v>
                </c:pt>
                <c:pt idx="73">
                  <c:v>9.1457254509208266</c:v>
                </c:pt>
                <c:pt idx="74">
                  <c:v>6.7251775988812712</c:v>
                </c:pt>
                <c:pt idx="75">
                  <c:v>4.8638159823571145</c:v>
                </c:pt>
                <c:pt idx="76">
                  <c:v>3.4531416390459828</c:v>
                </c:pt>
                <c:pt idx="77">
                  <c:v>2.4012747242374139</c:v>
                </c:pt>
                <c:pt idx="78">
                  <c:v>1.6311631084865497</c:v>
                </c:pt>
                <c:pt idx="79">
                  <c:v>4.3500662345710914</c:v>
                </c:pt>
                <c:pt idx="80">
                  <c:v>0.69210312013164554</c:v>
                </c:pt>
                <c:pt idx="81">
                  <c:v>0.42849784679513531</c:v>
                </c:pt>
                <c:pt idx="82">
                  <c:v>0.25446696778181066</c:v>
                </c:pt>
                <c:pt idx="83">
                  <c:v>0.14380440199532551</c:v>
                </c:pt>
                <c:pt idx="84">
                  <c:v>1.4178832351546704</c:v>
                </c:pt>
                <c:pt idx="85">
                  <c:v>3.7816212058556349E-2</c:v>
                </c:pt>
                <c:pt idx="86">
                  <c:v>1.7009892281595398E-2</c:v>
                </c:pt>
                <c:pt idx="87">
                  <c:v>0.75044815938894849</c:v>
                </c:pt>
              </c:numCache>
            </c:numRef>
          </c:xVal>
          <c:yVal>
            <c:numRef>
              <c:f>'Venus_Pressure (2)'!$A$10:$A$110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</c:numCache>
            </c:numRef>
          </c:yVal>
        </c:ser>
        <c:ser>
          <c:idx val="1"/>
          <c:order val="1"/>
          <c:tx>
            <c:strRef>
              <c:f>'Venus_Pressure (2)'!$E$9</c:f>
              <c:strCache>
                <c:ptCount val="1"/>
                <c:pt idx="0">
                  <c:v>Actual 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ysClr val="window" lastClr="FFFFFF"/>
              </a:solidFill>
            </c:spPr>
          </c:marker>
          <c:xVal>
            <c:numRef>
              <c:f>'Venus_Pressure (2)'!$E$10:$E$110</c:f>
              <c:numCache>
                <c:formatCode>General</c:formatCode>
                <c:ptCount val="101"/>
                <c:pt idx="34">
                  <c:v>6400</c:v>
                </c:pt>
                <c:pt idx="35">
                  <c:v>6000</c:v>
                </c:pt>
                <c:pt idx="40">
                  <c:v>3450</c:v>
                </c:pt>
                <c:pt idx="46">
                  <c:v>1700</c:v>
                </c:pt>
                <c:pt idx="49">
                  <c:v>1135</c:v>
                </c:pt>
                <c:pt idx="52">
                  <c:v>740</c:v>
                </c:pt>
                <c:pt idx="55">
                  <c:v>460</c:v>
                </c:pt>
                <c:pt idx="58">
                  <c:v>280</c:v>
                </c:pt>
                <c:pt idx="61">
                  <c:v>155</c:v>
                </c:pt>
              </c:numCache>
            </c:numRef>
          </c:xVal>
          <c:yVal>
            <c:numRef>
              <c:f>'Venus_Pressure (2)'!$A$10:$A$110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</c:numCache>
            </c:numRef>
          </c:yVal>
        </c:ser>
        <c:dLbls/>
        <c:axId val="195195648"/>
        <c:axId val="195197952"/>
      </c:scatterChart>
      <c:valAx>
        <c:axId val="195195648"/>
        <c:scaling>
          <c:logBase val="10"/>
          <c:orientation val="minMax"/>
          <c:max val="10000"/>
          <c:min val="1.0000000000000005E-2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Pressure</a:t>
                </a:r>
              </a:p>
            </c:rich>
          </c:tx>
          <c:layout/>
        </c:title>
        <c:numFmt formatCode="General" sourceLinked="1"/>
        <c:tickLblPos val="nextTo"/>
        <c:crossAx val="195197952"/>
        <c:crosses val="autoZero"/>
        <c:crossBetween val="midCat"/>
      </c:valAx>
      <c:valAx>
        <c:axId val="195197952"/>
        <c:scaling>
          <c:orientation val="minMax"/>
          <c:max val="100"/>
          <c:min val="30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Altitude</a:t>
                </a:r>
              </a:p>
            </c:rich>
          </c:tx>
          <c:layout>
            <c:manualLayout>
              <c:xMode val="edge"/>
              <c:yMode val="edge"/>
              <c:x val="4.2361191368994154E-2"/>
              <c:y val="0.33229314387610376"/>
            </c:manualLayout>
          </c:layout>
        </c:title>
        <c:numFmt formatCode="General" sourceLinked="1"/>
        <c:tickLblPos val="nextTo"/>
        <c:crossAx val="195195648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>
        <c:manualLayout>
          <c:xMode val="edge"/>
          <c:yMode val="edge"/>
          <c:x val="0.64177944409035681"/>
          <c:y val="0.32485949624153238"/>
          <c:w val="0.21894649275276112"/>
          <c:h val="0.1483726226529376"/>
        </c:manualLayout>
      </c:layout>
    </c:legend>
    <c:plotVisOnly val="1"/>
    <c:dispBlanksAs val="gap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9976873728935191"/>
          <c:y val="0.13226314452628918"/>
          <c:w val="0.72683857708649424"/>
          <c:h val="0.84898871512028762"/>
        </c:manualLayout>
      </c:layout>
      <c:scatterChart>
        <c:scatterStyle val="lineMarker"/>
        <c:ser>
          <c:idx val="0"/>
          <c:order val="0"/>
          <c:tx>
            <c:strRef>
              <c:f>'Venus_Pressure (2)'!$B$9</c:f>
              <c:strCache>
                <c:ptCount val="1"/>
                <c:pt idx="0">
                  <c:v>Pressure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'Venus_Pressure (2)'!$C$10:$C$97</c:f>
              <c:numCache>
                <c:formatCode>General</c:formatCode>
                <c:ptCount val="88"/>
                <c:pt idx="0">
                  <c:v>715</c:v>
                </c:pt>
                <c:pt idx="1">
                  <c:v>707.31356502997244</c:v>
                </c:pt>
                <c:pt idx="2">
                  <c:v>699.62713005994476</c:v>
                </c:pt>
                <c:pt idx="3">
                  <c:v>691.9406950899172</c:v>
                </c:pt>
                <c:pt idx="4">
                  <c:v>684.25426011988952</c:v>
                </c:pt>
                <c:pt idx="5">
                  <c:v>676.56782514986196</c:v>
                </c:pt>
                <c:pt idx="6">
                  <c:v>668.88139017983428</c:v>
                </c:pt>
                <c:pt idx="7">
                  <c:v>661.19495520980672</c:v>
                </c:pt>
                <c:pt idx="8">
                  <c:v>653.50852023977905</c:v>
                </c:pt>
                <c:pt idx="9">
                  <c:v>645.82208526975148</c:v>
                </c:pt>
                <c:pt idx="10">
                  <c:v>638.13565029972381</c:v>
                </c:pt>
                <c:pt idx="11">
                  <c:v>630.44921532969624</c:v>
                </c:pt>
                <c:pt idx="12">
                  <c:v>622.76278035966857</c:v>
                </c:pt>
                <c:pt idx="13">
                  <c:v>615.07634538964101</c:v>
                </c:pt>
                <c:pt idx="14">
                  <c:v>607.38991041961344</c:v>
                </c:pt>
                <c:pt idx="15">
                  <c:v>599.70347544958577</c:v>
                </c:pt>
                <c:pt idx="16">
                  <c:v>592.0170404795582</c:v>
                </c:pt>
                <c:pt idx="17">
                  <c:v>584.33060550953053</c:v>
                </c:pt>
                <c:pt idx="18">
                  <c:v>576.64417053950297</c:v>
                </c:pt>
                <c:pt idx="19">
                  <c:v>568.95773556947529</c:v>
                </c:pt>
                <c:pt idx="20">
                  <c:v>561.27130059944773</c:v>
                </c:pt>
                <c:pt idx="21">
                  <c:v>553.58486562942005</c:v>
                </c:pt>
                <c:pt idx="22">
                  <c:v>545.89843065939249</c:v>
                </c:pt>
                <c:pt idx="23">
                  <c:v>538.21199568936481</c:v>
                </c:pt>
                <c:pt idx="24">
                  <c:v>530.52556071933725</c:v>
                </c:pt>
                <c:pt idx="25">
                  <c:v>522.83912574930969</c:v>
                </c:pt>
                <c:pt idx="26">
                  <c:v>515.15269077928201</c:v>
                </c:pt>
                <c:pt idx="27">
                  <c:v>507.46625580925439</c:v>
                </c:pt>
                <c:pt idx="28">
                  <c:v>499.77982083922677</c:v>
                </c:pt>
                <c:pt idx="29">
                  <c:v>492.09338586919915</c:v>
                </c:pt>
                <c:pt idx="30">
                  <c:v>484.40695089917153</c:v>
                </c:pt>
                <c:pt idx="31">
                  <c:v>476.72051592914397</c:v>
                </c:pt>
                <c:pt idx="32">
                  <c:v>469.03408095911635</c:v>
                </c:pt>
                <c:pt idx="33">
                  <c:v>461.34764598908873</c:v>
                </c:pt>
                <c:pt idx="34">
                  <c:v>453.66121101906111</c:v>
                </c:pt>
                <c:pt idx="35">
                  <c:v>445.97477604903349</c:v>
                </c:pt>
                <c:pt idx="36">
                  <c:v>438.28834107900587</c:v>
                </c:pt>
                <c:pt idx="37">
                  <c:v>430.60190610897826</c:v>
                </c:pt>
                <c:pt idx="38">
                  <c:v>422.91547113895064</c:v>
                </c:pt>
                <c:pt idx="39">
                  <c:v>415.22903616892302</c:v>
                </c:pt>
                <c:pt idx="40">
                  <c:v>407.5426011988954</c:v>
                </c:pt>
                <c:pt idx="41">
                  <c:v>399.85616622886778</c:v>
                </c:pt>
                <c:pt idx="42">
                  <c:v>392.16973125884016</c:v>
                </c:pt>
                <c:pt idx="43">
                  <c:v>384.4832962888126</c:v>
                </c:pt>
                <c:pt idx="44">
                  <c:v>376.79686131878498</c:v>
                </c:pt>
                <c:pt idx="45">
                  <c:v>369.11042634875736</c:v>
                </c:pt>
                <c:pt idx="46">
                  <c:v>361.42399137872962</c:v>
                </c:pt>
                <c:pt idx="47">
                  <c:v>353.73755640870212</c:v>
                </c:pt>
                <c:pt idx="48">
                  <c:v>346.05112143867444</c:v>
                </c:pt>
                <c:pt idx="49">
                  <c:v>338.36468646864688</c:v>
                </c:pt>
                <c:pt idx="50">
                  <c:v>330.6782514986192</c:v>
                </c:pt>
                <c:pt idx="51">
                  <c:v>322.99181652859158</c:v>
                </c:pt>
                <c:pt idx="52">
                  <c:v>315.30538155856402</c:v>
                </c:pt>
                <c:pt idx="53">
                  <c:v>307.61894658853635</c:v>
                </c:pt>
                <c:pt idx="54">
                  <c:v>299.93251161850873</c:v>
                </c:pt>
                <c:pt idx="55">
                  <c:v>292.24607664848122</c:v>
                </c:pt>
                <c:pt idx="56">
                  <c:v>284.55964167845349</c:v>
                </c:pt>
                <c:pt idx="57">
                  <c:v>276.87320670842587</c:v>
                </c:pt>
                <c:pt idx="58">
                  <c:v>269.18677173839836</c:v>
                </c:pt>
                <c:pt idx="59">
                  <c:v>261.50033676837063</c:v>
                </c:pt>
                <c:pt idx="60">
                  <c:v>253.81390179834304</c:v>
                </c:pt>
                <c:pt idx="61">
                  <c:v>246.12746682831551</c:v>
                </c:pt>
                <c:pt idx="62">
                  <c:v>238.4410318582878</c:v>
                </c:pt>
                <c:pt idx="63">
                  <c:v>230.75459688826021</c:v>
                </c:pt>
                <c:pt idx="64">
                  <c:v>223.06816191823265</c:v>
                </c:pt>
                <c:pt idx="65">
                  <c:v>215.38172694820497</c:v>
                </c:pt>
                <c:pt idx="66">
                  <c:v>207.69529197817735</c:v>
                </c:pt>
                <c:pt idx="67">
                  <c:v>200.00885700814973</c:v>
                </c:pt>
                <c:pt idx="68">
                  <c:v>192.32242203812211</c:v>
                </c:pt>
                <c:pt idx="69">
                  <c:v>184.63598706809452</c:v>
                </c:pt>
                <c:pt idx="70">
                  <c:v>176.9495520980669</c:v>
                </c:pt>
                <c:pt idx="71">
                  <c:v>169.26311712803928</c:v>
                </c:pt>
                <c:pt idx="72">
                  <c:v>161.57668215801166</c:v>
                </c:pt>
                <c:pt idx="73">
                  <c:v>153.89024718798404</c:v>
                </c:pt>
                <c:pt idx="74">
                  <c:v>146.20381221795643</c:v>
                </c:pt>
                <c:pt idx="75">
                  <c:v>138.51737724792883</c:v>
                </c:pt>
                <c:pt idx="76">
                  <c:v>130.83094227790122</c:v>
                </c:pt>
                <c:pt idx="77">
                  <c:v>123.1445073078736</c:v>
                </c:pt>
                <c:pt idx="78">
                  <c:v>115.45807233784598</c:v>
                </c:pt>
                <c:pt idx="79">
                  <c:v>154.48151141644772</c:v>
                </c:pt>
                <c:pt idx="80">
                  <c:v>100.08520239779075</c:v>
                </c:pt>
                <c:pt idx="81">
                  <c:v>92.398767427763133</c:v>
                </c:pt>
                <c:pt idx="82">
                  <c:v>84.712332457735513</c:v>
                </c:pt>
                <c:pt idx="83">
                  <c:v>77.025897487707908</c:v>
                </c:pt>
                <c:pt idx="84">
                  <c:v>136.79653359792266</c:v>
                </c:pt>
                <c:pt idx="85">
                  <c:v>61.653027547652677</c:v>
                </c:pt>
                <c:pt idx="86">
                  <c:v>53.966592577625057</c:v>
                </c:pt>
                <c:pt idx="87">
                  <c:v>129.25999206504883</c:v>
                </c:pt>
              </c:numCache>
            </c:numRef>
          </c:xVal>
          <c:yVal>
            <c:numRef>
              <c:f>'Venus_Pressure (2)'!$B$10:$B$97</c:f>
              <c:numCache>
                <c:formatCode>General</c:formatCode>
                <c:ptCount val="88"/>
                <c:pt idx="0">
                  <c:v>92000</c:v>
                </c:pt>
                <c:pt idx="1">
                  <c:v>86223.073484520821</c:v>
                </c:pt>
                <c:pt idx="2">
                  <c:v>80751.654541358977</c:v>
                </c:pt>
                <c:pt idx="3">
                  <c:v>75572.678936014345</c:v>
                </c:pt>
                <c:pt idx="4">
                  <c:v>70673.505983965151</c:v>
                </c:pt>
                <c:pt idx="5">
                  <c:v>66041.909295522346</c:v>
                </c:pt>
                <c:pt idx="6">
                  <c:v>61666.067622927687</c:v>
                </c:pt>
                <c:pt idx="7">
                  <c:v>57534.555809694233</c:v>
                </c:pt>
                <c:pt idx="8">
                  <c:v>53636.335842190354</c:v>
                </c:pt>
                <c:pt idx="9">
                  <c:v>49960.748003466586</c:v>
                </c:pt>
                <c:pt idx="10">
                  <c:v>46497.5021293256</c:v>
                </c:pt>
                <c:pt idx="11">
                  <c:v>43236.668966635094</c:v>
                </c:pt>
                <c:pt idx="12">
                  <c:v>40168.671633884063</c:v>
                </c:pt>
                <c:pt idx="13">
                  <c:v>37284.277183981743</c:v>
                </c:pt>
                <c:pt idx="14">
                  <c:v>34574.588269299842</c:v>
                </c:pt>
                <c:pt idx="15">
                  <c:v>32031.034908957801</c:v>
                </c:pt>
                <c:pt idx="16">
                  <c:v>29645.366358350988</c:v>
                </c:pt>
                <c:pt idx="17">
                  <c:v>27409.643080922113</c:v>
                </c:pt>
                <c:pt idx="18">
                  <c:v>25316.228822175599</c:v>
                </c:pt>
                <c:pt idx="19">
                  <c:v>23357.782785935004</c:v>
                </c:pt>
                <c:pt idx="20">
                  <c:v>21527.251912843545</c:v>
                </c:pt>
                <c:pt idx="21">
                  <c:v>19817.863261107632</c:v>
                </c:pt>
                <c:pt idx="22">
                  <c:v>18223.116489483498</c:v>
                </c:pt>
                <c:pt idx="23">
                  <c:v>16736.776442506845</c:v>
                </c:pt>
                <c:pt idx="24">
                  <c:v>15352.865837965574</c:v>
                </c:pt>
                <c:pt idx="25">
                  <c:v>14065.658056615544</c:v>
                </c:pt>
                <c:pt idx="26">
                  <c:v>12869.670034139444</c:v>
                </c:pt>
                <c:pt idx="27">
                  <c:v>11759.655255348604</c:v>
                </c:pt>
                <c:pt idx="28">
                  <c:v>10730.596850627995</c:v>
                </c:pt>
                <c:pt idx="29">
                  <c:v>9777.7007946241829</c:v>
                </c:pt>
                <c:pt idx="30">
                  <c:v>8896.3892071764003</c:v>
                </c:pt>
                <c:pt idx="31">
                  <c:v>8082.2937564906315</c:v>
                </c:pt>
                <c:pt idx="32">
                  <c:v>7331.2491645567816</c:v>
                </c:pt>
                <c:pt idx="33">
                  <c:v>6639.2868148088801</c:v>
                </c:pt>
                <c:pt idx="34">
                  <c:v>6002.6284620283423</c:v>
                </c:pt>
                <c:pt idx="35">
                  <c:v>5417.6800444903001</c:v>
                </c:pt>
                <c:pt idx="36">
                  <c:v>4881.0255983529742</c:v>
                </c:pt>
                <c:pt idx="37">
                  <c:v>4389.4212742901018</c:v>
                </c:pt>
                <c:pt idx="38">
                  <c:v>3939.7894563664181</c:v>
                </c:pt>
                <c:pt idx="39">
                  <c:v>3529.2129831562065</c:v>
                </c:pt>
                <c:pt idx="40">
                  <c:v>3154.9294711048829</c:v>
                </c:pt>
                <c:pt idx="41">
                  <c:v>2814.3257401336473</c:v>
                </c:pt>
                <c:pt idx="42">
                  <c:v>2504.9323414871924</c:v>
                </c:pt>
                <c:pt idx="43">
                  <c:v>2224.4181878244544</c:v>
                </c:pt>
                <c:pt idx="44">
                  <c:v>1970.5852855524308</c:v>
                </c:pt>
                <c:pt idx="45">
                  <c:v>1741.3635694030459</c:v>
                </c:pt>
                <c:pt idx="46">
                  <c:v>1534.8058392530722</c:v>
                </c:pt>
                <c:pt idx="47">
                  <c:v>1349.0827991871213</c:v>
                </c:pt>
                <c:pt idx="48">
                  <c:v>1182.4781988036464</c:v>
                </c:pt>
                <c:pt idx="49">
                  <c:v>1033.3840767640645</c:v>
                </c:pt>
                <c:pt idx="50">
                  <c:v>900.29610658486604</c:v>
                </c:pt>
                <c:pt idx="51">
                  <c:v>781.80904467283665</c:v>
                </c:pt>
                <c:pt idx="52">
                  <c:v>676.61228060329188</c:v>
                </c:pt>
                <c:pt idx="53">
                  <c:v>583.4854896413849</c:v>
                </c:pt>
                <c:pt idx="54">
                  <c:v>501.2943875064762</c:v>
                </c:pt>
                <c:pt idx="55">
                  <c:v>428.98658737953826</c:v>
                </c:pt>
                <c:pt idx="56">
                  <c:v>365.58755915362798</c:v>
                </c:pt>
                <c:pt idx="57">
                  <c:v>310.19669092741634</c:v>
                </c:pt>
                <c:pt idx="58">
                  <c:v>261.98345274176114</c:v>
                </c:pt>
                <c:pt idx="59">
                  <c:v>220.18366255934254</c:v>
                </c:pt>
                <c:pt idx="60">
                  <c:v>184.09585448735555</c:v>
                </c:pt>
                <c:pt idx="61">
                  <c:v>153.07774924324875</c:v>
                </c:pt>
                <c:pt idx="62">
                  <c:v>126.54282686352359</c:v>
                </c:pt>
                <c:pt idx="63">
                  <c:v>103.95700165558959</c:v>
                </c:pt>
                <c:pt idx="64">
                  <c:v>84.835399392669146</c:v>
                </c:pt>
                <c:pt idx="65">
                  <c:v>68.739236751760359</c:v>
                </c:pt>
                <c:pt idx="66">
                  <c:v>55.272802994655535</c:v>
                </c:pt>
                <c:pt idx="67">
                  <c:v>44.080543892011207</c:v>
                </c:pt>
                <c:pt idx="68">
                  <c:v>34.84424789047533</c:v>
                </c:pt>
                <c:pt idx="69">
                  <c:v>27.280334522868444</c:v>
                </c:pt>
                <c:pt idx="70">
                  <c:v>21.137245061419428</c:v>
                </c:pt>
                <c:pt idx="71">
                  <c:v>16.19293541405623</c:v>
                </c:pt>
                <c:pt idx="72">
                  <c:v>12.252471263751119</c:v>
                </c:pt>
                <c:pt idx="73">
                  <c:v>9.1457254509208266</c:v>
                </c:pt>
                <c:pt idx="74">
                  <c:v>6.7251775988812712</c:v>
                </c:pt>
                <c:pt idx="75">
                  <c:v>4.8638159823571145</c:v>
                </c:pt>
                <c:pt idx="76">
                  <c:v>3.4531416390459828</c:v>
                </c:pt>
                <c:pt idx="77">
                  <c:v>2.4012747242374139</c:v>
                </c:pt>
                <c:pt idx="78">
                  <c:v>1.6311631084865497</c:v>
                </c:pt>
                <c:pt idx="79">
                  <c:v>4.3500662345710914</c:v>
                </c:pt>
                <c:pt idx="80">
                  <c:v>0.69210312013164554</c:v>
                </c:pt>
                <c:pt idx="81">
                  <c:v>0.42849784679513531</c:v>
                </c:pt>
                <c:pt idx="82">
                  <c:v>0.25446696778181066</c:v>
                </c:pt>
                <c:pt idx="83">
                  <c:v>0.14380440199532551</c:v>
                </c:pt>
                <c:pt idx="84">
                  <c:v>1.4178832351546704</c:v>
                </c:pt>
                <c:pt idx="85">
                  <c:v>3.7816212058556349E-2</c:v>
                </c:pt>
                <c:pt idx="86">
                  <c:v>1.7009892281595398E-2</c:v>
                </c:pt>
                <c:pt idx="87">
                  <c:v>0.75044815938894849</c:v>
                </c:pt>
              </c:numCache>
            </c:numRef>
          </c:yVal>
        </c:ser>
        <c:ser>
          <c:idx val="2"/>
          <c:order val="1"/>
          <c:tx>
            <c:v>std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ysClr val="window" lastClr="FFFFFF"/>
              </a:solidFill>
            </c:spPr>
          </c:marker>
          <c:xVal>
            <c:numRef>
              <c:f>'Venus_Pressure (2)'!$I$10:$I$39</c:f>
              <c:numCache>
                <c:formatCode>General</c:formatCode>
                <c:ptCount val="30"/>
                <c:pt idx="0">
                  <c:v>735</c:v>
                </c:pt>
                <c:pt idx="1">
                  <c:v>697</c:v>
                </c:pt>
                <c:pt idx="2">
                  <c:v>658</c:v>
                </c:pt>
                <c:pt idx="3">
                  <c:v>621</c:v>
                </c:pt>
                <c:pt idx="4">
                  <c:v>579</c:v>
                </c:pt>
                <c:pt idx="5">
                  <c:v>537</c:v>
                </c:pt>
                <c:pt idx="6">
                  <c:v>495</c:v>
                </c:pt>
                <c:pt idx="7">
                  <c:v>453</c:v>
                </c:pt>
                <c:pt idx="8">
                  <c:v>416</c:v>
                </c:pt>
                <c:pt idx="9">
                  <c:v>383</c:v>
                </c:pt>
                <c:pt idx="10">
                  <c:v>348</c:v>
                </c:pt>
                <c:pt idx="11">
                  <c:v>300</c:v>
                </c:pt>
                <c:pt idx="12">
                  <c:v>263</c:v>
                </c:pt>
                <c:pt idx="13">
                  <c:v>243</c:v>
                </c:pt>
                <c:pt idx="14">
                  <c:v>230</c:v>
                </c:pt>
                <c:pt idx="15">
                  <c:v>197</c:v>
                </c:pt>
                <c:pt idx="16">
                  <c:v>169</c:v>
                </c:pt>
                <c:pt idx="17">
                  <c:v>161</c:v>
                </c:pt>
              </c:numCache>
            </c:numRef>
          </c:xVal>
          <c:yVal>
            <c:numRef>
              <c:f>'Venus_Pressure (2)'!$J$10:$J$41</c:f>
              <c:numCache>
                <c:formatCode>General</c:formatCode>
                <c:ptCount val="32"/>
                <c:pt idx="0">
                  <c:v>92100</c:v>
                </c:pt>
                <c:pt idx="1">
                  <c:v>66650</c:v>
                </c:pt>
                <c:pt idx="2">
                  <c:v>47390</c:v>
                </c:pt>
                <c:pt idx="3">
                  <c:v>33040</c:v>
                </c:pt>
                <c:pt idx="4">
                  <c:v>22520</c:v>
                </c:pt>
                <c:pt idx="5">
                  <c:v>14930</c:v>
                </c:pt>
                <c:pt idx="6">
                  <c:v>9851</c:v>
                </c:pt>
                <c:pt idx="7">
                  <c:v>5917</c:v>
                </c:pt>
                <c:pt idx="8">
                  <c:v>3501</c:v>
                </c:pt>
                <c:pt idx="9">
                  <c:v>1979</c:v>
                </c:pt>
                <c:pt idx="10">
                  <c:v>1066</c:v>
                </c:pt>
                <c:pt idx="11">
                  <c:v>531.4</c:v>
                </c:pt>
                <c:pt idx="12">
                  <c:v>235.7</c:v>
                </c:pt>
                <c:pt idx="13">
                  <c:v>97.65</c:v>
                </c:pt>
                <c:pt idx="14">
                  <c:v>36.900000000000006</c:v>
                </c:pt>
                <c:pt idx="15">
                  <c:v>4.7600000000000007</c:v>
                </c:pt>
                <c:pt idx="16">
                  <c:v>0.37359999999999999</c:v>
                </c:pt>
                <c:pt idx="17">
                  <c:v>2.6599999999999999E-2</c:v>
                </c:pt>
              </c:numCache>
            </c:numRef>
          </c:yVal>
        </c:ser>
        <c:ser>
          <c:idx val="1"/>
          <c:order val="2"/>
          <c:spPr>
            <a:ln>
              <a:noFill/>
            </a:ln>
          </c:spPr>
          <c:marker>
            <c:symbol val="square"/>
            <c:size val="3"/>
            <c:spPr>
              <a:solidFill>
                <a:sysClr val="window" lastClr="FFFFFF"/>
              </a:solidFill>
            </c:spPr>
          </c:marker>
          <c:xVal>
            <c:numRef>
              <c:f>'Venus_Pressure (2)'!$D$10:$D$110</c:f>
              <c:numCache>
                <c:formatCode>General</c:formatCode>
                <c:ptCount val="101"/>
                <c:pt idx="34">
                  <c:v>455</c:v>
                </c:pt>
                <c:pt idx="35">
                  <c:v>446</c:v>
                </c:pt>
                <c:pt idx="40">
                  <c:v>407</c:v>
                </c:pt>
                <c:pt idx="46">
                  <c:v>368</c:v>
                </c:pt>
                <c:pt idx="49">
                  <c:v>346</c:v>
                </c:pt>
                <c:pt idx="52">
                  <c:v>317</c:v>
                </c:pt>
                <c:pt idx="55">
                  <c:v>288</c:v>
                </c:pt>
                <c:pt idx="58">
                  <c:v>258</c:v>
                </c:pt>
                <c:pt idx="61">
                  <c:v>240</c:v>
                </c:pt>
                <c:pt idx="79">
                  <c:v>6.5</c:v>
                </c:pt>
                <c:pt idx="84">
                  <c:v>6.7</c:v>
                </c:pt>
              </c:numCache>
            </c:numRef>
          </c:xVal>
          <c:yVal>
            <c:numRef>
              <c:f>'Venus_Pressure (2)'!$E$10:$E$110</c:f>
              <c:numCache>
                <c:formatCode>General</c:formatCode>
                <c:ptCount val="101"/>
                <c:pt idx="34">
                  <c:v>6400</c:v>
                </c:pt>
                <c:pt idx="35">
                  <c:v>6000</c:v>
                </c:pt>
                <c:pt idx="40">
                  <c:v>3450</c:v>
                </c:pt>
                <c:pt idx="46">
                  <c:v>1700</c:v>
                </c:pt>
                <c:pt idx="49">
                  <c:v>1135</c:v>
                </c:pt>
                <c:pt idx="52">
                  <c:v>740</c:v>
                </c:pt>
                <c:pt idx="55">
                  <c:v>460</c:v>
                </c:pt>
                <c:pt idx="58">
                  <c:v>280</c:v>
                </c:pt>
                <c:pt idx="61">
                  <c:v>155</c:v>
                </c:pt>
              </c:numCache>
            </c:numRef>
          </c:yVal>
        </c:ser>
        <c:dLbls/>
        <c:axId val="196907776"/>
        <c:axId val="196909696"/>
      </c:scatterChart>
      <c:valAx>
        <c:axId val="196907776"/>
        <c:scaling>
          <c:orientation val="minMax"/>
          <c:max val="800"/>
          <c:min val="200"/>
        </c:scaling>
        <c:axPos val="t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</a:t>
                </a:r>
              </a:p>
            </c:rich>
          </c:tx>
          <c:layout>
            <c:manualLayout>
              <c:xMode val="edge"/>
              <c:yMode val="edge"/>
              <c:x val="0.52789493116242736"/>
              <c:y val="3.2356762640091151E-2"/>
            </c:manualLayout>
          </c:layout>
        </c:title>
        <c:numFmt formatCode="General" sourceLinked="1"/>
        <c:tickLblPos val="nextTo"/>
        <c:spPr>
          <a:ln>
            <a:prstDash val="sysDot"/>
          </a:ln>
        </c:spPr>
        <c:crossAx val="196909696"/>
        <c:crosses val="autoZero"/>
        <c:crossBetween val="midCat"/>
      </c:valAx>
      <c:valAx>
        <c:axId val="196909696"/>
        <c:scaling>
          <c:logBase val="10"/>
          <c:orientation val="maxMin"/>
          <c:max val="100000"/>
          <c:min val="1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Pressure</a:t>
                </a:r>
              </a:p>
              <a:p>
                <a:pPr>
                  <a:defRPr/>
                </a:pPr>
                <a:endParaRPr lang="en-US"/>
              </a:p>
            </c:rich>
          </c:tx>
          <c:layout/>
        </c:title>
        <c:numFmt formatCode="General" sourceLinked="1"/>
        <c:tickLblPos val="nextTo"/>
        <c:crossAx val="19690777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260045565128203"/>
          <c:y val="0.14313460817397822"/>
          <c:w val="0.17238091647274997"/>
          <c:h val="0.1666627961827353"/>
        </c:manualLayout>
      </c:layout>
    </c:legend>
    <c:plotVisOnly val="1"/>
    <c:dispBlanksAs val="gap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56771900377657"/>
          <c:y val="4.4900087489063864E-2"/>
          <c:w val="0.72628374431252518"/>
          <c:h val="0.79042589676290453"/>
        </c:manualLayout>
      </c:layout>
      <c:scatterChart>
        <c:scatterStyle val="lineMarker"/>
        <c:ser>
          <c:idx val="0"/>
          <c:order val="0"/>
          <c:tx>
            <c:strRef>
              <c:f>'Venus_Pressure (2)'!$A$9</c:f>
              <c:strCache>
                <c:ptCount val="1"/>
                <c:pt idx="0">
                  <c:v>Atitude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'Venus_Pressure (2)'!$C$10:$C$110</c:f>
              <c:numCache>
                <c:formatCode>General</c:formatCode>
                <c:ptCount val="101"/>
                <c:pt idx="0">
                  <c:v>715</c:v>
                </c:pt>
                <c:pt idx="1">
                  <c:v>707.31356502997244</c:v>
                </c:pt>
                <c:pt idx="2">
                  <c:v>699.62713005994476</c:v>
                </c:pt>
                <c:pt idx="3">
                  <c:v>691.9406950899172</c:v>
                </c:pt>
                <c:pt idx="4">
                  <c:v>684.25426011988952</c:v>
                </c:pt>
                <c:pt idx="5">
                  <c:v>676.56782514986196</c:v>
                </c:pt>
                <c:pt idx="6">
                  <c:v>668.88139017983428</c:v>
                </c:pt>
                <c:pt idx="7">
                  <c:v>661.19495520980672</c:v>
                </c:pt>
                <c:pt idx="8">
                  <c:v>653.50852023977905</c:v>
                </c:pt>
                <c:pt idx="9">
                  <c:v>645.82208526975148</c:v>
                </c:pt>
                <c:pt idx="10">
                  <c:v>638.13565029972381</c:v>
                </c:pt>
                <c:pt idx="11">
                  <c:v>630.44921532969624</c:v>
                </c:pt>
                <c:pt idx="12">
                  <c:v>622.76278035966857</c:v>
                </c:pt>
                <c:pt idx="13">
                  <c:v>615.07634538964101</c:v>
                </c:pt>
                <c:pt idx="14">
                  <c:v>607.38991041961344</c:v>
                </c:pt>
                <c:pt idx="15">
                  <c:v>599.70347544958577</c:v>
                </c:pt>
                <c:pt idx="16">
                  <c:v>592.0170404795582</c:v>
                </c:pt>
                <c:pt idx="17">
                  <c:v>584.33060550953053</c:v>
                </c:pt>
                <c:pt idx="18">
                  <c:v>576.64417053950297</c:v>
                </c:pt>
                <c:pt idx="19">
                  <c:v>568.95773556947529</c:v>
                </c:pt>
                <c:pt idx="20">
                  <c:v>561.27130059944773</c:v>
                </c:pt>
                <c:pt idx="21">
                  <c:v>553.58486562942005</c:v>
                </c:pt>
                <c:pt idx="22">
                  <c:v>545.89843065939249</c:v>
                </c:pt>
                <c:pt idx="23">
                  <c:v>538.21199568936481</c:v>
                </c:pt>
                <c:pt idx="24">
                  <c:v>530.52556071933725</c:v>
                </c:pt>
                <c:pt idx="25">
                  <c:v>522.83912574930969</c:v>
                </c:pt>
                <c:pt idx="26">
                  <c:v>515.15269077928201</c:v>
                </c:pt>
                <c:pt idx="27">
                  <c:v>507.46625580925439</c:v>
                </c:pt>
                <c:pt idx="28">
                  <c:v>499.77982083922677</c:v>
                </c:pt>
                <c:pt idx="29">
                  <c:v>492.09338586919915</c:v>
                </c:pt>
                <c:pt idx="30">
                  <c:v>484.40695089917153</c:v>
                </c:pt>
                <c:pt idx="31">
                  <c:v>476.72051592914397</c:v>
                </c:pt>
                <c:pt idx="32">
                  <c:v>469.03408095911635</c:v>
                </c:pt>
                <c:pt idx="33">
                  <c:v>461.34764598908873</c:v>
                </c:pt>
                <c:pt idx="34">
                  <c:v>453.66121101906111</c:v>
                </c:pt>
                <c:pt idx="35">
                  <c:v>445.97477604903349</c:v>
                </c:pt>
                <c:pt idx="36">
                  <c:v>438.28834107900587</c:v>
                </c:pt>
                <c:pt idx="37">
                  <c:v>430.60190610897826</c:v>
                </c:pt>
                <c:pt idx="38">
                  <c:v>422.91547113895064</c:v>
                </c:pt>
                <c:pt idx="39">
                  <c:v>415.22903616892302</c:v>
                </c:pt>
                <c:pt idx="40">
                  <c:v>407.5426011988954</c:v>
                </c:pt>
                <c:pt idx="41">
                  <c:v>399.85616622886778</c:v>
                </c:pt>
                <c:pt idx="42">
                  <c:v>392.16973125884016</c:v>
                </c:pt>
                <c:pt idx="43">
                  <c:v>384.4832962888126</c:v>
                </c:pt>
                <c:pt idx="44">
                  <c:v>376.79686131878498</c:v>
                </c:pt>
                <c:pt idx="45">
                  <c:v>369.11042634875736</c:v>
                </c:pt>
                <c:pt idx="46">
                  <c:v>361.42399137872962</c:v>
                </c:pt>
                <c:pt idx="47">
                  <c:v>353.73755640870212</c:v>
                </c:pt>
                <c:pt idx="48">
                  <c:v>346.05112143867444</c:v>
                </c:pt>
                <c:pt idx="49">
                  <c:v>338.36468646864688</c:v>
                </c:pt>
                <c:pt idx="50">
                  <c:v>330.6782514986192</c:v>
                </c:pt>
                <c:pt idx="51">
                  <c:v>322.99181652859158</c:v>
                </c:pt>
                <c:pt idx="52">
                  <c:v>315.30538155856402</c:v>
                </c:pt>
                <c:pt idx="53">
                  <c:v>307.61894658853635</c:v>
                </c:pt>
                <c:pt idx="54">
                  <c:v>299.93251161850873</c:v>
                </c:pt>
                <c:pt idx="55">
                  <c:v>292.24607664848122</c:v>
                </c:pt>
                <c:pt idx="56">
                  <c:v>284.55964167845349</c:v>
                </c:pt>
                <c:pt idx="57">
                  <c:v>276.87320670842587</c:v>
                </c:pt>
                <c:pt idx="58">
                  <c:v>269.18677173839836</c:v>
                </c:pt>
                <c:pt idx="59">
                  <c:v>261.50033676837063</c:v>
                </c:pt>
                <c:pt idx="60">
                  <c:v>253.81390179834304</c:v>
                </c:pt>
                <c:pt idx="61">
                  <c:v>246.12746682831551</c:v>
                </c:pt>
                <c:pt idx="62">
                  <c:v>238.4410318582878</c:v>
                </c:pt>
                <c:pt idx="63">
                  <c:v>230.75459688826021</c:v>
                </c:pt>
                <c:pt idx="64">
                  <c:v>223.06816191823265</c:v>
                </c:pt>
                <c:pt idx="65">
                  <c:v>215.38172694820497</c:v>
                </c:pt>
                <c:pt idx="66">
                  <c:v>207.69529197817735</c:v>
                </c:pt>
                <c:pt idx="67">
                  <c:v>200.00885700814973</c:v>
                </c:pt>
                <c:pt idx="68">
                  <c:v>192.32242203812211</c:v>
                </c:pt>
                <c:pt idx="69">
                  <c:v>184.63598706809452</c:v>
                </c:pt>
                <c:pt idx="70">
                  <c:v>176.9495520980669</c:v>
                </c:pt>
                <c:pt idx="71">
                  <c:v>169.26311712803928</c:v>
                </c:pt>
                <c:pt idx="72">
                  <c:v>161.57668215801166</c:v>
                </c:pt>
                <c:pt idx="73">
                  <c:v>153.89024718798404</c:v>
                </c:pt>
                <c:pt idx="74">
                  <c:v>146.20381221795643</c:v>
                </c:pt>
                <c:pt idx="75">
                  <c:v>138.51737724792883</c:v>
                </c:pt>
                <c:pt idx="76">
                  <c:v>130.83094227790122</c:v>
                </c:pt>
                <c:pt idx="77">
                  <c:v>123.1445073078736</c:v>
                </c:pt>
                <c:pt idx="78">
                  <c:v>115.45807233784598</c:v>
                </c:pt>
                <c:pt idx="79">
                  <c:v>154.48151141644772</c:v>
                </c:pt>
                <c:pt idx="80">
                  <c:v>100.08520239779075</c:v>
                </c:pt>
                <c:pt idx="81">
                  <c:v>92.398767427763133</c:v>
                </c:pt>
                <c:pt idx="82">
                  <c:v>84.712332457735513</c:v>
                </c:pt>
                <c:pt idx="83">
                  <c:v>77.025897487707908</c:v>
                </c:pt>
                <c:pt idx="84">
                  <c:v>136.79653359792266</c:v>
                </c:pt>
                <c:pt idx="85">
                  <c:v>61.653027547652677</c:v>
                </c:pt>
                <c:pt idx="86">
                  <c:v>53.966592577625057</c:v>
                </c:pt>
                <c:pt idx="87">
                  <c:v>129.25999206504883</c:v>
                </c:pt>
              </c:numCache>
            </c:numRef>
          </c:xVal>
          <c:yVal>
            <c:numRef>
              <c:f>'Venus_Pressure (2)'!$A$10:$A$110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</c:numCache>
            </c:numRef>
          </c:yVal>
        </c:ser>
        <c:ser>
          <c:idx val="1"/>
          <c:order val="1"/>
          <c:tx>
            <c:strRef>
              <c:f>'Venus_Pressure (2)'!$D$9</c:f>
              <c:strCache>
                <c:ptCount val="1"/>
                <c:pt idx="0">
                  <c:v>Actual</c:v>
                </c:pt>
              </c:strCache>
            </c:strRef>
          </c:tx>
          <c:spPr>
            <a:ln>
              <a:noFill/>
            </a:ln>
          </c:spPr>
          <c:marker>
            <c:symbol val="square"/>
            <c:size val="2"/>
            <c:spPr>
              <a:solidFill>
                <a:sysClr val="window" lastClr="FFFFFF"/>
              </a:solidFill>
            </c:spPr>
          </c:marker>
          <c:xVal>
            <c:numRef>
              <c:f>'Venus_Pressure (2)'!$D$10:$D$110</c:f>
              <c:numCache>
                <c:formatCode>General</c:formatCode>
                <c:ptCount val="101"/>
                <c:pt idx="34">
                  <c:v>455</c:v>
                </c:pt>
                <c:pt idx="35">
                  <c:v>446</c:v>
                </c:pt>
                <c:pt idx="40">
                  <c:v>407</c:v>
                </c:pt>
                <c:pt idx="46">
                  <c:v>368</c:v>
                </c:pt>
                <c:pt idx="49">
                  <c:v>346</c:v>
                </c:pt>
                <c:pt idx="52">
                  <c:v>317</c:v>
                </c:pt>
                <c:pt idx="55">
                  <c:v>288</c:v>
                </c:pt>
                <c:pt idx="58">
                  <c:v>258</c:v>
                </c:pt>
                <c:pt idx="61">
                  <c:v>240</c:v>
                </c:pt>
                <c:pt idx="79">
                  <c:v>6.5</c:v>
                </c:pt>
                <c:pt idx="84">
                  <c:v>6.7</c:v>
                </c:pt>
              </c:numCache>
            </c:numRef>
          </c:xVal>
          <c:yVal>
            <c:numRef>
              <c:f>'Venus_Pressure (2)'!$A$10:$A$110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</c:numCache>
            </c:numRef>
          </c:yVal>
        </c:ser>
        <c:dLbls/>
        <c:axId val="210385152"/>
        <c:axId val="210449920"/>
      </c:scatterChart>
      <c:valAx>
        <c:axId val="210385152"/>
        <c:scaling>
          <c:orientation val="minMax"/>
          <c:max val="500"/>
          <c:min val="10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</a:t>
                </a:r>
              </a:p>
            </c:rich>
          </c:tx>
          <c:layout/>
        </c:title>
        <c:numFmt formatCode="General" sourceLinked="1"/>
        <c:tickLblPos val="nextTo"/>
        <c:crossAx val="210449920"/>
        <c:crosses val="autoZero"/>
        <c:crossBetween val="midCat"/>
      </c:valAx>
      <c:valAx>
        <c:axId val="210449920"/>
        <c:scaling>
          <c:orientation val="minMax"/>
          <c:max val="100"/>
          <c:min val="30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Altitude</a:t>
                </a:r>
              </a:p>
            </c:rich>
          </c:tx>
          <c:layout/>
        </c:title>
        <c:numFmt formatCode="General" sourceLinked="1"/>
        <c:tickLblPos val="nextTo"/>
        <c:crossAx val="210385152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>
        <c:manualLayout>
          <c:xMode val="edge"/>
          <c:yMode val="edge"/>
          <c:x val="0.52785659145547981"/>
          <c:y val="0.39494450434146466"/>
          <c:w val="0.32196414319683414"/>
          <c:h val="8.0368503937007854E-2"/>
        </c:manualLayout>
      </c:layout>
    </c:legend>
    <c:plotVisOnly val="1"/>
    <c:dispBlanksAs val="gap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'specific heat'!$A$5:$A$26</c:f>
              <c:numCache>
                <c:formatCode>General</c:formatCode>
                <c:ptCount val="22"/>
                <c:pt idx="0">
                  <c:v>175</c:v>
                </c:pt>
                <c:pt idx="1">
                  <c:v>200</c:v>
                </c:pt>
                <c:pt idx="2">
                  <c:v>225</c:v>
                </c:pt>
                <c:pt idx="3">
                  <c:v>250</c:v>
                </c:pt>
                <c:pt idx="4">
                  <c:v>275</c:v>
                </c:pt>
                <c:pt idx="5">
                  <c:v>300</c:v>
                </c:pt>
                <c:pt idx="6">
                  <c:v>325</c:v>
                </c:pt>
                <c:pt idx="7">
                  <c:v>350</c:v>
                </c:pt>
                <c:pt idx="8">
                  <c:v>375</c:v>
                </c:pt>
                <c:pt idx="9">
                  <c:v>400</c:v>
                </c:pt>
                <c:pt idx="10">
                  <c:v>450</c:v>
                </c:pt>
                <c:pt idx="11">
                  <c:v>500</c:v>
                </c:pt>
                <c:pt idx="12">
                  <c:v>550</c:v>
                </c:pt>
                <c:pt idx="13">
                  <c:v>600</c:v>
                </c:pt>
                <c:pt idx="14">
                  <c:v>650</c:v>
                </c:pt>
                <c:pt idx="15">
                  <c:v>700</c:v>
                </c:pt>
                <c:pt idx="16">
                  <c:v>750</c:v>
                </c:pt>
                <c:pt idx="17">
                  <c:v>800</c:v>
                </c:pt>
                <c:pt idx="18">
                  <c:v>850</c:v>
                </c:pt>
                <c:pt idx="19">
                  <c:v>900</c:v>
                </c:pt>
                <c:pt idx="20">
                  <c:v>950</c:v>
                </c:pt>
                <c:pt idx="21">
                  <c:v>1000</c:v>
                </c:pt>
              </c:numCache>
            </c:numRef>
          </c:xVal>
          <c:yVal>
            <c:numRef>
              <c:f>'specific heat'!$E$5:$E$26</c:f>
              <c:numCache>
                <c:formatCode>General</c:formatCode>
                <c:ptCount val="22"/>
                <c:pt idx="0">
                  <c:v>3.7522251623767136</c:v>
                </c:pt>
                <c:pt idx="1">
                  <c:v>3.88982439259081</c:v>
                </c:pt>
                <c:pt idx="2">
                  <c:v>4.0380081789752227</c:v>
                </c:pt>
                <c:pt idx="3">
                  <c:v>4.1861919653596349</c:v>
                </c:pt>
                <c:pt idx="4">
                  <c:v>4.3343757517440462</c:v>
                </c:pt>
                <c:pt idx="5">
                  <c:v>4.4772672600433001</c:v>
                </c:pt>
                <c:pt idx="6">
                  <c:v>4.6095742121722392</c:v>
                </c:pt>
                <c:pt idx="7">
                  <c:v>4.7365888862160217</c:v>
                </c:pt>
                <c:pt idx="8">
                  <c:v>4.8583112821746459</c:v>
                </c:pt>
                <c:pt idx="9">
                  <c:v>4.9694491219629535</c:v>
                </c:pt>
                <c:pt idx="10">
                  <c:v>5.1758479672840982</c:v>
                </c:pt>
                <c:pt idx="11">
                  <c:v>5.3663699783497716</c:v>
                </c:pt>
                <c:pt idx="12">
                  <c:v>5.5357228770748135</c:v>
                </c:pt>
                <c:pt idx="13">
                  <c:v>5.6891989415443822</c:v>
                </c:pt>
                <c:pt idx="14">
                  <c:v>5.8320904498436379</c:v>
                </c:pt>
                <c:pt idx="15">
                  <c:v>5.9591051238874186</c:v>
                </c:pt>
                <c:pt idx="16">
                  <c:v>6.0755352417608846</c:v>
                </c:pt>
                <c:pt idx="17">
                  <c:v>6.1813808034640356</c:v>
                </c:pt>
                <c:pt idx="18">
                  <c:v>6.2819340870820302</c:v>
                </c:pt>
                <c:pt idx="19">
                  <c:v>6.371902814529709</c:v>
                </c:pt>
                <c:pt idx="20">
                  <c:v>6.4565792638922295</c:v>
                </c:pt>
                <c:pt idx="21">
                  <c:v>6.530671157084436</c:v>
                </c:pt>
              </c:numCache>
            </c:numRef>
          </c:yVal>
        </c:ser>
        <c:ser>
          <c:idx val="1"/>
          <c:order val="1"/>
          <c:marker>
            <c:symbol val="none"/>
          </c:marker>
          <c:xVal>
            <c:numRef>
              <c:f>'specific heat'!$A$5:$A$26</c:f>
              <c:numCache>
                <c:formatCode>General</c:formatCode>
                <c:ptCount val="22"/>
                <c:pt idx="0">
                  <c:v>175</c:v>
                </c:pt>
                <c:pt idx="1">
                  <c:v>200</c:v>
                </c:pt>
                <c:pt idx="2">
                  <c:v>225</c:v>
                </c:pt>
                <c:pt idx="3">
                  <c:v>250</c:v>
                </c:pt>
                <c:pt idx="4">
                  <c:v>275</c:v>
                </c:pt>
                <c:pt idx="5">
                  <c:v>300</c:v>
                </c:pt>
                <c:pt idx="6">
                  <c:v>325</c:v>
                </c:pt>
                <c:pt idx="7">
                  <c:v>350</c:v>
                </c:pt>
                <c:pt idx="8">
                  <c:v>375</c:v>
                </c:pt>
                <c:pt idx="9">
                  <c:v>400</c:v>
                </c:pt>
                <c:pt idx="10">
                  <c:v>450</c:v>
                </c:pt>
                <c:pt idx="11">
                  <c:v>500</c:v>
                </c:pt>
                <c:pt idx="12">
                  <c:v>550</c:v>
                </c:pt>
                <c:pt idx="13">
                  <c:v>600</c:v>
                </c:pt>
                <c:pt idx="14">
                  <c:v>650</c:v>
                </c:pt>
                <c:pt idx="15">
                  <c:v>700</c:v>
                </c:pt>
                <c:pt idx="16">
                  <c:v>750</c:v>
                </c:pt>
                <c:pt idx="17">
                  <c:v>800</c:v>
                </c:pt>
                <c:pt idx="18">
                  <c:v>850</c:v>
                </c:pt>
                <c:pt idx="19">
                  <c:v>900</c:v>
                </c:pt>
                <c:pt idx="20">
                  <c:v>950</c:v>
                </c:pt>
                <c:pt idx="21">
                  <c:v>1000</c:v>
                </c:pt>
              </c:numCache>
            </c:numRef>
          </c:xVal>
          <c:yVal>
            <c:numRef>
              <c:f>'specific heat'!$D$5:$D$26</c:f>
              <c:numCache>
                <c:formatCode>General</c:formatCode>
                <c:ptCount val="22"/>
                <c:pt idx="0">
                  <c:v>3.6853234087354076</c:v>
                </c:pt>
                <c:pt idx="1">
                  <c:v>3.8528927858130899</c:v>
                </c:pt>
                <c:pt idx="2">
                  <c:v>4.007012655401808</c:v>
                </c:pt>
                <c:pt idx="3">
                  <c:v>4.1500942369619356</c:v>
                </c:pt>
                <c:pt idx="4">
                  <c:v>4.2839236554126003</c:v>
                </c:pt>
                <c:pt idx="5">
                  <c:v>4.4098651911833375</c:v>
                </c:pt>
                <c:pt idx="6">
                  <c:v>4.528987215466536</c:v>
                </c:pt>
                <c:pt idx="7">
                  <c:v>4.642143851445061</c:v>
                </c:pt>
                <c:pt idx="8">
                  <c:v>4.7500299471340766</c:v>
                </c:pt>
                <c:pt idx="9">
                  <c:v>4.8532192625332211</c:v>
                </c:pt>
                <c:pt idx="10">
                  <c:v>5.0473532707727546</c:v>
                </c:pt>
                <c:pt idx="11">
                  <c:v>5.2275831204841809</c:v>
                </c:pt>
                <c:pt idx="12">
                  <c:v>5.3961586681635607</c:v>
                </c:pt>
                <c:pt idx="13">
                  <c:v>5.5547984023410031</c:v>
                </c:pt>
                <c:pt idx="14">
                  <c:v>5.7048480754001423</c:v>
                </c:pt>
                <c:pt idx="15">
                  <c:v>5.8473835665086877</c:v>
                </c:pt>
                <c:pt idx="16">
                  <c:v>5.9832801270580438</c:v>
                </c:pt>
                <c:pt idx="17">
                  <c:v>6.113260482345054</c:v>
                </c:pt>
                <c:pt idx="18">
                  <c:v>6.2379291506394203</c:v>
                </c:pt>
                <c:pt idx="19">
                  <c:v>6.3577974992509292</c:v>
                </c:pt>
                <c:pt idx="20">
                  <c:v>6.4733024084377222</c:v>
                </c:pt>
                <c:pt idx="21">
                  <c:v>6.5848204212288524</c:v>
                </c:pt>
              </c:numCache>
            </c:numRef>
          </c:yVal>
        </c:ser>
        <c:axId val="184179712"/>
        <c:axId val="184178176"/>
      </c:scatterChart>
      <c:valAx>
        <c:axId val="184179712"/>
        <c:scaling>
          <c:orientation val="minMax"/>
        </c:scaling>
        <c:axPos val="b"/>
        <c:numFmt formatCode="General" sourceLinked="1"/>
        <c:tickLblPos val="nextTo"/>
        <c:crossAx val="184178176"/>
        <c:crosses val="autoZero"/>
        <c:crossBetween val="midCat"/>
      </c:valAx>
      <c:valAx>
        <c:axId val="184178176"/>
        <c:scaling>
          <c:orientation val="minMax"/>
        </c:scaling>
        <c:axPos val="l"/>
        <c:majorGridlines/>
        <c:numFmt formatCode="General" sourceLinked="1"/>
        <c:tickLblPos val="nextTo"/>
        <c:crossAx val="18417971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'specific heat'!$B$5:$B$26</c:f>
              <c:numCache>
                <c:formatCode>General</c:formatCode>
                <c:ptCount val="22"/>
                <c:pt idx="0">
                  <c:v>3.6371357625641298</c:v>
                </c:pt>
                <c:pt idx="1">
                  <c:v>3.7606030930863934</c:v>
                </c:pt>
                <c:pt idx="2">
                  <c:v>3.872983346207417</c:v>
                </c:pt>
                <c:pt idx="3">
                  <c:v>3.9763536438352531</c:v>
                </c:pt>
                <c:pt idx="4">
                  <c:v>4.0722381992924976</c:v>
                </c:pt>
                <c:pt idx="5">
                  <c:v>4.1617914502878168</c:v>
                </c:pt>
                <c:pt idx="6">
                  <c:v>4.2459105474938994</c:v>
                </c:pt>
                <c:pt idx="7">
                  <c:v>4.3253077270721105</c:v>
                </c:pt>
                <c:pt idx="8">
                  <c:v>4.4005586839669668</c:v>
                </c:pt>
                <c:pt idx="9">
                  <c:v>4.4721359549995787</c:v>
                </c:pt>
                <c:pt idx="10">
                  <c:v>4.6057793515969072</c:v>
                </c:pt>
                <c:pt idx="11">
                  <c:v>4.7287080450158783</c:v>
                </c:pt>
                <c:pt idx="12">
                  <c:v>4.8427346405845055</c:v>
                </c:pt>
                <c:pt idx="13">
                  <c:v>4.9492320038397652</c:v>
                </c:pt>
                <c:pt idx="14">
                  <c:v>5.0492670327448446</c:v>
                </c:pt>
                <c:pt idx="15">
                  <c:v>5.1436867236104007</c:v>
                </c:pt>
                <c:pt idx="16">
                  <c:v>5.2331756969605276</c:v>
                </c:pt>
                <c:pt idx="17">
                  <c:v>5.3182958969449885</c:v>
                </c:pt>
                <c:pt idx="18">
                  <c:v>5.3995147443290223</c:v>
                </c:pt>
                <c:pt idx="19">
                  <c:v>5.4772255750516612</c:v>
                </c:pt>
                <c:pt idx="20">
                  <c:v>5.5517627844536808</c:v>
                </c:pt>
                <c:pt idx="21">
                  <c:v>5.6234132519034903</c:v>
                </c:pt>
              </c:numCache>
            </c:numRef>
          </c:xVal>
          <c:yVal>
            <c:numRef>
              <c:f>'specific heat'!$C$5:$C$26</c:f>
              <c:numCache>
                <c:formatCode>General</c:formatCode>
                <c:ptCount val="22"/>
                <c:pt idx="0">
                  <c:v>0.70899999999999996</c:v>
                </c:pt>
                <c:pt idx="1">
                  <c:v>0.73499999999999999</c:v>
                </c:pt>
                <c:pt idx="2">
                  <c:v>0.76300000000000001</c:v>
                </c:pt>
                <c:pt idx="3">
                  <c:v>0.79100000000000004</c:v>
                </c:pt>
                <c:pt idx="4">
                  <c:v>0.81899999999999995</c:v>
                </c:pt>
                <c:pt idx="5">
                  <c:v>0.84599999999999997</c:v>
                </c:pt>
                <c:pt idx="6">
                  <c:v>0.871</c:v>
                </c:pt>
                <c:pt idx="7">
                  <c:v>0.89500000000000002</c:v>
                </c:pt>
                <c:pt idx="8">
                  <c:v>0.91800000000000004</c:v>
                </c:pt>
                <c:pt idx="9">
                  <c:v>0.93899999999999995</c:v>
                </c:pt>
                <c:pt idx="10">
                  <c:v>0.97799999999999998</c:v>
                </c:pt>
                <c:pt idx="11">
                  <c:v>1.014</c:v>
                </c:pt>
                <c:pt idx="12">
                  <c:v>1.046</c:v>
                </c:pt>
                <c:pt idx="13">
                  <c:v>1.075</c:v>
                </c:pt>
                <c:pt idx="14">
                  <c:v>1.1020000000000001</c:v>
                </c:pt>
                <c:pt idx="15">
                  <c:v>1.1259999999999999</c:v>
                </c:pt>
                <c:pt idx="16">
                  <c:v>1.1479999999999999</c:v>
                </c:pt>
                <c:pt idx="17">
                  <c:v>1.1679999999999999</c:v>
                </c:pt>
                <c:pt idx="18">
                  <c:v>1.1870000000000001</c:v>
                </c:pt>
                <c:pt idx="19">
                  <c:v>1.204</c:v>
                </c:pt>
                <c:pt idx="20">
                  <c:v>1.22</c:v>
                </c:pt>
                <c:pt idx="21">
                  <c:v>1.234</c:v>
                </c:pt>
              </c:numCache>
            </c:numRef>
          </c:yVal>
        </c:ser>
        <c:ser>
          <c:idx val="1"/>
          <c:order val="1"/>
          <c:marker>
            <c:symbol val="none"/>
          </c:marker>
          <c:xVal>
            <c:numRef>
              <c:f>'specific heat'!$B$5:$B$26</c:f>
              <c:numCache>
                <c:formatCode>General</c:formatCode>
                <c:ptCount val="22"/>
                <c:pt idx="0">
                  <c:v>3.6371357625641298</c:v>
                </c:pt>
                <c:pt idx="1">
                  <c:v>3.7606030930863934</c:v>
                </c:pt>
                <c:pt idx="2">
                  <c:v>3.872983346207417</c:v>
                </c:pt>
                <c:pt idx="3">
                  <c:v>3.9763536438352531</c:v>
                </c:pt>
                <c:pt idx="4">
                  <c:v>4.0722381992924976</c:v>
                </c:pt>
                <c:pt idx="5">
                  <c:v>4.1617914502878168</c:v>
                </c:pt>
                <c:pt idx="6">
                  <c:v>4.2459105474938994</c:v>
                </c:pt>
                <c:pt idx="7">
                  <c:v>4.3253077270721105</c:v>
                </c:pt>
                <c:pt idx="8">
                  <c:v>4.4005586839669668</c:v>
                </c:pt>
                <c:pt idx="9">
                  <c:v>4.4721359549995787</c:v>
                </c:pt>
                <c:pt idx="10">
                  <c:v>4.6057793515969072</c:v>
                </c:pt>
                <c:pt idx="11">
                  <c:v>4.7287080450158783</c:v>
                </c:pt>
                <c:pt idx="12">
                  <c:v>4.8427346405845055</c:v>
                </c:pt>
                <c:pt idx="13">
                  <c:v>4.9492320038397652</c:v>
                </c:pt>
                <c:pt idx="14">
                  <c:v>5.0492670327448446</c:v>
                </c:pt>
                <c:pt idx="15">
                  <c:v>5.1436867236104007</c:v>
                </c:pt>
                <c:pt idx="16">
                  <c:v>5.2331756969605276</c:v>
                </c:pt>
                <c:pt idx="17">
                  <c:v>5.3182958969449885</c:v>
                </c:pt>
                <c:pt idx="18">
                  <c:v>5.3995147443290223</c:v>
                </c:pt>
                <c:pt idx="19">
                  <c:v>5.4772255750516612</c:v>
                </c:pt>
                <c:pt idx="20">
                  <c:v>5.5517627844536808</c:v>
                </c:pt>
                <c:pt idx="21">
                  <c:v>5.6234132519034903</c:v>
                </c:pt>
              </c:numCache>
            </c:numRef>
          </c:xVal>
          <c:yVal>
            <c:numRef>
              <c:f>'specific heat'!$D$5:$D$26</c:f>
              <c:numCache>
                <c:formatCode>General</c:formatCode>
                <c:ptCount val="22"/>
                <c:pt idx="0">
                  <c:v>3.6853234087354076</c:v>
                </c:pt>
                <c:pt idx="1">
                  <c:v>3.8528927858130899</c:v>
                </c:pt>
                <c:pt idx="2">
                  <c:v>4.007012655401808</c:v>
                </c:pt>
                <c:pt idx="3">
                  <c:v>4.1500942369619356</c:v>
                </c:pt>
                <c:pt idx="4">
                  <c:v>4.2839236554126003</c:v>
                </c:pt>
                <c:pt idx="5">
                  <c:v>4.4098651911833375</c:v>
                </c:pt>
                <c:pt idx="6">
                  <c:v>4.528987215466536</c:v>
                </c:pt>
                <c:pt idx="7">
                  <c:v>4.642143851445061</c:v>
                </c:pt>
                <c:pt idx="8">
                  <c:v>4.7500299471340766</c:v>
                </c:pt>
                <c:pt idx="9">
                  <c:v>4.8532192625332211</c:v>
                </c:pt>
                <c:pt idx="10">
                  <c:v>5.0473532707727546</c:v>
                </c:pt>
                <c:pt idx="11">
                  <c:v>5.2275831204841809</c:v>
                </c:pt>
                <c:pt idx="12">
                  <c:v>5.3961586681635607</c:v>
                </c:pt>
                <c:pt idx="13">
                  <c:v>5.5547984023410031</c:v>
                </c:pt>
                <c:pt idx="14">
                  <c:v>5.7048480754001423</c:v>
                </c:pt>
                <c:pt idx="15">
                  <c:v>5.8473835665086877</c:v>
                </c:pt>
                <c:pt idx="16">
                  <c:v>5.9832801270580438</c:v>
                </c:pt>
                <c:pt idx="17">
                  <c:v>6.113260482345054</c:v>
                </c:pt>
                <c:pt idx="18">
                  <c:v>6.2379291506394203</c:v>
                </c:pt>
                <c:pt idx="19">
                  <c:v>6.3577974992509292</c:v>
                </c:pt>
                <c:pt idx="20">
                  <c:v>6.4733024084377222</c:v>
                </c:pt>
                <c:pt idx="21">
                  <c:v>6.5848204212288524</c:v>
                </c:pt>
              </c:numCache>
            </c:numRef>
          </c:yVal>
        </c:ser>
        <c:axId val="195162496"/>
        <c:axId val="194194432"/>
      </c:scatterChart>
      <c:valAx>
        <c:axId val="195162496"/>
        <c:scaling>
          <c:orientation val="minMax"/>
        </c:scaling>
        <c:axPos val="b"/>
        <c:numFmt formatCode="General" sourceLinked="1"/>
        <c:tickLblPos val="nextTo"/>
        <c:crossAx val="194194432"/>
        <c:crosses val="autoZero"/>
        <c:crossBetween val="midCat"/>
      </c:valAx>
      <c:valAx>
        <c:axId val="194194432"/>
        <c:scaling>
          <c:orientation val="minMax"/>
        </c:scaling>
        <c:axPos val="l"/>
        <c:majorGridlines/>
        <c:numFmt formatCode="General" sourceLinked="1"/>
        <c:tickLblPos val="nextTo"/>
        <c:crossAx val="19516249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i="1"/>
              <a:t>The</a:t>
            </a:r>
            <a:r>
              <a:rPr lang="en-US" i="1" baseline="0"/>
              <a:t> </a:t>
            </a:r>
            <a:r>
              <a:rPr lang="en-US" i="1"/>
              <a:t>Big Planets</a:t>
            </a:r>
          </a:p>
          <a:p>
            <a:pPr>
              <a:defRPr/>
            </a:pPr>
            <a:r>
              <a:rPr lang="en-US" i="1"/>
              <a:t>lower atmosphere</a:t>
            </a:r>
          </a:p>
        </c:rich>
      </c:tx>
      <c:layout>
        <c:manualLayout>
          <c:xMode val="edge"/>
          <c:yMode val="edge"/>
          <c:x val="0.45406593406593404"/>
          <c:y val="0.58922757728867503"/>
        </c:manualLayout>
      </c:layout>
      <c:overlay val="1"/>
    </c:title>
    <c:plotArea>
      <c:layout/>
      <c:scatterChart>
        <c:scatterStyle val="lineMarker"/>
        <c:ser>
          <c:idx val="0"/>
          <c:order val="0"/>
          <c:tx>
            <c:strRef>
              <c:f>bigPlanets!$B$9</c:f>
              <c:strCache>
                <c:ptCount val="1"/>
                <c:pt idx="0">
                  <c:v>Uranus</c:v>
                </c:pt>
              </c:strCache>
            </c:strRef>
          </c:tx>
          <c:spPr>
            <a:ln>
              <a:solidFill>
                <a:schemeClr val="tx1"/>
              </a:solidFill>
              <a:prstDash val="sysDot"/>
            </a:ln>
          </c:spPr>
          <c:marker>
            <c:symbol val="none"/>
          </c:marker>
          <c:xVal>
            <c:numRef>
              <c:f>bigPlanets!$A$10:$A$36</c:f>
              <c:numCache>
                <c:formatCode>0.00</c:formatCode>
                <c:ptCount val="27"/>
                <c:pt idx="0">
                  <c:v>40</c:v>
                </c:pt>
                <c:pt idx="1">
                  <c:v>50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  <c:pt idx="5">
                  <c:v>90</c:v>
                </c:pt>
                <c:pt idx="6">
                  <c:v>100</c:v>
                </c:pt>
                <c:pt idx="7">
                  <c:v>110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  <c:pt idx="11">
                  <c:v>150</c:v>
                </c:pt>
                <c:pt idx="12">
                  <c:v>160</c:v>
                </c:pt>
                <c:pt idx="13">
                  <c:v>170</c:v>
                </c:pt>
                <c:pt idx="14">
                  <c:v>180</c:v>
                </c:pt>
                <c:pt idx="15">
                  <c:v>190</c:v>
                </c:pt>
                <c:pt idx="16">
                  <c:v>200</c:v>
                </c:pt>
                <c:pt idx="17">
                  <c:v>210</c:v>
                </c:pt>
                <c:pt idx="18">
                  <c:v>220</c:v>
                </c:pt>
                <c:pt idx="19">
                  <c:v>230</c:v>
                </c:pt>
                <c:pt idx="20">
                  <c:v>240</c:v>
                </c:pt>
                <c:pt idx="21">
                  <c:v>250</c:v>
                </c:pt>
                <c:pt idx="22">
                  <c:v>260</c:v>
                </c:pt>
                <c:pt idx="23">
                  <c:v>270</c:v>
                </c:pt>
                <c:pt idx="24">
                  <c:v>280</c:v>
                </c:pt>
                <c:pt idx="25">
                  <c:v>290</c:v>
                </c:pt>
                <c:pt idx="26">
                  <c:v>300</c:v>
                </c:pt>
              </c:numCache>
            </c:numRef>
          </c:xVal>
          <c:yVal>
            <c:numRef>
              <c:f>bigPlanets!$B$10:$B$36</c:f>
              <c:numCache>
                <c:formatCode>0.00</c:formatCode>
                <c:ptCount val="27"/>
                <c:pt idx="0">
                  <c:v>0.11518039891077703</c:v>
                </c:pt>
                <c:pt idx="1">
                  <c:v>0.24053685108630898</c:v>
                </c:pt>
                <c:pt idx="2">
                  <c:v>0.43901537805422175</c:v>
                </c:pt>
                <c:pt idx="3">
                  <c:v>0.73013663336953272</c:v>
                </c:pt>
                <c:pt idx="4">
                  <c:v>1.1344296371667362</c:v>
                </c:pt>
                <c:pt idx="5">
                  <c:v>1.6733272674058921</c:v>
                </c:pt>
                <c:pt idx="6">
                  <c:v>2.3690848033478984</c:v>
                </c:pt>
                <c:pt idx="7">
                  <c:v>3.244714338485835</c:v>
                </c:pt>
                <c:pt idx="8">
                  <c:v>4.3239306405116915</c:v>
                </c:pt>
                <c:pt idx="9">
                  <c:v>5.6311055716183462</c:v>
                </c:pt>
                <c:pt idx="10">
                  <c:v>7.1912290972109245</c:v>
                </c:pt>
                <c:pt idx="11">
                  <c:v>9.0298754859319494</c:v>
                </c:pt>
                <c:pt idx="12">
                  <c:v>11.173173681045817</c:v>
                </c:pt>
                <c:pt idx="13">
                  <c:v>13.6477810796386</c:v>
                </c:pt>
                <c:pt idx="14">
                  <c:v>16.480860135715833</c:v>
                </c:pt>
                <c:pt idx="15">
                  <c:v>19.700057332372975</c:v>
                </c:pt>
                <c:pt idx="16">
                  <c:v>23.333484163056834</c:v>
                </c:pt>
                <c:pt idx="17">
                  <c:v>27.409699832973729</c:v>
                </c:pt>
                <c:pt idx="18">
                  <c:v>31.95769544581584</c:v>
                </c:pt>
                <c:pt idx="19">
                  <c:v>37.006879482829667</c:v>
                </c:pt>
                <c:pt idx="20">
                  <c:v>42.587064414054993</c:v>
                </c:pt>
                <c:pt idx="21">
                  <c:v>48.728454307591399</c:v>
                </c:pt>
                <c:pt idx="22">
                  <c:v>55.461633323626884</c:v>
                </c:pt>
                <c:pt idx="23">
                  <c:v>62.817554996877604</c:v>
                </c:pt>
                <c:pt idx="24">
                  <c:v>70.827532224917093</c:v>
                </c:pt>
                <c:pt idx="25">
                  <c:v>79.523227891273251</c:v>
                </c:pt>
                <c:pt idx="26">
                  <c:v>88.936646061642634</c:v>
                </c:pt>
              </c:numCache>
            </c:numRef>
          </c:yVal>
        </c:ser>
        <c:ser>
          <c:idx val="1"/>
          <c:order val="1"/>
          <c:tx>
            <c:strRef>
              <c:f>bigPlanets!$C$9</c:f>
              <c:strCache>
                <c:ptCount val="1"/>
                <c:pt idx="0">
                  <c:v>Neptune</c:v>
                </c:pt>
              </c:strCache>
            </c:strRef>
          </c:tx>
          <c:spPr>
            <a:ln>
              <a:solidFill>
                <a:srgbClr val="FF0000"/>
              </a:solidFill>
              <a:prstDash val="sysDot"/>
            </a:ln>
          </c:spPr>
          <c:marker>
            <c:symbol val="none"/>
          </c:marker>
          <c:xVal>
            <c:numRef>
              <c:f>bigPlanets!$A$10:$A$36</c:f>
              <c:numCache>
                <c:formatCode>0.00</c:formatCode>
                <c:ptCount val="27"/>
                <c:pt idx="0">
                  <c:v>40</c:v>
                </c:pt>
                <c:pt idx="1">
                  <c:v>50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  <c:pt idx="5">
                  <c:v>90</c:v>
                </c:pt>
                <c:pt idx="6">
                  <c:v>100</c:v>
                </c:pt>
                <c:pt idx="7">
                  <c:v>110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  <c:pt idx="11">
                  <c:v>150</c:v>
                </c:pt>
                <c:pt idx="12">
                  <c:v>160</c:v>
                </c:pt>
                <c:pt idx="13">
                  <c:v>170</c:v>
                </c:pt>
                <c:pt idx="14">
                  <c:v>180</c:v>
                </c:pt>
                <c:pt idx="15">
                  <c:v>190</c:v>
                </c:pt>
                <c:pt idx="16">
                  <c:v>200</c:v>
                </c:pt>
                <c:pt idx="17">
                  <c:v>210</c:v>
                </c:pt>
                <c:pt idx="18">
                  <c:v>220</c:v>
                </c:pt>
                <c:pt idx="19">
                  <c:v>230</c:v>
                </c:pt>
                <c:pt idx="20">
                  <c:v>240</c:v>
                </c:pt>
                <c:pt idx="21">
                  <c:v>250</c:v>
                </c:pt>
                <c:pt idx="22">
                  <c:v>260</c:v>
                </c:pt>
                <c:pt idx="23">
                  <c:v>270</c:v>
                </c:pt>
                <c:pt idx="24">
                  <c:v>280</c:v>
                </c:pt>
                <c:pt idx="25">
                  <c:v>290</c:v>
                </c:pt>
                <c:pt idx="26">
                  <c:v>300</c:v>
                </c:pt>
              </c:numCache>
            </c:numRef>
          </c:xVal>
          <c:yVal>
            <c:numRef>
              <c:f>bigPlanets!$C$10:$C$36</c:f>
              <c:numCache>
                <c:formatCode>0.00</c:formatCode>
                <c:ptCount val="27"/>
                <c:pt idx="0">
                  <c:v>0.13132073241977255</c:v>
                </c:pt>
                <c:pt idx="1">
                  <c:v>0.27424349765508843</c:v>
                </c:pt>
                <c:pt idx="2">
                  <c:v>0.50053500018074182</c:v>
                </c:pt>
                <c:pt idx="3">
                  <c:v>0.83245134039575341</c:v>
                </c:pt>
                <c:pt idx="4">
                  <c:v>1.2933982885997244</c:v>
                </c:pt>
                <c:pt idx="5">
                  <c:v>1.9078121313326835</c:v>
                </c:pt>
                <c:pt idx="6">
                  <c:v>2.7010668002738538</c:v>
                </c:pt>
                <c:pt idx="7">
                  <c:v>3.6993990943977253</c:v>
                </c:pt>
                <c:pt idx="8">
                  <c:v>4.9298469532489353</c:v>
                </c:pt>
                <c:pt idx="9">
                  <c:v>6.4201974901199277</c:v>
                </c:pt>
                <c:pt idx="10">
                  <c:v>8.1989425368777518</c:v>
                </c:pt>
                <c:pt idx="11">
                  <c:v>10.295240107568169</c:v>
                </c:pt>
                <c:pt idx="12">
                  <c:v>12.738880617915406</c:v>
                </c:pt>
                <c:pt idx="13">
                  <c:v>15.560256990177521</c:v>
                </c:pt>
                <c:pt idx="14">
                  <c:v>18.790337977615124</c:v>
                </c:pt>
                <c:pt idx="15">
                  <c:v>22.460644190013024</c:v>
                </c:pt>
                <c:pt idx="16">
                  <c:v>26.603226409828668</c:v>
                </c:pt>
                <c:pt idx="17">
                  <c:v>31.250645869532885</c:v>
                </c:pt>
                <c:pt idx="18">
                  <c:v>36.435956222408024</c:v>
                </c:pt>
                <c:pt idx="19">
                  <c:v>42.192686986784949</c:v>
                </c:pt>
                <c:pt idx="20">
                  <c:v>48.554828281103084</c:v>
                </c:pt>
                <c:pt idx="21">
                  <c:v>55.556816696851882</c:v>
                </c:pt>
                <c:pt idx="22">
                  <c:v>63.233522180257651</c:v>
                </c:pt>
                <c:pt idx="23">
                  <c:v>71.620235812861438</c:v>
                </c:pt>
                <c:pt idx="24">
                  <c:v>80.752658396904351</c:v>
                </c:pt>
                <c:pt idx="25">
                  <c:v>90.66688976442984</c:v>
                </c:pt>
                <c:pt idx="26">
                  <c:v>101.39941873981651</c:v>
                </c:pt>
              </c:numCache>
            </c:numRef>
          </c:yVal>
        </c:ser>
        <c:ser>
          <c:idx val="3"/>
          <c:order val="2"/>
          <c:tx>
            <c:strRef>
              <c:f>bigPlanets!$E$9</c:f>
              <c:strCache>
                <c:ptCount val="1"/>
                <c:pt idx="0">
                  <c:v>Saturn</c:v>
                </c:pt>
              </c:strCache>
            </c:strRef>
          </c:tx>
          <c:spPr>
            <a:ln w="38100">
              <a:solidFill>
                <a:srgbClr val="00B0F0"/>
              </a:solidFill>
              <a:prstDash val="sysDot"/>
            </a:ln>
          </c:spPr>
          <c:marker>
            <c:symbol val="none"/>
          </c:marker>
          <c:xVal>
            <c:numRef>
              <c:f>bigPlanets!$A$10:$A$36</c:f>
              <c:numCache>
                <c:formatCode>0.00</c:formatCode>
                <c:ptCount val="27"/>
                <c:pt idx="0">
                  <c:v>40</c:v>
                </c:pt>
                <c:pt idx="1">
                  <c:v>50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  <c:pt idx="5">
                  <c:v>90</c:v>
                </c:pt>
                <c:pt idx="6">
                  <c:v>100</c:v>
                </c:pt>
                <c:pt idx="7">
                  <c:v>110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  <c:pt idx="11">
                  <c:v>150</c:v>
                </c:pt>
                <c:pt idx="12">
                  <c:v>160</c:v>
                </c:pt>
                <c:pt idx="13">
                  <c:v>170</c:v>
                </c:pt>
                <c:pt idx="14">
                  <c:v>180</c:v>
                </c:pt>
                <c:pt idx="15">
                  <c:v>190</c:v>
                </c:pt>
                <c:pt idx="16">
                  <c:v>200</c:v>
                </c:pt>
                <c:pt idx="17">
                  <c:v>210</c:v>
                </c:pt>
                <c:pt idx="18">
                  <c:v>220</c:v>
                </c:pt>
                <c:pt idx="19">
                  <c:v>230</c:v>
                </c:pt>
                <c:pt idx="20">
                  <c:v>240</c:v>
                </c:pt>
                <c:pt idx="21">
                  <c:v>250</c:v>
                </c:pt>
                <c:pt idx="22">
                  <c:v>260</c:v>
                </c:pt>
                <c:pt idx="23">
                  <c:v>270</c:v>
                </c:pt>
                <c:pt idx="24">
                  <c:v>280</c:v>
                </c:pt>
                <c:pt idx="25">
                  <c:v>290</c:v>
                </c:pt>
                <c:pt idx="26">
                  <c:v>300</c:v>
                </c:pt>
              </c:numCache>
            </c:numRef>
          </c:xVal>
          <c:yVal>
            <c:numRef>
              <c:f>bigPlanets!$E$10:$E$36</c:f>
              <c:numCache>
                <c:formatCode>0.00</c:formatCode>
                <c:ptCount val="27"/>
                <c:pt idx="0">
                  <c:v>1.8059117984186492E-2</c:v>
                </c:pt>
                <c:pt idx="1">
                  <c:v>3.7713737878936164E-2</c:v>
                </c:pt>
                <c:pt idx="2">
                  <c:v>6.883315723966997E-2</c:v>
                </c:pt>
                <c:pt idx="3">
                  <c:v>0.11447801649663653</c:v>
                </c:pt>
                <c:pt idx="4">
                  <c:v>0.17786705772934328</c:v>
                </c:pt>
                <c:pt idx="5">
                  <c:v>0.26236073875423882</c:v>
                </c:pt>
                <c:pt idx="6">
                  <c:v>0.37144846156805444</c:v>
                </c:pt>
                <c:pt idx="7">
                  <c:v>0.50873828896085393</c:v>
                </c:pt>
                <c:pt idx="8">
                  <c:v>0.67794845590809472</c:v>
                </c:pt>
                <c:pt idx="9">
                  <c:v>0.88290022313640903</c:v>
                </c:pt>
                <c:pt idx="10">
                  <c:v>1.1275117636851295</c:v>
                </c:pt>
                <c:pt idx="11">
                  <c:v>1.4157928634131551</c:v>
                </c:pt>
                <c:pt idx="12">
                  <c:v>1.7518402755326294</c:v>
                </c:pt>
                <c:pt idx="13">
                  <c:v>2.1398336094534969</c:v>
                </c:pt>
                <c:pt idx="14">
                  <c:v>2.5840316623866091</c:v>
                </c:pt>
                <c:pt idx="15">
                  <c:v>3.0887691223933924</c:v>
                </c:pt>
                <c:pt idx="16">
                  <c:v>3.6584535864405927</c:v>
                </c:pt>
                <c:pt idx="17">
                  <c:v>4.2975628481565744</c:v>
                </c:pt>
                <c:pt idx="18">
                  <c:v>5.0106424184704554</c:v>
                </c:pt>
                <c:pt idx="19">
                  <c:v>5.8023032488773572</c:v>
                </c:pt>
                <c:pt idx="20">
                  <c:v>6.6772196322165049</c:v>
                </c:pt>
                <c:pt idx="21">
                  <c:v>7.6401272599299483</c:v>
                </c:pt>
                <c:pt idx="22">
                  <c:v>8.6958214180429589</c:v>
                </c:pt>
                <c:pt idx="23">
                  <c:v>9.8491553067593287</c:v>
                </c:pt>
                <c:pt idx="24">
                  <c:v>11.105038470732964</c:v>
                </c:pt>
                <c:pt idx="25">
                  <c:v>12.46843532886464</c:v>
                </c:pt>
                <c:pt idx="26">
                  <c:v>13.94436379395766</c:v>
                </c:pt>
              </c:numCache>
            </c:numRef>
          </c:yVal>
        </c:ser>
        <c:ser>
          <c:idx val="2"/>
          <c:order val="3"/>
          <c:tx>
            <c:strRef>
              <c:f>bigPlanets!$D$9</c:f>
              <c:strCache>
                <c:ptCount val="1"/>
                <c:pt idx="0">
                  <c:v>Jupiter</c:v>
                </c:pt>
              </c:strCache>
            </c:strRef>
          </c:tx>
          <c:spPr>
            <a:ln w="38100">
              <a:solidFill>
                <a:srgbClr val="00B050"/>
              </a:solidFill>
              <a:prstDash val="sysDot"/>
            </a:ln>
          </c:spPr>
          <c:marker>
            <c:symbol val="none"/>
          </c:marker>
          <c:xVal>
            <c:numRef>
              <c:f>bigPlanets!$A$10:$A$36</c:f>
              <c:numCache>
                <c:formatCode>0.00</c:formatCode>
                <c:ptCount val="27"/>
                <c:pt idx="0">
                  <c:v>40</c:v>
                </c:pt>
                <c:pt idx="1">
                  <c:v>50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  <c:pt idx="5">
                  <c:v>90</c:v>
                </c:pt>
                <c:pt idx="6">
                  <c:v>100</c:v>
                </c:pt>
                <c:pt idx="7">
                  <c:v>110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  <c:pt idx="11">
                  <c:v>150</c:v>
                </c:pt>
                <c:pt idx="12">
                  <c:v>160</c:v>
                </c:pt>
                <c:pt idx="13">
                  <c:v>170</c:v>
                </c:pt>
                <c:pt idx="14">
                  <c:v>180</c:v>
                </c:pt>
                <c:pt idx="15">
                  <c:v>190</c:v>
                </c:pt>
                <c:pt idx="16">
                  <c:v>200</c:v>
                </c:pt>
                <c:pt idx="17">
                  <c:v>210</c:v>
                </c:pt>
                <c:pt idx="18">
                  <c:v>220</c:v>
                </c:pt>
                <c:pt idx="19">
                  <c:v>230</c:v>
                </c:pt>
                <c:pt idx="20">
                  <c:v>240</c:v>
                </c:pt>
                <c:pt idx="21">
                  <c:v>250</c:v>
                </c:pt>
                <c:pt idx="22">
                  <c:v>260</c:v>
                </c:pt>
                <c:pt idx="23">
                  <c:v>270</c:v>
                </c:pt>
                <c:pt idx="24">
                  <c:v>280</c:v>
                </c:pt>
                <c:pt idx="25">
                  <c:v>290</c:v>
                </c:pt>
                <c:pt idx="26">
                  <c:v>300</c:v>
                </c:pt>
              </c:numCache>
            </c:numRef>
          </c:xVal>
          <c:yVal>
            <c:numRef>
              <c:f>bigPlanets!$D$10:$D$36</c:f>
              <c:numCache>
                <c:formatCode>0.00</c:formatCode>
                <c:ptCount val="27"/>
                <c:pt idx="0">
                  <c:v>9.1293799240082102E-3</c:v>
                </c:pt>
                <c:pt idx="1">
                  <c:v>1.906532986565334E-2</c:v>
                </c:pt>
                <c:pt idx="2">
                  <c:v>3.4797050684325051E-2</c:v>
                </c:pt>
                <c:pt idx="3">
                  <c:v>5.7871780142298775E-2</c:v>
                </c:pt>
                <c:pt idx="4">
                  <c:v>8.9916680725967577E-2</c:v>
                </c:pt>
                <c:pt idx="5">
                  <c:v>0.13263055611731789</c:v>
                </c:pt>
                <c:pt idx="6">
                  <c:v>0.18777739482141673</c:v>
                </c:pt>
                <c:pt idx="7">
                  <c:v>0.25718117163199472</c:v>
                </c:pt>
                <c:pt idx="8">
                  <c:v>0.34272155640709345</c:v>
                </c:pt>
                <c:pt idx="9">
                  <c:v>0.44633030135037322</c:v>
                </c:pt>
                <c:pt idx="10">
                  <c:v>0.56998815050013107</c:v>
                </c:pt>
                <c:pt idx="11">
                  <c:v>0.71572216069003114</c:v>
                </c:pt>
                <c:pt idx="12">
                  <c:v>0.88560335313834793</c:v>
                </c:pt>
                <c:pt idx="13">
                  <c:v>1.081744635146022</c:v>
                </c:pt>
                <c:pt idx="14">
                  <c:v>1.3062989456213221</c:v>
                </c:pt>
                <c:pt idx="15">
                  <c:v>1.5614575883809396</c:v>
                </c:pt>
                <c:pt idx="16">
                  <c:v>1.8494487246947979</c:v>
                </c:pt>
                <c:pt idx="17">
                  <c:v>2.1725360021723978</c:v>
                </c:pt>
                <c:pt idx="18">
                  <c:v>2.5330173013778432</c:v>
                </c:pt>
                <c:pt idx="19">
                  <c:v>2.9332235848779047</c:v>
                </c:pt>
                <c:pt idx="20">
                  <c:v>3.3755178360277411</c:v>
                </c:pt>
                <c:pt idx="21">
                  <c:v>3.8622940768618252</c:v>
                </c:pt>
                <c:pt idx="22">
                  <c:v>4.3959764561125185</c:v>
                </c:pt>
                <c:pt idx="23">
                  <c:v>4.9790183997193704</c:v>
                </c:pt>
                <c:pt idx="24">
                  <c:v>5.6139018172883031</c:v>
                </c:pt>
                <c:pt idx="25">
                  <c:v>6.3031363588634957</c:v>
                </c:pt>
                <c:pt idx="26">
                  <c:v>7.0492587171254737</c:v>
                </c:pt>
              </c:numCache>
            </c:numRef>
          </c:yVal>
        </c:ser>
        <c:dLbls/>
        <c:axId val="228715136"/>
        <c:axId val="228895744"/>
      </c:scatterChart>
      <c:valAx>
        <c:axId val="228715136"/>
        <c:scaling>
          <c:orientation val="minMax"/>
          <c:max val="300"/>
          <c:min val="40"/>
        </c:scaling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 (K)</a:t>
                </a:r>
              </a:p>
            </c:rich>
          </c:tx>
          <c:layout/>
        </c:title>
        <c:numFmt formatCode="0" sourceLinked="0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228895744"/>
        <c:crossesAt val="1.0000000000000005E-4"/>
        <c:crossBetween val="midCat"/>
        <c:majorUnit val="20"/>
        <c:minorUnit val="10"/>
      </c:valAx>
      <c:valAx>
        <c:axId val="228895744"/>
        <c:scaling>
          <c:logBase val="10"/>
          <c:orientation val="maxMin"/>
          <c:max val="10"/>
          <c:min val="1.0000000000000005E-4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Pressure (bars)</a:t>
                </a:r>
              </a:p>
            </c:rich>
          </c:tx>
          <c:layout/>
        </c:title>
        <c:numFmt formatCode="0.0000" sourceLinked="0"/>
        <c:tickLblPos val="nextTo"/>
        <c:crossAx val="228715136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>
        <c:manualLayout>
          <c:xMode val="edge"/>
          <c:yMode val="edge"/>
          <c:x val="0.81837904877274958"/>
          <c:y val="0.73526584183891341"/>
          <c:w val="0.16147443108073029"/>
          <c:h val="0.17949268992369721"/>
        </c:manualLayout>
      </c:layout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</c:chart>
  <c:spPr>
    <a:solidFill>
      <a:schemeClr val="accent5">
        <a:lumMod val="20000"/>
        <a:lumOff val="80000"/>
      </a:schemeClr>
    </a:solidFill>
  </c:spPr>
  <c:txPr>
    <a:bodyPr/>
    <a:lstStyle/>
    <a:p>
      <a:pPr>
        <a:defRPr sz="1400"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2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Venus P-T thermodynamics</a:t>
            </a:r>
          </a:p>
        </c:rich>
      </c:tx>
      <c:layout>
        <c:manualLayout>
          <c:xMode val="edge"/>
          <c:yMode val="edge"/>
          <c:x val="0.33544364121720283"/>
          <c:y val="0.91631205673758864"/>
        </c:manualLayout>
      </c:layout>
      <c:overlay val="1"/>
    </c:title>
    <c:plotArea>
      <c:layout>
        <c:manualLayout>
          <c:layoutTarget val="inner"/>
          <c:xMode val="edge"/>
          <c:yMode val="edge"/>
          <c:x val="0.1745006243151645"/>
          <c:y val="0.14410184708219884"/>
          <c:w val="0.7792113443157489"/>
          <c:h val="0.75606254537331774"/>
        </c:manualLayout>
      </c:layout>
      <c:scatterChart>
        <c:scatterStyle val="lineMarker"/>
        <c:ser>
          <c:idx val="0"/>
          <c:order val="0"/>
          <c:tx>
            <c:strRef>
              <c:f>venusWiki!$B$9</c:f>
              <c:strCache>
                <c:ptCount val="1"/>
                <c:pt idx="0">
                  <c:v>P actual</c:v>
                </c:pt>
              </c:strCache>
            </c:strRef>
          </c:tx>
          <c:marker>
            <c:symbol val="none"/>
          </c:marker>
          <c:xVal>
            <c:numRef>
              <c:f>venusWiki!$A$10:$A$27</c:f>
              <c:numCache>
                <c:formatCode>General</c:formatCode>
                <c:ptCount val="18"/>
                <c:pt idx="0">
                  <c:v>735</c:v>
                </c:pt>
                <c:pt idx="1">
                  <c:v>697</c:v>
                </c:pt>
                <c:pt idx="2">
                  <c:v>658</c:v>
                </c:pt>
                <c:pt idx="3">
                  <c:v>621</c:v>
                </c:pt>
                <c:pt idx="4">
                  <c:v>579</c:v>
                </c:pt>
                <c:pt idx="5">
                  <c:v>537</c:v>
                </c:pt>
                <c:pt idx="6">
                  <c:v>495</c:v>
                </c:pt>
                <c:pt idx="7">
                  <c:v>453</c:v>
                </c:pt>
                <c:pt idx="8">
                  <c:v>416</c:v>
                </c:pt>
                <c:pt idx="9">
                  <c:v>383</c:v>
                </c:pt>
                <c:pt idx="10">
                  <c:v>348</c:v>
                </c:pt>
                <c:pt idx="11">
                  <c:v>300</c:v>
                </c:pt>
                <c:pt idx="12">
                  <c:v>263</c:v>
                </c:pt>
                <c:pt idx="13">
                  <c:v>243</c:v>
                </c:pt>
                <c:pt idx="14">
                  <c:v>230</c:v>
                </c:pt>
                <c:pt idx="15">
                  <c:v>197</c:v>
                </c:pt>
                <c:pt idx="16">
                  <c:v>169</c:v>
                </c:pt>
                <c:pt idx="17">
                  <c:v>161</c:v>
                </c:pt>
              </c:numCache>
            </c:numRef>
          </c:xVal>
          <c:yVal>
            <c:numRef>
              <c:f>venusWiki!$B$10:$B$27</c:f>
              <c:numCache>
                <c:formatCode>General</c:formatCode>
                <c:ptCount val="18"/>
                <c:pt idx="0">
                  <c:v>92100</c:v>
                </c:pt>
                <c:pt idx="1">
                  <c:v>66650</c:v>
                </c:pt>
                <c:pt idx="2">
                  <c:v>47390</c:v>
                </c:pt>
                <c:pt idx="3">
                  <c:v>33040</c:v>
                </c:pt>
                <c:pt idx="4">
                  <c:v>22520</c:v>
                </c:pt>
                <c:pt idx="5">
                  <c:v>14930</c:v>
                </c:pt>
                <c:pt idx="6">
                  <c:v>9851</c:v>
                </c:pt>
                <c:pt idx="7">
                  <c:v>5917</c:v>
                </c:pt>
                <c:pt idx="8">
                  <c:v>3501</c:v>
                </c:pt>
                <c:pt idx="9">
                  <c:v>1979</c:v>
                </c:pt>
                <c:pt idx="10">
                  <c:v>1066</c:v>
                </c:pt>
                <c:pt idx="11">
                  <c:v>531.4</c:v>
                </c:pt>
                <c:pt idx="12">
                  <c:v>235.7</c:v>
                </c:pt>
                <c:pt idx="13">
                  <c:v>97.65</c:v>
                </c:pt>
                <c:pt idx="14">
                  <c:v>36.900000000000006</c:v>
                </c:pt>
                <c:pt idx="15">
                  <c:v>4.7600000000000007</c:v>
                </c:pt>
                <c:pt idx="16">
                  <c:v>0.37359999999999999</c:v>
                </c:pt>
                <c:pt idx="17">
                  <c:v>2.6599999999999999E-2</c:v>
                </c:pt>
              </c:numCache>
            </c:numRef>
          </c:yVal>
        </c:ser>
        <c:ser>
          <c:idx val="1"/>
          <c:order val="1"/>
          <c:tx>
            <c:strRef>
              <c:f>venusWiki!$C$9</c:f>
              <c:strCache>
                <c:ptCount val="1"/>
                <c:pt idx="0">
                  <c:v>P model</c:v>
                </c:pt>
              </c:strCache>
            </c:strRef>
          </c:tx>
          <c:spPr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7"/>
            <c:spPr>
              <a:solidFill>
                <a:sysClr val="window" lastClr="FFFFFF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Pt>
            <c:idx val="14"/>
            <c:marker>
              <c:spPr>
                <a:solidFill>
                  <a:srgbClr val="FF0000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</c:marker>
          </c:dPt>
          <c:dPt>
            <c:idx val="15"/>
            <c:marker>
              <c:spPr>
                <a:solidFill>
                  <a:srgbClr val="FF0000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</c:marker>
          </c:dPt>
          <c:dPt>
            <c:idx val="16"/>
            <c:marker>
              <c:spPr>
                <a:solidFill>
                  <a:srgbClr val="FF0000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</c:marker>
          </c:dPt>
          <c:dPt>
            <c:idx val="17"/>
            <c:marker>
              <c:spPr>
                <a:solidFill>
                  <a:srgbClr val="FF0000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</c:marker>
          </c:dPt>
          <c:xVal>
            <c:numRef>
              <c:f>venusWiki!$A$10:$A$27</c:f>
              <c:numCache>
                <c:formatCode>General</c:formatCode>
                <c:ptCount val="18"/>
                <c:pt idx="0">
                  <c:v>735</c:v>
                </c:pt>
                <c:pt idx="1">
                  <c:v>697</c:v>
                </c:pt>
                <c:pt idx="2">
                  <c:v>658</c:v>
                </c:pt>
                <c:pt idx="3">
                  <c:v>621</c:v>
                </c:pt>
                <c:pt idx="4">
                  <c:v>579</c:v>
                </c:pt>
                <c:pt idx="5">
                  <c:v>537</c:v>
                </c:pt>
                <c:pt idx="6">
                  <c:v>495</c:v>
                </c:pt>
                <c:pt idx="7">
                  <c:v>453</c:v>
                </c:pt>
                <c:pt idx="8">
                  <c:v>416</c:v>
                </c:pt>
                <c:pt idx="9">
                  <c:v>383</c:v>
                </c:pt>
                <c:pt idx="10">
                  <c:v>348</c:v>
                </c:pt>
                <c:pt idx="11">
                  <c:v>300</c:v>
                </c:pt>
                <c:pt idx="12">
                  <c:v>263</c:v>
                </c:pt>
                <c:pt idx="13">
                  <c:v>243</c:v>
                </c:pt>
                <c:pt idx="14">
                  <c:v>230</c:v>
                </c:pt>
                <c:pt idx="15">
                  <c:v>197</c:v>
                </c:pt>
                <c:pt idx="16">
                  <c:v>169</c:v>
                </c:pt>
                <c:pt idx="17">
                  <c:v>161</c:v>
                </c:pt>
              </c:numCache>
            </c:numRef>
          </c:xVal>
          <c:yVal>
            <c:numRef>
              <c:f>venusWiki!$C$10:$C$27</c:f>
              <c:numCache>
                <c:formatCode>General</c:formatCode>
                <c:ptCount val="18"/>
                <c:pt idx="0">
                  <c:v>92100</c:v>
                </c:pt>
                <c:pt idx="1">
                  <c:v>66978.0137496963</c:v>
                </c:pt>
                <c:pt idx="2">
                  <c:v>47412.292756675888</c:v>
                </c:pt>
                <c:pt idx="3">
                  <c:v>33503.115670139712</c:v>
                </c:pt>
                <c:pt idx="4">
                  <c:v>22009.337902582072</c:v>
                </c:pt>
                <c:pt idx="5">
                  <c:v>14008.166977109917</c:v>
                </c:pt>
                <c:pt idx="6">
                  <c:v>8593.4348603290709</c:v>
                </c:pt>
                <c:pt idx="7">
                  <c:v>5048.0634822477186</c:v>
                </c:pt>
                <c:pt idx="8">
                  <c:v>3027.5796639786668</c:v>
                </c:pt>
                <c:pt idx="9">
                  <c:v>1843.8612588494204</c:v>
                </c:pt>
                <c:pt idx="10">
                  <c:v>1037.5548369640851</c:v>
                </c:pt>
                <c:pt idx="11">
                  <c:v>425.85634662462206</c:v>
                </c:pt>
                <c:pt idx="12">
                  <c:v>193.31701768620579</c:v>
                </c:pt>
                <c:pt idx="13">
                  <c:v>120.27441058468411</c:v>
                </c:pt>
                <c:pt idx="14">
                  <c:v>86.477397611616013</c:v>
                </c:pt>
                <c:pt idx="15">
                  <c:v>34.145458808807497</c:v>
                </c:pt>
                <c:pt idx="16">
                  <c:v>13.609927865033221</c:v>
                </c:pt>
                <c:pt idx="17">
                  <c:v>10.17397935160901</c:v>
                </c:pt>
              </c:numCache>
            </c:numRef>
          </c:yVal>
        </c:ser>
        <c:axId val="183892608"/>
        <c:axId val="5430272"/>
      </c:scatterChart>
      <c:valAx>
        <c:axId val="183892608"/>
        <c:scaling>
          <c:orientation val="minMax"/>
        </c:scaling>
        <c:axPos val="t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 (K)</a:t>
                </a:r>
              </a:p>
            </c:rich>
          </c:tx>
          <c:layout>
            <c:manualLayout>
              <c:xMode val="edge"/>
              <c:yMode val="edge"/>
              <c:x val="0.40830417528866914"/>
              <c:y val="1.767174847824873E-2"/>
            </c:manualLayout>
          </c:layout>
        </c:title>
        <c:numFmt formatCode="General" sourceLinked="1"/>
        <c:tickLblPos val="nextTo"/>
        <c:crossAx val="5430272"/>
        <c:crosses val="autoZero"/>
        <c:crossBetween val="midCat"/>
      </c:valAx>
      <c:valAx>
        <c:axId val="5430272"/>
        <c:scaling>
          <c:logBase val="10"/>
          <c:orientation val="maxMin"/>
          <c:max val="100000"/>
          <c:min val="1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Pressure (bars)</a:t>
                </a:r>
              </a:p>
            </c:rich>
          </c:tx>
          <c:layout/>
        </c:title>
        <c:numFmt formatCode="General" sourceLinked="1"/>
        <c:tickLblPos val="nextTo"/>
        <c:crossAx val="1838926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49992222816808091"/>
          <c:y val="0.17886942870458949"/>
          <c:w val="0.17406143344709898"/>
          <c:h val="0.13003674540682414"/>
        </c:manualLayout>
      </c:layout>
    </c:legend>
    <c:plotVisOnly val="1"/>
  </c:chart>
  <c:spPr>
    <a:solidFill>
      <a:schemeClr val="accent5">
        <a:lumMod val="20000"/>
        <a:lumOff val="80000"/>
      </a:schemeClr>
    </a:solidFill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3</xdr:row>
      <xdr:rowOff>104775</xdr:rowOff>
    </xdr:from>
    <xdr:to>
      <xdr:col>13</xdr:col>
      <xdr:colOff>419100</xdr:colOff>
      <xdr:row>17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276224</xdr:colOff>
      <xdr:row>0</xdr:row>
      <xdr:rowOff>371476</xdr:rowOff>
    </xdr:from>
    <xdr:to>
      <xdr:col>14</xdr:col>
      <xdr:colOff>228599</xdr:colOff>
      <xdr:row>20</xdr:row>
      <xdr:rowOff>9526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523875</xdr:colOff>
      <xdr:row>2</xdr:row>
      <xdr:rowOff>171450</xdr:rowOff>
    </xdr:from>
    <xdr:to>
      <xdr:col>15</xdr:col>
      <xdr:colOff>219075</xdr:colOff>
      <xdr:row>17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3</xdr:row>
      <xdr:rowOff>104775</xdr:rowOff>
    </xdr:from>
    <xdr:to>
      <xdr:col>13</xdr:col>
      <xdr:colOff>419100</xdr:colOff>
      <xdr:row>17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492917</xdr:colOff>
      <xdr:row>7</xdr:row>
      <xdr:rowOff>171449</xdr:rowOff>
    </xdr:from>
    <xdr:to>
      <xdr:col>19</xdr:col>
      <xdr:colOff>330994</xdr:colOff>
      <xdr:row>24</xdr:row>
      <xdr:rowOff>28574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457200</xdr:colOff>
      <xdr:row>27</xdr:row>
      <xdr:rowOff>123825</xdr:rowOff>
    </xdr:from>
    <xdr:to>
      <xdr:col>14</xdr:col>
      <xdr:colOff>381001</xdr:colOff>
      <xdr:row>49</xdr:row>
      <xdr:rowOff>66675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414337</xdr:colOff>
      <xdr:row>7</xdr:row>
      <xdr:rowOff>28577</xdr:rowOff>
    </xdr:from>
    <xdr:to>
      <xdr:col>13</xdr:col>
      <xdr:colOff>78581</xdr:colOff>
      <xdr:row>24</xdr:row>
      <xdr:rowOff>114301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139699</xdr:colOff>
      <xdr:row>9</xdr:row>
      <xdr:rowOff>171449</xdr:rowOff>
    </xdr:from>
    <xdr:to>
      <xdr:col>15</xdr:col>
      <xdr:colOff>581025</xdr:colOff>
      <xdr:row>26</xdr:row>
      <xdr:rowOff>28574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514350</xdr:colOff>
      <xdr:row>27</xdr:row>
      <xdr:rowOff>104775</xdr:rowOff>
    </xdr:from>
    <xdr:to>
      <xdr:col>19</xdr:col>
      <xdr:colOff>333375</xdr:colOff>
      <xdr:row>58</xdr:row>
      <xdr:rowOff>79375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63501</xdr:colOff>
      <xdr:row>9</xdr:row>
      <xdr:rowOff>6351</xdr:rowOff>
    </xdr:from>
    <xdr:to>
      <xdr:col>23</xdr:col>
      <xdr:colOff>330201</xdr:colOff>
      <xdr:row>26</xdr:row>
      <xdr:rowOff>92075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1</xdr:colOff>
      <xdr:row>28</xdr:row>
      <xdr:rowOff>0</xdr:rowOff>
    </xdr:from>
    <xdr:to>
      <xdr:col>6</xdr:col>
      <xdr:colOff>457201</xdr:colOff>
      <xdr:row>38</xdr:row>
      <xdr:rowOff>121726</xdr:rowOff>
    </xdr:to>
    <xdr:pic>
      <xdr:nvPicPr>
        <xdr:cNvPr id="4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562226" y="5334000"/>
          <a:ext cx="1866900" cy="202672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1</xdr:row>
      <xdr:rowOff>323850</xdr:rowOff>
    </xdr:from>
    <xdr:to>
      <xdr:col>14</xdr:col>
      <xdr:colOff>352425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276225</xdr:colOff>
      <xdr:row>25</xdr:row>
      <xdr:rowOff>38100</xdr:rowOff>
    </xdr:from>
    <xdr:to>
      <xdr:col>14</xdr:col>
      <xdr:colOff>352425</xdr:colOff>
      <xdr:row>46</xdr:row>
      <xdr:rowOff>142875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542925</xdr:colOff>
      <xdr:row>7</xdr:row>
      <xdr:rowOff>171449</xdr:rowOff>
    </xdr:from>
    <xdr:to>
      <xdr:col>17</xdr:col>
      <xdr:colOff>161925</xdr:colOff>
      <xdr:row>41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0.79986</cdr:x>
      <cdr:y>0.60705</cdr:y>
    </cdr:from>
    <cdr:to>
      <cdr:x>0.99986</cdr:x>
      <cdr:y>0.80664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546407" y="3937669"/>
          <a:ext cx="1386841" cy="12946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1400" b="1"/>
            <a:t>overlaid</a:t>
          </a:r>
        </a:p>
        <a:p xmlns:a="http://schemas.openxmlformats.org/drawingml/2006/main">
          <a:pPr algn="ctr"/>
          <a:r>
            <a:rPr lang="en-US" sz="1400" b="1"/>
            <a:t>adiabatic</a:t>
          </a:r>
          <a:r>
            <a:rPr lang="en-US" sz="1400" b="1" baseline="0"/>
            <a:t> </a:t>
          </a:r>
        </a:p>
        <a:p xmlns:a="http://schemas.openxmlformats.org/drawingml/2006/main">
          <a:pPr algn="ctr"/>
          <a:r>
            <a:rPr lang="en-US" sz="1400" b="1" baseline="0"/>
            <a:t>profiles</a:t>
          </a:r>
          <a:endParaRPr lang="en-US" sz="1400" b="1"/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123826</xdr:colOff>
      <xdr:row>3</xdr:row>
      <xdr:rowOff>0</xdr:rowOff>
    </xdr:from>
    <xdr:to>
      <xdr:col>15</xdr:col>
      <xdr:colOff>219076</xdr:colOff>
      <xdr:row>26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0.48293</cdr:x>
      <cdr:y>0.4766</cdr:y>
    </cdr:from>
    <cdr:to>
      <cdr:x>0.55802</cdr:x>
      <cdr:y>0.4766</cdr:y>
    </cdr:to>
    <cdr:sp macro="" textlink="">
      <cdr:nvSpPr>
        <cdr:cNvPr id="8" name="Straight Arrow Connector 7"/>
        <cdr:cNvSpPr/>
      </cdr:nvSpPr>
      <cdr:spPr>
        <a:xfrm xmlns:a="http://schemas.openxmlformats.org/drawingml/2006/main" flipH="1">
          <a:off x="2695574" y="2133600"/>
          <a:ext cx="419100" cy="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0.54096</cdr:x>
      <cdr:y>0.43191</cdr:y>
    </cdr:from>
    <cdr:to>
      <cdr:x>0.68771</cdr:x>
      <cdr:y>0.53191</cdr:y>
    </cdr:to>
    <cdr:sp macro="" textlink="">
      <cdr:nvSpPr>
        <cdr:cNvPr id="6" name="TextBox 2"/>
        <cdr:cNvSpPr txBox="1"/>
      </cdr:nvSpPr>
      <cdr:spPr>
        <a:xfrm xmlns:a="http://schemas.openxmlformats.org/drawingml/2006/main">
          <a:off x="3019425" y="1933575"/>
          <a:ext cx="819150" cy="447675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>
          <a:solidFill>
            <a:schemeClr val="bg1">
              <a:lumMod val="85000"/>
            </a:schemeClr>
          </a:solidFill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/>
            <a:t>Critical point</a:t>
          </a:r>
        </a:p>
        <a:p xmlns:a="http://schemas.openxmlformats.org/drawingml/2006/main">
          <a:pPr algn="ctr"/>
          <a:r>
            <a:rPr lang="en-US" sz="1100"/>
            <a:t>of CO2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p/git/context/dynamic_context_server/ref/foundation/planet_climat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arge"/>
    </sheetNames>
    <sheetDataSet>
      <sheetData sheetId="0">
        <row r="9">
          <cell r="B9" t="str">
            <v>Jupiter</v>
          </cell>
          <cell r="C9" t="str">
            <v>Saturn</v>
          </cell>
          <cell r="D9" t="str">
            <v>Uranus</v>
          </cell>
          <cell r="E9" t="str">
            <v>Neptune</v>
          </cell>
        </row>
        <row r="10">
          <cell r="A10">
            <v>40</v>
          </cell>
          <cell r="B10">
            <v>8.8388347648318447E-2</v>
          </cell>
          <cell r="C10">
            <v>8.8388347648318447E-2</v>
          </cell>
          <cell r="D10">
            <v>6.3188601678507263E-3</v>
          </cell>
          <cell r="E10">
            <v>1.4159299884333204E-2</v>
          </cell>
        </row>
        <row r="11">
          <cell r="A11">
            <v>50</v>
          </cell>
          <cell r="B11">
            <v>0.19301011109426142</v>
          </cell>
          <cell r="C11">
            <v>0.19301011109426142</v>
          </cell>
          <cell r="D11">
            <v>1.3798243042607381E-2</v>
          </cell>
          <cell r="E11">
            <v>3.0919098686693309E-2</v>
          </cell>
        </row>
        <row r="12">
          <cell r="A12">
            <v>60</v>
          </cell>
          <cell r="B12">
            <v>0.36535446722156006</v>
          </cell>
          <cell r="C12">
            <v>0.36535446722156006</v>
          </cell>
          <cell r="D12">
            <v>2.6119096594703239E-2</v>
          </cell>
          <cell r="E12">
            <v>5.8527663465935083E-2</v>
          </cell>
        </row>
        <row r="13">
          <cell r="A13">
            <v>70</v>
          </cell>
          <cell r="B13">
            <v>0.6266545330387997</v>
          </cell>
          <cell r="C13">
            <v>0.6266545330387997</v>
          </cell>
          <cell r="D13">
            <v>4.4799370880617438E-2</v>
          </cell>
          <cell r="E13">
            <v>0.10038641623302209</v>
          </cell>
        </row>
        <row r="14">
          <cell r="A14">
            <v>80</v>
          </cell>
          <cell r="B14">
            <v>1</v>
          </cell>
          <cell r="C14">
            <v>1</v>
          </cell>
          <cell r="D14">
            <v>7.1489741984909025E-2</v>
          </cell>
          <cell r="E14">
            <v>0.16019419144105451</v>
          </cell>
        </row>
        <row r="15">
          <cell r="A15">
            <v>90</v>
          </cell>
          <cell r="B15">
            <v>1.510197783647441</v>
          </cell>
          <cell r="C15">
            <v>1.510197783647441</v>
          </cell>
          <cell r="D15">
            <v>0.10796364989913704</v>
          </cell>
          <cell r="E15">
            <v>0.24192491286747436</v>
          </cell>
        </row>
        <row r="16">
          <cell r="A16">
            <v>100</v>
          </cell>
          <cell r="B16">
            <v>2.1836601342771385</v>
          </cell>
          <cell r="C16">
            <v>2.1836601342771385</v>
          </cell>
          <cell r="D16">
            <v>0.15610929958220446</v>
          </cell>
          <cell r="E16">
            <v>0.34980966959259063</v>
          </cell>
        </row>
        <row r="17">
          <cell r="A17">
            <v>110</v>
          </cell>
          <cell r="B17">
            <v>3.0483121954711838</v>
          </cell>
          <cell r="C17">
            <v>3.0483121954711838</v>
          </cell>
          <cell r="D17">
            <v>0.21792305234368659</v>
          </cell>
          <cell r="E17">
            <v>0.48832190741341197</v>
          </cell>
        </row>
        <row r="18">
          <cell r="A18">
            <v>120</v>
          </cell>
          <cell r="B18">
            <v>4.1335139409466128</v>
          </cell>
          <cell r="C18">
            <v>4.1335139409466128</v>
          </cell>
          <cell r="D18">
            <v>0.295503845129298</v>
          </cell>
          <cell r="E18">
            <v>0.66216492358026935</v>
          </cell>
        </row>
        <row r="19">
          <cell r="A19">
            <v>130</v>
          </cell>
          <cell r="B19">
            <v>5.4699931012516352</v>
          </cell>
          <cell r="C19">
            <v>5.4699931012516352</v>
          </cell>
          <cell r="D19">
            <v>0.3910483954677117</v>
          </cell>
          <cell r="E19">
            <v>0.87626112204315176</v>
          </cell>
        </row>
        <row r="20">
          <cell r="A20">
            <v>140</v>
          </cell>
          <cell r="B20">
            <v>7.0897867163683941</v>
          </cell>
          <cell r="C20">
            <v>7.0897867163683941</v>
          </cell>
          <cell r="D20">
            <v>0.50684702308121199</v>
          </cell>
          <cell r="E20">
            <v>1.1357426505181638</v>
          </cell>
        </row>
        <row r="21">
          <cell r="A21">
            <v>150</v>
          </cell>
          <cell r="B21">
            <v>9.0261896073239019</v>
          </cell>
          <cell r="C21">
            <v>9.0261896073239019</v>
          </cell>
          <cell r="D21">
            <v>0.64527996613445326</v>
          </cell>
          <cell r="E21">
            <v>1.4459431459389025</v>
          </cell>
        </row>
        <row r="22">
          <cell r="A22">
            <v>160</v>
          </cell>
          <cell r="B22">
            <v>11.313708498984759</v>
          </cell>
          <cell r="C22">
            <v>11.313708498984759</v>
          </cell>
          <cell r="D22">
            <v>0.80881410148489297</v>
          </cell>
          <cell r="E22">
            <v>1.8123903851946499</v>
          </cell>
        </row>
        <row r="23">
          <cell r="A23">
            <v>170</v>
          </cell>
          <cell r="B23">
            <v>13.988020829772934</v>
          </cell>
          <cell r="C23">
            <v>13.988020829772934</v>
          </cell>
          <cell r="D23">
            <v>1</v>
          </cell>
          <cell r="E23">
            <v>2.2407996866861035</v>
          </cell>
        </row>
        <row r="24">
          <cell r="A24">
            <v>180</v>
          </cell>
          <cell r="B24">
            <v>17.085937499999996</v>
          </cell>
          <cell r="C24">
            <v>17.085937499999996</v>
          </cell>
          <cell r="D24">
            <v>1.2214692634452817</v>
          </cell>
          <cell r="E24">
            <v>2.7370679428248916</v>
          </cell>
        </row>
        <row r="25">
          <cell r="A25">
            <v>190</v>
          </cell>
          <cell r="B25">
            <v>20.645368967951278</v>
          </cell>
          <cell r="C25">
            <v>20.645368967951278</v>
          </cell>
          <cell r="D25">
            <v>1.4759321007020845</v>
          </cell>
          <cell r="E25">
            <v>3.3072681888231932</v>
          </cell>
        </row>
        <row r="26">
          <cell r="A26">
            <v>200</v>
          </cell>
          <cell r="B26">
            <v>24.705294220065468</v>
          </cell>
          <cell r="C26">
            <v>24.705294220065468</v>
          </cell>
          <cell r="D26">
            <v>1.7661751094537448</v>
          </cell>
          <cell r="E26">
            <v>3.957644631896744</v>
          </cell>
        </row>
        <row r="27">
          <cell r="A27">
            <v>210</v>
          </cell>
          <cell r="B27">
            <v>29.305732230446868</v>
          </cell>
          <cell r="C27">
            <v>29.305732230446868</v>
          </cell>
          <cell r="D27">
            <v>2.0950592358334803</v>
          </cell>
          <cell r="E27">
            <v>4.694608079244488</v>
          </cell>
        </row>
        <row r="28">
          <cell r="A28">
            <v>220</v>
          </cell>
          <cell r="B28">
            <v>34.487715593461225</v>
          </cell>
          <cell r="C28">
            <v>34.487715593461225</v>
          </cell>
          <cell r="D28">
            <v>2.4655178894254677</v>
          </cell>
          <cell r="E28">
            <v>5.5247317141435683</v>
          </cell>
        </row>
        <row r="29">
          <cell r="A29">
            <v>230</v>
          </cell>
          <cell r="B29">
            <v>40.293266066740784</v>
          </cell>
          <cell r="C29">
            <v>40.293266066740784</v>
          </cell>
          <cell r="D29">
            <v>2.8805551948405905</v>
          </cell>
          <cell r="E29">
            <v>6.4547471780808205</v>
          </cell>
        </row>
        <row r="30">
          <cell r="A30">
            <v>240</v>
          </cell>
          <cell r="B30">
            <v>46.765371804359695</v>
          </cell>
          <cell r="C30">
            <v>46.765371804359695</v>
          </cell>
          <cell r="D30">
            <v>3.3432443641220146</v>
          </cell>
          <cell r="E30">
            <v>7.4915409236396888</v>
          </cell>
        </row>
        <row r="31">
          <cell r="A31">
            <v>250</v>
          </cell>
          <cell r="B31">
            <v>53.947966093944359</v>
          </cell>
          <cell r="C31">
            <v>53.947966093944359</v>
          </cell>
          <cell r="D31">
            <v>3.856726176666704</v>
          </cell>
          <cell r="E31">
            <v>8.6421508083088394</v>
          </cell>
        </row>
        <row r="32">
          <cell r="A32">
            <v>260</v>
          </cell>
          <cell r="B32">
            <v>61.885907439018659</v>
          </cell>
          <cell r="C32">
            <v>61.885907439018659</v>
          </cell>
          <cell r="D32">
            <v>4.4242075553174036</v>
          </cell>
          <cell r="E32">
            <v>9.9137629037895287</v>
          </cell>
        </row>
        <row r="33">
          <cell r="A33">
            <v>270</v>
          </cell>
          <cell r="B33">
            <v>70.624960850392526</v>
          </cell>
          <cell r="C33">
            <v>70.624960850392526</v>
          </cell>
          <cell r="D33">
            <v>5.0489602288888626</v>
          </cell>
          <cell r="E33">
            <v>11.313708498984759</v>
          </cell>
        </row>
        <row r="34">
          <cell r="A34">
            <v>280</v>
          </cell>
          <cell r="B34">
            <v>80.21178022896639</v>
          </cell>
          <cell r="C34">
            <v>80.21178022896639</v>
          </cell>
          <cell r="D34">
            <v>5.734319472719033</v>
          </cell>
          <cell r="E34">
            <v>12.849461277826824</v>
          </cell>
        </row>
        <row r="35">
          <cell r="A35">
            <v>290</v>
          </cell>
          <cell r="B35">
            <v>90.693891737751414</v>
          </cell>
          <cell r="C35">
            <v>90.693891737751414</v>
          </cell>
          <cell r="D35">
            <v>6.4836829199391186</v>
          </cell>
          <cell r="E35">
            <v>14.528634655571624</v>
          </cell>
        </row>
        <row r="36">
          <cell r="A36">
            <v>300</v>
          </cell>
          <cell r="B36">
            <v>102.11967807382838</v>
          </cell>
          <cell r="C36">
            <v>102.11967807382838</v>
          </cell>
          <cell r="D36">
            <v>7.3005094370799632</v>
          </cell>
          <cell r="E36">
            <v>16.358979259257723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hyperlink" Target="http://www.astro.wisc.edu/~townsend/resource/teaching/diploma/venus-p.gif" TargetMode="External"/><Relationship Id="rId1" Type="http://schemas.openxmlformats.org/officeDocument/2006/relationships/hyperlink" Target="http://www.astro.wisc.edu/~townsend/resource/teaching/diploma/venus-t.gif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en.wikipedia.org/wiki/Atmosphere_of_Venus" TargetMode="External"/><Relationship Id="rId2" Type="http://schemas.openxmlformats.org/officeDocument/2006/relationships/hyperlink" Target="http://www.astro.wisc.edu/~townsend/resource/teaching/diploma/venus-p.gif" TargetMode="External"/><Relationship Id="rId1" Type="http://schemas.openxmlformats.org/officeDocument/2006/relationships/hyperlink" Target="http://www.astro.wisc.edu/~townsend/resource/teaching/diploma/venus-t.gif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http://www.engineeringtoolbox.com/carbon-dioxide-d_974.html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hyperlink" Target="http://books.google.com/books?id=G7UtYkLQoYoC&amp;pg=PA385&amp;lpg=PA385&amp;dq=%22lapse+rate%22+of+jupiter&amp;source=bl&amp;ots=jETl82q_FS&amp;sig=TXj8hIblFacX1HIzBn8P-iXHNhA&amp;hl=en&amp;sa=X&amp;ei=0et1UYCbCMnGrgGG6IHwBQ&amp;ved=0CGsQ6AEwCA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hyperlink" Target="http://en.wikipedia.org/wiki/Atmosphere_of_Ven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25"/>
  <sheetViews>
    <sheetView workbookViewId="0">
      <selection activeCell="E10" sqref="E10"/>
    </sheetView>
  </sheetViews>
  <sheetFormatPr defaultRowHeight="15"/>
  <cols>
    <col min="4" max="4" width="12" bestFit="1" customWidth="1"/>
  </cols>
  <sheetData>
    <row r="1" spans="1:5">
      <c r="A1">
        <v>300</v>
      </c>
      <c r="D1">
        <v>6</v>
      </c>
      <c r="E1">
        <f>21/4</f>
        <v>5.25</v>
      </c>
    </row>
    <row r="2" spans="1:5">
      <c r="D2">
        <v>160</v>
      </c>
    </row>
    <row r="10" spans="1:5">
      <c r="A10">
        <v>0</v>
      </c>
      <c r="B10">
        <f xml:space="preserve"> -25.68 - 0.000548 * $A10</f>
        <v>-25.68</v>
      </c>
      <c r="C10">
        <f>14.62 * EXP(-0.0003 * $A10)</f>
        <v>14.62</v>
      </c>
      <c r="D10">
        <f>+($E10/$D$2)^$D$1</f>
        <v>11.665457292533841</v>
      </c>
      <c r="E10">
        <f>+($B10-32)*5/9+273</f>
        <v>240.95555555555555</v>
      </c>
    </row>
    <row r="11" spans="1:5">
      <c r="A11">
        <f>+$A10+$A$1</f>
        <v>300</v>
      </c>
      <c r="B11">
        <f t="shared" ref="B11:B74" si="0" xml:space="preserve"> -25.68 - 0.000548 * $A11</f>
        <v>-25.8444</v>
      </c>
      <c r="C11">
        <f t="shared" ref="C11:C74" si="1">14.62 * EXP(-0.00003 * $A11)</f>
        <v>14.489010337659558</v>
      </c>
      <c r="D11">
        <f t="shared" ref="D11:D74" si="2">+($E11/$D$2)^$D$1</f>
        <v>11.638951923751097</v>
      </c>
      <c r="E11">
        <f t="shared" ref="E11:E74" si="3">+($B11-32)*5/9+273</f>
        <v>240.86422222222222</v>
      </c>
    </row>
    <row r="12" spans="1:5">
      <c r="A12">
        <f t="shared" ref="A12:A75" si="4">+$A11+$A$1</f>
        <v>600</v>
      </c>
      <c r="B12">
        <f t="shared" si="0"/>
        <v>-26.008800000000001</v>
      </c>
      <c r="C12">
        <f t="shared" si="1"/>
        <v>14.359194293078357</v>
      </c>
      <c r="D12">
        <f t="shared" si="2"/>
        <v>11.612496760228023</v>
      </c>
      <c r="E12">
        <f t="shared" si="3"/>
        <v>240.7728888888889</v>
      </c>
    </row>
    <row r="13" spans="1:5">
      <c r="A13">
        <f t="shared" si="4"/>
        <v>900</v>
      </c>
      <c r="B13">
        <f t="shared" si="0"/>
        <v>-26.173200000000001</v>
      </c>
      <c r="C13">
        <f t="shared" si="1"/>
        <v>14.230541351085803</v>
      </c>
      <c r="D13">
        <f t="shared" si="2"/>
        <v>11.586091725858553</v>
      </c>
      <c r="E13">
        <f t="shared" si="3"/>
        <v>240.68155555555555</v>
      </c>
    </row>
    <row r="14" spans="1:5">
      <c r="A14">
        <f t="shared" si="4"/>
        <v>1200</v>
      </c>
      <c r="B14">
        <f t="shared" si="0"/>
        <v>-26.337599999999998</v>
      </c>
      <c r="C14">
        <f t="shared" si="1"/>
        <v>14.103041090723259</v>
      </c>
      <c r="D14">
        <f t="shared" si="2"/>
        <v>11.55973674462321</v>
      </c>
      <c r="E14">
        <f t="shared" si="3"/>
        <v>240.59022222222222</v>
      </c>
    </row>
    <row r="15" spans="1:5">
      <c r="A15">
        <f t="shared" si="4"/>
        <v>1500</v>
      </c>
      <c r="B15">
        <f t="shared" si="0"/>
        <v>-26.501999999999999</v>
      </c>
      <c r="C15">
        <f t="shared" si="1"/>
        <v>13.976683184399921</v>
      </c>
      <c r="D15">
        <f t="shared" si="2"/>
        <v>11.533431740589013</v>
      </c>
      <c r="E15">
        <f t="shared" si="3"/>
        <v>240.4988888888889</v>
      </c>
    </row>
    <row r="16" spans="1:5">
      <c r="A16">
        <f t="shared" si="4"/>
        <v>1800</v>
      </c>
      <c r="B16">
        <f t="shared" si="0"/>
        <v>-26.666399999999999</v>
      </c>
      <c r="C16">
        <f t="shared" si="1"/>
        <v>13.85145739705629</v>
      </c>
      <c r="D16">
        <f t="shared" si="2"/>
        <v>11.507176637909369</v>
      </c>
      <c r="E16">
        <f t="shared" si="3"/>
        <v>240.40755555555555</v>
      </c>
    </row>
    <row r="17" spans="1:5">
      <c r="A17">
        <f t="shared" si="4"/>
        <v>2100</v>
      </c>
      <c r="B17">
        <f t="shared" si="0"/>
        <v>-26.8308</v>
      </c>
      <c r="C17">
        <f t="shared" si="1"/>
        <v>13.727353585335127</v>
      </c>
      <c r="D17">
        <f t="shared" si="2"/>
        <v>11.480971360824093</v>
      </c>
      <c r="E17">
        <f t="shared" si="3"/>
        <v>240.31622222222222</v>
      </c>
    </row>
    <row r="18" spans="1:5">
      <c r="A18">
        <f t="shared" si="4"/>
        <v>2400</v>
      </c>
      <c r="B18">
        <f t="shared" si="0"/>
        <v>-26.995200000000001</v>
      </c>
      <c r="C18">
        <f t="shared" si="1"/>
        <v>13.604361696759828</v>
      </c>
      <c r="D18">
        <f t="shared" si="2"/>
        <v>11.454815833659287</v>
      </c>
      <c r="E18">
        <f t="shared" si="3"/>
        <v>240.2248888888889</v>
      </c>
    </row>
    <row r="19" spans="1:5">
      <c r="A19">
        <f t="shared" si="4"/>
        <v>2700</v>
      </c>
      <c r="B19">
        <f t="shared" si="0"/>
        <v>-27.159600000000001</v>
      </c>
      <c r="C19">
        <f t="shared" si="1"/>
        <v>13.482471768920169</v>
      </c>
      <c r="D19">
        <f t="shared" si="2"/>
        <v>11.428709980827263</v>
      </c>
      <c r="E19">
        <f t="shared" si="3"/>
        <v>240.13355555555555</v>
      </c>
    </row>
    <row r="20" spans="1:5">
      <c r="A20">
        <f t="shared" si="4"/>
        <v>3000</v>
      </c>
      <c r="B20">
        <f t="shared" si="0"/>
        <v>-27.323999999999998</v>
      </c>
      <c r="C20">
        <f t="shared" si="1"/>
        <v>13.361673928665356</v>
      </c>
      <c r="D20">
        <f t="shared" si="2"/>
        <v>11.402653726826518</v>
      </c>
      <c r="E20">
        <f t="shared" si="3"/>
        <v>240.04222222222222</v>
      </c>
    </row>
    <row r="21" spans="1:5">
      <c r="A21">
        <f t="shared" si="4"/>
        <v>3300</v>
      </c>
      <c r="B21">
        <f t="shared" si="0"/>
        <v>-27.488399999999999</v>
      </c>
      <c r="C21">
        <f t="shared" si="1"/>
        <v>13.241958391304278</v>
      </c>
      <c r="D21">
        <f t="shared" si="2"/>
        <v>11.376646996241652</v>
      </c>
      <c r="E21">
        <f t="shared" si="3"/>
        <v>239.9508888888889</v>
      </c>
    </row>
    <row r="22" spans="1:5">
      <c r="A22">
        <f t="shared" si="4"/>
        <v>3600</v>
      </c>
      <c r="B22">
        <f t="shared" si="0"/>
        <v>-27.652799999999999</v>
      </c>
      <c r="C22">
        <f t="shared" si="1"/>
        <v>13.123315459812957</v>
      </c>
      <c r="D22">
        <f t="shared" si="2"/>
        <v>11.35068971374327</v>
      </c>
      <c r="E22">
        <f t="shared" si="3"/>
        <v>239.85955555555554</v>
      </c>
    </row>
    <row r="23" spans="1:5">
      <c r="A23">
        <f t="shared" si="4"/>
        <v>3900</v>
      </c>
      <c r="B23">
        <f t="shared" si="0"/>
        <v>-27.8172</v>
      </c>
      <c r="C23">
        <f t="shared" si="1"/>
        <v>13.005735524049072</v>
      </c>
      <c r="D23">
        <f t="shared" si="2"/>
        <v>11.324781804087992</v>
      </c>
      <c r="E23">
        <f t="shared" si="3"/>
        <v>239.76822222222222</v>
      </c>
    </row>
    <row r="24" spans="1:5">
      <c r="A24">
        <f t="shared" si="4"/>
        <v>4200</v>
      </c>
      <c r="B24">
        <f t="shared" si="0"/>
        <v>-27.9816</v>
      </c>
      <c r="C24">
        <f t="shared" si="1"/>
        <v>12.889209059973542</v>
      </c>
      <c r="D24">
        <f t="shared" si="2"/>
        <v>11.298923192118329</v>
      </c>
      <c r="E24">
        <f t="shared" si="3"/>
        <v>239.6768888888889</v>
      </c>
    </row>
    <row r="25" spans="1:5">
      <c r="A25">
        <f t="shared" si="4"/>
        <v>4500</v>
      </c>
      <c r="B25">
        <f t="shared" si="0"/>
        <v>-28.146000000000001</v>
      </c>
      <c r="C25">
        <f t="shared" si="1"/>
        <v>12.773726628879063</v>
      </c>
      <c r="D25">
        <f t="shared" si="2"/>
        <v>11.273113802762589</v>
      </c>
      <c r="E25">
        <f t="shared" si="3"/>
        <v>239.58555555555554</v>
      </c>
    </row>
    <row r="26" spans="1:5">
      <c r="A26">
        <f t="shared" si="4"/>
        <v>4800</v>
      </c>
      <c r="B26">
        <f t="shared" si="0"/>
        <v>-28.310400000000001</v>
      </c>
      <c r="C26">
        <f t="shared" si="1"/>
        <v>12.659278876625576</v>
      </c>
      <c r="D26">
        <f t="shared" si="2"/>
        <v>11.247353561034901</v>
      </c>
      <c r="E26">
        <f t="shared" si="3"/>
        <v>239.49422222222222</v>
      </c>
    </row>
    <row r="27" spans="1:5">
      <c r="A27">
        <f t="shared" si="4"/>
        <v>5100</v>
      </c>
      <c r="B27">
        <f t="shared" si="0"/>
        <v>-28.474799999999998</v>
      </c>
      <c r="C27">
        <f t="shared" si="1"/>
        <v>12.545856532882576</v>
      </c>
      <c r="D27">
        <f t="shared" si="2"/>
        <v>11.221642392035093</v>
      </c>
      <c r="E27">
        <f t="shared" si="3"/>
        <v>239.4028888888889</v>
      </c>
    </row>
    <row r="28" spans="1:5">
      <c r="A28">
        <f t="shared" si="4"/>
        <v>5400</v>
      </c>
      <c r="B28">
        <f t="shared" si="0"/>
        <v>-28.639199999999999</v>
      </c>
      <c r="C28">
        <f t="shared" si="1"/>
        <v>12.433450410378205</v>
      </c>
      <c r="D28">
        <f t="shared" si="2"/>
        <v>11.195980220948625</v>
      </c>
      <c r="E28">
        <f t="shared" si="3"/>
        <v>239.31155555555554</v>
      </c>
    </row>
    <row r="29" spans="1:5">
      <c r="A29">
        <f t="shared" si="4"/>
        <v>5700</v>
      </c>
      <c r="B29">
        <f t="shared" si="0"/>
        <v>-28.803599999999999</v>
      </c>
      <c r="C29">
        <f t="shared" si="1"/>
        <v>12.322051404155083</v>
      </c>
      <c r="D29">
        <f t="shared" si="2"/>
        <v>11.17036697304653</v>
      </c>
      <c r="E29">
        <f t="shared" si="3"/>
        <v>239.22022222222222</v>
      </c>
    </row>
    <row r="30" spans="1:5">
      <c r="A30">
        <f t="shared" si="4"/>
        <v>6000</v>
      </c>
      <c r="B30">
        <f t="shared" si="0"/>
        <v>-28.968</v>
      </c>
      <c r="C30">
        <f t="shared" si="1"/>
        <v>12.211650490832795</v>
      </c>
      <c r="D30">
        <f t="shared" si="2"/>
        <v>11.144802573685377</v>
      </c>
      <c r="E30">
        <f t="shared" si="3"/>
        <v>239.12888888888889</v>
      </c>
    </row>
    <row r="31" spans="1:5">
      <c r="A31">
        <f t="shared" si="4"/>
        <v>6300</v>
      </c>
      <c r="B31">
        <f t="shared" si="0"/>
        <v>-29.132400000000001</v>
      </c>
      <c r="C31">
        <f t="shared" si="1"/>
        <v>12.102238727877005</v>
      </c>
      <c r="D31">
        <f t="shared" si="2"/>
        <v>11.119286948307147</v>
      </c>
      <c r="E31">
        <f t="shared" si="3"/>
        <v>239.03755555555554</v>
      </c>
    </row>
    <row r="32" spans="1:5">
      <c r="A32">
        <f t="shared" si="4"/>
        <v>6600</v>
      </c>
      <c r="B32">
        <f t="shared" si="0"/>
        <v>-29.296800000000001</v>
      </c>
      <c r="C32">
        <f t="shared" si="1"/>
        <v>11.99380725287509</v>
      </c>
      <c r="D32">
        <f t="shared" si="2"/>
        <v>11.093820022439235</v>
      </c>
      <c r="E32">
        <f t="shared" si="3"/>
        <v>238.94622222222222</v>
      </c>
    </row>
    <row r="33" spans="1:5">
      <c r="A33">
        <f t="shared" si="4"/>
        <v>6900</v>
      </c>
      <c r="B33">
        <f t="shared" si="0"/>
        <v>-29.461199999999998</v>
      </c>
      <c r="C33">
        <f t="shared" si="1"/>
        <v>11.886347282818289</v>
      </c>
      <c r="D33">
        <f t="shared" si="2"/>
        <v>11.068401721694343</v>
      </c>
      <c r="E33">
        <f t="shared" si="3"/>
        <v>238.85488888888889</v>
      </c>
    </row>
    <row r="34" spans="1:5">
      <c r="A34">
        <f t="shared" si="4"/>
        <v>7200</v>
      </c>
      <c r="B34">
        <f t="shared" si="0"/>
        <v>-29.625599999999999</v>
      </c>
      <c r="C34">
        <f t="shared" si="1"/>
        <v>11.779850113390271</v>
      </c>
      <c r="D34">
        <f t="shared" si="2"/>
        <v>11.043031971770406</v>
      </c>
      <c r="E34">
        <f t="shared" si="3"/>
        <v>238.76355555555557</v>
      </c>
    </row>
    <row r="35" spans="1:5">
      <c r="A35">
        <f t="shared" si="4"/>
        <v>7500</v>
      </c>
      <c r="B35">
        <f t="shared" si="0"/>
        <v>-29.79</v>
      </c>
      <c r="C35">
        <f t="shared" si="1"/>
        <v>11.674307118262092</v>
      </c>
      <c r="D35">
        <f t="shared" si="2"/>
        <v>11.017710698450559</v>
      </c>
      <c r="E35">
        <f t="shared" si="3"/>
        <v>238.67222222222222</v>
      </c>
    </row>
    <row r="36" spans="1:5">
      <c r="A36">
        <f t="shared" si="4"/>
        <v>7800</v>
      </c>
      <c r="B36">
        <f t="shared" si="0"/>
        <v>-29.9544</v>
      </c>
      <c r="C36">
        <f t="shared" si="1"/>
        <v>11.569709748393436</v>
      </c>
      <c r="D36">
        <f t="shared" si="2"/>
        <v>10.992437827603084</v>
      </c>
      <c r="E36">
        <f t="shared" si="3"/>
        <v>238.58088888888889</v>
      </c>
    </row>
    <row r="37" spans="1:5">
      <c r="A37">
        <f t="shared" si="4"/>
        <v>8100</v>
      </c>
      <c r="B37">
        <f t="shared" si="0"/>
        <v>-30.1188</v>
      </c>
      <c r="C37">
        <f t="shared" si="1"/>
        <v>11.466049531340154</v>
      </c>
      <c r="D37">
        <f t="shared" si="2"/>
        <v>10.967213285181261</v>
      </c>
      <c r="E37">
        <f t="shared" si="3"/>
        <v>238.48955555555557</v>
      </c>
    </row>
    <row r="38" spans="1:5">
      <c r="A38">
        <f t="shared" si="4"/>
        <v>8400</v>
      </c>
      <c r="B38">
        <f t="shared" si="0"/>
        <v>-30.283200000000001</v>
      </c>
      <c r="C38">
        <f t="shared" si="1"/>
        <v>11.363318070567992</v>
      </c>
      <c r="D38">
        <f t="shared" si="2"/>
        <v>10.942036997223404</v>
      </c>
      <c r="E38">
        <f t="shared" si="3"/>
        <v>238.39822222222222</v>
      </c>
    </row>
    <row r="39" spans="1:5">
      <c r="A39">
        <f t="shared" si="4"/>
        <v>8700</v>
      </c>
      <c r="B39">
        <f t="shared" si="0"/>
        <v>-30.447600000000001</v>
      </c>
      <c r="C39">
        <f t="shared" si="1"/>
        <v>11.261507044772456</v>
      </c>
      <c r="D39">
        <f t="shared" si="2"/>
        <v>10.916908889852747</v>
      </c>
      <c r="E39">
        <f t="shared" si="3"/>
        <v>238.30688888888889</v>
      </c>
    </row>
    <row r="40" spans="1:5">
      <c r="A40">
        <f t="shared" si="4"/>
        <v>9000</v>
      </c>
      <c r="B40">
        <f t="shared" si="0"/>
        <v>-30.611999999999998</v>
      </c>
      <c r="C40">
        <f t="shared" si="1"/>
        <v>11.160608207204792</v>
      </c>
      <c r="D40">
        <f t="shared" si="2"/>
        <v>10.89182888927737</v>
      </c>
      <c r="E40">
        <f t="shared" si="3"/>
        <v>238.21555555555557</v>
      </c>
    </row>
    <row r="41" spans="1:5">
      <c r="A41">
        <f t="shared" si="4"/>
        <v>9300</v>
      </c>
      <c r="B41">
        <f t="shared" si="0"/>
        <v>-30.776399999999999</v>
      </c>
      <c r="C41">
        <f t="shared" si="1"/>
        <v>11.060613385003991</v>
      </c>
      <c r="D41">
        <f t="shared" si="2"/>
        <v>10.866796921790163</v>
      </c>
      <c r="E41">
        <f t="shared" si="3"/>
        <v>238.12422222222222</v>
      </c>
    </row>
    <row r="42" spans="1:5">
      <c r="A42">
        <f t="shared" si="4"/>
        <v>9600</v>
      </c>
      <c r="B42">
        <f t="shared" si="0"/>
        <v>-30.940799999999999</v>
      </c>
      <c r="C42">
        <f t="shared" si="1"/>
        <v>10.961514478534783</v>
      </c>
      <c r="D42">
        <f t="shared" si="2"/>
        <v>10.84181291376874</v>
      </c>
      <c r="E42">
        <f t="shared" si="3"/>
        <v>238.03288888888889</v>
      </c>
    </row>
    <row r="43" spans="1:5">
      <c r="A43">
        <f t="shared" si="4"/>
        <v>9900</v>
      </c>
      <c r="B43">
        <f t="shared" si="0"/>
        <v>-31.1052</v>
      </c>
      <c r="C43">
        <f t="shared" si="1"/>
        <v>10.86330346073156</v>
      </c>
      <c r="D43">
        <f t="shared" si="2"/>
        <v>10.81687679167538</v>
      </c>
      <c r="E43">
        <f t="shared" si="3"/>
        <v>237.94155555555557</v>
      </c>
    </row>
    <row r="44" spans="1:5">
      <c r="A44">
        <f t="shared" si="4"/>
        <v>10200</v>
      </c>
      <c r="B44">
        <f t="shared" si="0"/>
        <v>-31.269600000000001</v>
      </c>
      <c r="C44">
        <f t="shared" si="1"/>
        <v>10.765972376448183</v>
      </c>
      <c r="D44">
        <f t="shared" si="2"/>
        <v>10.791988482056954</v>
      </c>
      <c r="E44">
        <f t="shared" si="3"/>
        <v>237.85022222222221</v>
      </c>
    </row>
    <row r="45" spans="1:5">
      <c r="A45">
        <f t="shared" si="4"/>
        <v>10500</v>
      </c>
      <c r="B45">
        <f t="shared" si="0"/>
        <v>-31.433999999999997</v>
      </c>
      <c r="C45">
        <f t="shared" si="1"/>
        <v>10.669513341813611</v>
      </c>
      <c r="D45">
        <f t="shared" si="2"/>
        <v>10.767147911544903</v>
      </c>
      <c r="E45">
        <f t="shared" si="3"/>
        <v>237.75888888888889</v>
      </c>
    </row>
    <row r="46" spans="1:5">
      <c r="A46">
        <f t="shared" si="4"/>
        <v>10800</v>
      </c>
      <c r="B46">
        <f t="shared" si="0"/>
        <v>-31.598399999999998</v>
      </c>
      <c r="C46">
        <f t="shared" si="1"/>
        <v>10.573918543593296</v>
      </c>
      <c r="D46">
        <f t="shared" si="2"/>
        <v>10.742355006855092</v>
      </c>
      <c r="E46">
        <f t="shared" si="3"/>
        <v>237.66755555555557</v>
      </c>
    </row>
    <row r="47" spans="1:5">
      <c r="A47">
        <f t="shared" si="4"/>
        <v>11100</v>
      </c>
      <c r="B47">
        <f t="shared" si="0"/>
        <v>-31.762799999999999</v>
      </c>
      <c r="C47">
        <f t="shared" si="1"/>
        <v>10.479180238556319</v>
      </c>
      <c r="D47">
        <f t="shared" si="2"/>
        <v>10.71760969478782</v>
      </c>
      <c r="E47">
        <f t="shared" si="3"/>
        <v>237.57622222222221</v>
      </c>
    </row>
    <row r="48" spans="1:5">
      <c r="A48">
        <f t="shared" si="4"/>
        <v>11400</v>
      </c>
      <c r="B48">
        <f t="shared" si="0"/>
        <v>-31.927199999999999</v>
      </c>
      <c r="C48">
        <f t="shared" si="1"/>
        <v>10.385290752848171</v>
      </c>
      <c r="D48">
        <f t="shared" si="2"/>
        <v>10.692911902227731</v>
      </c>
      <c r="E48">
        <f t="shared" si="3"/>
        <v>237.48488888888889</v>
      </c>
    </row>
    <row r="49" spans="1:5">
      <c r="A49">
        <f t="shared" si="4"/>
        <v>11700</v>
      </c>
      <c r="B49">
        <f t="shared" si="0"/>
        <v>-32.0916</v>
      </c>
      <c r="C49">
        <f t="shared" si="1"/>
        <v>10.292242481369177</v>
      </c>
      <c r="D49">
        <f t="shared" si="2"/>
        <v>10.668261556143722</v>
      </c>
      <c r="E49">
        <f t="shared" si="3"/>
        <v>237.39355555555557</v>
      </c>
    </row>
    <row r="50" spans="1:5">
      <c r="A50">
        <f t="shared" si="4"/>
        <v>12000</v>
      </c>
      <c r="B50">
        <f t="shared" si="0"/>
        <v>-32.256</v>
      </c>
      <c r="C50">
        <f t="shared" si="1"/>
        <v>10.200027887158473</v>
      </c>
      <c r="D50">
        <f t="shared" si="2"/>
        <v>10.643658583588923</v>
      </c>
      <c r="E50">
        <f t="shared" si="3"/>
        <v>237.30222222222221</v>
      </c>
    </row>
    <row r="51" spans="1:5">
      <c r="A51">
        <f t="shared" si="4"/>
        <v>12300</v>
      </c>
      <c r="B51">
        <f t="shared" si="0"/>
        <v>-32.420400000000001</v>
      </c>
      <c r="C51">
        <f t="shared" si="1"/>
        <v>10.108639500783509</v>
      </c>
      <c r="D51">
        <f t="shared" si="2"/>
        <v>10.61910291170061</v>
      </c>
      <c r="E51">
        <f t="shared" si="3"/>
        <v>237.21088888888889</v>
      </c>
    </row>
    <row r="52" spans="1:5">
      <c r="A52">
        <f t="shared" si="4"/>
        <v>12600</v>
      </c>
      <c r="B52">
        <f t="shared" si="0"/>
        <v>-32.584800000000001</v>
      </c>
      <c r="C52">
        <f t="shared" si="1"/>
        <v>10.018069919735023</v>
      </c>
      <c r="D52">
        <f t="shared" si="2"/>
        <v>10.594594467700119</v>
      </c>
      <c r="E52">
        <f t="shared" si="3"/>
        <v>237.11955555555556</v>
      </c>
    </row>
    <row r="53" spans="1:5">
      <c r="A53">
        <f t="shared" si="4"/>
        <v>12900</v>
      </c>
      <c r="B53">
        <f t="shared" si="0"/>
        <v>-32.749200000000002</v>
      </c>
      <c r="C53">
        <f t="shared" si="1"/>
        <v>9.9283118078274288</v>
      </c>
      <c r="D53">
        <f t="shared" si="2"/>
        <v>10.570133178892835</v>
      </c>
      <c r="E53">
        <f t="shared" si="3"/>
        <v>237.02822222222221</v>
      </c>
    </row>
    <row r="54" spans="1:5">
      <c r="A54">
        <f t="shared" si="4"/>
        <v>13200</v>
      </c>
      <c r="B54">
        <f t="shared" si="0"/>
        <v>-32.913600000000002</v>
      </c>
      <c r="C54">
        <f t="shared" si="1"/>
        <v>9.8393578946045892</v>
      </c>
      <c r="D54">
        <f t="shared" si="2"/>
        <v>10.545718972668071</v>
      </c>
      <c r="E54">
        <f t="shared" si="3"/>
        <v>236.93688888888889</v>
      </c>
    </row>
    <row r="55" spans="1:5">
      <c r="A55">
        <f t="shared" si="4"/>
        <v>13500</v>
      </c>
      <c r="B55">
        <f t="shared" si="0"/>
        <v>-33.078000000000003</v>
      </c>
      <c r="C55">
        <f t="shared" si="1"/>
        <v>9.7512009747508941</v>
      </c>
      <c r="D55">
        <f t="shared" si="2"/>
        <v>10.521351776499039</v>
      </c>
      <c r="E55">
        <f t="shared" si="3"/>
        <v>236.84555555555556</v>
      </c>
    </row>
    <row r="56" spans="1:5">
      <c r="A56">
        <f t="shared" si="4"/>
        <v>13800</v>
      </c>
      <c r="B56">
        <f t="shared" si="0"/>
        <v>-33.242399999999996</v>
      </c>
      <c r="C56">
        <f t="shared" si="1"/>
        <v>9.6638339075076392</v>
      </c>
      <c r="D56">
        <f t="shared" si="2"/>
        <v>10.497031517942762</v>
      </c>
      <c r="E56">
        <f t="shared" si="3"/>
        <v>236.75422222222221</v>
      </c>
    </row>
    <row r="57" spans="1:5">
      <c r="A57">
        <f t="shared" si="4"/>
        <v>14100</v>
      </c>
      <c r="B57">
        <f t="shared" si="0"/>
        <v>-33.406799999999997</v>
      </c>
      <c r="C57">
        <f t="shared" si="1"/>
        <v>9.5772496160946066</v>
      </c>
      <c r="D57">
        <f t="shared" si="2"/>
        <v>10.472758124640054</v>
      </c>
      <c r="E57">
        <f t="shared" si="3"/>
        <v>236.66288888888889</v>
      </c>
    </row>
    <row r="58" spans="1:5">
      <c r="A58">
        <f t="shared" si="4"/>
        <v>14400</v>
      </c>
      <c r="B58">
        <f t="shared" si="0"/>
        <v>-33.571199999999997</v>
      </c>
      <c r="C58">
        <f t="shared" si="1"/>
        <v>9.491441087136856</v>
      </c>
      <c r="D58">
        <f t="shared" si="2"/>
        <v>10.448531524315381</v>
      </c>
      <c r="E58">
        <f t="shared" si="3"/>
        <v>236.57155555555556</v>
      </c>
    </row>
    <row r="59" spans="1:5">
      <c r="A59">
        <f t="shared" si="4"/>
        <v>14700</v>
      </c>
      <c r="B59">
        <f t="shared" si="0"/>
        <v>-33.735599999999998</v>
      </c>
      <c r="C59">
        <f t="shared" si="1"/>
        <v>9.4064013700966189</v>
      </c>
      <c r="D59">
        <f t="shared" si="2"/>
        <v>10.424351644776861</v>
      </c>
      <c r="E59">
        <f t="shared" si="3"/>
        <v>236.48022222222221</v>
      </c>
    </row>
    <row r="60" spans="1:5">
      <c r="A60">
        <f t="shared" si="4"/>
        <v>15000</v>
      </c>
      <c r="B60">
        <f t="shared" si="0"/>
        <v>-33.9</v>
      </c>
      <c r="C60">
        <f t="shared" si="1"/>
        <v>9.3221235767103252</v>
      </c>
      <c r="D60">
        <f t="shared" si="2"/>
        <v>10.400218413916196</v>
      </c>
      <c r="E60">
        <f t="shared" si="3"/>
        <v>236.38888888888889</v>
      </c>
    </row>
    <row r="61" spans="1:5">
      <c r="A61">
        <f t="shared" si="4"/>
        <v>15300</v>
      </c>
      <c r="B61">
        <f t="shared" si="0"/>
        <v>-34.064399999999999</v>
      </c>
      <c r="C61">
        <f t="shared" si="1"/>
        <v>9.2386008804306297</v>
      </c>
      <c r="D61">
        <f t="shared" si="2"/>
        <v>10.376131759708533</v>
      </c>
      <c r="E61">
        <f t="shared" si="3"/>
        <v>236.29755555555556</v>
      </c>
    </row>
    <row r="62" spans="1:5">
      <c r="A62">
        <f t="shared" si="4"/>
        <v>15600</v>
      </c>
      <c r="B62">
        <f t="shared" si="0"/>
        <v>-34.2288</v>
      </c>
      <c r="C62">
        <f t="shared" si="1"/>
        <v>9.1558265158734677</v>
      </c>
      <c r="D62">
        <f t="shared" si="2"/>
        <v>10.352091610212511</v>
      </c>
      <c r="E62">
        <f t="shared" si="3"/>
        <v>236.20622222222221</v>
      </c>
    </row>
    <row r="63" spans="1:5">
      <c r="A63">
        <f t="shared" si="4"/>
        <v>15900</v>
      </c>
      <c r="B63">
        <f t="shared" si="0"/>
        <v>-34.3932</v>
      </c>
      <c r="C63">
        <f t="shared" si="1"/>
        <v>9.0737937782700531</v>
      </c>
      <c r="D63">
        <f t="shared" si="2"/>
        <v>10.328097893570128</v>
      </c>
      <c r="E63">
        <f t="shared" si="3"/>
        <v>236.11488888888888</v>
      </c>
    </row>
    <row r="64" spans="1:5">
      <c r="A64">
        <f t="shared" si="4"/>
        <v>16200</v>
      </c>
      <c r="B64">
        <f t="shared" si="0"/>
        <v>-34.557600000000001</v>
      </c>
      <c r="C64">
        <f t="shared" si="1"/>
        <v>8.9924960229237882</v>
      </c>
      <c r="D64">
        <f t="shared" si="2"/>
        <v>10.304150538006654</v>
      </c>
      <c r="E64">
        <f t="shared" si="3"/>
        <v>236.02355555555556</v>
      </c>
    </row>
    <row r="65" spans="1:5">
      <c r="A65">
        <f t="shared" si="4"/>
        <v>16500</v>
      </c>
      <c r="B65">
        <f t="shared" si="0"/>
        <v>-34.722000000000001</v>
      </c>
      <c r="C65">
        <f t="shared" si="1"/>
        <v>8.9119266646720412</v>
      </c>
      <c r="D65">
        <f t="shared" si="2"/>
        <v>10.280249471830642</v>
      </c>
      <c r="E65">
        <f t="shared" si="3"/>
        <v>235.93222222222221</v>
      </c>
    </row>
    <row r="66" spans="1:5">
      <c r="A66">
        <f t="shared" si="4"/>
        <v>16800</v>
      </c>
      <c r="B66">
        <f t="shared" si="0"/>
        <v>-34.886400000000002</v>
      </c>
      <c r="C66">
        <f t="shared" si="1"/>
        <v>8.8320791773527407</v>
      </c>
      <c r="D66">
        <f t="shared" si="2"/>
        <v>10.256394623433822</v>
      </c>
      <c r="E66">
        <f t="shared" si="3"/>
        <v>235.84088888888888</v>
      </c>
    </row>
    <row r="67" spans="1:5">
      <c r="A67">
        <f t="shared" si="4"/>
        <v>17100</v>
      </c>
      <c r="B67">
        <f t="shared" si="0"/>
        <v>-35.050799999999995</v>
      </c>
      <c r="C67">
        <f t="shared" si="1"/>
        <v>8.7529470932757611</v>
      </c>
      <c r="D67">
        <f t="shared" si="2"/>
        <v>10.232585921290996</v>
      </c>
      <c r="E67">
        <f t="shared" si="3"/>
        <v>235.74955555555556</v>
      </c>
    </row>
    <row r="68" spans="1:5">
      <c r="A68">
        <f t="shared" si="4"/>
        <v>17400</v>
      </c>
      <c r="B68">
        <f t="shared" si="0"/>
        <v>-35.215199999999996</v>
      </c>
      <c r="C68">
        <f t="shared" si="1"/>
        <v>8.6745240026990196</v>
      </c>
      <c r="D68">
        <f t="shared" si="2"/>
        <v>10.208823293960076</v>
      </c>
      <c r="E68">
        <f t="shared" si="3"/>
        <v>235.65822222222224</v>
      </c>
    </row>
    <row r="69" spans="1:5">
      <c r="A69">
        <f t="shared" si="4"/>
        <v>17700</v>
      </c>
      <c r="B69">
        <f t="shared" si="0"/>
        <v>-35.379599999999996</v>
      </c>
      <c r="C69">
        <f t="shared" si="1"/>
        <v>8.596803553309309</v>
      </c>
      <c r="D69">
        <f t="shared" si="2"/>
        <v>10.1851066700819</v>
      </c>
      <c r="E69">
        <f t="shared" si="3"/>
        <v>235.56688888888888</v>
      </c>
    </row>
    <row r="70" spans="1:5">
      <c r="A70">
        <f t="shared" si="4"/>
        <v>18000</v>
      </c>
      <c r="B70">
        <f t="shared" si="0"/>
        <v>-35.543999999999997</v>
      </c>
      <c r="C70">
        <f t="shared" si="1"/>
        <v>8.5197794497077286</v>
      </c>
      <c r="D70">
        <f t="shared" si="2"/>
        <v>10.161435978380279</v>
      </c>
      <c r="E70">
        <f t="shared" si="3"/>
        <v>235.47555555555556</v>
      </c>
    </row>
    <row r="71" spans="1:5">
      <c r="A71">
        <f t="shared" si="4"/>
        <v>18300</v>
      </c>
      <c r="B71">
        <f t="shared" si="0"/>
        <v>-35.708399999999997</v>
      </c>
      <c r="C71">
        <f t="shared" si="1"/>
        <v>8.4434454528997769</v>
      </c>
      <c r="D71">
        <f t="shared" si="2"/>
        <v>10.137811147661852</v>
      </c>
      <c r="E71">
        <f t="shared" si="3"/>
        <v>235.38422222222223</v>
      </c>
    </row>
    <row r="72" spans="1:5">
      <c r="A72">
        <f t="shared" si="4"/>
        <v>18600</v>
      </c>
      <c r="B72">
        <f t="shared" si="0"/>
        <v>-35.872799999999998</v>
      </c>
      <c r="C72">
        <f t="shared" si="1"/>
        <v>8.3677953797899765</v>
      </c>
      <c r="D72">
        <f t="shared" si="2"/>
        <v>10.11423210681604</v>
      </c>
      <c r="E72">
        <f t="shared" si="3"/>
        <v>235.29288888888888</v>
      </c>
    </row>
    <row r="73" spans="1:5">
      <c r="A73">
        <f t="shared" si="4"/>
        <v>18900</v>
      </c>
      <c r="B73">
        <f t="shared" si="0"/>
        <v>-36.037199999999999</v>
      </c>
      <c r="C73">
        <f t="shared" si="1"/>
        <v>8.2928231026810462</v>
      </c>
      <c r="D73">
        <f t="shared" si="2"/>
        <v>10.090698784815025</v>
      </c>
      <c r="E73">
        <f t="shared" si="3"/>
        <v>235.20155555555556</v>
      </c>
    </row>
    <row r="74" spans="1:5">
      <c r="A74">
        <f t="shared" si="4"/>
        <v>19200</v>
      </c>
      <c r="B74">
        <f t="shared" si="0"/>
        <v>-36.201599999999999</v>
      </c>
      <c r="C74">
        <f t="shared" si="1"/>
        <v>8.2185225487775444</v>
      </c>
      <c r="D74">
        <f t="shared" si="2"/>
        <v>10.067211110713639</v>
      </c>
      <c r="E74">
        <f t="shared" si="3"/>
        <v>235.11022222222223</v>
      </c>
    </row>
    <row r="75" spans="1:5">
      <c r="A75">
        <f t="shared" si="4"/>
        <v>19500</v>
      </c>
      <c r="B75">
        <f t="shared" ref="B75:B86" si="5" xml:space="preserve"> -25.68 - 0.000548 * $A75</f>
        <v>-36.366</v>
      </c>
      <c r="C75">
        <f t="shared" ref="C75:C138" si="6">14.62 * EXP(-0.00003 * $A75)</f>
        <v>8.1448876996939816</v>
      </c>
      <c r="D75">
        <f t="shared" ref="D75:D138" si="7">+($E75/$D$2)^$D$1</f>
        <v>10.043769013649301</v>
      </c>
      <c r="E75">
        <f t="shared" ref="E75:E138" si="8">+($B75-32)*5/9+273</f>
        <v>235.01888888888888</v>
      </c>
    </row>
    <row r="76" spans="1:5">
      <c r="A76">
        <f t="shared" ref="A76:A87" si="9">+$A75+$A$1</f>
        <v>19800</v>
      </c>
      <c r="B76">
        <f t="shared" si="5"/>
        <v>-36.5304</v>
      </c>
      <c r="C76">
        <f t="shared" si="6"/>
        <v>8.0719125909673242</v>
      </c>
      <c r="D76">
        <f t="shared" si="7"/>
        <v>10.02037242284198</v>
      </c>
      <c r="E76">
        <f t="shared" si="8"/>
        <v>234.92755555555556</v>
      </c>
    </row>
    <row r="77" spans="1:5">
      <c r="A77">
        <f t="shared" si="9"/>
        <v>20100</v>
      </c>
      <c r="B77">
        <f t="shared" si="5"/>
        <v>-36.694800000000001</v>
      </c>
      <c r="C77">
        <f t="shared" si="6"/>
        <v>7.9995913115738659</v>
      </c>
      <c r="D77">
        <f t="shared" si="7"/>
        <v>9.9970212675941266</v>
      </c>
      <c r="E77">
        <f t="shared" si="8"/>
        <v>234.83622222222223</v>
      </c>
    </row>
    <row r="78" spans="1:5">
      <c r="A78">
        <f t="shared" si="9"/>
        <v>20400</v>
      </c>
      <c r="B78">
        <f t="shared" si="5"/>
        <v>-36.859200000000001</v>
      </c>
      <c r="C78">
        <f t="shared" si="6"/>
        <v>7.9279180034504346</v>
      </c>
      <c r="D78">
        <f t="shared" si="7"/>
        <v>9.9737154772905576</v>
      </c>
      <c r="E78">
        <f t="shared" si="8"/>
        <v>234.74488888888888</v>
      </c>
    </row>
    <row r="79" spans="1:5">
      <c r="A79">
        <f t="shared" si="9"/>
        <v>20700</v>
      </c>
      <c r="B79">
        <f t="shared" si="5"/>
        <v>-37.023600000000002</v>
      </c>
      <c r="C79">
        <f t="shared" si="6"/>
        <v>7.8568868610198823</v>
      </c>
      <c r="D79">
        <f t="shared" si="7"/>
        <v>9.9504549813984813</v>
      </c>
      <c r="E79">
        <f t="shared" si="8"/>
        <v>234.65355555555556</v>
      </c>
    </row>
    <row r="80" spans="1:5">
      <c r="A80">
        <f t="shared" si="9"/>
        <v>21000</v>
      </c>
      <c r="B80">
        <f t="shared" si="5"/>
        <v>-37.188000000000002</v>
      </c>
      <c r="C80">
        <f t="shared" si="6"/>
        <v>7.7864921307208368</v>
      </c>
      <c r="D80">
        <f t="shared" si="7"/>
        <v>9.9272397094673721</v>
      </c>
      <c r="E80">
        <f t="shared" si="8"/>
        <v>234.56222222222223</v>
      </c>
    </row>
    <row r="81" spans="1:5">
      <c r="A81">
        <f t="shared" si="9"/>
        <v>21300</v>
      </c>
      <c r="B81">
        <f t="shared" si="5"/>
        <v>-37.352400000000003</v>
      </c>
      <c r="C81">
        <f t="shared" si="6"/>
        <v>7.7167281105416556</v>
      </c>
      <c r="D81">
        <f t="shared" si="7"/>
        <v>9.904069591128895</v>
      </c>
      <c r="E81">
        <f t="shared" si="8"/>
        <v>234.47088888888888</v>
      </c>
    </row>
    <row r="82" spans="1:5">
      <c r="A82">
        <f t="shared" si="9"/>
        <v>21600</v>
      </c>
      <c r="B82">
        <f t="shared" si="5"/>
        <v>-37.516800000000003</v>
      </c>
      <c r="C82">
        <f t="shared" si="6"/>
        <v>7.6475891495585611</v>
      </c>
      <c r="D82">
        <f t="shared" si="7"/>
        <v>9.8809445560968978</v>
      </c>
      <c r="E82">
        <f t="shared" si="8"/>
        <v>234.37955555555556</v>
      </c>
    </row>
    <row r="83" spans="1:5">
      <c r="A83">
        <f t="shared" si="9"/>
        <v>21900</v>
      </c>
      <c r="B83">
        <f t="shared" si="5"/>
        <v>-37.681199999999997</v>
      </c>
      <c r="C83">
        <f t="shared" si="6"/>
        <v>7.5790696474779109</v>
      </c>
      <c r="D83">
        <f t="shared" si="7"/>
        <v>9.857864534167307</v>
      </c>
      <c r="E83">
        <f t="shared" si="8"/>
        <v>234.28822222222223</v>
      </c>
    </row>
    <row r="84" spans="1:5">
      <c r="A84">
        <f t="shared" si="9"/>
        <v>22200</v>
      </c>
      <c r="B84">
        <f t="shared" si="5"/>
        <v>-37.845599999999997</v>
      </c>
      <c r="C84">
        <f t="shared" si="6"/>
        <v>7.5111640541825748</v>
      </c>
      <c r="D84">
        <f t="shared" si="7"/>
        <v>9.8348294552180651</v>
      </c>
      <c r="E84">
        <f t="shared" si="8"/>
        <v>234.19688888888891</v>
      </c>
    </row>
    <row r="85" spans="1:5">
      <c r="A85">
        <f t="shared" si="9"/>
        <v>22500</v>
      </c>
      <c r="B85">
        <f t="shared" si="5"/>
        <v>-38.01</v>
      </c>
      <c r="C85">
        <f t="shared" si="6"/>
        <v>7.4438668692823686</v>
      </c>
      <c r="D85">
        <f t="shared" si="7"/>
        <v>9.811839249209056</v>
      </c>
      <c r="E85">
        <f t="shared" si="8"/>
        <v>234.10555555555555</v>
      </c>
    </row>
    <row r="86" spans="1:5">
      <c r="A86">
        <f t="shared" si="9"/>
        <v>22800</v>
      </c>
      <c r="B86">
        <f t="shared" si="5"/>
        <v>-38.174399999999999</v>
      </c>
      <c r="C86">
        <f t="shared" si="6"/>
        <v>7.3771726416685182</v>
      </c>
      <c r="D86">
        <f t="shared" si="7"/>
        <v>9.7888938461821198</v>
      </c>
      <c r="E86">
        <f t="shared" si="8"/>
        <v>234.01422222222223</v>
      </c>
    </row>
    <row r="87" spans="1:5">
      <c r="A87">
        <f t="shared" si="9"/>
        <v>23100</v>
      </c>
      <c r="B87">
        <f xml:space="preserve"> -10.34 - 0.001217 * $A87</f>
        <v>-38.4527</v>
      </c>
      <c r="C87">
        <f t="shared" si="6"/>
        <v>7.3110759690721219</v>
      </c>
      <c r="D87">
        <f t="shared" si="7"/>
        <v>9.7501532748377908</v>
      </c>
      <c r="E87">
        <f t="shared" si="8"/>
        <v>233.85961111111112</v>
      </c>
    </row>
    <row r="88" spans="1:5">
      <c r="A88">
        <f t="shared" ref="A88:A122" si="10">+$A87+$A$1</f>
        <v>23400</v>
      </c>
      <c r="B88">
        <f t="shared" ref="B88:B151" si="11" xml:space="preserve"> -10.34 - 0.001217 * $A88</f>
        <v>-38.817799999999998</v>
      </c>
      <c r="C88">
        <f t="shared" si="6"/>
        <v>7.2455714976265631</v>
      </c>
      <c r="D88">
        <f t="shared" si="7"/>
        <v>9.6995235956772472</v>
      </c>
      <c r="E88">
        <f t="shared" si="8"/>
        <v>233.65677777777776</v>
      </c>
    </row>
    <row r="89" spans="1:5">
      <c r="A89">
        <f t="shared" si="10"/>
        <v>23700</v>
      </c>
      <c r="B89">
        <f t="shared" si="11"/>
        <v>-39.182900000000004</v>
      </c>
      <c r="C89">
        <f t="shared" si="6"/>
        <v>7.1806539214338398</v>
      </c>
      <c r="D89">
        <f t="shared" si="7"/>
        <v>9.649113193917664</v>
      </c>
      <c r="E89">
        <f t="shared" si="8"/>
        <v>233.45394444444443</v>
      </c>
    </row>
    <row r="90" spans="1:5">
      <c r="A90">
        <f t="shared" si="10"/>
        <v>24000</v>
      </c>
      <c r="B90">
        <f t="shared" si="11"/>
        <v>-39.548000000000002</v>
      </c>
      <c r="C90">
        <f t="shared" si="6"/>
        <v>7.1163179821347855</v>
      </c>
      <c r="D90">
        <f t="shared" si="7"/>
        <v>9.5989213091467693</v>
      </c>
      <c r="E90">
        <f t="shared" si="8"/>
        <v>233.2511111111111</v>
      </c>
    </row>
    <row r="91" spans="1:5">
      <c r="A91">
        <f t="shared" si="10"/>
        <v>24300</v>
      </c>
      <c r="B91">
        <f t="shared" si="11"/>
        <v>-39.9131</v>
      </c>
      <c r="C91">
        <f t="shared" si="6"/>
        <v>7.0525584684831406</v>
      </c>
      <c r="D91">
        <f t="shared" si="7"/>
        <v>9.5489471829317853</v>
      </c>
      <c r="E91">
        <f t="shared" si="8"/>
        <v>233.04827777777777</v>
      </c>
    </row>
    <row r="92" spans="1:5">
      <c r="A92">
        <f t="shared" si="10"/>
        <v>24600</v>
      </c>
      <c r="B92">
        <f t="shared" si="11"/>
        <v>-40.278199999999998</v>
      </c>
      <c r="C92">
        <f t="shared" si="6"/>
        <v>6.9893702159234401</v>
      </c>
      <c r="D92">
        <f t="shared" si="7"/>
        <v>9.499190058815886</v>
      </c>
      <c r="E92">
        <f t="shared" si="8"/>
        <v>232.84544444444444</v>
      </c>
    </row>
    <row r="93" spans="1:5">
      <c r="A93">
        <f t="shared" si="10"/>
        <v>24900</v>
      </c>
      <c r="B93">
        <f t="shared" si="11"/>
        <v>-40.643299999999996</v>
      </c>
      <c r="C93">
        <f t="shared" si="6"/>
        <v>6.9267481061726777</v>
      </c>
      <c r="D93">
        <f t="shared" si="7"/>
        <v>9.449649182314861</v>
      </c>
      <c r="E93">
        <f t="shared" si="8"/>
        <v>232.64261111111111</v>
      </c>
    </row>
    <row r="94" spans="1:5">
      <c r="A94">
        <f t="shared" si="10"/>
        <v>25200</v>
      </c>
      <c r="B94">
        <f t="shared" si="11"/>
        <v>-41.008399999999995</v>
      </c>
      <c r="C94">
        <f t="shared" si="6"/>
        <v>6.8646870668057245</v>
      </c>
      <c r="D94">
        <f t="shared" si="7"/>
        <v>9.4003238009135952</v>
      </c>
      <c r="E94">
        <f t="shared" si="8"/>
        <v>232.43977777777778</v>
      </c>
    </row>
    <row r="95" spans="1:5">
      <c r="A95">
        <f t="shared" si="10"/>
        <v>25500</v>
      </c>
      <c r="B95">
        <f t="shared" si="11"/>
        <v>-41.3735</v>
      </c>
      <c r="C95">
        <f t="shared" si="6"/>
        <v>6.8031820708444615</v>
      </c>
      <c r="D95">
        <f t="shared" si="7"/>
        <v>9.3512131640626919</v>
      </c>
      <c r="E95">
        <f t="shared" si="8"/>
        <v>232.23694444444445</v>
      </c>
    </row>
    <row r="96" spans="1:5">
      <c r="A96">
        <f t="shared" si="10"/>
        <v>25800</v>
      </c>
      <c r="B96">
        <f t="shared" si="11"/>
        <v>-41.738599999999998</v>
      </c>
      <c r="C96">
        <f t="shared" si="6"/>
        <v>6.7422281363505858</v>
      </c>
      <c r="D96">
        <f t="shared" si="7"/>
        <v>9.3023165231750546</v>
      </c>
      <c r="E96">
        <f t="shared" si="8"/>
        <v>232.03411111111112</v>
      </c>
    </row>
    <row r="97" spans="1:5">
      <c r="A97">
        <f t="shared" si="10"/>
        <v>26100</v>
      </c>
      <c r="B97">
        <f t="shared" si="11"/>
        <v>-42.103700000000003</v>
      </c>
      <c r="C97">
        <f t="shared" si="6"/>
        <v>6.6818203260220788</v>
      </c>
      <c r="D97">
        <f t="shared" si="7"/>
        <v>9.2536331316224043</v>
      </c>
      <c r="E97">
        <f t="shared" si="8"/>
        <v>231.83127777777779</v>
      </c>
    </row>
    <row r="98" spans="1:5">
      <c r="A98">
        <f t="shared" si="10"/>
        <v>26400</v>
      </c>
      <c r="B98">
        <f t="shared" si="11"/>
        <v>-42.468800000000002</v>
      </c>
      <c r="C98">
        <f t="shared" si="6"/>
        <v>6.621953746793273</v>
      </c>
      <c r="D98">
        <f t="shared" si="7"/>
        <v>9.2051622447319446</v>
      </c>
      <c r="E98">
        <f t="shared" si="8"/>
        <v>231.62844444444445</v>
      </c>
    </row>
    <row r="99" spans="1:5">
      <c r="A99">
        <f t="shared" si="10"/>
        <v>26700</v>
      </c>
      <c r="B99">
        <f t="shared" si="11"/>
        <v>-42.8339</v>
      </c>
      <c r="C99">
        <f t="shared" si="6"/>
        <v>6.5626235494385217</v>
      </c>
      <c r="D99">
        <f t="shared" si="7"/>
        <v>9.1569031197828661</v>
      </c>
      <c r="E99">
        <f t="shared" si="8"/>
        <v>231.42561111111112</v>
      </c>
    </row>
    <row r="100" spans="1:5">
      <c r="A100">
        <f t="shared" si="10"/>
        <v>27000</v>
      </c>
      <c r="B100">
        <f t="shared" si="11"/>
        <v>-43.198999999999998</v>
      </c>
      <c r="C100">
        <f t="shared" si="6"/>
        <v>6.5038249281793989</v>
      </c>
      <c r="D100">
        <f t="shared" si="7"/>
        <v>9.1088550160029449</v>
      </c>
      <c r="E100">
        <f t="shared" si="8"/>
        <v>231.22277777777776</v>
      </c>
    </row>
    <row r="101" spans="1:5">
      <c r="A101">
        <f t="shared" si="10"/>
        <v>27300</v>
      </c>
      <c r="B101">
        <f t="shared" si="11"/>
        <v>-43.564099999999996</v>
      </c>
      <c r="C101">
        <f t="shared" si="6"/>
        <v>6.4455531202954344</v>
      </c>
      <c r="D101">
        <f t="shared" si="7"/>
        <v>9.0610171945652294</v>
      </c>
      <c r="E101">
        <f t="shared" si="8"/>
        <v>231.01994444444443</v>
      </c>
    </row>
    <row r="102" spans="1:5">
      <c r="A102">
        <f t="shared" si="10"/>
        <v>27600</v>
      </c>
      <c r="B102">
        <f t="shared" si="11"/>
        <v>-43.929199999999994</v>
      </c>
      <c r="C102">
        <f t="shared" si="6"/>
        <v>6.3878034057383291</v>
      </c>
      <c r="D102">
        <f t="shared" si="7"/>
        <v>9.0133889185844733</v>
      </c>
      <c r="E102">
        <f t="shared" si="8"/>
        <v>230.8171111111111</v>
      </c>
    </row>
    <row r="103" spans="1:5">
      <c r="A103">
        <f t="shared" si="10"/>
        <v>27900</v>
      </c>
      <c r="B103">
        <f t="shared" si="11"/>
        <v>-44.294299999999993</v>
      </c>
      <c r="C103">
        <f t="shared" si="6"/>
        <v>6.3305711067496313</v>
      </c>
      <c r="D103">
        <f t="shared" si="7"/>
        <v>8.9659694531138356</v>
      </c>
      <c r="E103">
        <f t="shared" si="8"/>
        <v>230.61427777777777</v>
      </c>
    </row>
    <row r="104" spans="1:5">
      <c r="A104">
        <f t="shared" si="10"/>
        <v>28200</v>
      </c>
      <c r="B104">
        <f t="shared" si="11"/>
        <v>-44.659400000000005</v>
      </c>
      <c r="C104">
        <f t="shared" si="6"/>
        <v>6.2738515874818273</v>
      </c>
      <c r="D104">
        <f t="shared" si="7"/>
        <v>8.9187580651414748</v>
      </c>
      <c r="E104">
        <f t="shared" si="8"/>
        <v>230.41144444444444</v>
      </c>
    </row>
    <row r="105" spans="1:5">
      <c r="A105">
        <f t="shared" si="10"/>
        <v>28500</v>
      </c>
      <c r="B105">
        <f t="shared" si="11"/>
        <v>-45.024500000000003</v>
      </c>
      <c r="C105">
        <f t="shared" si="6"/>
        <v>6.2176402536228474</v>
      </c>
      <c r="D105">
        <f t="shared" si="7"/>
        <v>8.8717540235870906</v>
      </c>
      <c r="E105">
        <f t="shared" si="8"/>
        <v>230.20861111111111</v>
      </c>
    </row>
    <row r="106" spans="1:5">
      <c r="A106">
        <f t="shared" si="10"/>
        <v>28800</v>
      </c>
      <c r="B106">
        <f t="shared" si="11"/>
        <v>-45.389600000000002</v>
      </c>
      <c r="C106">
        <f t="shared" si="6"/>
        <v>6.1619325520239157</v>
      </c>
      <c r="D106">
        <f t="shared" si="7"/>
        <v>8.8249565992986074</v>
      </c>
      <c r="E106">
        <f t="shared" si="8"/>
        <v>230.00577777777778</v>
      </c>
    </row>
    <row r="107" spans="1:5">
      <c r="A107">
        <f t="shared" si="10"/>
        <v>29100</v>
      </c>
      <c r="B107">
        <f t="shared" si="11"/>
        <v>-45.7547</v>
      </c>
      <c r="C107">
        <f t="shared" si="6"/>
        <v>6.1067239703307425</v>
      </c>
      <c r="D107">
        <f t="shared" si="7"/>
        <v>8.7783650650487033</v>
      </c>
      <c r="E107">
        <f t="shared" si="8"/>
        <v>229.80294444444445</v>
      </c>
    </row>
    <row r="108" spans="1:5">
      <c r="A108">
        <f t="shared" si="10"/>
        <v>29400</v>
      </c>
      <c r="B108">
        <f t="shared" si="11"/>
        <v>-46.119799999999998</v>
      </c>
      <c r="C108">
        <f t="shared" si="6"/>
        <v>6.0520100366180269</v>
      </c>
      <c r="D108">
        <f t="shared" si="7"/>
        <v>8.7319786955314651</v>
      </c>
      <c r="E108">
        <f t="shared" si="8"/>
        <v>229.60011111111112</v>
      </c>
    </row>
    <row r="109" spans="1:5">
      <c r="A109">
        <f t="shared" si="10"/>
        <v>29700</v>
      </c>
      <c r="B109">
        <f t="shared" si="11"/>
        <v>-46.484899999999996</v>
      </c>
      <c r="C109">
        <f t="shared" si="6"/>
        <v>5.9977863190272229</v>
      </c>
      <c r="D109">
        <f t="shared" si="7"/>
        <v>8.6857967673590153</v>
      </c>
      <c r="E109">
        <f t="shared" si="8"/>
        <v>229.39727777777779</v>
      </c>
    </row>
    <row r="110" spans="1:5">
      <c r="A110">
        <f t="shared" si="10"/>
        <v>30000</v>
      </c>
      <c r="B110">
        <f t="shared" si="11"/>
        <v>-46.849999999999994</v>
      </c>
      <c r="C110">
        <f t="shared" si="6"/>
        <v>5.9440484254075585</v>
      </c>
      <c r="D110">
        <f t="shared" si="7"/>
        <v>8.6398185590580585</v>
      </c>
      <c r="E110">
        <f t="shared" si="8"/>
        <v>229.19444444444446</v>
      </c>
    </row>
    <row r="111" spans="1:5">
      <c r="A111">
        <f t="shared" si="10"/>
        <v>30300</v>
      </c>
      <c r="B111">
        <f t="shared" si="11"/>
        <v>-47.215099999999993</v>
      </c>
      <c r="C111">
        <f t="shared" si="6"/>
        <v>5.8907920029602696</v>
      </c>
      <c r="D111">
        <f t="shared" si="7"/>
        <v>8.5940433510665866</v>
      </c>
      <c r="E111">
        <f t="shared" si="8"/>
        <v>228.99161111111113</v>
      </c>
    </row>
    <row r="112" spans="1:5">
      <c r="A112">
        <f t="shared" si="10"/>
        <v>30600</v>
      </c>
      <c r="B112">
        <f t="shared" si="11"/>
        <v>-47.580200000000005</v>
      </c>
      <c r="C112">
        <f t="shared" si="6"/>
        <v>5.8380127378860198</v>
      </c>
      <c r="D112">
        <f t="shared" si="7"/>
        <v>8.5484704257304251</v>
      </c>
      <c r="E112">
        <f t="shared" si="8"/>
        <v>228.78877777777777</v>
      </c>
    </row>
    <row r="113" spans="1:5">
      <c r="A113">
        <f t="shared" si="10"/>
        <v>30900</v>
      </c>
      <c r="B113">
        <f t="shared" si="11"/>
        <v>-47.945300000000003</v>
      </c>
      <c r="C113">
        <f t="shared" si="6"/>
        <v>5.7857063550354804</v>
      </c>
      <c r="D113">
        <f t="shared" si="7"/>
        <v>8.5030990672999263</v>
      </c>
      <c r="E113">
        <f t="shared" si="8"/>
        <v>228.58594444444444</v>
      </c>
    </row>
    <row r="114" spans="1:5">
      <c r="A114">
        <f t="shared" si="10"/>
        <v>31200</v>
      </c>
      <c r="B114">
        <f t="shared" si="11"/>
        <v>-48.310400000000001</v>
      </c>
      <c r="C114">
        <f t="shared" si="6"/>
        <v>5.7338686175630418</v>
      </c>
      <c r="D114">
        <f t="shared" si="7"/>
        <v>8.4579285619265381</v>
      </c>
      <c r="E114">
        <f t="shared" si="8"/>
        <v>228.38311111111111</v>
      </c>
    </row>
    <row r="115" spans="1:5">
      <c r="A115">
        <f t="shared" si="10"/>
        <v>31500</v>
      </c>
      <c r="B115">
        <f t="shared" si="11"/>
        <v>-48.6755</v>
      </c>
      <c r="C115">
        <f t="shared" si="6"/>
        <v>5.682495326583628</v>
      </c>
      <c r="D115">
        <f t="shared" si="7"/>
        <v>8.4129581976594725</v>
      </c>
      <c r="E115">
        <f t="shared" si="8"/>
        <v>228.18027777777777</v>
      </c>
    </row>
    <row r="116" spans="1:5">
      <c r="A116">
        <f t="shared" si="10"/>
        <v>31800</v>
      </c>
      <c r="B116">
        <f t="shared" si="11"/>
        <v>-49.040599999999998</v>
      </c>
      <c r="C116">
        <f t="shared" si="6"/>
        <v>5.6315823208325799</v>
      </c>
      <c r="D116">
        <f t="shared" si="7"/>
        <v>8.3681872644422963</v>
      </c>
      <c r="E116">
        <f t="shared" si="8"/>
        <v>227.97744444444444</v>
      </c>
    </row>
    <row r="117" spans="1:5">
      <c r="A117">
        <f t="shared" si="10"/>
        <v>32100</v>
      </c>
      <c r="B117">
        <f t="shared" si="11"/>
        <v>-49.405699999999996</v>
      </c>
      <c r="C117">
        <f t="shared" si="6"/>
        <v>5.5811254763285953</v>
      </c>
      <c r="D117">
        <f t="shared" si="7"/>
        <v>8.3236150541096396</v>
      </c>
      <c r="E117">
        <f t="shared" si="8"/>
        <v>227.77461111111111</v>
      </c>
    </row>
    <row r="118" spans="1:5">
      <c r="A118">
        <f t="shared" si="10"/>
        <v>32400</v>
      </c>
      <c r="B118">
        <f t="shared" si="11"/>
        <v>-49.770799999999994</v>
      </c>
      <c r="C118">
        <f t="shared" si="6"/>
        <v>5.5311207060396823</v>
      </c>
      <c r="D118">
        <f t="shared" si="7"/>
        <v>8.2792408603837622</v>
      </c>
      <c r="E118">
        <f t="shared" si="8"/>
        <v>227.57177777777778</v>
      </c>
    </row>
    <row r="119" spans="1:5">
      <c r="A119">
        <f t="shared" si="10"/>
        <v>32700</v>
      </c>
      <c r="B119">
        <f t="shared" si="11"/>
        <v>-50.135899999999992</v>
      </c>
      <c r="C119">
        <f t="shared" si="6"/>
        <v>5.4815639595521066</v>
      </c>
      <c r="D119">
        <f t="shared" si="7"/>
        <v>8.2350639788712421</v>
      </c>
      <c r="E119">
        <f t="shared" si="8"/>
        <v>227.36894444444445</v>
      </c>
    </row>
    <row r="120" spans="1:5">
      <c r="A120">
        <f t="shared" si="10"/>
        <v>33000</v>
      </c>
      <c r="B120">
        <f t="shared" si="11"/>
        <v>-50.501000000000005</v>
      </c>
      <c r="C120">
        <f t="shared" si="6"/>
        <v>5.4324512227423076</v>
      </c>
      <c r="D120">
        <f t="shared" si="7"/>
        <v>8.1910837070595957</v>
      </c>
      <c r="E120">
        <f t="shared" si="8"/>
        <v>227.16611111111112</v>
      </c>
    </row>
    <row r="121" spans="1:5">
      <c r="A121">
        <f t="shared" si="10"/>
        <v>33300</v>
      </c>
      <c r="B121">
        <f t="shared" si="11"/>
        <v>-50.866100000000003</v>
      </c>
      <c r="C121">
        <f t="shared" si="6"/>
        <v>5.3837785174517512</v>
      </c>
      <c r="D121">
        <f t="shared" si="7"/>
        <v>8.1472993443139252</v>
      </c>
      <c r="E121">
        <f t="shared" si="8"/>
        <v>226.96327777777776</v>
      </c>
    </row>
    <row r="122" spans="1:5">
      <c r="A122">
        <f t="shared" si="10"/>
        <v>33600</v>
      </c>
      <c r="B122">
        <f t="shared" si="11"/>
        <v>-51.231200000000001</v>
      </c>
      <c r="C122">
        <f t="shared" si="6"/>
        <v>5.3355419011646985</v>
      </c>
      <c r="D122">
        <f t="shared" si="7"/>
        <v>8.1037101918736241</v>
      </c>
      <c r="E122">
        <f t="shared" si="8"/>
        <v>226.76044444444443</v>
      </c>
    </row>
    <row r="123" spans="1:5">
      <c r="A123">
        <f t="shared" ref="A123:A186" si="12">+$A122+$A$1</f>
        <v>33900</v>
      </c>
      <c r="B123">
        <f t="shared" si="11"/>
        <v>-51.596299999999999</v>
      </c>
      <c r="C123">
        <f t="shared" si="6"/>
        <v>5.2877374666888537</v>
      </c>
      <c r="D123">
        <f t="shared" si="7"/>
        <v>8.0603155528489427</v>
      </c>
      <c r="E123">
        <f t="shared" si="8"/>
        <v>226.5576111111111</v>
      </c>
    </row>
    <row r="124" spans="1:5">
      <c r="A124">
        <f t="shared" si="12"/>
        <v>34200</v>
      </c>
      <c r="B124">
        <f t="shared" si="11"/>
        <v>-51.961399999999998</v>
      </c>
      <c r="C124">
        <f t="shared" si="6"/>
        <v>5.2403613418388906</v>
      </c>
      <c r="D124">
        <f t="shared" si="7"/>
        <v>8.0171147322177045</v>
      </c>
      <c r="E124">
        <f t="shared" si="8"/>
        <v>226.35477777777777</v>
      </c>
    </row>
    <row r="125" spans="1:5">
      <c r="A125">
        <f t="shared" si="12"/>
        <v>34500</v>
      </c>
      <c r="B125">
        <f t="shared" si="11"/>
        <v>-52.326499999999996</v>
      </c>
      <c r="C125">
        <f t="shared" si="6"/>
        <v>5.1934096891227908</v>
      </c>
      <c r="D125">
        <f t="shared" si="7"/>
        <v>7.9741070368219784</v>
      </c>
      <c r="E125">
        <f t="shared" si="8"/>
        <v>226.15194444444444</v>
      </c>
    </row>
    <row r="126" spans="1:5">
      <c r="A126">
        <f t="shared" si="12"/>
        <v>34800</v>
      </c>
      <c r="B126">
        <f t="shared" si="11"/>
        <v>-52.691599999999994</v>
      </c>
      <c r="C126">
        <f t="shared" si="6"/>
        <v>5.1468787054310141</v>
      </c>
      <c r="D126">
        <f t="shared" si="7"/>
        <v>7.9312917753646754</v>
      </c>
      <c r="E126">
        <f t="shared" si="8"/>
        <v>225.94911111111111</v>
      </c>
    </row>
    <row r="127" spans="1:5">
      <c r="A127">
        <f t="shared" si="12"/>
        <v>35100</v>
      </c>
      <c r="B127">
        <f t="shared" si="11"/>
        <v>-53.056699999999992</v>
      </c>
      <c r="C127">
        <f t="shared" si="6"/>
        <v>5.1007646217284419</v>
      </c>
      <c r="D127">
        <f t="shared" si="7"/>
        <v>7.8886682584062955</v>
      </c>
      <c r="E127">
        <f t="shared" si="8"/>
        <v>225.74627777777778</v>
      </c>
    </row>
    <row r="128" spans="1:5">
      <c r="A128">
        <f t="shared" si="12"/>
        <v>35400</v>
      </c>
      <c r="B128">
        <f t="shared" si="11"/>
        <v>-53.421800000000005</v>
      </c>
      <c r="C128">
        <f t="shared" si="6"/>
        <v>5.055063702749079</v>
      </c>
      <c r="D128">
        <f t="shared" si="7"/>
        <v>7.846235798361537</v>
      </c>
      <c r="E128">
        <f t="shared" si="8"/>
        <v>225.54344444444445</v>
      </c>
    </row>
    <row r="129" spans="1:5">
      <c r="A129">
        <f t="shared" si="12"/>
        <v>35700</v>
      </c>
      <c r="B129">
        <f t="shared" si="11"/>
        <v>-53.786900000000003</v>
      </c>
      <c r="C129">
        <f t="shared" si="6"/>
        <v>5.0097722466935037</v>
      </c>
      <c r="D129">
        <f t="shared" si="7"/>
        <v>7.8039937094959848</v>
      </c>
      <c r="E129">
        <f t="shared" si="8"/>
        <v>225.34061111111112</v>
      </c>
    </row>
    <row r="130" spans="1:5">
      <c r="A130">
        <f t="shared" si="12"/>
        <v>36000</v>
      </c>
      <c r="B130">
        <f t="shared" si="11"/>
        <v>-54.152000000000001</v>
      </c>
      <c r="C130">
        <f t="shared" si="6"/>
        <v>4.9648865849290091</v>
      </c>
      <c r="D130">
        <f t="shared" si="7"/>
        <v>7.7619413079228261</v>
      </c>
      <c r="E130">
        <f t="shared" si="8"/>
        <v>225.13777777777779</v>
      </c>
    </row>
    <row r="131" spans="1:5">
      <c r="A131">
        <f t="shared" si="12"/>
        <v>36300</v>
      </c>
      <c r="B131">
        <f t="shared" si="11"/>
        <v>-54.517099999999999</v>
      </c>
      <c r="C131">
        <f t="shared" si="6"/>
        <v>4.9204030816924549</v>
      </c>
      <c r="D131">
        <f t="shared" si="7"/>
        <v>7.7200779115994509</v>
      </c>
      <c r="E131">
        <f t="shared" si="8"/>
        <v>224.93494444444445</v>
      </c>
    </row>
    <row r="132" spans="1:5">
      <c r="A132">
        <f t="shared" si="12"/>
        <v>36600</v>
      </c>
      <c r="B132">
        <f t="shared" si="11"/>
        <v>-54.882199999999997</v>
      </c>
      <c r="C132">
        <f t="shared" si="6"/>
        <v>4.8763181337957544</v>
      </c>
      <c r="D132">
        <f t="shared" si="7"/>
        <v>7.6784028403242166</v>
      </c>
      <c r="E132">
        <f t="shared" si="8"/>
        <v>224.73211111111112</v>
      </c>
    </row>
    <row r="133" spans="1:5">
      <c r="A133">
        <f t="shared" si="12"/>
        <v>36900</v>
      </c>
      <c r="B133">
        <f t="shared" si="11"/>
        <v>-55.247299999999996</v>
      </c>
      <c r="C133">
        <f t="shared" si="6"/>
        <v>4.8326281703340257</v>
      </c>
      <c r="D133">
        <f t="shared" si="7"/>
        <v>7.6369154157330641</v>
      </c>
      <c r="E133">
        <f t="shared" si="8"/>
        <v>224.52927777777779</v>
      </c>
    </row>
    <row r="134" spans="1:5">
      <c r="A134">
        <f t="shared" si="12"/>
        <v>37200</v>
      </c>
      <c r="B134">
        <f t="shared" si="11"/>
        <v>-55.612399999999994</v>
      </c>
      <c r="C134">
        <f t="shared" si="6"/>
        <v>4.7893296523963409</v>
      </c>
      <c r="D134">
        <f t="shared" si="7"/>
        <v>7.5956149612962429</v>
      </c>
      <c r="E134">
        <f t="shared" si="8"/>
        <v>224.32644444444446</v>
      </c>
    </row>
    <row r="135" spans="1:5">
      <c r="A135">
        <f t="shared" si="12"/>
        <v>37500</v>
      </c>
      <c r="B135">
        <f t="shared" si="11"/>
        <v>-55.977500000000006</v>
      </c>
      <c r="C135">
        <f t="shared" si="6"/>
        <v>4.7464190727790729</v>
      </c>
      <c r="D135">
        <f t="shared" si="7"/>
        <v>7.5545008023149958</v>
      </c>
      <c r="E135">
        <f t="shared" si="8"/>
        <v>224.1236111111111</v>
      </c>
    </row>
    <row r="136" spans="1:5">
      <c r="A136">
        <f t="shared" si="12"/>
        <v>37800</v>
      </c>
      <c r="B136">
        <f t="shared" si="11"/>
        <v>-56.342600000000004</v>
      </c>
      <c r="C136">
        <f t="shared" si="6"/>
        <v>4.7038929557018108</v>
      </c>
      <c r="D136">
        <f t="shared" si="7"/>
        <v>7.5135722659182589</v>
      </c>
      <c r="E136">
        <f t="shared" si="8"/>
        <v>223.92077777777777</v>
      </c>
    </row>
    <row r="137" spans="1:5">
      <c r="A137">
        <f t="shared" si="12"/>
        <v>38100</v>
      </c>
      <c r="B137">
        <f t="shared" si="11"/>
        <v>-56.707700000000003</v>
      </c>
      <c r="C137">
        <f t="shared" si="6"/>
        <v>4.6617478565258228</v>
      </c>
      <c r="D137">
        <f t="shared" si="7"/>
        <v>7.4728286810593172</v>
      </c>
      <c r="E137">
        <f t="shared" si="8"/>
        <v>223.71794444444444</v>
      </c>
    </row>
    <row r="138" spans="1:5">
      <c r="A138">
        <f t="shared" si="12"/>
        <v>38400</v>
      </c>
      <c r="B138">
        <f t="shared" si="11"/>
        <v>-57.072800000000001</v>
      </c>
      <c r="C138">
        <f t="shared" si="6"/>
        <v>4.6199803614750286</v>
      </c>
      <c r="D138">
        <f t="shared" si="7"/>
        <v>7.4322693785125766</v>
      </c>
      <c r="E138">
        <f t="shared" si="8"/>
        <v>223.51511111111111</v>
      </c>
    </row>
    <row r="139" spans="1:5">
      <c r="A139">
        <f t="shared" si="12"/>
        <v>38700</v>
      </c>
      <c r="B139">
        <f t="shared" si="11"/>
        <v>-57.437899999999999</v>
      </c>
      <c r="C139">
        <f t="shared" ref="C139:C202" si="13">14.62 * EXP(-0.00003 * $A139)</f>
        <v>4.5785870873594972</v>
      </c>
      <c r="D139">
        <f t="shared" ref="D139:D202" si="14">+($E139/$D$2)^$D$1</f>
        <v>7.3918936908701802</v>
      </c>
      <c r="E139">
        <f t="shared" ref="E139:E202" si="15">+($B139-32)*5/9+273</f>
        <v>223.31227777777778</v>
      </c>
    </row>
    <row r="140" spans="1:5">
      <c r="A140">
        <f t="shared" si="12"/>
        <v>39000</v>
      </c>
      <c r="B140">
        <f t="shared" si="11"/>
        <v>-57.802999999999997</v>
      </c>
      <c r="C140">
        <f t="shared" si="13"/>
        <v>4.537564681301391</v>
      </c>
      <c r="D140">
        <f t="shared" si="14"/>
        <v>7.3517009525388</v>
      </c>
      <c r="E140">
        <f t="shared" si="15"/>
        <v>223.10944444444445</v>
      </c>
    </row>
    <row r="141" spans="1:5">
      <c r="A141">
        <f t="shared" si="12"/>
        <v>39300</v>
      </c>
      <c r="B141">
        <f t="shared" si="11"/>
        <v>-58.168099999999995</v>
      </c>
      <c r="C141">
        <f t="shared" si="13"/>
        <v>4.4969098204633893</v>
      </c>
      <c r="D141">
        <f t="shared" si="14"/>
        <v>7.3116904997362715</v>
      </c>
      <c r="E141">
        <f t="shared" si="15"/>
        <v>222.90661111111112</v>
      </c>
    </row>
    <row r="142" spans="1:5">
      <c r="A142">
        <f t="shared" si="12"/>
        <v>39600</v>
      </c>
      <c r="B142">
        <f t="shared" si="11"/>
        <v>-58.533199999999994</v>
      </c>
      <c r="C142">
        <f t="shared" si="13"/>
        <v>4.4566192117795378</v>
      </c>
      <c r="D142">
        <f t="shared" si="14"/>
        <v>7.2718616704883452</v>
      </c>
      <c r="E142">
        <f t="shared" si="15"/>
        <v>222.70377777777779</v>
      </c>
    </row>
    <row r="143" spans="1:5">
      <c r="A143">
        <f t="shared" si="12"/>
        <v>39900</v>
      </c>
      <c r="B143">
        <f t="shared" si="11"/>
        <v>-58.898300000000006</v>
      </c>
      <c r="C143">
        <f t="shared" si="13"/>
        <v>4.4166895916885034</v>
      </c>
      <c r="D143">
        <f t="shared" si="14"/>
        <v>7.2322138046253999</v>
      </c>
      <c r="E143">
        <f t="shared" si="15"/>
        <v>222.50094444444443</v>
      </c>
    </row>
    <row r="144" spans="1:5">
      <c r="A144">
        <f t="shared" si="12"/>
        <v>40200</v>
      </c>
      <c r="B144">
        <f t="shared" si="11"/>
        <v>-59.263400000000004</v>
      </c>
      <c r="C144">
        <f t="shared" si="13"/>
        <v>4.3771177258692271</v>
      </c>
      <c r="D144">
        <f t="shared" si="14"/>
        <v>7.1927462437791538</v>
      </c>
      <c r="E144">
        <f t="shared" si="15"/>
        <v>222.2981111111111</v>
      </c>
    </row>
    <row r="145" spans="1:5">
      <c r="A145">
        <f t="shared" si="12"/>
        <v>40500</v>
      </c>
      <c r="B145">
        <f t="shared" si="11"/>
        <v>-59.628500000000003</v>
      </c>
      <c r="C145">
        <f t="shared" si="13"/>
        <v>4.3379004089789417</v>
      </c>
      <c r="D145">
        <f t="shared" si="14"/>
        <v>7.1534583313793663</v>
      </c>
      <c r="E145">
        <f t="shared" si="15"/>
        <v>222.09527777777777</v>
      </c>
    </row>
    <row r="146" spans="1:5">
      <c r="A146">
        <f t="shared" si="12"/>
        <v>40800</v>
      </c>
      <c r="B146">
        <f t="shared" si="11"/>
        <v>-59.993600000000001</v>
      </c>
      <c r="C146">
        <f t="shared" si="13"/>
        <v>4.2990344643935376</v>
      </c>
      <c r="D146">
        <f t="shared" si="14"/>
        <v>7.1143494126506024</v>
      </c>
      <c r="E146">
        <f t="shared" si="15"/>
        <v>221.89244444444444</v>
      </c>
    </row>
    <row r="147" spans="1:5">
      <c r="A147">
        <f t="shared" si="12"/>
        <v>41100</v>
      </c>
      <c r="B147">
        <f t="shared" si="11"/>
        <v>-60.358699999999999</v>
      </c>
      <c r="C147">
        <f t="shared" si="13"/>
        <v>4.2605167439502525</v>
      </c>
      <c r="D147">
        <f t="shared" si="14"/>
        <v>7.0754188346089073</v>
      </c>
      <c r="E147">
        <f t="shared" si="15"/>
        <v>221.68961111111111</v>
      </c>
    </row>
    <row r="148" spans="1:5">
      <c r="A148">
        <f t="shared" si="12"/>
        <v>41400</v>
      </c>
      <c r="B148">
        <f t="shared" si="11"/>
        <v>-60.723799999999997</v>
      </c>
      <c r="C148">
        <f t="shared" si="13"/>
        <v>4.2223441276926712</v>
      </c>
      <c r="D148">
        <f t="shared" si="14"/>
        <v>7.0366659460585925</v>
      </c>
      <c r="E148">
        <f t="shared" si="15"/>
        <v>221.48677777777777</v>
      </c>
    </row>
    <row r="149" spans="1:5">
      <c r="A149">
        <f t="shared" si="12"/>
        <v>41700</v>
      </c>
      <c r="B149">
        <f t="shared" si="11"/>
        <v>-61.088899999999995</v>
      </c>
      <c r="C149">
        <f t="shared" si="13"/>
        <v>4.1845135236180058</v>
      </c>
      <c r="D149">
        <f t="shared" si="14"/>
        <v>6.9980900975889142</v>
      </c>
      <c r="E149">
        <f t="shared" si="15"/>
        <v>221.28394444444444</v>
      </c>
    </row>
    <row r="150" spans="1:5">
      <c r="A150">
        <f t="shared" si="12"/>
        <v>42000</v>
      </c>
      <c r="B150">
        <f t="shared" si="11"/>
        <v>-61.453999999999994</v>
      </c>
      <c r="C150">
        <f t="shared" si="13"/>
        <v>4.147021867426643</v>
      </c>
      <c r="D150">
        <f t="shared" si="14"/>
        <v>6.9596906415708402</v>
      </c>
      <c r="E150">
        <f t="shared" si="15"/>
        <v>221.08111111111111</v>
      </c>
    </row>
    <row r="151" spans="1:5">
      <c r="A151">
        <f t="shared" si="12"/>
        <v>42300</v>
      </c>
      <c r="B151">
        <f t="shared" si="11"/>
        <v>-61.819100000000006</v>
      </c>
      <c r="C151">
        <f t="shared" si="13"/>
        <v>4.1098661222739308</v>
      </c>
      <c r="D151">
        <f t="shared" si="14"/>
        <v>6.9214669321537938</v>
      </c>
      <c r="E151">
        <f t="shared" si="15"/>
        <v>220.87827777777778</v>
      </c>
    </row>
    <row r="152" spans="1:5">
      <c r="A152">
        <f t="shared" si="12"/>
        <v>42600</v>
      </c>
      <c r="B152">
        <f t="shared" ref="B152:B215" si="16" xml:space="preserve"> -10.34 - 0.001217 * $A152</f>
        <v>-62.184200000000004</v>
      </c>
      <c r="C152">
        <f t="shared" si="13"/>
        <v>4.0730432785241995</v>
      </c>
      <c r="D152">
        <f t="shared" si="14"/>
        <v>6.8834183252623573</v>
      </c>
      <c r="E152">
        <f t="shared" si="15"/>
        <v>220.67544444444445</v>
      </c>
    </row>
    <row r="153" spans="1:5">
      <c r="A153">
        <f t="shared" si="12"/>
        <v>42900</v>
      </c>
      <c r="B153">
        <f t="shared" si="16"/>
        <v>-62.549300000000002</v>
      </c>
      <c r="C153">
        <f t="shared" si="13"/>
        <v>4.0365503535069704</v>
      </c>
      <c r="D153">
        <f t="shared" si="14"/>
        <v>6.8455441785930695</v>
      </c>
      <c r="E153">
        <f t="shared" si="15"/>
        <v>220.47261111111112</v>
      </c>
    </row>
    <row r="154" spans="1:5">
      <c r="A154">
        <f t="shared" si="12"/>
        <v>43200</v>
      </c>
      <c r="B154">
        <f t="shared" si="16"/>
        <v>-62.914400000000001</v>
      </c>
      <c r="C154">
        <f t="shared" si="13"/>
        <v>4.0003843912753654</v>
      </c>
      <c r="D154">
        <f t="shared" si="14"/>
        <v>6.8078438516111239</v>
      </c>
      <c r="E154">
        <f t="shared" si="15"/>
        <v>220.26977777777779</v>
      </c>
    </row>
    <row r="155" spans="1:5">
      <c r="A155">
        <f t="shared" si="12"/>
        <v>43500</v>
      </c>
      <c r="B155">
        <f t="shared" si="16"/>
        <v>-63.279499999999999</v>
      </c>
      <c r="C155">
        <f t="shared" si="13"/>
        <v>3.9645424623666705</v>
      </c>
      <c r="D155">
        <f t="shared" si="14"/>
        <v>6.7703167055471383</v>
      </c>
      <c r="E155">
        <f t="shared" si="15"/>
        <v>220.06694444444446</v>
      </c>
    </row>
    <row r="156" spans="1:5">
      <c r="A156">
        <f t="shared" si="12"/>
        <v>43800</v>
      </c>
      <c r="B156">
        <f t="shared" si="16"/>
        <v>-63.644599999999997</v>
      </c>
      <c r="C156">
        <f t="shared" si="13"/>
        <v>3.9290216635650452</v>
      </c>
      <c r="D156">
        <f t="shared" si="14"/>
        <v>6.7329621033939304</v>
      </c>
      <c r="E156">
        <f t="shared" si="15"/>
        <v>219.86411111111113</v>
      </c>
    </row>
    <row r="157" spans="1:5">
      <c r="A157">
        <f t="shared" si="12"/>
        <v>44100</v>
      </c>
      <c r="B157">
        <f t="shared" si="16"/>
        <v>-64.009699999999995</v>
      </c>
      <c r="C157">
        <f t="shared" si="13"/>
        <v>3.8938191176663683</v>
      </c>
      <c r="D157">
        <f t="shared" si="14"/>
        <v>6.6957794099032215</v>
      </c>
      <c r="E157">
        <f t="shared" si="15"/>
        <v>219.66127777777777</v>
      </c>
    </row>
    <row r="158" spans="1:5">
      <c r="A158">
        <f t="shared" si="12"/>
        <v>44400</v>
      </c>
      <c r="B158">
        <f t="shared" si="16"/>
        <v>-64.374799999999993</v>
      </c>
      <c r="C158">
        <f t="shared" si="13"/>
        <v>3.858931973245173</v>
      </c>
      <c r="D158">
        <f t="shared" si="14"/>
        <v>6.6587679915824536</v>
      </c>
      <c r="E158">
        <f t="shared" si="15"/>
        <v>219.45844444444444</v>
      </c>
    </row>
    <row r="159" spans="1:5">
      <c r="A159">
        <f t="shared" si="12"/>
        <v>44700</v>
      </c>
      <c r="B159">
        <f t="shared" si="16"/>
        <v>-64.739900000000006</v>
      </c>
      <c r="C159">
        <f t="shared" si="13"/>
        <v>3.8243574044236879</v>
      </c>
      <c r="D159">
        <f t="shared" si="14"/>
        <v>6.6219272166915157</v>
      </c>
      <c r="E159">
        <f t="shared" si="15"/>
        <v>219.25561111111111</v>
      </c>
    </row>
    <row r="160" spans="1:5">
      <c r="A160">
        <f t="shared" si="12"/>
        <v>45000</v>
      </c>
      <c r="B160">
        <f t="shared" si="16"/>
        <v>-65.105000000000004</v>
      </c>
      <c r="C160">
        <f t="shared" si="13"/>
        <v>3.7900926106429336</v>
      </c>
      <c r="D160">
        <f t="shared" si="14"/>
        <v>6.5852564552395041</v>
      </c>
      <c r="E160">
        <f t="shared" si="15"/>
        <v>219.05277777777778</v>
      </c>
    </row>
    <row r="161" spans="1:5">
      <c r="A161">
        <f t="shared" si="12"/>
        <v>45300</v>
      </c>
      <c r="B161">
        <f t="shared" si="16"/>
        <v>-65.470100000000002</v>
      </c>
      <c r="C161">
        <f t="shared" si="13"/>
        <v>3.756134816435881</v>
      </c>
      <c r="D161">
        <f t="shared" si="14"/>
        <v>6.5487550789815305</v>
      </c>
      <c r="E161">
        <f t="shared" si="15"/>
        <v>218.84994444444445</v>
      </c>
    </row>
    <row r="162" spans="1:5">
      <c r="A162">
        <f t="shared" si="12"/>
        <v>45600</v>
      </c>
      <c r="B162">
        <f t="shared" si="16"/>
        <v>-65.8352</v>
      </c>
      <c r="C162">
        <f t="shared" si="13"/>
        <v>3.7224812712026303</v>
      </c>
      <c r="D162">
        <f t="shared" si="14"/>
        <v>6.5124224614154427</v>
      </c>
      <c r="E162">
        <f t="shared" si="15"/>
        <v>218.64711111111112</v>
      </c>
    </row>
    <row r="163" spans="1:5">
      <c r="A163">
        <f t="shared" si="12"/>
        <v>45900</v>
      </c>
      <c r="B163">
        <f t="shared" si="16"/>
        <v>-66.200299999999999</v>
      </c>
      <c r="C163">
        <f t="shared" si="13"/>
        <v>3.6891292489876211</v>
      </c>
      <c r="D163">
        <f t="shared" si="14"/>
        <v>6.4762579777786264</v>
      </c>
      <c r="E163">
        <f t="shared" si="15"/>
        <v>218.44427777777778</v>
      </c>
    </row>
    <row r="164" spans="1:5">
      <c r="A164">
        <f t="shared" si="12"/>
        <v>46200</v>
      </c>
      <c r="B164">
        <f t="shared" si="16"/>
        <v>-66.565399999999997</v>
      </c>
      <c r="C164">
        <f t="shared" si="13"/>
        <v>3.6560760482588153</v>
      </c>
      <c r="D164">
        <f t="shared" si="14"/>
        <v>6.4402610050447935</v>
      </c>
      <c r="E164">
        <f t="shared" si="15"/>
        <v>218.24144444444445</v>
      </c>
    </row>
    <row r="165" spans="1:5">
      <c r="A165">
        <f t="shared" si="12"/>
        <v>46500</v>
      </c>
      <c r="B165">
        <f t="shared" si="16"/>
        <v>-66.930499999999995</v>
      </c>
      <c r="C165">
        <f t="shared" si="13"/>
        <v>3.6233189916888842</v>
      </c>
      <c r="D165">
        <f t="shared" si="14"/>
        <v>6.4044309219207269</v>
      </c>
      <c r="E165">
        <f t="shared" si="15"/>
        <v>218.03861111111112</v>
      </c>
    </row>
    <row r="166" spans="1:5">
      <c r="A166">
        <f t="shared" si="12"/>
        <v>46800</v>
      </c>
      <c r="B166">
        <f t="shared" si="16"/>
        <v>-67.295599999999993</v>
      </c>
      <c r="C166">
        <f t="shared" si="13"/>
        <v>3.5908554259383343</v>
      </c>
      <c r="D166">
        <f t="shared" si="14"/>
        <v>6.3687671088431044</v>
      </c>
      <c r="E166">
        <f t="shared" si="15"/>
        <v>217.83577777777779</v>
      </c>
    </row>
    <row r="167" spans="1:5">
      <c r="A167">
        <f t="shared" si="12"/>
        <v>47100</v>
      </c>
      <c r="B167">
        <f t="shared" si="16"/>
        <v>-67.660700000000006</v>
      </c>
      <c r="C167">
        <f t="shared" si="13"/>
        <v>3.5586827214405918</v>
      </c>
      <c r="D167">
        <f t="shared" si="14"/>
        <v>6.3332689479752409</v>
      </c>
      <c r="E167">
        <f t="shared" si="15"/>
        <v>217.63294444444443</v>
      </c>
    </row>
    <row r="168" spans="1:5">
      <c r="A168">
        <f t="shared" si="12"/>
        <v>47400</v>
      </c>
      <c r="B168">
        <f t="shared" si="16"/>
        <v>-68.025800000000004</v>
      </c>
      <c r="C168">
        <f t="shared" si="13"/>
        <v>3.526798272189001</v>
      </c>
      <c r="D168">
        <f t="shared" si="14"/>
        <v>6.2979358232039191</v>
      </c>
      <c r="E168">
        <f t="shared" si="15"/>
        <v>217.4301111111111</v>
      </c>
    </row>
    <row r="169" spans="1:5">
      <c r="A169">
        <f t="shared" si="12"/>
        <v>47700</v>
      </c>
      <c r="B169">
        <f t="shared" si="16"/>
        <v>-68.390900000000002</v>
      </c>
      <c r="C169">
        <f t="shared" si="13"/>
        <v>3.4951994955257386</v>
      </c>
      <c r="D169">
        <f t="shared" si="14"/>
        <v>6.2627671201361608</v>
      </c>
      <c r="E169">
        <f t="shared" si="15"/>
        <v>217.22727777777777</v>
      </c>
    </row>
    <row r="170" spans="1:5">
      <c r="A170">
        <f t="shared" si="12"/>
        <v>48000</v>
      </c>
      <c r="B170">
        <f t="shared" si="16"/>
        <v>-68.756</v>
      </c>
      <c r="C170">
        <f t="shared" si="13"/>
        <v>3.4638838319326202</v>
      </c>
      <c r="D170">
        <f t="shared" si="14"/>
        <v>6.227762226096015</v>
      </c>
      <c r="E170">
        <f t="shared" si="15"/>
        <v>217.02444444444444</v>
      </c>
    </row>
    <row r="171" spans="1:5">
      <c r="A171">
        <f t="shared" si="12"/>
        <v>48300</v>
      </c>
      <c r="B171">
        <f t="shared" si="16"/>
        <v>-69.121099999999998</v>
      </c>
      <c r="C171">
        <f t="shared" si="13"/>
        <v>3.432848744823771</v>
      </c>
      <c r="D171">
        <f t="shared" si="14"/>
        <v>6.1929205301213601</v>
      </c>
      <c r="E171">
        <f t="shared" si="15"/>
        <v>216.82161111111111</v>
      </c>
    </row>
    <row r="172" spans="1:5">
      <c r="A172">
        <f t="shared" si="12"/>
        <v>48600</v>
      </c>
      <c r="B172">
        <f t="shared" si="16"/>
        <v>-69.486199999999997</v>
      </c>
      <c r="C172">
        <f t="shared" si="13"/>
        <v>3.4020917203401688</v>
      </c>
      <c r="D172">
        <f t="shared" si="14"/>
        <v>6.1582414229607352</v>
      </c>
      <c r="E172">
        <f t="shared" si="15"/>
        <v>216.61877777777778</v>
      </c>
    </row>
    <row r="173" spans="1:5">
      <c r="A173">
        <f t="shared" si="12"/>
        <v>48900</v>
      </c>
      <c r="B173">
        <f t="shared" si="16"/>
        <v>-69.851299999999995</v>
      </c>
      <c r="C173">
        <f t="shared" si="13"/>
        <v>3.371610267146012</v>
      </c>
      <c r="D173">
        <f t="shared" si="14"/>
        <v>6.1237242970700816</v>
      </c>
      <c r="E173">
        <f t="shared" si="15"/>
        <v>216.41594444444445</v>
      </c>
    </row>
    <row r="174" spans="1:5">
      <c r="A174">
        <f t="shared" si="12"/>
        <v>49200</v>
      </c>
      <c r="B174">
        <f t="shared" si="16"/>
        <v>-70.216399999999993</v>
      </c>
      <c r="C174">
        <f t="shared" si="13"/>
        <v>3.3414019162269275</v>
      </c>
      <c r="D174">
        <f t="shared" si="14"/>
        <v>6.0893685466096255</v>
      </c>
      <c r="E174">
        <f t="shared" si="15"/>
        <v>216.21311111111112</v>
      </c>
    </row>
    <row r="175" spans="1:5">
      <c r="A175">
        <f t="shared" si="12"/>
        <v>49500</v>
      </c>
      <c r="B175">
        <f t="shared" si="16"/>
        <v>-70.581500000000005</v>
      </c>
      <c r="C175">
        <f t="shared" si="13"/>
        <v>3.3114642206899729</v>
      </c>
      <c r="D175">
        <f t="shared" si="14"/>
        <v>6.0551735674406215</v>
      </c>
      <c r="E175">
        <f t="shared" si="15"/>
        <v>216.01027777777779</v>
      </c>
    </row>
    <row r="176" spans="1:5">
      <c r="A176">
        <f t="shared" si="12"/>
        <v>49800</v>
      </c>
      <c r="B176">
        <f t="shared" si="16"/>
        <v>-70.946600000000004</v>
      </c>
      <c r="C176">
        <f t="shared" si="13"/>
        <v>3.2817947555654432</v>
      </c>
      <c r="D176">
        <f t="shared" si="14"/>
        <v>6.0211387571221877</v>
      </c>
      <c r="E176">
        <f t="shared" si="15"/>
        <v>215.80744444444443</v>
      </c>
    </row>
    <row r="177" spans="1:5">
      <c r="A177">
        <f t="shared" si="12"/>
        <v>50100</v>
      </c>
      <c r="B177">
        <f t="shared" si="16"/>
        <v>-71.311700000000002</v>
      </c>
      <c r="C177">
        <f t="shared" si="13"/>
        <v>3.2523911176104394</v>
      </c>
      <c r="D177">
        <f t="shared" si="14"/>
        <v>5.9872635149081708</v>
      </c>
      <c r="E177">
        <f t="shared" si="15"/>
        <v>215.60461111111113</v>
      </c>
    </row>
    <row r="178" spans="1:5">
      <c r="A178">
        <f t="shared" si="12"/>
        <v>50400</v>
      </c>
      <c r="B178">
        <f t="shared" si="16"/>
        <v>-71.6768</v>
      </c>
      <c r="C178">
        <f t="shared" si="13"/>
        <v>3.2232509251142125</v>
      </c>
      <c r="D178">
        <f t="shared" si="14"/>
        <v>5.95354724174386</v>
      </c>
      <c r="E178">
        <f t="shared" si="15"/>
        <v>215.40177777777777</v>
      </c>
    </row>
    <row r="179" spans="1:5">
      <c r="A179">
        <f t="shared" si="12"/>
        <v>50700</v>
      </c>
      <c r="B179">
        <f t="shared" si="16"/>
        <v>-72.041899999999998</v>
      </c>
      <c r="C179">
        <f t="shared" si="13"/>
        <v>3.1943718177052367</v>
      </c>
      <c r="D179">
        <f t="shared" si="14"/>
        <v>5.9199893402629202</v>
      </c>
      <c r="E179">
        <f t="shared" si="15"/>
        <v>215.19894444444446</v>
      </c>
    </row>
    <row r="180" spans="1:5">
      <c r="A180">
        <f t="shared" si="12"/>
        <v>51000</v>
      </c>
      <c r="B180">
        <f t="shared" si="16"/>
        <v>-72.406999999999996</v>
      </c>
      <c r="C180">
        <f t="shared" si="13"/>
        <v>3.1657514561600233</v>
      </c>
      <c r="D180">
        <f t="shared" si="14"/>
        <v>5.886589214784129</v>
      </c>
      <c r="E180">
        <f t="shared" si="15"/>
        <v>214.99611111111111</v>
      </c>
    </row>
    <row r="181" spans="1:5">
      <c r="A181">
        <f t="shared" si="12"/>
        <v>51300</v>
      </c>
      <c r="B181">
        <f t="shared" si="16"/>
        <v>-72.772099999999995</v>
      </c>
      <c r="C181">
        <f t="shared" si="13"/>
        <v>3.1373875222136367</v>
      </c>
      <c r="D181">
        <f t="shared" si="14"/>
        <v>5.8533462713082711</v>
      </c>
      <c r="E181">
        <f t="shared" si="15"/>
        <v>214.79327777777777</v>
      </c>
    </row>
    <row r="182" spans="1:5">
      <c r="A182">
        <f t="shared" si="12"/>
        <v>51600</v>
      </c>
      <c r="B182">
        <f t="shared" si="16"/>
        <v>-73.137199999999993</v>
      </c>
      <c r="C182">
        <f t="shared" si="13"/>
        <v>3.109277718371922</v>
      </c>
      <c r="D182">
        <f t="shared" si="14"/>
        <v>5.8202599175149325</v>
      </c>
      <c r="E182">
        <f t="shared" si="15"/>
        <v>214.59044444444444</v>
      </c>
    </row>
    <row r="183" spans="1:5">
      <c r="A183">
        <f t="shared" si="12"/>
        <v>51900</v>
      </c>
      <c r="B183">
        <f t="shared" si="16"/>
        <v>-73.502300000000005</v>
      </c>
      <c r="C183">
        <f t="shared" si="13"/>
        <v>3.0814197677253974</v>
      </c>
      <c r="D183">
        <f t="shared" si="14"/>
        <v>5.7873295627593286</v>
      </c>
      <c r="E183">
        <f t="shared" si="15"/>
        <v>214.38761111111111</v>
      </c>
    </row>
    <row r="184" spans="1:5">
      <c r="A184">
        <f t="shared" si="12"/>
        <v>52200</v>
      </c>
      <c r="B184">
        <f t="shared" si="16"/>
        <v>-73.867400000000004</v>
      </c>
      <c r="C184">
        <f t="shared" si="13"/>
        <v>3.0538114137648287</v>
      </c>
      <c r="D184">
        <f t="shared" si="14"/>
        <v>5.7545546180691618</v>
      </c>
      <c r="E184">
        <f t="shared" si="15"/>
        <v>214.18477777777778</v>
      </c>
    </row>
    <row r="185" spans="1:5">
      <c r="A185">
        <f t="shared" si="12"/>
        <v>52500</v>
      </c>
      <c r="B185">
        <f t="shared" si="16"/>
        <v>-74.232500000000002</v>
      </c>
      <c r="C185">
        <f t="shared" si="13"/>
        <v>3.0264504201984517</v>
      </c>
      <c r="D185">
        <f t="shared" si="14"/>
        <v>5.7219344961414649</v>
      </c>
      <c r="E185">
        <f t="shared" si="15"/>
        <v>213.98194444444445</v>
      </c>
    </row>
    <row r="186" spans="1:5">
      <c r="A186">
        <f t="shared" si="12"/>
        <v>52800</v>
      </c>
      <c r="B186">
        <f t="shared" si="16"/>
        <v>-74.5976</v>
      </c>
      <c r="C186">
        <f t="shared" si="13"/>
        <v>2.9993345707708259</v>
      </c>
      <c r="D186">
        <f t="shared" si="14"/>
        <v>5.6894686113394117</v>
      </c>
      <c r="E186">
        <f t="shared" si="15"/>
        <v>213.77911111111109</v>
      </c>
    </row>
    <row r="187" spans="1:5">
      <c r="A187">
        <f t="shared" ref="A187:A225" si="17">+$A186+$A$1</f>
        <v>53100</v>
      </c>
      <c r="B187">
        <f t="shared" si="16"/>
        <v>-74.962699999999998</v>
      </c>
      <c r="C187">
        <f t="shared" si="13"/>
        <v>2.9724616690833239</v>
      </c>
      <c r="D187">
        <f t="shared" si="14"/>
        <v>5.6571563796892086</v>
      </c>
      <c r="E187">
        <f t="shared" si="15"/>
        <v>213.57627777777779</v>
      </c>
    </row>
    <row r="188" spans="1:5">
      <c r="A188">
        <f t="shared" si="17"/>
        <v>53400</v>
      </c>
      <c r="B188">
        <f t="shared" si="16"/>
        <v>-75.327799999999996</v>
      </c>
      <c r="C188">
        <f t="shared" si="13"/>
        <v>2.945829538416215</v>
      </c>
      <c r="D188">
        <f t="shared" si="14"/>
        <v>5.624997218876894</v>
      </c>
      <c r="E188">
        <f t="shared" si="15"/>
        <v>213.37344444444443</v>
      </c>
    </row>
    <row r="189" spans="1:5">
      <c r="A189">
        <f t="shared" si="17"/>
        <v>53700</v>
      </c>
      <c r="B189">
        <f t="shared" si="16"/>
        <v>-75.692900000000009</v>
      </c>
      <c r="C189">
        <f t="shared" si="13"/>
        <v>2.9194360215523552</v>
      </c>
      <c r="D189">
        <f t="shared" si="14"/>
        <v>5.5929905482452291</v>
      </c>
      <c r="E189">
        <f t="shared" si="15"/>
        <v>213.1706111111111</v>
      </c>
    </row>
    <row r="190" spans="1:5">
      <c r="A190">
        <f t="shared" si="17"/>
        <v>54000</v>
      </c>
      <c r="B190">
        <f t="shared" si="16"/>
        <v>-76.058000000000007</v>
      </c>
      <c r="C190">
        <f t="shared" si="13"/>
        <v>2.8932789806024459</v>
      </c>
      <c r="D190">
        <f t="shared" si="14"/>
        <v>5.5611357887905424</v>
      </c>
      <c r="E190">
        <f t="shared" si="15"/>
        <v>212.96777777777777</v>
      </c>
    </row>
    <row r="191" spans="1:5">
      <c r="A191">
        <f t="shared" si="17"/>
        <v>54300</v>
      </c>
      <c r="B191">
        <f t="shared" si="16"/>
        <v>-76.423100000000005</v>
      </c>
      <c r="C191">
        <f t="shared" si="13"/>
        <v>2.8673562968318711</v>
      </c>
      <c r="D191">
        <f t="shared" si="14"/>
        <v>5.5294323631595734</v>
      </c>
      <c r="E191">
        <f t="shared" si="15"/>
        <v>212.76494444444444</v>
      </c>
    </row>
    <row r="192" spans="1:5">
      <c r="A192">
        <f t="shared" si="17"/>
        <v>54600</v>
      </c>
      <c r="B192">
        <f t="shared" si="16"/>
        <v>-76.788200000000003</v>
      </c>
      <c r="C192">
        <f t="shared" si="13"/>
        <v>2.8416658704890705</v>
      </c>
      <c r="D192">
        <f t="shared" si="14"/>
        <v>5.4978796956463345</v>
      </c>
      <c r="E192">
        <f t="shared" si="15"/>
        <v>212.56211111111111</v>
      </c>
    </row>
    <row r="193" spans="1:5">
      <c r="A193">
        <f t="shared" si="17"/>
        <v>54900</v>
      </c>
      <c r="B193">
        <f t="shared" si="16"/>
        <v>-77.153300000000002</v>
      </c>
      <c r="C193">
        <f t="shared" si="13"/>
        <v>2.8162056206354649</v>
      </c>
      <c r="D193">
        <f t="shared" si="14"/>
        <v>5.4664772121890115</v>
      </c>
      <c r="E193">
        <f t="shared" si="15"/>
        <v>212.35927777777778</v>
      </c>
    </row>
    <row r="194" spans="1:5">
      <c r="A194">
        <f t="shared" si="17"/>
        <v>55200</v>
      </c>
      <c r="B194">
        <f t="shared" si="16"/>
        <v>-77.5184</v>
      </c>
      <c r="C194">
        <f t="shared" si="13"/>
        <v>2.7909734849768943</v>
      </c>
      <c r="D194">
        <f t="shared" si="14"/>
        <v>5.4352243403667728</v>
      </c>
      <c r="E194">
        <f t="shared" si="15"/>
        <v>212.15644444444445</v>
      </c>
    </row>
    <row r="195" spans="1:5">
      <c r="A195">
        <f t="shared" si="17"/>
        <v>55500</v>
      </c>
      <c r="B195">
        <f t="shared" si="16"/>
        <v>-77.883499999999998</v>
      </c>
      <c r="C195">
        <f t="shared" si="13"/>
        <v>2.7659674196965773</v>
      </c>
      <c r="D195">
        <f t="shared" si="14"/>
        <v>5.4041205093966935</v>
      </c>
      <c r="E195">
        <f t="shared" si="15"/>
        <v>211.95361111111112</v>
      </c>
    </row>
    <row r="196" spans="1:5">
      <c r="A196">
        <f t="shared" si="17"/>
        <v>55800</v>
      </c>
      <c r="B196">
        <f t="shared" si="16"/>
        <v>-78.248599999999996</v>
      </c>
      <c r="C196">
        <f t="shared" si="13"/>
        <v>2.7411853992895514</v>
      </c>
      <c r="D196">
        <f t="shared" si="14"/>
        <v>5.373165150130581</v>
      </c>
      <c r="E196">
        <f t="shared" si="15"/>
        <v>211.75077777777778</v>
      </c>
    </row>
    <row r="197" spans="1:5">
      <c r="A197">
        <f t="shared" si="17"/>
        <v>56100</v>
      </c>
      <c r="B197">
        <f t="shared" si="16"/>
        <v>-78.613700000000009</v>
      </c>
      <c r="C197">
        <f t="shared" si="13"/>
        <v>2.7166254163986152</v>
      </c>
      <c r="D197">
        <f t="shared" si="14"/>
        <v>5.3423576950518781</v>
      </c>
      <c r="E197">
        <f t="shared" si="15"/>
        <v>211.54794444444443</v>
      </c>
    </row>
    <row r="198" spans="1:5">
      <c r="A198">
        <f t="shared" si="17"/>
        <v>56400</v>
      </c>
      <c r="B198">
        <f t="shared" si="16"/>
        <v>-78.978800000000007</v>
      </c>
      <c r="C198">
        <f t="shared" si="13"/>
        <v>2.6922854816517265</v>
      </c>
      <c r="D198">
        <f t="shared" si="14"/>
        <v>5.3116975782725619</v>
      </c>
      <c r="E198">
        <f t="shared" si="15"/>
        <v>211.34511111111112</v>
      </c>
    </row>
    <row r="199" spans="1:5">
      <c r="A199">
        <f t="shared" si="17"/>
        <v>56700</v>
      </c>
      <c r="B199">
        <f t="shared" si="16"/>
        <v>-79.343900000000005</v>
      </c>
      <c r="C199">
        <f t="shared" si="13"/>
        <v>2.6681636235008628</v>
      </c>
      <c r="D199">
        <f t="shared" si="14"/>
        <v>5.2811842355299552</v>
      </c>
      <c r="E199">
        <f t="shared" si="15"/>
        <v>211.14227777777776</v>
      </c>
    </row>
    <row r="200" spans="1:5">
      <c r="A200">
        <f t="shared" si="17"/>
        <v>57000</v>
      </c>
      <c r="B200">
        <f t="shared" si="16"/>
        <v>-79.709000000000003</v>
      </c>
      <c r="C200">
        <f t="shared" si="13"/>
        <v>2.6442578880623251</v>
      </c>
      <c r="D200">
        <f t="shared" si="14"/>
        <v>5.2508171041836906</v>
      </c>
      <c r="E200">
        <f t="shared" si="15"/>
        <v>210.93944444444443</v>
      </c>
    </row>
    <row r="201" spans="1:5">
      <c r="A201">
        <f t="shared" si="17"/>
        <v>57300</v>
      </c>
      <c r="B201">
        <f t="shared" si="16"/>
        <v>-80.074100000000001</v>
      </c>
      <c r="C201">
        <f t="shared" si="13"/>
        <v>2.6205663389584717</v>
      </c>
      <c r="D201">
        <f t="shared" si="14"/>
        <v>5.2205956232125548</v>
      </c>
      <c r="E201">
        <f t="shared" si="15"/>
        <v>210.7366111111111</v>
      </c>
    </row>
    <row r="202" spans="1:5">
      <c r="A202">
        <f t="shared" si="17"/>
        <v>57600</v>
      </c>
      <c r="B202">
        <f t="shared" si="16"/>
        <v>-80.4392</v>
      </c>
      <c r="C202">
        <f t="shared" si="13"/>
        <v>2.5970870571608731</v>
      </c>
      <c r="D202">
        <f t="shared" si="14"/>
        <v>5.1905192332113756</v>
      </c>
      <c r="E202">
        <f t="shared" si="15"/>
        <v>210.53377777777777</v>
      </c>
    </row>
    <row r="203" spans="1:5">
      <c r="A203">
        <f t="shared" si="17"/>
        <v>57900</v>
      </c>
      <c r="B203">
        <f t="shared" si="16"/>
        <v>-80.804299999999998</v>
      </c>
      <c r="C203">
        <f t="shared" ref="C203:C225" si="18">14.62 * EXP(-0.00003 * $A203)</f>
        <v>2.5738181408348653</v>
      </c>
      <c r="D203">
        <f t="shared" ref="D203:D225" si="19">+($E203/$D$2)^$D$1</f>
        <v>5.1605873763879471</v>
      </c>
      <c r="E203">
        <f t="shared" ref="E203:E225" si="20">+($B203-32)*5/9+273</f>
        <v>210.33094444444444</v>
      </c>
    </row>
    <row r="204" spans="1:5">
      <c r="A204">
        <f t="shared" si="17"/>
        <v>58200</v>
      </c>
      <c r="B204">
        <f t="shared" si="16"/>
        <v>-81.169399999999996</v>
      </c>
      <c r="C204">
        <f t="shared" si="18"/>
        <v>2.5507577051855042</v>
      </c>
      <c r="D204">
        <f t="shared" si="19"/>
        <v>5.1307994965598906</v>
      </c>
      <c r="E204">
        <f t="shared" si="20"/>
        <v>210.12811111111111</v>
      </c>
    </row>
    <row r="205" spans="1:5">
      <c r="A205">
        <f t="shared" si="17"/>
        <v>58500</v>
      </c>
      <c r="B205">
        <f t="shared" si="16"/>
        <v>-81.534500000000008</v>
      </c>
      <c r="C205">
        <f t="shared" si="18"/>
        <v>2.5279038823048929</v>
      </c>
      <c r="D205">
        <f t="shared" si="19"/>
        <v>5.1011550391515703</v>
      </c>
      <c r="E205">
        <f t="shared" si="20"/>
        <v>209.92527777777778</v>
      </c>
    </row>
    <row r="206" spans="1:5">
      <c r="A206">
        <f t="shared" si="17"/>
        <v>58800</v>
      </c>
      <c r="B206">
        <f t="shared" si="16"/>
        <v>-81.899600000000007</v>
      </c>
      <c r="C206">
        <f t="shared" si="18"/>
        <v>2.5052548210208845</v>
      </c>
      <c r="D206">
        <f t="shared" si="19"/>
        <v>5.0716534511910147</v>
      </c>
      <c r="E206">
        <f t="shared" si="20"/>
        <v>209.72244444444445</v>
      </c>
    </row>
    <row r="207" spans="1:5">
      <c r="A207">
        <f t="shared" si="17"/>
        <v>59100</v>
      </c>
      <c r="B207">
        <f t="shared" si="16"/>
        <v>-82.264700000000005</v>
      </c>
      <c r="C207">
        <f t="shared" si="18"/>
        <v>2.4828086867471302</v>
      </c>
      <c r="D207">
        <f t="shared" si="19"/>
        <v>5.0422941813067794</v>
      </c>
      <c r="E207">
        <f t="shared" si="20"/>
        <v>209.51961111111112</v>
      </c>
    </row>
    <row r="208" spans="1:5">
      <c r="A208">
        <f t="shared" si="17"/>
        <v>59400</v>
      </c>
      <c r="B208">
        <f t="shared" si="16"/>
        <v>-82.629800000000003</v>
      </c>
      <c r="C208">
        <f t="shared" si="18"/>
        <v>2.4605636613344819</v>
      </c>
      <c r="D208">
        <f t="shared" si="19"/>
        <v>5.0130766797248976</v>
      </c>
      <c r="E208">
        <f t="shared" si="20"/>
        <v>209.31677777777779</v>
      </c>
    </row>
    <row r="209" spans="1:5">
      <c r="A209">
        <f t="shared" si="17"/>
        <v>59700</v>
      </c>
      <c r="B209">
        <f t="shared" si="16"/>
        <v>-82.994900000000001</v>
      </c>
      <c r="C209">
        <f t="shared" si="18"/>
        <v>2.4385179429237183</v>
      </c>
      <c r="D209">
        <f t="shared" si="19"/>
        <v>4.984000398265759</v>
      </c>
      <c r="E209">
        <f t="shared" si="20"/>
        <v>209.11394444444443</v>
      </c>
    </row>
    <row r="210" spans="1:5">
      <c r="A210">
        <f t="shared" si="17"/>
        <v>60000</v>
      </c>
      <c r="B210">
        <f t="shared" si="16"/>
        <v>-83.36</v>
      </c>
      <c r="C210">
        <f t="shared" si="18"/>
        <v>2.4166697457995951</v>
      </c>
      <c r="D210">
        <f t="shared" si="19"/>
        <v>4.9550647903410505</v>
      </c>
      <c r="E210">
        <f t="shared" si="20"/>
        <v>208.9111111111111</v>
      </c>
    </row>
    <row r="211" spans="1:5">
      <c r="A211">
        <f t="shared" si="17"/>
        <v>60300</v>
      </c>
      <c r="B211">
        <f t="shared" si="16"/>
        <v>-83.725099999999998</v>
      </c>
      <c r="C211">
        <f t="shared" si="18"/>
        <v>2.3950173002461992</v>
      </c>
      <c r="D211">
        <f t="shared" si="19"/>
        <v>4.9262693109506666</v>
      </c>
      <c r="E211">
        <f t="shared" si="20"/>
        <v>208.70827777777777</v>
      </c>
    </row>
    <row r="212" spans="1:5">
      <c r="A212">
        <f t="shared" si="17"/>
        <v>60600</v>
      </c>
      <c r="B212">
        <f t="shared" si="16"/>
        <v>-84.090199999999996</v>
      </c>
      <c r="C212">
        <f t="shared" si="18"/>
        <v>2.373558852403602</v>
      </c>
      <c r="D212">
        <f t="shared" si="19"/>
        <v>4.8976134166796061</v>
      </c>
      <c r="E212">
        <f t="shared" si="20"/>
        <v>208.50544444444444</v>
      </c>
    </row>
    <row r="213" spans="1:5">
      <c r="A213">
        <f t="shared" si="17"/>
        <v>60900</v>
      </c>
      <c r="B213">
        <f t="shared" si="16"/>
        <v>-84.455300000000008</v>
      </c>
      <c r="C213">
        <f t="shared" si="18"/>
        <v>2.3522926641257973</v>
      </c>
      <c r="D213">
        <f t="shared" si="19"/>
        <v>4.8690965656949228</v>
      </c>
      <c r="E213">
        <f t="shared" si="20"/>
        <v>208.3026111111111</v>
      </c>
    </row>
    <row r="214" spans="1:5">
      <c r="A214">
        <f t="shared" si="17"/>
        <v>61200</v>
      </c>
      <c r="B214">
        <f t="shared" si="16"/>
        <v>-84.820400000000006</v>
      </c>
      <c r="C214">
        <f t="shared" si="18"/>
        <v>2.3312170128399052</v>
      </c>
      <c r="D214">
        <f t="shared" si="19"/>
        <v>4.8407182177426584</v>
      </c>
      <c r="E214">
        <f t="shared" si="20"/>
        <v>208.09977777777777</v>
      </c>
    </row>
    <row r="215" spans="1:5">
      <c r="A215">
        <f t="shared" si="17"/>
        <v>61500</v>
      </c>
      <c r="B215">
        <f t="shared" si="16"/>
        <v>-85.185500000000005</v>
      </c>
      <c r="C215">
        <f t="shared" si="18"/>
        <v>2.3103301914066505</v>
      </c>
      <c r="D215">
        <f t="shared" si="19"/>
        <v>4.812477834144735</v>
      </c>
      <c r="E215">
        <f t="shared" si="20"/>
        <v>207.89694444444444</v>
      </c>
    </row>
    <row r="216" spans="1:5">
      <c r="A216">
        <f t="shared" si="17"/>
        <v>61800</v>
      </c>
      <c r="B216">
        <f t="shared" ref="B216:B225" si="21" xml:space="preserve"> -10.34 - 0.001217 * $A216</f>
        <v>-85.550600000000003</v>
      </c>
      <c r="C216">
        <f t="shared" si="18"/>
        <v>2.2896305079820753</v>
      </c>
      <c r="D216">
        <f t="shared" si="19"/>
        <v>4.784374877795929</v>
      </c>
      <c r="E216">
        <f t="shared" si="20"/>
        <v>207.69411111111111</v>
      </c>
    </row>
    <row r="217" spans="1:5">
      <c r="A217">
        <f t="shared" si="17"/>
        <v>62100</v>
      </c>
      <c r="B217">
        <f t="shared" si="21"/>
        <v>-85.915700000000001</v>
      </c>
      <c r="C217">
        <f t="shared" si="18"/>
        <v>2.2691162858805063</v>
      </c>
      <c r="D217">
        <f t="shared" si="19"/>
        <v>4.7564088131607782</v>
      </c>
      <c r="E217">
        <f t="shared" si="20"/>
        <v>207.49127777777778</v>
      </c>
    </row>
    <row r="218" spans="1:5">
      <c r="A218">
        <f t="shared" si="17"/>
        <v>62400</v>
      </c>
      <c r="B218">
        <f t="shared" si="21"/>
        <v>-86.280799999999999</v>
      </c>
      <c r="C218">
        <f t="shared" si="18"/>
        <v>2.2487858634387359</v>
      </c>
      <c r="D218">
        <f t="shared" si="19"/>
        <v>4.7285791062705247</v>
      </c>
      <c r="E218">
        <f t="shared" si="20"/>
        <v>207.28844444444445</v>
      </c>
    </row>
    <row r="219" spans="1:5">
      <c r="A219">
        <f t="shared" si="17"/>
        <v>62700</v>
      </c>
      <c r="B219">
        <f t="shared" si="21"/>
        <v>-86.645899999999997</v>
      </c>
      <c r="C219">
        <f t="shared" si="18"/>
        <v>2.2286375938814311</v>
      </c>
      <c r="D219">
        <f t="shared" si="19"/>
        <v>4.7008852247200759</v>
      </c>
      <c r="E219">
        <f t="shared" si="20"/>
        <v>207.08561111111112</v>
      </c>
    </row>
    <row r="220" spans="1:5">
      <c r="A220">
        <f t="shared" si="17"/>
        <v>63000</v>
      </c>
      <c r="B220">
        <f t="shared" si="21"/>
        <v>-87.010999999999996</v>
      </c>
      <c r="C220">
        <f t="shared" si="18"/>
        <v>2.2086698451877416</v>
      </c>
      <c r="D220">
        <f t="shared" si="19"/>
        <v>4.6733266376649203</v>
      </c>
      <c r="E220">
        <f t="shared" si="20"/>
        <v>206.88277777777779</v>
      </c>
    </row>
    <row r="221" spans="1:5">
      <c r="A221">
        <f t="shared" si="17"/>
        <v>63300</v>
      </c>
      <c r="B221">
        <f t="shared" si="21"/>
        <v>-87.376100000000008</v>
      </c>
      <c r="C221">
        <f t="shared" si="18"/>
        <v>2.1888809999591059</v>
      </c>
      <c r="D221">
        <f t="shared" si="19"/>
        <v>4.6459028158181024</v>
      </c>
      <c r="E221">
        <f t="shared" si="20"/>
        <v>206.67994444444446</v>
      </c>
    </row>
    <row r="222" spans="1:5">
      <c r="A222">
        <f t="shared" si="17"/>
        <v>63600</v>
      </c>
      <c r="B222">
        <f t="shared" si="21"/>
        <v>-87.741200000000006</v>
      </c>
      <c r="C222">
        <f t="shared" si="18"/>
        <v>2.1692694552882403</v>
      </c>
      <c r="D222">
        <f t="shared" si="19"/>
        <v>4.6186132314471493</v>
      </c>
      <c r="E222">
        <f t="shared" si="20"/>
        <v>206.47711111111113</v>
      </c>
    </row>
    <row r="223" spans="1:5">
      <c r="A223">
        <f t="shared" si="17"/>
        <v>63900</v>
      </c>
      <c r="B223">
        <f t="shared" si="21"/>
        <v>-88.106300000000005</v>
      </c>
      <c r="C223">
        <f t="shared" si="18"/>
        <v>2.1498336226293051</v>
      </c>
      <c r="D223">
        <f t="shared" si="19"/>
        <v>4.5914573583710236</v>
      </c>
      <c r="E223">
        <f t="shared" si="20"/>
        <v>206.27427777777777</v>
      </c>
    </row>
    <row r="224" spans="1:5">
      <c r="A224">
        <f t="shared" si="17"/>
        <v>64200</v>
      </c>
      <c r="B224">
        <f t="shared" si="21"/>
        <v>-88.471400000000003</v>
      </c>
      <c r="C224">
        <f t="shared" si="18"/>
        <v>2.1305719276692265</v>
      </c>
      <c r="D224">
        <f t="shared" si="19"/>
        <v>4.564434671957132</v>
      </c>
      <c r="E224">
        <f t="shared" si="20"/>
        <v>206.07144444444447</v>
      </c>
    </row>
    <row r="225" spans="1:5">
      <c r="A225">
        <f t="shared" si="17"/>
        <v>64500</v>
      </c>
      <c r="B225">
        <f t="shared" si="21"/>
        <v>-88.836500000000001</v>
      </c>
      <c r="C225">
        <f t="shared" si="18"/>
        <v>2.1114828102001835</v>
      </c>
      <c r="D225">
        <f t="shared" si="19"/>
        <v>4.5375446491181881</v>
      </c>
      <c r="E225">
        <f t="shared" si="20"/>
        <v>205.86861111111111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4"/>
  <sheetViews>
    <sheetView workbookViewId="0">
      <selection activeCell="C1" sqref="C1:D1048576"/>
    </sheetView>
  </sheetViews>
  <sheetFormatPr defaultRowHeight="15"/>
  <cols>
    <col min="1" max="1" width="5.85546875" customWidth="1"/>
    <col min="2" max="2" width="10.42578125" customWidth="1"/>
  </cols>
  <sheetData>
    <row r="1" spans="1:5" ht="30">
      <c r="A1" s="1" t="s">
        <v>0</v>
      </c>
      <c r="B1" s="1" t="s">
        <v>1</v>
      </c>
      <c r="C1" s="1" t="s">
        <v>2</v>
      </c>
      <c r="D1" s="1" t="s">
        <v>3</v>
      </c>
    </row>
    <row r="2" spans="1:5">
      <c r="A2" s="2">
        <v>1</v>
      </c>
      <c r="B2" s="2">
        <v>2468.6</v>
      </c>
      <c r="C2" s="2">
        <v>216.67</v>
      </c>
      <c r="D2" s="2">
        <v>26598.2</v>
      </c>
    </row>
    <row r="3" spans="1:5">
      <c r="A3" s="2">
        <v>2</v>
      </c>
      <c r="B3" s="2">
        <v>7405.9</v>
      </c>
      <c r="C3" s="2">
        <v>216.67</v>
      </c>
      <c r="D3" s="2">
        <v>18141.8</v>
      </c>
    </row>
    <row r="4" spans="1:5">
      <c r="A4" s="2">
        <v>3</v>
      </c>
      <c r="B4" s="2">
        <v>12343.1</v>
      </c>
      <c r="C4" s="2">
        <v>216.67</v>
      </c>
      <c r="D4" s="2">
        <v>14759.2</v>
      </c>
    </row>
    <row r="5" spans="1:5">
      <c r="A5" s="2">
        <v>4</v>
      </c>
      <c r="B5" s="2">
        <v>17280.400000000001</v>
      </c>
      <c r="C5" s="2">
        <v>216.67</v>
      </c>
      <c r="D5" s="2">
        <v>12584.7</v>
      </c>
    </row>
    <row r="6" spans="1:5">
      <c r="A6" s="2">
        <v>5</v>
      </c>
      <c r="B6" s="2">
        <v>22217.7</v>
      </c>
      <c r="C6" s="2">
        <v>216.82</v>
      </c>
      <c r="D6" s="2">
        <v>10973.4</v>
      </c>
    </row>
    <row r="7" spans="1:5">
      <c r="A7" s="16"/>
      <c r="B7" s="16"/>
      <c r="C7" s="16"/>
      <c r="D7" s="16"/>
      <c r="E7" s="16"/>
    </row>
    <row r="8" spans="1:5">
      <c r="A8" s="2">
        <v>6</v>
      </c>
      <c r="B8" s="2">
        <v>27154.9</v>
      </c>
      <c r="C8" s="2">
        <v>225.3</v>
      </c>
      <c r="D8" s="2">
        <v>9668.7000000000007</v>
      </c>
    </row>
    <row r="9" spans="1:5">
      <c r="A9" s="2">
        <v>7</v>
      </c>
      <c r="B9" s="2">
        <v>32092.2</v>
      </c>
      <c r="C9" s="2">
        <v>232.6</v>
      </c>
      <c r="D9" s="2">
        <v>8545.4</v>
      </c>
    </row>
    <row r="10" spans="1:5">
      <c r="A10" s="2">
        <v>8</v>
      </c>
      <c r="B10" s="2">
        <v>37029.4</v>
      </c>
      <c r="C10" s="2">
        <v>239.04</v>
      </c>
      <c r="D10" s="2">
        <v>7555.2</v>
      </c>
    </row>
    <row r="11" spans="1:5">
      <c r="A11" s="2">
        <v>9</v>
      </c>
      <c r="B11" s="2">
        <v>41966.7</v>
      </c>
      <c r="C11" s="2">
        <v>244.81</v>
      </c>
      <c r="D11" s="2">
        <v>6667.2</v>
      </c>
    </row>
    <row r="12" spans="1:5">
      <c r="A12" s="2">
        <v>10</v>
      </c>
      <c r="B12" s="2">
        <v>46904</v>
      </c>
      <c r="C12" s="2">
        <v>250.06</v>
      </c>
      <c r="D12" s="2">
        <v>5860.4</v>
      </c>
    </row>
    <row r="13" spans="1:5">
      <c r="A13" s="16"/>
      <c r="B13" s="16"/>
      <c r="C13" s="16"/>
      <c r="D13" s="16"/>
      <c r="E13" s="16"/>
    </row>
    <row r="14" spans="1:5">
      <c r="A14" s="2">
        <v>11</v>
      </c>
      <c r="B14" s="2">
        <v>51841.2</v>
      </c>
      <c r="C14" s="2">
        <v>254.87</v>
      </c>
      <c r="D14" s="2">
        <v>5119.8999999999996</v>
      </c>
    </row>
    <row r="15" spans="1:5">
      <c r="A15" s="2">
        <v>12</v>
      </c>
      <c r="B15" s="2">
        <v>56778.5</v>
      </c>
      <c r="C15" s="2">
        <v>259.33</v>
      </c>
      <c r="D15" s="2">
        <v>4434.6000000000004</v>
      </c>
    </row>
    <row r="16" spans="1:5">
      <c r="A16" s="2">
        <v>13</v>
      </c>
      <c r="B16" s="2">
        <v>61715.7</v>
      </c>
      <c r="C16" s="2">
        <v>263.48</v>
      </c>
      <c r="D16" s="2">
        <v>3796</v>
      </c>
    </row>
    <row r="17" spans="1:5">
      <c r="A17" s="2">
        <v>14</v>
      </c>
      <c r="B17" s="2">
        <v>66653</v>
      </c>
      <c r="C17" s="2">
        <v>267.37</v>
      </c>
      <c r="D17" s="2">
        <v>3197.7</v>
      </c>
    </row>
    <row r="18" spans="1:5">
      <c r="A18" s="2">
        <v>15</v>
      </c>
      <c r="B18" s="2">
        <v>71590.3</v>
      </c>
      <c r="C18" s="2">
        <v>271.02999999999997</v>
      </c>
      <c r="D18" s="2">
        <v>2634.2</v>
      </c>
    </row>
    <row r="19" spans="1:5">
      <c r="A19" s="16"/>
      <c r="B19" s="16"/>
      <c r="C19" s="16"/>
      <c r="D19" s="16"/>
      <c r="E19" s="16"/>
    </row>
    <row r="20" spans="1:5">
      <c r="A20" s="2">
        <v>16</v>
      </c>
      <c r="B20" s="2">
        <v>76527.5</v>
      </c>
      <c r="C20" s="2">
        <v>274.49</v>
      </c>
      <c r="D20" s="2">
        <v>2101.5</v>
      </c>
    </row>
    <row r="21" spans="1:5">
      <c r="A21" s="2">
        <v>17</v>
      </c>
      <c r="B21" s="2">
        <v>81464.800000000003</v>
      </c>
      <c r="C21" s="2">
        <v>277.77999999999997</v>
      </c>
      <c r="D21" s="2">
        <v>1595.9</v>
      </c>
    </row>
    <row r="22" spans="1:5">
      <c r="A22" s="2">
        <v>18</v>
      </c>
      <c r="B22" s="2">
        <v>86402</v>
      </c>
      <c r="C22" s="2">
        <v>280.91000000000003</v>
      </c>
      <c r="D22" s="2">
        <v>1114.5999999999999</v>
      </c>
    </row>
    <row r="23" spans="1:5">
      <c r="A23" s="2">
        <v>19</v>
      </c>
      <c r="B23" s="2">
        <v>91339.3</v>
      </c>
      <c r="C23" s="2">
        <v>283.89</v>
      </c>
      <c r="D23" s="2">
        <v>655</v>
      </c>
    </row>
    <row r="24" spans="1:5">
      <c r="A24" s="2">
        <v>20</v>
      </c>
      <c r="B24" s="2">
        <v>96276.6</v>
      </c>
      <c r="C24" s="2">
        <v>286.75</v>
      </c>
      <c r="D24" s="2">
        <v>215.2</v>
      </c>
    </row>
  </sheetData>
  <mergeCells count="3">
    <mergeCell ref="A7:E7"/>
    <mergeCell ref="A13:E13"/>
    <mergeCell ref="A19:E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selection activeCell="D14" sqref="D14"/>
    </sheetView>
  </sheetViews>
  <sheetFormatPr defaultRowHeight="15"/>
  <sheetData>
    <row r="1" spans="1:5">
      <c r="A1">
        <v>10</v>
      </c>
      <c r="B1">
        <v>1000</v>
      </c>
      <c r="C1">
        <v>1000</v>
      </c>
      <c r="D1">
        <v>1000</v>
      </c>
      <c r="E1">
        <v>1000</v>
      </c>
    </row>
    <row r="2" spans="1:5">
      <c r="B2">
        <f>21/4</f>
        <v>5.25</v>
      </c>
      <c r="C2">
        <v>3.5</v>
      </c>
      <c r="D2">
        <v>7</v>
      </c>
      <c r="E2">
        <v>100</v>
      </c>
    </row>
    <row r="3" spans="1:5">
      <c r="B3">
        <v>280</v>
      </c>
      <c r="C3">
        <v>280</v>
      </c>
      <c r="D3">
        <v>280</v>
      </c>
      <c r="E3">
        <v>280</v>
      </c>
    </row>
    <row r="8" spans="1:5">
      <c r="B8">
        <f>+B$2</f>
        <v>5.25</v>
      </c>
      <c r="C8">
        <f t="shared" ref="C8:E8" si="0">+C$2</f>
        <v>3.5</v>
      </c>
      <c r="D8">
        <f t="shared" si="0"/>
        <v>7</v>
      </c>
      <c r="E8">
        <f t="shared" si="0"/>
        <v>100</v>
      </c>
    </row>
    <row r="9" spans="1:5">
      <c r="B9" t="s">
        <v>7</v>
      </c>
      <c r="C9" t="s">
        <v>4</v>
      </c>
      <c r="D9" t="s">
        <v>5</v>
      </c>
      <c r="E9" t="s">
        <v>6</v>
      </c>
    </row>
    <row r="10" spans="1:5">
      <c r="A10">
        <v>200</v>
      </c>
      <c r="B10">
        <f>+B$1*($A10/B$3)^B$2</f>
        <v>170.93374695530855</v>
      </c>
      <c r="C10">
        <f t="shared" ref="C10:E10" si="1">+C$1*($A10/C$3)^C$2</f>
        <v>308.00082169406585</v>
      </c>
      <c r="D10">
        <f t="shared" si="1"/>
        <v>94.864506164219733</v>
      </c>
      <c r="E10">
        <f t="shared" si="1"/>
        <v>2.438913693989178E-12</v>
      </c>
    </row>
    <row r="11" spans="1:5">
      <c r="A11">
        <f>+$A10+$A$1</f>
        <v>210</v>
      </c>
      <c r="B11">
        <f t="shared" ref="B11:E18" si="2">+B$1*($A11/B$3)^B$2</f>
        <v>220.83689527520528</v>
      </c>
      <c r="C11">
        <f t="shared" si="2"/>
        <v>365.35446722156007</v>
      </c>
      <c r="D11">
        <f t="shared" si="2"/>
        <v>133.48388671875</v>
      </c>
      <c r="E11">
        <f t="shared" si="2"/>
        <v>3.2072021853815043E-10</v>
      </c>
    </row>
    <row r="12" spans="1:5">
      <c r="A12">
        <f t="shared" ref="A12:A18" si="3">+$A11+$A$1</f>
        <v>220</v>
      </c>
      <c r="B12">
        <f t="shared" si="2"/>
        <v>281.92877854631263</v>
      </c>
      <c r="C12">
        <f t="shared" si="2"/>
        <v>429.95823674546619</v>
      </c>
      <c r="D12">
        <f t="shared" si="2"/>
        <v>184.86408534527033</v>
      </c>
      <c r="E12">
        <f t="shared" si="2"/>
        <v>3.3609724147148535E-8</v>
      </c>
    </row>
    <row r="13" spans="1:5">
      <c r="A13">
        <f t="shared" si="3"/>
        <v>230</v>
      </c>
      <c r="B13">
        <f t="shared" si="2"/>
        <v>356.03400081201221</v>
      </c>
      <c r="C13">
        <f t="shared" si="2"/>
        <v>502.33601537981997</v>
      </c>
      <c r="D13">
        <f t="shared" si="2"/>
        <v>252.34147234767457</v>
      </c>
      <c r="E13">
        <f t="shared" si="2"/>
        <v>2.8640491559485906E-6</v>
      </c>
    </row>
    <row r="14" spans="1:5">
      <c r="A14">
        <f t="shared" si="3"/>
        <v>240</v>
      </c>
      <c r="B14">
        <f t="shared" si="2"/>
        <v>445.17355167074669</v>
      </c>
      <c r="C14">
        <f t="shared" si="2"/>
        <v>583.02373629991564</v>
      </c>
      <c r="D14">
        <f t="shared" si="2"/>
        <v>339.91667708911365</v>
      </c>
      <c r="E14">
        <f t="shared" si="2"/>
        <v>2.0198589217018643E-4</v>
      </c>
    </row>
    <row r="15" spans="1:5">
      <c r="A15">
        <f t="shared" si="3"/>
        <v>250</v>
      </c>
      <c r="B15">
        <f t="shared" si="2"/>
        <v>551.57602533802583</v>
      </c>
      <c r="C15">
        <f t="shared" si="2"/>
        <v>672.56911565793291</v>
      </c>
      <c r="D15">
        <f t="shared" si="2"/>
        <v>452.34921533689379</v>
      </c>
      <c r="E15">
        <f t="shared" si="2"/>
        <v>1.1972855277587428E-2</v>
      </c>
    </row>
    <row r="16" spans="1:5">
      <c r="A16">
        <f t="shared" si="3"/>
        <v>260</v>
      </c>
      <c r="B16">
        <f t="shared" si="2"/>
        <v>677.68896241236905</v>
      </c>
      <c r="C16">
        <f t="shared" si="2"/>
        <v>771.53140426959601</v>
      </c>
      <c r="D16">
        <f t="shared" si="2"/>
        <v>595.26070777421455</v>
      </c>
      <c r="E16">
        <f t="shared" si="2"/>
        <v>0.60468843541230699</v>
      </c>
    </row>
    <row r="17" spans="1:5">
      <c r="A17">
        <f t="shared" si="3"/>
        <v>270</v>
      </c>
      <c r="B17">
        <f t="shared" si="2"/>
        <v>826.19031048432919</v>
      </c>
      <c r="C17">
        <f t="shared" si="2"/>
        <v>880.48115437398292</v>
      </c>
      <c r="D17">
        <f t="shared" si="2"/>
        <v>775.24706320774158</v>
      </c>
      <c r="E17">
        <f t="shared" si="2"/>
        <v>26.337423167418159</v>
      </c>
    </row>
    <row r="18" spans="1:5">
      <c r="A18">
        <f t="shared" si="3"/>
        <v>280</v>
      </c>
      <c r="B18">
        <f t="shared" si="2"/>
        <v>1000</v>
      </c>
      <c r="C18">
        <f t="shared" si="2"/>
        <v>1000</v>
      </c>
      <c r="D18">
        <f t="shared" si="2"/>
        <v>1000</v>
      </c>
      <c r="E18">
        <f t="shared" si="2"/>
        <v>1000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0"/>
  <sheetViews>
    <sheetView workbookViewId="0">
      <selection activeCell="B11" sqref="B11:B80"/>
    </sheetView>
  </sheetViews>
  <sheetFormatPr defaultRowHeight="15"/>
  <cols>
    <col min="4" max="4" width="12" bestFit="1" customWidth="1"/>
  </cols>
  <sheetData>
    <row r="1" spans="1:5">
      <c r="A1">
        <v>300</v>
      </c>
      <c r="D1">
        <f>21/4</f>
        <v>5.25</v>
      </c>
    </row>
    <row r="2" spans="1:5">
      <c r="D2">
        <v>300</v>
      </c>
    </row>
    <row r="8" spans="1:5">
      <c r="B8">
        <f t="shared" ref="B8:B32" si="0" xml:space="preserve"> -31 - 0.000998 * $A8</f>
        <v>-31</v>
      </c>
    </row>
    <row r="10" spans="1:5">
      <c r="A10">
        <v>0</v>
      </c>
      <c r="B10">
        <f xml:space="preserve"> -31 - 0.0037 * $A10</f>
        <v>-31</v>
      </c>
      <c r="C10">
        <f>0.699* EXP(-0.00009 * $A10)</f>
        <v>0.69899999999999995</v>
      </c>
      <c r="D10">
        <f t="shared" ref="D10:D34" si="1">+($E10/$D$2)^$D$1</f>
        <v>0.32370103209562268</v>
      </c>
      <c r="E10">
        <f>+$B10+273</f>
        <v>242</v>
      </c>
    </row>
    <row r="11" spans="1:5">
      <c r="A11">
        <f>+$A10+$A$1</f>
        <v>300</v>
      </c>
      <c r="B11">
        <f t="shared" si="0"/>
        <v>-31.299399999999999</v>
      </c>
      <c r="C11">
        <f t="shared" ref="C11:C74" si="2">0.699* EXP(-0.00009 * $A11)</f>
        <v>0.68037950782551138</v>
      </c>
      <c r="D11">
        <f t="shared" si="1"/>
        <v>0.32160403381415087</v>
      </c>
      <c r="E11">
        <f t="shared" ref="E11:E74" si="3">+$B11+273</f>
        <v>241.70060000000001</v>
      </c>
    </row>
    <row r="12" spans="1:5">
      <c r="A12">
        <f t="shared" ref="A12:A34" si="4">+$A11+$A$1</f>
        <v>600</v>
      </c>
      <c r="B12">
        <f t="shared" si="0"/>
        <v>-31.598800000000001</v>
      </c>
      <c r="C12">
        <f t="shared" si="2"/>
        <v>0.66225504244475697</v>
      </c>
      <c r="D12">
        <f t="shared" si="1"/>
        <v>0.3195180463171558</v>
      </c>
      <c r="E12">
        <f t="shared" si="3"/>
        <v>241.40119999999999</v>
      </c>
    </row>
    <row r="13" spans="1:5">
      <c r="A13">
        <f t="shared" si="4"/>
        <v>900</v>
      </c>
      <c r="B13">
        <f t="shared" si="0"/>
        <v>-31.898199999999999</v>
      </c>
      <c r="C13">
        <f t="shared" si="2"/>
        <v>0.64461339031978104</v>
      </c>
      <c r="D13">
        <f t="shared" si="1"/>
        <v>0.31744302533865465</v>
      </c>
      <c r="E13">
        <f t="shared" si="3"/>
        <v>241.1018</v>
      </c>
    </row>
    <row r="14" spans="1:5">
      <c r="A14">
        <f t="shared" si="4"/>
        <v>1200</v>
      </c>
      <c r="B14">
        <f t="shared" si="0"/>
        <v>-32.197600000000001</v>
      </c>
      <c r="C14">
        <f t="shared" si="2"/>
        <v>0.62744168990487392</v>
      </c>
      <c r="D14">
        <f t="shared" si="1"/>
        <v>0.31537892673601958</v>
      </c>
      <c r="E14">
        <f t="shared" si="3"/>
        <v>240.80240000000001</v>
      </c>
    </row>
    <row r="15" spans="1:5">
      <c r="A15">
        <f t="shared" si="4"/>
        <v>1500</v>
      </c>
      <c r="B15">
        <f t="shared" si="0"/>
        <v>-32.497</v>
      </c>
      <c r="C15">
        <f t="shared" si="2"/>
        <v>0.61072742226993604</v>
      </c>
      <c r="D15">
        <f t="shared" si="1"/>
        <v>0.31332570648978758</v>
      </c>
      <c r="E15">
        <f t="shared" si="3"/>
        <v>240.50299999999999</v>
      </c>
    </row>
    <row r="16" spans="1:5">
      <c r="A16">
        <f t="shared" si="4"/>
        <v>1800</v>
      </c>
      <c r="B16">
        <f t="shared" si="0"/>
        <v>-32.796399999999998</v>
      </c>
      <c r="C16">
        <f t="shared" si="2"/>
        <v>0.59445840197362276</v>
      </c>
      <c r="D16">
        <f t="shared" si="1"/>
        <v>0.3112833207034692</v>
      </c>
      <c r="E16">
        <f t="shared" si="3"/>
        <v>240.20359999999999</v>
      </c>
    </row>
    <row r="17" spans="1:5">
      <c r="A17">
        <f t="shared" si="4"/>
        <v>2100</v>
      </c>
      <c r="B17">
        <f t="shared" si="0"/>
        <v>-33.095799999999997</v>
      </c>
      <c r="C17">
        <f t="shared" si="2"/>
        <v>0.57862276817961877</v>
      </c>
      <c r="D17">
        <f t="shared" si="1"/>
        <v>0.30925172560335645</v>
      </c>
      <c r="E17">
        <f t="shared" si="3"/>
        <v>239.9042</v>
      </c>
    </row>
    <row r="18" spans="1:5">
      <c r="A18">
        <f t="shared" si="4"/>
        <v>2400</v>
      </c>
      <c r="B18">
        <f t="shared" si="0"/>
        <v>-33.395200000000003</v>
      </c>
      <c r="C18">
        <f t="shared" si="2"/>
        <v>0.56320897600956221</v>
      </c>
      <c r="D18">
        <f t="shared" si="1"/>
        <v>0.30723087753833261</v>
      </c>
      <c r="E18">
        <f t="shared" si="3"/>
        <v>239.60480000000001</v>
      </c>
    </row>
    <row r="19" spans="1:5">
      <c r="A19">
        <f t="shared" si="4"/>
        <v>2700</v>
      </c>
      <c r="B19">
        <f t="shared" si="0"/>
        <v>-33.694600000000001</v>
      </c>
      <c r="C19">
        <f t="shared" si="2"/>
        <v>0.54820578812631793</v>
      </c>
      <c r="D19">
        <f t="shared" si="1"/>
        <v>0.30522073297968172</v>
      </c>
      <c r="E19">
        <f t="shared" si="3"/>
        <v>239.30539999999999</v>
      </c>
    </row>
    <row r="20" spans="1:5">
      <c r="A20">
        <f t="shared" si="4"/>
        <v>3000</v>
      </c>
      <c r="B20">
        <f t="shared" si="0"/>
        <v>-33.994</v>
      </c>
      <c r="C20">
        <f t="shared" si="2"/>
        <v>0.53360226654146037</v>
      </c>
      <c r="D20">
        <f t="shared" si="1"/>
        <v>0.30322124852089688</v>
      </c>
      <c r="E20">
        <f t="shared" si="3"/>
        <v>239.006</v>
      </c>
    </row>
    <row r="21" spans="1:5">
      <c r="A21">
        <f t="shared" si="4"/>
        <v>3300</v>
      </c>
      <c r="B21">
        <f t="shared" si="0"/>
        <v>-34.293399999999998</v>
      </c>
      <c r="C21">
        <f t="shared" si="2"/>
        <v>0.5193877646409959</v>
      </c>
      <c r="D21">
        <f t="shared" si="1"/>
        <v>0.30123238087748921</v>
      </c>
      <c r="E21">
        <f t="shared" si="3"/>
        <v>238.70660000000001</v>
      </c>
    </row>
    <row r="22" spans="1:5">
      <c r="A22">
        <f t="shared" si="4"/>
        <v>3600</v>
      </c>
      <c r="B22">
        <f t="shared" si="0"/>
        <v>-34.592799999999997</v>
      </c>
      <c r="C22">
        <f t="shared" si="2"/>
        <v>0.50555191942350974</v>
      </c>
      <c r="D22">
        <f t="shared" si="1"/>
        <v>0.29925408688679755</v>
      </c>
      <c r="E22">
        <f t="shared" si="3"/>
        <v>238.40719999999999</v>
      </c>
    </row>
    <row r="23" spans="1:5">
      <c r="A23">
        <f t="shared" si="4"/>
        <v>3900</v>
      </c>
      <c r="B23">
        <f t="shared" si="0"/>
        <v>-34.892200000000003</v>
      </c>
      <c r="C23">
        <f t="shared" si="2"/>
        <v>0.492084643945079</v>
      </c>
      <c r="D23">
        <f t="shared" si="1"/>
        <v>0.29728632350779816</v>
      </c>
      <c r="E23">
        <f t="shared" si="3"/>
        <v>238.1078</v>
      </c>
    </row>
    <row r="24" spans="1:5">
      <c r="A24">
        <f t="shared" si="4"/>
        <v>4200</v>
      </c>
      <c r="B24">
        <f t="shared" si="0"/>
        <v>-35.191600000000001</v>
      </c>
      <c r="C24">
        <f t="shared" si="2"/>
        <v>0.47897611996544331</v>
      </c>
      <c r="D24">
        <f t="shared" si="1"/>
        <v>0.29532904782091279</v>
      </c>
      <c r="E24">
        <f t="shared" si="3"/>
        <v>237.80840000000001</v>
      </c>
    </row>
    <row r="25" spans="1:5">
      <c r="A25">
        <f t="shared" si="4"/>
        <v>4500</v>
      </c>
      <c r="B25">
        <f t="shared" si="0"/>
        <v>-35.491</v>
      </c>
      <c r="C25">
        <f t="shared" si="2"/>
        <v>0.46621679079007355</v>
      </c>
      <c r="D25">
        <f t="shared" si="1"/>
        <v>0.29338221702781936</v>
      </c>
      <c r="E25">
        <f t="shared" si="3"/>
        <v>237.50900000000001</v>
      </c>
    </row>
    <row r="26" spans="1:5">
      <c r="A26">
        <f t="shared" si="4"/>
        <v>4800</v>
      </c>
      <c r="B26">
        <f t="shared" si="0"/>
        <v>-35.790399999999998</v>
      </c>
      <c r="C26">
        <f t="shared" si="2"/>
        <v>0.45379735430291795</v>
      </c>
      <c r="D26">
        <f t="shared" si="1"/>
        <v>0.29144578845126035</v>
      </c>
      <c r="E26">
        <f t="shared" si="3"/>
        <v>237.20959999999999</v>
      </c>
    </row>
    <row r="27" spans="1:5">
      <c r="A27">
        <f t="shared" si="4"/>
        <v>5100</v>
      </c>
      <c r="B27">
        <f t="shared" si="0"/>
        <v>-36.089799999999997</v>
      </c>
      <c r="C27">
        <f t="shared" si="2"/>
        <v>0.44170875618474759</v>
      </c>
      <c r="D27">
        <f t="shared" si="1"/>
        <v>0.28951971953485334</v>
      </c>
      <c r="E27">
        <f t="shared" si="3"/>
        <v>236.9102</v>
      </c>
    </row>
    <row r="28" spans="1:5">
      <c r="A28">
        <f t="shared" si="4"/>
        <v>5400</v>
      </c>
      <c r="B28">
        <f t="shared" si="0"/>
        <v>-36.389200000000002</v>
      </c>
      <c r="C28">
        <f t="shared" si="2"/>
        <v>0.4299421833121565</v>
      </c>
      <c r="D28">
        <f t="shared" si="1"/>
        <v>0.28760396784289916</v>
      </c>
      <c r="E28">
        <f t="shared" si="3"/>
        <v>236.61079999999998</v>
      </c>
    </row>
    <row r="29" spans="1:5">
      <c r="A29">
        <f t="shared" si="4"/>
        <v>5700</v>
      </c>
      <c r="B29">
        <f t="shared" si="0"/>
        <v>-36.688600000000001</v>
      </c>
      <c r="C29">
        <f t="shared" si="2"/>
        <v>0.41848905733240466</v>
      </c>
      <c r="D29">
        <f t="shared" si="1"/>
        <v>0.28569849106019335</v>
      </c>
      <c r="E29">
        <f t="shared" si="3"/>
        <v>236.31139999999999</v>
      </c>
    </row>
    <row r="30" spans="1:5">
      <c r="A30">
        <f t="shared" si="4"/>
        <v>6000</v>
      </c>
      <c r="B30">
        <f t="shared" si="0"/>
        <v>-36.988</v>
      </c>
      <c r="C30">
        <f t="shared" si="2"/>
        <v>0.40734102840941872</v>
      </c>
      <c r="D30">
        <f t="shared" si="1"/>
        <v>0.28380324699183429</v>
      </c>
      <c r="E30">
        <f t="shared" si="3"/>
        <v>236.012</v>
      </c>
    </row>
    <row r="31" spans="1:5">
      <c r="A31">
        <f t="shared" si="4"/>
        <v>6300</v>
      </c>
      <c r="B31">
        <f t="shared" si="0"/>
        <v>-37.287399999999998</v>
      </c>
      <c r="C31">
        <f t="shared" si="2"/>
        <v>0.39648996913639201</v>
      </c>
      <c r="D31">
        <f t="shared" si="1"/>
        <v>0.28191819356303371</v>
      </c>
      <c r="E31">
        <f t="shared" si="3"/>
        <v>235.71260000000001</v>
      </c>
    </row>
    <row r="32" spans="1:5">
      <c r="A32">
        <f t="shared" si="4"/>
        <v>6600</v>
      </c>
      <c r="B32">
        <f t="shared" si="0"/>
        <v>-37.586799999999997</v>
      </c>
      <c r="C32">
        <f t="shared" si="2"/>
        <v>0.38592796861054446</v>
      </c>
      <c r="D32">
        <f t="shared" si="1"/>
        <v>0.28004328881892609</v>
      </c>
      <c r="E32">
        <f t="shared" si="3"/>
        <v>235.41320000000002</v>
      </c>
    </row>
    <row r="33" spans="1:5">
      <c r="A33">
        <f t="shared" si="4"/>
        <v>6900</v>
      </c>
      <c r="B33">
        <f xml:space="preserve"> -31 - 0.000998 * $A33</f>
        <v>-37.886200000000002</v>
      </c>
      <c r="C33">
        <f t="shared" si="2"/>
        <v>0.37564732666572487</v>
      </c>
      <c r="D33">
        <f t="shared" si="1"/>
        <v>0.27817849092437846</v>
      </c>
      <c r="E33">
        <f t="shared" si="3"/>
        <v>235.1138</v>
      </c>
    </row>
    <row r="34" spans="1:5">
      <c r="A34">
        <f t="shared" si="4"/>
        <v>7200</v>
      </c>
      <c r="B34">
        <f xml:space="preserve"> -23.4 - 0.0022 * $A34</f>
        <v>-39.24</v>
      </c>
      <c r="C34">
        <f t="shared" si="2"/>
        <v>0.365640548258648</v>
      </c>
      <c r="D34">
        <f t="shared" si="1"/>
        <v>0.26987145797179901</v>
      </c>
      <c r="E34">
        <f t="shared" si="3"/>
        <v>233.76</v>
      </c>
    </row>
    <row r="35" spans="1:5">
      <c r="A35">
        <f t="shared" ref="A35:A80" si="5">+$A34+$A$1</f>
        <v>7500</v>
      </c>
      <c r="B35">
        <f t="shared" ref="B35:B80" si="6" xml:space="preserve"> -23.4 - 0.0022 * $A35</f>
        <v>-39.9</v>
      </c>
      <c r="C35">
        <f t="shared" si="2"/>
        <v>0.35590033800467685</v>
      </c>
      <c r="D35">
        <f t="shared" ref="D35:D80" si="7">+($E35/$D$2)^$D$1</f>
        <v>0.26589510894932028</v>
      </c>
      <c r="E35">
        <f t="shared" si="3"/>
        <v>233.1</v>
      </c>
    </row>
    <row r="36" spans="1:5">
      <c r="A36">
        <f t="shared" si="5"/>
        <v>7800</v>
      </c>
      <c r="B36">
        <f t="shared" si="6"/>
        <v>-40.56</v>
      </c>
      <c r="C36">
        <f t="shared" si="2"/>
        <v>0.34641959485916329</v>
      </c>
      <c r="D36">
        <f t="shared" si="7"/>
        <v>0.26196632235606393</v>
      </c>
      <c r="E36">
        <f t="shared" si="3"/>
        <v>232.44</v>
      </c>
    </row>
    <row r="37" spans="1:5">
      <c r="A37">
        <f t="shared" si="5"/>
        <v>8100</v>
      </c>
      <c r="B37">
        <f t="shared" si="6"/>
        <v>-41.22</v>
      </c>
      <c r="C37">
        <f t="shared" si="2"/>
        <v>0.337191406940473</v>
      </c>
      <c r="D37">
        <f t="shared" si="7"/>
        <v>0.25808466191353474</v>
      </c>
      <c r="E37">
        <f t="shared" si="3"/>
        <v>231.78</v>
      </c>
    </row>
    <row r="38" spans="1:5">
      <c r="A38">
        <f t="shared" si="5"/>
        <v>8400</v>
      </c>
      <c r="B38">
        <f t="shared" si="6"/>
        <v>-41.879999999999995</v>
      </c>
      <c r="C38">
        <f t="shared" si="2"/>
        <v>0.32820904649091664</v>
      </c>
      <c r="D38">
        <f t="shared" si="7"/>
        <v>0.25424969412162118</v>
      </c>
      <c r="E38">
        <f t="shared" si="3"/>
        <v>231.12</v>
      </c>
    </row>
    <row r="39" spans="1:5">
      <c r="A39">
        <f t="shared" si="5"/>
        <v>8700</v>
      </c>
      <c r="B39">
        <f t="shared" si="6"/>
        <v>-42.54</v>
      </c>
      <c r="C39">
        <f t="shared" si="2"/>
        <v>0.31946596497191743</v>
      </c>
      <c r="D39">
        <f t="shared" si="7"/>
        <v>0.25046098824873519</v>
      </c>
      <c r="E39">
        <f t="shared" si="3"/>
        <v>230.46</v>
      </c>
    </row>
    <row r="40" spans="1:5">
      <c r="A40">
        <f t="shared" si="5"/>
        <v>9000</v>
      </c>
      <c r="B40">
        <f t="shared" si="6"/>
        <v>-43.2</v>
      </c>
      <c r="C40">
        <f t="shared" si="2"/>
        <v>0.31095578828983583</v>
      </c>
      <c r="D40">
        <f t="shared" si="7"/>
        <v>0.24671811632196305</v>
      </c>
      <c r="E40">
        <f t="shared" si="3"/>
        <v>229.8</v>
      </c>
    </row>
    <row r="41" spans="1:5">
      <c r="A41">
        <f t="shared" si="5"/>
        <v>9300</v>
      </c>
      <c r="B41">
        <f t="shared" si="6"/>
        <v>-43.86</v>
      </c>
      <c r="C41">
        <f t="shared" si="2"/>
        <v>0.30267231214897344</v>
      </c>
      <c r="D41">
        <f t="shared" si="7"/>
        <v>0.24302065311722104</v>
      </c>
      <c r="E41">
        <f t="shared" si="3"/>
        <v>229.14</v>
      </c>
    </row>
    <row r="42" spans="1:5">
      <c r="A42">
        <f t="shared" si="5"/>
        <v>9600</v>
      </c>
      <c r="B42">
        <f t="shared" si="6"/>
        <v>-44.519999999999996</v>
      </c>
      <c r="C42">
        <f t="shared" si="2"/>
        <v>0.29460949752836635</v>
      </c>
      <c r="D42">
        <f t="shared" si="7"/>
        <v>0.23936817614941941</v>
      </c>
      <c r="E42">
        <f t="shared" si="3"/>
        <v>228.48000000000002</v>
      </c>
    </row>
    <row r="43" spans="1:5">
      <c r="A43">
        <f t="shared" si="5"/>
        <v>9900</v>
      </c>
      <c r="B43">
        <f t="shared" si="6"/>
        <v>-45.18</v>
      </c>
      <c r="C43">
        <f t="shared" si="2"/>
        <v>0.28676146627907173</v>
      </c>
      <c r="D43">
        <f t="shared" si="7"/>
        <v>0.23576026566263095</v>
      </c>
      <c r="E43">
        <f t="shared" si="3"/>
        <v>227.82</v>
      </c>
    </row>
    <row r="44" spans="1:5">
      <c r="A44">
        <f t="shared" si="5"/>
        <v>10200</v>
      </c>
      <c r="B44">
        <f t="shared" si="6"/>
        <v>-45.84</v>
      </c>
      <c r="C44">
        <f t="shared" si="2"/>
        <v>0.27912249683873652</v>
      </c>
      <c r="D44">
        <f t="shared" si="7"/>
        <v>0.23219650462027078</v>
      </c>
      <c r="E44">
        <f t="shared" si="3"/>
        <v>227.16</v>
      </c>
    </row>
    <row r="45" spans="1:5">
      <c r="A45">
        <f t="shared" si="5"/>
        <v>10500</v>
      </c>
      <c r="B45">
        <f t="shared" si="6"/>
        <v>-46.5</v>
      </c>
      <c r="C45">
        <f t="shared" si="2"/>
        <v>0.2716870200603253</v>
      </c>
      <c r="D45">
        <f t="shared" si="7"/>
        <v>0.22867647869527907</v>
      </c>
      <c r="E45">
        <f t="shared" si="3"/>
        <v>226.5</v>
      </c>
    </row>
    <row r="46" spans="1:5">
      <c r="A46">
        <f t="shared" si="5"/>
        <v>10800</v>
      </c>
      <c r="B46">
        <f t="shared" si="6"/>
        <v>-47.16</v>
      </c>
      <c r="C46">
        <f t="shared" si="2"/>
        <v>0.26444961515196563</v>
      </c>
      <c r="D46">
        <f t="shared" si="7"/>
        <v>0.2251997762603134</v>
      </c>
      <c r="E46">
        <f t="shared" si="3"/>
        <v>225.84</v>
      </c>
    </row>
    <row r="47" spans="1:5">
      <c r="A47">
        <f t="shared" si="5"/>
        <v>11100</v>
      </c>
      <c r="B47">
        <f t="shared" si="6"/>
        <v>-47.82</v>
      </c>
      <c r="C47">
        <f t="shared" si="2"/>
        <v>0.25740500572495034</v>
      </c>
      <c r="D47">
        <f t="shared" si="7"/>
        <v>0.22176598837794725</v>
      </c>
      <c r="E47">
        <f t="shared" si="3"/>
        <v>225.18</v>
      </c>
    </row>
    <row r="48" spans="1:5">
      <c r="A48">
        <f t="shared" si="5"/>
        <v>11400</v>
      </c>
      <c r="B48">
        <f t="shared" si="6"/>
        <v>-48.480000000000004</v>
      </c>
      <c r="C48">
        <f t="shared" si="2"/>
        <v>0.25054805594701673</v>
      </c>
      <c r="D48">
        <f t="shared" si="7"/>
        <v>0.21837470879087587</v>
      </c>
      <c r="E48">
        <f t="shared" si="3"/>
        <v>224.51999999999998</v>
      </c>
    </row>
    <row r="49" spans="1:5">
      <c r="A49">
        <f t="shared" si="5"/>
        <v>11700</v>
      </c>
      <c r="B49">
        <f t="shared" si="6"/>
        <v>-49.14</v>
      </c>
      <c r="C49">
        <f t="shared" si="2"/>
        <v>0.24387376679809714</v>
      </c>
      <c r="D49">
        <f t="shared" si="7"/>
        <v>0.21502553391213011</v>
      </c>
      <c r="E49">
        <f t="shared" si="3"/>
        <v>223.86</v>
      </c>
    </row>
    <row r="50" spans="1:5">
      <c r="A50">
        <f t="shared" si="5"/>
        <v>12000</v>
      </c>
      <c r="B50">
        <f t="shared" si="6"/>
        <v>-49.8</v>
      </c>
      <c r="C50">
        <f t="shared" si="2"/>
        <v>0.23737727242581241</v>
      </c>
      <c r="D50">
        <f t="shared" si="7"/>
        <v>0.21171806281529462</v>
      </c>
      <c r="E50">
        <f t="shared" si="3"/>
        <v>223.2</v>
      </c>
    </row>
    <row r="51" spans="1:5">
      <c r="A51">
        <f t="shared" si="5"/>
        <v>12300</v>
      </c>
      <c r="B51">
        <f t="shared" si="6"/>
        <v>-50.46</v>
      </c>
      <c r="C51">
        <f t="shared" si="2"/>
        <v>0.23105383659804951</v>
      </c>
      <c r="D51">
        <f t="shared" si="7"/>
        <v>0.20845189722473781</v>
      </c>
      <c r="E51">
        <f t="shared" si="3"/>
        <v>222.54</v>
      </c>
    </row>
    <row r="52" spans="1:5">
      <c r="A52">
        <f t="shared" si="5"/>
        <v>12600</v>
      </c>
      <c r="B52">
        <f t="shared" si="6"/>
        <v>-51.120000000000005</v>
      </c>
      <c r="C52">
        <f t="shared" si="2"/>
        <v>0.2248988492500387</v>
      </c>
      <c r="D52">
        <f t="shared" si="7"/>
        <v>0.20522664150584441</v>
      </c>
      <c r="E52">
        <f t="shared" si="3"/>
        <v>221.88</v>
      </c>
    </row>
    <row r="53" spans="1:5">
      <c r="A53">
        <f t="shared" si="5"/>
        <v>12900</v>
      </c>
      <c r="B53">
        <f t="shared" si="6"/>
        <v>-51.78</v>
      </c>
      <c r="C53">
        <f t="shared" si="2"/>
        <v>0.21890782312341237</v>
      </c>
      <c r="D53">
        <f t="shared" si="7"/>
        <v>0.20204190265525782</v>
      </c>
      <c r="E53">
        <f t="shared" si="3"/>
        <v>221.22</v>
      </c>
    </row>
    <row r="54" spans="1:5">
      <c r="A54">
        <f t="shared" si="5"/>
        <v>13200</v>
      </c>
      <c r="B54">
        <f t="shared" si="6"/>
        <v>-52.44</v>
      </c>
      <c r="C54">
        <f t="shared" si="2"/>
        <v>0.21307639049479454</v>
      </c>
      <c r="D54">
        <f t="shared" si="7"/>
        <v>0.19889729029113018</v>
      </c>
      <c r="E54">
        <f t="shared" si="3"/>
        <v>220.56</v>
      </c>
    </row>
    <row r="55" spans="1:5">
      <c r="A55">
        <f t="shared" si="5"/>
        <v>13500</v>
      </c>
      <c r="B55">
        <f t="shared" si="6"/>
        <v>-53.1</v>
      </c>
      <c r="C55">
        <f t="shared" si="2"/>
        <v>0.20740029999153761</v>
      </c>
      <c r="D55">
        <f t="shared" si="7"/>
        <v>0.19579241664337688</v>
      </c>
      <c r="E55">
        <f t="shared" si="3"/>
        <v>219.9</v>
      </c>
    </row>
    <row r="56" spans="1:5">
      <c r="A56">
        <f t="shared" si="5"/>
        <v>13800</v>
      </c>
      <c r="B56">
        <f t="shared" si="6"/>
        <v>-53.760000000000005</v>
      </c>
      <c r="C56">
        <f t="shared" si="2"/>
        <v>0.201875413492283</v>
      </c>
      <c r="D56">
        <f t="shared" si="7"/>
        <v>0.1927268965439414</v>
      </c>
      <c r="E56">
        <f t="shared" si="3"/>
        <v>219.24</v>
      </c>
    </row>
    <row r="57" spans="1:5">
      <c r="A57">
        <f t="shared" si="5"/>
        <v>14100</v>
      </c>
      <c r="B57">
        <f t="shared" si="6"/>
        <v>-54.42</v>
      </c>
      <c r="C57">
        <f t="shared" si="2"/>
        <v>0.19649770311008738</v>
      </c>
      <c r="D57">
        <f t="shared" si="7"/>
        <v>0.18970034741706529</v>
      </c>
      <c r="E57">
        <f t="shared" si="3"/>
        <v>218.57999999999998</v>
      </c>
    </row>
    <row r="58" spans="1:5">
      <c r="A58">
        <f t="shared" si="5"/>
        <v>14400</v>
      </c>
      <c r="B58">
        <f t="shared" si="6"/>
        <v>-55.08</v>
      </c>
      <c r="C58">
        <f t="shared" si="2"/>
        <v>0.1912632482559152</v>
      </c>
      <c r="D58">
        <f t="shared" si="7"/>
        <v>0.18671238926956771</v>
      </c>
      <c r="E58">
        <f t="shared" si="3"/>
        <v>217.92000000000002</v>
      </c>
    </row>
    <row r="59" spans="1:5">
      <c r="A59">
        <f t="shared" si="5"/>
        <v>14700</v>
      </c>
      <c r="B59">
        <f t="shared" si="6"/>
        <v>-55.74</v>
      </c>
      <c r="C59">
        <f t="shared" si="2"/>
        <v>0.18616823278035505</v>
      </c>
      <c r="D59">
        <f t="shared" si="7"/>
        <v>0.18376264468112857</v>
      </c>
      <c r="E59">
        <f t="shared" si="3"/>
        <v>217.26</v>
      </c>
    </row>
    <row r="60" spans="1:5">
      <c r="A60">
        <f t="shared" si="5"/>
        <v>15000</v>
      </c>
      <c r="B60">
        <f t="shared" si="6"/>
        <v>-56.4</v>
      </c>
      <c r="C60">
        <f t="shared" si="2"/>
        <v>0.18120894219147815</v>
      </c>
      <c r="D60">
        <f t="shared" si="7"/>
        <v>0.18085073879458358</v>
      </c>
      <c r="E60">
        <f t="shared" si="3"/>
        <v>216.6</v>
      </c>
    </row>
    <row r="61" spans="1:5">
      <c r="A61">
        <f t="shared" si="5"/>
        <v>15300</v>
      </c>
      <c r="B61">
        <f t="shared" si="6"/>
        <v>-57.06</v>
      </c>
      <c r="C61">
        <f t="shared" si="2"/>
        <v>0.17638176094680896</v>
      </c>
      <c r="D61">
        <f t="shared" si="7"/>
        <v>0.17797629930622286</v>
      </c>
      <c r="E61">
        <f t="shared" si="3"/>
        <v>215.94</v>
      </c>
    </row>
    <row r="62" spans="1:5">
      <c r="A62">
        <f t="shared" si="5"/>
        <v>15600</v>
      </c>
      <c r="B62">
        <f t="shared" si="6"/>
        <v>-57.72</v>
      </c>
      <c r="C62">
        <f t="shared" si="2"/>
        <v>0.17168316981743473</v>
      </c>
      <c r="D62">
        <f t="shared" si="7"/>
        <v>0.17513895645609923</v>
      </c>
      <c r="E62">
        <f t="shared" si="3"/>
        <v>215.28</v>
      </c>
    </row>
    <row r="63" spans="1:5">
      <c r="A63">
        <f t="shared" si="5"/>
        <v>15900</v>
      </c>
      <c r="B63">
        <f t="shared" si="6"/>
        <v>-58.38</v>
      </c>
      <c r="C63">
        <f t="shared" si="2"/>
        <v>0.16710974332233183</v>
      </c>
      <c r="D63">
        <f t="shared" si="7"/>
        <v>0.17233834301834247</v>
      </c>
      <c r="E63">
        <f t="shared" si="3"/>
        <v>214.62</v>
      </c>
    </row>
    <row r="64" spans="1:5">
      <c r="A64">
        <f t="shared" si="5"/>
        <v>16200</v>
      </c>
      <c r="B64">
        <f t="shared" si="6"/>
        <v>-59.04</v>
      </c>
      <c r="C64">
        <f t="shared" si="2"/>
        <v>0.16265814723103814</v>
      </c>
      <c r="D64">
        <f t="shared" si="7"/>
        <v>0.16957409429148207</v>
      </c>
      <c r="E64">
        <f t="shared" si="3"/>
        <v>213.96</v>
      </c>
    </row>
    <row r="65" spans="1:5">
      <c r="A65">
        <f t="shared" si="5"/>
        <v>16500</v>
      </c>
      <c r="B65">
        <f t="shared" si="6"/>
        <v>-59.7</v>
      </c>
      <c r="C65">
        <f t="shared" si="2"/>
        <v>0.15832513613285165</v>
      </c>
      <c r="D65">
        <f t="shared" si="7"/>
        <v>0.16684584808877659</v>
      </c>
      <c r="E65">
        <f t="shared" si="3"/>
        <v>213.3</v>
      </c>
    </row>
    <row r="66" spans="1:5">
      <c r="A66">
        <f t="shared" si="5"/>
        <v>16800</v>
      </c>
      <c r="B66">
        <f t="shared" si="6"/>
        <v>-60.36</v>
      </c>
      <c r="C66">
        <f t="shared" si="2"/>
        <v>0.15410755107078211</v>
      </c>
      <c r="D66">
        <f t="shared" si="7"/>
        <v>0.16415324472855075</v>
      </c>
      <c r="E66">
        <f t="shared" si="3"/>
        <v>212.64</v>
      </c>
    </row>
    <row r="67" spans="1:5">
      <c r="A67">
        <f t="shared" si="5"/>
        <v>17100</v>
      </c>
      <c r="B67">
        <f t="shared" si="6"/>
        <v>-61.02</v>
      </c>
      <c r="C67">
        <f t="shared" si="2"/>
        <v>0.15000231723853161</v>
      </c>
      <c r="D67">
        <f t="shared" si="7"/>
        <v>0.1614959270245406</v>
      </c>
      <c r="E67">
        <f t="shared" si="3"/>
        <v>211.98</v>
      </c>
    </row>
    <row r="68" spans="1:5">
      <c r="A68">
        <f t="shared" si="5"/>
        <v>17400</v>
      </c>
      <c r="B68">
        <f t="shared" si="6"/>
        <v>-61.68</v>
      </c>
      <c r="C68">
        <f t="shared" si="2"/>
        <v>0.14600644173882457</v>
      </c>
      <c r="D68">
        <f t="shared" si="7"/>
        <v>0.15887354027624445</v>
      </c>
      <c r="E68">
        <f t="shared" si="3"/>
        <v>211.32</v>
      </c>
    </row>
    <row r="69" spans="1:5">
      <c r="A69">
        <f t="shared" si="5"/>
        <v>17700</v>
      </c>
      <c r="B69">
        <f t="shared" si="6"/>
        <v>-62.34</v>
      </c>
      <c r="C69">
        <f t="shared" si="2"/>
        <v>0.14211701140145303</v>
      </c>
      <c r="D69">
        <f t="shared" si="7"/>
        <v>0.15628573225928294</v>
      </c>
      <c r="E69">
        <f t="shared" si="3"/>
        <v>210.66</v>
      </c>
    </row>
    <row r="70" spans="1:5">
      <c r="A70">
        <f t="shared" si="5"/>
        <v>18000</v>
      </c>
      <c r="B70">
        <f t="shared" si="6"/>
        <v>-63</v>
      </c>
      <c r="C70">
        <f t="shared" si="2"/>
        <v>0.13833119065944663</v>
      </c>
      <c r="D70">
        <f t="shared" si="7"/>
        <v>0.15373215321576661</v>
      </c>
      <c r="E70">
        <f t="shared" si="3"/>
        <v>210</v>
      </c>
    </row>
    <row r="71" spans="1:5">
      <c r="A71">
        <f t="shared" si="5"/>
        <v>18300</v>
      </c>
      <c r="B71">
        <f t="shared" si="6"/>
        <v>-63.660000000000004</v>
      </c>
      <c r="C71">
        <f t="shared" si="2"/>
        <v>0.13464621948181874</v>
      </c>
      <c r="D71">
        <f t="shared" si="7"/>
        <v>0.15121245584466927</v>
      </c>
      <c r="E71">
        <f t="shared" si="3"/>
        <v>209.34</v>
      </c>
    </row>
    <row r="72" spans="1:5">
      <c r="A72">
        <f t="shared" si="5"/>
        <v>18600</v>
      </c>
      <c r="B72">
        <f t="shared" si="6"/>
        <v>-64.319999999999993</v>
      </c>
      <c r="C72">
        <f t="shared" si="2"/>
        <v>0.13105941136138141</v>
      </c>
      <c r="D72">
        <f t="shared" si="7"/>
        <v>0.14872629529221093</v>
      </c>
      <c r="E72">
        <f t="shared" si="3"/>
        <v>208.68</v>
      </c>
    </row>
    <row r="73" spans="1:5">
      <c r="A73">
        <f t="shared" si="5"/>
        <v>18900</v>
      </c>
      <c r="B73">
        <f t="shared" si="6"/>
        <v>-64.98</v>
      </c>
      <c r="C73">
        <f t="shared" si="2"/>
        <v>0.12756815135616301</v>
      </c>
      <c r="D73">
        <f t="shared" si="7"/>
        <v>0.14627332914224675</v>
      </c>
      <c r="E73">
        <f t="shared" si="3"/>
        <v>208.01999999999998</v>
      </c>
    </row>
    <row r="74" spans="1:5">
      <c r="A74">
        <f t="shared" si="5"/>
        <v>19200</v>
      </c>
      <c r="B74">
        <f t="shared" si="6"/>
        <v>-65.64</v>
      </c>
      <c r="C74">
        <f t="shared" si="2"/>
        <v>0.1241698941829993</v>
      </c>
      <c r="D74">
        <f t="shared" si="7"/>
        <v>0.14385321740666529</v>
      </c>
      <c r="E74">
        <f t="shared" si="3"/>
        <v>207.36</v>
      </c>
    </row>
    <row r="75" spans="1:5">
      <c r="A75">
        <f t="shared" si="5"/>
        <v>19500</v>
      </c>
      <c r="B75">
        <f t="shared" si="6"/>
        <v>-66.300000000000011</v>
      </c>
      <c r="C75">
        <f t="shared" ref="C75:C80" si="8">0.699* EXP(-0.00009 * $A75)</f>
        <v>0.12086216236190973</v>
      </c>
      <c r="D75">
        <f t="shared" si="7"/>
        <v>0.14146562251579162</v>
      </c>
      <c r="E75">
        <f t="shared" ref="E75:E80" si="9">+$B75+273</f>
        <v>206.7</v>
      </c>
    </row>
    <row r="76" spans="1:5">
      <c r="A76">
        <f t="shared" si="5"/>
        <v>19800</v>
      </c>
      <c r="B76">
        <f t="shared" si="6"/>
        <v>-66.960000000000008</v>
      </c>
      <c r="C76">
        <f t="shared" si="8"/>
        <v>0.11764254440990445</v>
      </c>
      <c r="D76">
        <f t="shared" si="7"/>
        <v>0.13911020930880144</v>
      </c>
      <c r="E76">
        <f t="shared" si="9"/>
        <v>206.04</v>
      </c>
    </row>
    <row r="77" spans="1:5">
      <c r="A77">
        <f t="shared" si="5"/>
        <v>20100</v>
      </c>
      <c r="B77">
        <f t="shared" si="6"/>
        <v>-67.62</v>
      </c>
      <c r="C77">
        <f t="shared" si="8"/>
        <v>0.1145086930829065</v>
      </c>
      <c r="D77">
        <f t="shared" si="7"/>
        <v>0.13678664502413987</v>
      </c>
      <c r="E77">
        <f t="shared" si="9"/>
        <v>205.38</v>
      </c>
    </row>
    <row r="78" spans="1:5">
      <c r="A78">
        <f t="shared" si="5"/>
        <v>20400</v>
      </c>
      <c r="B78">
        <f t="shared" si="6"/>
        <v>-68.28</v>
      </c>
      <c r="C78">
        <f t="shared" si="8"/>
        <v>0.1114583236645071</v>
      </c>
      <c r="D78">
        <f t="shared" si="7"/>
        <v>0.13449459928994967</v>
      </c>
      <c r="E78">
        <f t="shared" si="9"/>
        <v>204.72</v>
      </c>
    </row>
    <row r="79" spans="1:5">
      <c r="A79">
        <f t="shared" si="5"/>
        <v>20700</v>
      </c>
      <c r="B79">
        <f t="shared" si="6"/>
        <v>-68.94</v>
      </c>
      <c r="C79">
        <f t="shared" si="8"/>
        <v>0.108489212300306</v>
      </c>
      <c r="D79">
        <f t="shared" si="7"/>
        <v>0.13223374411450625</v>
      </c>
      <c r="E79">
        <f t="shared" si="9"/>
        <v>204.06</v>
      </c>
    </row>
    <row r="80" spans="1:5">
      <c r="A80">
        <f t="shared" si="5"/>
        <v>21000</v>
      </c>
      <c r="B80">
        <f t="shared" si="6"/>
        <v>-69.599999999999994</v>
      </c>
      <c r="C80">
        <f t="shared" si="8"/>
        <v>0.10559919437662321</v>
      </c>
      <c r="D80">
        <f t="shared" si="7"/>
        <v>0.13000375387666097</v>
      </c>
      <c r="E80">
        <f t="shared" si="9"/>
        <v>203.4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Q110"/>
  <sheetViews>
    <sheetView zoomScale="80" zoomScaleNormal="80" workbookViewId="0">
      <selection activeCell="J63" sqref="J63"/>
    </sheetView>
  </sheetViews>
  <sheetFormatPr defaultRowHeight="15"/>
  <cols>
    <col min="4" max="4" width="11" customWidth="1"/>
    <col min="5" max="5" width="12" bestFit="1" customWidth="1"/>
  </cols>
  <sheetData>
    <row r="1" spans="1:17">
      <c r="A1">
        <v>1</v>
      </c>
      <c r="E1" s="7" t="s">
        <v>14</v>
      </c>
      <c r="F1" s="5">
        <v>8314.32</v>
      </c>
      <c r="O1">
        <v>87000</v>
      </c>
      <c r="P1">
        <v>750</v>
      </c>
      <c r="Q1" s="3">
        <v>7.0057000000000002E-11</v>
      </c>
    </row>
    <row r="2" spans="1:17">
      <c r="B2">
        <f>7/2*(3/2)</f>
        <v>5.25</v>
      </c>
      <c r="C2">
        <v>4</v>
      </c>
      <c r="E2" s="8" t="s">
        <v>15</v>
      </c>
      <c r="F2" s="5">
        <v>8.827</v>
      </c>
      <c r="G2">
        <v>8.8360000000000003</v>
      </c>
      <c r="O2">
        <f>21/4</f>
        <v>5.25</v>
      </c>
      <c r="Q2">
        <f>+$B$2</f>
        <v>5.25</v>
      </c>
    </row>
    <row r="3" spans="1:17">
      <c r="E3" s="8" t="s">
        <v>16</v>
      </c>
      <c r="F3" s="5">
        <v>43.44</v>
      </c>
      <c r="O3">
        <v>1.15E-2</v>
      </c>
      <c r="P3">
        <v>8.625</v>
      </c>
    </row>
    <row r="4" spans="1:17">
      <c r="A4">
        <f>+R_gas*T_0/MW/Gravity/1000</f>
        <v>16.587663916649507</v>
      </c>
      <c r="J4" t="s">
        <v>17</v>
      </c>
      <c r="K4">
        <f>+T_0/Z_0/n</f>
        <v>8.7844971086029879</v>
      </c>
    </row>
    <row r="5" spans="1:17">
      <c r="A5">
        <v>765</v>
      </c>
      <c r="B5">
        <v>737.2</v>
      </c>
      <c r="C5">
        <v>765</v>
      </c>
      <c r="D5">
        <f>765-273</f>
        <v>492</v>
      </c>
    </row>
    <row r="6" spans="1:17">
      <c r="A6">
        <v>87000</v>
      </c>
      <c r="B6" s="3">
        <f>9200000/100</f>
        <v>92000</v>
      </c>
      <c r="C6">
        <v>87000</v>
      </c>
    </row>
    <row r="8" spans="1:17">
      <c r="D8" t="s">
        <v>10</v>
      </c>
      <c r="E8" t="s">
        <v>9</v>
      </c>
    </row>
    <row r="9" spans="1:17">
      <c r="A9" t="s">
        <v>8</v>
      </c>
      <c r="B9" t="s">
        <v>9</v>
      </c>
      <c r="C9" t="s">
        <v>10</v>
      </c>
      <c r="D9" t="s">
        <v>13</v>
      </c>
      <c r="E9" t="s">
        <v>18</v>
      </c>
    </row>
    <row r="10" spans="1:17">
      <c r="A10">
        <v>0</v>
      </c>
      <c r="B10">
        <f t="shared" ref="B10:B41" si="0">+P_0*(1-$A10/n/Z_0)^n</f>
        <v>87000</v>
      </c>
      <c r="C10">
        <f t="shared" ref="C10:C41" si="1">+T_0*(1-$A10/n/Z_0)</f>
        <v>765</v>
      </c>
      <c r="F10" s="2">
        <v>0</v>
      </c>
      <c r="G10" s="2">
        <v>462</v>
      </c>
      <c r="H10" s="2">
        <v>92.1</v>
      </c>
      <c r="I10">
        <f>+$G10+273</f>
        <v>735</v>
      </c>
      <c r="J10">
        <f>+$H10*1000</f>
        <v>92100</v>
      </c>
    </row>
    <row r="11" spans="1:17">
      <c r="A11">
        <f t="shared" ref="A11:A42" si="2">+$A10+$A$1</f>
        <v>1</v>
      </c>
      <c r="B11">
        <f t="shared" si="0"/>
        <v>81881.53852423279</v>
      </c>
      <c r="C11">
        <f t="shared" si="1"/>
        <v>756.21550289139702</v>
      </c>
      <c r="F11" s="2">
        <v>5</v>
      </c>
      <c r="G11" s="2">
        <v>424</v>
      </c>
      <c r="H11" s="2">
        <v>66.650000000000006</v>
      </c>
      <c r="I11">
        <f t="shared" ref="I11:I27" si="3">+$G11+273</f>
        <v>697</v>
      </c>
      <c r="J11">
        <f t="shared" ref="J11:J27" si="4">+$H11*1000</f>
        <v>66650</v>
      </c>
    </row>
    <row r="12" spans="1:17">
      <c r="A12">
        <f t="shared" si="2"/>
        <v>2</v>
      </c>
      <c r="B12">
        <f t="shared" si="0"/>
        <v>77009.631355580612</v>
      </c>
      <c r="C12">
        <f t="shared" si="1"/>
        <v>747.43100578279405</v>
      </c>
      <c r="F12" s="2">
        <v>10</v>
      </c>
      <c r="G12" s="2">
        <v>385</v>
      </c>
      <c r="H12" s="2">
        <v>47.39</v>
      </c>
      <c r="I12">
        <f t="shared" si="3"/>
        <v>658</v>
      </c>
      <c r="J12">
        <f t="shared" si="4"/>
        <v>47390</v>
      </c>
    </row>
    <row r="13" spans="1:17">
      <c r="A13">
        <f t="shared" si="2"/>
        <v>3</v>
      </c>
      <c r="B13">
        <f t="shared" si="0"/>
        <v>72375.091777491456</v>
      </c>
      <c r="C13" s="5">
        <f t="shared" si="1"/>
        <v>738.64650867419107</v>
      </c>
      <c r="F13" s="2">
        <v>15</v>
      </c>
      <c r="G13" s="2">
        <v>348</v>
      </c>
      <c r="H13" s="2">
        <v>33.04</v>
      </c>
      <c r="I13">
        <f t="shared" si="3"/>
        <v>621</v>
      </c>
      <c r="J13">
        <f t="shared" si="4"/>
        <v>33040</v>
      </c>
    </row>
    <row r="14" spans="1:17">
      <c r="A14">
        <f t="shared" si="2"/>
        <v>4</v>
      </c>
      <c r="B14">
        <f t="shared" si="0"/>
        <v>67968.972816150213</v>
      </c>
      <c r="C14">
        <f t="shared" si="1"/>
        <v>729.86201156558798</v>
      </c>
      <c r="F14" s="2">
        <v>20</v>
      </c>
      <c r="G14" s="2">
        <v>306</v>
      </c>
      <c r="H14" s="2">
        <v>22.52</v>
      </c>
      <c r="I14">
        <f t="shared" si="3"/>
        <v>579</v>
      </c>
      <c r="J14">
        <f t="shared" si="4"/>
        <v>22520</v>
      </c>
    </row>
    <row r="15" spans="1:17">
      <c r="A15">
        <f t="shared" si="2"/>
        <v>5</v>
      </c>
      <c r="B15">
        <f t="shared" si="0"/>
        <v>63782.563723612722</v>
      </c>
      <c r="C15">
        <f t="shared" si="1"/>
        <v>721.07751445698511</v>
      </c>
      <c r="F15" s="2">
        <v>25</v>
      </c>
      <c r="G15" s="2">
        <v>264</v>
      </c>
      <c r="H15" s="2">
        <v>14.93</v>
      </c>
      <c r="I15">
        <f t="shared" si="3"/>
        <v>537</v>
      </c>
      <c r="J15">
        <f t="shared" si="4"/>
        <v>14930</v>
      </c>
    </row>
    <row r="16" spans="1:17">
      <c r="A16">
        <f t="shared" si="2"/>
        <v>6</v>
      </c>
      <c r="B16">
        <f t="shared" si="0"/>
        <v>59807.386471380392</v>
      </c>
      <c r="C16">
        <f t="shared" si="1"/>
        <v>712.29301734838214</v>
      </c>
      <c r="F16" s="2">
        <v>30</v>
      </c>
      <c r="G16" s="2">
        <v>222</v>
      </c>
      <c r="H16" s="2">
        <v>9.8510000000000009</v>
      </c>
      <c r="I16">
        <f t="shared" si="3"/>
        <v>495</v>
      </c>
      <c r="J16">
        <f t="shared" si="4"/>
        <v>9851</v>
      </c>
    </row>
    <row r="17" spans="1:10">
      <c r="A17">
        <f t="shared" si="2"/>
        <v>7</v>
      </c>
      <c r="B17">
        <f t="shared" si="0"/>
        <v>56035.19225451081</v>
      </c>
      <c r="C17">
        <f t="shared" si="1"/>
        <v>703.50852023977905</v>
      </c>
      <c r="F17" s="2">
        <v>35</v>
      </c>
      <c r="G17" s="2">
        <v>180</v>
      </c>
      <c r="H17" s="2">
        <v>5.9169999999999998</v>
      </c>
      <c r="I17">
        <f t="shared" si="3"/>
        <v>453</v>
      </c>
      <c r="J17">
        <f t="shared" si="4"/>
        <v>5917</v>
      </c>
    </row>
    <row r="18" spans="1:10">
      <c r="A18">
        <f t="shared" si="2"/>
        <v>8</v>
      </c>
      <c r="B18">
        <f t="shared" si="0"/>
        <v>52457.958006359884</v>
      </c>
      <c r="C18">
        <f t="shared" si="1"/>
        <v>694.72402313117607</v>
      </c>
      <c r="F18" s="2">
        <v>40</v>
      </c>
      <c r="G18" s="2">
        <v>143</v>
      </c>
      <c r="H18" s="2">
        <v>3.5009999999999999</v>
      </c>
      <c r="I18">
        <f t="shared" si="3"/>
        <v>416</v>
      </c>
      <c r="J18">
        <f t="shared" si="4"/>
        <v>3501</v>
      </c>
    </row>
    <row r="19" spans="1:10">
      <c r="A19">
        <f t="shared" si="2"/>
        <v>9</v>
      </c>
      <c r="B19">
        <f t="shared" si="0"/>
        <v>49067.882924053192</v>
      </c>
      <c r="C19">
        <f t="shared" si="1"/>
        <v>685.93952602257309</v>
      </c>
      <c r="F19" s="2">
        <v>45</v>
      </c>
      <c r="G19" s="2">
        <v>110</v>
      </c>
      <c r="H19" s="2">
        <v>1.9790000000000001</v>
      </c>
      <c r="I19">
        <f t="shared" si="3"/>
        <v>383</v>
      </c>
      <c r="J19">
        <f t="shared" si="4"/>
        <v>1979</v>
      </c>
    </row>
    <row r="20" spans="1:10">
      <c r="A20">
        <f t="shared" si="2"/>
        <v>10</v>
      </c>
      <c r="B20">
        <f t="shared" si="0"/>
        <v>45857.385004788237</v>
      </c>
      <c r="C20">
        <f t="shared" si="1"/>
        <v>677.15502891397011</v>
      </c>
      <c r="F20" s="2">
        <v>50</v>
      </c>
      <c r="G20" s="2">
        <v>75</v>
      </c>
      <c r="H20" s="2">
        <v>1.0660000000000001</v>
      </c>
      <c r="I20">
        <f t="shared" si="3"/>
        <v>348</v>
      </c>
      <c r="J20">
        <f t="shared" si="4"/>
        <v>1066</v>
      </c>
    </row>
    <row r="21" spans="1:10">
      <c r="A21">
        <f t="shared" si="2"/>
        <v>11</v>
      </c>
      <c r="B21">
        <f t="shared" si="0"/>
        <v>42819.09759306864</v>
      </c>
      <c r="C21">
        <f t="shared" si="1"/>
        <v>668.37053180536714</v>
      </c>
      <c r="F21" s="2">
        <v>55</v>
      </c>
      <c r="G21" s="2">
        <v>27</v>
      </c>
      <c r="H21" s="2">
        <v>0.53139999999999998</v>
      </c>
      <c r="I21">
        <f t="shared" si="3"/>
        <v>300</v>
      </c>
      <c r="J21">
        <f t="shared" si="4"/>
        <v>531.4</v>
      </c>
    </row>
    <row r="22" spans="1:10">
      <c r="A22">
        <f t="shared" si="2"/>
        <v>12</v>
      </c>
      <c r="B22">
        <f t="shared" si="0"/>
        <v>39945.865938976276</v>
      </c>
      <c r="C22">
        <f t="shared" si="1"/>
        <v>659.58603469676416</v>
      </c>
      <c r="F22" s="2">
        <v>60</v>
      </c>
      <c r="G22" s="6">
        <v>-10</v>
      </c>
      <c r="H22" s="2">
        <v>0.23569999999999999</v>
      </c>
      <c r="I22">
        <f t="shared" si="3"/>
        <v>263</v>
      </c>
      <c r="J22">
        <f t="shared" si="4"/>
        <v>235.7</v>
      </c>
    </row>
    <row r="23" spans="1:10">
      <c r="A23">
        <f t="shared" si="2"/>
        <v>13</v>
      </c>
      <c r="B23">
        <f t="shared" si="0"/>
        <v>37230.74376758813</v>
      </c>
      <c r="C23">
        <f t="shared" si="1"/>
        <v>650.80153758816118</v>
      </c>
      <c r="F23" s="2">
        <v>65</v>
      </c>
      <c r="G23" s="6">
        <v>-30</v>
      </c>
      <c r="H23" s="2">
        <v>9.7650000000000001E-2</v>
      </c>
      <c r="I23">
        <f t="shared" si="3"/>
        <v>243</v>
      </c>
      <c r="J23">
        <f t="shared" si="4"/>
        <v>97.65</v>
      </c>
    </row>
    <row r="24" spans="1:10">
      <c r="A24">
        <f t="shared" si="2"/>
        <v>14</v>
      </c>
      <c r="B24">
        <f t="shared" si="0"/>
        <v>34666.989859647292</v>
      </c>
      <c r="C24">
        <f t="shared" si="1"/>
        <v>642.01704047955809</v>
      </c>
      <c r="F24" s="2">
        <v>70</v>
      </c>
      <c r="G24" s="6">
        <v>-43</v>
      </c>
      <c r="H24" s="2">
        <v>3.6900000000000002E-2</v>
      </c>
      <c r="I24">
        <f t="shared" si="3"/>
        <v>230</v>
      </c>
      <c r="J24">
        <f t="shared" si="4"/>
        <v>36.900000000000006</v>
      </c>
    </row>
    <row r="25" spans="1:10">
      <c r="A25">
        <f t="shared" si="2"/>
        <v>15</v>
      </c>
      <c r="B25">
        <f t="shared" si="0"/>
        <v>32248.064643601036</v>
      </c>
      <c r="C25">
        <f t="shared" si="1"/>
        <v>633.23254337095523</v>
      </c>
      <c r="F25" s="2">
        <v>80</v>
      </c>
      <c r="G25" s="6">
        <v>-76</v>
      </c>
      <c r="H25" s="2">
        <v>4.7600000000000003E-3</v>
      </c>
      <c r="I25">
        <f t="shared" si="3"/>
        <v>197</v>
      </c>
      <c r="J25">
        <f t="shared" si="4"/>
        <v>4.7600000000000007</v>
      </c>
    </row>
    <row r="26" spans="1:10">
      <c r="A26">
        <f t="shared" si="2"/>
        <v>16</v>
      </c>
      <c r="B26">
        <f t="shared" si="0"/>
        <v>29967.626799120178</v>
      </c>
      <c r="C26">
        <f t="shared" si="1"/>
        <v>624.44804626235225</v>
      </c>
      <c r="F26" s="2">
        <v>90</v>
      </c>
      <c r="G26" s="6">
        <v>-104</v>
      </c>
      <c r="H26" s="2">
        <v>3.7359999999999997E-4</v>
      </c>
      <c r="I26">
        <f t="shared" si="3"/>
        <v>169</v>
      </c>
      <c r="J26">
        <f t="shared" si="4"/>
        <v>0.37359999999999999</v>
      </c>
    </row>
    <row r="27" spans="1:10">
      <c r="A27">
        <f t="shared" si="2"/>
        <v>17</v>
      </c>
      <c r="B27">
        <f t="shared" si="0"/>
        <v>27819.529872217823</v>
      </c>
      <c r="C27">
        <f t="shared" si="1"/>
        <v>615.66354915374916</v>
      </c>
      <c r="F27" s="2">
        <v>100</v>
      </c>
      <c r="G27" s="6">
        <v>-112</v>
      </c>
      <c r="H27" s="2">
        <v>2.6599999999999999E-5</v>
      </c>
      <c r="I27">
        <f t="shared" si="3"/>
        <v>161</v>
      </c>
      <c r="J27">
        <f t="shared" si="4"/>
        <v>2.6599999999999999E-2</v>
      </c>
    </row>
    <row r="28" spans="1:10">
      <c r="A28">
        <f t="shared" si="2"/>
        <v>18</v>
      </c>
      <c r="B28">
        <f t="shared" si="0"/>
        <v>25797.81890208782</v>
      </c>
      <c r="C28">
        <f t="shared" si="1"/>
        <v>606.8790520451463</v>
      </c>
    </row>
    <row r="29" spans="1:10">
      <c r="A29">
        <f t="shared" si="2"/>
        <v>19</v>
      </c>
      <c r="B29">
        <f t="shared" si="0"/>
        <v>23896.727059786273</v>
      </c>
      <c r="C29">
        <f t="shared" si="1"/>
        <v>598.0945549365432</v>
      </c>
    </row>
    <row r="30" spans="1:10">
      <c r="A30">
        <f t="shared" si="2"/>
        <v>20</v>
      </c>
      <c r="B30">
        <f t="shared" si="0"/>
        <v>22110.672298882997</v>
      </c>
      <c r="C30">
        <f t="shared" si="1"/>
        <v>589.31005782794023</v>
      </c>
    </row>
    <row r="31" spans="1:10">
      <c r="A31">
        <f t="shared" si="2"/>
        <v>21</v>
      </c>
      <c r="B31">
        <f t="shared" si="0"/>
        <v>20434.254018212119</v>
      </c>
      <c r="C31">
        <f t="shared" si="1"/>
        <v>580.52556071933725</v>
      </c>
    </row>
    <row r="32" spans="1:10">
      <c r="A32">
        <f t="shared" si="2"/>
        <v>22</v>
      </c>
      <c r="B32">
        <f t="shared" si="0"/>
        <v>18862.249736855443</v>
      </c>
      <c r="C32">
        <f t="shared" si="1"/>
        <v>571.74106361073427</v>
      </c>
    </row>
    <row r="33" spans="1:7">
      <c r="A33">
        <f t="shared" si="2"/>
        <v>23</v>
      </c>
      <c r="B33">
        <f t="shared" si="0"/>
        <v>17389.61178149479</v>
      </c>
      <c r="C33">
        <f t="shared" si="1"/>
        <v>562.95656650213118</v>
      </c>
    </row>
    <row r="34" spans="1:7">
      <c r="A34">
        <f t="shared" si="2"/>
        <v>24</v>
      </c>
      <c r="B34">
        <f t="shared" si="0"/>
        <v>16011.463986273437</v>
      </c>
      <c r="C34">
        <f t="shared" si="1"/>
        <v>554.17206939352832</v>
      </c>
    </row>
    <row r="35" spans="1:7">
      <c r="A35">
        <f t="shared" si="2"/>
        <v>25</v>
      </c>
      <c r="B35">
        <f t="shared" si="0"/>
        <v>14723.098405310702</v>
      </c>
      <c r="C35">
        <f t="shared" si="1"/>
        <v>545.38757228492534</v>
      </c>
    </row>
    <row r="36" spans="1:7">
      <c r="A36">
        <f t="shared" si="2"/>
        <v>26</v>
      </c>
      <c r="B36">
        <f t="shared" si="0"/>
        <v>13519.972038017453</v>
      </c>
      <c r="C36">
        <f t="shared" si="1"/>
        <v>536.60307517632236</v>
      </c>
    </row>
    <row r="37" spans="1:7">
      <c r="A37">
        <f t="shared" si="2"/>
        <v>27</v>
      </c>
      <c r="B37">
        <f t="shared" si="0"/>
        <v>12397.703567364413</v>
      </c>
      <c r="C37">
        <f t="shared" si="1"/>
        <v>527.81857806771927</v>
      </c>
    </row>
    <row r="38" spans="1:7">
      <c r="A38">
        <f t="shared" si="2"/>
        <v>28</v>
      </c>
      <c r="B38">
        <f t="shared" si="0"/>
        <v>11352.070111259569</v>
      </c>
      <c r="C38">
        <f t="shared" si="1"/>
        <v>519.0340809591163</v>
      </c>
    </row>
    <row r="39" spans="1:7">
      <c r="A39">
        <f t="shared" si="2"/>
        <v>29</v>
      </c>
      <c r="B39">
        <f t="shared" si="0"/>
        <v>10379.003987195074</v>
      </c>
      <c r="C39">
        <f t="shared" si="1"/>
        <v>510.24958385051332</v>
      </c>
    </row>
    <row r="40" spans="1:7">
      <c r="A40">
        <f t="shared" si="2"/>
        <v>30</v>
      </c>
      <c r="B40">
        <f t="shared" si="0"/>
        <v>9474.5894903293974</v>
      </c>
      <c r="C40">
        <f t="shared" si="1"/>
        <v>501.4650867419104</v>
      </c>
    </row>
    <row r="41" spans="1:7">
      <c r="A41">
        <f t="shared" si="2"/>
        <v>31</v>
      </c>
      <c r="B41">
        <f t="shared" si="0"/>
        <v>8635.0596851745395</v>
      </c>
      <c r="C41">
        <f t="shared" si="1"/>
        <v>492.68058963330736</v>
      </c>
    </row>
    <row r="42" spans="1:7">
      <c r="A42">
        <f t="shared" si="2"/>
        <v>32</v>
      </c>
      <c r="B42">
        <f t="shared" ref="B42:B73" si="5">+P_0*(1-$A42/n/Z_0)^n</f>
        <v>7856.793211063974</v>
      </c>
      <c r="C42">
        <f t="shared" ref="C42:C73" si="6">+T_0*(1-$A42/n/Z_0)</f>
        <v>483.89609252470439</v>
      </c>
    </row>
    <row r="43" spans="1:7">
      <c r="A43">
        <f t="shared" ref="A43:A74" si="7">+$A42+$A$1</f>
        <v>33</v>
      </c>
      <c r="B43">
        <f t="shared" si="5"/>
        <v>7136.3111015817231</v>
      </c>
      <c r="C43">
        <f t="shared" si="6"/>
        <v>475.11159541610135</v>
      </c>
      <c r="G43" s="4" t="s">
        <v>11</v>
      </c>
    </row>
    <row r="44" spans="1:7">
      <c r="A44">
        <f t="shared" si="7"/>
        <v>34</v>
      </c>
      <c r="B44">
        <f t="shared" si="5"/>
        <v>6470.2736181391911</v>
      </c>
      <c r="C44">
        <f t="shared" si="6"/>
        <v>466.32709830749837</v>
      </c>
      <c r="D44">
        <v>455</v>
      </c>
      <c r="E44">
        <v>6400</v>
      </c>
      <c r="G44" s="4" t="s">
        <v>12</v>
      </c>
    </row>
    <row r="45" spans="1:7">
      <c r="A45">
        <f t="shared" si="7"/>
        <v>35</v>
      </c>
      <c r="B45">
        <f t="shared" si="5"/>
        <v>5855.4770978917832</v>
      </c>
      <c r="C45">
        <f t="shared" si="6"/>
        <v>457.54260119889545</v>
      </c>
      <c r="D45">
        <v>446</v>
      </c>
      <c r="E45">
        <v>6000</v>
      </c>
    </row>
    <row r="46" spans="1:7">
      <c r="A46">
        <f t="shared" si="7"/>
        <v>36</v>
      </c>
      <c r="B46">
        <f t="shared" si="5"/>
        <v>5288.8508161938717</v>
      </c>
      <c r="C46">
        <f t="shared" si="6"/>
        <v>448.75810409029248</v>
      </c>
    </row>
    <row r="47" spans="1:7">
      <c r="A47">
        <f t="shared" si="7"/>
        <v>37</v>
      </c>
      <c r="B47">
        <f t="shared" si="5"/>
        <v>4767.4538637970991</v>
      </c>
      <c r="C47">
        <f t="shared" si="6"/>
        <v>439.97360698168944</v>
      </c>
    </row>
    <row r="48" spans="1:7">
      <c r="A48">
        <f t="shared" si="7"/>
        <v>38</v>
      </c>
      <c r="B48">
        <f t="shared" si="5"/>
        <v>4288.4720390037864</v>
      </c>
      <c r="C48">
        <f t="shared" si="6"/>
        <v>431.18910987308641</v>
      </c>
    </row>
    <row r="49" spans="1:5">
      <c r="A49">
        <f t="shared" si="7"/>
        <v>39</v>
      </c>
      <c r="B49">
        <f t="shared" si="5"/>
        <v>3849.2147549946653</v>
      </c>
      <c r="C49">
        <f t="shared" si="6"/>
        <v>422.40461276448349</v>
      </c>
    </row>
    <row r="50" spans="1:5">
      <c r="A50">
        <f t="shared" si="7"/>
        <v>40</v>
      </c>
      <c r="B50">
        <f t="shared" si="5"/>
        <v>3447.111962557552</v>
      </c>
      <c r="C50">
        <f t="shared" si="6"/>
        <v>413.62011565588051</v>
      </c>
      <c r="D50">
        <v>407</v>
      </c>
      <c r="E50">
        <v>3450</v>
      </c>
    </row>
    <row r="51" spans="1:5">
      <c r="A51">
        <f t="shared" si="7"/>
        <v>41</v>
      </c>
      <c r="B51">
        <f t="shared" si="5"/>
        <v>3079.7110884519093</v>
      </c>
      <c r="C51">
        <f t="shared" si="6"/>
        <v>404.83561854727753</v>
      </c>
    </row>
    <row r="52" spans="1:5">
      <c r="A52">
        <f t="shared" si="7"/>
        <v>42</v>
      </c>
      <c r="B52">
        <f t="shared" si="5"/>
        <v>2744.6739896525173</v>
      </c>
      <c r="C52">
        <f t="shared" si="6"/>
        <v>396.0511214386745</v>
      </c>
    </row>
    <row r="53" spans="1:5">
      <c r="A53">
        <f t="shared" si="7"/>
        <v>43</v>
      </c>
      <c r="B53">
        <f t="shared" si="5"/>
        <v>2439.773923724701</v>
      </c>
      <c r="C53">
        <f t="shared" si="6"/>
        <v>387.26662433007158</v>
      </c>
    </row>
    <row r="54" spans="1:5">
      <c r="A54">
        <f t="shared" si="7"/>
        <v>44</v>
      </c>
      <c r="B54">
        <f t="shared" si="5"/>
        <v>2162.8925355929628</v>
      </c>
      <c r="C54">
        <f t="shared" si="6"/>
        <v>378.48212722146855</v>
      </c>
    </row>
    <row r="55" spans="1:5">
      <c r="A55">
        <f t="shared" si="7"/>
        <v>45</v>
      </c>
      <c r="B55">
        <f t="shared" si="5"/>
        <v>1912.0168609751893</v>
      </c>
      <c r="C55">
        <f t="shared" si="6"/>
        <v>369.69763011286557</v>
      </c>
    </row>
    <row r="56" spans="1:5">
      <c r="A56">
        <f t="shared" si="7"/>
        <v>46</v>
      </c>
      <c r="B56">
        <f t="shared" si="5"/>
        <v>1685.2363467651949</v>
      </c>
      <c r="C56">
        <f t="shared" si="6"/>
        <v>360.91313300426253</v>
      </c>
      <c r="D56">
        <v>368</v>
      </c>
      <c r="E56">
        <v>1700</v>
      </c>
    </row>
    <row r="57" spans="1:5">
      <c r="A57">
        <f t="shared" si="7"/>
        <v>47</v>
      </c>
      <c r="B57">
        <f t="shared" si="5"/>
        <v>1480.7398886579849</v>
      </c>
      <c r="C57">
        <f t="shared" si="6"/>
        <v>352.12863589565956</v>
      </c>
    </row>
    <row r="58" spans="1:5">
      <c r="A58">
        <f t="shared" si="7"/>
        <v>48</v>
      </c>
      <c r="B58">
        <f t="shared" si="5"/>
        <v>1296.8128863242152</v>
      </c>
      <c r="C58">
        <f t="shared" si="6"/>
        <v>343.34413878705664</v>
      </c>
    </row>
    <row r="59" spans="1:5">
      <c r="A59">
        <f t="shared" si="7"/>
        <v>49</v>
      </c>
      <c r="B59">
        <f t="shared" si="5"/>
        <v>1131.8343164534433</v>
      </c>
      <c r="C59">
        <f t="shared" si="6"/>
        <v>334.5596416784536</v>
      </c>
      <c r="D59">
        <v>346</v>
      </c>
      <c r="E59">
        <v>1135</v>
      </c>
    </row>
    <row r="60" spans="1:5">
      <c r="A60">
        <f t="shared" si="7"/>
        <v>50</v>
      </c>
      <c r="B60">
        <f t="shared" si="5"/>
        <v>984.273823999613</v>
      </c>
      <c r="C60">
        <f t="shared" si="6"/>
        <v>325.77514456985062</v>
      </c>
    </row>
    <row r="61" spans="1:5">
      <c r="A61">
        <f t="shared" si="7"/>
        <v>51</v>
      </c>
      <c r="B61">
        <f t="shared" si="5"/>
        <v>852.68883197716457</v>
      </c>
      <c r="C61">
        <f t="shared" si="6"/>
        <v>316.9906474612477</v>
      </c>
    </row>
    <row r="62" spans="1:5">
      <c r="A62">
        <f t="shared" si="7"/>
        <v>52</v>
      </c>
      <c r="B62">
        <f t="shared" si="5"/>
        <v>735.7216701721037</v>
      </c>
      <c r="C62">
        <f t="shared" si="6"/>
        <v>308.20615035264467</v>
      </c>
      <c r="D62">
        <v>317</v>
      </c>
      <c r="E62">
        <v>740</v>
      </c>
    </row>
    <row r="63" spans="1:5">
      <c r="A63">
        <f t="shared" si="7"/>
        <v>53</v>
      </c>
      <c r="B63">
        <f t="shared" si="5"/>
        <v>632.09672314952786</v>
      </c>
      <c r="C63">
        <f t="shared" si="6"/>
        <v>299.42165324404169</v>
      </c>
    </row>
    <row r="64" spans="1:5">
      <c r="A64">
        <f t="shared" si="7"/>
        <v>54</v>
      </c>
      <c r="B64">
        <f t="shared" si="5"/>
        <v>540.6175979575429</v>
      </c>
      <c r="C64">
        <f t="shared" si="6"/>
        <v>290.63715613543854</v>
      </c>
    </row>
    <row r="65" spans="1:5">
      <c r="A65">
        <f t="shared" si="7"/>
        <v>55</v>
      </c>
      <c r="B65">
        <f t="shared" si="5"/>
        <v>460.16431194746582</v>
      </c>
      <c r="C65">
        <f t="shared" si="6"/>
        <v>281.85265902683562</v>
      </c>
      <c r="D65">
        <v>288</v>
      </c>
      <c r="E65">
        <v>460</v>
      </c>
    </row>
    <row r="66" spans="1:5">
      <c r="A66">
        <f t="shared" si="7"/>
        <v>56</v>
      </c>
      <c r="B66">
        <f t="shared" si="5"/>
        <v>389.69050115160121</v>
      </c>
      <c r="C66">
        <f t="shared" si="6"/>
        <v>273.06816191823265</v>
      </c>
    </row>
    <row r="67" spans="1:5">
      <c r="A67">
        <f t="shared" si="7"/>
        <v>57</v>
      </c>
      <c r="B67">
        <f t="shared" si="5"/>
        <v>328.22064968329926</v>
      </c>
      <c r="C67">
        <f t="shared" si="6"/>
        <v>264.28366480962961</v>
      </c>
    </row>
    <row r="68" spans="1:5">
      <c r="A68">
        <f t="shared" si="7"/>
        <v>58</v>
      </c>
      <c r="B68">
        <f t="shared" si="5"/>
        <v>274.84734064917222</v>
      </c>
      <c r="C68">
        <f t="shared" si="6"/>
        <v>255.49916770102666</v>
      </c>
      <c r="D68">
        <v>258</v>
      </c>
      <c r="E68">
        <v>280</v>
      </c>
    </row>
    <row r="69" spans="1:5">
      <c r="A69">
        <f t="shared" si="7"/>
        <v>59</v>
      </c>
      <c r="B69">
        <f t="shared" si="5"/>
        <v>228.72852909090926</v>
      </c>
      <c r="C69">
        <f t="shared" si="6"/>
        <v>246.71467059242372</v>
      </c>
    </row>
    <row r="70" spans="1:5">
      <c r="A70">
        <f t="shared" si="7"/>
        <v>60</v>
      </c>
      <c r="B70">
        <f t="shared" si="5"/>
        <v>189.08483750414499</v>
      </c>
      <c r="C70">
        <f t="shared" si="6"/>
        <v>237.93017348382068</v>
      </c>
    </row>
    <row r="71" spans="1:5">
      <c r="A71">
        <f t="shared" si="7"/>
        <v>61</v>
      </c>
      <c r="B71">
        <f t="shared" si="5"/>
        <v>155.19687451467323</v>
      </c>
      <c r="C71">
        <f t="shared" si="6"/>
        <v>229.14567637521773</v>
      </c>
      <c r="D71">
        <v>240</v>
      </c>
      <c r="E71">
        <v>155</v>
      </c>
    </row>
    <row r="72" spans="1:5">
      <c r="A72">
        <f t="shared" si="7"/>
        <v>62</v>
      </c>
      <c r="B72">
        <f t="shared" si="5"/>
        <v>126.40257732836916</v>
      </c>
      <c r="C72">
        <f t="shared" si="6"/>
        <v>220.3611792666147</v>
      </c>
    </row>
    <row r="73" spans="1:5">
      <c r="A73">
        <f t="shared" si="7"/>
        <v>63</v>
      </c>
      <c r="B73">
        <f t="shared" si="5"/>
        <v>102.09457861089966</v>
      </c>
      <c r="C73">
        <f t="shared" si="6"/>
        <v>211.57668215801172</v>
      </c>
    </row>
    <row r="74" spans="1:5">
      <c r="A74">
        <f t="shared" si="7"/>
        <v>64</v>
      </c>
      <c r="B74">
        <f t="shared" ref="B74:B110" si="8">+P_0*(1-$A74/n/Z_0)^n</f>
        <v>81.717598497186998</v>
      </c>
      <c r="C74">
        <f t="shared" ref="C74:C110" si="9">+T_0*(1-$A74/n/Z_0)</f>
        <v>202.79218504940877</v>
      </c>
    </row>
    <row r="75" spans="1:5">
      <c r="A75">
        <f t="shared" ref="A75:A110" si="10">+$A74+$A$1</f>
        <v>65</v>
      </c>
      <c r="B75">
        <f t="shared" si="8"/>
        <v>64.765862479298079</v>
      </c>
      <c r="C75">
        <f t="shared" si="9"/>
        <v>194.00768794080574</v>
      </c>
    </row>
    <row r="76" spans="1:5">
      <c r="A76">
        <f t="shared" si="10"/>
        <v>66</v>
      </c>
      <c r="B76">
        <f t="shared" si="8"/>
        <v>50.780545975664388</v>
      </c>
      <c r="C76">
        <f t="shared" si="9"/>
        <v>185.22319083220279</v>
      </c>
    </row>
    <row r="77" spans="1:5">
      <c r="A77">
        <f t="shared" si="10"/>
        <v>67</v>
      </c>
      <c r="B77">
        <f t="shared" si="8"/>
        <v>39.347246445238888</v>
      </c>
      <c r="C77">
        <f t="shared" si="9"/>
        <v>176.43869372359976</v>
      </c>
    </row>
    <row r="78" spans="1:5">
      <c r="A78">
        <f t="shared" si="10"/>
        <v>68</v>
      </c>
      <c r="B78">
        <f t="shared" si="8"/>
        <v>30.093483978433035</v>
      </c>
      <c r="C78">
        <f t="shared" si="9"/>
        <v>167.65419661499681</v>
      </c>
    </row>
    <row r="79" spans="1:5">
      <c r="A79">
        <f t="shared" si="10"/>
        <v>69</v>
      </c>
      <c r="B79">
        <f t="shared" si="8"/>
        <v>22.686231373792435</v>
      </c>
      <c r="C79">
        <f t="shared" si="9"/>
        <v>158.86969950639386</v>
      </c>
    </row>
    <row r="80" spans="1:5">
      <c r="A80">
        <f t="shared" si="10"/>
        <v>70</v>
      </c>
      <c r="B80">
        <f t="shared" si="8"/>
        <v>16.829474797037815</v>
      </c>
      <c r="C80">
        <f t="shared" si="9"/>
        <v>150.08520239779079</v>
      </c>
    </row>
    <row r="81" spans="1:3">
      <c r="A81">
        <f t="shared" si="10"/>
        <v>71</v>
      </c>
      <c r="B81">
        <f t="shared" si="8"/>
        <v>12.26180621936769</v>
      </c>
      <c r="C81">
        <f t="shared" si="9"/>
        <v>141.30070528918785</v>
      </c>
    </row>
    <row r="82" spans="1:3">
      <c r="A82">
        <f t="shared" si="10"/>
        <v>72</v>
      </c>
      <c r="B82">
        <f t="shared" si="8"/>
        <v>8.7540489474203813</v>
      </c>
      <c r="C82">
        <f t="shared" si="9"/>
        <v>132.5162081805849</v>
      </c>
    </row>
    <row r="83" spans="1:3">
      <c r="A83">
        <f t="shared" si="10"/>
        <v>73</v>
      </c>
      <c r="B83">
        <f t="shared" si="8"/>
        <v>6.1069176913651644</v>
      </c>
      <c r="C83">
        <f t="shared" si="9"/>
        <v>123.73171107198186</v>
      </c>
    </row>
    <row r="84" spans="1:3">
      <c r="A84">
        <f t="shared" si="10"/>
        <v>74</v>
      </c>
      <c r="B84">
        <f t="shared" si="8"/>
        <v>4.1487147745644082</v>
      </c>
      <c r="C84">
        <f t="shared" si="9"/>
        <v>114.94721396337891</v>
      </c>
    </row>
    <row r="85" spans="1:3">
      <c r="A85">
        <f t="shared" si="10"/>
        <v>75</v>
      </c>
      <c r="B85">
        <f t="shared" si="8"/>
        <v>2.7330642738274431</v>
      </c>
      <c r="C85">
        <f t="shared" si="9"/>
        <v>106.16271685477587</v>
      </c>
    </row>
    <row r="86" spans="1:3">
      <c r="A86">
        <f t="shared" si="10"/>
        <v>76</v>
      </c>
      <c r="B86">
        <f t="shared" si="8"/>
        <v>1.7366861010933852</v>
      </c>
      <c r="C86">
        <f t="shared" si="9"/>
        <v>97.378219746172917</v>
      </c>
    </row>
    <row r="87" spans="1:3">
      <c r="A87">
        <f t="shared" si="10"/>
        <v>77</v>
      </c>
      <c r="B87">
        <f t="shared" si="8"/>
        <v>1.0572123058510594</v>
      </c>
      <c r="C87">
        <f t="shared" si="9"/>
        <v>88.593722637569968</v>
      </c>
    </row>
    <row r="88" spans="1:3">
      <c r="A88">
        <f t="shared" si="10"/>
        <v>78</v>
      </c>
      <c r="B88">
        <f t="shared" si="8"/>
        <v>0.61104820727507347</v>
      </c>
      <c r="C88">
        <f t="shared" si="9"/>
        <v>79.80922552896692</v>
      </c>
    </row>
    <row r="89" spans="1:3">
      <c r="A89">
        <f t="shared" si="10"/>
        <v>79</v>
      </c>
      <c r="B89">
        <f t="shared" si="8"/>
        <v>0.33128137675810415</v>
      </c>
      <c r="C89">
        <f t="shared" si="9"/>
        <v>71.024728420363971</v>
      </c>
    </row>
    <row r="90" spans="1:3">
      <c r="A90">
        <f t="shared" si="10"/>
        <v>80</v>
      </c>
      <c r="B90">
        <f t="shared" si="8"/>
        <v>0.16564201601493603</v>
      </c>
      <c r="C90">
        <f t="shared" si="9"/>
        <v>62.240231311761022</v>
      </c>
    </row>
    <row r="91" spans="1:3">
      <c r="A91">
        <f t="shared" si="10"/>
        <v>81</v>
      </c>
      <c r="B91">
        <f t="shared" si="8"/>
        <v>7.4518960331799833E-2</v>
      </c>
      <c r="C91">
        <f t="shared" si="9"/>
        <v>53.455734203157981</v>
      </c>
    </row>
    <row r="92" spans="1:3">
      <c r="A92">
        <f t="shared" si="10"/>
        <v>82</v>
      </c>
      <c r="B92">
        <f t="shared" si="8"/>
        <v>2.9036456222298099E-2</v>
      </c>
      <c r="C92">
        <f t="shared" si="9"/>
        <v>44.671237094555025</v>
      </c>
    </row>
    <row r="93" spans="1:3">
      <c r="A93">
        <f t="shared" si="10"/>
        <v>83</v>
      </c>
      <c r="B93">
        <f t="shared" si="8"/>
        <v>9.1981451870124034E-3</v>
      </c>
      <c r="C93">
        <f t="shared" si="9"/>
        <v>35.886739985951991</v>
      </c>
    </row>
    <row r="94" spans="1:3">
      <c r="A94">
        <f t="shared" si="10"/>
        <v>84</v>
      </c>
      <c r="B94">
        <f t="shared" si="8"/>
        <v>2.1065617335139031E-3</v>
      </c>
      <c r="C94">
        <f t="shared" si="9"/>
        <v>27.102242877349035</v>
      </c>
    </row>
    <row r="95" spans="1:3">
      <c r="A95">
        <f t="shared" si="10"/>
        <v>85</v>
      </c>
      <c r="B95">
        <f t="shared" si="8"/>
        <v>2.6938590014869741E-4</v>
      </c>
      <c r="C95">
        <f t="shared" si="9"/>
        <v>18.317745768746082</v>
      </c>
    </row>
    <row r="96" spans="1:3">
      <c r="A96">
        <f t="shared" si="10"/>
        <v>86</v>
      </c>
      <c r="B96">
        <f t="shared" si="8"/>
        <v>8.7359784431894666E-6</v>
      </c>
      <c r="C96">
        <f t="shared" si="9"/>
        <v>9.5332486601431281</v>
      </c>
    </row>
    <row r="97" spans="1:3">
      <c r="A97">
        <f t="shared" si="10"/>
        <v>87</v>
      </c>
      <c r="B97">
        <f t="shared" si="8"/>
        <v>1.3821966261320559E-11</v>
      </c>
      <c r="C97">
        <f t="shared" si="9"/>
        <v>0.74875155154000561</v>
      </c>
    </row>
    <row r="98" spans="1:3">
      <c r="A98">
        <f t="shared" si="10"/>
        <v>88</v>
      </c>
      <c r="B98" t="e">
        <f t="shared" si="8"/>
        <v>#NUM!</v>
      </c>
      <c r="C98">
        <f t="shared" si="9"/>
        <v>-8.0357455570629472</v>
      </c>
    </row>
    <row r="99" spans="1:3">
      <c r="A99">
        <f t="shared" si="10"/>
        <v>89</v>
      </c>
      <c r="B99" t="e">
        <f t="shared" si="8"/>
        <v>#NUM!</v>
      </c>
      <c r="C99">
        <f t="shared" si="9"/>
        <v>-16.820242665665901</v>
      </c>
    </row>
    <row r="100" spans="1:3">
      <c r="A100">
        <f t="shared" si="10"/>
        <v>90</v>
      </c>
      <c r="B100" t="e">
        <f t="shared" si="8"/>
        <v>#NUM!</v>
      </c>
      <c r="C100">
        <f t="shared" si="9"/>
        <v>-25.604739774268854</v>
      </c>
    </row>
    <row r="101" spans="1:3">
      <c r="A101">
        <f t="shared" si="10"/>
        <v>91</v>
      </c>
      <c r="B101" t="e">
        <f t="shared" si="8"/>
        <v>#NUM!</v>
      </c>
      <c r="C101">
        <f t="shared" si="9"/>
        <v>-34.389236882871806</v>
      </c>
    </row>
    <row r="102" spans="1:3">
      <c r="A102">
        <f t="shared" si="10"/>
        <v>92</v>
      </c>
      <c r="B102" t="e">
        <f t="shared" si="8"/>
        <v>#NUM!</v>
      </c>
      <c r="C102">
        <f t="shared" si="9"/>
        <v>-43.173733991474933</v>
      </c>
    </row>
    <row r="103" spans="1:3">
      <c r="A103">
        <f t="shared" si="10"/>
        <v>93</v>
      </c>
      <c r="B103" t="e">
        <f t="shared" si="8"/>
        <v>#NUM!</v>
      </c>
      <c r="C103">
        <f t="shared" si="9"/>
        <v>-51.958231100077882</v>
      </c>
    </row>
    <row r="104" spans="1:3">
      <c r="A104">
        <f t="shared" si="10"/>
        <v>94</v>
      </c>
      <c r="B104" t="e">
        <f t="shared" si="8"/>
        <v>#NUM!</v>
      </c>
      <c r="C104">
        <f t="shared" si="9"/>
        <v>-60.742728208680838</v>
      </c>
    </row>
    <row r="105" spans="1:3">
      <c r="A105">
        <f t="shared" si="10"/>
        <v>95</v>
      </c>
      <c r="B105" t="e">
        <f t="shared" si="8"/>
        <v>#NUM!</v>
      </c>
      <c r="C105">
        <f t="shared" si="9"/>
        <v>-69.527225317283794</v>
      </c>
    </row>
    <row r="106" spans="1:3">
      <c r="A106">
        <f t="shared" si="10"/>
        <v>96</v>
      </c>
      <c r="B106" t="e">
        <f t="shared" si="8"/>
        <v>#NUM!</v>
      </c>
      <c r="C106">
        <f t="shared" si="9"/>
        <v>-78.311722425886742</v>
      </c>
    </row>
    <row r="107" spans="1:3">
      <c r="A107">
        <f t="shared" si="10"/>
        <v>97</v>
      </c>
      <c r="B107" t="e">
        <f t="shared" si="8"/>
        <v>#NUM!</v>
      </c>
      <c r="C107">
        <f t="shared" si="9"/>
        <v>-87.096219534489691</v>
      </c>
    </row>
    <row r="108" spans="1:3">
      <c r="A108">
        <f t="shared" si="10"/>
        <v>98</v>
      </c>
      <c r="B108" t="e">
        <f t="shared" si="8"/>
        <v>#NUM!</v>
      </c>
      <c r="C108">
        <f t="shared" si="9"/>
        <v>-95.880716643092825</v>
      </c>
    </row>
    <row r="109" spans="1:3">
      <c r="A109">
        <f t="shared" si="10"/>
        <v>99</v>
      </c>
      <c r="B109" t="e">
        <f t="shared" si="8"/>
        <v>#NUM!</v>
      </c>
      <c r="C109">
        <f t="shared" si="9"/>
        <v>-104.66521375169577</v>
      </c>
    </row>
    <row r="110" spans="1:3">
      <c r="A110">
        <f t="shared" si="10"/>
        <v>100</v>
      </c>
      <c r="B110" t="e">
        <f t="shared" si="8"/>
        <v>#NUM!</v>
      </c>
      <c r="C110">
        <f t="shared" si="9"/>
        <v>-113.44971086029872</v>
      </c>
    </row>
  </sheetData>
  <hyperlinks>
    <hyperlink ref="G43" r:id="rId1"/>
    <hyperlink ref="G44" r:id="rId2"/>
  </hyperlinks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97"/>
  <sheetViews>
    <sheetView zoomScale="70" zoomScaleNormal="70" workbookViewId="0">
      <selection activeCell="B89" sqref="B89"/>
    </sheetView>
  </sheetViews>
  <sheetFormatPr defaultRowHeight="15"/>
  <cols>
    <col min="2" max="2" width="9.140625" customWidth="1"/>
    <col min="4" max="4" width="11" customWidth="1"/>
    <col min="5" max="5" width="12" bestFit="1" customWidth="1"/>
  </cols>
  <sheetData>
    <row r="1" spans="1:17">
      <c r="A1">
        <v>1</v>
      </c>
      <c r="E1" s="7" t="s">
        <v>14</v>
      </c>
      <c r="F1" s="5">
        <v>8314.32</v>
      </c>
      <c r="K1">
        <f>1.28/(1.28-1)</f>
        <v>4.5714285714285712</v>
      </c>
      <c r="O1">
        <v>87000</v>
      </c>
      <c r="P1">
        <v>750</v>
      </c>
      <c r="Q1" s="3">
        <v>7.0057000000000002E-11</v>
      </c>
    </row>
    <row r="2" spans="1:17">
      <c r="B2">
        <f>$C$2*1.5</f>
        <v>6</v>
      </c>
      <c r="C2">
        <v>4</v>
      </c>
      <c r="E2" s="8" t="s">
        <v>15</v>
      </c>
      <c r="F2" s="5">
        <v>8.827</v>
      </c>
      <c r="G2">
        <v>8.8360000000000003</v>
      </c>
      <c r="K2">
        <f>1.21/(1.21-1)</f>
        <v>5.7619047619047628</v>
      </c>
      <c r="O2">
        <f>21/4</f>
        <v>5.25</v>
      </c>
      <c r="Q2">
        <f>+$B$2</f>
        <v>6</v>
      </c>
    </row>
    <row r="3" spans="1:17">
      <c r="E3" s="8" t="s">
        <v>16</v>
      </c>
      <c r="F3" s="5">
        <v>43.44</v>
      </c>
      <c r="O3">
        <v>1.15E-2</v>
      </c>
      <c r="P3">
        <v>8.625</v>
      </c>
    </row>
    <row r="4" spans="1:17">
      <c r="A4">
        <f>+R_gas*T_0/MW/Gravity/1000</f>
        <v>15.503502876345616</v>
      </c>
      <c r="J4" t="s">
        <v>17</v>
      </c>
      <c r="K4">
        <f>+T_0/Z_0/n</f>
        <v>7.6864349700276158</v>
      </c>
    </row>
    <row r="5" spans="1:17">
      <c r="A5">
        <v>715</v>
      </c>
      <c r="B5">
        <v>737.2</v>
      </c>
      <c r="C5">
        <v>765</v>
      </c>
      <c r="D5">
        <f>765-273</f>
        <v>492</v>
      </c>
    </row>
    <row r="6" spans="1:17">
      <c r="A6">
        <v>92000</v>
      </c>
      <c r="B6" s="3">
        <f>9200000/100</f>
        <v>92000</v>
      </c>
      <c r="C6">
        <v>87000</v>
      </c>
    </row>
    <row r="8" spans="1:17">
      <c r="D8" t="s">
        <v>10</v>
      </c>
      <c r="E8" t="s">
        <v>9</v>
      </c>
      <c r="H8" s="4" t="s">
        <v>19</v>
      </c>
    </row>
    <row r="9" spans="1:17">
      <c r="A9" t="s">
        <v>8</v>
      </c>
      <c r="B9" t="s">
        <v>9</v>
      </c>
      <c r="C9" t="s">
        <v>10</v>
      </c>
      <c r="D9" t="s">
        <v>13</v>
      </c>
      <c r="E9" t="s">
        <v>18</v>
      </c>
    </row>
    <row r="10" spans="1:17">
      <c r="A10">
        <v>0</v>
      </c>
      <c r="B10">
        <f t="shared" ref="B10:B41" si="0">+P_0*(1-$A10/n/Z_0)^n</f>
        <v>92000</v>
      </c>
      <c r="C10">
        <f t="shared" ref="C10:C41" si="1">+T_0*(1-$A10/n/Z_0)</f>
        <v>715</v>
      </c>
      <c r="F10" s="2">
        <v>0</v>
      </c>
      <c r="G10" s="2">
        <v>462</v>
      </c>
      <c r="H10" s="2">
        <v>92.1</v>
      </c>
      <c r="I10">
        <f>+$G10+273</f>
        <v>735</v>
      </c>
      <c r="J10">
        <f>+$H10*1000</f>
        <v>92100</v>
      </c>
    </row>
    <row r="11" spans="1:17">
      <c r="A11">
        <f t="shared" ref="A11:A42" si="2">+$A10+$A$1</f>
        <v>1</v>
      </c>
      <c r="B11">
        <f t="shared" si="0"/>
        <v>86223.073484520821</v>
      </c>
      <c r="C11">
        <f t="shared" si="1"/>
        <v>707.31356502997244</v>
      </c>
      <c r="F11" s="2">
        <v>5</v>
      </c>
      <c r="G11" s="2">
        <v>424</v>
      </c>
      <c r="H11" s="2">
        <v>66.650000000000006</v>
      </c>
      <c r="I11">
        <f t="shared" ref="I11:I27" si="3">+$G11+273</f>
        <v>697</v>
      </c>
      <c r="J11">
        <f t="shared" ref="J11:J27" si="4">+$H11*1000</f>
        <v>66650</v>
      </c>
    </row>
    <row r="12" spans="1:17">
      <c r="A12">
        <f t="shared" si="2"/>
        <v>2</v>
      </c>
      <c r="B12">
        <f t="shared" si="0"/>
        <v>80751.654541358977</v>
      </c>
      <c r="C12">
        <f t="shared" si="1"/>
        <v>699.62713005994476</v>
      </c>
      <c r="F12" s="2">
        <v>10</v>
      </c>
      <c r="G12" s="2">
        <v>385</v>
      </c>
      <c r="H12" s="2">
        <v>47.39</v>
      </c>
      <c r="I12">
        <f t="shared" si="3"/>
        <v>658</v>
      </c>
      <c r="J12">
        <f t="shared" si="4"/>
        <v>47390</v>
      </c>
    </row>
    <row r="13" spans="1:17">
      <c r="A13">
        <f t="shared" si="2"/>
        <v>3</v>
      </c>
      <c r="B13">
        <f t="shared" si="0"/>
        <v>75572.678936014345</v>
      </c>
      <c r="C13" s="9">
        <f t="shared" si="1"/>
        <v>691.9406950899172</v>
      </c>
      <c r="F13" s="2">
        <v>15</v>
      </c>
      <c r="G13" s="2">
        <v>348</v>
      </c>
      <c r="H13" s="2">
        <v>33.04</v>
      </c>
      <c r="I13">
        <f t="shared" si="3"/>
        <v>621</v>
      </c>
      <c r="J13">
        <f t="shared" si="4"/>
        <v>33040</v>
      </c>
    </row>
    <row r="14" spans="1:17">
      <c r="A14">
        <f t="shared" si="2"/>
        <v>4</v>
      </c>
      <c r="B14">
        <f t="shared" si="0"/>
        <v>70673.505983965151</v>
      </c>
      <c r="C14">
        <f t="shared" si="1"/>
        <v>684.25426011988952</v>
      </c>
      <c r="F14" s="2">
        <v>20</v>
      </c>
      <c r="G14" s="2">
        <v>306</v>
      </c>
      <c r="H14" s="2">
        <v>22.52</v>
      </c>
      <c r="I14">
        <f t="shared" si="3"/>
        <v>579</v>
      </c>
      <c r="J14">
        <f t="shared" si="4"/>
        <v>22520</v>
      </c>
    </row>
    <row r="15" spans="1:17">
      <c r="A15">
        <f t="shared" si="2"/>
        <v>5</v>
      </c>
      <c r="B15">
        <f t="shared" si="0"/>
        <v>66041.909295522346</v>
      </c>
      <c r="C15">
        <f t="shared" si="1"/>
        <v>676.56782514986196</v>
      </c>
      <c r="F15" s="2">
        <v>25</v>
      </c>
      <c r="G15" s="2">
        <v>264</v>
      </c>
      <c r="H15" s="2">
        <v>14.93</v>
      </c>
      <c r="I15">
        <f t="shared" si="3"/>
        <v>537</v>
      </c>
      <c r="J15">
        <f t="shared" si="4"/>
        <v>14930</v>
      </c>
    </row>
    <row r="16" spans="1:17">
      <c r="A16">
        <f t="shared" si="2"/>
        <v>6</v>
      </c>
      <c r="B16">
        <f t="shared" si="0"/>
        <v>61666.067622927687</v>
      </c>
      <c r="C16">
        <f t="shared" si="1"/>
        <v>668.88139017983428</v>
      </c>
      <c r="F16" s="2">
        <v>30</v>
      </c>
      <c r="G16" s="2">
        <v>222</v>
      </c>
      <c r="H16" s="2">
        <v>9.8510000000000009</v>
      </c>
      <c r="I16">
        <f t="shared" si="3"/>
        <v>495</v>
      </c>
      <c r="J16">
        <f t="shared" si="4"/>
        <v>9851</v>
      </c>
    </row>
    <row r="17" spans="1:10">
      <c r="A17">
        <f t="shared" si="2"/>
        <v>7</v>
      </c>
      <c r="B17">
        <f t="shared" si="0"/>
        <v>57534.555809694233</v>
      </c>
      <c r="C17">
        <f t="shared" si="1"/>
        <v>661.19495520980672</v>
      </c>
      <c r="F17" s="2">
        <v>35</v>
      </c>
      <c r="G17" s="2">
        <v>180</v>
      </c>
      <c r="H17" s="2">
        <v>5.9169999999999998</v>
      </c>
      <c r="I17">
        <f t="shared" si="3"/>
        <v>453</v>
      </c>
      <c r="J17">
        <f t="shared" si="4"/>
        <v>5917</v>
      </c>
    </row>
    <row r="18" spans="1:10">
      <c r="A18">
        <f t="shared" si="2"/>
        <v>8</v>
      </c>
      <c r="B18">
        <f t="shared" si="0"/>
        <v>53636.335842190354</v>
      </c>
      <c r="C18">
        <f t="shared" si="1"/>
        <v>653.50852023977905</v>
      </c>
      <c r="F18" s="2">
        <v>40</v>
      </c>
      <c r="G18" s="2">
        <v>143</v>
      </c>
      <c r="H18" s="2">
        <v>3.5009999999999999</v>
      </c>
      <c r="I18">
        <f t="shared" si="3"/>
        <v>416</v>
      </c>
      <c r="J18">
        <f t="shared" si="4"/>
        <v>3501</v>
      </c>
    </row>
    <row r="19" spans="1:10">
      <c r="A19">
        <f t="shared" si="2"/>
        <v>9</v>
      </c>
      <c r="B19">
        <f t="shared" si="0"/>
        <v>49960.748003466586</v>
      </c>
      <c r="C19">
        <f t="shared" si="1"/>
        <v>645.82208526975148</v>
      </c>
      <c r="F19" s="2">
        <v>45</v>
      </c>
      <c r="G19" s="2">
        <v>110</v>
      </c>
      <c r="H19" s="2">
        <v>1.9790000000000001</v>
      </c>
      <c r="I19">
        <f t="shared" si="3"/>
        <v>383</v>
      </c>
      <c r="J19">
        <f t="shared" si="4"/>
        <v>1979</v>
      </c>
    </row>
    <row r="20" spans="1:10">
      <c r="A20">
        <f t="shared" si="2"/>
        <v>10</v>
      </c>
      <c r="B20">
        <f t="shared" si="0"/>
        <v>46497.5021293256</v>
      </c>
      <c r="C20">
        <f t="shared" si="1"/>
        <v>638.13565029972381</v>
      </c>
      <c r="F20" s="2">
        <v>50</v>
      </c>
      <c r="G20" s="2">
        <v>75</v>
      </c>
      <c r="H20" s="2">
        <v>1.0660000000000001</v>
      </c>
      <c r="I20">
        <f t="shared" si="3"/>
        <v>348</v>
      </c>
      <c r="J20">
        <f t="shared" si="4"/>
        <v>1066</v>
      </c>
    </row>
    <row r="21" spans="1:10">
      <c r="A21">
        <f t="shared" si="2"/>
        <v>11</v>
      </c>
      <c r="B21">
        <f t="shared" si="0"/>
        <v>43236.668966635094</v>
      </c>
      <c r="C21">
        <f t="shared" si="1"/>
        <v>630.44921532969624</v>
      </c>
      <c r="F21" s="2">
        <v>55</v>
      </c>
      <c r="G21" s="2">
        <v>27</v>
      </c>
      <c r="H21" s="2">
        <v>0.53139999999999998</v>
      </c>
      <c r="I21">
        <f t="shared" si="3"/>
        <v>300</v>
      </c>
      <c r="J21">
        <f t="shared" si="4"/>
        <v>531.4</v>
      </c>
    </row>
    <row r="22" spans="1:10">
      <c r="A22">
        <f t="shared" si="2"/>
        <v>12</v>
      </c>
      <c r="B22">
        <f t="shared" si="0"/>
        <v>40168.671633884063</v>
      </c>
      <c r="C22">
        <f t="shared" si="1"/>
        <v>622.76278035966857</v>
      </c>
      <c r="F22" s="2">
        <v>60</v>
      </c>
      <c r="G22" s="6">
        <v>-10</v>
      </c>
      <c r="H22" s="2">
        <v>0.23569999999999999</v>
      </c>
      <c r="I22">
        <f t="shared" si="3"/>
        <v>263</v>
      </c>
      <c r="J22">
        <f t="shared" si="4"/>
        <v>235.7</v>
      </c>
    </row>
    <row r="23" spans="1:10">
      <c r="A23">
        <f t="shared" si="2"/>
        <v>13</v>
      </c>
      <c r="B23">
        <f t="shared" si="0"/>
        <v>37284.277183981743</v>
      </c>
      <c r="C23">
        <f t="shared" si="1"/>
        <v>615.07634538964101</v>
      </c>
      <c r="F23" s="2">
        <v>65</v>
      </c>
      <c r="G23" s="6">
        <v>-30</v>
      </c>
      <c r="H23" s="2">
        <v>9.7650000000000001E-2</v>
      </c>
      <c r="I23">
        <f t="shared" si="3"/>
        <v>243</v>
      </c>
      <c r="J23">
        <f t="shared" si="4"/>
        <v>97.65</v>
      </c>
    </row>
    <row r="24" spans="1:10">
      <c r="A24">
        <f t="shared" si="2"/>
        <v>14</v>
      </c>
      <c r="B24">
        <f t="shared" si="0"/>
        <v>34574.588269299842</v>
      </c>
      <c r="C24">
        <f t="shared" si="1"/>
        <v>607.38991041961344</v>
      </c>
      <c r="F24" s="2">
        <v>70</v>
      </c>
      <c r="G24" s="6">
        <v>-43</v>
      </c>
      <c r="H24" s="2">
        <v>3.6900000000000002E-2</v>
      </c>
      <c r="I24">
        <f t="shared" si="3"/>
        <v>230</v>
      </c>
      <c r="J24">
        <f t="shared" si="4"/>
        <v>36.900000000000006</v>
      </c>
    </row>
    <row r="25" spans="1:10">
      <c r="A25">
        <f t="shared" si="2"/>
        <v>15</v>
      </c>
      <c r="B25">
        <f t="shared" si="0"/>
        <v>32031.034908957801</v>
      </c>
      <c r="C25">
        <f t="shared" si="1"/>
        <v>599.70347544958577</v>
      </c>
      <c r="F25" s="2">
        <v>80</v>
      </c>
      <c r="G25" s="6">
        <v>-76</v>
      </c>
      <c r="H25" s="2">
        <v>4.7600000000000003E-3</v>
      </c>
      <c r="I25">
        <f t="shared" si="3"/>
        <v>197</v>
      </c>
      <c r="J25">
        <f t="shared" si="4"/>
        <v>4.7600000000000007</v>
      </c>
    </row>
    <row r="26" spans="1:10">
      <c r="A26">
        <f t="shared" si="2"/>
        <v>16</v>
      </c>
      <c r="B26">
        <f t="shared" si="0"/>
        <v>29645.366358350988</v>
      </c>
      <c r="C26">
        <f t="shared" si="1"/>
        <v>592.0170404795582</v>
      </c>
      <c r="F26" s="2">
        <v>90</v>
      </c>
      <c r="G26" s="6">
        <v>-104</v>
      </c>
      <c r="H26" s="2">
        <v>3.7359999999999997E-4</v>
      </c>
      <c r="I26">
        <f t="shared" si="3"/>
        <v>169</v>
      </c>
      <c r="J26">
        <f t="shared" si="4"/>
        <v>0.37359999999999999</v>
      </c>
    </row>
    <row r="27" spans="1:10">
      <c r="A27">
        <f t="shared" si="2"/>
        <v>17</v>
      </c>
      <c r="B27">
        <f t="shared" si="0"/>
        <v>27409.643080922113</v>
      </c>
      <c r="C27">
        <f t="shared" si="1"/>
        <v>584.33060550953053</v>
      </c>
      <c r="F27" s="2">
        <v>100</v>
      </c>
      <c r="G27" s="6">
        <v>-112</v>
      </c>
      <c r="H27" s="2">
        <v>2.6599999999999999E-5</v>
      </c>
      <c r="I27">
        <f t="shared" si="3"/>
        <v>161</v>
      </c>
      <c r="J27">
        <f t="shared" si="4"/>
        <v>2.6599999999999999E-2</v>
      </c>
    </row>
    <row r="28" spans="1:10">
      <c r="A28">
        <f t="shared" si="2"/>
        <v>18</v>
      </c>
      <c r="B28">
        <f t="shared" si="0"/>
        <v>25316.228822175599</v>
      </c>
      <c r="C28">
        <f t="shared" si="1"/>
        <v>576.64417053950297</v>
      </c>
      <c r="F28" t="s">
        <v>20</v>
      </c>
    </row>
    <row r="29" spans="1:10">
      <c r="A29">
        <f t="shared" si="2"/>
        <v>19</v>
      </c>
      <c r="B29">
        <f t="shared" si="0"/>
        <v>23357.782785935004</v>
      </c>
      <c r="C29">
        <f t="shared" si="1"/>
        <v>568.95773556947529</v>
      </c>
    </row>
    <row r="30" spans="1:10">
      <c r="A30">
        <f t="shared" si="2"/>
        <v>20</v>
      </c>
      <c r="B30">
        <f t="shared" si="0"/>
        <v>21527.251912843545</v>
      </c>
      <c r="C30">
        <f t="shared" si="1"/>
        <v>561.27130059944773</v>
      </c>
    </row>
    <row r="31" spans="1:10">
      <c r="A31">
        <f t="shared" si="2"/>
        <v>21</v>
      </c>
      <c r="B31">
        <f t="shared" si="0"/>
        <v>19817.863261107632</v>
      </c>
      <c r="C31">
        <f t="shared" si="1"/>
        <v>553.58486562942005</v>
      </c>
    </row>
    <row r="32" spans="1:10">
      <c r="A32">
        <f t="shared" si="2"/>
        <v>22</v>
      </c>
      <c r="B32">
        <f t="shared" si="0"/>
        <v>18223.116489483498</v>
      </c>
      <c r="C32">
        <f t="shared" si="1"/>
        <v>545.89843065939249</v>
      </c>
    </row>
    <row r="33" spans="1:7">
      <c r="A33">
        <f t="shared" si="2"/>
        <v>23</v>
      </c>
      <c r="B33">
        <f t="shared" si="0"/>
        <v>16736.776442506845</v>
      </c>
      <c r="C33">
        <f t="shared" si="1"/>
        <v>538.21199568936481</v>
      </c>
    </row>
    <row r="34" spans="1:7">
      <c r="A34">
        <f t="shared" si="2"/>
        <v>24</v>
      </c>
      <c r="B34">
        <f t="shared" si="0"/>
        <v>15352.865837965574</v>
      </c>
      <c r="C34">
        <f t="shared" si="1"/>
        <v>530.52556071933725</v>
      </c>
    </row>
    <row r="35" spans="1:7">
      <c r="A35">
        <f t="shared" si="2"/>
        <v>25</v>
      </c>
      <c r="B35">
        <f t="shared" si="0"/>
        <v>14065.658056615544</v>
      </c>
      <c r="C35">
        <f t="shared" si="1"/>
        <v>522.83912574930969</v>
      </c>
    </row>
    <row r="36" spans="1:7">
      <c r="A36">
        <f t="shared" si="2"/>
        <v>26</v>
      </c>
      <c r="B36">
        <f t="shared" si="0"/>
        <v>12869.670034139444</v>
      </c>
      <c r="C36">
        <f t="shared" si="1"/>
        <v>515.15269077928201</v>
      </c>
    </row>
    <row r="37" spans="1:7">
      <c r="A37">
        <f t="shared" si="2"/>
        <v>27</v>
      </c>
      <c r="B37">
        <f t="shared" si="0"/>
        <v>11759.655255348604</v>
      </c>
      <c r="C37">
        <f t="shared" si="1"/>
        <v>507.46625580925439</v>
      </c>
    </row>
    <row r="38" spans="1:7">
      <c r="A38">
        <f t="shared" si="2"/>
        <v>28</v>
      </c>
      <c r="B38">
        <f t="shared" si="0"/>
        <v>10730.596850627995</v>
      </c>
      <c r="C38">
        <f t="shared" si="1"/>
        <v>499.77982083922677</v>
      </c>
    </row>
    <row r="39" spans="1:7">
      <c r="A39">
        <f t="shared" si="2"/>
        <v>29</v>
      </c>
      <c r="B39">
        <f t="shared" si="0"/>
        <v>9777.7007946241829</v>
      </c>
      <c r="C39">
        <f t="shared" si="1"/>
        <v>492.09338586919915</v>
      </c>
    </row>
    <row r="40" spans="1:7">
      <c r="A40">
        <f t="shared" si="2"/>
        <v>30</v>
      </c>
      <c r="B40">
        <f t="shared" si="0"/>
        <v>8896.3892071764003</v>
      </c>
      <c r="C40">
        <f t="shared" si="1"/>
        <v>484.40695089917153</v>
      </c>
    </row>
    <row r="41" spans="1:7">
      <c r="A41">
        <f t="shared" si="2"/>
        <v>31</v>
      </c>
      <c r="B41">
        <f t="shared" si="0"/>
        <v>8082.2937564906315</v>
      </c>
      <c r="C41">
        <f t="shared" si="1"/>
        <v>476.72051592914397</v>
      </c>
    </row>
    <row r="42" spans="1:7">
      <c r="A42">
        <f t="shared" si="2"/>
        <v>32</v>
      </c>
      <c r="B42">
        <f t="shared" ref="B42:B73" si="5">+P_0*(1-$A42/n/Z_0)^n</f>
        <v>7331.2491645567816</v>
      </c>
      <c r="C42">
        <f t="shared" ref="C42:C73" si="6">+T_0*(1-$A42/n/Z_0)</f>
        <v>469.03408095911635</v>
      </c>
    </row>
    <row r="43" spans="1:7">
      <c r="A43">
        <f t="shared" ref="A43:A74" si="7">+$A42+$A$1</f>
        <v>33</v>
      </c>
      <c r="B43">
        <f t="shared" si="5"/>
        <v>6639.2868148088801</v>
      </c>
      <c r="C43">
        <f t="shared" si="6"/>
        <v>461.34764598908873</v>
      </c>
      <c r="G43" s="4" t="s">
        <v>11</v>
      </c>
    </row>
    <row r="44" spans="1:7">
      <c r="A44">
        <f t="shared" si="7"/>
        <v>34</v>
      </c>
      <c r="B44">
        <f t="shared" si="5"/>
        <v>6002.6284620283423</v>
      </c>
      <c r="C44">
        <f t="shared" si="6"/>
        <v>453.66121101906111</v>
      </c>
      <c r="D44">
        <v>455</v>
      </c>
      <c r="E44">
        <v>6400</v>
      </c>
      <c r="G44" s="4" t="s">
        <v>12</v>
      </c>
    </row>
    <row r="45" spans="1:7">
      <c r="A45">
        <f t="shared" si="7"/>
        <v>35</v>
      </c>
      <c r="B45">
        <f t="shared" si="5"/>
        <v>5417.6800444903001</v>
      </c>
      <c r="C45">
        <f t="shared" si="6"/>
        <v>445.97477604903349</v>
      </c>
      <c r="D45">
        <v>446</v>
      </c>
      <c r="E45">
        <v>6000</v>
      </c>
    </row>
    <row r="46" spans="1:7">
      <c r="A46">
        <f t="shared" si="7"/>
        <v>36</v>
      </c>
      <c r="B46">
        <f t="shared" si="5"/>
        <v>4881.0255983529742</v>
      </c>
      <c r="C46">
        <f t="shared" si="6"/>
        <v>438.28834107900587</v>
      </c>
    </row>
    <row r="47" spans="1:7">
      <c r="A47">
        <f t="shared" si="7"/>
        <v>37</v>
      </c>
      <c r="B47">
        <f t="shared" si="5"/>
        <v>4389.4212742901018</v>
      </c>
      <c r="C47">
        <f t="shared" si="6"/>
        <v>430.60190610897826</v>
      </c>
    </row>
    <row r="48" spans="1:7">
      <c r="A48">
        <f t="shared" si="7"/>
        <v>38</v>
      </c>
      <c r="B48">
        <f t="shared" si="5"/>
        <v>3939.7894563664181</v>
      </c>
      <c r="C48">
        <f t="shared" si="6"/>
        <v>422.91547113895064</v>
      </c>
    </row>
    <row r="49" spans="1:5">
      <c r="A49">
        <f t="shared" si="7"/>
        <v>39</v>
      </c>
      <c r="B49">
        <f t="shared" si="5"/>
        <v>3529.2129831562065</v>
      </c>
      <c r="C49">
        <f t="shared" si="6"/>
        <v>415.22903616892302</v>
      </c>
    </row>
    <row r="50" spans="1:5">
      <c r="A50">
        <f t="shared" si="7"/>
        <v>40</v>
      </c>
      <c r="B50">
        <f t="shared" si="5"/>
        <v>3154.9294711048829</v>
      </c>
      <c r="C50">
        <f t="shared" si="6"/>
        <v>407.5426011988954</v>
      </c>
      <c r="D50">
        <v>407</v>
      </c>
      <c r="E50">
        <v>3450</v>
      </c>
    </row>
    <row r="51" spans="1:5">
      <c r="A51">
        <f t="shared" si="7"/>
        <v>41</v>
      </c>
      <c r="B51">
        <f t="shared" si="5"/>
        <v>2814.3257401336473</v>
      </c>
      <c r="C51">
        <f t="shared" si="6"/>
        <v>399.85616622886778</v>
      </c>
    </row>
    <row r="52" spans="1:5">
      <c r="A52">
        <f t="shared" si="7"/>
        <v>42</v>
      </c>
      <c r="B52">
        <f t="shared" si="5"/>
        <v>2504.9323414871924</v>
      </c>
      <c r="C52">
        <f t="shared" si="6"/>
        <v>392.16973125884016</v>
      </c>
    </row>
    <row r="53" spans="1:5">
      <c r="A53">
        <f t="shared" si="7"/>
        <v>43</v>
      </c>
      <c r="B53">
        <f t="shared" si="5"/>
        <v>2224.4181878244544</v>
      </c>
      <c r="C53">
        <f t="shared" si="6"/>
        <v>384.4832962888126</v>
      </c>
    </row>
    <row r="54" spans="1:5">
      <c r="A54">
        <f t="shared" si="7"/>
        <v>44</v>
      </c>
      <c r="B54">
        <f t="shared" si="5"/>
        <v>1970.5852855524308</v>
      </c>
      <c r="C54">
        <f t="shared" si="6"/>
        <v>376.79686131878498</v>
      </c>
    </row>
    <row r="55" spans="1:5">
      <c r="A55">
        <f t="shared" si="7"/>
        <v>45</v>
      </c>
      <c r="B55">
        <f t="shared" si="5"/>
        <v>1741.3635694030459</v>
      </c>
      <c r="C55">
        <f t="shared" si="6"/>
        <v>369.11042634875736</v>
      </c>
    </row>
    <row r="56" spans="1:5">
      <c r="A56">
        <f t="shared" si="7"/>
        <v>46</v>
      </c>
      <c r="B56">
        <f t="shared" si="5"/>
        <v>1534.8058392530722</v>
      </c>
      <c r="C56">
        <f t="shared" si="6"/>
        <v>361.42399137872962</v>
      </c>
      <c r="D56">
        <v>368</v>
      </c>
      <c r="E56">
        <v>1700</v>
      </c>
    </row>
    <row r="57" spans="1:5">
      <c r="A57">
        <f t="shared" si="7"/>
        <v>47</v>
      </c>
      <c r="B57">
        <f t="shared" si="5"/>
        <v>1349.0827991871213</v>
      </c>
      <c r="C57">
        <f t="shared" si="6"/>
        <v>353.73755640870212</v>
      </c>
    </row>
    <row r="58" spans="1:5">
      <c r="A58">
        <f t="shared" si="7"/>
        <v>48</v>
      </c>
      <c r="B58">
        <f t="shared" si="5"/>
        <v>1182.4781988036464</v>
      </c>
      <c r="C58">
        <f t="shared" si="6"/>
        <v>346.05112143867444</v>
      </c>
    </row>
    <row r="59" spans="1:5">
      <c r="A59">
        <f t="shared" si="7"/>
        <v>49</v>
      </c>
      <c r="B59">
        <f t="shared" si="5"/>
        <v>1033.3840767640645</v>
      </c>
      <c r="C59">
        <f t="shared" si="6"/>
        <v>338.36468646864688</v>
      </c>
      <c r="D59">
        <v>346</v>
      </c>
      <c r="E59">
        <v>1135</v>
      </c>
    </row>
    <row r="60" spans="1:5">
      <c r="A60">
        <f t="shared" si="7"/>
        <v>50</v>
      </c>
      <c r="B60">
        <f t="shared" si="5"/>
        <v>900.29610658486604</v>
      </c>
      <c r="C60">
        <f t="shared" si="6"/>
        <v>330.6782514986192</v>
      </c>
    </row>
    <row r="61" spans="1:5">
      <c r="A61">
        <f t="shared" si="7"/>
        <v>51</v>
      </c>
      <c r="B61">
        <f t="shared" si="5"/>
        <v>781.80904467283665</v>
      </c>
      <c r="C61">
        <f t="shared" si="6"/>
        <v>322.99181652859158</v>
      </c>
    </row>
    <row r="62" spans="1:5">
      <c r="A62">
        <f t="shared" si="7"/>
        <v>52</v>
      </c>
      <c r="B62">
        <f t="shared" si="5"/>
        <v>676.61228060329188</v>
      </c>
      <c r="C62">
        <f t="shared" si="6"/>
        <v>315.30538155856402</v>
      </c>
      <c r="D62">
        <v>317</v>
      </c>
      <c r="E62">
        <v>740</v>
      </c>
    </row>
    <row r="63" spans="1:5">
      <c r="A63">
        <f t="shared" si="7"/>
        <v>53</v>
      </c>
      <c r="B63">
        <f t="shared" si="5"/>
        <v>583.4854896413849</v>
      </c>
      <c r="C63">
        <f t="shared" si="6"/>
        <v>307.61894658853635</v>
      </c>
    </row>
    <row r="64" spans="1:5">
      <c r="A64">
        <f t="shared" si="7"/>
        <v>54</v>
      </c>
      <c r="B64">
        <f t="shared" si="5"/>
        <v>501.2943875064762</v>
      </c>
      <c r="C64">
        <f t="shared" si="6"/>
        <v>299.93251161850873</v>
      </c>
    </row>
    <row r="65" spans="1:5">
      <c r="A65">
        <f t="shared" si="7"/>
        <v>55</v>
      </c>
      <c r="B65">
        <f t="shared" si="5"/>
        <v>428.98658737953826</v>
      </c>
      <c r="C65">
        <f t="shared" si="6"/>
        <v>292.24607664848122</v>
      </c>
      <c r="D65">
        <v>288</v>
      </c>
      <c r="E65">
        <v>460</v>
      </c>
    </row>
    <row r="66" spans="1:5">
      <c r="A66">
        <f t="shared" si="7"/>
        <v>56</v>
      </c>
      <c r="B66">
        <f t="shared" si="5"/>
        <v>365.58755915362798</v>
      </c>
      <c r="C66">
        <f t="shared" si="6"/>
        <v>284.55964167845349</v>
      </c>
    </row>
    <row r="67" spans="1:5">
      <c r="A67">
        <f t="shared" si="7"/>
        <v>57</v>
      </c>
      <c r="B67">
        <f t="shared" si="5"/>
        <v>310.19669092741634</v>
      </c>
      <c r="C67">
        <f t="shared" si="6"/>
        <v>276.87320670842587</v>
      </c>
    </row>
    <row r="68" spans="1:5">
      <c r="A68">
        <f t="shared" si="7"/>
        <v>58</v>
      </c>
      <c r="B68">
        <f t="shared" si="5"/>
        <v>261.98345274176114</v>
      </c>
      <c r="C68">
        <f t="shared" si="6"/>
        <v>269.18677173839836</v>
      </c>
      <c r="D68">
        <v>258</v>
      </c>
      <c r="E68">
        <v>280</v>
      </c>
    </row>
    <row r="69" spans="1:5">
      <c r="A69">
        <f t="shared" si="7"/>
        <v>59</v>
      </c>
      <c r="B69">
        <f t="shared" si="5"/>
        <v>220.18366255934254</v>
      </c>
      <c r="C69">
        <f t="shared" si="6"/>
        <v>261.50033676837063</v>
      </c>
    </row>
    <row r="70" spans="1:5">
      <c r="A70">
        <f t="shared" si="7"/>
        <v>60</v>
      </c>
      <c r="B70">
        <f t="shared" si="5"/>
        <v>184.09585448735555</v>
      </c>
      <c r="C70">
        <f t="shared" si="6"/>
        <v>253.81390179834304</v>
      </c>
    </row>
    <row r="71" spans="1:5">
      <c r="A71">
        <f t="shared" si="7"/>
        <v>61</v>
      </c>
      <c r="B71">
        <f t="shared" si="5"/>
        <v>153.07774924324875</v>
      </c>
      <c r="C71">
        <f t="shared" si="6"/>
        <v>246.12746682831551</v>
      </c>
      <c r="D71">
        <v>240</v>
      </c>
      <c r="E71">
        <v>155</v>
      </c>
    </row>
    <row r="72" spans="1:5">
      <c r="A72">
        <f t="shared" si="7"/>
        <v>62</v>
      </c>
      <c r="B72">
        <f t="shared" si="5"/>
        <v>126.54282686352359</v>
      </c>
      <c r="C72">
        <f t="shared" si="6"/>
        <v>238.4410318582878</v>
      </c>
    </row>
    <row r="73" spans="1:5">
      <c r="A73">
        <f t="shared" si="7"/>
        <v>63</v>
      </c>
      <c r="B73">
        <f t="shared" si="5"/>
        <v>103.95700165558959</v>
      </c>
      <c r="C73">
        <f t="shared" si="6"/>
        <v>230.75459688826021</v>
      </c>
    </row>
    <row r="74" spans="1:5">
      <c r="A74">
        <f t="shared" si="7"/>
        <v>64</v>
      </c>
      <c r="B74">
        <f t="shared" ref="B74:B97" si="8">+P_0*(1-$A74/n/Z_0)^n</f>
        <v>84.835399392669146</v>
      </c>
      <c r="C74">
        <f t="shared" ref="C74:C97" si="9">+T_0*(1-$A74/n/Z_0)</f>
        <v>223.06816191823265</v>
      </c>
    </row>
    <row r="75" spans="1:5">
      <c r="A75">
        <f t="shared" ref="A75:A97" si="10">+$A74+$A$1</f>
        <v>65</v>
      </c>
      <c r="B75">
        <f t="shared" si="8"/>
        <v>68.739236751760359</v>
      </c>
      <c r="C75">
        <f t="shared" si="9"/>
        <v>215.38172694820497</v>
      </c>
    </row>
    <row r="76" spans="1:5">
      <c r="A76">
        <f t="shared" si="10"/>
        <v>66</v>
      </c>
      <c r="B76">
        <f t="shared" si="8"/>
        <v>55.272802994655535</v>
      </c>
      <c r="C76">
        <f t="shared" si="9"/>
        <v>207.69529197817735</v>
      </c>
    </row>
    <row r="77" spans="1:5">
      <c r="A77">
        <f t="shared" si="10"/>
        <v>67</v>
      </c>
      <c r="B77">
        <f t="shared" si="8"/>
        <v>44.080543892011207</v>
      </c>
      <c r="C77">
        <f t="shared" si="9"/>
        <v>200.00885700814973</v>
      </c>
    </row>
    <row r="78" spans="1:5">
      <c r="A78">
        <f t="shared" si="10"/>
        <v>68</v>
      </c>
      <c r="B78">
        <f t="shared" si="8"/>
        <v>34.84424789047533</v>
      </c>
      <c r="C78">
        <f t="shared" si="9"/>
        <v>192.32242203812211</v>
      </c>
    </row>
    <row r="79" spans="1:5">
      <c r="A79">
        <f t="shared" si="10"/>
        <v>69</v>
      </c>
      <c r="B79">
        <f t="shared" si="8"/>
        <v>27.280334522868444</v>
      </c>
      <c r="C79">
        <f t="shared" si="9"/>
        <v>184.63598706809452</v>
      </c>
    </row>
    <row r="80" spans="1:5">
      <c r="A80">
        <f t="shared" si="10"/>
        <v>70</v>
      </c>
      <c r="B80">
        <f t="shared" si="8"/>
        <v>21.137245061419428</v>
      </c>
      <c r="C80">
        <f t="shared" si="9"/>
        <v>176.9495520980669</v>
      </c>
    </row>
    <row r="81" spans="1:4">
      <c r="A81">
        <f t="shared" si="10"/>
        <v>71</v>
      </c>
      <c r="B81">
        <f t="shared" si="8"/>
        <v>16.19293541405623</v>
      </c>
      <c r="C81">
        <f t="shared" si="9"/>
        <v>169.26311712803928</v>
      </c>
    </row>
    <row r="82" spans="1:4">
      <c r="A82">
        <f t="shared" si="10"/>
        <v>72</v>
      </c>
      <c r="B82">
        <f t="shared" si="8"/>
        <v>12.252471263751119</v>
      </c>
      <c r="C82">
        <f t="shared" si="9"/>
        <v>161.57668215801166</v>
      </c>
    </row>
    <row r="83" spans="1:4">
      <c r="A83">
        <f t="shared" si="10"/>
        <v>73</v>
      </c>
      <c r="B83">
        <f t="shared" si="8"/>
        <v>9.1457254509208266</v>
      </c>
      <c r="C83">
        <f t="shared" si="9"/>
        <v>153.89024718798404</v>
      </c>
    </row>
    <row r="84" spans="1:4">
      <c r="A84">
        <f t="shared" si="10"/>
        <v>74</v>
      </c>
      <c r="B84">
        <f t="shared" si="8"/>
        <v>6.7251775988812712</v>
      </c>
      <c r="C84">
        <f t="shared" si="9"/>
        <v>146.20381221795643</v>
      </c>
    </row>
    <row r="85" spans="1:4">
      <c r="A85">
        <f t="shared" si="10"/>
        <v>75</v>
      </c>
      <c r="B85">
        <f t="shared" si="8"/>
        <v>4.8638159823571145</v>
      </c>
      <c r="C85">
        <f t="shared" si="9"/>
        <v>138.51737724792883</v>
      </c>
    </row>
    <row r="86" spans="1:4">
      <c r="A86">
        <f t="shared" si="10"/>
        <v>76</v>
      </c>
      <c r="B86">
        <f t="shared" si="8"/>
        <v>3.4531416390459828</v>
      </c>
      <c r="C86">
        <f t="shared" si="9"/>
        <v>130.83094227790122</v>
      </c>
    </row>
    <row r="87" spans="1:4">
      <c r="A87">
        <f t="shared" si="10"/>
        <v>77</v>
      </c>
      <c r="B87">
        <f t="shared" si="8"/>
        <v>2.4012747242374139</v>
      </c>
      <c r="C87">
        <f t="shared" si="9"/>
        <v>123.1445073078736</v>
      </c>
    </row>
    <row r="88" spans="1:4">
      <c r="A88">
        <f t="shared" si="10"/>
        <v>78</v>
      </c>
      <c r="B88">
        <f t="shared" si="8"/>
        <v>1.6311631084865497</v>
      </c>
      <c r="C88">
        <f t="shared" si="9"/>
        <v>115.45807233784598</v>
      </c>
    </row>
    <row r="89" spans="1:4">
      <c r="A89">
        <f t="shared" si="10"/>
        <v>79</v>
      </c>
      <c r="B89">
        <f>+P_0*(1-$A89/6.5/Z_0)^6.5</f>
        <v>4.3500662345710914</v>
      </c>
      <c r="C89">
        <f>+T_0*(1-$A89/6.5/Z_0)</f>
        <v>154.48151141644772</v>
      </c>
      <c r="D89">
        <v>6.5</v>
      </c>
    </row>
    <row r="90" spans="1:4">
      <c r="A90">
        <f t="shared" si="10"/>
        <v>80</v>
      </c>
      <c r="B90">
        <f t="shared" si="8"/>
        <v>0.69210312013164554</v>
      </c>
      <c r="C90">
        <f t="shared" si="9"/>
        <v>100.08520239779075</v>
      </c>
    </row>
    <row r="91" spans="1:4">
      <c r="A91">
        <f t="shared" si="10"/>
        <v>81</v>
      </c>
      <c r="B91">
        <f t="shared" si="8"/>
        <v>0.42849784679513531</v>
      </c>
      <c r="C91">
        <f t="shared" si="9"/>
        <v>92.398767427763133</v>
      </c>
    </row>
    <row r="92" spans="1:4">
      <c r="A92">
        <f t="shared" si="10"/>
        <v>82</v>
      </c>
      <c r="B92">
        <f t="shared" si="8"/>
        <v>0.25446696778181066</v>
      </c>
      <c r="C92">
        <f t="shared" si="9"/>
        <v>84.712332457735513</v>
      </c>
    </row>
    <row r="93" spans="1:4">
      <c r="A93">
        <f t="shared" si="10"/>
        <v>83</v>
      </c>
      <c r="B93">
        <f t="shared" si="8"/>
        <v>0.14380440199532551</v>
      </c>
      <c r="C93">
        <f t="shared" si="9"/>
        <v>77.025897487707908</v>
      </c>
    </row>
    <row r="94" spans="1:4">
      <c r="A94">
        <f t="shared" si="10"/>
        <v>84</v>
      </c>
      <c r="B94">
        <f>+P_0*(1-$A94/6.7/Z_0)^6.7</f>
        <v>1.4178832351546704</v>
      </c>
      <c r="C94">
        <f>+T_0*(1-$A94/6.7/Z_0)</f>
        <v>136.79653359792266</v>
      </c>
      <c r="D94">
        <v>6.7</v>
      </c>
    </row>
    <row r="95" spans="1:4">
      <c r="A95">
        <f t="shared" si="10"/>
        <v>85</v>
      </c>
      <c r="B95">
        <f t="shared" si="8"/>
        <v>3.7816212058556349E-2</v>
      </c>
      <c r="C95">
        <f t="shared" si="9"/>
        <v>61.653027547652677</v>
      </c>
    </row>
    <row r="96" spans="1:4">
      <c r="A96">
        <f t="shared" si="10"/>
        <v>86</v>
      </c>
      <c r="B96">
        <f t="shared" si="8"/>
        <v>1.7009892281595398E-2</v>
      </c>
      <c r="C96">
        <f t="shared" si="9"/>
        <v>53.966592577625057</v>
      </c>
    </row>
    <row r="97" spans="1:3">
      <c r="A97">
        <f t="shared" si="10"/>
        <v>87</v>
      </c>
      <c r="B97">
        <f>+P_0*(1-$A97/6.85/Z_0)^6.85</f>
        <v>0.75044815938894849</v>
      </c>
      <c r="C97">
        <f>+T_0*(1-$A97/6.85/Z_0)</f>
        <v>129.25999206504883</v>
      </c>
    </row>
  </sheetData>
  <hyperlinks>
    <hyperlink ref="G43" r:id="rId1"/>
    <hyperlink ref="G44" r:id="rId2"/>
    <hyperlink ref="H8" r:id="rId3"/>
  </hyperlinks>
  <pageMargins left="0.7" right="0.7" top="0.75" bottom="0.75" header="0.3" footer="0.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6"/>
  <sheetViews>
    <sheetView workbookViewId="0">
      <selection activeCell="D2" sqref="D2"/>
    </sheetView>
  </sheetViews>
  <sheetFormatPr defaultRowHeight="15"/>
  <cols>
    <col min="2" max="2" width="11.5703125" bestFit="1" customWidth="1"/>
    <col min="4" max="4" width="11.5703125" bestFit="1" customWidth="1"/>
  </cols>
  <sheetData>
    <row r="1" spans="1:9" ht="33" customHeight="1">
      <c r="A1" s="17" t="s">
        <v>21</v>
      </c>
      <c r="B1" s="17"/>
      <c r="C1" s="17"/>
      <c r="D1" s="12">
        <v>0.66</v>
      </c>
      <c r="G1" s="4" t="s">
        <v>29</v>
      </c>
    </row>
    <row r="2" spans="1:9" ht="30">
      <c r="A2" s="10" t="s">
        <v>10</v>
      </c>
      <c r="B2" s="12"/>
      <c r="C2" s="10" t="s">
        <v>24</v>
      </c>
      <c r="D2" s="12">
        <v>0.33300000000000002</v>
      </c>
    </row>
    <row r="3" spans="1:9" ht="18">
      <c r="A3" s="10" t="s">
        <v>22</v>
      </c>
      <c r="B3" s="12"/>
      <c r="C3" s="10" t="s">
        <v>25</v>
      </c>
      <c r="D3" s="12"/>
    </row>
    <row r="4" spans="1:9">
      <c r="A4" s="11" t="s">
        <v>23</v>
      </c>
      <c r="B4" s="11" t="s">
        <v>37</v>
      </c>
      <c r="C4" s="11" t="s">
        <v>26</v>
      </c>
      <c r="D4" s="11"/>
    </row>
    <row r="5" spans="1:9">
      <c r="A5" s="10">
        <v>175</v>
      </c>
      <c r="B5" s="12">
        <f>+($A5)^0.25</f>
        <v>3.6371357625641298</v>
      </c>
      <c r="C5" s="10">
        <v>0.70899999999999996</v>
      </c>
      <c r="D5" s="12">
        <f>+$D$1*($A5)^$D$2</f>
        <v>3.6853234087354076</v>
      </c>
      <c r="E5">
        <f>+$C5*44/8.314</f>
        <v>3.7522251623767136</v>
      </c>
    </row>
    <row r="6" spans="1:9">
      <c r="A6" s="10">
        <v>200</v>
      </c>
      <c r="B6" s="12">
        <f t="shared" ref="B6:B26" si="0">+($A6)^0.25</f>
        <v>3.7606030930863934</v>
      </c>
      <c r="C6" s="10">
        <v>0.73499999999999999</v>
      </c>
      <c r="D6" s="12">
        <f t="shared" ref="D6:D26" si="1">+$D$1*($A6)^$D$2</f>
        <v>3.8528927858130899</v>
      </c>
      <c r="E6">
        <f t="shared" ref="E6:E26" si="2">+$C6*44/8.314</f>
        <v>3.88982439259081</v>
      </c>
    </row>
    <row r="7" spans="1:9">
      <c r="A7" s="10">
        <v>225</v>
      </c>
      <c r="B7" s="12">
        <f t="shared" si="0"/>
        <v>3.872983346207417</v>
      </c>
      <c r="C7" s="10">
        <v>0.76300000000000001</v>
      </c>
      <c r="D7" s="12">
        <f t="shared" si="1"/>
        <v>4.007012655401808</v>
      </c>
      <c r="E7">
        <f t="shared" si="2"/>
        <v>4.0380081789752227</v>
      </c>
    </row>
    <row r="8" spans="1:9">
      <c r="A8" s="10">
        <v>250</v>
      </c>
      <c r="B8" s="12">
        <f t="shared" si="0"/>
        <v>3.9763536438352531</v>
      </c>
      <c r="C8" s="10">
        <v>0.79100000000000004</v>
      </c>
      <c r="D8" s="12">
        <f t="shared" si="1"/>
        <v>4.1500942369619356</v>
      </c>
      <c r="E8">
        <f t="shared" si="2"/>
        <v>4.1861919653596349</v>
      </c>
    </row>
    <row r="9" spans="1:9">
      <c r="A9" s="10">
        <v>275</v>
      </c>
      <c r="B9" s="12">
        <f t="shared" si="0"/>
        <v>4.0722381992924976</v>
      </c>
      <c r="C9" s="10">
        <v>0.81899999999999995</v>
      </c>
      <c r="D9" s="12">
        <f t="shared" si="1"/>
        <v>4.2839236554126003</v>
      </c>
      <c r="E9">
        <f t="shared" si="2"/>
        <v>4.3343757517440462</v>
      </c>
    </row>
    <row r="10" spans="1:9">
      <c r="A10" s="10">
        <v>300</v>
      </c>
      <c r="B10" s="12">
        <f t="shared" si="0"/>
        <v>4.1617914502878168</v>
      </c>
      <c r="C10" s="10">
        <v>0.84599999999999997</v>
      </c>
      <c r="D10" s="12">
        <f t="shared" si="1"/>
        <v>4.4098651911833375</v>
      </c>
      <c r="E10">
        <f t="shared" si="2"/>
        <v>4.4772672600433001</v>
      </c>
    </row>
    <row r="11" spans="1:9">
      <c r="A11" s="10">
        <v>325</v>
      </c>
      <c r="B11" s="12">
        <f t="shared" si="0"/>
        <v>4.2459105474938994</v>
      </c>
      <c r="C11" s="10">
        <v>0.871</v>
      </c>
      <c r="D11" s="12">
        <f t="shared" si="1"/>
        <v>4.528987215466536</v>
      </c>
      <c r="E11">
        <f t="shared" si="2"/>
        <v>4.6095742121722392</v>
      </c>
      <c r="G11">
        <v>1.28</v>
      </c>
      <c r="H11" t="s">
        <v>27</v>
      </c>
      <c r="I11">
        <f>+$G11/($G11-1)</f>
        <v>4.5714285714285712</v>
      </c>
    </row>
    <row r="12" spans="1:9">
      <c r="A12" s="10">
        <v>350</v>
      </c>
      <c r="B12" s="12">
        <f t="shared" si="0"/>
        <v>4.3253077270721105</v>
      </c>
      <c r="C12" s="10">
        <v>0.89500000000000002</v>
      </c>
      <c r="D12" s="12">
        <f t="shared" si="1"/>
        <v>4.642143851445061</v>
      </c>
      <c r="E12">
        <f t="shared" si="2"/>
        <v>4.7365888862160217</v>
      </c>
    </row>
    <row r="13" spans="1:9">
      <c r="A13" s="10">
        <v>375</v>
      </c>
      <c r="B13" s="12">
        <f t="shared" si="0"/>
        <v>4.4005586839669668</v>
      </c>
      <c r="C13" s="10">
        <v>0.91800000000000004</v>
      </c>
      <c r="D13" s="12">
        <f t="shared" si="1"/>
        <v>4.7500299471340766</v>
      </c>
      <c r="E13">
        <f t="shared" si="2"/>
        <v>4.8583112821746459</v>
      </c>
    </row>
    <row r="14" spans="1:9">
      <c r="A14" s="10">
        <v>400</v>
      </c>
      <c r="B14" s="12">
        <f t="shared" si="0"/>
        <v>4.4721359549995787</v>
      </c>
      <c r="C14" s="10">
        <v>0.93899999999999995</v>
      </c>
      <c r="D14" s="12">
        <f t="shared" si="1"/>
        <v>4.8532192625332211</v>
      </c>
      <c r="E14">
        <f t="shared" si="2"/>
        <v>4.9694491219629535</v>
      </c>
    </row>
    <row r="15" spans="1:9">
      <c r="A15" s="10">
        <v>450</v>
      </c>
      <c r="B15" s="12">
        <f t="shared" si="0"/>
        <v>4.6057793515969072</v>
      </c>
      <c r="C15" s="10">
        <v>0.97799999999999998</v>
      </c>
      <c r="D15" s="12">
        <f t="shared" si="1"/>
        <v>5.0473532707727546</v>
      </c>
      <c r="E15">
        <f t="shared" si="2"/>
        <v>5.1758479672840982</v>
      </c>
    </row>
    <row r="16" spans="1:9">
      <c r="A16" s="10">
        <v>500</v>
      </c>
      <c r="B16" s="12">
        <f t="shared" si="0"/>
        <v>4.7287080450158783</v>
      </c>
      <c r="C16" s="10">
        <v>1.014</v>
      </c>
      <c r="D16" s="12">
        <f t="shared" si="1"/>
        <v>5.2275831204841809</v>
      </c>
      <c r="E16">
        <f t="shared" si="2"/>
        <v>5.3663699783497716</v>
      </c>
    </row>
    <row r="17" spans="1:9">
      <c r="A17" s="10">
        <v>550</v>
      </c>
      <c r="B17" s="12">
        <f t="shared" si="0"/>
        <v>4.8427346405845055</v>
      </c>
      <c r="C17" s="10">
        <v>1.046</v>
      </c>
      <c r="D17" s="12">
        <f t="shared" si="1"/>
        <v>5.3961586681635607</v>
      </c>
      <c r="E17">
        <f t="shared" si="2"/>
        <v>5.5357228770748135</v>
      </c>
    </row>
    <row r="18" spans="1:9">
      <c r="A18" s="10">
        <v>600</v>
      </c>
      <c r="B18" s="12">
        <f t="shared" si="0"/>
        <v>4.9492320038397652</v>
      </c>
      <c r="C18" s="10">
        <v>1.075</v>
      </c>
      <c r="D18" s="12">
        <f t="shared" si="1"/>
        <v>5.5547984023410031</v>
      </c>
      <c r="E18">
        <f t="shared" si="2"/>
        <v>5.6891989415443822</v>
      </c>
    </row>
    <row r="19" spans="1:9">
      <c r="A19" s="10">
        <v>650</v>
      </c>
      <c r="B19" s="12">
        <f t="shared" si="0"/>
        <v>5.0492670327448446</v>
      </c>
      <c r="C19" s="10">
        <v>1.1020000000000001</v>
      </c>
      <c r="D19" s="12">
        <f t="shared" si="1"/>
        <v>5.7048480754001423</v>
      </c>
      <c r="E19">
        <f t="shared" si="2"/>
        <v>5.8320904498436379</v>
      </c>
    </row>
    <row r="20" spans="1:9">
      <c r="A20" s="10">
        <v>700</v>
      </c>
      <c r="B20" s="12">
        <f t="shared" si="0"/>
        <v>5.1436867236104007</v>
      </c>
      <c r="C20" s="10">
        <v>1.1259999999999999</v>
      </c>
      <c r="D20" s="12">
        <f t="shared" si="1"/>
        <v>5.8473835665086877</v>
      </c>
      <c r="E20">
        <f t="shared" si="2"/>
        <v>5.9591051238874186</v>
      </c>
      <c r="G20">
        <v>1.21</v>
      </c>
      <c r="H20" t="s">
        <v>28</v>
      </c>
      <c r="I20">
        <f>+$G20/($G20-1)</f>
        <v>5.7619047619047628</v>
      </c>
    </row>
    <row r="21" spans="1:9">
      <c r="A21" s="10">
        <v>750</v>
      </c>
      <c r="B21" s="12">
        <f t="shared" si="0"/>
        <v>5.2331756969605276</v>
      </c>
      <c r="C21" s="10">
        <v>1.1479999999999999</v>
      </c>
      <c r="D21" s="12">
        <f t="shared" si="1"/>
        <v>5.9832801270580438</v>
      </c>
      <c r="E21">
        <f t="shared" si="2"/>
        <v>6.0755352417608846</v>
      </c>
    </row>
    <row r="22" spans="1:9">
      <c r="A22" s="10">
        <v>800</v>
      </c>
      <c r="B22" s="12">
        <f t="shared" si="0"/>
        <v>5.3182958969449885</v>
      </c>
      <c r="C22" s="10">
        <v>1.1679999999999999</v>
      </c>
      <c r="D22" s="12">
        <f t="shared" si="1"/>
        <v>6.113260482345054</v>
      </c>
      <c r="E22">
        <f t="shared" si="2"/>
        <v>6.1813808034640356</v>
      </c>
    </row>
    <row r="23" spans="1:9">
      <c r="A23" s="10">
        <v>850</v>
      </c>
      <c r="B23" s="12">
        <f t="shared" si="0"/>
        <v>5.3995147443290223</v>
      </c>
      <c r="C23" s="10">
        <v>1.1870000000000001</v>
      </c>
      <c r="D23" s="12">
        <f t="shared" si="1"/>
        <v>6.2379291506394203</v>
      </c>
      <c r="E23">
        <f t="shared" si="2"/>
        <v>6.2819340870820302</v>
      </c>
    </row>
    <row r="24" spans="1:9">
      <c r="A24" s="10">
        <v>900</v>
      </c>
      <c r="B24" s="12">
        <f t="shared" si="0"/>
        <v>5.4772255750516612</v>
      </c>
      <c r="C24" s="10">
        <v>1.204</v>
      </c>
      <c r="D24" s="12">
        <f t="shared" si="1"/>
        <v>6.3577974992509292</v>
      </c>
      <c r="E24">
        <f t="shared" si="2"/>
        <v>6.371902814529709</v>
      </c>
    </row>
    <row r="25" spans="1:9">
      <c r="A25" s="10">
        <v>950</v>
      </c>
      <c r="B25" s="12">
        <f t="shared" si="0"/>
        <v>5.5517627844536808</v>
      </c>
      <c r="C25" s="10">
        <v>1.22</v>
      </c>
      <c r="D25" s="12">
        <f t="shared" si="1"/>
        <v>6.4733024084377222</v>
      </c>
      <c r="E25">
        <f t="shared" si="2"/>
        <v>6.4565792638922295</v>
      </c>
    </row>
    <row r="26" spans="1:9">
      <c r="A26" s="10">
        <v>1000</v>
      </c>
      <c r="B26" s="12">
        <f t="shared" si="0"/>
        <v>5.6234132519034903</v>
      </c>
      <c r="C26" s="10">
        <v>1.234</v>
      </c>
      <c r="D26" s="12">
        <f t="shared" si="1"/>
        <v>6.5848204212288524</v>
      </c>
      <c r="E26">
        <f t="shared" si="2"/>
        <v>6.530671157084436</v>
      </c>
    </row>
  </sheetData>
  <mergeCells count="1">
    <mergeCell ref="A1:C1"/>
  </mergeCells>
  <hyperlinks>
    <hyperlink ref="G1" r:id="rId1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09"/>
  <sheetViews>
    <sheetView tabSelected="1" workbookViewId="0">
      <selection activeCell="B4" sqref="B4"/>
    </sheetView>
  </sheetViews>
  <sheetFormatPr defaultRowHeight="15"/>
  <sheetData>
    <row r="1" spans="1:7">
      <c r="A1" s="13">
        <v>10</v>
      </c>
      <c r="B1" s="13">
        <v>1</v>
      </c>
      <c r="C1" s="13">
        <v>1</v>
      </c>
      <c r="D1" s="13">
        <v>1</v>
      </c>
      <c r="E1" s="13">
        <v>1</v>
      </c>
      <c r="G1" s="4" t="s">
        <v>30</v>
      </c>
    </row>
    <row r="2" spans="1:7">
      <c r="A2" s="13"/>
      <c r="B2" s="13">
        <v>77</v>
      </c>
      <c r="C2" s="13">
        <v>74</v>
      </c>
      <c r="D2" s="13">
        <v>166</v>
      </c>
      <c r="E2" s="13">
        <v>135</v>
      </c>
    </row>
    <row r="3" spans="1:7">
      <c r="A3" s="13"/>
      <c r="B3" s="13">
        <v>3.3</v>
      </c>
      <c r="C3" s="13"/>
      <c r="D3" s="13"/>
      <c r="E3" s="13"/>
      <c r="G3" s="14" t="s">
        <v>31</v>
      </c>
    </row>
    <row r="4" spans="1:7">
      <c r="A4" s="13"/>
      <c r="B4" s="13"/>
      <c r="C4" s="13"/>
      <c r="D4" s="13"/>
      <c r="E4" s="13"/>
      <c r="G4" s="15" t="s">
        <v>32</v>
      </c>
    </row>
    <row r="5" spans="1:7">
      <c r="A5" s="13"/>
      <c r="B5" s="13"/>
      <c r="C5" s="13"/>
      <c r="D5" s="13"/>
      <c r="E5" s="13"/>
    </row>
    <row r="6" spans="1:7">
      <c r="A6" s="13"/>
      <c r="B6" s="13"/>
      <c r="C6" s="13"/>
      <c r="D6" s="13"/>
      <c r="E6" s="13"/>
    </row>
    <row r="7" spans="1:7">
      <c r="A7" s="13"/>
      <c r="B7" s="13"/>
      <c r="C7" s="13"/>
      <c r="D7" s="13"/>
      <c r="E7" s="13"/>
    </row>
    <row r="8" spans="1:7">
      <c r="A8" s="13"/>
      <c r="B8" s="13"/>
      <c r="C8" s="13"/>
      <c r="D8" s="13"/>
      <c r="E8" s="13"/>
    </row>
    <row r="9" spans="1:7">
      <c r="A9" s="13"/>
      <c r="B9" s="13" t="s">
        <v>35</v>
      </c>
      <c r="C9" s="13" t="s">
        <v>36</v>
      </c>
      <c r="D9" s="13" t="s">
        <v>33</v>
      </c>
      <c r="E9" s="13" t="s">
        <v>34</v>
      </c>
    </row>
    <row r="10" spans="1:7">
      <c r="A10" s="13">
        <v>40</v>
      </c>
      <c r="B10" s="13">
        <f>+B$1*($A10/B$2)^$B$3</f>
        <v>0.11518039891077703</v>
      </c>
      <c r="C10" s="13">
        <f t="shared" ref="C10:E10" si="0">+C$1*($A10/C$2)^$B$3</f>
        <v>0.13132073241977255</v>
      </c>
      <c r="D10" s="13">
        <f t="shared" si="0"/>
        <v>9.1293799240082102E-3</v>
      </c>
      <c r="E10" s="13">
        <f t="shared" si="0"/>
        <v>1.8059117984186492E-2</v>
      </c>
    </row>
    <row r="11" spans="1:7">
      <c r="A11" s="13">
        <f>+$A10+$A$1</f>
        <v>50</v>
      </c>
      <c r="B11" s="13">
        <f t="shared" ref="B11:E36" si="1">+B$1*($A11/B$2)^$B$3</f>
        <v>0.24053685108630898</v>
      </c>
      <c r="C11" s="13">
        <f t="shared" si="1"/>
        <v>0.27424349765508843</v>
      </c>
      <c r="D11" s="13">
        <f t="shared" si="1"/>
        <v>1.906532986565334E-2</v>
      </c>
      <c r="E11" s="13">
        <f t="shared" si="1"/>
        <v>3.7713737878936164E-2</v>
      </c>
    </row>
    <row r="12" spans="1:7">
      <c r="A12" s="13">
        <f t="shared" ref="A12:A75" si="2">+$A11+$A$1</f>
        <v>60</v>
      </c>
      <c r="B12" s="13">
        <f t="shared" si="1"/>
        <v>0.43901537805422175</v>
      </c>
      <c r="C12" s="13">
        <f t="shared" si="1"/>
        <v>0.50053500018074182</v>
      </c>
      <c r="D12" s="13">
        <f t="shared" si="1"/>
        <v>3.4797050684325051E-2</v>
      </c>
      <c r="E12" s="13">
        <f t="shared" si="1"/>
        <v>6.883315723966997E-2</v>
      </c>
    </row>
    <row r="13" spans="1:7">
      <c r="A13" s="13">
        <f t="shared" si="2"/>
        <v>70</v>
      </c>
      <c r="B13" s="13">
        <f t="shared" si="1"/>
        <v>0.73013663336953272</v>
      </c>
      <c r="C13" s="13">
        <f t="shared" si="1"/>
        <v>0.83245134039575341</v>
      </c>
      <c r="D13" s="13">
        <f t="shared" si="1"/>
        <v>5.7871780142298775E-2</v>
      </c>
      <c r="E13" s="13">
        <f t="shared" si="1"/>
        <v>0.11447801649663653</v>
      </c>
    </row>
    <row r="14" spans="1:7">
      <c r="A14" s="13">
        <f t="shared" si="2"/>
        <v>80</v>
      </c>
      <c r="B14" s="13">
        <f t="shared" si="1"/>
        <v>1.1344296371667362</v>
      </c>
      <c r="C14" s="13">
        <f t="shared" si="1"/>
        <v>1.2933982885997244</v>
      </c>
      <c r="D14" s="13">
        <f t="shared" si="1"/>
        <v>8.9916680725967577E-2</v>
      </c>
      <c r="E14" s="13">
        <f t="shared" si="1"/>
        <v>0.17786705772934328</v>
      </c>
    </row>
    <row r="15" spans="1:7">
      <c r="A15" s="13">
        <f t="shared" si="2"/>
        <v>90</v>
      </c>
      <c r="B15" s="13">
        <f t="shared" si="1"/>
        <v>1.6733272674058921</v>
      </c>
      <c r="C15" s="13">
        <f t="shared" si="1"/>
        <v>1.9078121313326835</v>
      </c>
      <c r="D15" s="13">
        <f t="shared" si="1"/>
        <v>0.13263055611731789</v>
      </c>
      <c r="E15" s="13">
        <f t="shared" si="1"/>
        <v>0.26236073875423882</v>
      </c>
    </row>
    <row r="16" spans="1:7">
      <c r="A16" s="13">
        <f t="shared" si="2"/>
        <v>100</v>
      </c>
      <c r="B16" s="13">
        <f t="shared" si="1"/>
        <v>2.3690848033478984</v>
      </c>
      <c r="C16" s="13">
        <f t="shared" si="1"/>
        <v>2.7010668002738538</v>
      </c>
      <c r="D16" s="13">
        <f t="shared" si="1"/>
        <v>0.18777739482141673</v>
      </c>
      <c r="E16" s="13">
        <f t="shared" si="1"/>
        <v>0.37144846156805444</v>
      </c>
    </row>
    <row r="17" spans="1:5">
      <c r="A17" s="13">
        <f t="shared" si="2"/>
        <v>110</v>
      </c>
      <c r="B17" s="13">
        <f t="shared" si="1"/>
        <v>3.244714338485835</v>
      </c>
      <c r="C17" s="13">
        <f t="shared" si="1"/>
        <v>3.6993990943977253</v>
      </c>
      <c r="D17" s="13">
        <f t="shared" si="1"/>
        <v>0.25718117163199472</v>
      </c>
      <c r="E17" s="13">
        <f t="shared" si="1"/>
        <v>0.50873828896085393</v>
      </c>
    </row>
    <row r="18" spans="1:5">
      <c r="A18" s="13">
        <f t="shared" si="2"/>
        <v>120</v>
      </c>
      <c r="B18" s="13">
        <f t="shared" si="1"/>
        <v>4.3239306405116915</v>
      </c>
      <c r="C18" s="13">
        <f t="shared" si="1"/>
        <v>4.9298469532489353</v>
      </c>
      <c r="D18" s="13">
        <f t="shared" si="1"/>
        <v>0.34272155640709345</v>
      </c>
      <c r="E18" s="13">
        <f t="shared" si="1"/>
        <v>0.67794845590809472</v>
      </c>
    </row>
    <row r="19" spans="1:5">
      <c r="A19" s="13">
        <f t="shared" si="2"/>
        <v>130</v>
      </c>
      <c r="B19" s="13">
        <f t="shared" si="1"/>
        <v>5.6311055716183462</v>
      </c>
      <c r="C19" s="13">
        <f t="shared" si="1"/>
        <v>6.4201974901199277</v>
      </c>
      <c r="D19" s="13">
        <f t="shared" si="1"/>
        <v>0.44633030135037322</v>
      </c>
      <c r="E19" s="13">
        <f t="shared" si="1"/>
        <v>0.88290022313640903</v>
      </c>
    </row>
    <row r="20" spans="1:5">
      <c r="A20" s="13">
        <f t="shared" si="2"/>
        <v>140</v>
      </c>
      <c r="B20" s="13">
        <f t="shared" si="1"/>
        <v>7.1912290972109245</v>
      </c>
      <c r="C20" s="13">
        <f t="shared" si="1"/>
        <v>8.1989425368777518</v>
      </c>
      <c r="D20" s="13">
        <f t="shared" si="1"/>
        <v>0.56998815050013107</v>
      </c>
      <c r="E20" s="13">
        <f t="shared" si="1"/>
        <v>1.1275117636851295</v>
      </c>
    </row>
    <row r="21" spans="1:5">
      <c r="A21" s="13">
        <f t="shared" si="2"/>
        <v>150</v>
      </c>
      <c r="B21" s="13">
        <f t="shared" si="1"/>
        <v>9.0298754859319494</v>
      </c>
      <c r="C21" s="13">
        <f t="shared" si="1"/>
        <v>10.295240107568169</v>
      </c>
      <c r="D21" s="13">
        <f t="shared" si="1"/>
        <v>0.71572216069003114</v>
      </c>
      <c r="E21" s="13">
        <f t="shared" si="1"/>
        <v>1.4157928634131551</v>
      </c>
    </row>
    <row r="22" spans="1:5">
      <c r="A22" s="13">
        <f t="shared" si="2"/>
        <v>160</v>
      </c>
      <c r="B22" s="13">
        <f t="shared" si="1"/>
        <v>11.173173681045817</v>
      </c>
      <c r="C22" s="13">
        <f t="shared" si="1"/>
        <v>12.738880617915406</v>
      </c>
      <c r="D22" s="13">
        <f t="shared" si="1"/>
        <v>0.88560335313834793</v>
      </c>
      <c r="E22" s="13">
        <f t="shared" si="1"/>
        <v>1.7518402755326294</v>
      </c>
    </row>
    <row r="23" spans="1:5">
      <c r="A23" s="13">
        <f t="shared" si="2"/>
        <v>170</v>
      </c>
      <c r="B23" s="13">
        <f t="shared" si="1"/>
        <v>13.6477810796386</v>
      </c>
      <c r="C23" s="13">
        <f t="shared" si="1"/>
        <v>15.560256990177521</v>
      </c>
      <c r="D23" s="13">
        <f t="shared" si="1"/>
        <v>1.081744635146022</v>
      </c>
      <c r="E23" s="13">
        <f t="shared" si="1"/>
        <v>2.1398336094534969</v>
      </c>
    </row>
    <row r="24" spans="1:5">
      <c r="A24" s="13">
        <f t="shared" si="2"/>
        <v>180</v>
      </c>
      <c r="B24" s="13">
        <f t="shared" si="1"/>
        <v>16.480860135715833</v>
      </c>
      <c r="C24" s="13">
        <f t="shared" si="1"/>
        <v>18.790337977615124</v>
      </c>
      <c r="D24" s="13">
        <f t="shared" si="1"/>
        <v>1.3062989456213221</v>
      </c>
      <c r="E24" s="13">
        <f t="shared" si="1"/>
        <v>2.5840316623866091</v>
      </c>
    </row>
    <row r="25" spans="1:5">
      <c r="A25" s="13">
        <f t="shared" si="2"/>
        <v>190</v>
      </c>
      <c r="B25" s="13">
        <f t="shared" si="1"/>
        <v>19.700057332372975</v>
      </c>
      <c r="C25" s="13">
        <f t="shared" si="1"/>
        <v>22.460644190013024</v>
      </c>
      <c r="D25" s="13">
        <f t="shared" si="1"/>
        <v>1.5614575883809396</v>
      </c>
      <c r="E25" s="13">
        <f t="shared" si="1"/>
        <v>3.0887691223933924</v>
      </c>
    </row>
    <row r="26" spans="1:5">
      <c r="A26" s="13">
        <f t="shared" si="2"/>
        <v>200</v>
      </c>
      <c r="B26" s="13">
        <f t="shared" si="1"/>
        <v>23.333484163056834</v>
      </c>
      <c r="C26" s="13">
        <f t="shared" si="1"/>
        <v>26.603226409828668</v>
      </c>
      <c r="D26" s="13">
        <f t="shared" si="1"/>
        <v>1.8494487246947979</v>
      </c>
      <c r="E26" s="13">
        <f t="shared" si="1"/>
        <v>3.6584535864405927</v>
      </c>
    </row>
    <row r="27" spans="1:5">
      <c r="A27" s="13">
        <f t="shared" si="2"/>
        <v>210</v>
      </c>
      <c r="B27" s="13">
        <f t="shared" si="1"/>
        <v>27.409699832973729</v>
      </c>
      <c r="C27" s="13">
        <f t="shared" si="1"/>
        <v>31.250645869532885</v>
      </c>
      <c r="D27" s="13">
        <f t="shared" si="1"/>
        <v>2.1725360021723978</v>
      </c>
      <c r="E27" s="13">
        <f t="shared" si="1"/>
        <v>4.2975628481565744</v>
      </c>
    </row>
    <row r="28" spans="1:5">
      <c r="A28" s="13">
        <f t="shared" si="2"/>
        <v>220</v>
      </c>
      <c r="B28" s="13">
        <f t="shared" si="1"/>
        <v>31.95769544581584</v>
      </c>
      <c r="C28" s="13">
        <f t="shared" si="1"/>
        <v>36.435956222408024</v>
      </c>
      <c r="D28" s="13">
        <f t="shared" si="1"/>
        <v>2.5330173013778432</v>
      </c>
      <c r="E28" s="13">
        <f t="shared" si="1"/>
        <v>5.0106424184704554</v>
      </c>
    </row>
    <row r="29" spans="1:5">
      <c r="A29" s="13">
        <f t="shared" si="2"/>
        <v>230</v>
      </c>
      <c r="B29" s="13">
        <f t="shared" si="1"/>
        <v>37.006879482829667</v>
      </c>
      <c r="C29" s="13">
        <f t="shared" si="1"/>
        <v>42.192686986784949</v>
      </c>
      <c r="D29" s="13">
        <f t="shared" si="1"/>
        <v>2.9332235848779047</v>
      </c>
      <c r="E29" s="13">
        <f t="shared" si="1"/>
        <v>5.8023032488773572</v>
      </c>
    </row>
    <row r="30" spans="1:5">
      <c r="A30" s="13">
        <f t="shared" si="2"/>
        <v>240</v>
      </c>
      <c r="B30" s="13">
        <f t="shared" si="1"/>
        <v>42.587064414054993</v>
      </c>
      <c r="C30" s="13">
        <f t="shared" si="1"/>
        <v>48.554828281103084</v>
      </c>
      <c r="D30" s="13">
        <f t="shared" si="1"/>
        <v>3.3755178360277411</v>
      </c>
      <c r="E30" s="13">
        <f t="shared" si="1"/>
        <v>6.6772196322165049</v>
      </c>
    </row>
    <row r="31" spans="1:5">
      <c r="A31" s="13">
        <f t="shared" si="2"/>
        <v>250</v>
      </c>
      <c r="B31" s="13">
        <f t="shared" si="1"/>
        <v>48.728454307591399</v>
      </c>
      <c r="C31" s="13">
        <f t="shared" si="1"/>
        <v>55.556816696851882</v>
      </c>
      <c r="D31" s="13">
        <f t="shared" si="1"/>
        <v>3.8622940768618252</v>
      </c>
      <c r="E31" s="13">
        <f t="shared" si="1"/>
        <v>7.6401272599299483</v>
      </c>
    </row>
    <row r="32" spans="1:5">
      <c r="A32" s="13">
        <f t="shared" si="2"/>
        <v>260</v>
      </c>
      <c r="B32" s="13">
        <f t="shared" si="1"/>
        <v>55.461633323626884</v>
      </c>
      <c r="C32" s="13">
        <f t="shared" si="1"/>
        <v>63.233522180257651</v>
      </c>
      <c r="D32" s="13">
        <f t="shared" si="1"/>
        <v>4.3959764561125185</v>
      </c>
      <c r="E32" s="13">
        <f t="shared" si="1"/>
        <v>8.6958214180429589</v>
      </c>
    </row>
    <row r="33" spans="1:5">
      <c r="A33" s="13">
        <f t="shared" si="2"/>
        <v>270</v>
      </c>
      <c r="B33" s="13">
        <f t="shared" si="1"/>
        <v>62.817554996877604</v>
      </c>
      <c r="C33" s="13">
        <f t="shared" si="1"/>
        <v>71.620235812861438</v>
      </c>
      <c r="D33" s="13">
        <f t="shared" si="1"/>
        <v>4.9790183997193704</v>
      </c>
      <c r="E33" s="13">
        <f t="shared" si="1"/>
        <v>9.8491553067593287</v>
      </c>
    </row>
    <row r="34" spans="1:5">
      <c r="A34" s="13">
        <f t="shared" si="2"/>
        <v>280</v>
      </c>
      <c r="B34" s="13">
        <f t="shared" si="1"/>
        <v>70.827532224917093</v>
      </c>
      <c r="C34" s="13">
        <f t="shared" si="1"/>
        <v>80.752658396904351</v>
      </c>
      <c r="D34" s="13">
        <f t="shared" si="1"/>
        <v>5.6139018172883031</v>
      </c>
      <c r="E34" s="13">
        <f t="shared" si="1"/>
        <v>11.105038470732964</v>
      </c>
    </row>
    <row r="35" spans="1:5">
      <c r="A35" s="13">
        <f t="shared" si="2"/>
        <v>290</v>
      </c>
      <c r="B35" s="13">
        <f t="shared" si="1"/>
        <v>79.523227891273251</v>
      </c>
      <c r="C35" s="13">
        <f t="shared" si="1"/>
        <v>90.66688976442984</v>
      </c>
      <c r="D35" s="13">
        <f t="shared" si="1"/>
        <v>6.3031363588634957</v>
      </c>
      <c r="E35" s="13">
        <f t="shared" si="1"/>
        <v>12.46843532886464</v>
      </c>
    </row>
    <row r="36" spans="1:5">
      <c r="A36" s="13">
        <f t="shared" si="2"/>
        <v>300</v>
      </c>
      <c r="B36" s="13">
        <f t="shared" si="1"/>
        <v>88.936646061642634</v>
      </c>
      <c r="C36" s="13">
        <f t="shared" si="1"/>
        <v>101.39941873981651</v>
      </c>
      <c r="D36" s="13">
        <f t="shared" si="1"/>
        <v>7.0492587171254737</v>
      </c>
      <c r="E36" s="13">
        <f t="shared" si="1"/>
        <v>13.94436379395766</v>
      </c>
    </row>
    <row r="37" spans="1:5">
      <c r="A37" s="13">
        <f t="shared" si="2"/>
        <v>310</v>
      </c>
      <c r="B37" s="13"/>
      <c r="C37" s="13"/>
      <c r="D37" s="13"/>
      <c r="E37" s="13"/>
    </row>
    <row r="38" spans="1:5">
      <c r="A38" s="13">
        <f t="shared" si="2"/>
        <v>320</v>
      </c>
      <c r="B38" s="13"/>
      <c r="C38" s="13"/>
      <c r="D38" s="13"/>
      <c r="E38" s="13"/>
    </row>
    <row r="39" spans="1:5">
      <c r="A39" s="13">
        <f t="shared" si="2"/>
        <v>330</v>
      </c>
      <c r="B39" s="13"/>
      <c r="C39" s="13"/>
      <c r="D39" s="13"/>
      <c r="E39" s="13"/>
    </row>
    <row r="40" spans="1:5">
      <c r="A40" s="13">
        <f t="shared" si="2"/>
        <v>340</v>
      </c>
      <c r="B40" s="13"/>
      <c r="C40" s="13"/>
      <c r="D40" s="13"/>
      <c r="E40" s="13"/>
    </row>
    <row r="41" spans="1:5">
      <c r="A41" s="13">
        <f t="shared" si="2"/>
        <v>350</v>
      </c>
      <c r="B41" s="13"/>
      <c r="C41" s="13"/>
      <c r="D41" s="13"/>
      <c r="E41" s="13"/>
    </row>
    <row r="42" spans="1:5">
      <c r="A42" s="13">
        <f t="shared" si="2"/>
        <v>360</v>
      </c>
      <c r="B42" s="13"/>
      <c r="C42" s="13"/>
      <c r="D42" s="13"/>
      <c r="E42" s="13"/>
    </row>
    <row r="43" spans="1:5">
      <c r="A43" s="13">
        <f t="shared" si="2"/>
        <v>370</v>
      </c>
      <c r="B43" s="13"/>
      <c r="C43" s="13"/>
      <c r="D43" s="13"/>
      <c r="E43" s="13"/>
    </row>
    <row r="44" spans="1:5">
      <c r="A44" s="13">
        <f t="shared" si="2"/>
        <v>380</v>
      </c>
      <c r="B44" s="13"/>
      <c r="C44" s="13"/>
      <c r="D44" s="13"/>
      <c r="E44" s="13"/>
    </row>
    <row r="45" spans="1:5">
      <c r="A45" s="13">
        <f t="shared" si="2"/>
        <v>390</v>
      </c>
      <c r="B45" s="13"/>
      <c r="C45" s="13"/>
      <c r="D45" s="13"/>
      <c r="E45" s="13"/>
    </row>
    <row r="46" spans="1:5">
      <c r="A46" s="13">
        <f t="shared" si="2"/>
        <v>400</v>
      </c>
      <c r="B46" s="13"/>
      <c r="C46" s="13"/>
      <c r="D46" s="13"/>
      <c r="E46" s="13"/>
    </row>
    <row r="47" spans="1:5">
      <c r="A47" s="13">
        <f t="shared" si="2"/>
        <v>410</v>
      </c>
      <c r="B47" s="13"/>
      <c r="C47" s="13"/>
      <c r="D47" s="13"/>
      <c r="E47" s="13"/>
    </row>
    <row r="48" spans="1:5">
      <c r="A48" s="13">
        <f t="shared" si="2"/>
        <v>420</v>
      </c>
      <c r="B48" s="13"/>
      <c r="C48" s="13"/>
      <c r="D48" s="13"/>
      <c r="E48" s="13"/>
    </row>
    <row r="49" spans="1:5">
      <c r="A49" s="13">
        <f t="shared" si="2"/>
        <v>430</v>
      </c>
      <c r="B49" s="13"/>
      <c r="C49" s="13"/>
      <c r="D49" s="13"/>
      <c r="E49" s="13"/>
    </row>
    <row r="50" spans="1:5">
      <c r="A50" s="13">
        <f t="shared" si="2"/>
        <v>440</v>
      </c>
      <c r="B50" s="13"/>
      <c r="C50" s="13"/>
      <c r="D50" s="13"/>
      <c r="E50" s="13"/>
    </row>
    <row r="51" spans="1:5">
      <c r="A51" s="13">
        <f t="shared" si="2"/>
        <v>450</v>
      </c>
      <c r="B51" s="13"/>
      <c r="C51" s="13"/>
      <c r="D51" s="13"/>
      <c r="E51" s="13"/>
    </row>
    <row r="52" spans="1:5">
      <c r="A52" s="13">
        <f t="shared" si="2"/>
        <v>460</v>
      </c>
      <c r="B52" s="13"/>
      <c r="C52" s="13"/>
      <c r="D52" s="13"/>
      <c r="E52" s="13"/>
    </row>
    <row r="53" spans="1:5">
      <c r="A53" s="13">
        <f t="shared" si="2"/>
        <v>470</v>
      </c>
      <c r="B53" s="13"/>
      <c r="C53" s="13"/>
      <c r="D53" s="13"/>
      <c r="E53" s="13"/>
    </row>
    <row r="54" spans="1:5">
      <c r="A54" s="13">
        <f t="shared" si="2"/>
        <v>480</v>
      </c>
      <c r="B54" s="13"/>
      <c r="C54" s="13"/>
      <c r="D54" s="13"/>
      <c r="E54" s="13"/>
    </row>
    <row r="55" spans="1:5">
      <c r="A55" s="13">
        <f t="shared" si="2"/>
        <v>490</v>
      </c>
      <c r="B55" s="13"/>
      <c r="C55" s="13"/>
      <c r="D55" s="13"/>
      <c r="E55" s="13"/>
    </row>
    <row r="56" spans="1:5">
      <c r="A56" s="13">
        <f t="shared" si="2"/>
        <v>500</v>
      </c>
      <c r="B56" s="13"/>
      <c r="C56" s="13"/>
      <c r="D56" s="13"/>
      <c r="E56" s="13"/>
    </row>
    <row r="57" spans="1:5">
      <c r="A57" s="13">
        <f t="shared" si="2"/>
        <v>510</v>
      </c>
      <c r="B57" s="13"/>
      <c r="C57" s="13"/>
      <c r="D57" s="13"/>
      <c r="E57" s="13"/>
    </row>
    <row r="58" spans="1:5">
      <c r="A58" s="13">
        <f t="shared" si="2"/>
        <v>520</v>
      </c>
      <c r="B58" s="13"/>
      <c r="C58" s="13"/>
      <c r="D58" s="13"/>
      <c r="E58" s="13"/>
    </row>
    <row r="59" spans="1:5">
      <c r="A59" s="13">
        <f t="shared" si="2"/>
        <v>530</v>
      </c>
      <c r="B59" s="13"/>
      <c r="C59" s="13"/>
      <c r="D59" s="13"/>
      <c r="E59" s="13"/>
    </row>
    <row r="60" spans="1:5">
      <c r="A60" s="13">
        <f t="shared" si="2"/>
        <v>540</v>
      </c>
      <c r="B60" s="13"/>
      <c r="C60" s="13"/>
      <c r="D60" s="13"/>
      <c r="E60" s="13"/>
    </row>
    <row r="61" spans="1:5">
      <c r="A61" s="13">
        <f t="shared" si="2"/>
        <v>550</v>
      </c>
      <c r="B61" s="13"/>
      <c r="C61" s="13"/>
      <c r="D61" s="13"/>
      <c r="E61" s="13"/>
    </row>
    <row r="62" spans="1:5">
      <c r="A62" s="13">
        <f t="shared" si="2"/>
        <v>560</v>
      </c>
      <c r="B62" s="13"/>
      <c r="C62" s="13"/>
      <c r="D62" s="13"/>
      <c r="E62" s="13"/>
    </row>
    <row r="63" spans="1:5">
      <c r="A63" s="13">
        <f t="shared" si="2"/>
        <v>570</v>
      </c>
      <c r="B63" s="13"/>
      <c r="C63" s="13"/>
      <c r="D63" s="13"/>
      <c r="E63" s="13"/>
    </row>
    <row r="64" spans="1:5">
      <c r="A64" s="13">
        <f t="shared" si="2"/>
        <v>580</v>
      </c>
      <c r="B64" s="13"/>
      <c r="C64" s="13"/>
      <c r="D64" s="13"/>
      <c r="E64" s="13"/>
    </row>
    <row r="65" spans="1:5">
      <c r="A65" s="13">
        <f t="shared" si="2"/>
        <v>590</v>
      </c>
      <c r="B65" s="13"/>
      <c r="C65" s="13"/>
      <c r="D65" s="13"/>
      <c r="E65" s="13"/>
    </row>
    <row r="66" spans="1:5">
      <c r="A66" s="13">
        <f t="shared" si="2"/>
        <v>600</v>
      </c>
      <c r="B66" s="13"/>
      <c r="C66" s="13"/>
      <c r="D66" s="13"/>
      <c r="E66" s="13"/>
    </row>
    <row r="67" spans="1:5">
      <c r="A67" s="13">
        <f t="shared" si="2"/>
        <v>610</v>
      </c>
      <c r="B67" s="13"/>
      <c r="C67" s="13"/>
      <c r="D67" s="13"/>
      <c r="E67" s="13"/>
    </row>
    <row r="68" spans="1:5">
      <c r="A68" s="13">
        <f t="shared" si="2"/>
        <v>620</v>
      </c>
      <c r="B68" s="13"/>
      <c r="C68" s="13"/>
      <c r="D68" s="13"/>
      <c r="E68" s="13"/>
    </row>
    <row r="69" spans="1:5">
      <c r="A69" s="13">
        <f t="shared" si="2"/>
        <v>630</v>
      </c>
      <c r="B69" s="13"/>
      <c r="C69" s="13"/>
      <c r="D69" s="13"/>
      <c r="E69" s="13"/>
    </row>
    <row r="70" spans="1:5">
      <c r="A70" s="13">
        <f t="shared" si="2"/>
        <v>640</v>
      </c>
      <c r="B70" s="13"/>
      <c r="C70" s="13"/>
      <c r="D70" s="13"/>
      <c r="E70" s="13"/>
    </row>
    <row r="71" spans="1:5">
      <c r="A71" s="13">
        <f t="shared" si="2"/>
        <v>650</v>
      </c>
      <c r="B71" s="13"/>
      <c r="C71" s="13"/>
      <c r="D71" s="13"/>
      <c r="E71" s="13"/>
    </row>
    <row r="72" spans="1:5">
      <c r="A72" s="13">
        <f t="shared" si="2"/>
        <v>660</v>
      </c>
      <c r="B72" s="13"/>
      <c r="C72" s="13"/>
      <c r="D72" s="13"/>
      <c r="E72" s="13"/>
    </row>
    <row r="73" spans="1:5">
      <c r="A73" s="13">
        <f t="shared" si="2"/>
        <v>670</v>
      </c>
      <c r="B73" s="13"/>
      <c r="C73" s="13"/>
      <c r="D73" s="13"/>
      <c r="E73" s="13"/>
    </row>
    <row r="74" spans="1:5">
      <c r="A74" s="13">
        <f t="shared" si="2"/>
        <v>680</v>
      </c>
      <c r="B74" s="13"/>
      <c r="C74" s="13"/>
      <c r="D74" s="13"/>
      <c r="E74" s="13"/>
    </row>
    <row r="75" spans="1:5">
      <c r="A75" s="13">
        <f t="shared" si="2"/>
        <v>690</v>
      </c>
      <c r="B75" s="13"/>
      <c r="C75" s="13"/>
      <c r="D75" s="13"/>
      <c r="E75" s="13"/>
    </row>
    <row r="76" spans="1:5">
      <c r="A76" s="13">
        <f t="shared" ref="A76:A109" si="3">+$A75+$A$1</f>
        <v>700</v>
      </c>
      <c r="B76" s="13"/>
      <c r="C76" s="13"/>
      <c r="D76" s="13"/>
      <c r="E76" s="13"/>
    </row>
    <row r="77" spans="1:5">
      <c r="A77" s="13">
        <f t="shared" si="3"/>
        <v>710</v>
      </c>
      <c r="B77" s="13"/>
      <c r="C77" s="13"/>
      <c r="D77" s="13"/>
      <c r="E77" s="13"/>
    </row>
    <row r="78" spans="1:5">
      <c r="A78" s="13">
        <f t="shared" si="3"/>
        <v>720</v>
      </c>
      <c r="B78" s="13"/>
      <c r="C78" s="13"/>
      <c r="D78" s="13"/>
      <c r="E78" s="13"/>
    </row>
    <row r="79" spans="1:5">
      <c r="A79" s="13">
        <f t="shared" si="3"/>
        <v>730</v>
      </c>
      <c r="B79" s="13"/>
      <c r="C79" s="13"/>
      <c r="D79" s="13"/>
      <c r="E79" s="13"/>
    </row>
    <row r="80" spans="1:5">
      <c r="A80" s="13">
        <f t="shared" si="3"/>
        <v>740</v>
      </c>
      <c r="B80" s="13"/>
      <c r="C80" s="13"/>
      <c r="D80" s="13"/>
      <c r="E80" s="13"/>
    </row>
    <row r="81" spans="1:5">
      <c r="A81" s="13">
        <f t="shared" si="3"/>
        <v>750</v>
      </c>
      <c r="B81" s="13"/>
      <c r="C81" s="13"/>
      <c r="D81" s="13"/>
      <c r="E81" s="13"/>
    </row>
    <row r="82" spans="1:5">
      <c r="A82" s="13">
        <f t="shared" si="3"/>
        <v>760</v>
      </c>
      <c r="B82" s="13"/>
      <c r="C82" s="13"/>
      <c r="D82" s="13"/>
      <c r="E82" s="13"/>
    </row>
    <row r="83" spans="1:5">
      <c r="A83" s="13">
        <f t="shared" si="3"/>
        <v>770</v>
      </c>
      <c r="B83" s="13"/>
      <c r="C83" s="13"/>
      <c r="D83" s="13"/>
      <c r="E83" s="13"/>
    </row>
    <row r="84" spans="1:5">
      <c r="A84" s="13">
        <f t="shared" si="3"/>
        <v>780</v>
      </c>
      <c r="B84" s="13"/>
      <c r="C84" s="13"/>
      <c r="D84" s="13"/>
      <c r="E84" s="13"/>
    </row>
    <row r="85" spans="1:5">
      <c r="A85" s="13">
        <f t="shared" si="3"/>
        <v>790</v>
      </c>
      <c r="B85" s="13"/>
      <c r="C85" s="13"/>
      <c r="D85" s="13"/>
      <c r="E85" s="13"/>
    </row>
    <row r="86" spans="1:5">
      <c r="A86" s="13">
        <f t="shared" si="3"/>
        <v>800</v>
      </c>
      <c r="B86" s="13"/>
      <c r="C86" s="13"/>
      <c r="D86" s="13"/>
      <c r="E86" s="13"/>
    </row>
    <row r="87" spans="1:5">
      <c r="A87" s="13">
        <f t="shared" si="3"/>
        <v>810</v>
      </c>
      <c r="B87" s="13"/>
      <c r="C87" s="13"/>
      <c r="D87" s="13"/>
      <c r="E87" s="13"/>
    </row>
    <row r="88" spans="1:5">
      <c r="A88" s="13">
        <f t="shared" si="3"/>
        <v>820</v>
      </c>
      <c r="B88" s="13"/>
      <c r="C88" s="13"/>
      <c r="D88" s="13"/>
      <c r="E88" s="13"/>
    </row>
    <row r="89" spans="1:5">
      <c r="A89" s="13">
        <f t="shared" si="3"/>
        <v>830</v>
      </c>
      <c r="B89" s="13"/>
      <c r="C89" s="13"/>
      <c r="D89" s="13"/>
      <c r="E89" s="13"/>
    </row>
    <row r="90" spans="1:5">
      <c r="A90" s="13">
        <f t="shared" si="3"/>
        <v>840</v>
      </c>
      <c r="B90" s="13"/>
      <c r="C90" s="13"/>
      <c r="D90" s="13"/>
      <c r="E90" s="13"/>
    </row>
    <row r="91" spans="1:5">
      <c r="A91" s="13">
        <f t="shared" si="3"/>
        <v>850</v>
      </c>
      <c r="B91" s="13"/>
      <c r="C91" s="13"/>
      <c r="D91" s="13"/>
      <c r="E91" s="13"/>
    </row>
    <row r="92" spans="1:5">
      <c r="A92" s="13">
        <f t="shared" si="3"/>
        <v>860</v>
      </c>
      <c r="B92" s="13"/>
      <c r="C92" s="13"/>
      <c r="D92" s="13"/>
      <c r="E92" s="13"/>
    </row>
    <row r="93" spans="1:5">
      <c r="A93" s="13">
        <f t="shared" si="3"/>
        <v>870</v>
      </c>
      <c r="B93" s="13"/>
      <c r="C93" s="13"/>
      <c r="D93" s="13"/>
      <c r="E93" s="13"/>
    </row>
    <row r="94" spans="1:5">
      <c r="A94" s="13">
        <f t="shared" si="3"/>
        <v>880</v>
      </c>
      <c r="B94" s="13"/>
      <c r="C94" s="13"/>
      <c r="D94" s="13"/>
      <c r="E94" s="13"/>
    </row>
    <row r="95" spans="1:5">
      <c r="A95" s="13">
        <f t="shared" si="3"/>
        <v>890</v>
      </c>
      <c r="B95" s="13"/>
      <c r="C95" s="13"/>
      <c r="D95" s="13"/>
      <c r="E95" s="13"/>
    </row>
    <row r="96" spans="1:5">
      <c r="A96" s="13">
        <f t="shared" si="3"/>
        <v>900</v>
      </c>
      <c r="B96" s="13"/>
      <c r="C96" s="13"/>
      <c r="D96" s="13"/>
      <c r="E96" s="13"/>
    </row>
    <row r="97" spans="1:5">
      <c r="A97" s="13">
        <f t="shared" si="3"/>
        <v>910</v>
      </c>
      <c r="B97" s="13"/>
      <c r="C97" s="13"/>
      <c r="D97" s="13"/>
      <c r="E97" s="13"/>
    </row>
    <row r="98" spans="1:5">
      <c r="A98" s="13">
        <f t="shared" si="3"/>
        <v>920</v>
      </c>
      <c r="B98" s="13"/>
      <c r="C98" s="13"/>
      <c r="D98" s="13"/>
      <c r="E98" s="13"/>
    </row>
    <row r="99" spans="1:5">
      <c r="A99" s="13">
        <f t="shared" si="3"/>
        <v>930</v>
      </c>
      <c r="B99" s="13"/>
      <c r="C99" s="13"/>
      <c r="D99" s="13"/>
      <c r="E99" s="13"/>
    </row>
    <row r="100" spans="1:5">
      <c r="A100" s="13">
        <f t="shared" si="3"/>
        <v>940</v>
      </c>
      <c r="B100" s="13"/>
      <c r="C100" s="13"/>
      <c r="D100" s="13"/>
      <c r="E100" s="13"/>
    </row>
    <row r="101" spans="1:5">
      <c r="A101" s="13">
        <f t="shared" si="3"/>
        <v>950</v>
      </c>
      <c r="B101" s="13"/>
      <c r="C101" s="13"/>
      <c r="D101" s="13"/>
      <c r="E101" s="13"/>
    </row>
    <row r="102" spans="1:5">
      <c r="A102" s="13">
        <f t="shared" si="3"/>
        <v>960</v>
      </c>
      <c r="B102" s="13"/>
      <c r="C102" s="13"/>
      <c r="D102" s="13"/>
      <c r="E102" s="13"/>
    </row>
    <row r="103" spans="1:5">
      <c r="A103" s="13">
        <f t="shared" si="3"/>
        <v>970</v>
      </c>
      <c r="B103" s="13"/>
      <c r="C103" s="13"/>
      <c r="D103" s="13"/>
      <c r="E103" s="13"/>
    </row>
    <row r="104" spans="1:5">
      <c r="A104" s="13">
        <f t="shared" si="3"/>
        <v>980</v>
      </c>
      <c r="B104" s="13"/>
      <c r="C104" s="13"/>
      <c r="D104" s="13"/>
      <c r="E104" s="13"/>
    </row>
    <row r="105" spans="1:5">
      <c r="A105" s="13">
        <f t="shared" si="3"/>
        <v>990</v>
      </c>
      <c r="B105" s="13"/>
      <c r="C105" s="13"/>
      <c r="D105" s="13"/>
      <c r="E105" s="13"/>
    </row>
    <row r="106" spans="1:5">
      <c r="A106" s="13">
        <f t="shared" si="3"/>
        <v>1000</v>
      </c>
      <c r="B106" s="13"/>
      <c r="C106" s="13"/>
      <c r="D106" s="13"/>
      <c r="E106" s="13"/>
    </row>
    <row r="107" spans="1:5">
      <c r="A107" s="13">
        <f t="shared" si="3"/>
        <v>1010</v>
      </c>
      <c r="B107" s="13"/>
      <c r="C107" s="13"/>
      <c r="D107" s="13"/>
      <c r="E107" s="13"/>
    </row>
    <row r="108" spans="1:5">
      <c r="A108" s="13">
        <f t="shared" si="3"/>
        <v>1020</v>
      </c>
      <c r="B108" s="13"/>
      <c r="C108" s="13"/>
      <c r="D108" s="13"/>
      <c r="E108" s="13"/>
    </row>
    <row r="109" spans="1:5">
      <c r="A109" s="13">
        <f t="shared" si="3"/>
        <v>1030</v>
      </c>
      <c r="B109" s="13"/>
      <c r="C109" s="13"/>
      <c r="D109" s="13"/>
      <c r="E109" s="13"/>
    </row>
  </sheetData>
  <hyperlinks>
    <hyperlink ref="G1" r:id="rId1"/>
  </hyperlink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2:G30"/>
  <sheetViews>
    <sheetView workbookViewId="0">
      <selection activeCell="C10" sqref="C10"/>
    </sheetView>
  </sheetViews>
  <sheetFormatPr defaultRowHeight="15"/>
  <sheetData>
    <row r="2" spans="1:7">
      <c r="C2">
        <f>1/3</f>
        <v>0.33333333333333331</v>
      </c>
      <c r="G2" s="4" t="s">
        <v>19</v>
      </c>
    </row>
    <row r="3" spans="1:7">
      <c r="C3">
        <v>735</v>
      </c>
    </row>
    <row r="4" spans="1:7">
      <c r="C4">
        <v>92100</v>
      </c>
    </row>
    <row r="9" spans="1:7">
      <c r="A9" t="s">
        <v>38</v>
      </c>
      <c r="B9" t="s">
        <v>40</v>
      </c>
      <c r="C9" t="s">
        <v>39</v>
      </c>
    </row>
    <row r="10" spans="1:7">
      <c r="A10">
        <v>735</v>
      </c>
      <c r="B10">
        <v>92100</v>
      </c>
      <c r="C10">
        <f>+$C$4*($A10/$C$3)^($D10)</f>
        <v>92100</v>
      </c>
      <c r="D10">
        <v>6</v>
      </c>
      <c r="E10">
        <f>+$A10^$C$2</f>
        <v>9.0246239257250842</v>
      </c>
    </row>
    <row r="11" spans="1:7">
      <c r="A11">
        <v>697</v>
      </c>
      <c r="B11">
        <v>66650</v>
      </c>
      <c r="C11">
        <f t="shared" ref="C11:C27" si="0">+$C$4*($A11/$C$3)^($D11)</f>
        <v>66978.0137496963</v>
      </c>
      <c r="D11">
        <v>6</v>
      </c>
      <c r="E11">
        <f t="shared" ref="E11:E27" si="1">+$A11^$C$2</f>
        <v>8.8663375107864564</v>
      </c>
    </row>
    <row r="12" spans="1:7">
      <c r="A12">
        <v>658</v>
      </c>
      <c r="B12">
        <v>47390</v>
      </c>
      <c r="C12">
        <f t="shared" si="0"/>
        <v>47412.292756675888</v>
      </c>
      <c r="D12">
        <v>6</v>
      </c>
      <c r="E12">
        <f t="shared" si="1"/>
        <v>8.697784259800093</v>
      </c>
    </row>
    <row r="13" spans="1:7">
      <c r="A13">
        <v>621</v>
      </c>
      <c r="B13">
        <v>33040</v>
      </c>
      <c r="C13">
        <f t="shared" si="0"/>
        <v>33503.115670139712</v>
      </c>
      <c r="D13">
        <v>6</v>
      </c>
      <c r="E13">
        <f t="shared" si="1"/>
        <v>8.5316009395546963</v>
      </c>
    </row>
    <row r="14" spans="1:7">
      <c r="A14">
        <v>579</v>
      </c>
      <c r="B14">
        <v>22520</v>
      </c>
      <c r="C14">
        <f t="shared" si="0"/>
        <v>22009.337902582072</v>
      </c>
      <c r="D14">
        <v>6</v>
      </c>
      <c r="E14">
        <f t="shared" si="1"/>
        <v>8.3347553128986487</v>
      </c>
    </row>
    <row r="15" spans="1:7">
      <c r="A15">
        <v>537</v>
      </c>
      <c r="B15">
        <v>14930</v>
      </c>
      <c r="C15">
        <f t="shared" si="0"/>
        <v>14008.166977109917</v>
      </c>
      <c r="D15">
        <v>6</v>
      </c>
      <c r="E15">
        <f t="shared" si="1"/>
        <v>8.1281447392953581</v>
      </c>
    </row>
    <row r="16" spans="1:7">
      <c r="A16">
        <v>495</v>
      </c>
      <c r="B16">
        <v>9851</v>
      </c>
      <c r="C16">
        <f t="shared" si="0"/>
        <v>8593.4348603290709</v>
      </c>
      <c r="D16">
        <v>6</v>
      </c>
      <c r="E16">
        <f t="shared" si="1"/>
        <v>7.9104598934652017</v>
      </c>
    </row>
    <row r="17" spans="1:5">
      <c r="A17">
        <v>453</v>
      </c>
      <c r="B17">
        <v>5917</v>
      </c>
      <c r="C17">
        <f t="shared" si="0"/>
        <v>5048.0634822477186</v>
      </c>
      <c r="D17">
        <v>6</v>
      </c>
      <c r="E17">
        <f t="shared" si="1"/>
        <v>7.6800857195293561</v>
      </c>
    </row>
    <row r="18" spans="1:5">
      <c r="A18">
        <v>416</v>
      </c>
      <c r="B18">
        <v>3501</v>
      </c>
      <c r="C18">
        <f t="shared" si="0"/>
        <v>3027.5796639786668</v>
      </c>
      <c r="D18">
        <v>6</v>
      </c>
      <c r="E18">
        <f t="shared" si="1"/>
        <v>7.4650223136344946</v>
      </c>
    </row>
    <row r="19" spans="1:5">
      <c r="A19">
        <v>383</v>
      </c>
      <c r="B19">
        <v>1979</v>
      </c>
      <c r="C19">
        <f t="shared" si="0"/>
        <v>1843.8612588494204</v>
      </c>
      <c r="D19">
        <v>6</v>
      </c>
      <c r="E19">
        <f t="shared" si="1"/>
        <v>7.2621674399379668</v>
      </c>
    </row>
    <row r="20" spans="1:5">
      <c r="A20">
        <v>348</v>
      </c>
      <c r="B20">
        <v>1066</v>
      </c>
      <c r="C20">
        <f t="shared" si="0"/>
        <v>1037.5548369640851</v>
      </c>
      <c r="D20">
        <v>6</v>
      </c>
      <c r="E20">
        <f t="shared" si="1"/>
        <v>7.0338496559976624</v>
      </c>
    </row>
    <row r="21" spans="1:5">
      <c r="A21">
        <v>300</v>
      </c>
      <c r="B21">
        <v>531.4</v>
      </c>
      <c r="C21">
        <f t="shared" si="0"/>
        <v>425.85634662462206</v>
      </c>
      <c r="D21">
        <v>6</v>
      </c>
      <c r="E21">
        <f t="shared" si="1"/>
        <v>6.6943295008216941</v>
      </c>
    </row>
    <row r="22" spans="1:5">
      <c r="A22">
        <v>263</v>
      </c>
      <c r="B22">
        <v>235.7</v>
      </c>
      <c r="C22">
        <f t="shared" si="0"/>
        <v>193.31701768620579</v>
      </c>
      <c r="D22">
        <v>6</v>
      </c>
      <c r="E22">
        <f t="shared" si="1"/>
        <v>6.4069585771855584</v>
      </c>
    </row>
    <row r="23" spans="1:5">
      <c r="A23">
        <v>243</v>
      </c>
      <c r="B23">
        <v>97.65</v>
      </c>
      <c r="C23">
        <f t="shared" si="0"/>
        <v>120.27441058468411</v>
      </c>
      <c r="D23">
        <v>6</v>
      </c>
      <c r="E23">
        <f t="shared" si="1"/>
        <v>6.2402514691557114</v>
      </c>
    </row>
    <row r="24" spans="1:5">
      <c r="A24">
        <v>230</v>
      </c>
      <c r="B24">
        <v>36.900000000000006</v>
      </c>
      <c r="C24">
        <f t="shared" si="0"/>
        <v>86.477397611616013</v>
      </c>
      <c r="D24">
        <v>6</v>
      </c>
      <c r="E24">
        <f t="shared" si="1"/>
        <v>6.1269256752284171</v>
      </c>
    </row>
    <row r="25" spans="1:5">
      <c r="A25">
        <v>197</v>
      </c>
      <c r="B25">
        <v>4.7600000000000007</v>
      </c>
      <c r="C25">
        <f t="shared" si="0"/>
        <v>34.145458808807497</v>
      </c>
      <c r="D25">
        <v>6</v>
      </c>
      <c r="E25">
        <f t="shared" si="1"/>
        <v>5.8186478674969599</v>
      </c>
    </row>
    <row r="26" spans="1:5">
      <c r="A26">
        <v>169</v>
      </c>
      <c r="B26">
        <v>0.37359999999999999</v>
      </c>
      <c r="C26">
        <f t="shared" si="0"/>
        <v>13.609927865033221</v>
      </c>
      <c r="D26">
        <v>6</v>
      </c>
      <c r="E26">
        <f t="shared" si="1"/>
        <v>5.5287748136788712</v>
      </c>
    </row>
    <row r="27" spans="1:5">
      <c r="A27">
        <v>161</v>
      </c>
      <c r="B27">
        <v>2.6599999999999999E-2</v>
      </c>
      <c r="C27">
        <f t="shared" si="0"/>
        <v>10.17397935160901</v>
      </c>
      <c r="D27">
        <v>6</v>
      </c>
      <c r="E27">
        <f t="shared" si="1"/>
        <v>5.4401218254147974</v>
      </c>
    </row>
    <row r="30" spans="1:5">
      <c r="C30">
        <f>273-78</f>
        <v>195</v>
      </c>
    </row>
  </sheetData>
  <hyperlinks>
    <hyperlink ref="G2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14</vt:i4>
      </vt:variant>
    </vt:vector>
  </HeadingPairs>
  <TitlesOfParts>
    <vt:vector size="23" baseType="lpstr">
      <vt:lpstr>Mars English</vt:lpstr>
      <vt:lpstr>At</vt:lpstr>
      <vt:lpstr>Iso_s</vt:lpstr>
      <vt:lpstr>Mars Metric</vt:lpstr>
      <vt:lpstr>Venus_1.5</vt:lpstr>
      <vt:lpstr>Venus_Pressure (2)</vt:lpstr>
      <vt:lpstr>specific heat</vt:lpstr>
      <vt:lpstr>bigPlanets</vt:lpstr>
      <vt:lpstr>venusWiki</vt:lpstr>
      <vt:lpstr>'Venus_Pressure (2)'!Gravity</vt:lpstr>
      <vt:lpstr>Gravity</vt:lpstr>
      <vt:lpstr>'Venus_Pressure (2)'!MW</vt:lpstr>
      <vt:lpstr>MW</vt:lpstr>
      <vt:lpstr>'Venus_Pressure (2)'!n</vt:lpstr>
      <vt:lpstr>n</vt:lpstr>
      <vt:lpstr>'Venus_Pressure (2)'!P_0</vt:lpstr>
      <vt:lpstr>P_0</vt:lpstr>
      <vt:lpstr>'Venus_Pressure (2)'!R_gas</vt:lpstr>
      <vt:lpstr>R_gas</vt:lpstr>
      <vt:lpstr>'Venus_Pressure (2)'!T_0</vt:lpstr>
      <vt:lpstr>T_0</vt:lpstr>
      <vt:lpstr>'Venus_Pressure (2)'!Z_0</vt:lpstr>
      <vt:lpstr>Z_0</vt:lpstr>
    </vt:vector>
  </TitlesOfParts>
  <Company>Customer Solutions BAE Systems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pukitepa</dc:creator>
  <cp:lastModifiedBy>pukitepa</cp:lastModifiedBy>
  <dcterms:created xsi:type="dcterms:W3CDTF">2013-04-22T15:23:31Z</dcterms:created>
  <dcterms:modified xsi:type="dcterms:W3CDTF">2013-04-25T22:06:32Z</dcterms:modified>
</cp:coreProperties>
</file>