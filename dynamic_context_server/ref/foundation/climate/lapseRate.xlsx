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17100" windowHeight="14445"/>
  </bookViews>
  <sheets>
    <sheet name="Sheet1" sheetId="1" r:id="rId1"/>
  </sheets>
  <definedNames>
    <definedName name="alpha">Sheet1!$B$1</definedName>
    <definedName name="poly">Sheet1!$B$1</definedName>
    <definedName name="R_">Sheet1!$B$2</definedName>
  </definedNames>
  <calcPr calcId="125725"/>
</workbook>
</file>

<file path=xl/calcChain.xml><?xml version="1.0" encoding="utf-8"?>
<calcChain xmlns="http://schemas.openxmlformats.org/spreadsheetml/2006/main">
  <c r="B7" i="1"/>
  <c r="B6"/>
  <c r="B5"/>
  <c r="B4"/>
  <c r="B1"/>
  <c r="E7"/>
</calcChain>
</file>

<file path=xl/sharedStrings.xml><?xml version="1.0" encoding="utf-8"?>
<sst xmlns="http://schemas.openxmlformats.org/spreadsheetml/2006/main" count="9" uniqueCount="9">
  <si>
    <t>Object</t>
  </si>
  <si>
    <t>Sun</t>
  </si>
  <si>
    <t>Earth</t>
  </si>
  <si>
    <t>Venus</t>
  </si>
  <si>
    <t>Mars</t>
  </si>
  <si>
    <t>&lt;MW&gt;</t>
  </si>
  <si>
    <t>g</t>
  </si>
  <si>
    <t>Theory</t>
  </si>
  <si>
    <t>Observed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</si>
</sst>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550129297474334"/>
          <c:y val="6.0659813356663747E-2"/>
          <c:w val="0.73851393351649697"/>
          <c:h val="0.79095290172061827"/>
        </c:manualLayout>
      </c:layout>
      <c:barChart>
        <c:barDir val="col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Theory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cat>
            <c:strRef>
              <c:f>Sheet1!$A$4:$A$7</c:f>
              <c:strCache>
                <c:ptCount val="4"/>
                <c:pt idx="0">
                  <c:v>Earth</c:v>
                </c:pt>
                <c:pt idx="1">
                  <c:v>Venus</c:v>
                </c:pt>
                <c:pt idx="2">
                  <c:v>Mars</c:v>
                </c:pt>
                <c:pt idx="3">
                  <c:v>Sun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6.5065188734616903</c:v>
                </c:pt>
                <c:pt idx="1">
                  <c:v>8.8272900592849783</c:v>
                </c:pt>
                <c:pt idx="2">
                  <c:v>3.7033331821312077</c:v>
                </c:pt>
                <c:pt idx="3">
                  <c:v>16.00724966082614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Observed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Lbls>
            <c:showVal val="1"/>
          </c:dLbls>
          <c:cat>
            <c:strRef>
              <c:f>Sheet1!$A$4:$A$7</c:f>
              <c:strCache>
                <c:ptCount val="4"/>
                <c:pt idx="0">
                  <c:v>Earth</c:v>
                </c:pt>
                <c:pt idx="1">
                  <c:v>Venus</c:v>
                </c:pt>
                <c:pt idx="2">
                  <c:v>Mars</c:v>
                </c:pt>
                <c:pt idx="3">
                  <c:v>Sun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4"/>
                <c:pt idx="0">
                  <c:v>6.5</c:v>
                </c:pt>
                <c:pt idx="1">
                  <c:v>8.5</c:v>
                </c:pt>
                <c:pt idx="2">
                  <c:v>3.7</c:v>
                </c:pt>
                <c:pt idx="3">
                  <c:v>16</c:v>
                </c:pt>
              </c:numCache>
            </c:numRef>
          </c:val>
        </c:ser>
        <c:axId val="96163328"/>
        <c:axId val="96165248"/>
      </c:barChart>
      <c:catAx>
        <c:axId val="96163328"/>
        <c:scaling>
          <c:orientation val="minMax"/>
        </c:scaling>
        <c:axPos val="b"/>
        <c:tickLblPos val="nextTo"/>
        <c:crossAx val="96165248"/>
        <c:crosses val="autoZero"/>
        <c:auto val="1"/>
        <c:lblAlgn val="ctr"/>
        <c:lblOffset val="100"/>
      </c:catAx>
      <c:valAx>
        <c:axId val="96165248"/>
        <c:scaling>
          <c:orientation val="minMax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Lapse Rate (K/km)</a:t>
                </a:r>
              </a:p>
            </c:rich>
          </c:tx>
          <c:layout>
            <c:manualLayout>
              <c:xMode val="edge"/>
              <c:yMode val="edge"/>
              <c:x val="2.5005336533375399E-2"/>
              <c:y val="0.21523330417031206"/>
            </c:manualLayout>
          </c:layout>
        </c:title>
        <c:numFmt formatCode="General" sourceLinked="1"/>
        <c:tickLblPos val="nextTo"/>
        <c:crossAx val="9616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0893305812501592"/>
          <c:y val="8.2949475065616798E-2"/>
          <c:w val="0.58241418851769744"/>
          <c:h val="0.20523913677456984"/>
        </c:manualLayout>
      </c:layout>
    </c:legend>
    <c:plotVisOnly val="1"/>
  </c:chart>
  <c:spPr>
    <a:gradFill flip="none" rotWithShape="1">
      <a:gsLst>
        <a:gs pos="0">
          <a:srgbClr val="5E9EFF"/>
        </a:gs>
        <a:gs pos="39999">
          <a:srgbClr val="85C2FF"/>
        </a:gs>
        <a:gs pos="70000">
          <a:srgbClr val="C4D6EB"/>
        </a:gs>
        <a:gs pos="100000">
          <a:srgbClr val="FFEBFA"/>
        </a:gs>
      </a:gsLst>
      <a:lin ang="5400000" scaled="1"/>
      <a:tileRect/>
    </a:gradFill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8</xdr:row>
      <xdr:rowOff>95250</xdr:rowOff>
    </xdr:from>
    <xdr:to>
      <xdr:col>4</xdr:col>
      <xdr:colOff>381000</xdr:colOff>
      <xdr:row>22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zoomScale="140" zoomScaleNormal="140" workbookViewId="0">
      <selection activeCell="A3" sqref="A3:E7"/>
    </sheetView>
  </sheetViews>
  <sheetFormatPr defaultRowHeight="15"/>
  <cols>
    <col min="2" max="2" width="15.42578125" customWidth="1"/>
    <col min="3" max="3" width="11.85546875" customWidth="1"/>
  </cols>
  <sheetData>
    <row r="1" spans="1:5">
      <c r="B1">
        <f>4/21</f>
        <v>0.19047619047619047</v>
      </c>
    </row>
    <row r="2" spans="1:5">
      <c r="B2">
        <v>8314.32</v>
      </c>
    </row>
    <row r="3" spans="1:5">
      <c r="A3" t="s">
        <v>0</v>
      </c>
      <c r="B3" t="s">
        <v>7</v>
      </c>
      <c r="C3" t="s">
        <v>8</v>
      </c>
      <c r="D3" t="s">
        <v>5</v>
      </c>
      <c r="E3" t="s">
        <v>6</v>
      </c>
    </row>
    <row r="4" spans="1:5">
      <c r="A4" t="s">
        <v>2</v>
      </c>
      <c r="B4">
        <f>+$D4*$E4*poly/R_*1000</f>
        <v>6.5065188734616903</v>
      </c>
      <c r="C4">
        <v>6.5</v>
      </c>
      <c r="D4">
        <v>28.96</v>
      </c>
      <c r="E4">
        <v>9.8070000000000004</v>
      </c>
    </row>
    <row r="5" spans="1:5">
      <c r="A5" t="s">
        <v>3</v>
      </c>
      <c r="B5">
        <f>+$D5*$E5*poly/R_*1000</f>
        <v>8.8272900592849783</v>
      </c>
      <c r="C5">
        <v>8.5</v>
      </c>
      <c r="D5">
        <v>43.44</v>
      </c>
      <c r="E5">
        <v>8.8699999999999992</v>
      </c>
    </row>
    <row r="6" spans="1:5">
      <c r="A6" t="s">
        <v>4</v>
      </c>
      <c r="B6">
        <f>+$D6*$E6*poly/R_*1000</f>
        <v>3.7033331821312077</v>
      </c>
      <c r="C6">
        <v>3.7</v>
      </c>
      <c r="D6">
        <v>43.56</v>
      </c>
      <c r="E6">
        <v>3.7109999999999999</v>
      </c>
    </row>
    <row r="7" spans="1:5">
      <c r="A7" t="s">
        <v>1</v>
      </c>
      <c r="B7">
        <f>+$D7*$E7*poly/R_*1000</f>
        <v>16.00724966082614</v>
      </c>
      <c r="C7">
        <v>16</v>
      </c>
      <c r="D7">
        <v>2.5499999999999998</v>
      </c>
      <c r="E7">
        <f>27.94*$E$4</f>
        <v>274.00758000000002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alpha</vt:lpstr>
      <vt:lpstr>poly</vt:lpstr>
      <vt:lpstr>R_</vt:lpstr>
    </vt:vector>
  </TitlesOfParts>
  <Company>Customer Solutions BAE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pukitepa</cp:lastModifiedBy>
  <dcterms:created xsi:type="dcterms:W3CDTF">2013-04-03T21:58:44Z</dcterms:created>
  <dcterms:modified xsi:type="dcterms:W3CDTF">2013-04-05T17:08:50Z</dcterms:modified>
</cp:coreProperties>
</file>