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50" windowWidth="17100" windowHeight="6990"/>
  </bookViews>
  <sheets>
    <sheet name="hansen" sheetId="1" r:id="rId1"/>
    <sheet name="atlanta" sheetId="2" r:id="rId2"/>
  </sheets>
  <calcPr calcId="145621"/>
</workbook>
</file>

<file path=xl/calcChain.xml><?xml version="1.0" encoding="utf-8"?>
<calcChain xmlns="http://schemas.openxmlformats.org/spreadsheetml/2006/main">
  <c r="D2" i="1" l="1"/>
  <c r="E2" i="1"/>
  <c r="C123" i="2" l="1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1" i="2"/>
  <c r="C5" i="2" l="1"/>
  <c r="D108" i="2" s="1"/>
  <c r="B11" i="2"/>
  <c r="B10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B123" i="2" s="1"/>
  <c r="A11" i="2"/>
  <c r="C4" i="1"/>
  <c r="B5" i="1"/>
  <c r="E5" i="1" s="1"/>
  <c r="B4" i="1"/>
  <c r="A5" i="1"/>
  <c r="A6" i="1" s="1"/>
  <c r="D24" i="2" l="1"/>
  <c r="D56" i="2"/>
  <c r="D16" i="2"/>
  <c r="D32" i="2"/>
  <c r="D48" i="2"/>
  <c r="D64" i="2"/>
  <c r="D80" i="2"/>
  <c r="D96" i="2"/>
  <c r="D20" i="2"/>
  <c r="D36" i="2"/>
  <c r="D52" i="2"/>
  <c r="D68" i="2"/>
  <c r="D84" i="2"/>
  <c r="D100" i="2"/>
  <c r="D40" i="2"/>
  <c r="D72" i="2"/>
  <c r="D88" i="2"/>
  <c r="D104" i="2"/>
  <c r="D12" i="2"/>
  <c r="D28" i="2"/>
  <c r="D44" i="2"/>
  <c r="D60" i="2"/>
  <c r="D76" i="2"/>
  <c r="D92" i="2"/>
  <c r="D17" i="2"/>
  <c r="D25" i="2"/>
  <c r="D33" i="2"/>
  <c r="D41" i="2"/>
  <c r="D49" i="2"/>
  <c r="D57" i="2"/>
  <c r="D61" i="2"/>
  <c r="D73" i="2"/>
  <c r="D81" i="2"/>
  <c r="D89" i="2"/>
  <c r="D97" i="2"/>
  <c r="D109" i="2"/>
  <c r="D10" i="2"/>
  <c r="D14" i="2"/>
  <c r="D18" i="2"/>
  <c r="D22" i="2"/>
  <c r="D26" i="2"/>
  <c r="D30" i="2"/>
  <c r="D34" i="2"/>
  <c r="D38" i="2"/>
  <c r="D42" i="2"/>
  <c r="D46" i="2"/>
  <c r="D50" i="2"/>
  <c r="D54" i="2"/>
  <c r="D58" i="2"/>
  <c r="D62" i="2"/>
  <c r="D66" i="2"/>
  <c r="D70" i="2"/>
  <c r="D74" i="2"/>
  <c r="D78" i="2"/>
  <c r="D82" i="2"/>
  <c r="D86" i="2"/>
  <c r="D90" i="2"/>
  <c r="D94" i="2"/>
  <c r="D98" i="2"/>
  <c r="D102" i="2"/>
  <c r="D106" i="2"/>
  <c r="D110" i="2"/>
  <c r="D114" i="2"/>
  <c r="D118" i="2"/>
  <c r="D122" i="2"/>
  <c r="D112" i="2"/>
  <c r="D116" i="2"/>
  <c r="D120" i="2"/>
  <c r="D13" i="2"/>
  <c r="D21" i="2"/>
  <c r="D29" i="2"/>
  <c r="D37" i="2"/>
  <c r="D45" i="2"/>
  <c r="D53" i="2"/>
  <c r="D65" i="2"/>
  <c r="D69" i="2"/>
  <c r="D77" i="2"/>
  <c r="D85" i="2"/>
  <c r="D93" i="2"/>
  <c r="D101" i="2"/>
  <c r="D105" i="2"/>
  <c r="D113" i="2"/>
  <c r="D117" i="2"/>
  <c r="D121" i="2"/>
  <c r="D11" i="2"/>
  <c r="D15" i="2"/>
  <c r="D19" i="2"/>
  <c r="D23" i="2"/>
  <c r="D27" i="2"/>
  <c r="D31" i="2"/>
  <c r="D35" i="2"/>
  <c r="D39" i="2"/>
  <c r="D43" i="2"/>
  <c r="D47" i="2"/>
  <c r="D51" i="2"/>
  <c r="D55" i="2"/>
  <c r="D59" i="2"/>
  <c r="D63" i="2"/>
  <c r="D67" i="2"/>
  <c r="D71" i="2"/>
  <c r="D75" i="2"/>
  <c r="D79" i="2"/>
  <c r="D83" i="2"/>
  <c r="D87" i="2"/>
  <c r="D91" i="2"/>
  <c r="D95" i="2"/>
  <c r="D99" i="2"/>
  <c r="D103" i="2"/>
  <c r="D107" i="2"/>
  <c r="D111" i="2"/>
  <c r="D115" i="2"/>
  <c r="D119" i="2"/>
  <c r="D123" i="2"/>
  <c r="B19" i="2"/>
  <c r="B64" i="2"/>
  <c r="B20" i="2"/>
  <c r="B36" i="2"/>
  <c r="B52" i="2"/>
  <c r="B16" i="2"/>
  <c r="B22" i="2"/>
  <c r="B30" i="2"/>
  <c r="B38" i="2"/>
  <c r="B46" i="2"/>
  <c r="B56" i="2"/>
  <c r="B72" i="2"/>
  <c r="B14" i="2"/>
  <c r="B26" i="2"/>
  <c r="B34" i="2"/>
  <c r="B42" i="2"/>
  <c r="B50" i="2"/>
  <c r="B15" i="2"/>
  <c r="B28" i="2"/>
  <c r="B44" i="2"/>
  <c r="B68" i="2"/>
  <c r="B12" i="2"/>
  <c r="B18" i="2"/>
  <c r="B24" i="2"/>
  <c r="B32" i="2"/>
  <c r="B40" i="2"/>
  <c r="B48" i="2"/>
  <c r="B60" i="2"/>
  <c r="B76" i="2"/>
  <c r="B13" i="2"/>
  <c r="B17" i="2"/>
  <c r="B21" i="2"/>
  <c r="B25" i="2"/>
  <c r="B29" i="2"/>
  <c r="B33" i="2"/>
  <c r="B37" i="2"/>
  <c r="B41" i="2"/>
  <c r="B45" i="2"/>
  <c r="B49" i="2"/>
  <c r="B53" i="2"/>
  <c r="B57" i="2"/>
  <c r="B61" i="2"/>
  <c r="B65" i="2"/>
  <c r="B69" i="2"/>
  <c r="B73" i="2"/>
  <c r="B77" i="2"/>
  <c r="B81" i="2"/>
  <c r="B85" i="2"/>
  <c r="B89" i="2"/>
  <c r="B93" i="2"/>
  <c r="B97" i="2"/>
  <c r="B101" i="2"/>
  <c r="B105" i="2"/>
  <c r="B109" i="2"/>
  <c r="B113" i="2"/>
  <c r="B117" i="2"/>
  <c r="B121" i="2"/>
  <c r="B80" i="2"/>
  <c r="B84" i="2"/>
  <c r="B88" i="2"/>
  <c r="B92" i="2"/>
  <c r="B96" i="2"/>
  <c r="B100" i="2"/>
  <c r="B104" i="2"/>
  <c r="B108" i="2"/>
  <c r="B112" i="2"/>
  <c r="B116" i="2"/>
  <c r="B120" i="2"/>
  <c r="B54" i="2"/>
  <c r="B58" i="2"/>
  <c r="B62" i="2"/>
  <c r="B66" i="2"/>
  <c r="B70" i="2"/>
  <c r="B74" i="2"/>
  <c r="B78" i="2"/>
  <c r="B82" i="2"/>
  <c r="B86" i="2"/>
  <c r="B90" i="2"/>
  <c r="B94" i="2"/>
  <c r="B98" i="2"/>
  <c r="B102" i="2"/>
  <c r="B106" i="2"/>
  <c r="B110" i="2"/>
  <c r="B114" i="2"/>
  <c r="B118" i="2"/>
  <c r="B122" i="2"/>
  <c r="B23" i="2"/>
  <c r="B27" i="2"/>
  <c r="B31" i="2"/>
  <c r="B35" i="2"/>
  <c r="B39" i="2"/>
  <c r="B43" i="2"/>
  <c r="B47" i="2"/>
  <c r="B51" i="2"/>
  <c r="B55" i="2"/>
  <c r="B59" i="2"/>
  <c r="B63" i="2"/>
  <c r="B67" i="2"/>
  <c r="B71" i="2"/>
  <c r="B75" i="2"/>
  <c r="B79" i="2"/>
  <c r="B83" i="2"/>
  <c r="B87" i="2"/>
  <c r="B91" i="2"/>
  <c r="B95" i="2"/>
  <c r="B99" i="2"/>
  <c r="B103" i="2"/>
  <c r="B107" i="2"/>
  <c r="B111" i="2"/>
  <c r="B115" i="2"/>
  <c r="B119" i="2"/>
  <c r="A7" i="1"/>
  <c r="C6" i="1"/>
  <c r="B6" i="1"/>
  <c r="E4" i="1"/>
  <c r="D4" i="1"/>
  <c r="D5" i="1"/>
  <c r="C5" i="1"/>
  <c r="E6" i="1" l="1"/>
  <c r="D6" i="1"/>
  <c r="A8" i="1"/>
  <c r="C7" i="1"/>
  <c r="B7" i="1"/>
  <c r="A9" i="1" l="1"/>
  <c r="C8" i="1"/>
  <c r="B8" i="1"/>
  <c r="E7" i="1"/>
  <c r="D7" i="1"/>
  <c r="E8" i="1" l="1"/>
  <c r="D8" i="1"/>
  <c r="A10" i="1"/>
  <c r="B9" i="1"/>
  <c r="C9" i="1"/>
  <c r="D9" i="1" l="1"/>
  <c r="E9" i="1"/>
  <c r="A11" i="1"/>
  <c r="C10" i="1"/>
  <c r="B10" i="1"/>
  <c r="A12" i="1" l="1"/>
  <c r="C11" i="1"/>
  <c r="B11" i="1"/>
  <c r="E10" i="1"/>
  <c r="D10" i="1"/>
  <c r="E11" i="1" l="1"/>
  <c r="D11" i="1"/>
  <c r="A13" i="1"/>
  <c r="C12" i="1"/>
  <c r="B12" i="1"/>
  <c r="A14" i="1" l="1"/>
  <c r="C13" i="1"/>
  <c r="B13" i="1"/>
  <c r="E12" i="1"/>
  <c r="D12" i="1"/>
  <c r="D13" i="1" l="1"/>
  <c r="E13" i="1"/>
  <c r="A15" i="1"/>
  <c r="C14" i="1"/>
  <c r="B14" i="1"/>
  <c r="A16" i="1" l="1"/>
  <c r="C15" i="1"/>
  <c r="B15" i="1"/>
  <c r="D14" i="1"/>
  <c r="E14" i="1"/>
  <c r="E15" i="1" l="1"/>
  <c r="D15" i="1"/>
  <c r="A17" i="1"/>
  <c r="C16" i="1"/>
  <c r="B16" i="1"/>
  <c r="A18" i="1" l="1"/>
  <c r="B17" i="1"/>
  <c r="C17" i="1"/>
  <c r="E16" i="1"/>
  <c r="D16" i="1"/>
  <c r="E17" i="1" l="1"/>
  <c r="D17" i="1"/>
  <c r="A19" i="1"/>
  <c r="C18" i="1"/>
  <c r="B18" i="1"/>
  <c r="A20" i="1" l="1"/>
  <c r="C19" i="1"/>
  <c r="B19" i="1"/>
  <c r="E18" i="1"/>
  <c r="D18" i="1"/>
  <c r="E19" i="1" l="1"/>
  <c r="D19" i="1"/>
  <c r="A21" i="1"/>
  <c r="C20" i="1"/>
  <c r="B20" i="1"/>
  <c r="E20" i="1" l="1"/>
  <c r="D20" i="1"/>
  <c r="A22" i="1"/>
  <c r="C21" i="1"/>
  <c r="B21" i="1"/>
  <c r="A23" i="1" l="1"/>
  <c r="C22" i="1"/>
  <c r="B22" i="1"/>
  <c r="E21" i="1"/>
  <c r="D21" i="1"/>
  <c r="E22" i="1" l="1"/>
  <c r="D22" i="1"/>
  <c r="A24" i="1"/>
  <c r="C23" i="1"/>
  <c r="B23" i="1"/>
  <c r="A25" i="1" l="1"/>
  <c r="C24" i="1"/>
  <c r="B24" i="1"/>
  <c r="E23" i="1"/>
  <c r="D23" i="1"/>
  <c r="E24" i="1" l="1"/>
  <c r="D24" i="1"/>
  <c r="A26" i="1"/>
  <c r="C25" i="1"/>
  <c r="B25" i="1"/>
  <c r="D25" i="1" l="1"/>
  <c r="E25" i="1"/>
  <c r="A27" i="1"/>
  <c r="C26" i="1"/>
  <c r="B26" i="1"/>
  <c r="A28" i="1" l="1"/>
  <c r="C27" i="1"/>
  <c r="B27" i="1"/>
  <c r="E26" i="1"/>
  <c r="D26" i="1"/>
  <c r="E27" i="1" l="1"/>
  <c r="D27" i="1"/>
  <c r="A29" i="1"/>
  <c r="C28" i="1"/>
  <c r="B28" i="1"/>
  <c r="A30" i="1" l="1"/>
  <c r="C29" i="1"/>
  <c r="B29" i="1"/>
  <c r="E28" i="1"/>
  <c r="D28" i="1"/>
  <c r="D29" i="1" l="1"/>
  <c r="E29" i="1"/>
  <c r="A31" i="1"/>
  <c r="C30" i="1"/>
  <c r="B30" i="1"/>
  <c r="A32" i="1" l="1"/>
  <c r="C31" i="1"/>
  <c r="B31" i="1"/>
  <c r="D30" i="1"/>
  <c r="E30" i="1"/>
  <c r="E31" i="1" l="1"/>
  <c r="D31" i="1"/>
  <c r="A33" i="1"/>
  <c r="C32" i="1"/>
  <c r="B32" i="1"/>
  <c r="A34" i="1" l="1"/>
  <c r="B33" i="1"/>
  <c r="C33" i="1"/>
  <c r="E32" i="1"/>
  <c r="D32" i="1"/>
  <c r="E33" i="1" l="1"/>
  <c r="D33" i="1"/>
  <c r="A35" i="1"/>
  <c r="C34" i="1"/>
  <c r="B34" i="1"/>
  <c r="A36" i="1" l="1"/>
  <c r="C35" i="1"/>
  <c r="B35" i="1"/>
  <c r="E34" i="1"/>
  <c r="D34" i="1"/>
  <c r="E35" i="1" l="1"/>
  <c r="D35" i="1"/>
  <c r="A37" i="1"/>
  <c r="C36" i="1"/>
  <c r="B36" i="1"/>
  <c r="A38" i="1" l="1"/>
  <c r="B37" i="1"/>
  <c r="C37" i="1"/>
  <c r="E36" i="1"/>
  <c r="D36" i="1"/>
  <c r="E37" i="1" l="1"/>
  <c r="D37" i="1"/>
  <c r="A39" i="1"/>
  <c r="C38" i="1"/>
  <c r="B38" i="1"/>
  <c r="A40" i="1" l="1"/>
  <c r="C39" i="1"/>
  <c r="B39" i="1"/>
  <c r="E38" i="1"/>
  <c r="D38" i="1"/>
  <c r="E39" i="1" l="1"/>
  <c r="D39" i="1"/>
  <c r="A41" i="1"/>
  <c r="C40" i="1"/>
  <c r="B40" i="1"/>
  <c r="A42" i="1" l="1"/>
  <c r="C41" i="1"/>
  <c r="B41" i="1"/>
  <c r="E40" i="1"/>
  <c r="D40" i="1"/>
  <c r="D41" i="1" l="1"/>
  <c r="E41" i="1"/>
  <c r="A43" i="1"/>
  <c r="C42" i="1"/>
  <c r="B42" i="1"/>
  <c r="A44" i="1" l="1"/>
  <c r="C43" i="1"/>
  <c r="B43" i="1"/>
  <c r="E42" i="1"/>
  <c r="D42" i="1"/>
  <c r="E43" i="1" l="1"/>
  <c r="D43" i="1"/>
  <c r="A45" i="1"/>
  <c r="C44" i="1"/>
  <c r="B44" i="1"/>
  <c r="A46" i="1" l="1"/>
  <c r="C45" i="1"/>
  <c r="B45" i="1"/>
  <c r="E44" i="1"/>
  <c r="D44" i="1"/>
  <c r="D45" i="1" l="1"/>
  <c r="E45" i="1"/>
  <c r="A47" i="1"/>
  <c r="C46" i="1"/>
  <c r="B46" i="1"/>
  <c r="A48" i="1" l="1"/>
  <c r="C47" i="1"/>
  <c r="B47" i="1"/>
  <c r="D46" i="1"/>
  <c r="E46" i="1"/>
  <c r="E47" i="1" l="1"/>
  <c r="D47" i="1"/>
  <c r="A49" i="1"/>
  <c r="C48" i="1"/>
  <c r="B48" i="1"/>
  <c r="A50" i="1" l="1"/>
  <c r="B49" i="1"/>
  <c r="C49" i="1"/>
  <c r="E48" i="1"/>
  <c r="D48" i="1"/>
  <c r="E49" i="1" l="1"/>
  <c r="D49" i="1"/>
  <c r="A51" i="1"/>
  <c r="C50" i="1"/>
  <c r="B50" i="1"/>
  <c r="A52" i="1" l="1"/>
  <c r="C51" i="1"/>
  <c r="B51" i="1"/>
  <c r="E50" i="1"/>
  <c r="D50" i="1"/>
  <c r="E51" i="1" l="1"/>
  <c r="D51" i="1"/>
  <c r="A53" i="1"/>
  <c r="C52" i="1"/>
  <c r="B52" i="1"/>
  <c r="A54" i="1" l="1"/>
  <c r="B53" i="1"/>
  <c r="C53" i="1"/>
  <c r="E52" i="1"/>
  <c r="D52" i="1"/>
  <c r="E53" i="1" l="1"/>
  <c r="D53" i="1"/>
  <c r="A55" i="1"/>
  <c r="C54" i="1"/>
  <c r="B54" i="1"/>
  <c r="A56" i="1" l="1"/>
  <c r="C55" i="1"/>
  <c r="B55" i="1"/>
  <c r="E54" i="1"/>
  <c r="D54" i="1"/>
  <c r="E55" i="1" l="1"/>
  <c r="D55" i="1"/>
  <c r="A57" i="1"/>
  <c r="C56" i="1"/>
  <c r="B56" i="1"/>
  <c r="A58" i="1" l="1"/>
  <c r="C57" i="1"/>
  <c r="B57" i="1"/>
  <c r="E56" i="1"/>
  <c r="D56" i="1"/>
  <c r="D57" i="1" l="1"/>
  <c r="E57" i="1"/>
  <c r="A59" i="1"/>
  <c r="C58" i="1"/>
  <c r="B58" i="1"/>
  <c r="A60" i="1" l="1"/>
  <c r="C59" i="1"/>
  <c r="B59" i="1"/>
  <c r="E58" i="1"/>
  <c r="D58" i="1"/>
  <c r="E59" i="1" l="1"/>
  <c r="D59" i="1"/>
  <c r="A61" i="1"/>
  <c r="C60" i="1"/>
  <c r="B60" i="1"/>
  <c r="A62" i="1" l="1"/>
  <c r="C61" i="1"/>
  <c r="B61" i="1"/>
  <c r="E60" i="1"/>
  <c r="D60" i="1"/>
  <c r="D61" i="1" l="1"/>
  <c r="E61" i="1"/>
  <c r="A63" i="1"/>
  <c r="C62" i="1"/>
  <c r="B62" i="1"/>
  <c r="A64" i="1" l="1"/>
  <c r="C63" i="1"/>
  <c r="B63" i="1"/>
  <c r="D62" i="1"/>
  <c r="E62" i="1"/>
  <c r="E63" i="1" l="1"/>
  <c r="D63" i="1"/>
  <c r="A65" i="1"/>
  <c r="C64" i="1"/>
  <c r="B64" i="1"/>
  <c r="A66" i="1" l="1"/>
  <c r="B65" i="1"/>
  <c r="C65" i="1"/>
  <c r="E64" i="1"/>
  <c r="D64" i="1"/>
  <c r="E65" i="1" l="1"/>
  <c r="D65" i="1"/>
  <c r="A67" i="1"/>
  <c r="C66" i="1"/>
  <c r="B66" i="1"/>
  <c r="A68" i="1" l="1"/>
  <c r="C67" i="1"/>
  <c r="B67" i="1"/>
  <c r="E66" i="1"/>
  <c r="D66" i="1"/>
  <c r="E67" i="1" l="1"/>
  <c r="D67" i="1"/>
  <c r="A69" i="1"/>
  <c r="C68" i="1"/>
  <c r="B68" i="1"/>
  <c r="A70" i="1" l="1"/>
  <c r="B69" i="1"/>
  <c r="C69" i="1"/>
  <c r="E68" i="1"/>
  <c r="D68" i="1"/>
  <c r="D69" i="1" l="1"/>
  <c r="E69" i="1"/>
  <c r="A71" i="1"/>
  <c r="C70" i="1"/>
  <c r="B70" i="1"/>
  <c r="A72" i="1" l="1"/>
  <c r="C71" i="1"/>
  <c r="B71" i="1"/>
  <c r="E70" i="1"/>
  <c r="D70" i="1"/>
  <c r="E71" i="1" l="1"/>
  <c r="D71" i="1"/>
  <c r="A73" i="1"/>
  <c r="C72" i="1"/>
  <c r="B72" i="1"/>
  <c r="A74" i="1" l="1"/>
  <c r="C73" i="1"/>
  <c r="B73" i="1"/>
  <c r="E72" i="1"/>
  <c r="D72" i="1"/>
  <c r="D73" i="1" l="1"/>
  <c r="E73" i="1"/>
  <c r="A75" i="1"/>
  <c r="C74" i="1"/>
  <c r="B74" i="1"/>
  <c r="A76" i="1" l="1"/>
  <c r="C75" i="1"/>
  <c r="B75" i="1"/>
  <c r="E74" i="1"/>
  <c r="D74" i="1"/>
  <c r="E75" i="1" l="1"/>
  <c r="D75" i="1"/>
  <c r="A77" i="1"/>
  <c r="C76" i="1"/>
  <c r="B76" i="1"/>
  <c r="A78" i="1" l="1"/>
  <c r="C77" i="1"/>
  <c r="B77" i="1"/>
  <c r="E76" i="1"/>
  <c r="D76" i="1"/>
  <c r="D77" i="1" l="1"/>
  <c r="E77" i="1"/>
  <c r="A79" i="1"/>
  <c r="C78" i="1"/>
  <c r="B78" i="1"/>
  <c r="A80" i="1" l="1"/>
  <c r="C79" i="1"/>
  <c r="B79" i="1"/>
  <c r="E78" i="1"/>
  <c r="D78" i="1"/>
  <c r="E79" i="1" l="1"/>
  <c r="D79" i="1"/>
  <c r="A81" i="1"/>
  <c r="C80" i="1"/>
  <c r="B80" i="1"/>
  <c r="A82" i="1" l="1"/>
  <c r="B81" i="1"/>
  <c r="C81" i="1"/>
  <c r="E80" i="1"/>
  <c r="D80" i="1"/>
  <c r="D81" i="1" l="1"/>
  <c r="E81" i="1"/>
  <c r="A83" i="1"/>
  <c r="C82" i="1"/>
  <c r="B82" i="1"/>
  <c r="A84" i="1" l="1"/>
  <c r="C83" i="1"/>
  <c r="B83" i="1"/>
  <c r="E82" i="1"/>
  <c r="D82" i="1"/>
  <c r="E83" i="1" l="1"/>
  <c r="D83" i="1"/>
  <c r="A85" i="1"/>
  <c r="C84" i="1"/>
  <c r="B84" i="1"/>
  <c r="A86" i="1" l="1"/>
  <c r="B85" i="1"/>
  <c r="C85" i="1"/>
  <c r="E84" i="1"/>
  <c r="D84" i="1"/>
  <c r="D85" i="1" l="1"/>
  <c r="E85" i="1"/>
  <c r="A87" i="1"/>
  <c r="C86" i="1"/>
  <c r="B86" i="1"/>
  <c r="A88" i="1" l="1"/>
  <c r="C87" i="1"/>
  <c r="B87" i="1"/>
  <c r="E86" i="1"/>
  <c r="D86" i="1"/>
  <c r="E87" i="1" l="1"/>
  <c r="D87" i="1"/>
  <c r="A89" i="1"/>
  <c r="C88" i="1"/>
  <c r="B88" i="1"/>
  <c r="A90" i="1" l="1"/>
  <c r="C89" i="1"/>
  <c r="B89" i="1"/>
  <c r="E88" i="1"/>
  <c r="D88" i="1"/>
  <c r="D89" i="1" l="1"/>
  <c r="E89" i="1"/>
  <c r="A91" i="1"/>
  <c r="C90" i="1"/>
  <c r="B90" i="1"/>
  <c r="A92" i="1" l="1"/>
  <c r="C91" i="1"/>
  <c r="B91" i="1"/>
  <c r="E90" i="1"/>
  <c r="D90" i="1"/>
  <c r="E91" i="1" l="1"/>
  <c r="D91" i="1"/>
  <c r="A93" i="1"/>
  <c r="C92" i="1"/>
  <c r="B92" i="1"/>
  <c r="A94" i="1" l="1"/>
  <c r="C93" i="1"/>
  <c r="B93" i="1"/>
  <c r="E92" i="1"/>
  <c r="D92" i="1"/>
  <c r="D93" i="1" l="1"/>
  <c r="E93" i="1"/>
  <c r="A95" i="1"/>
  <c r="C94" i="1"/>
  <c r="B94" i="1"/>
  <c r="A96" i="1" l="1"/>
  <c r="C95" i="1"/>
  <c r="B95" i="1"/>
  <c r="E94" i="1"/>
  <c r="D94" i="1"/>
  <c r="E95" i="1" l="1"/>
  <c r="D95" i="1"/>
  <c r="A97" i="1"/>
  <c r="C96" i="1"/>
  <c r="B96" i="1"/>
  <c r="E96" i="1" l="1"/>
  <c r="D96" i="1"/>
  <c r="A98" i="1"/>
  <c r="B97" i="1"/>
  <c r="C97" i="1"/>
  <c r="A99" i="1" l="1"/>
  <c r="C98" i="1"/>
  <c r="B98" i="1"/>
  <c r="D97" i="1"/>
  <c r="E97" i="1"/>
  <c r="E98" i="1" l="1"/>
  <c r="D98" i="1"/>
  <c r="A100" i="1"/>
  <c r="C99" i="1"/>
  <c r="B99" i="1"/>
  <c r="A101" i="1" l="1"/>
  <c r="C100" i="1"/>
  <c r="B100" i="1"/>
  <c r="E99" i="1"/>
  <c r="D99" i="1"/>
  <c r="E100" i="1" l="1"/>
  <c r="D100" i="1"/>
  <c r="A102" i="1"/>
  <c r="C101" i="1"/>
  <c r="B101" i="1"/>
  <c r="A103" i="1" l="1"/>
  <c r="C102" i="1"/>
  <c r="B102" i="1"/>
  <c r="D101" i="1"/>
  <c r="E101" i="1"/>
  <c r="E102" i="1" l="1"/>
  <c r="D102" i="1"/>
  <c r="A104" i="1"/>
  <c r="C103" i="1"/>
  <c r="B103" i="1"/>
  <c r="A105" i="1" l="1"/>
  <c r="C104" i="1"/>
  <c r="B104" i="1"/>
  <c r="E103" i="1"/>
  <c r="D103" i="1"/>
  <c r="E104" i="1" l="1"/>
  <c r="D104" i="1"/>
  <c r="A106" i="1"/>
  <c r="C105" i="1"/>
  <c r="B105" i="1"/>
  <c r="A107" i="1" l="1"/>
  <c r="C106" i="1"/>
  <c r="B106" i="1"/>
  <c r="D105" i="1"/>
  <c r="E105" i="1"/>
  <c r="E106" i="1" l="1"/>
  <c r="D106" i="1"/>
  <c r="A108" i="1"/>
  <c r="C107" i="1"/>
  <c r="B107" i="1"/>
  <c r="A109" i="1" l="1"/>
  <c r="C108" i="1"/>
  <c r="B108" i="1"/>
  <c r="E107" i="1"/>
  <c r="D107" i="1"/>
  <c r="E108" i="1" l="1"/>
  <c r="D108" i="1"/>
  <c r="A110" i="1"/>
  <c r="C109" i="1"/>
  <c r="B109" i="1"/>
  <c r="A111" i="1" l="1"/>
  <c r="C110" i="1"/>
  <c r="B110" i="1"/>
  <c r="D109" i="1"/>
  <c r="E109" i="1"/>
  <c r="E110" i="1" l="1"/>
  <c r="D110" i="1"/>
  <c r="A112" i="1"/>
  <c r="C111" i="1"/>
  <c r="B111" i="1"/>
  <c r="A113" i="1" l="1"/>
  <c r="C112" i="1"/>
  <c r="B112" i="1"/>
  <c r="E111" i="1"/>
  <c r="D111" i="1"/>
  <c r="E112" i="1" l="1"/>
  <c r="D112" i="1"/>
  <c r="A114" i="1"/>
  <c r="B113" i="1"/>
  <c r="C113" i="1"/>
  <c r="D113" i="1" l="1"/>
  <c r="E113" i="1"/>
  <c r="A115" i="1"/>
  <c r="C114" i="1"/>
  <c r="B114" i="1"/>
  <c r="A116" i="1" l="1"/>
  <c r="C115" i="1"/>
  <c r="B115" i="1"/>
  <c r="E114" i="1"/>
  <c r="D114" i="1"/>
  <c r="E115" i="1" l="1"/>
  <c r="D115" i="1"/>
  <c r="A117" i="1"/>
  <c r="C116" i="1"/>
  <c r="B116" i="1"/>
  <c r="A118" i="1" l="1"/>
  <c r="C117" i="1"/>
  <c r="B117" i="1"/>
  <c r="E116" i="1"/>
  <c r="D116" i="1"/>
  <c r="D117" i="1" l="1"/>
  <c r="E117" i="1"/>
  <c r="A119" i="1"/>
  <c r="C118" i="1"/>
  <c r="B118" i="1"/>
  <c r="A120" i="1" l="1"/>
  <c r="C119" i="1"/>
  <c r="B119" i="1"/>
  <c r="E118" i="1"/>
  <c r="D118" i="1"/>
  <c r="E119" i="1" l="1"/>
  <c r="D119" i="1"/>
  <c r="A121" i="1"/>
  <c r="C120" i="1"/>
  <c r="B120" i="1"/>
  <c r="A122" i="1" l="1"/>
  <c r="C121" i="1"/>
  <c r="B121" i="1"/>
  <c r="E120" i="1"/>
  <c r="D120" i="1"/>
  <c r="D121" i="1" l="1"/>
  <c r="E121" i="1"/>
  <c r="A123" i="1"/>
  <c r="C122" i="1"/>
  <c r="B122" i="1"/>
  <c r="A124" i="1" l="1"/>
  <c r="C123" i="1"/>
  <c r="B123" i="1"/>
  <c r="E122" i="1"/>
  <c r="D122" i="1"/>
  <c r="E123" i="1" l="1"/>
  <c r="D123" i="1"/>
  <c r="A125" i="1"/>
  <c r="C124" i="1"/>
  <c r="B124" i="1"/>
  <c r="A126" i="1" l="1"/>
  <c r="C125" i="1"/>
  <c r="B125" i="1"/>
  <c r="E124" i="1"/>
  <c r="D124" i="1"/>
  <c r="D125" i="1" l="1"/>
  <c r="E125" i="1"/>
  <c r="A127" i="1"/>
  <c r="C126" i="1"/>
  <c r="B126" i="1"/>
  <c r="A128" i="1" l="1"/>
  <c r="C127" i="1"/>
  <c r="B127" i="1"/>
  <c r="E126" i="1"/>
  <c r="D126" i="1"/>
  <c r="E127" i="1" l="1"/>
  <c r="D127" i="1"/>
  <c r="A129" i="1"/>
  <c r="C128" i="1"/>
  <c r="B128" i="1"/>
  <c r="A130" i="1" l="1"/>
  <c r="B129" i="1"/>
  <c r="C129" i="1"/>
  <c r="E128" i="1"/>
  <c r="D128" i="1"/>
  <c r="D129" i="1" l="1"/>
  <c r="E129" i="1"/>
  <c r="A131" i="1"/>
  <c r="C130" i="1"/>
  <c r="B130" i="1"/>
  <c r="A132" i="1" l="1"/>
  <c r="C131" i="1"/>
  <c r="B131" i="1"/>
  <c r="E130" i="1"/>
  <c r="D130" i="1"/>
  <c r="E131" i="1" l="1"/>
  <c r="D131" i="1"/>
  <c r="A133" i="1"/>
  <c r="C132" i="1"/>
  <c r="B132" i="1"/>
  <c r="A134" i="1" l="1"/>
  <c r="C133" i="1"/>
  <c r="B133" i="1"/>
  <c r="E132" i="1"/>
  <c r="D132" i="1"/>
  <c r="D133" i="1" l="1"/>
  <c r="E133" i="1"/>
  <c r="A135" i="1"/>
  <c r="C134" i="1"/>
  <c r="B134" i="1"/>
  <c r="A136" i="1" l="1"/>
  <c r="C135" i="1"/>
  <c r="B135" i="1"/>
  <c r="E134" i="1"/>
  <c r="D134" i="1"/>
  <c r="E135" i="1" l="1"/>
  <c r="D135" i="1"/>
  <c r="A137" i="1"/>
  <c r="C136" i="1"/>
  <c r="B136" i="1"/>
  <c r="A138" i="1" l="1"/>
  <c r="C137" i="1"/>
  <c r="B137" i="1"/>
  <c r="E136" i="1"/>
  <c r="D136" i="1"/>
  <c r="D137" i="1" l="1"/>
  <c r="E137" i="1"/>
  <c r="A139" i="1"/>
  <c r="C138" i="1"/>
  <c r="B138" i="1"/>
  <c r="A140" i="1" l="1"/>
  <c r="C139" i="1"/>
  <c r="B139" i="1"/>
  <c r="E138" i="1"/>
  <c r="D138" i="1"/>
  <c r="E139" i="1" l="1"/>
  <c r="D139" i="1"/>
  <c r="A141" i="1"/>
  <c r="C140" i="1"/>
  <c r="B140" i="1"/>
  <c r="A142" i="1" l="1"/>
  <c r="C141" i="1"/>
  <c r="B141" i="1"/>
  <c r="E140" i="1"/>
  <c r="D140" i="1"/>
  <c r="D141" i="1" l="1"/>
  <c r="E141" i="1"/>
  <c r="A143" i="1"/>
  <c r="C142" i="1"/>
  <c r="B142" i="1"/>
  <c r="A144" i="1" l="1"/>
  <c r="C143" i="1"/>
  <c r="B143" i="1"/>
  <c r="E142" i="1"/>
  <c r="D142" i="1"/>
  <c r="E143" i="1" l="1"/>
  <c r="D143" i="1"/>
  <c r="A145" i="1"/>
  <c r="C144" i="1"/>
  <c r="B144" i="1"/>
  <c r="A146" i="1" l="1"/>
  <c r="B145" i="1"/>
  <c r="C145" i="1"/>
  <c r="E144" i="1"/>
  <c r="D144" i="1"/>
  <c r="D145" i="1" l="1"/>
  <c r="E145" i="1"/>
  <c r="A147" i="1"/>
  <c r="C146" i="1"/>
  <c r="B146" i="1"/>
  <c r="A148" i="1" l="1"/>
  <c r="C147" i="1"/>
  <c r="B147" i="1"/>
  <c r="E146" i="1"/>
  <c r="D146" i="1"/>
  <c r="E147" i="1" l="1"/>
  <c r="D147" i="1"/>
  <c r="A149" i="1"/>
  <c r="C148" i="1"/>
  <c r="B148" i="1"/>
  <c r="E148" i="1" l="1"/>
  <c r="D148" i="1"/>
  <c r="A150" i="1"/>
  <c r="C149" i="1"/>
  <c r="B149" i="1"/>
  <c r="A151" i="1" l="1"/>
  <c r="B150" i="1"/>
  <c r="C150" i="1"/>
  <c r="D149" i="1"/>
  <c r="E149" i="1"/>
  <c r="E150" i="1" l="1"/>
  <c r="D150" i="1"/>
  <c r="A152" i="1"/>
  <c r="C151" i="1"/>
  <c r="B151" i="1"/>
  <c r="A153" i="1" l="1"/>
  <c r="C152" i="1"/>
  <c r="B152" i="1"/>
  <c r="E151" i="1"/>
  <c r="D151" i="1"/>
  <c r="E152" i="1" l="1"/>
  <c r="D152" i="1"/>
  <c r="A154" i="1"/>
  <c r="C153" i="1"/>
  <c r="B153" i="1"/>
  <c r="A155" i="1" l="1"/>
  <c r="C154" i="1"/>
  <c r="B154" i="1"/>
  <c r="D153" i="1"/>
  <c r="E153" i="1"/>
  <c r="E154" i="1" l="1"/>
  <c r="D154" i="1"/>
  <c r="A156" i="1"/>
  <c r="B155" i="1"/>
  <c r="C155" i="1"/>
  <c r="E155" i="1" l="1"/>
  <c r="D155" i="1"/>
  <c r="A157" i="1"/>
  <c r="C156" i="1"/>
  <c r="B156" i="1"/>
  <c r="A158" i="1" l="1"/>
  <c r="C157" i="1"/>
  <c r="B157" i="1"/>
  <c r="E156" i="1"/>
  <c r="D156" i="1"/>
  <c r="D157" i="1" l="1"/>
  <c r="E157" i="1"/>
  <c r="A159" i="1"/>
  <c r="C158" i="1"/>
  <c r="B158" i="1"/>
  <c r="A160" i="1" l="1"/>
  <c r="C159" i="1"/>
  <c r="B159" i="1"/>
  <c r="E158" i="1"/>
  <c r="D158" i="1"/>
  <c r="E159" i="1" l="1"/>
  <c r="D159" i="1"/>
  <c r="A161" i="1"/>
  <c r="B160" i="1"/>
  <c r="C160" i="1"/>
  <c r="E160" i="1" l="1"/>
  <c r="D160" i="1"/>
  <c r="A162" i="1"/>
  <c r="C161" i="1"/>
  <c r="B161" i="1"/>
  <c r="A163" i="1" l="1"/>
  <c r="C162" i="1"/>
  <c r="B162" i="1"/>
  <c r="D161" i="1"/>
  <c r="E161" i="1"/>
  <c r="E162" i="1" l="1"/>
  <c r="D162" i="1"/>
  <c r="A164" i="1"/>
  <c r="C163" i="1"/>
  <c r="B163" i="1"/>
  <c r="A165" i="1" l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C164" i="1"/>
  <c r="B164" i="1"/>
  <c r="E163" i="1"/>
  <c r="D163" i="1"/>
  <c r="E164" i="1" l="1"/>
  <c r="D164" i="1"/>
</calcChain>
</file>

<file path=xl/sharedStrings.xml><?xml version="1.0" encoding="utf-8"?>
<sst xmlns="http://schemas.openxmlformats.org/spreadsheetml/2006/main" count="9" uniqueCount="9">
  <si>
    <t>constant lapse rate</t>
  </si>
  <si>
    <t>quasi-adiabatic</t>
  </si>
  <si>
    <t>f=</t>
  </si>
  <si>
    <t>g=</t>
  </si>
  <si>
    <t>MW=</t>
  </si>
  <si>
    <t>R=</t>
  </si>
  <si>
    <t>f*g*MW/R=</t>
  </si>
  <si>
    <t>K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</si>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</sst>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image" Target="../media/image2.gi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hansen!$C$4:$C$164</c:f>
              <c:numCache>
                <c:formatCode>General</c:formatCode>
                <c:ptCount val="161"/>
                <c:pt idx="0">
                  <c:v>-80</c:v>
                </c:pt>
                <c:pt idx="1">
                  <c:v>-79</c:v>
                </c:pt>
                <c:pt idx="2">
                  <c:v>-78</c:v>
                </c:pt>
                <c:pt idx="3">
                  <c:v>-77</c:v>
                </c:pt>
                <c:pt idx="4">
                  <c:v>-76</c:v>
                </c:pt>
                <c:pt idx="5">
                  <c:v>-75</c:v>
                </c:pt>
                <c:pt idx="6">
                  <c:v>-74</c:v>
                </c:pt>
                <c:pt idx="7">
                  <c:v>-73</c:v>
                </c:pt>
                <c:pt idx="8">
                  <c:v>-72</c:v>
                </c:pt>
                <c:pt idx="9">
                  <c:v>-71</c:v>
                </c:pt>
                <c:pt idx="10">
                  <c:v>-70</c:v>
                </c:pt>
                <c:pt idx="11">
                  <c:v>-69</c:v>
                </c:pt>
                <c:pt idx="12">
                  <c:v>-68</c:v>
                </c:pt>
                <c:pt idx="13">
                  <c:v>-67</c:v>
                </c:pt>
                <c:pt idx="14">
                  <c:v>-66</c:v>
                </c:pt>
                <c:pt idx="15">
                  <c:v>-65</c:v>
                </c:pt>
                <c:pt idx="16">
                  <c:v>-64</c:v>
                </c:pt>
                <c:pt idx="17">
                  <c:v>-63</c:v>
                </c:pt>
                <c:pt idx="18">
                  <c:v>-62</c:v>
                </c:pt>
                <c:pt idx="19">
                  <c:v>-61</c:v>
                </c:pt>
                <c:pt idx="20">
                  <c:v>-60</c:v>
                </c:pt>
                <c:pt idx="21">
                  <c:v>-59</c:v>
                </c:pt>
                <c:pt idx="22">
                  <c:v>-58</c:v>
                </c:pt>
                <c:pt idx="23">
                  <c:v>-57</c:v>
                </c:pt>
                <c:pt idx="24">
                  <c:v>-56</c:v>
                </c:pt>
                <c:pt idx="25">
                  <c:v>-55</c:v>
                </c:pt>
                <c:pt idx="26">
                  <c:v>-54</c:v>
                </c:pt>
                <c:pt idx="27">
                  <c:v>-53</c:v>
                </c:pt>
                <c:pt idx="28">
                  <c:v>-52</c:v>
                </c:pt>
                <c:pt idx="29">
                  <c:v>-51</c:v>
                </c:pt>
                <c:pt idx="30">
                  <c:v>-50</c:v>
                </c:pt>
                <c:pt idx="31">
                  <c:v>-49</c:v>
                </c:pt>
                <c:pt idx="32">
                  <c:v>-48</c:v>
                </c:pt>
                <c:pt idx="33">
                  <c:v>-47</c:v>
                </c:pt>
                <c:pt idx="34">
                  <c:v>-46</c:v>
                </c:pt>
                <c:pt idx="35">
                  <c:v>-45</c:v>
                </c:pt>
                <c:pt idx="36">
                  <c:v>-44</c:v>
                </c:pt>
                <c:pt idx="37">
                  <c:v>-43</c:v>
                </c:pt>
                <c:pt idx="38">
                  <c:v>-42</c:v>
                </c:pt>
                <c:pt idx="39">
                  <c:v>-41</c:v>
                </c:pt>
                <c:pt idx="40">
                  <c:v>-40</c:v>
                </c:pt>
                <c:pt idx="41">
                  <c:v>-39</c:v>
                </c:pt>
                <c:pt idx="42">
                  <c:v>-38</c:v>
                </c:pt>
                <c:pt idx="43">
                  <c:v>-37</c:v>
                </c:pt>
                <c:pt idx="44">
                  <c:v>-36</c:v>
                </c:pt>
                <c:pt idx="45">
                  <c:v>-35</c:v>
                </c:pt>
                <c:pt idx="46">
                  <c:v>-34</c:v>
                </c:pt>
                <c:pt idx="47">
                  <c:v>-33</c:v>
                </c:pt>
                <c:pt idx="48">
                  <c:v>-32</c:v>
                </c:pt>
                <c:pt idx="49">
                  <c:v>-31</c:v>
                </c:pt>
                <c:pt idx="50">
                  <c:v>-30</c:v>
                </c:pt>
                <c:pt idx="51">
                  <c:v>-29</c:v>
                </c:pt>
                <c:pt idx="52">
                  <c:v>-28</c:v>
                </c:pt>
                <c:pt idx="53">
                  <c:v>-27</c:v>
                </c:pt>
                <c:pt idx="54">
                  <c:v>-26</c:v>
                </c:pt>
                <c:pt idx="55">
                  <c:v>-25</c:v>
                </c:pt>
                <c:pt idx="56">
                  <c:v>-24</c:v>
                </c:pt>
                <c:pt idx="57">
                  <c:v>-23</c:v>
                </c:pt>
                <c:pt idx="58">
                  <c:v>-22</c:v>
                </c:pt>
                <c:pt idx="59">
                  <c:v>-21</c:v>
                </c:pt>
                <c:pt idx="60">
                  <c:v>-20</c:v>
                </c:pt>
                <c:pt idx="61">
                  <c:v>-19</c:v>
                </c:pt>
                <c:pt idx="62">
                  <c:v>-18</c:v>
                </c:pt>
                <c:pt idx="63">
                  <c:v>-17</c:v>
                </c:pt>
                <c:pt idx="64">
                  <c:v>-16</c:v>
                </c:pt>
                <c:pt idx="65">
                  <c:v>-15</c:v>
                </c:pt>
                <c:pt idx="66">
                  <c:v>-14</c:v>
                </c:pt>
                <c:pt idx="67">
                  <c:v>-13</c:v>
                </c:pt>
                <c:pt idx="68">
                  <c:v>-12</c:v>
                </c:pt>
                <c:pt idx="69">
                  <c:v>-11</c:v>
                </c:pt>
                <c:pt idx="70">
                  <c:v>-10</c:v>
                </c:pt>
                <c:pt idx="71">
                  <c:v>-9</c:v>
                </c:pt>
                <c:pt idx="72">
                  <c:v>-8</c:v>
                </c:pt>
                <c:pt idx="73">
                  <c:v>-7</c:v>
                </c:pt>
                <c:pt idx="74">
                  <c:v>-6</c:v>
                </c:pt>
                <c:pt idx="75">
                  <c:v>-5</c:v>
                </c:pt>
                <c:pt idx="76">
                  <c:v>-4</c:v>
                </c:pt>
                <c:pt idx="77">
                  <c:v>-3</c:v>
                </c:pt>
                <c:pt idx="78">
                  <c:v>-2</c:v>
                </c:pt>
                <c:pt idx="79">
                  <c:v>-1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6</c:v>
                </c:pt>
                <c:pt idx="87">
                  <c:v>7</c:v>
                </c:pt>
                <c:pt idx="88">
                  <c:v>8</c:v>
                </c:pt>
                <c:pt idx="89">
                  <c:v>9</c:v>
                </c:pt>
                <c:pt idx="90">
                  <c:v>10</c:v>
                </c:pt>
                <c:pt idx="91">
                  <c:v>11</c:v>
                </c:pt>
                <c:pt idx="92">
                  <c:v>12</c:v>
                </c:pt>
                <c:pt idx="93">
                  <c:v>13</c:v>
                </c:pt>
                <c:pt idx="94">
                  <c:v>14</c:v>
                </c:pt>
                <c:pt idx="95">
                  <c:v>15</c:v>
                </c:pt>
                <c:pt idx="96">
                  <c:v>16</c:v>
                </c:pt>
                <c:pt idx="97">
                  <c:v>17</c:v>
                </c:pt>
                <c:pt idx="98">
                  <c:v>18</c:v>
                </c:pt>
                <c:pt idx="99">
                  <c:v>19</c:v>
                </c:pt>
                <c:pt idx="100">
                  <c:v>20</c:v>
                </c:pt>
                <c:pt idx="101">
                  <c:v>21</c:v>
                </c:pt>
                <c:pt idx="102">
                  <c:v>22</c:v>
                </c:pt>
                <c:pt idx="103">
                  <c:v>23</c:v>
                </c:pt>
                <c:pt idx="104">
                  <c:v>24</c:v>
                </c:pt>
                <c:pt idx="105">
                  <c:v>25</c:v>
                </c:pt>
                <c:pt idx="106">
                  <c:v>26</c:v>
                </c:pt>
                <c:pt idx="107">
                  <c:v>27</c:v>
                </c:pt>
                <c:pt idx="108">
                  <c:v>28</c:v>
                </c:pt>
                <c:pt idx="109">
                  <c:v>29</c:v>
                </c:pt>
                <c:pt idx="110">
                  <c:v>30</c:v>
                </c:pt>
                <c:pt idx="111">
                  <c:v>31</c:v>
                </c:pt>
                <c:pt idx="112">
                  <c:v>32</c:v>
                </c:pt>
                <c:pt idx="113">
                  <c:v>33</c:v>
                </c:pt>
                <c:pt idx="114">
                  <c:v>34</c:v>
                </c:pt>
                <c:pt idx="115">
                  <c:v>35</c:v>
                </c:pt>
                <c:pt idx="116">
                  <c:v>36</c:v>
                </c:pt>
                <c:pt idx="117">
                  <c:v>37</c:v>
                </c:pt>
                <c:pt idx="118">
                  <c:v>38</c:v>
                </c:pt>
                <c:pt idx="119">
                  <c:v>39</c:v>
                </c:pt>
                <c:pt idx="120">
                  <c:v>40</c:v>
                </c:pt>
                <c:pt idx="121">
                  <c:v>41</c:v>
                </c:pt>
                <c:pt idx="122">
                  <c:v>42</c:v>
                </c:pt>
                <c:pt idx="123">
                  <c:v>43</c:v>
                </c:pt>
                <c:pt idx="124">
                  <c:v>44</c:v>
                </c:pt>
                <c:pt idx="125">
                  <c:v>45</c:v>
                </c:pt>
                <c:pt idx="126">
                  <c:v>46</c:v>
                </c:pt>
                <c:pt idx="127">
                  <c:v>47</c:v>
                </c:pt>
                <c:pt idx="128">
                  <c:v>48</c:v>
                </c:pt>
                <c:pt idx="129">
                  <c:v>49</c:v>
                </c:pt>
                <c:pt idx="130">
                  <c:v>50</c:v>
                </c:pt>
                <c:pt idx="131">
                  <c:v>51</c:v>
                </c:pt>
                <c:pt idx="132">
                  <c:v>52</c:v>
                </c:pt>
                <c:pt idx="133">
                  <c:v>53</c:v>
                </c:pt>
                <c:pt idx="134">
                  <c:v>54</c:v>
                </c:pt>
                <c:pt idx="135">
                  <c:v>55</c:v>
                </c:pt>
                <c:pt idx="136">
                  <c:v>56</c:v>
                </c:pt>
                <c:pt idx="137">
                  <c:v>57</c:v>
                </c:pt>
                <c:pt idx="138">
                  <c:v>58</c:v>
                </c:pt>
                <c:pt idx="139">
                  <c:v>59</c:v>
                </c:pt>
                <c:pt idx="140">
                  <c:v>60</c:v>
                </c:pt>
                <c:pt idx="141">
                  <c:v>61</c:v>
                </c:pt>
                <c:pt idx="142">
                  <c:v>62</c:v>
                </c:pt>
                <c:pt idx="143">
                  <c:v>63</c:v>
                </c:pt>
                <c:pt idx="144">
                  <c:v>64</c:v>
                </c:pt>
                <c:pt idx="145">
                  <c:v>65</c:v>
                </c:pt>
                <c:pt idx="146">
                  <c:v>66</c:v>
                </c:pt>
                <c:pt idx="147">
                  <c:v>67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72</c:v>
                </c:pt>
                <c:pt idx="153">
                  <c:v>73</c:v>
                </c:pt>
                <c:pt idx="154">
                  <c:v>74</c:v>
                </c:pt>
                <c:pt idx="155">
                  <c:v>75</c:v>
                </c:pt>
                <c:pt idx="156">
                  <c:v>76</c:v>
                </c:pt>
                <c:pt idx="157">
                  <c:v>77</c:v>
                </c:pt>
                <c:pt idx="158">
                  <c:v>78</c:v>
                </c:pt>
                <c:pt idx="159">
                  <c:v>79</c:v>
                </c:pt>
                <c:pt idx="160">
                  <c:v>80</c:v>
                </c:pt>
              </c:numCache>
            </c:numRef>
          </c:xVal>
          <c:yVal>
            <c:numRef>
              <c:f>hansen!$D$4:$D$164</c:f>
              <c:numCache>
                <c:formatCode>General</c:formatCode>
                <c:ptCount val="161"/>
                <c:pt idx="0">
                  <c:v>108.80118939471271</c:v>
                </c:pt>
                <c:pt idx="1">
                  <c:v>111.79357715259614</c:v>
                </c:pt>
                <c:pt idx="2">
                  <c:v>114.85224279807811</c:v>
                </c:pt>
                <c:pt idx="3">
                  <c:v>117.9783030980086</c:v>
                </c:pt>
                <c:pt idx="4">
                  <c:v>121.17288777955802</c:v>
                </c:pt>
                <c:pt idx="5">
                  <c:v>124.437139613349</c:v>
                </c:pt>
                <c:pt idx="6">
                  <c:v>127.77221449669517</c:v>
                </c:pt>
                <c:pt idx="7">
                  <c:v>131.1792815369443</c:v>
                </c:pt>
                <c:pt idx="8">
                  <c:v>134.65952313492755</c:v>
                </c:pt>
                <c:pt idx="9">
                  <c:v>138.21413506851405</c:v>
                </c:pt>
                <c:pt idx="10">
                  <c:v>141.84432657626826</c:v>
                </c:pt>
                <c:pt idx="11">
                  <c:v>145.55132044121373</c:v>
                </c:pt>
                <c:pt idx="12">
                  <c:v>149.33635307469854</c:v>
                </c:pt>
                <c:pt idx="13">
                  <c:v>153.20067460036557</c:v>
                </c:pt>
                <c:pt idx="14">
                  <c:v>157.14554893822495</c:v>
                </c:pt>
                <c:pt idx="15">
                  <c:v>161.17225388882946</c:v>
                </c:pt>
                <c:pt idx="16">
                  <c:v>165.28208121755196</c:v>
                </c:pt>
                <c:pt idx="17">
                  <c:v>169.47633673896451</c:v>
                </c:pt>
                <c:pt idx="18">
                  <c:v>173.75634040131919</c:v>
                </c:pt>
                <c:pt idx="19">
                  <c:v>178.12342637113053</c:v>
                </c:pt>
                <c:pt idx="20">
                  <c:v>182.57894311785714</c:v>
                </c:pt>
                <c:pt idx="21">
                  <c:v>187.12425349868624</c:v>
                </c:pt>
                <c:pt idx="22">
                  <c:v>191.76073484341543</c:v>
                </c:pt>
                <c:pt idx="23">
                  <c:v>196.48977903943612</c:v>
                </c:pt>
                <c:pt idx="24">
                  <c:v>201.31279261681578</c:v>
                </c:pt>
                <c:pt idx="25">
                  <c:v>206.23119683347835</c:v>
                </c:pt>
                <c:pt idx="26">
                  <c:v>211.24642776048472</c:v>
                </c:pt>
                <c:pt idx="27">
                  <c:v>216.35993636741014</c:v>
                </c:pt>
                <c:pt idx="28">
                  <c:v>221.57318860782186</c:v>
                </c:pt>
                <c:pt idx="29">
                  <c:v>226.88766550485059</c:v>
                </c:pt>
                <c:pt idx="30">
                  <c:v>232.30486323686313</c:v>
                </c:pt>
                <c:pt idx="31">
                  <c:v>237.82629322322836</c:v>
                </c:pt>
                <c:pt idx="32">
                  <c:v>243.45348221018531</c:v>
                </c:pt>
                <c:pt idx="33">
                  <c:v>249.18797235680012</c:v>
                </c:pt>
                <c:pt idx="34">
                  <c:v>255.03132132102547</c:v>
                </c:pt>
                <c:pt idx="35">
                  <c:v>260.98510234585189</c:v>
                </c:pt>
                <c:pt idx="36">
                  <c:v>267.05090434555706</c:v>
                </c:pt>
                <c:pt idx="37">
                  <c:v>273.23033199204752</c:v>
                </c:pt>
                <c:pt idx="38">
                  <c:v>279.52500580129572</c:v>
                </c:pt>
                <c:pt idx="39">
                  <c:v>285.9365622198747</c:v>
                </c:pt>
                <c:pt idx="40">
                  <c:v>292.46665371158156</c:v>
                </c:pt>
                <c:pt idx="41">
                  <c:v>299.11694884415857</c:v>
                </c:pt>
                <c:pt idx="42">
                  <c:v>305.88913237610802</c:v>
                </c:pt>
                <c:pt idx="43">
                  <c:v>312.78490534359651</c:v>
                </c:pt>
                <c:pt idx="44">
                  <c:v>319.80598514745571</c:v>
                </c:pt>
                <c:pt idx="45">
                  <c:v>326.95410564027503</c:v>
                </c:pt>
                <c:pt idx="46">
                  <c:v>334.23101721358523</c:v>
                </c:pt>
                <c:pt idx="47">
                  <c:v>341.63848688513588</c:v>
                </c:pt>
                <c:pt idx="48">
                  <c:v>349.1782983862625</c:v>
                </c:pt>
                <c:pt idx="49">
                  <c:v>356.85225224934737</c:v>
                </c:pt>
                <c:pt idx="50">
                  <c:v>364.66216589537038</c:v>
                </c:pt>
                <c:pt idx="51">
                  <c:v>372.60987372154887</c:v>
                </c:pt>
                <c:pt idx="52">
                  <c:v>380.69722718907235</c:v>
                </c:pt>
                <c:pt idx="53">
                  <c:v>388.92609491092429</c:v>
                </c:pt>
                <c:pt idx="54">
                  <c:v>397.29836273979333</c:v>
                </c:pt>
                <c:pt idx="55">
                  <c:v>405.81593385607846</c:v>
                </c:pt>
                <c:pt idx="56">
                  <c:v>414.48072885597816</c:v>
                </c:pt>
                <c:pt idx="57">
                  <c:v>423.29468583967349</c:v>
                </c:pt>
                <c:pt idx="58">
                  <c:v>432.25976049959667</c:v>
                </c:pt>
                <c:pt idx="59">
                  <c:v>441.37792620879111</c:v>
                </c:pt>
                <c:pt idx="60">
                  <c:v>450.65117410935704</c:v>
                </c:pt>
                <c:pt idx="61">
                  <c:v>460.0815132009871</c:v>
                </c:pt>
                <c:pt idx="62">
                  <c:v>469.67097042959142</c:v>
                </c:pt>
                <c:pt idx="63">
                  <c:v>479.4215907760057</c:v>
                </c:pt>
                <c:pt idx="64">
                  <c:v>489.33543734479036</c:v>
                </c:pt>
                <c:pt idx="65">
                  <c:v>499.41459145311592</c:v>
                </c:pt>
                <c:pt idx="66">
                  <c:v>509.66115271973388</c:v>
                </c:pt>
                <c:pt idx="67">
                  <c:v>520.07723915403812</c:v>
                </c:pt>
                <c:pt idx="68">
                  <c:v>530.66498724520568</c:v>
                </c:pt>
                <c:pt idx="69">
                  <c:v>541.42655205143342</c:v>
                </c:pt>
                <c:pt idx="70">
                  <c:v>552.36410728924784</c:v>
                </c:pt>
                <c:pt idx="71">
                  <c:v>563.47984542291431</c:v>
                </c:pt>
                <c:pt idx="72">
                  <c:v>574.77597775391996</c:v>
                </c:pt>
                <c:pt idx="73">
                  <c:v>586.25473451054972</c:v>
                </c:pt>
                <c:pt idx="74">
                  <c:v>597.9183649375417</c:v>
                </c:pt>
                <c:pt idx="75">
                  <c:v>609.76913738583403</c:v>
                </c:pt>
                <c:pt idx="76">
                  <c:v>621.80933940238367</c:v>
                </c:pt>
                <c:pt idx="77">
                  <c:v>634.04127782008698</c:v>
                </c:pt>
                <c:pt idx="78">
                  <c:v>646.46727884776681</c:v>
                </c:pt>
                <c:pt idx="79">
                  <c:v>659.08968816025413</c:v>
                </c:pt>
                <c:pt idx="80">
                  <c:v>671.91087098855257</c:v>
                </c:pt>
                <c:pt idx="81">
                  <c:v>684.93321221007795</c:v>
                </c:pt>
                <c:pt idx="82">
                  <c:v>698.15911643899119</c:v>
                </c:pt>
                <c:pt idx="83">
                  <c:v>711.59100811660721</c:v>
                </c:pt>
                <c:pt idx="84">
                  <c:v>725.23133160188945</c:v>
                </c:pt>
                <c:pt idx="85">
                  <c:v>739.08255126202369</c:v>
                </c:pt>
                <c:pt idx="86">
                  <c:v>753.14715156307693</c:v>
                </c:pt>
                <c:pt idx="87">
                  <c:v>767.42763716073955</c:v>
                </c:pt>
                <c:pt idx="88">
                  <c:v>781.92653299114272</c:v>
                </c:pt>
                <c:pt idx="89">
                  <c:v>796.64638436176449</c:v>
                </c:pt>
                <c:pt idx="90">
                  <c:v>811.58975704241004</c:v>
                </c:pt>
                <c:pt idx="91">
                  <c:v>826.75923735627885</c:v>
                </c:pt>
                <c:pt idx="92">
                  <c:v>842.15743227111341</c:v>
                </c:pt>
                <c:pt idx="93">
                  <c:v>857.78696949042046</c:v>
                </c:pt>
                <c:pt idx="94">
                  <c:v>873.65049754477764</c:v>
                </c:pt>
                <c:pt idx="95">
                  <c:v>889.75068588322711</c:v>
                </c:pt>
                <c:pt idx="96">
                  <c:v>906.09022496473176</c:v>
                </c:pt>
                <c:pt idx="97">
                  <c:v>922.67182634973301</c:v>
                </c:pt>
                <c:pt idx="98">
                  <c:v>939.49822279176476</c:v>
                </c:pt>
                <c:pt idx="99">
                  <c:v>956.57216832916799</c:v>
                </c:pt>
                <c:pt idx="100">
                  <c:v>973.89643837687186</c:v>
                </c:pt>
                <c:pt idx="101">
                  <c:v>991.4738298182574</c:v>
                </c:pt>
                <c:pt idx="102">
                  <c:v>1009.3071610970939</c:v>
                </c:pt>
                <c:pt idx="103">
                  <c:v>1027.3992723095707</c:v>
                </c:pt>
                <c:pt idx="104">
                  <c:v>1045.7530252963827</c:v>
                </c:pt>
                <c:pt idx="105">
                  <c:v>1064.37130373492</c:v>
                </c:pt>
                <c:pt idx="106">
                  <c:v>1083.2570132315075</c:v>
                </c:pt>
                <c:pt idx="107">
                  <c:v>1102.4130814137518</c:v>
                </c:pt>
                <c:pt idx="108">
                  <c:v>1121.842458022945</c:v>
                </c:pt>
                <c:pt idx="109">
                  <c:v>1141.5481150065489</c:v>
                </c:pt>
                <c:pt idx="110">
                  <c:v>1161.5330466107596</c:v>
                </c:pt>
                <c:pt idx="111">
                  <c:v>1181.8002694731522</c:v>
                </c:pt>
                <c:pt idx="112">
                  <c:v>1202.3528227154022</c:v>
                </c:pt>
                <c:pt idx="113">
                  <c:v>1223.1937680360693</c:v>
                </c:pt>
                <c:pt idx="114">
                  <c:v>1244.3261898034698</c:v>
                </c:pt>
                <c:pt idx="115">
                  <c:v>1265.7531951486367</c:v>
                </c:pt>
                <c:pt idx="116">
                  <c:v>1287.4779140583239</c:v>
                </c:pt>
                <c:pt idx="117">
                  <c:v>1309.5034994681209</c:v>
                </c:pt>
                <c:pt idx="118">
                  <c:v>1331.8331273556137</c:v>
                </c:pt>
                <c:pt idx="119">
                  <c:v>1354.4699968336429</c:v>
                </c:pt>
                <c:pt idx="120">
                  <c:v>1377.4173302436252</c:v>
                </c:pt>
                <c:pt idx="121">
                  <c:v>1400.6783732489571</c:v>
                </c:pt>
                <c:pt idx="122">
                  <c:v>1424.2563949284831</c:v>
                </c:pt>
                <c:pt idx="123">
                  <c:v>1448.1546878700494</c:v>
                </c:pt>
                <c:pt idx="124">
                  <c:v>1472.3765682641272</c:v>
                </c:pt>
                <c:pt idx="125">
                  <c:v>1496.9253759975124</c:v>
                </c:pt>
                <c:pt idx="126">
                  <c:v>1521.8044747470924</c:v>
                </c:pt>
                <c:pt idx="127">
                  <c:v>1547.0172520737015</c:v>
                </c:pt>
                <c:pt idx="128">
                  <c:v>1572.5671195160335</c:v>
                </c:pt>
                <c:pt idx="129">
                  <c:v>1598.4575126846364</c:v>
                </c:pt>
                <c:pt idx="130">
                  <c:v>1624.6918913559857</c:v>
                </c:pt>
                <c:pt idx="131">
                  <c:v>1651.273739566619</c:v>
                </c:pt>
                <c:pt idx="132">
                  <c:v>1678.2065657073531</c:v>
                </c:pt>
                <c:pt idx="133">
                  <c:v>1705.4939026175616</c:v>
                </c:pt>
                <c:pt idx="134">
                  <c:v>1733.1393076795562</c:v>
                </c:pt>
                <c:pt idx="135">
                  <c:v>1761.1463629129869</c:v>
                </c:pt>
                <c:pt idx="136">
                  <c:v>1789.5186750693795</c:v>
                </c:pt>
                <c:pt idx="137">
                  <c:v>1818.259875726686</c:v>
                </c:pt>
                <c:pt idx="138">
                  <c:v>1847.3736213839527</c:v>
                </c:pt>
                <c:pt idx="139">
                  <c:v>1876.8635935560287</c:v>
                </c:pt>
                <c:pt idx="140">
                  <c:v>1906.7334988683608</c:v>
                </c:pt>
                <c:pt idx="141">
                  <c:v>1936.9870691518627</c:v>
                </c:pt>
                <c:pt idx="142">
                  <c:v>1967.6280615378475</c:v>
                </c:pt>
                <c:pt idx="143">
                  <c:v>1998.6602585530322</c:v>
                </c:pt>
                <c:pt idx="144">
                  <c:v>2030.0874682146232</c:v>
                </c:pt>
                <c:pt idx="145">
                  <c:v>2061.9135241254567</c:v>
                </c:pt>
                <c:pt idx="146">
                  <c:v>2094.1422855692226</c:v>
                </c:pt>
                <c:pt idx="147">
                  <c:v>2126.7776376057586</c:v>
                </c:pt>
                <c:pt idx="148">
                  <c:v>2159.8234911664049</c:v>
                </c:pt>
                <c:pt idx="149">
                  <c:v>2193.2837831494403</c:v>
                </c:pt>
                <c:pt idx="150">
                  <c:v>2227.1624765155793</c:v>
                </c:pt>
                <c:pt idx="151">
                  <c:v>2261.4635603835527</c:v>
                </c:pt>
                <c:pt idx="152">
                  <c:v>2296.1910501257389</c:v>
                </c:pt>
                <c:pt idx="153">
                  <c:v>2331.3489874638794</c:v>
                </c:pt>
                <c:pt idx="154">
                  <c:v>2366.9414405648636</c:v>
                </c:pt>
                <c:pt idx="155">
                  <c:v>2402.972504136575</c:v>
                </c:pt>
                <c:pt idx="156">
                  <c:v>2439.4462995238005</c:v>
                </c:pt>
                <c:pt idx="157">
                  <c:v>2476.366974804253</c:v>
                </c:pt>
                <c:pt idx="158">
                  <c:v>2513.7387048845872</c:v>
                </c:pt>
                <c:pt idx="159">
                  <c:v>2551.5656915965492</c:v>
                </c:pt>
                <c:pt idx="160">
                  <c:v>2589.8521637931754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hansen!$C$4:$C$164</c:f>
              <c:numCache>
                <c:formatCode>General</c:formatCode>
                <c:ptCount val="161"/>
                <c:pt idx="0">
                  <c:v>-80</c:v>
                </c:pt>
                <c:pt idx="1">
                  <c:v>-79</c:v>
                </c:pt>
                <c:pt idx="2">
                  <c:v>-78</c:v>
                </c:pt>
                <c:pt idx="3">
                  <c:v>-77</c:v>
                </c:pt>
                <c:pt idx="4">
                  <c:v>-76</c:v>
                </c:pt>
                <c:pt idx="5">
                  <c:v>-75</c:v>
                </c:pt>
                <c:pt idx="6">
                  <c:v>-74</c:v>
                </c:pt>
                <c:pt idx="7">
                  <c:v>-73</c:v>
                </c:pt>
                <c:pt idx="8">
                  <c:v>-72</c:v>
                </c:pt>
                <c:pt idx="9">
                  <c:v>-71</c:v>
                </c:pt>
                <c:pt idx="10">
                  <c:v>-70</c:v>
                </c:pt>
                <c:pt idx="11">
                  <c:v>-69</c:v>
                </c:pt>
                <c:pt idx="12">
                  <c:v>-68</c:v>
                </c:pt>
                <c:pt idx="13">
                  <c:v>-67</c:v>
                </c:pt>
                <c:pt idx="14">
                  <c:v>-66</c:v>
                </c:pt>
                <c:pt idx="15">
                  <c:v>-65</c:v>
                </c:pt>
                <c:pt idx="16">
                  <c:v>-64</c:v>
                </c:pt>
                <c:pt idx="17">
                  <c:v>-63</c:v>
                </c:pt>
                <c:pt idx="18">
                  <c:v>-62</c:v>
                </c:pt>
                <c:pt idx="19">
                  <c:v>-61</c:v>
                </c:pt>
                <c:pt idx="20">
                  <c:v>-60</c:v>
                </c:pt>
                <c:pt idx="21">
                  <c:v>-59</c:v>
                </c:pt>
                <c:pt idx="22">
                  <c:v>-58</c:v>
                </c:pt>
                <c:pt idx="23">
                  <c:v>-57</c:v>
                </c:pt>
                <c:pt idx="24">
                  <c:v>-56</c:v>
                </c:pt>
                <c:pt idx="25">
                  <c:v>-55</c:v>
                </c:pt>
                <c:pt idx="26">
                  <c:v>-54</c:v>
                </c:pt>
                <c:pt idx="27">
                  <c:v>-53</c:v>
                </c:pt>
                <c:pt idx="28">
                  <c:v>-52</c:v>
                </c:pt>
                <c:pt idx="29">
                  <c:v>-51</c:v>
                </c:pt>
                <c:pt idx="30">
                  <c:v>-50</c:v>
                </c:pt>
                <c:pt idx="31">
                  <c:v>-49</c:v>
                </c:pt>
                <c:pt idx="32">
                  <c:v>-48</c:v>
                </c:pt>
                <c:pt idx="33">
                  <c:v>-47</c:v>
                </c:pt>
                <c:pt idx="34">
                  <c:v>-46</c:v>
                </c:pt>
                <c:pt idx="35">
                  <c:v>-45</c:v>
                </c:pt>
                <c:pt idx="36">
                  <c:v>-44</c:v>
                </c:pt>
                <c:pt idx="37">
                  <c:v>-43</c:v>
                </c:pt>
                <c:pt idx="38">
                  <c:v>-42</c:v>
                </c:pt>
                <c:pt idx="39">
                  <c:v>-41</c:v>
                </c:pt>
                <c:pt idx="40">
                  <c:v>-40</c:v>
                </c:pt>
                <c:pt idx="41">
                  <c:v>-39</c:v>
                </c:pt>
                <c:pt idx="42">
                  <c:v>-38</c:v>
                </c:pt>
                <c:pt idx="43">
                  <c:v>-37</c:v>
                </c:pt>
                <c:pt idx="44">
                  <c:v>-36</c:v>
                </c:pt>
                <c:pt idx="45">
                  <c:v>-35</c:v>
                </c:pt>
                <c:pt idx="46">
                  <c:v>-34</c:v>
                </c:pt>
                <c:pt idx="47">
                  <c:v>-33</c:v>
                </c:pt>
                <c:pt idx="48">
                  <c:v>-32</c:v>
                </c:pt>
                <c:pt idx="49">
                  <c:v>-31</c:v>
                </c:pt>
                <c:pt idx="50">
                  <c:v>-30</c:v>
                </c:pt>
                <c:pt idx="51">
                  <c:v>-29</c:v>
                </c:pt>
                <c:pt idx="52">
                  <c:v>-28</c:v>
                </c:pt>
                <c:pt idx="53">
                  <c:v>-27</c:v>
                </c:pt>
                <c:pt idx="54">
                  <c:v>-26</c:v>
                </c:pt>
                <c:pt idx="55">
                  <c:v>-25</c:v>
                </c:pt>
                <c:pt idx="56">
                  <c:v>-24</c:v>
                </c:pt>
                <c:pt idx="57">
                  <c:v>-23</c:v>
                </c:pt>
                <c:pt idx="58">
                  <c:v>-22</c:v>
                </c:pt>
                <c:pt idx="59">
                  <c:v>-21</c:v>
                </c:pt>
                <c:pt idx="60">
                  <c:v>-20</c:v>
                </c:pt>
                <c:pt idx="61">
                  <c:v>-19</c:v>
                </c:pt>
                <c:pt idx="62">
                  <c:v>-18</c:v>
                </c:pt>
                <c:pt idx="63">
                  <c:v>-17</c:v>
                </c:pt>
                <c:pt idx="64">
                  <c:v>-16</c:v>
                </c:pt>
                <c:pt idx="65">
                  <c:v>-15</c:v>
                </c:pt>
                <c:pt idx="66">
                  <c:v>-14</c:v>
                </c:pt>
                <c:pt idx="67">
                  <c:v>-13</c:v>
                </c:pt>
                <c:pt idx="68">
                  <c:v>-12</c:v>
                </c:pt>
                <c:pt idx="69">
                  <c:v>-11</c:v>
                </c:pt>
                <c:pt idx="70">
                  <c:v>-10</c:v>
                </c:pt>
                <c:pt idx="71">
                  <c:v>-9</c:v>
                </c:pt>
                <c:pt idx="72">
                  <c:v>-8</c:v>
                </c:pt>
                <c:pt idx="73">
                  <c:v>-7</c:v>
                </c:pt>
                <c:pt idx="74">
                  <c:v>-6</c:v>
                </c:pt>
                <c:pt idx="75">
                  <c:v>-5</c:v>
                </c:pt>
                <c:pt idx="76">
                  <c:v>-4</c:v>
                </c:pt>
                <c:pt idx="77">
                  <c:v>-3</c:v>
                </c:pt>
                <c:pt idx="78">
                  <c:v>-2</c:v>
                </c:pt>
                <c:pt idx="79">
                  <c:v>-1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6</c:v>
                </c:pt>
                <c:pt idx="87">
                  <c:v>7</c:v>
                </c:pt>
                <c:pt idx="88">
                  <c:v>8</c:v>
                </c:pt>
                <c:pt idx="89">
                  <c:v>9</c:v>
                </c:pt>
                <c:pt idx="90">
                  <c:v>10</c:v>
                </c:pt>
                <c:pt idx="91">
                  <c:v>11</c:v>
                </c:pt>
                <c:pt idx="92">
                  <c:v>12</c:v>
                </c:pt>
                <c:pt idx="93">
                  <c:v>13</c:v>
                </c:pt>
                <c:pt idx="94">
                  <c:v>14</c:v>
                </c:pt>
                <c:pt idx="95">
                  <c:v>15</c:v>
                </c:pt>
                <c:pt idx="96">
                  <c:v>16</c:v>
                </c:pt>
                <c:pt idx="97">
                  <c:v>17</c:v>
                </c:pt>
                <c:pt idx="98">
                  <c:v>18</c:v>
                </c:pt>
                <c:pt idx="99">
                  <c:v>19</c:v>
                </c:pt>
                <c:pt idx="100">
                  <c:v>20</c:v>
                </c:pt>
                <c:pt idx="101">
                  <c:v>21</c:v>
                </c:pt>
                <c:pt idx="102">
                  <c:v>22</c:v>
                </c:pt>
                <c:pt idx="103">
                  <c:v>23</c:v>
                </c:pt>
                <c:pt idx="104">
                  <c:v>24</c:v>
                </c:pt>
                <c:pt idx="105">
                  <c:v>25</c:v>
                </c:pt>
                <c:pt idx="106">
                  <c:v>26</c:v>
                </c:pt>
                <c:pt idx="107">
                  <c:v>27</c:v>
                </c:pt>
                <c:pt idx="108">
                  <c:v>28</c:v>
                </c:pt>
                <c:pt idx="109">
                  <c:v>29</c:v>
                </c:pt>
                <c:pt idx="110">
                  <c:v>30</c:v>
                </c:pt>
                <c:pt idx="111">
                  <c:v>31</c:v>
                </c:pt>
                <c:pt idx="112">
                  <c:v>32</c:v>
                </c:pt>
                <c:pt idx="113">
                  <c:v>33</c:v>
                </c:pt>
                <c:pt idx="114">
                  <c:v>34</c:v>
                </c:pt>
                <c:pt idx="115">
                  <c:v>35</c:v>
                </c:pt>
                <c:pt idx="116">
                  <c:v>36</c:v>
                </c:pt>
                <c:pt idx="117">
                  <c:v>37</c:v>
                </c:pt>
                <c:pt idx="118">
                  <c:v>38</c:v>
                </c:pt>
                <c:pt idx="119">
                  <c:v>39</c:v>
                </c:pt>
                <c:pt idx="120">
                  <c:v>40</c:v>
                </c:pt>
                <c:pt idx="121">
                  <c:v>41</c:v>
                </c:pt>
                <c:pt idx="122">
                  <c:v>42</c:v>
                </c:pt>
                <c:pt idx="123">
                  <c:v>43</c:v>
                </c:pt>
                <c:pt idx="124">
                  <c:v>44</c:v>
                </c:pt>
                <c:pt idx="125">
                  <c:v>45</c:v>
                </c:pt>
                <c:pt idx="126">
                  <c:v>46</c:v>
                </c:pt>
                <c:pt idx="127">
                  <c:v>47</c:v>
                </c:pt>
                <c:pt idx="128">
                  <c:v>48</c:v>
                </c:pt>
                <c:pt idx="129">
                  <c:v>49</c:v>
                </c:pt>
                <c:pt idx="130">
                  <c:v>50</c:v>
                </c:pt>
                <c:pt idx="131">
                  <c:v>51</c:v>
                </c:pt>
                <c:pt idx="132">
                  <c:v>52</c:v>
                </c:pt>
                <c:pt idx="133">
                  <c:v>53</c:v>
                </c:pt>
                <c:pt idx="134">
                  <c:v>54</c:v>
                </c:pt>
                <c:pt idx="135">
                  <c:v>55</c:v>
                </c:pt>
                <c:pt idx="136">
                  <c:v>56</c:v>
                </c:pt>
                <c:pt idx="137">
                  <c:v>57</c:v>
                </c:pt>
                <c:pt idx="138">
                  <c:v>58</c:v>
                </c:pt>
                <c:pt idx="139">
                  <c:v>59</c:v>
                </c:pt>
                <c:pt idx="140">
                  <c:v>60</c:v>
                </c:pt>
                <c:pt idx="141">
                  <c:v>61</c:v>
                </c:pt>
                <c:pt idx="142">
                  <c:v>62</c:v>
                </c:pt>
                <c:pt idx="143">
                  <c:v>63</c:v>
                </c:pt>
                <c:pt idx="144">
                  <c:v>64</c:v>
                </c:pt>
                <c:pt idx="145">
                  <c:v>65</c:v>
                </c:pt>
                <c:pt idx="146">
                  <c:v>66</c:v>
                </c:pt>
                <c:pt idx="147">
                  <c:v>67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72</c:v>
                </c:pt>
                <c:pt idx="153">
                  <c:v>73</c:v>
                </c:pt>
                <c:pt idx="154">
                  <c:v>74</c:v>
                </c:pt>
                <c:pt idx="155">
                  <c:v>75</c:v>
                </c:pt>
                <c:pt idx="156">
                  <c:v>76</c:v>
                </c:pt>
                <c:pt idx="157">
                  <c:v>77</c:v>
                </c:pt>
                <c:pt idx="158">
                  <c:v>78</c:v>
                </c:pt>
                <c:pt idx="159">
                  <c:v>79</c:v>
                </c:pt>
                <c:pt idx="160">
                  <c:v>80</c:v>
                </c:pt>
              </c:numCache>
            </c:numRef>
          </c:xVal>
          <c:yVal>
            <c:numRef>
              <c:f>hansen!$E$4:$E$164</c:f>
              <c:numCache>
                <c:formatCode>General</c:formatCode>
                <c:ptCount val="161"/>
                <c:pt idx="0">
                  <c:v>0.76985920394599672</c:v>
                </c:pt>
                <c:pt idx="1">
                  <c:v>0.82229504455009528</c:v>
                </c:pt>
                <c:pt idx="2">
                  <c:v>0.87800484273249013</c:v>
                </c:pt>
                <c:pt idx="3">
                  <c:v>0.93717463608260865</c:v>
                </c:pt>
                <c:pt idx="4">
                  <c:v>1</c:v>
                </c:pt>
                <c:pt idx="5">
                  <c:v>1.0666864842463846</c:v>
                </c:pt>
                <c:pt idx="6">
                  <c:v>1.1374500671038736</c:v>
                </c:pt>
                <c:pt idx="7">
                  <c:v>1.2125176277545802</c:v>
                </c:pt>
                <c:pt idx="8">
                  <c:v>1.2921274375151617</c:v>
                </c:pt>
                <c:pt idx="9">
                  <c:v>1.3765296705783421</c:v>
                </c:pt>
                <c:pt idx="10">
                  <c:v>1.4659869349327781</c:v>
                </c:pt>
                <c:pt idx="11">
                  <c:v>1.5607748241519888</c:v>
                </c:pt>
                <c:pt idx="12">
                  <c:v>1.6611824907633466</c:v>
                </c:pt>
                <c:pt idx="13">
                  <c:v>1.7675132419284407</c:v>
                </c:pt>
                <c:pt idx="14">
                  <c:v>1.8800851581872609</c:v>
                </c:pt>
                <c:pt idx="15">
                  <c:v>1.9992317360401886</c:v>
                </c:pt>
                <c:pt idx="16">
                  <c:v>2.1253025551636049</c:v>
                </c:pt>
                <c:pt idx="17">
                  <c:v>2.2586639710777421</c:v>
                </c:pt>
                <c:pt idx="18">
                  <c:v>2.3996998341081337</c:v>
                </c:pt>
                <c:pt idx="19">
                  <c:v>2.5488122355059364</c:v>
                </c:pt>
                <c:pt idx="20">
                  <c:v>2.7064222816162196</c:v>
                </c:pt>
                <c:pt idx="21">
                  <c:v>2.8729708970081971</c:v>
                </c:pt>
                <c:pt idx="22">
                  <c:v>3.0489196575066382</c:v>
                </c:pt>
                <c:pt idx="23">
                  <c:v>3.2347516540892678</c:v>
                </c:pt>
                <c:pt idx="24">
                  <c:v>3.4309723886417749</c:v>
                </c:pt>
                <c:pt idx="25">
                  <c:v>3.6381107025885546</c:v>
                </c:pt>
                <c:pt idx="26">
                  <c:v>3.8567197394454502</c:v>
                </c:pt>
                <c:pt idx="27">
                  <c:v>4.0873779423684571</c:v>
                </c:pt>
                <c:pt idx="28">
                  <c:v>4.3306900878015453</c:v>
                </c:pt>
                <c:pt idx="29">
                  <c:v>4.5872883563562041</c:v>
                </c:pt>
                <c:pt idx="30">
                  <c:v>4.8578334420851448</c:v>
                </c:pt>
                <c:pt idx="31">
                  <c:v>5.1430157013438969</c:v>
                </c:pt>
                <c:pt idx="32">
                  <c:v>5.4435563424648388</c:v>
                </c:pt>
                <c:pt idx="33">
                  <c:v>5.7602086575011242</c:v>
                </c:pt>
                <c:pt idx="34">
                  <c:v>6.0937592973298926</c:v>
                </c:pt>
                <c:pt idx="35">
                  <c:v>6.4450295914386544</c:v>
                </c:pt>
                <c:pt idx="36">
                  <c:v>6.8148769137521343</c:v>
                </c:pt>
                <c:pt idx="37">
                  <c:v>7.2041960958923266</c:v>
                </c:pt>
                <c:pt idx="38">
                  <c:v>7.6139208893003474</c:v>
                </c:pt>
                <c:pt idx="39">
                  <c:v>8.0450254776844847</c:v>
                </c:pt>
                <c:pt idx="40">
                  <c:v>8.4985260412970884</c:v>
                </c:pt>
                <c:pt idx="41">
                  <c:v>8.9754823745798031</c:v>
                </c:pt>
                <c:pt idx="42">
                  <c:v>9.4769995587567148</c:v>
                </c:pt>
                <c:pt idx="43">
                  <c:v>10.004229690993435</c:v>
                </c:pt>
                <c:pt idx="44">
                  <c:v>10.558373671781307</c:v>
                </c:pt>
                <c:pt idx="45">
                  <c:v>11.140683052247237</c:v>
                </c:pt>
                <c:pt idx="46">
                  <c:v>11.752461943130909</c:v>
                </c:pt>
                <c:pt idx="47">
                  <c:v>12.395068987215561</c:v>
                </c:pt>
                <c:pt idx="48">
                  <c:v>13.069919397040538</c:v>
                </c:pt>
                <c:pt idx="49">
                  <c:v>13.778487059770557</c:v>
                </c:pt>
                <c:pt idx="50">
                  <c:v>14.52230671114031</c:v>
                </c:pt>
                <c:pt idx="51">
                  <c:v>15.302976180441027</c:v>
                </c:pt>
                <c:pt idx="52">
                  <c:v>16.12215870856258</c:v>
                </c:pt>
                <c:pt idx="53">
                  <c:v>16.981585341152545</c:v>
                </c:pt>
                <c:pt idx="54">
                  <c:v>17.883057399004446</c:v>
                </c:pt>
                <c:pt idx="55">
                  <c:v>18.82844902783582</c:v>
                </c:pt>
                <c:pt idx="56">
                  <c:v>19.819709829670128</c:v>
                </c:pt>
                <c:pt idx="57">
                  <c:v>20.858867578087146</c:v>
                </c:pt>
                <c:pt idx="58">
                  <c:v>21.948031019660615</c:v>
                </c:pt>
                <c:pt idx="59">
                  <c:v>23.089392763956901</c:v>
                </c:pt>
                <c:pt idx="60">
                  <c:v>24.285232264522012</c:v>
                </c:pt>
                <c:pt idx="61">
                  <c:v>25.537918893343363</c:v>
                </c:pt>
                <c:pt idx="62">
                  <c:v>26.849915111327398</c:v>
                </c:pt>
                <c:pt idx="63">
                  <c:v>28.223779737395972</c:v>
                </c:pt>
                <c:pt idx="64">
                  <c:v>29.662171318861091</c:v>
                </c:pt>
                <c:pt idx="65">
                  <c:v>31.167851605800735</c:v>
                </c:pt>
                <c:pt idx="66">
                  <c:v>32.743689132220354</c:v>
                </c:pt>
                <c:pt idx="67">
                  <c:v>34.392662906845707</c:v>
                </c:pt>
                <c:pt idx="68">
                  <c:v>36.117866216461046</c:v>
                </c:pt>
                <c:pt idx="69">
                  <c:v>37.922510544767505</c:v>
                </c:pt>
                <c:pt idx="70">
                  <c:v>39.8099296098084</c:v>
                </c:pt>
                <c:pt idx="71">
                  <c:v>41.78358352307157</c:v>
                </c:pt>
                <c:pt idx="72">
                  <c:v>43.847063073451267</c:v>
                </c:pt>
                <c:pt idx="73">
                  <c:v>46.004094139322511</c:v>
                </c:pt>
                <c:pt idx="74">
                  <c:v>48.258542232049926</c:v>
                </c:pt>
                <c:pt idx="75">
                  <c:v>50.614417174331173</c:v>
                </c:pt>
                <c:pt idx="76">
                  <c:v>53.07587791684319</c:v>
                </c:pt>
                <c:pt idx="77">
                  <c:v>55.64723749674279</c:v>
                </c:pt>
                <c:pt idx="78">
                  <c:v>58.332968141643157</c:v>
                </c:pt>
                <c:pt idx="79">
                  <c:v>61.137706522771012</c:v>
                </c:pt>
                <c:pt idx="80">
                  <c:v>64.066259161089334</c:v>
                </c:pt>
                <c:pt idx="81">
                  <c:v>67.123607990247237</c:v>
                </c:pt>
                <c:pt idx="82">
                  <c:v>70.314916080308393</c:v>
                </c:pt>
                <c:pt idx="83">
                  <c:v>73.645533526287252</c:v>
                </c:pt>
                <c:pt idx="84">
                  <c:v>77.121003505613203</c:v>
                </c:pt>
                <c:pt idx="85">
                  <c:v>80.747068508725604</c:v>
                </c:pt>
                <c:pt idx="86">
                  <c:v>84.529676747096943</c:v>
                </c:pt>
                <c:pt idx="87">
                  <c:v>88.474988743065637</c:v>
                </c:pt>
                <c:pt idx="88">
                  <c:v>92.589384105956</c:v>
                </c:pt>
                <c:pt idx="89">
                  <c:v>96.879468499056713</c:v>
                </c:pt>
                <c:pt idx="90">
                  <c:v>101.35208080212101</c:v>
                </c:pt>
                <c:pt idx="91">
                  <c:v>106.01430047415218</c:v>
                </c:pt>
                <c:pt idx="92">
                  <c:v>110.87345512133251</c:v>
                </c:pt>
                <c:pt idx="93">
                  <c:v>115.9371282750605</c:v>
                </c:pt>
                <c:pt idx="94">
                  <c:v>121.21316738515333</c:v>
                </c:pt>
                <c:pt idx="95">
                  <c:v>126.70969203338417</c:v>
                </c:pt>
                <c:pt idx="96">
                  <c:v>132.43510237262578</c:v>
                </c:pt>
                <c:pt idx="97">
                  <c:v>138.39808779697466</c:v>
                </c:pt>
                <c:pt idx="98">
                  <c:v>144.60763584834822</c:v>
                </c:pt>
                <c:pt idx="99">
                  <c:v>151.07304136514756</c:v>
                </c:pt>
                <c:pt idx="100">
                  <c:v>157.80391587870093</c:v>
                </c:pt>
                <c:pt idx="101">
                  <c:v>164.81019726330817</c:v>
                </c:pt>
                <c:pt idx="102">
                  <c:v>172.10215964582795</c:v>
                </c:pt>
                <c:pt idx="103">
                  <c:v>179.69042358087091</c:v>
                </c:pt>
                <c:pt idx="104">
                  <c:v>187.58596649776939</c:v>
                </c:pt>
                <c:pt idx="105">
                  <c:v>195.80013342563404</c:v>
                </c:pt>
                <c:pt idx="106">
                  <c:v>204.34464800291457</c:v>
                </c:pt>
                <c:pt idx="107">
                  <c:v>213.23162377802117</c:v>
                </c:pt>
                <c:pt idx="108">
                  <c:v>222.47357580768346</c:v>
                </c:pt>
                <c:pt idx="109">
                  <c:v>232.0834325598525</c:v>
                </c:pt>
                <c:pt idx="110">
                  <c:v>242.07454812809922</c:v>
                </c:pt>
                <c:pt idx="111">
                  <c:v>252.46071476456649</c:v>
                </c:pt>
                <c:pt idx="112">
                  <c:v>263.25617573870824</c:v>
                </c:pt>
                <c:pt idx="113">
                  <c:v>274.47563852914618</c:v>
                </c:pt>
                <c:pt idx="114">
                  <c:v>286.13428835615349</c:v>
                </c:pt>
                <c:pt idx="115">
                  <c:v>298.24780206238762</c:v>
                </c:pt>
                <c:pt idx="116">
                  <c:v>310.83236234965477</c:v>
                </c:pt>
                <c:pt idx="117">
                  <c:v>323.90467237964435</c:v>
                </c:pt>
                <c:pt idx="118">
                  <c:v>337.48197074669122</c:v>
                </c:pt>
                <c:pt idx="119">
                  <c:v>351.58204683081658</c:v>
                </c:pt>
                <c:pt idx="120">
                  <c:v>366.22325653941283</c:v>
                </c:pt>
                <c:pt idx="121">
                  <c:v>381.4245384461293</c:v>
                </c:pt>
                <c:pt idx="122">
                  <c:v>397.20543033565042</c:v>
                </c:pt>
                <c:pt idx="123">
                  <c:v>413.58608616322596</c:v>
                </c:pt>
                <c:pt idx="124">
                  <c:v>430.58729343799615</c:v>
                </c:pt>
                <c:pt idx="125">
                  <c:v>448.23049103928093</c:v>
                </c:pt>
                <c:pt idx="126">
                  <c:v>466.53778747522233</c:v>
                </c:pt>
                <c:pt idx="127">
                  <c:v>485.53197959329032</c:v>
                </c:pt>
                <c:pt idx="128">
                  <c:v>505.23657175238344</c:v>
                </c:pt>
                <c:pt idx="129">
                  <c:v>525.67579546639138</c:v>
                </c:pt>
                <c:pt idx="130">
                  <c:v>546.87462952930241</c:v>
                </c:pt>
                <c:pt idx="131">
                  <c:v>568.85882063209431</c:v>
                </c:pt>
                <c:pt idx="132">
                  <c:v>591.65490448183982</c:v>
                </c:pt>
                <c:pt idx="133">
                  <c:v>615.29022743366988</c:v>
                </c:pt>
                <c:pt idx="134">
                  <c:v>639.79296864636797</c:v>
                </c:pt>
                <c:pt idx="135">
                  <c:v>665.19216277265798</c:v>
                </c:pt>
                <c:pt idx="136">
                  <c:v>691.51772319532051</c:v>
                </c:pt>
                <c:pt idx="137">
                  <c:v>718.80046582061027</c:v>
                </c:pt>
                <c:pt idx="138">
                  <c:v>747.07213344051854</c:v>
                </c:pt>
                <c:pt idx="139">
                  <c:v>776.3654206757343</c:v>
                </c:pt>
                <c:pt idx="140">
                  <c:v>806.71399951129331</c:v>
                </c:pt>
                <c:pt idx="141">
                  <c:v>838.15254543716139</c:v>
                </c:pt>
                <c:pt idx="142">
                  <c:v>870.71676420618894</c:v>
                </c:pt>
                <c:pt idx="143">
                  <c:v>904.44341922209628</c:v>
                </c:pt>
                <c:pt idx="144">
                  <c:v>939.37035957037199</c:v>
                </c:pt>
                <c:pt idx="145">
                  <c:v>975.53654870520029</c:v>
                </c:pt>
                <c:pt idx="146">
                  <c:v>1012.9820938057184</c:v>
                </c:pt>
                <c:pt idx="147">
                  <c:v>1051.7482758152164</c:v>
                </c:pt>
                <c:pt idx="148">
                  <c:v>1091.8775801770078</c:v>
                </c:pt>
                <c:pt idx="149">
                  <c:v>1133.4137282810914</c:v>
                </c:pt>
                <c:pt idx="150">
                  <c:v>1176.4017096357643</c:v>
                </c:pt>
                <c:pt idx="151">
                  <c:v>1220.8878147788223</c:v>
                </c:pt>
                <c:pt idx="152">
                  <c:v>1266.9196689430148</c:v>
                </c:pt>
                <c:pt idx="153">
                  <c:v>1314.5462664908034</c:v>
                </c:pt>
                <c:pt idx="154">
                  <c:v>1363.8180061337123</c:v>
                </c:pt>
                <c:pt idx="155">
                  <c:v>1414.7867269517587</c:v>
                </c:pt>
                <c:pt idx="156">
                  <c:v>1467.5057452287556</c:v>
                </c:pt>
                <c:pt idx="157">
                  <c:v>1522.0298921195488</c:v>
                </c:pt>
                <c:pt idx="158">
                  <c:v>1578.4155521655096</c:v>
                </c:pt>
                <c:pt idx="159">
                  <c:v>1636.7207026748392</c:v>
                </c:pt>
                <c:pt idx="160">
                  <c:v>1697.0049539845845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08064"/>
        <c:axId val="74792960"/>
      </c:scatterChart>
      <c:valAx>
        <c:axId val="59608064"/>
        <c:scaling>
          <c:orientation val="minMax"/>
          <c:max val="80"/>
          <c:min val="-8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4792960"/>
        <c:crosses val="autoZero"/>
        <c:crossBetween val="midCat"/>
      </c:valAx>
      <c:valAx>
        <c:axId val="74792960"/>
        <c:scaling>
          <c:logBase val="10"/>
          <c:orientation val="maxMin"/>
          <c:max val="1000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9608064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Temperature vs Altitude over Atlanta</a:t>
            </a:r>
          </a:p>
        </c:rich>
      </c:tx>
      <c:layout>
        <c:manualLayout>
          <c:xMode val="edge"/>
          <c:yMode val="edge"/>
          <c:x val="0.26530200715201863"/>
          <c:y val="1.129943502824858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1115052366027062"/>
          <c:y val="8.9397882468081322E-2"/>
          <c:w val="0.73009426946631673"/>
          <c:h val="0.78765912073490818"/>
        </c:manualLayout>
      </c:layout>
      <c:scatterChart>
        <c:scatterStyle val="lineMarker"/>
        <c:varyColors val="0"/>
        <c:ser>
          <c:idx val="0"/>
          <c:order val="0"/>
          <c:tx>
            <c:strRef>
              <c:f>atlanta!$C$9</c:f>
              <c:strCache>
                <c:ptCount val="1"/>
                <c:pt idx="0">
                  <c:v>quasi-adiabatic</c:v>
                </c:pt>
              </c:strCache>
            </c:strRef>
          </c:tx>
          <c:marker>
            <c:symbol val="circle"/>
            <c:size val="3"/>
            <c:spPr>
              <a:solidFill>
                <a:schemeClr val="bg1"/>
              </a:solidFill>
            </c:spPr>
          </c:marker>
          <c:xVal>
            <c:numRef>
              <c:f>atlanta!$B$10:$B$100</c:f>
              <c:numCache>
                <c:formatCode>General</c:formatCode>
                <c:ptCount val="91"/>
                <c:pt idx="0">
                  <c:v>-70</c:v>
                </c:pt>
                <c:pt idx="1">
                  <c:v>-69</c:v>
                </c:pt>
                <c:pt idx="2">
                  <c:v>-68</c:v>
                </c:pt>
                <c:pt idx="3">
                  <c:v>-67</c:v>
                </c:pt>
                <c:pt idx="4">
                  <c:v>-66</c:v>
                </c:pt>
                <c:pt idx="5">
                  <c:v>-65</c:v>
                </c:pt>
                <c:pt idx="6">
                  <c:v>-64</c:v>
                </c:pt>
                <c:pt idx="7">
                  <c:v>-63</c:v>
                </c:pt>
                <c:pt idx="8">
                  <c:v>-62</c:v>
                </c:pt>
                <c:pt idx="9">
                  <c:v>-61</c:v>
                </c:pt>
                <c:pt idx="10">
                  <c:v>-60</c:v>
                </c:pt>
                <c:pt idx="11">
                  <c:v>-59</c:v>
                </c:pt>
                <c:pt idx="12">
                  <c:v>-58</c:v>
                </c:pt>
                <c:pt idx="13">
                  <c:v>-57</c:v>
                </c:pt>
                <c:pt idx="14">
                  <c:v>-56</c:v>
                </c:pt>
                <c:pt idx="15">
                  <c:v>-55</c:v>
                </c:pt>
                <c:pt idx="16">
                  <c:v>-54</c:v>
                </c:pt>
                <c:pt idx="17">
                  <c:v>-53</c:v>
                </c:pt>
                <c:pt idx="18">
                  <c:v>-52</c:v>
                </c:pt>
                <c:pt idx="19">
                  <c:v>-51</c:v>
                </c:pt>
                <c:pt idx="20">
                  <c:v>-50</c:v>
                </c:pt>
                <c:pt idx="21">
                  <c:v>-49</c:v>
                </c:pt>
                <c:pt idx="22">
                  <c:v>-48</c:v>
                </c:pt>
                <c:pt idx="23">
                  <c:v>-47</c:v>
                </c:pt>
                <c:pt idx="24">
                  <c:v>-46</c:v>
                </c:pt>
                <c:pt idx="25">
                  <c:v>-45</c:v>
                </c:pt>
                <c:pt idx="26">
                  <c:v>-44</c:v>
                </c:pt>
                <c:pt idx="27">
                  <c:v>-43</c:v>
                </c:pt>
                <c:pt idx="28">
                  <c:v>-42</c:v>
                </c:pt>
                <c:pt idx="29">
                  <c:v>-41</c:v>
                </c:pt>
                <c:pt idx="30">
                  <c:v>-40</c:v>
                </c:pt>
                <c:pt idx="31">
                  <c:v>-39</c:v>
                </c:pt>
                <c:pt idx="32">
                  <c:v>-38</c:v>
                </c:pt>
                <c:pt idx="33">
                  <c:v>-37</c:v>
                </c:pt>
                <c:pt idx="34">
                  <c:v>-36</c:v>
                </c:pt>
                <c:pt idx="35">
                  <c:v>-35</c:v>
                </c:pt>
                <c:pt idx="36">
                  <c:v>-34</c:v>
                </c:pt>
                <c:pt idx="37">
                  <c:v>-33</c:v>
                </c:pt>
                <c:pt idx="38">
                  <c:v>-32</c:v>
                </c:pt>
                <c:pt idx="39">
                  <c:v>-31</c:v>
                </c:pt>
                <c:pt idx="40">
                  <c:v>-30</c:v>
                </c:pt>
                <c:pt idx="41">
                  <c:v>-29</c:v>
                </c:pt>
                <c:pt idx="42">
                  <c:v>-28</c:v>
                </c:pt>
                <c:pt idx="43">
                  <c:v>-27</c:v>
                </c:pt>
                <c:pt idx="44">
                  <c:v>-26</c:v>
                </c:pt>
                <c:pt idx="45">
                  <c:v>-25</c:v>
                </c:pt>
                <c:pt idx="46">
                  <c:v>-24</c:v>
                </c:pt>
                <c:pt idx="47">
                  <c:v>-23</c:v>
                </c:pt>
                <c:pt idx="48">
                  <c:v>-22</c:v>
                </c:pt>
                <c:pt idx="49">
                  <c:v>-21</c:v>
                </c:pt>
                <c:pt idx="50">
                  <c:v>-20</c:v>
                </c:pt>
                <c:pt idx="51">
                  <c:v>-19</c:v>
                </c:pt>
                <c:pt idx="52">
                  <c:v>-18</c:v>
                </c:pt>
                <c:pt idx="53">
                  <c:v>-17</c:v>
                </c:pt>
                <c:pt idx="54">
                  <c:v>-16</c:v>
                </c:pt>
                <c:pt idx="55">
                  <c:v>-15</c:v>
                </c:pt>
                <c:pt idx="56">
                  <c:v>-14</c:v>
                </c:pt>
                <c:pt idx="57">
                  <c:v>-13</c:v>
                </c:pt>
                <c:pt idx="58">
                  <c:v>-12</c:v>
                </c:pt>
                <c:pt idx="59">
                  <c:v>-11</c:v>
                </c:pt>
                <c:pt idx="60">
                  <c:v>-10</c:v>
                </c:pt>
                <c:pt idx="61">
                  <c:v>-9</c:v>
                </c:pt>
                <c:pt idx="62">
                  <c:v>-8</c:v>
                </c:pt>
                <c:pt idx="63">
                  <c:v>-7</c:v>
                </c:pt>
                <c:pt idx="64">
                  <c:v>-6</c:v>
                </c:pt>
                <c:pt idx="65">
                  <c:v>-5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-1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</c:numCache>
            </c:numRef>
          </c:xVal>
          <c:yVal>
            <c:numRef>
              <c:f>atlanta!$C$10:$C$100</c:f>
              <c:numCache>
                <c:formatCode>0.00000</c:formatCode>
                <c:ptCount val="91"/>
                <c:pt idx="0">
                  <c:v>13539.75525278951</c:v>
                </c:pt>
                <c:pt idx="1">
                  <c:v>13422.844078497868</c:v>
                </c:pt>
                <c:pt idx="2">
                  <c:v>13305.179592679055</c:v>
                </c:pt>
                <c:pt idx="3">
                  <c:v>13186.765470052669</c:v>
                </c:pt>
                <c:pt idx="4">
                  <c:v>13067.605349660993</c:v>
                </c:pt>
                <c:pt idx="5">
                  <c:v>12947.702835386068</c:v>
                </c:pt>
                <c:pt idx="6">
                  <c:v>12827.061496456821</c:v>
                </c:pt>
                <c:pt idx="7">
                  <c:v>12705.684867946482</c:v>
                </c:pt>
                <c:pt idx="8">
                  <c:v>12583.576451260549</c:v>
                </c:pt>
                <c:pt idx="9">
                  <c:v>12460.739714615451</c:v>
                </c:pt>
                <c:pt idx="10">
                  <c:v>12337.178093508233</c:v>
                </c:pt>
                <c:pt idx="11">
                  <c:v>12212.894991177391</c:v>
                </c:pt>
                <c:pt idx="12">
                  <c:v>12087.893779055121</c:v>
                </c:pt>
                <c:pt idx="13">
                  <c:v>11962.177797211094</c:v>
                </c:pt>
                <c:pt idx="14">
                  <c:v>11835.750354788101</c:v>
                </c:pt>
                <c:pt idx="15">
                  <c:v>11708.614730429577</c:v>
                </c:pt>
                <c:pt idx="16">
                  <c:v>11580.774172699344</c:v>
                </c:pt>
                <c:pt idx="17">
                  <c:v>11452.23190049368</c:v>
                </c:pt>
                <c:pt idx="18">
                  <c:v>11322.991103445849</c:v>
                </c:pt>
                <c:pt idx="19">
                  <c:v>11193.054942323364</c:v>
                </c:pt>
                <c:pt idx="20">
                  <c:v>11062.426549418064</c:v>
                </c:pt>
                <c:pt idx="21">
                  <c:v>10931.109028929204</c:v>
                </c:pt>
                <c:pt idx="22">
                  <c:v>10799.105457339694</c:v>
                </c:pt>
                <c:pt idx="23">
                  <c:v>10666.41888378566</c:v>
                </c:pt>
                <c:pt idx="24">
                  <c:v>10533.05233041945</c:v>
                </c:pt>
                <c:pt idx="25">
                  <c:v>10399.008792766264</c:v>
                </c:pt>
                <c:pt idx="26">
                  <c:v>10264.291240074526</c:v>
                </c:pt>
                <c:pt idx="27">
                  <c:v>10128.902615660085</c:v>
                </c:pt>
                <c:pt idx="28">
                  <c:v>9992.8458372445129</c:v>
                </c:pt>
                <c:pt idx="29">
                  <c:v>9856.1237972874751</c:v>
                </c:pt>
                <c:pt idx="30">
                  <c:v>9718.7393633134234</c:v>
                </c:pt>
                <c:pt idx="31">
                  <c:v>9580.69537823262</c:v>
                </c:pt>
                <c:pt idx="32">
                  <c:v>9441.9946606567391</c:v>
                </c:pt>
                <c:pt idx="33">
                  <c:v>9302.6400052090412</c:v>
                </c:pt>
                <c:pt idx="34">
                  <c:v>9162.6341828293298</c:v>
                </c:pt>
                <c:pt idx="35">
                  <c:v>9021.9799410737523</c:v>
                </c:pt>
                <c:pt idx="36">
                  <c:v>8880.6800044095271</c:v>
                </c:pt>
                <c:pt idx="37">
                  <c:v>8738.7370745047938</c:v>
                </c:pt>
                <c:pt idx="38">
                  <c:v>8596.1538305135837</c:v>
                </c:pt>
                <c:pt idx="39">
                  <c:v>8452.9329293561095</c:v>
                </c:pt>
                <c:pt idx="40">
                  <c:v>8309.0770059943661</c:v>
                </c:pt>
                <c:pt idx="41">
                  <c:v>8164.5886737032342</c:v>
                </c:pt>
                <c:pt idx="42">
                  <c:v>8019.47052433713</c:v>
                </c:pt>
                <c:pt idx="43">
                  <c:v>7873.7251285922921</c:v>
                </c:pt>
                <c:pt idx="44">
                  <c:v>7727.3550362648302</c:v>
                </c:pt>
                <c:pt idx="45">
                  <c:v>7580.3627765045494</c:v>
                </c:pt>
                <c:pt idx="46">
                  <c:v>7432.7508580647227</c:v>
                </c:pt>
                <c:pt idx="47">
                  <c:v>7284.5217695478259</c:v>
                </c:pt>
                <c:pt idx="48">
                  <c:v>7135.6779796473693</c:v>
                </c:pt>
                <c:pt idx="49">
                  <c:v>6986.2219373858279</c:v>
                </c:pt>
                <c:pt idx="50">
                  <c:v>6836.156072348841</c:v>
                </c:pt>
                <c:pt idx="51">
                  <c:v>6685.4827949156888</c:v>
                </c:pt>
                <c:pt idx="52">
                  <c:v>6534.2044964861316</c:v>
                </c:pt>
                <c:pt idx="53">
                  <c:v>6382.3235497037249</c:v>
                </c:pt>
                <c:pt idx="54">
                  <c:v>6229.8423086755893</c:v>
                </c:pt>
                <c:pt idx="55">
                  <c:v>6076.7631091888115</c:v>
                </c:pt>
                <c:pt idx="56">
                  <c:v>5923.0882689234641</c:v>
                </c:pt>
                <c:pt idx="57">
                  <c:v>5768.8200876623387</c:v>
                </c:pt>
                <c:pt idx="58">
                  <c:v>5613.9608474974675</c:v>
                </c:pt>
                <c:pt idx="59">
                  <c:v>5458.5128130334633</c:v>
                </c:pt>
                <c:pt idx="60">
                  <c:v>5302.4782315877274</c:v>
                </c:pt>
                <c:pt idx="61">
                  <c:v>5145.8593333877052</c:v>
                </c:pt>
                <c:pt idx="62">
                  <c:v>4988.6583317650257</c:v>
                </c:pt>
                <c:pt idx="63">
                  <c:v>4830.877423346833</c:v>
                </c:pt>
                <c:pt idx="64">
                  <c:v>4672.5187882441596</c:v>
                </c:pt>
                <c:pt idx="65">
                  <c:v>4513.5845902374786</c:v>
                </c:pt>
                <c:pt idx="66">
                  <c:v>4354.0769769595718</c:v>
                </c:pt>
                <c:pt idx="67">
                  <c:v>4193.9980800755393</c:v>
                </c:pt>
                <c:pt idx="68">
                  <c:v>4033.350015460293</c:v>
                </c:pt>
                <c:pt idx="69">
                  <c:v>3872.1348833733223</c:v>
                </c:pt>
                <c:pt idx="70">
                  <c:v>3710.3547686309012</c:v>
                </c:pt>
                <c:pt idx="71">
                  <c:v>3548.0117407758567</c:v>
                </c:pt>
                <c:pt idx="72">
                  <c:v>3385.1078542447281</c:v>
                </c:pt>
                <c:pt idx="73">
                  <c:v>3221.6451485326247</c:v>
                </c:pt>
                <c:pt idx="74">
                  <c:v>3057.625648355609</c:v>
                </c:pt>
                <c:pt idx="75">
                  <c:v>2893.0513638107336</c:v>
                </c:pt>
                <c:pt idx="76">
                  <c:v>2727.9242905338506</c:v>
                </c:pt>
                <c:pt idx="77">
                  <c:v>2562.2464098550913</c:v>
                </c:pt>
                <c:pt idx="78">
                  <c:v>2396.0196889521067</c:v>
                </c:pt>
                <c:pt idx="79">
                  <c:v>2229.246081001234</c:v>
                </c:pt>
                <c:pt idx="80">
                  <c:v>2061.9275253263709</c:v>
                </c:pt>
                <c:pt idx="81">
                  <c:v>1894.0659475458879</c:v>
                </c:pt>
                <c:pt idx="82">
                  <c:v>1725.6632597173766</c:v>
                </c:pt>
                <c:pt idx="83">
                  <c:v>1556.7213604803728</c:v>
                </c:pt>
                <c:pt idx="84">
                  <c:v>1387.2421351971661</c:v>
                </c:pt>
                <c:pt idx="85">
                  <c:v>1217.2274560915166</c:v>
                </c:pt>
                <c:pt idx="86">
                  <c:v>1046.6791823855801</c:v>
                </c:pt>
                <c:pt idx="87">
                  <c:v>875.59916043484554</c:v>
                </c:pt>
                <c:pt idx="88">
                  <c:v>703.98922386121103</c:v>
                </c:pt>
                <c:pt idx="89">
                  <c:v>531.85119368432606</c:v>
                </c:pt>
                <c:pt idx="90">
                  <c:v>359.18687845099248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atlanta!$D$9</c:f>
              <c:strCache>
                <c:ptCount val="1"/>
                <c:pt idx="0">
                  <c:v>constant lapse rate</c:v>
                </c:pt>
              </c:strCache>
            </c:strRef>
          </c:tx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atlanta!$B$10:$B$100</c:f>
              <c:numCache>
                <c:formatCode>General</c:formatCode>
                <c:ptCount val="91"/>
                <c:pt idx="0">
                  <c:v>-70</c:v>
                </c:pt>
                <c:pt idx="1">
                  <c:v>-69</c:v>
                </c:pt>
                <c:pt idx="2">
                  <c:v>-68</c:v>
                </c:pt>
                <c:pt idx="3">
                  <c:v>-67</c:v>
                </c:pt>
                <c:pt idx="4">
                  <c:v>-66</c:v>
                </c:pt>
                <c:pt idx="5">
                  <c:v>-65</c:v>
                </c:pt>
                <c:pt idx="6">
                  <c:v>-64</c:v>
                </c:pt>
                <c:pt idx="7">
                  <c:v>-63</c:v>
                </c:pt>
                <c:pt idx="8">
                  <c:v>-62</c:v>
                </c:pt>
                <c:pt idx="9">
                  <c:v>-61</c:v>
                </c:pt>
                <c:pt idx="10">
                  <c:v>-60</c:v>
                </c:pt>
                <c:pt idx="11">
                  <c:v>-59</c:v>
                </c:pt>
                <c:pt idx="12">
                  <c:v>-58</c:v>
                </c:pt>
                <c:pt idx="13">
                  <c:v>-57</c:v>
                </c:pt>
                <c:pt idx="14">
                  <c:v>-56</c:v>
                </c:pt>
                <c:pt idx="15">
                  <c:v>-55</c:v>
                </c:pt>
                <c:pt idx="16">
                  <c:v>-54</c:v>
                </c:pt>
                <c:pt idx="17">
                  <c:v>-53</c:v>
                </c:pt>
                <c:pt idx="18">
                  <c:v>-52</c:v>
                </c:pt>
                <c:pt idx="19">
                  <c:v>-51</c:v>
                </c:pt>
                <c:pt idx="20">
                  <c:v>-50</c:v>
                </c:pt>
                <c:pt idx="21">
                  <c:v>-49</c:v>
                </c:pt>
                <c:pt idx="22">
                  <c:v>-48</c:v>
                </c:pt>
                <c:pt idx="23">
                  <c:v>-47</c:v>
                </c:pt>
                <c:pt idx="24">
                  <c:v>-46</c:v>
                </c:pt>
                <c:pt idx="25">
                  <c:v>-45</c:v>
                </c:pt>
                <c:pt idx="26">
                  <c:v>-44</c:v>
                </c:pt>
                <c:pt idx="27">
                  <c:v>-43</c:v>
                </c:pt>
                <c:pt idx="28">
                  <c:v>-42</c:v>
                </c:pt>
                <c:pt idx="29">
                  <c:v>-41</c:v>
                </c:pt>
                <c:pt idx="30">
                  <c:v>-40</c:v>
                </c:pt>
                <c:pt idx="31">
                  <c:v>-39</c:v>
                </c:pt>
                <c:pt idx="32">
                  <c:v>-38</c:v>
                </c:pt>
                <c:pt idx="33">
                  <c:v>-37</c:v>
                </c:pt>
                <c:pt idx="34">
                  <c:v>-36</c:v>
                </c:pt>
                <c:pt idx="35">
                  <c:v>-35</c:v>
                </c:pt>
                <c:pt idx="36">
                  <c:v>-34</c:v>
                </c:pt>
                <c:pt idx="37">
                  <c:v>-33</c:v>
                </c:pt>
                <c:pt idx="38">
                  <c:v>-32</c:v>
                </c:pt>
                <c:pt idx="39">
                  <c:v>-31</c:v>
                </c:pt>
                <c:pt idx="40">
                  <c:v>-30</c:v>
                </c:pt>
                <c:pt idx="41">
                  <c:v>-29</c:v>
                </c:pt>
                <c:pt idx="42">
                  <c:v>-28</c:v>
                </c:pt>
                <c:pt idx="43">
                  <c:v>-27</c:v>
                </c:pt>
                <c:pt idx="44">
                  <c:v>-26</c:v>
                </c:pt>
                <c:pt idx="45">
                  <c:v>-25</c:v>
                </c:pt>
                <c:pt idx="46">
                  <c:v>-24</c:v>
                </c:pt>
                <c:pt idx="47">
                  <c:v>-23</c:v>
                </c:pt>
                <c:pt idx="48">
                  <c:v>-22</c:v>
                </c:pt>
                <c:pt idx="49">
                  <c:v>-21</c:v>
                </c:pt>
                <c:pt idx="50">
                  <c:v>-20</c:v>
                </c:pt>
                <c:pt idx="51">
                  <c:v>-19</c:v>
                </c:pt>
                <c:pt idx="52">
                  <c:v>-18</c:v>
                </c:pt>
                <c:pt idx="53">
                  <c:v>-17</c:v>
                </c:pt>
                <c:pt idx="54">
                  <c:v>-16</c:v>
                </c:pt>
                <c:pt idx="55">
                  <c:v>-15</c:v>
                </c:pt>
                <c:pt idx="56">
                  <c:v>-14</c:v>
                </c:pt>
                <c:pt idx="57">
                  <c:v>-13</c:v>
                </c:pt>
                <c:pt idx="58">
                  <c:v>-12</c:v>
                </c:pt>
                <c:pt idx="59">
                  <c:v>-11</c:v>
                </c:pt>
                <c:pt idx="60">
                  <c:v>-10</c:v>
                </c:pt>
                <c:pt idx="61">
                  <c:v>-9</c:v>
                </c:pt>
                <c:pt idx="62">
                  <c:v>-8</c:v>
                </c:pt>
                <c:pt idx="63">
                  <c:v>-7</c:v>
                </c:pt>
                <c:pt idx="64">
                  <c:v>-6</c:v>
                </c:pt>
                <c:pt idx="65">
                  <c:v>-5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-1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</c:numCache>
            </c:numRef>
          </c:xVal>
          <c:yVal>
            <c:numRef>
              <c:f>atlanta!$D$10:$D$100</c:f>
              <c:numCache>
                <c:formatCode>General</c:formatCode>
                <c:ptCount val="91"/>
                <c:pt idx="0">
                  <c:v>14138.094120157059</c:v>
                </c:pt>
                <c:pt idx="1">
                  <c:v>13984.419184068396</c:v>
                </c:pt>
                <c:pt idx="2">
                  <c:v>13830.744247979732</c:v>
                </c:pt>
                <c:pt idx="3">
                  <c:v>13677.069311891068</c:v>
                </c:pt>
                <c:pt idx="4">
                  <c:v>13523.394375802405</c:v>
                </c:pt>
                <c:pt idx="5">
                  <c:v>13369.719439713741</c:v>
                </c:pt>
                <c:pt idx="6">
                  <c:v>13216.044503625077</c:v>
                </c:pt>
                <c:pt idx="7">
                  <c:v>13062.369567536412</c:v>
                </c:pt>
                <c:pt idx="8">
                  <c:v>12908.69463144775</c:v>
                </c:pt>
                <c:pt idx="9">
                  <c:v>12755.019695359086</c:v>
                </c:pt>
                <c:pt idx="10">
                  <c:v>12601.344759270421</c:v>
                </c:pt>
                <c:pt idx="11">
                  <c:v>12447.669823181759</c:v>
                </c:pt>
                <c:pt idx="12">
                  <c:v>12293.994887093095</c:v>
                </c:pt>
                <c:pt idx="13">
                  <c:v>12140.319951004431</c:v>
                </c:pt>
                <c:pt idx="14">
                  <c:v>11986.645014915768</c:v>
                </c:pt>
                <c:pt idx="15">
                  <c:v>11832.970078827104</c:v>
                </c:pt>
                <c:pt idx="16">
                  <c:v>11679.29514273844</c:v>
                </c:pt>
                <c:pt idx="17">
                  <c:v>11525.620206649777</c:v>
                </c:pt>
                <c:pt idx="18">
                  <c:v>11371.945270561113</c:v>
                </c:pt>
                <c:pt idx="19">
                  <c:v>11218.270334472449</c:v>
                </c:pt>
                <c:pt idx="20">
                  <c:v>11064.595398383786</c:v>
                </c:pt>
                <c:pt idx="21">
                  <c:v>10910.920462295122</c:v>
                </c:pt>
                <c:pt idx="22">
                  <c:v>10757.245526206458</c:v>
                </c:pt>
                <c:pt idx="23">
                  <c:v>10603.570590117793</c:v>
                </c:pt>
                <c:pt idx="24">
                  <c:v>10449.895654029131</c:v>
                </c:pt>
                <c:pt idx="25">
                  <c:v>10296.220717940467</c:v>
                </c:pt>
                <c:pt idx="26">
                  <c:v>10142.545781851803</c:v>
                </c:pt>
                <c:pt idx="27">
                  <c:v>9988.8708457631401</c:v>
                </c:pt>
                <c:pt idx="28">
                  <c:v>9835.1959096744758</c:v>
                </c:pt>
                <c:pt idx="29">
                  <c:v>9681.5209735858116</c:v>
                </c:pt>
                <c:pt idx="30">
                  <c:v>9527.8460374971492</c:v>
                </c:pt>
                <c:pt idx="31">
                  <c:v>9374.1711014084849</c:v>
                </c:pt>
                <c:pt idx="32">
                  <c:v>9220.4961653198206</c:v>
                </c:pt>
                <c:pt idx="33">
                  <c:v>9066.8212292311582</c:v>
                </c:pt>
                <c:pt idx="34">
                  <c:v>8913.146293142494</c:v>
                </c:pt>
                <c:pt idx="35">
                  <c:v>8759.4713570538297</c:v>
                </c:pt>
                <c:pt idx="36">
                  <c:v>8605.7964209651673</c:v>
                </c:pt>
                <c:pt idx="37">
                  <c:v>8452.121484876503</c:v>
                </c:pt>
                <c:pt idx="38">
                  <c:v>8298.4465487878388</c:v>
                </c:pt>
                <c:pt idx="39">
                  <c:v>8144.7716126991754</c:v>
                </c:pt>
                <c:pt idx="40">
                  <c:v>7991.0966766105121</c:v>
                </c:pt>
                <c:pt idx="41">
                  <c:v>7837.4217405218478</c:v>
                </c:pt>
                <c:pt idx="42">
                  <c:v>7683.7468044331845</c:v>
                </c:pt>
                <c:pt idx="43">
                  <c:v>7530.0718683445202</c:v>
                </c:pt>
                <c:pt idx="44">
                  <c:v>7376.3969322558569</c:v>
                </c:pt>
                <c:pt idx="45">
                  <c:v>7222.7219961671935</c:v>
                </c:pt>
                <c:pt idx="46">
                  <c:v>7069.0470600785293</c:v>
                </c:pt>
                <c:pt idx="47">
                  <c:v>6915.3721239898659</c:v>
                </c:pt>
                <c:pt idx="48">
                  <c:v>6761.6971879012026</c:v>
                </c:pt>
                <c:pt idx="49">
                  <c:v>6608.0222518125383</c:v>
                </c:pt>
                <c:pt idx="50">
                  <c:v>6454.347315723875</c:v>
                </c:pt>
                <c:pt idx="51">
                  <c:v>6300.6723796352107</c:v>
                </c:pt>
                <c:pt idx="52">
                  <c:v>6146.9974435465474</c:v>
                </c:pt>
                <c:pt idx="53">
                  <c:v>5993.3225074578841</c:v>
                </c:pt>
                <c:pt idx="54">
                  <c:v>5839.6475713692198</c:v>
                </c:pt>
                <c:pt idx="55">
                  <c:v>5685.9726352805565</c:v>
                </c:pt>
                <c:pt idx="56">
                  <c:v>5532.2976991918931</c:v>
                </c:pt>
                <c:pt idx="57">
                  <c:v>5378.6227631032289</c:v>
                </c:pt>
                <c:pt idx="58">
                  <c:v>5224.9478270145655</c:v>
                </c:pt>
                <c:pt idx="59">
                  <c:v>5071.2728909259013</c:v>
                </c:pt>
                <c:pt idx="60">
                  <c:v>4917.5979548372379</c:v>
                </c:pt>
                <c:pt idx="61">
                  <c:v>4763.9230187485746</c:v>
                </c:pt>
                <c:pt idx="62">
                  <c:v>4610.2480826599103</c:v>
                </c:pt>
                <c:pt idx="63">
                  <c:v>4456.573146571247</c:v>
                </c:pt>
                <c:pt idx="64">
                  <c:v>4302.8982104825836</c:v>
                </c:pt>
                <c:pt idx="65">
                  <c:v>4149.2232743939194</c:v>
                </c:pt>
                <c:pt idx="66">
                  <c:v>3995.548338305256</c:v>
                </c:pt>
                <c:pt idx="67">
                  <c:v>3841.8734022165922</c:v>
                </c:pt>
                <c:pt idx="68">
                  <c:v>3688.1984661279284</c:v>
                </c:pt>
                <c:pt idx="69">
                  <c:v>3534.5235300392646</c:v>
                </c:pt>
                <c:pt idx="70">
                  <c:v>3380.8485939506013</c:v>
                </c:pt>
                <c:pt idx="71">
                  <c:v>3227.1736578619375</c:v>
                </c:pt>
                <c:pt idx="72">
                  <c:v>3073.4987217732737</c:v>
                </c:pt>
                <c:pt idx="73">
                  <c:v>2919.8237856846099</c:v>
                </c:pt>
                <c:pt idx="74">
                  <c:v>2766.1488495959466</c:v>
                </c:pt>
                <c:pt idx="75">
                  <c:v>2612.4739135072828</c:v>
                </c:pt>
                <c:pt idx="76">
                  <c:v>2458.798977418619</c:v>
                </c:pt>
                <c:pt idx="77">
                  <c:v>2305.1240413299552</c:v>
                </c:pt>
                <c:pt idx="78">
                  <c:v>2151.4491052412918</c:v>
                </c:pt>
                <c:pt idx="79">
                  <c:v>1997.774169152628</c:v>
                </c:pt>
                <c:pt idx="80">
                  <c:v>1844.0992330639642</c:v>
                </c:pt>
                <c:pt idx="81">
                  <c:v>1690.4242969753006</c:v>
                </c:pt>
                <c:pt idx="82">
                  <c:v>1536.7493608866369</c:v>
                </c:pt>
                <c:pt idx="83">
                  <c:v>1383.0744247979733</c:v>
                </c:pt>
                <c:pt idx="84">
                  <c:v>1229.3994887093095</c:v>
                </c:pt>
                <c:pt idx="85">
                  <c:v>1075.7245526206459</c:v>
                </c:pt>
                <c:pt idx="86">
                  <c:v>922.04961653198211</c:v>
                </c:pt>
                <c:pt idx="87">
                  <c:v>768.37468044331843</c:v>
                </c:pt>
                <c:pt idx="88">
                  <c:v>614.69974435465474</c:v>
                </c:pt>
                <c:pt idx="89">
                  <c:v>461.02480826599106</c:v>
                </c:pt>
                <c:pt idx="90">
                  <c:v>307.34987217732737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34944"/>
        <c:axId val="101233408"/>
      </c:scatterChart>
      <c:valAx>
        <c:axId val="101234944"/>
        <c:scaling>
          <c:orientation val="minMax"/>
          <c:max val="20"/>
          <c:min val="-7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1233408"/>
        <c:crosses val="autoZero"/>
        <c:crossBetween val="midCat"/>
      </c:valAx>
      <c:valAx>
        <c:axId val="101233408"/>
        <c:scaling>
          <c:orientation val="minMax"/>
          <c:max val="35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 (m)</a:t>
                </a:r>
              </a:p>
            </c:rich>
          </c:tx>
          <c:layout>
            <c:manualLayout>
              <c:xMode val="edge"/>
              <c:yMode val="edge"/>
              <c:x val="8.3546110134291498E-3"/>
              <c:y val="0.39242226077672498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crossAx val="101234944"/>
        <c:crossesAt val="-70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42051151373068657"/>
          <c:y val="0.46543885404154994"/>
          <c:w val="0.31577249445761024"/>
          <c:h val="0.1294857422483206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1</xdr:row>
      <xdr:rowOff>123825</xdr:rowOff>
    </xdr:from>
    <xdr:to>
      <xdr:col>13</xdr:col>
      <xdr:colOff>142875</xdr:colOff>
      <xdr:row>22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2</xdr:row>
      <xdr:rowOff>57150</xdr:rowOff>
    </xdr:from>
    <xdr:to>
      <xdr:col>14</xdr:col>
      <xdr:colOff>104775</xdr:colOff>
      <xdr:row>25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0.42071</cdr:x>
      <cdr:y>0.11653</cdr:y>
    </cdr:from>
    <cdr:to>
      <cdr:x>0.73786</cdr:x>
      <cdr:y>0.17797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76500" y="523875"/>
          <a:ext cx="1866900" cy="2762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rgbClr val="C00000"/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rgbClr val="C00000"/>
              </a:solidFill>
            </a:rPr>
            <a:t>2000-2007</a:t>
          </a:r>
          <a:r>
            <a:rPr lang="en-US" sz="1100" baseline="0">
              <a:solidFill>
                <a:srgbClr val="C00000"/>
              </a:solidFill>
            </a:rPr>
            <a:t> data from NOAA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0"/>
  <sheetViews>
    <sheetView tabSelected="1" workbookViewId="0">
      <selection activeCell="E2" sqref="E2"/>
    </sheetView>
  </sheetViews>
  <sheetFormatPr defaultRowHeight="15" x14ac:dyDescent="0.25"/>
  <cols>
    <col min="4" max="5" width="12" bestFit="1" customWidth="1"/>
  </cols>
  <sheetData>
    <row r="1" spans="1:5" x14ac:dyDescent="0.25">
      <c r="A1">
        <v>273</v>
      </c>
      <c r="D1" s="1">
        <v>79</v>
      </c>
      <c r="E1" s="1">
        <v>197</v>
      </c>
    </row>
    <row r="2" spans="1:5" x14ac:dyDescent="0.25">
      <c r="D2">
        <f>7/2*1.5</f>
        <v>5.25</v>
      </c>
      <c r="E2">
        <f>17/2*1.5</f>
        <v>12.75</v>
      </c>
    </row>
    <row r="3" spans="1:5" x14ac:dyDescent="0.25">
      <c r="D3">
        <v>0</v>
      </c>
      <c r="E3">
        <v>0</v>
      </c>
    </row>
    <row r="4" spans="1:5" x14ac:dyDescent="0.25">
      <c r="A4">
        <v>-80</v>
      </c>
      <c r="B4">
        <f>+$A4+273</f>
        <v>193</v>
      </c>
      <c r="C4">
        <f>+$A4</f>
        <v>-80</v>
      </c>
      <c r="D4">
        <f>+(($B4+D$3)/D$1)^(D$2)</f>
        <v>108.80118939471271</v>
      </c>
      <c r="E4">
        <f>+(($B4+E$3)/E$1)^(E$2)</f>
        <v>0.76985920394599672</v>
      </c>
    </row>
    <row r="5" spans="1:5" x14ac:dyDescent="0.25">
      <c r="A5">
        <f>+$A4+1</f>
        <v>-79</v>
      </c>
      <c r="B5">
        <f t="shared" ref="B5:B68" si="0">+$A5+273</f>
        <v>194</v>
      </c>
      <c r="C5">
        <f t="shared" ref="C5:C68" si="1">+$A5</f>
        <v>-79</v>
      </c>
      <c r="D5">
        <f t="shared" ref="D5:E68" si="2">+(($B5+D$3)/D$1)^(D$2)</f>
        <v>111.79357715259614</v>
      </c>
      <c r="E5">
        <f t="shared" si="2"/>
        <v>0.82229504455009528</v>
      </c>
    </row>
    <row r="6" spans="1:5" x14ac:dyDescent="0.25">
      <c r="A6">
        <f t="shared" ref="A6:A69" si="3">+$A5+1</f>
        <v>-78</v>
      </c>
      <c r="B6">
        <f t="shared" si="0"/>
        <v>195</v>
      </c>
      <c r="C6">
        <f t="shared" si="1"/>
        <v>-78</v>
      </c>
      <c r="D6">
        <f t="shared" si="2"/>
        <v>114.85224279807811</v>
      </c>
      <c r="E6">
        <f t="shared" si="2"/>
        <v>0.87800484273249013</v>
      </c>
    </row>
    <row r="7" spans="1:5" x14ac:dyDescent="0.25">
      <c r="A7">
        <f t="shared" si="3"/>
        <v>-77</v>
      </c>
      <c r="B7">
        <f t="shared" si="0"/>
        <v>196</v>
      </c>
      <c r="C7">
        <f t="shared" si="1"/>
        <v>-77</v>
      </c>
      <c r="D7">
        <f t="shared" si="2"/>
        <v>117.9783030980086</v>
      </c>
      <c r="E7">
        <f t="shared" si="2"/>
        <v>0.93717463608260865</v>
      </c>
    </row>
    <row r="8" spans="1:5" x14ac:dyDescent="0.25">
      <c r="A8">
        <f t="shared" si="3"/>
        <v>-76</v>
      </c>
      <c r="B8">
        <f t="shared" si="0"/>
        <v>197</v>
      </c>
      <c r="C8">
        <f t="shared" si="1"/>
        <v>-76</v>
      </c>
      <c r="D8">
        <f t="shared" si="2"/>
        <v>121.17288777955802</v>
      </c>
      <c r="E8">
        <f t="shared" si="2"/>
        <v>1</v>
      </c>
    </row>
    <row r="9" spans="1:5" x14ac:dyDescent="0.25">
      <c r="A9">
        <f t="shared" si="3"/>
        <v>-75</v>
      </c>
      <c r="B9">
        <f t="shared" si="0"/>
        <v>198</v>
      </c>
      <c r="C9">
        <f t="shared" si="1"/>
        <v>-75</v>
      </c>
      <c r="D9">
        <f t="shared" si="2"/>
        <v>124.437139613349</v>
      </c>
      <c r="E9">
        <f t="shared" si="2"/>
        <v>1.0666864842463846</v>
      </c>
    </row>
    <row r="10" spans="1:5" x14ac:dyDescent="0.25">
      <c r="A10">
        <f t="shared" si="3"/>
        <v>-74</v>
      </c>
      <c r="B10">
        <f t="shared" si="0"/>
        <v>199</v>
      </c>
      <c r="C10">
        <f t="shared" si="1"/>
        <v>-74</v>
      </c>
      <c r="D10">
        <f t="shared" si="2"/>
        <v>127.77221449669517</v>
      </c>
      <c r="E10">
        <f t="shared" si="2"/>
        <v>1.1374500671038736</v>
      </c>
    </row>
    <row r="11" spans="1:5" x14ac:dyDescent="0.25">
      <c r="A11">
        <f t="shared" si="3"/>
        <v>-73</v>
      </c>
      <c r="B11">
        <f t="shared" si="0"/>
        <v>200</v>
      </c>
      <c r="C11">
        <f t="shared" si="1"/>
        <v>-73</v>
      </c>
      <c r="D11">
        <f t="shared" si="2"/>
        <v>131.1792815369443</v>
      </c>
      <c r="E11">
        <f t="shared" si="2"/>
        <v>1.2125176277545802</v>
      </c>
    </row>
    <row r="12" spans="1:5" x14ac:dyDescent="0.25">
      <c r="A12">
        <f t="shared" si="3"/>
        <v>-72</v>
      </c>
      <c r="B12">
        <f t="shared" si="0"/>
        <v>201</v>
      </c>
      <c r="C12">
        <f t="shared" si="1"/>
        <v>-72</v>
      </c>
      <c r="D12">
        <f t="shared" si="2"/>
        <v>134.65952313492755</v>
      </c>
      <c r="E12">
        <f t="shared" si="2"/>
        <v>1.2921274375151617</v>
      </c>
    </row>
    <row r="13" spans="1:5" x14ac:dyDescent="0.25">
      <c r="A13">
        <f t="shared" si="3"/>
        <v>-71</v>
      </c>
      <c r="B13">
        <f t="shared" si="0"/>
        <v>202</v>
      </c>
      <c r="C13">
        <f t="shared" si="1"/>
        <v>-71</v>
      </c>
      <c r="D13">
        <f t="shared" si="2"/>
        <v>138.21413506851405</v>
      </c>
      <c r="E13">
        <f t="shared" si="2"/>
        <v>1.3765296705783421</v>
      </c>
    </row>
    <row r="14" spans="1:5" x14ac:dyDescent="0.25">
      <c r="A14">
        <f t="shared" si="3"/>
        <v>-70</v>
      </c>
      <c r="B14">
        <f t="shared" si="0"/>
        <v>203</v>
      </c>
      <c r="C14">
        <f t="shared" si="1"/>
        <v>-70</v>
      </c>
      <c r="D14">
        <f t="shared" si="2"/>
        <v>141.84432657626826</v>
      </c>
      <c r="E14">
        <f t="shared" si="2"/>
        <v>1.4659869349327781</v>
      </c>
    </row>
    <row r="15" spans="1:5" x14ac:dyDescent="0.25">
      <c r="A15">
        <f t="shared" si="3"/>
        <v>-69</v>
      </c>
      <c r="B15">
        <f t="shared" si="0"/>
        <v>204</v>
      </c>
      <c r="C15">
        <f t="shared" si="1"/>
        <v>-69</v>
      </c>
      <c r="D15">
        <f t="shared" si="2"/>
        <v>145.55132044121373</v>
      </c>
      <c r="E15">
        <f t="shared" si="2"/>
        <v>1.5607748241519888</v>
      </c>
    </row>
    <row r="16" spans="1:5" x14ac:dyDescent="0.25">
      <c r="A16">
        <f t="shared" si="3"/>
        <v>-68</v>
      </c>
      <c r="B16">
        <f t="shared" si="0"/>
        <v>205</v>
      </c>
      <c r="C16">
        <f t="shared" si="1"/>
        <v>-68</v>
      </c>
      <c r="D16">
        <f t="shared" si="2"/>
        <v>149.33635307469854</v>
      </c>
      <c r="E16">
        <f t="shared" si="2"/>
        <v>1.6611824907633466</v>
      </c>
    </row>
    <row r="17" spans="1:5" x14ac:dyDescent="0.25">
      <c r="A17">
        <f t="shared" si="3"/>
        <v>-67</v>
      </c>
      <c r="B17">
        <f t="shared" si="0"/>
        <v>206</v>
      </c>
      <c r="C17">
        <f t="shared" si="1"/>
        <v>-67</v>
      </c>
      <c r="D17">
        <f t="shared" si="2"/>
        <v>153.20067460036557</v>
      </c>
      <c r="E17">
        <f t="shared" si="2"/>
        <v>1.7675132419284407</v>
      </c>
    </row>
    <row r="18" spans="1:5" x14ac:dyDescent="0.25">
      <c r="A18">
        <f t="shared" si="3"/>
        <v>-66</v>
      </c>
      <c r="B18">
        <f t="shared" si="0"/>
        <v>207</v>
      </c>
      <c r="C18">
        <f t="shared" si="1"/>
        <v>-66</v>
      </c>
      <c r="D18">
        <f t="shared" si="2"/>
        <v>157.14554893822495</v>
      </c>
      <c r="E18">
        <f t="shared" si="2"/>
        <v>1.8800851581872609</v>
      </c>
    </row>
    <row r="19" spans="1:5" x14ac:dyDescent="0.25">
      <c r="A19">
        <f t="shared" si="3"/>
        <v>-65</v>
      </c>
      <c r="B19">
        <f t="shared" si="0"/>
        <v>208</v>
      </c>
      <c r="C19">
        <f t="shared" si="1"/>
        <v>-65</v>
      </c>
      <c r="D19">
        <f t="shared" si="2"/>
        <v>161.17225388882946</v>
      </c>
      <c r="E19">
        <f t="shared" si="2"/>
        <v>1.9992317360401886</v>
      </c>
    </row>
    <row r="20" spans="1:5" x14ac:dyDescent="0.25">
      <c r="A20">
        <f t="shared" si="3"/>
        <v>-64</v>
      </c>
      <c r="B20">
        <f t="shared" si="0"/>
        <v>209</v>
      </c>
      <c r="C20">
        <f t="shared" si="1"/>
        <v>-64</v>
      </c>
      <c r="D20">
        <f t="shared" si="2"/>
        <v>165.28208121755196</v>
      </c>
      <c r="E20">
        <f t="shared" si="2"/>
        <v>2.1253025551636049</v>
      </c>
    </row>
    <row r="21" spans="1:5" x14ac:dyDescent="0.25">
      <c r="A21">
        <f t="shared" si="3"/>
        <v>-63</v>
      </c>
      <c r="B21">
        <f t="shared" si="0"/>
        <v>210</v>
      </c>
      <c r="C21">
        <f t="shared" si="1"/>
        <v>-63</v>
      </c>
      <c r="D21">
        <f t="shared" si="2"/>
        <v>169.47633673896451</v>
      </c>
      <c r="E21">
        <f t="shared" si="2"/>
        <v>2.2586639710777421</v>
      </c>
    </row>
    <row r="22" spans="1:5" x14ac:dyDescent="0.25">
      <c r="A22">
        <f t="shared" si="3"/>
        <v>-62</v>
      </c>
      <c r="B22">
        <f t="shared" si="0"/>
        <v>211</v>
      </c>
      <c r="C22">
        <f t="shared" si="1"/>
        <v>-62</v>
      </c>
      <c r="D22">
        <f t="shared" si="2"/>
        <v>173.75634040131919</v>
      </c>
      <c r="E22">
        <f t="shared" si="2"/>
        <v>2.3996998341081337</v>
      </c>
    </row>
    <row r="23" spans="1:5" x14ac:dyDescent="0.25">
      <c r="A23">
        <f t="shared" si="3"/>
        <v>-61</v>
      </c>
      <c r="B23">
        <f t="shared" si="0"/>
        <v>212</v>
      </c>
      <c r="C23">
        <f t="shared" si="1"/>
        <v>-61</v>
      </c>
      <c r="D23">
        <f t="shared" si="2"/>
        <v>178.12342637113053</v>
      </c>
      <c r="E23">
        <f t="shared" si="2"/>
        <v>2.5488122355059364</v>
      </c>
    </row>
    <row r="24" spans="1:5" x14ac:dyDescent="0.25">
      <c r="A24">
        <f t="shared" si="3"/>
        <v>-60</v>
      </c>
      <c r="B24">
        <f t="shared" si="0"/>
        <v>213</v>
      </c>
      <c r="C24">
        <f t="shared" si="1"/>
        <v>-60</v>
      </c>
      <c r="D24">
        <f t="shared" si="2"/>
        <v>182.57894311785714</v>
      </c>
      <c r="E24">
        <f t="shared" si="2"/>
        <v>2.7064222816162196</v>
      </c>
    </row>
    <row r="25" spans="1:5" x14ac:dyDescent="0.25">
      <c r="A25">
        <f t="shared" si="3"/>
        <v>-59</v>
      </c>
      <c r="B25">
        <f t="shared" si="0"/>
        <v>214</v>
      </c>
      <c r="C25">
        <f t="shared" si="1"/>
        <v>-59</v>
      </c>
      <c r="D25">
        <f t="shared" si="2"/>
        <v>187.12425349868624</v>
      </c>
      <c r="E25">
        <f t="shared" si="2"/>
        <v>2.8729708970081971</v>
      </c>
    </row>
    <row r="26" spans="1:5" x14ac:dyDescent="0.25">
      <c r="A26">
        <f t="shared" si="3"/>
        <v>-58</v>
      </c>
      <c r="B26">
        <f t="shared" si="0"/>
        <v>215</v>
      </c>
      <c r="C26">
        <f t="shared" si="1"/>
        <v>-58</v>
      </c>
      <c r="D26">
        <f t="shared" si="2"/>
        <v>191.76073484341543</v>
      </c>
      <c r="E26">
        <f t="shared" si="2"/>
        <v>3.0489196575066382</v>
      </c>
    </row>
    <row r="27" spans="1:5" x14ac:dyDescent="0.25">
      <c r="A27">
        <f t="shared" si="3"/>
        <v>-57</v>
      </c>
      <c r="B27">
        <f t="shared" si="0"/>
        <v>216</v>
      </c>
      <c r="C27">
        <f t="shared" si="1"/>
        <v>-57</v>
      </c>
      <c r="D27">
        <f t="shared" si="2"/>
        <v>196.48977903943612</v>
      </c>
      <c r="E27">
        <f t="shared" si="2"/>
        <v>3.2347516540892678</v>
      </c>
    </row>
    <row r="28" spans="1:5" x14ac:dyDescent="0.25">
      <c r="A28">
        <f t="shared" si="3"/>
        <v>-56</v>
      </c>
      <c r="B28">
        <f t="shared" si="0"/>
        <v>217</v>
      </c>
      <c r="C28">
        <f t="shared" si="1"/>
        <v>-56</v>
      </c>
      <c r="D28">
        <f t="shared" si="2"/>
        <v>201.31279261681578</v>
      </c>
      <c r="E28">
        <f t="shared" si="2"/>
        <v>3.4309723886417749</v>
      </c>
    </row>
    <row r="29" spans="1:5" x14ac:dyDescent="0.25">
      <c r="A29">
        <f t="shared" si="3"/>
        <v>-55</v>
      </c>
      <c r="B29">
        <f t="shared" si="0"/>
        <v>218</v>
      </c>
      <c r="C29">
        <f t="shared" si="1"/>
        <v>-55</v>
      </c>
      <c r="D29">
        <f t="shared" si="2"/>
        <v>206.23119683347835</v>
      </c>
      <c r="E29">
        <f t="shared" si="2"/>
        <v>3.6381107025885546</v>
      </c>
    </row>
    <row r="30" spans="1:5" x14ac:dyDescent="0.25">
      <c r="A30">
        <f t="shared" si="3"/>
        <v>-54</v>
      </c>
      <c r="B30">
        <f t="shared" si="0"/>
        <v>219</v>
      </c>
      <c r="C30">
        <f t="shared" si="1"/>
        <v>-54</v>
      </c>
      <c r="D30">
        <f t="shared" si="2"/>
        <v>211.24642776048472</v>
      </c>
      <c r="E30">
        <f t="shared" si="2"/>
        <v>3.8567197394454502</v>
      </c>
    </row>
    <row r="31" spans="1:5" x14ac:dyDescent="0.25">
      <c r="A31">
        <f t="shared" si="3"/>
        <v>-53</v>
      </c>
      <c r="B31">
        <f t="shared" si="0"/>
        <v>220</v>
      </c>
      <c r="C31">
        <f t="shared" si="1"/>
        <v>-53</v>
      </c>
      <c r="D31">
        <f t="shared" si="2"/>
        <v>216.35993636741014</v>
      </c>
      <c r="E31">
        <f t="shared" si="2"/>
        <v>4.0873779423684571</v>
      </c>
    </row>
    <row r="32" spans="1:5" x14ac:dyDescent="0.25">
      <c r="A32">
        <f t="shared" si="3"/>
        <v>-52</v>
      </c>
      <c r="B32">
        <f t="shared" si="0"/>
        <v>221</v>
      </c>
      <c r="C32">
        <f t="shared" si="1"/>
        <v>-52</v>
      </c>
      <c r="D32">
        <f t="shared" si="2"/>
        <v>221.57318860782186</v>
      </c>
      <c r="E32">
        <f t="shared" si="2"/>
        <v>4.3306900878015453</v>
      </c>
    </row>
    <row r="33" spans="1:5" x14ac:dyDescent="0.25">
      <c r="A33">
        <f t="shared" si="3"/>
        <v>-51</v>
      </c>
      <c r="B33">
        <f t="shared" si="0"/>
        <v>222</v>
      </c>
      <c r="C33">
        <f t="shared" si="1"/>
        <v>-51</v>
      </c>
      <c r="D33">
        <f t="shared" si="2"/>
        <v>226.88766550485059</v>
      </c>
      <c r="E33">
        <f t="shared" si="2"/>
        <v>4.5872883563562041</v>
      </c>
    </row>
    <row r="34" spans="1:5" x14ac:dyDescent="0.25">
      <c r="A34">
        <f t="shared" si="3"/>
        <v>-50</v>
      </c>
      <c r="B34">
        <f t="shared" si="0"/>
        <v>223</v>
      </c>
      <c r="C34">
        <f t="shared" si="1"/>
        <v>-50</v>
      </c>
      <c r="D34">
        <f t="shared" si="2"/>
        <v>232.30486323686313</v>
      </c>
      <c r="E34">
        <f t="shared" si="2"/>
        <v>4.8578334420851448</v>
      </c>
    </row>
    <row r="35" spans="1:5" x14ac:dyDescent="0.25">
      <c r="A35">
        <f t="shared" si="3"/>
        <v>-49</v>
      </c>
      <c r="B35">
        <f t="shared" si="0"/>
        <v>224</v>
      </c>
      <c r="C35">
        <f t="shared" si="1"/>
        <v>-49</v>
      </c>
      <c r="D35">
        <f t="shared" si="2"/>
        <v>237.82629322322836</v>
      </c>
      <c r="E35">
        <f t="shared" si="2"/>
        <v>5.1430157013438969</v>
      </c>
    </row>
    <row r="36" spans="1:5" x14ac:dyDescent="0.25">
      <c r="A36">
        <f t="shared" si="3"/>
        <v>-48</v>
      </c>
      <c r="B36">
        <f t="shared" si="0"/>
        <v>225</v>
      </c>
      <c r="C36">
        <f t="shared" si="1"/>
        <v>-48</v>
      </c>
      <c r="D36">
        <f t="shared" si="2"/>
        <v>243.45348221018531</v>
      </c>
      <c r="E36">
        <f t="shared" si="2"/>
        <v>5.4435563424648388</v>
      </c>
    </row>
    <row r="37" spans="1:5" x14ac:dyDescent="0.25">
      <c r="A37">
        <f t="shared" si="3"/>
        <v>-47</v>
      </c>
      <c r="B37">
        <f t="shared" si="0"/>
        <v>226</v>
      </c>
      <c r="C37">
        <f t="shared" si="1"/>
        <v>-47</v>
      </c>
      <c r="D37">
        <f t="shared" si="2"/>
        <v>249.18797235680012</v>
      </c>
      <c r="E37">
        <f t="shared" si="2"/>
        <v>5.7602086575011242</v>
      </c>
    </row>
    <row r="38" spans="1:5" x14ac:dyDescent="0.25">
      <c r="A38">
        <f t="shared" si="3"/>
        <v>-46</v>
      </c>
      <c r="B38">
        <f t="shared" si="0"/>
        <v>227</v>
      </c>
      <c r="C38">
        <f t="shared" si="1"/>
        <v>-46</v>
      </c>
      <c r="D38">
        <f t="shared" si="2"/>
        <v>255.03132132102547</v>
      </c>
      <c r="E38">
        <f t="shared" si="2"/>
        <v>6.0937592973298926</v>
      </c>
    </row>
    <row r="39" spans="1:5" x14ac:dyDescent="0.25">
      <c r="A39">
        <f t="shared" si="3"/>
        <v>-45</v>
      </c>
      <c r="B39">
        <f t="shared" si="0"/>
        <v>228</v>
      </c>
      <c r="C39">
        <f t="shared" si="1"/>
        <v>-45</v>
      </c>
      <c r="D39">
        <f t="shared" si="2"/>
        <v>260.98510234585189</v>
      </c>
      <c r="E39">
        <f t="shared" si="2"/>
        <v>6.4450295914386544</v>
      </c>
    </row>
    <row r="40" spans="1:5" x14ac:dyDescent="0.25">
      <c r="A40">
        <f t="shared" si="3"/>
        <v>-44</v>
      </c>
      <c r="B40">
        <f t="shared" si="0"/>
        <v>229</v>
      </c>
      <c r="C40">
        <f t="shared" si="1"/>
        <v>-44</v>
      </c>
      <c r="D40">
        <f t="shared" si="2"/>
        <v>267.05090434555706</v>
      </c>
      <c r="E40">
        <f t="shared" si="2"/>
        <v>6.8148769137521343</v>
      </c>
    </row>
    <row r="41" spans="1:5" x14ac:dyDescent="0.25">
      <c r="A41">
        <f t="shared" si="3"/>
        <v>-43</v>
      </c>
      <c r="B41">
        <f t="shared" si="0"/>
        <v>230</v>
      </c>
      <c r="C41">
        <f t="shared" si="1"/>
        <v>-43</v>
      </c>
      <c r="D41">
        <f t="shared" si="2"/>
        <v>273.23033199204752</v>
      </c>
      <c r="E41">
        <f t="shared" si="2"/>
        <v>7.2041960958923266</v>
      </c>
    </row>
    <row r="42" spans="1:5" x14ac:dyDescent="0.25">
      <c r="A42">
        <f t="shared" si="3"/>
        <v>-42</v>
      </c>
      <c r="B42">
        <f t="shared" si="0"/>
        <v>231</v>
      </c>
      <c r="C42">
        <f t="shared" si="1"/>
        <v>-42</v>
      </c>
      <c r="D42">
        <f t="shared" si="2"/>
        <v>279.52500580129572</v>
      </c>
      <c r="E42">
        <f t="shared" si="2"/>
        <v>7.6139208893003474</v>
      </c>
    </row>
    <row r="43" spans="1:5" x14ac:dyDescent="0.25">
      <c r="A43">
        <f t="shared" si="3"/>
        <v>-41</v>
      </c>
      <c r="B43">
        <f t="shared" si="0"/>
        <v>232</v>
      </c>
      <c r="C43">
        <f t="shared" si="1"/>
        <v>-41</v>
      </c>
      <c r="D43">
        <f t="shared" si="2"/>
        <v>285.9365622198747</v>
      </c>
      <c r="E43">
        <f t="shared" si="2"/>
        <v>8.0450254776844847</v>
      </c>
    </row>
    <row r="44" spans="1:5" x14ac:dyDescent="0.25">
      <c r="A44">
        <f t="shared" si="3"/>
        <v>-40</v>
      </c>
      <c r="B44">
        <f t="shared" si="0"/>
        <v>233</v>
      </c>
      <c r="C44">
        <f t="shared" si="1"/>
        <v>-40</v>
      </c>
      <c r="D44">
        <f t="shared" si="2"/>
        <v>292.46665371158156</v>
      </c>
      <c r="E44">
        <f t="shared" si="2"/>
        <v>8.4985260412970884</v>
      </c>
    </row>
    <row r="45" spans="1:5" x14ac:dyDescent="0.25">
      <c r="A45">
        <f t="shared" si="3"/>
        <v>-39</v>
      </c>
      <c r="B45">
        <f t="shared" si="0"/>
        <v>234</v>
      </c>
      <c r="C45">
        <f t="shared" si="1"/>
        <v>-39</v>
      </c>
      <c r="D45">
        <f t="shared" si="2"/>
        <v>299.11694884415857</v>
      </c>
      <c r="E45">
        <f t="shared" si="2"/>
        <v>8.9754823745798031</v>
      </c>
    </row>
    <row r="46" spans="1:5" x14ac:dyDescent="0.25">
      <c r="A46">
        <f t="shared" si="3"/>
        <v>-38</v>
      </c>
      <c r="B46">
        <f t="shared" si="0"/>
        <v>235</v>
      </c>
      <c r="C46">
        <f t="shared" si="1"/>
        <v>-38</v>
      </c>
      <c r="D46">
        <f t="shared" si="2"/>
        <v>305.88913237610802</v>
      </c>
      <c r="E46">
        <f t="shared" si="2"/>
        <v>9.4769995587567148</v>
      </c>
    </row>
    <row r="47" spans="1:5" x14ac:dyDescent="0.25">
      <c r="A47">
        <f t="shared" si="3"/>
        <v>-37</v>
      </c>
      <c r="B47">
        <f t="shared" si="0"/>
        <v>236</v>
      </c>
      <c r="C47">
        <f t="shared" si="1"/>
        <v>-37</v>
      </c>
      <c r="D47">
        <f t="shared" si="2"/>
        <v>312.78490534359651</v>
      </c>
      <c r="E47">
        <f t="shared" si="2"/>
        <v>10.004229690993435</v>
      </c>
    </row>
    <row r="48" spans="1:5" x14ac:dyDescent="0.25">
      <c r="A48">
        <f t="shared" si="3"/>
        <v>-36</v>
      </c>
      <c r="B48">
        <f t="shared" si="0"/>
        <v>237</v>
      </c>
      <c r="C48">
        <f t="shared" si="1"/>
        <v>-36</v>
      </c>
      <c r="D48">
        <f t="shared" si="2"/>
        <v>319.80598514745571</v>
      </c>
      <c r="E48">
        <f t="shared" si="2"/>
        <v>10.558373671781307</v>
      </c>
    </row>
    <row r="49" spans="1:5" x14ac:dyDescent="0.25">
      <c r="A49">
        <f t="shared" si="3"/>
        <v>-35</v>
      </c>
      <c r="B49">
        <f t="shared" si="0"/>
        <v>238</v>
      </c>
      <c r="C49">
        <f t="shared" si="1"/>
        <v>-35</v>
      </c>
      <c r="D49">
        <f t="shared" si="2"/>
        <v>326.95410564027503</v>
      </c>
      <c r="E49">
        <f t="shared" si="2"/>
        <v>11.140683052247237</v>
      </c>
    </row>
    <row r="50" spans="1:5" x14ac:dyDescent="0.25">
      <c r="A50">
        <f t="shared" si="3"/>
        <v>-34</v>
      </c>
      <c r="B50">
        <f t="shared" si="0"/>
        <v>239</v>
      </c>
      <c r="C50">
        <f t="shared" si="1"/>
        <v>-34</v>
      </c>
      <c r="D50">
        <f t="shared" si="2"/>
        <v>334.23101721358523</v>
      </c>
      <c r="E50">
        <f t="shared" si="2"/>
        <v>11.752461943130909</v>
      </c>
    </row>
    <row r="51" spans="1:5" x14ac:dyDescent="0.25">
      <c r="A51">
        <f t="shared" si="3"/>
        <v>-33</v>
      </c>
      <c r="B51">
        <f t="shared" si="0"/>
        <v>240</v>
      </c>
      <c r="C51">
        <f t="shared" si="1"/>
        <v>-33</v>
      </c>
      <c r="D51">
        <f t="shared" si="2"/>
        <v>341.63848688513588</v>
      </c>
      <c r="E51">
        <f t="shared" si="2"/>
        <v>12.395068987215561</v>
      </c>
    </row>
    <row r="52" spans="1:5" x14ac:dyDescent="0.25">
      <c r="A52">
        <f t="shared" si="3"/>
        <v>-32</v>
      </c>
      <c r="B52">
        <f t="shared" si="0"/>
        <v>241</v>
      </c>
      <c r="C52">
        <f t="shared" si="1"/>
        <v>-32</v>
      </c>
      <c r="D52">
        <f t="shared" si="2"/>
        <v>349.1782983862625</v>
      </c>
      <c r="E52">
        <f t="shared" si="2"/>
        <v>13.069919397040538</v>
      </c>
    </row>
    <row r="53" spans="1:5" x14ac:dyDescent="0.25">
      <c r="A53">
        <f t="shared" si="3"/>
        <v>-31</v>
      </c>
      <c r="B53">
        <f t="shared" si="0"/>
        <v>242</v>
      </c>
      <c r="C53">
        <f t="shared" si="1"/>
        <v>-31</v>
      </c>
      <c r="D53">
        <f t="shared" si="2"/>
        <v>356.85225224934737</v>
      </c>
      <c r="E53">
        <f t="shared" si="2"/>
        <v>13.778487059770557</v>
      </c>
    </row>
    <row r="54" spans="1:5" x14ac:dyDescent="0.25">
      <c r="A54">
        <f t="shared" si="3"/>
        <v>-30</v>
      </c>
      <c r="B54">
        <f t="shared" si="0"/>
        <v>243</v>
      </c>
      <c r="C54">
        <f t="shared" si="1"/>
        <v>-30</v>
      </c>
      <c r="D54">
        <f t="shared" si="2"/>
        <v>364.66216589537038</v>
      </c>
      <c r="E54">
        <f t="shared" si="2"/>
        <v>14.52230671114031</v>
      </c>
    </row>
    <row r="55" spans="1:5" x14ac:dyDescent="0.25">
      <c r="A55">
        <f t="shared" si="3"/>
        <v>-29</v>
      </c>
      <c r="B55">
        <f t="shared" si="0"/>
        <v>244</v>
      </c>
      <c r="C55">
        <f t="shared" si="1"/>
        <v>-29</v>
      </c>
      <c r="D55">
        <f t="shared" si="2"/>
        <v>372.60987372154887</v>
      </c>
      <c r="E55">
        <f t="shared" si="2"/>
        <v>15.302976180441027</v>
      </c>
    </row>
    <row r="56" spans="1:5" x14ac:dyDescent="0.25">
      <c r="A56">
        <f t="shared" si="3"/>
        <v>-28</v>
      </c>
      <c r="B56">
        <f t="shared" si="0"/>
        <v>245</v>
      </c>
      <c r="C56">
        <f t="shared" si="1"/>
        <v>-28</v>
      </c>
      <c r="D56">
        <f t="shared" si="2"/>
        <v>380.69722718907235</v>
      </c>
      <c r="E56">
        <f t="shared" si="2"/>
        <v>16.12215870856258</v>
      </c>
    </row>
    <row r="57" spans="1:5" x14ac:dyDescent="0.25">
      <c r="A57">
        <f t="shared" si="3"/>
        <v>-27</v>
      </c>
      <c r="B57">
        <f t="shared" si="0"/>
        <v>246</v>
      </c>
      <c r="C57">
        <f t="shared" si="1"/>
        <v>-27</v>
      </c>
      <c r="D57">
        <f t="shared" si="2"/>
        <v>388.92609491092429</v>
      </c>
      <c r="E57">
        <f t="shared" si="2"/>
        <v>16.981585341152545</v>
      </c>
    </row>
    <row r="58" spans="1:5" x14ac:dyDescent="0.25">
      <c r="A58">
        <f t="shared" si="3"/>
        <v>-26</v>
      </c>
      <c r="B58">
        <f t="shared" si="0"/>
        <v>247</v>
      </c>
      <c r="C58">
        <f t="shared" si="1"/>
        <v>-26</v>
      </c>
      <c r="D58">
        <f t="shared" si="2"/>
        <v>397.29836273979333</v>
      </c>
      <c r="E58">
        <f t="shared" si="2"/>
        <v>17.883057399004446</v>
      </c>
    </row>
    <row r="59" spans="1:5" x14ac:dyDescent="0.25">
      <c r="A59">
        <f t="shared" si="3"/>
        <v>-25</v>
      </c>
      <c r="B59">
        <f t="shared" si="0"/>
        <v>248</v>
      </c>
      <c r="C59">
        <f t="shared" si="1"/>
        <v>-25</v>
      </c>
      <c r="D59">
        <f t="shared" si="2"/>
        <v>405.81593385607846</v>
      </c>
      <c r="E59">
        <f t="shared" si="2"/>
        <v>18.82844902783582</v>
      </c>
    </row>
    <row r="60" spans="1:5" x14ac:dyDescent="0.25">
      <c r="A60">
        <f t="shared" si="3"/>
        <v>-24</v>
      </c>
      <c r="B60">
        <f t="shared" si="0"/>
        <v>249</v>
      </c>
      <c r="C60">
        <f t="shared" si="1"/>
        <v>-24</v>
      </c>
      <c r="D60">
        <f t="shared" si="2"/>
        <v>414.48072885597816</v>
      </c>
      <c r="E60">
        <f t="shared" si="2"/>
        <v>19.819709829670128</v>
      </c>
    </row>
    <row r="61" spans="1:5" x14ac:dyDescent="0.25">
      <c r="A61">
        <f t="shared" si="3"/>
        <v>-23</v>
      </c>
      <c r="B61">
        <f t="shared" si="0"/>
        <v>250</v>
      </c>
      <c r="C61">
        <f t="shared" si="1"/>
        <v>-23</v>
      </c>
      <c r="D61">
        <f t="shared" si="2"/>
        <v>423.29468583967349</v>
      </c>
      <c r="E61">
        <f t="shared" si="2"/>
        <v>20.858867578087146</v>
      </c>
    </row>
    <row r="62" spans="1:5" x14ac:dyDescent="0.25">
      <c r="A62">
        <f t="shared" si="3"/>
        <v>-22</v>
      </c>
      <c r="B62">
        <f t="shared" si="0"/>
        <v>251</v>
      </c>
      <c r="C62">
        <f t="shared" si="1"/>
        <v>-22</v>
      </c>
      <c r="D62">
        <f t="shared" si="2"/>
        <v>432.25976049959667</v>
      </c>
      <c r="E62">
        <f t="shared" si="2"/>
        <v>21.948031019660615</v>
      </c>
    </row>
    <row r="63" spans="1:5" x14ac:dyDescent="0.25">
      <c r="A63">
        <f t="shared" si="3"/>
        <v>-21</v>
      </c>
      <c r="B63">
        <f t="shared" si="0"/>
        <v>252</v>
      </c>
      <c r="C63">
        <f t="shared" si="1"/>
        <v>-21</v>
      </c>
      <c r="D63">
        <f t="shared" si="2"/>
        <v>441.37792620879111</v>
      </c>
      <c r="E63">
        <f t="shared" si="2"/>
        <v>23.089392763956901</v>
      </c>
    </row>
    <row r="64" spans="1:5" x14ac:dyDescent="0.25">
      <c r="A64">
        <f t="shared" si="3"/>
        <v>-20</v>
      </c>
      <c r="B64">
        <f t="shared" si="0"/>
        <v>253</v>
      </c>
      <c r="C64">
        <f t="shared" si="1"/>
        <v>-20</v>
      </c>
      <c r="D64">
        <f t="shared" si="2"/>
        <v>450.65117410935704</v>
      </c>
      <c r="E64">
        <f t="shared" si="2"/>
        <v>24.285232264522012</v>
      </c>
    </row>
    <row r="65" spans="1:5" x14ac:dyDescent="0.25">
      <c r="A65">
        <f t="shared" si="3"/>
        <v>-19</v>
      </c>
      <c r="B65">
        <f t="shared" si="0"/>
        <v>254</v>
      </c>
      <c r="C65">
        <f t="shared" si="1"/>
        <v>-19</v>
      </c>
      <c r="D65">
        <f t="shared" si="2"/>
        <v>460.0815132009871</v>
      </c>
      <c r="E65">
        <f t="shared" si="2"/>
        <v>25.537918893343363</v>
      </c>
    </row>
    <row r="66" spans="1:5" x14ac:dyDescent="0.25">
      <c r="A66">
        <f t="shared" si="3"/>
        <v>-18</v>
      </c>
      <c r="B66">
        <f t="shared" si="0"/>
        <v>255</v>
      </c>
      <c r="C66">
        <f t="shared" si="1"/>
        <v>-18</v>
      </c>
      <c r="D66">
        <f t="shared" si="2"/>
        <v>469.67097042959142</v>
      </c>
      <c r="E66">
        <f t="shared" si="2"/>
        <v>26.849915111327398</v>
      </c>
    </row>
    <row r="67" spans="1:5" x14ac:dyDescent="0.25">
      <c r="A67">
        <f t="shared" si="3"/>
        <v>-17</v>
      </c>
      <c r="B67">
        <f t="shared" si="0"/>
        <v>256</v>
      </c>
      <c r="C67">
        <f t="shared" si="1"/>
        <v>-17</v>
      </c>
      <c r="D67">
        <f t="shared" si="2"/>
        <v>479.4215907760057</v>
      </c>
      <c r="E67">
        <f t="shared" si="2"/>
        <v>28.223779737395972</v>
      </c>
    </row>
    <row r="68" spans="1:5" x14ac:dyDescent="0.25">
      <c r="A68">
        <f t="shared" si="3"/>
        <v>-16</v>
      </c>
      <c r="B68">
        <f t="shared" si="0"/>
        <v>257</v>
      </c>
      <c r="C68">
        <f t="shared" si="1"/>
        <v>-16</v>
      </c>
      <c r="D68">
        <f t="shared" si="2"/>
        <v>489.33543734479036</v>
      </c>
      <c r="E68">
        <f t="shared" si="2"/>
        <v>29.662171318861091</v>
      </c>
    </row>
    <row r="69" spans="1:5" x14ac:dyDescent="0.25">
      <c r="A69">
        <f t="shared" si="3"/>
        <v>-15</v>
      </c>
      <c r="B69">
        <f t="shared" ref="B69:B132" si="4">+$A69+273</f>
        <v>258</v>
      </c>
      <c r="C69">
        <f t="shared" ref="C69:C132" si="5">+$A69</f>
        <v>-15</v>
      </c>
      <c r="D69">
        <f t="shared" ref="D69:E132" si="6">+(($B69+D$3)/D$1)^(D$2)</f>
        <v>499.41459145311592</v>
      </c>
      <c r="E69">
        <f t="shared" si="6"/>
        <v>31.167851605800735</v>
      </c>
    </row>
    <row r="70" spans="1:5" x14ac:dyDescent="0.25">
      <c r="A70">
        <f t="shared" ref="A70:A133" si="7">+$A69+1</f>
        <v>-14</v>
      </c>
      <c r="B70">
        <f t="shared" si="4"/>
        <v>259</v>
      </c>
      <c r="C70">
        <f t="shared" si="5"/>
        <v>-14</v>
      </c>
      <c r="D70">
        <f t="shared" si="6"/>
        <v>509.66115271973388</v>
      </c>
      <c r="E70">
        <f t="shared" si="6"/>
        <v>32.743689132220354</v>
      </c>
    </row>
    <row r="71" spans="1:5" x14ac:dyDescent="0.25">
      <c r="A71">
        <f t="shared" si="7"/>
        <v>-13</v>
      </c>
      <c r="B71">
        <f t="shared" si="4"/>
        <v>260</v>
      </c>
      <c r="C71">
        <f t="shared" si="5"/>
        <v>-13</v>
      </c>
      <c r="D71">
        <f t="shared" si="6"/>
        <v>520.07723915403812</v>
      </c>
      <c r="E71">
        <f t="shared" si="6"/>
        <v>34.392662906845707</v>
      </c>
    </row>
    <row r="72" spans="1:5" x14ac:dyDescent="0.25">
      <c r="A72">
        <f t="shared" si="7"/>
        <v>-12</v>
      </c>
      <c r="B72">
        <f t="shared" si="4"/>
        <v>261</v>
      </c>
      <c r="C72">
        <f t="shared" si="5"/>
        <v>-12</v>
      </c>
      <c r="D72">
        <f t="shared" si="6"/>
        <v>530.66498724520568</v>
      </c>
      <c r="E72">
        <f t="shared" si="6"/>
        <v>36.117866216461046</v>
      </c>
    </row>
    <row r="73" spans="1:5" x14ac:dyDescent="0.25">
      <c r="A73">
        <f t="shared" si="7"/>
        <v>-11</v>
      </c>
      <c r="B73">
        <f t="shared" si="4"/>
        <v>262</v>
      </c>
      <c r="C73">
        <f t="shared" si="5"/>
        <v>-11</v>
      </c>
      <c r="D73">
        <f t="shared" si="6"/>
        <v>541.42655205143342</v>
      </c>
      <c r="E73">
        <f t="shared" si="6"/>
        <v>37.922510544767505</v>
      </c>
    </row>
    <row r="74" spans="1:5" x14ac:dyDescent="0.25">
      <c r="A74">
        <f t="shared" si="7"/>
        <v>-10</v>
      </c>
      <c r="B74">
        <f t="shared" si="4"/>
        <v>263</v>
      </c>
      <c r="C74">
        <f t="shared" si="5"/>
        <v>-10</v>
      </c>
      <c r="D74">
        <f t="shared" si="6"/>
        <v>552.36410728924784</v>
      </c>
      <c r="E74">
        <f t="shared" si="6"/>
        <v>39.8099296098084</v>
      </c>
    </row>
    <row r="75" spans="1:5" x14ac:dyDescent="0.25">
      <c r="A75">
        <f t="shared" si="7"/>
        <v>-9</v>
      </c>
      <c r="B75">
        <f t="shared" si="4"/>
        <v>264</v>
      </c>
      <c r="C75">
        <f t="shared" si="5"/>
        <v>-9</v>
      </c>
      <c r="D75">
        <f t="shared" si="6"/>
        <v>563.47984542291431</v>
      </c>
      <c r="E75">
        <f t="shared" si="6"/>
        <v>41.78358352307157</v>
      </c>
    </row>
    <row r="76" spans="1:5" x14ac:dyDescent="0.25">
      <c r="A76">
        <f t="shared" si="7"/>
        <v>-8</v>
      </c>
      <c r="B76">
        <f t="shared" si="4"/>
        <v>265</v>
      </c>
      <c r="C76">
        <f t="shared" si="5"/>
        <v>-8</v>
      </c>
      <c r="D76">
        <f t="shared" si="6"/>
        <v>574.77597775391996</v>
      </c>
      <c r="E76">
        <f t="shared" si="6"/>
        <v>43.847063073451267</v>
      </c>
    </row>
    <row r="77" spans="1:5" x14ac:dyDescent="0.25">
      <c r="A77">
        <f t="shared" si="7"/>
        <v>-7</v>
      </c>
      <c r="B77">
        <f t="shared" si="4"/>
        <v>266</v>
      </c>
      <c r="C77">
        <f t="shared" si="5"/>
        <v>-7</v>
      </c>
      <c r="D77">
        <f t="shared" si="6"/>
        <v>586.25473451054972</v>
      </c>
      <c r="E77">
        <f t="shared" si="6"/>
        <v>46.004094139322511</v>
      </c>
    </row>
    <row r="78" spans="1:5" x14ac:dyDescent="0.25">
      <c r="A78">
        <f t="shared" si="7"/>
        <v>-6</v>
      </c>
      <c r="B78">
        <f t="shared" si="4"/>
        <v>267</v>
      </c>
      <c r="C78">
        <f t="shared" si="5"/>
        <v>-6</v>
      </c>
      <c r="D78">
        <f t="shared" si="6"/>
        <v>597.9183649375417</v>
      </c>
      <c r="E78">
        <f t="shared" si="6"/>
        <v>48.258542232049926</v>
      </c>
    </row>
    <row r="79" spans="1:5" x14ac:dyDescent="0.25">
      <c r="A79">
        <f t="shared" si="7"/>
        <v>-5</v>
      </c>
      <c r="B79">
        <f t="shared" si="4"/>
        <v>268</v>
      </c>
      <c r="C79">
        <f t="shared" si="5"/>
        <v>-5</v>
      </c>
      <c r="D79">
        <f t="shared" si="6"/>
        <v>609.76913738583403</v>
      </c>
      <c r="E79">
        <f t="shared" si="6"/>
        <v>50.614417174331173</v>
      </c>
    </row>
    <row r="80" spans="1:5" x14ac:dyDescent="0.25">
      <c r="A80">
        <f t="shared" si="7"/>
        <v>-4</v>
      </c>
      <c r="B80">
        <f t="shared" si="4"/>
        <v>269</v>
      </c>
      <c r="C80">
        <f t="shared" si="5"/>
        <v>-4</v>
      </c>
      <c r="D80">
        <f t="shared" si="6"/>
        <v>621.80933940238367</v>
      </c>
      <c r="E80">
        <f t="shared" si="6"/>
        <v>53.07587791684319</v>
      </c>
    </row>
    <row r="81" spans="1:5" x14ac:dyDescent="0.25">
      <c r="A81">
        <f t="shared" si="7"/>
        <v>-3</v>
      </c>
      <c r="B81">
        <f t="shared" si="4"/>
        <v>270</v>
      </c>
      <c r="C81">
        <f t="shared" si="5"/>
        <v>-3</v>
      </c>
      <c r="D81">
        <f t="shared" si="6"/>
        <v>634.04127782008698</v>
      </c>
      <c r="E81">
        <f t="shared" si="6"/>
        <v>55.64723749674279</v>
      </c>
    </row>
    <row r="82" spans="1:5" x14ac:dyDescent="0.25">
      <c r="A82">
        <f t="shared" si="7"/>
        <v>-2</v>
      </c>
      <c r="B82">
        <f t="shared" si="4"/>
        <v>271</v>
      </c>
      <c r="C82">
        <f t="shared" si="5"/>
        <v>-2</v>
      </c>
      <c r="D82">
        <f t="shared" si="6"/>
        <v>646.46727884776681</v>
      </c>
      <c r="E82">
        <f t="shared" si="6"/>
        <v>58.332968141643157</v>
      </c>
    </row>
    <row r="83" spans="1:5" x14ac:dyDescent="0.25">
      <c r="A83">
        <f t="shared" si="7"/>
        <v>-1</v>
      </c>
      <c r="B83">
        <f t="shared" si="4"/>
        <v>272</v>
      </c>
      <c r="C83">
        <f t="shared" si="5"/>
        <v>-1</v>
      </c>
      <c r="D83">
        <f t="shared" si="6"/>
        <v>659.08968816025413</v>
      </c>
      <c r="E83">
        <f t="shared" si="6"/>
        <v>61.137706522771012</v>
      </c>
    </row>
    <row r="84" spans="1:5" x14ac:dyDescent="0.25">
      <c r="A84">
        <f t="shared" si="7"/>
        <v>0</v>
      </c>
      <c r="B84">
        <f t="shared" si="4"/>
        <v>273</v>
      </c>
      <c r="C84">
        <f t="shared" si="5"/>
        <v>0</v>
      </c>
      <c r="D84">
        <f t="shared" si="6"/>
        <v>671.91087098855257</v>
      </c>
      <c r="E84">
        <f t="shared" si="6"/>
        <v>64.066259161089334</v>
      </c>
    </row>
    <row r="85" spans="1:5" x14ac:dyDescent="0.25">
      <c r="A85">
        <f t="shared" si="7"/>
        <v>1</v>
      </c>
      <c r="B85">
        <f t="shared" si="4"/>
        <v>274</v>
      </c>
      <c r="C85">
        <f t="shared" si="5"/>
        <v>1</v>
      </c>
      <c r="D85">
        <f t="shared" si="6"/>
        <v>684.93321221007795</v>
      </c>
      <c r="E85">
        <f t="shared" si="6"/>
        <v>67.123607990247237</v>
      </c>
    </row>
    <row r="86" spans="1:5" x14ac:dyDescent="0.25">
      <c r="A86">
        <f t="shared" si="7"/>
        <v>2</v>
      </c>
      <c r="B86">
        <f t="shared" si="4"/>
        <v>275</v>
      </c>
      <c r="C86">
        <f t="shared" si="5"/>
        <v>2</v>
      </c>
      <c r="D86">
        <f t="shared" si="6"/>
        <v>698.15911643899119</v>
      </c>
      <c r="E86">
        <f t="shared" si="6"/>
        <v>70.314916080308393</v>
      </c>
    </row>
    <row r="87" spans="1:5" x14ac:dyDescent="0.25">
      <c r="A87">
        <f t="shared" si="7"/>
        <v>3</v>
      </c>
      <c r="B87">
        <f t="shared" si="4"/>
        <v>276</v>
      </c>
      <c r="C87">
        <f t="shared" si="5"/>
        <v>3</v>
      </c>
      <c r="D87">
        <f t="shared" si="6"/>
        <v>711.59100811660721</v>
      </c>
      <c r="E87">
        <f t="shared" si="6"/>
        <v>73.645533526287252</v>
      </c>
    </row>
    <row r="88" spans="1:5" x14ac:dyDescent="0.25">
      <c r="A88">
        <f t="shared" si="7"/>
        <v>4</v>
      </c>
      <c r="B88">
        <f t="shared" si="4"/>
        <v>277</v>
      </c>
      <c r="C88">
        <f t="shared" si="5"/>
        <v>4</v>
      </c>
      <c r="D88">
        <f t="shared" si="6"/>
        <v>725.23133160188945</v>
      </c>
      <c r="E88">
        <f t="shared" si="6"/>
        <v>77.121003505613203</v>
      </c>
    </row>
    <row r="89" spans="1:5" x14ac:dyDescent="0.25">
      <c r="A89">
        <f t="shared" si="7"/>
        <v>5</v>
      </c>
      <c r="B89">
        <f t="shared" si="4"/>
        <v>278</v>
      </c>
      <c r="C89">
        <f t="shared" si="5"/>
        <v>5</v>
      </c>
      <c r="D89">
        <f t="shared" si="6"/>
        <v>739.08255126202369</v>
      </c>
      <c r="E89">
        <f t="shared" si="6"/>
        <v>80.747068508725604</v>
      </c>
    </row>
    <row r="90" spans="1:5" x14ac:dyDescent="0.25">
      <c r="A90">
        <f t="shared" si="7"/>
        <v>6</v>
      </c>
      <c r="B90">
        <f t="shared" si="4"/>
        <v>279</v>
      </c>
      <c r="C90">
        <f t="shared" si="5"/>
        <v>6</v>
      </c>
      <c r="D90">
        <f t="shared" si="6"/>
        <v>753.14715156307693</v>
      </c>
      <c r="E90">
        <f t="shared" si="6"/>
        <v>84.529676747096943</v>
      </c>
    </row>
    <row r="91" spans="1:5" x14ac:dyDescent="0.25">
      <c r="A91">
        <f t="shared" si="7"/>
        <v>7</v>
      </c>
      <c r="B91">
        <f t="shared" si="4"/>
        <v>280</v>
      </c>
      <c r="C91">
        <f t="shared" si="5"/>
        <v>7</v>
      </c>
      <c r="D91">
        <f t="shared" si="6"/>
        <v>767.42763716073955</v>
      </c>
      <c r="E91">
        <f t="shared" si="6"/>
        <v>88.474988743065637</v>
      </c>
    </row>
    <row r="92" spans="1:5" x14ac:dyDescent="0.25">
      <c r="A92">
        <f t="shared" si="7"/>
        <v>8</v>
      </c>
      <c r="B92">
        <f t="shared" si="4"/>
        <v>281</v>
      </c>
      <c r="C92">
        <f t="shared" si="5"/>
        <v>8</v>
      </c>
      <c r="D92">
        <f t="shared" si="6"/>
        <v>781.92653299114272</v>
      </c>
      <c r="E92">
        <f t="shared" si="6"/>
        <v>92.589384105956</v>
      </c>
    </row>
    <row r="93" spans="1:5" x14ac:dyDescent="0.25">
      <c r="A93">
        <f t="shared" si="7"/>
        <v>9</v>
      </c>
      <c r="B93">
        <f t="shared" si="4"/>
        <v>282</v>
      </c>
      <c r="C93">
        <f t="shared" si="5"/>
        <v>9</v>
      </c>
      <c r="D93">
        <f t="shared" si="6"/>
        <v>796.64638436176449</v>
      </c>
      <c r="E93">
        <f t="shared" si="6"/>
        <v>96.879468499056713</v>
      </c>
    </row>
    <row r="94" spans="1:5" x14ac:dyDescent="0.25">
      <c r="A94">
        <f t="shared" si="7"/>
        <v>10</v>
      </c>
      <c r="B94">
        <f t="shared" si="4"/>
        <v>283</v>
      </c>
      <c r="C94">
        <f t="shared" si="5"/>
        <v>10</v>
      </c>
      <c r="D94">
        <f t="shared" si="6"/>
        <v>811.58975704241004</v>
      </c>
      <c r="E94">
        <f t="shared" si="6"/>
        <v>101.35208080212101</v>
      </c>
    </row>
    <row r="95" spans="1:5" x14ac:dyDescent="0.25">
      <c r="A95">
        <f t="shared" si="7"/>
        <v>11</v>
      </c>
      <c r="B95">
        <f t="shared" si="4"/>
        <v>284</v>
      </c>
      <c r="C95">
        <f t="shared" si="5"/>
        <v>11</v>
      </c>
      <c r="D95">
        <f t="shared" si="6"/>
        <v>826.75923735627885</v>
      </c>
      <c r="E95">
        <f t="shared" si="6"/>
        <v>106.01430047415218</v>
      </c>
    </row>
    <row r="96" spans="1:5" x14ac:dyDescent="0.25">
      <c r="A96">
        <f t="shared" si="7"/>
        <v>12</v>
      </c>
      <c r="B96">
        <f t="shared" si="4"/>
        <v>285</v>
      </c>
      <c r="C96">
        <f t="shared" si="5"/>
        <v>12</v>
      </c>
      <c r="D96">
        <f t="shared" si="6"/>
        <v>842.15743227111341</v>
      </c>
      <c r="E96">
        <f t="shared" si="6"/>
        <v>110.87345512133251</v>
      </c>
    </row>
    <row r="97" spans="1:5" x14ac:dyDescent="0.25">
      <c r="A97">
        <f t="shared" si="7"/>
        <v>13</v>
      </c>
      <c r="B97">
        <f t="shared" si="4"/>
        <v>286</v>
      </c>
      <c r="C97">
        <f t="shared" si="5"/>
        <v>13</v>
      </c>
      <c r="D97">
        <f t="shared" si="6"/>
        <v>857.78696949042046</v>
      </c>
      <c r="E97">
        <f t="shared" si="6"/>
        <v>115.9371282750605</v>
      </c>
    </row>
    <row r="98" spans="1:5" x14ac:dyDescent="0.25">
      <c r="A98">
        <f t="shared" si="7"/>
        <v>14</v>
      </c>
      <c r="B98">
        <f t="shared" si="4"/>
        <v>287</v>
      </c>
      <c r="C98">
        <f t="shared" si="5"/>
        <v>14</v>
      </c>
      <c r="D98">
        <f t="shared" si="6"/>
        <v>873.65049754477764</v>
      </c>
      <c r="E98">
        <f t="shared" si="6"/>
        <v>121.21316738515333</v>
      </c>
    </row>
    <row r="99" spans="1:5" x14ac:dyDescent="0.25">
      <c r="A99">
        <f t="shared" si="7"/>
        <v>15</v>
      </c>
      <c r="B99">
        <f t="shared" si="4"/>
        <v>288</v>
      </c>
      <c r="C99">
        <f t="shared" si="5"/>
        <v>15</v>
      </c>
      <c r="D99">
        <f t="shared" si="6"/>
        <v>889.75068588322711</v>
      </c>
      <c r="E99">
        <f t="shared" si="6"/>
        <v>126.70969203338417</v>
      </c>
    </row>
    <row r="100" spans="1:5" x14ac:dyDescent="0.25">
      <c r="A100">
        <f t="shared" si="7"/>
        <v>16</v>
      </c>
      <c r="B100">
        <f t="shared" si="4"/>
        <v>289</v>
      </c>
      <c r="C100">
        <f t="shared" si="5"/>
        <v>16</v>
      </c>
      <c r="D100">
        <f t="shared" si="6"/>
        <v>906.09022496473176</v>
      </c>
      <c r="E100">
        <f t="shared" si="6"/>
        <v>132.43510237262578</v>
      </c>
    </row>
    <row r="101" spans="1:5" x14ac:dyDescent="0.25">
      <c r="A101">
        <f t="shared" si="7"/>
        <v>17</v>
      </c>
      <c r="B101">
        <f t="shared" si="4"/>
        <v>290</v>
      </c>
      <c r="C101">
        <f t="shared" si="5"/>
        <v>17</v>
      </c>
      <c r="D101">
        <f t="shared" si="6"/>
        <v>922.67182634973301</v>
      </c>
      <c r="E101">
        <f t="shared" si="6"/>
        <v>138.39808779697466</v>
      </c>
    </row>
    <row r="102" spans="1:5" x14ac:dyDescent="0.25">
      <c r="A102">
        <f t="shared" si="7"/>
        <v>18</v>
      </c>
      <c r="B102">
        <f t="shared" si="4"/>
        <v>291</v>
      </c>
      <c r="C102">
        <f t="shared" si="5"/>
        <v>18</v>
      </c>
      <c r="D102">
        <f t="shared" si="6"/>
        <v>939.49822279176476</v>
      </c>
      <c r="E102">
        <f t="shared" si="6"/>
        <v>144.60763584834822</v>
      </c>
    </row>
    <row r="103" spans="1:5" x14ac:dyDescent="0.25">
      <c r="A103">
        <f t="shared" si="7"/>
        <v>19</v>
      </c>
      <c r="B103">
        <f t="shared" si="4"/>
        <v>292</v>
      </c>
      <c r="C103">
        <f t="shared" si="5"/>
        <v>19</v>
      </c>
      <c r="D103">
        <f t="shared" si="6"/>
        <v>956.57216832916799</v>
      </c>
      <c r="E103">
        <f t="shared" si="6"/>
        <v>151.07304136514756</v>
      </c>
    </row>
    <row r="104" spans="1:5" x14ac:dyDescent="0.25">
      <c r="A104">
        <f t="shared" si="7"/>
        <v>20</v>
      </c>
      <c r="B104">
        <f t="shared" si="4"/>
        <v>293</v>
      </c>
      <c r="C104">
        <f t="shared" si="5"/>
        <v>20</v>
      </c>
      <c r="D104">
        <f t="shared" si="6"/>
        <v>973.89643837687186</v>
      </c>
      <c r="E104">
        <f t="shared" si="6"/>
        <v>157.80391587870093</v>
      </c>
    </row>
    <row r="105" spans="1:5" x14ac:dyDescent="0.25">
      <c r="A105">
        <f t="shared" si="7"/>
        <v>21</v>
      </c>
      <c r="B105">
        <f t="shared" si="4"/>
        <v>294</v>
      </c>
      <c r="C105">
        <f t="shared" si="5"/>
        <v>21</v>
      </c>
      <c r="D105">
        <f t="shared" si="6"/>
        <v>991.4738298182574</v>
      </c>
      <c r="E105">
        <f t="shared" si="6"/>
        <v>164.81019726330817</v>
      </c>
    </row>
    <row r="106" spans="1:5" x14ac:dyDescent="0.25">
      <c r="A106">
        <f t="shared" si="7"/>
        <v>22</v>
      </c>
      <c r="B106">
        <f t="shared" si="4"/>
        <v>295</v>
      </c>
      <c r="C106">
        <f t="shared" si="5"/>
        <v>22</v>
      </c>
      <c r="D106">
        <f t="shared" si="6"/>
        <v>1009.3071610970939</v>
      </c>
      <c r="E106">
        <f t="shared" si="6"/>
        <v>172.10215964582795</v>
      </c>
    </row>
    <row r="107" spans="1:5" x14ac:dyDescent="0.25">
      <c r="A107">
        <f t="shared" si="7"/>
        <v>23</v>
      </c>
      <c r="B107">
        <f t="shared" si="4"/>
        <v>296</v>
      </c>
      <c r="C107">
        <f t="shared" si="5"/>
        <v>23</v>
      </c>
      <c r="D107">
        <f t="shared" si="6"/>
        <v>1027.3992723095707</v>
      </c>
      <c r="E107">
        <f t="shared" si="6"/>
        <v>179.69042358087091</v>
      </c>
    </row>
    <row r="108" spans="1:5" x14ac:dyDescent="0.25">
      <c r="A108">
        <f t="shared" si="7"/>
        <v>24</v>
      </c>
      <c r="B108">
        <f t="shared" si="4"/>
        <v>297</v>
      </c>
      <c r="C108">
        <f t="shared" si="5"/>
        <v>24</v>
      </c>
      <c r="D108">
        <f t="shared" si="6"/>
        <v>1045.7530252963827</v>
      </c>
      <c r="E108">
        <f t="shared" si="6"/>
        <v>187.58596649776939</v>
      </c>
    </row>
    <row r="109" spans="1:5" x14ac:dyDescent="0.25">
      <c r="A109">
        <f t="shared" si="7"/>
        <v>25</v>
      </c>
      <c r="B109">
        <f t="shared" si="4"/>
        <v>298</v>
      </c>
      <c r="C109">
        <f t="shared" si="5"/>
        <v>25</v>
      </c>
      <c r="D109">
        <f t="shared" si="6"/>
        <v>1064.37130373492</v>
      </c>
      <c r="E109">
        <f t="shared" si="6"/>
        <v>195.80013342563404</v>
      </c>
    </row>
    <row r="110" spans="1:5" x14ac:dyDescent="0.25">
      <c r="A110">
        <f t="shared" si="7"/>
        <v>26</v>
      </c>
      <c r="B110">
        <f t="shared" si="4"/>
        <v>299</v>
      </c>
      <c r="C110">
        <f t="shared" si="5"/>
        <v>26</v>
      </c>
      <c r="D110">
        <f t="shared" si="6"/>
        <v>1083.2570132315075</v>
      </c>
      <c r="E110">
        <f t="shared" si="6"/>
        <v>204.34464800291457</v>
      </c>
    </row>
    <row r="111" spans="1:5" x14ac:dyDescent="0.25">
      <c r="A111">
        <f t="shared" si="7"/>
        <v>27</v>
      </c>
      <c r="B111">
        <f t="shared" si="4"/>
        <v>300</v>
      </c>
      <c r="C111">
        <f t="shared" si="5"/>
        <v>27</v>
      </c>
      <c r="D111">
        <f t="shared" si="6"/>
        <v>1102.4130814137518</v>
      </c>
      <c r="E111">
        <f t="shared" si="6"/>
        <v>213.23162377802117</v>
      </c>
    </row>
    <row r="112" spans="1:5" x14ac:dyDescent="0.25">
      <c r="A112">
        <f t="shared" si="7"/>
        <v>28</v>
      </c>
      <c r="B112">
        <f t="shared" si="4"/>
        <v>301</v>
      </c>
      <c r="C112">
        <f t="shared" si="5"/>
        <v>28</v>
      </c>
      <c r="D112">
        <f t="shared" si="6"/>
        <v>1121.842458022945</v>
      </c>
      <c r="E112">
        <f t="shared" si="6"/>
        <v>222.47357580768346</v>
      </c>
    </row>
    <row r="113" spans="1:5" x14ac:dyDescent="0.25">
      <c r="A113">
        <f t="shared" si="7"/>
        <v>29</v>
      </c>
      <c r="B113">
        <f t="shared" si="4"/>
        <v>302</v>
      </c>
      <c r="C113">
        <f t="shared" si="5"/>
        <v>29</v>
      </c>
      <c r="D113">
        <f t="shared" si="6"/>
        <v>1141.5481150065489</v>
      </c>
      <c r="E113">
        <f t="shared" si="6"/>
        <v>232.0834325598525</v>
      </c>
    </row>
    <row r="114" spans="1:5" x14ac:dyDescent="0.25">
      <c r="A114">
        <f t="shared" si="7"/>
        <v>30</v>
      </c>
      <c r="B114">
        <f t="shared" si="4"/>
        <v>303</v>
      </c>
      <c r="C114">
        <f t="shared" si="5"/>
        <v>30</v>
      </c>
      <c r="D114">
        <f t="shared" si="6"/>
        <v>1161.5330466107596</v>
      </c>
      <c r="E114">
        <f t="shared" si="6"/>
        <v>242.07454812809922</v>
      </c>
    </row>
    <row r="115" spans="1:5" x14ac:dyDescent="0.25">
      <c r="A115">
        <f t="shared" si="7"/>
        <v>31</v>
      </c>
      <c r="B115">
        <f t="shared" si="4"/>
        <v>304</v>
      </c>
      <c r="C115">
        <f t="shared" si="5"/>
        <v>31</v>
      </c>
      <c r="D115">
        <f t="shared" si="6"/>
        <v>1181.8002694731522</v>
      </c>
      <c r="E115">
        <f t="shared" si="6"/>
        <v>252.46071476456649</v>
      </c>
    </row>
    <row r="116" spans="1:5" x14ac:dyDescent="0.25">
      <c r="A116">
        <f t="shared" si="7"/>
        <v>32</v>
      </c>
      <c r="B116">
        <f t="shared" si="4"/>
        <v>305</v>
      </c>
      <c r="C116">
        <f t="shared" si="5"/>
        <v>32</v>
      </c>
      <c r="D116">
        <f t="shared" si="6"/>
        <v>1202.3528227154022</v>
      </c>
      <c r="E116">
        <f t="shared" si="6"/>
        <v>263.25617573870824</v>
      </c>
    </row>
    <row r="117" spans="1:5" x14ac:dyDescent="0.25">
      <c r="A117">
        <f t="shared" si="7"/>
        <v>33</v>
      </c>
      <c r="B117">
        <f t="shared" si="4"/>
        <v>306</v>
      </c>
      <c r="C117">
        <f t="shared" si="5"/>
        <v>33</v>
      </c>
      <c r="D117">
        <f t="shared" si="6"/>
        <v>1223.1937680360693</v>
      </c>
      <c r="E117">
        <f t="shared" si="6"/>
        <v>274.47563852914618</v>
      </c>
    </row>
    <row r="118" spans="1:5" x14ac:dyDescent="0.25">
      <c r="A118">
        <f t="shared" si="7"/>
        <v>34</v>
      </c>
      <c r="B118">
        <f t="shared" si="4"/>
        <v>307</v>
      </c>
      <c r="C118">
        <f t="shared" si="5"/>
        <v>34</v>
      </c>
      <c r="D118">
        <f t="shared" si="6"/>
        <v>1244.3261898034698</v>
      </c>
      <c r="E118">
        <f t="shared" si="6"/>
        <v>286.13428835615349</v>
      </c>
    </row>
    <row r="119" spans="1:5" x14ac:dyDescent="0.25">
      <c r="A119">
        <f t="shared" si="7"/>
        <v>35</v>
      </c>
      <c r="B119">
        <f t="shared" si="4"/>
        <v>308</v>
      </c>
      <c r="C119">
        <f t="shared" si="5"/>
        <v>35</v>
      </c>
      <c r="D119">
        <f t="shared" si="6"/>
        <v>1265.7531951486367</v>
      </c>
      <c r="E119">
        <f t="shared" si="6"/>
        <v>298.24780206238762</v>
      </c>
    </row>
    <row r="120" spans="1:5" x14ac:dyDescent="0.25">
      <c r="A120">
        <f t="shared" si="7"/>
        <v>36</v>
      </c>
      <c r="B120">
        <f t="shared" si="4"/>
        <v>309</v>
      </c>
      <c r="C120">
        <f t="shared" si="5"/>
        <v>36</v>
      </c>
      <c r="D120">
        <f t="shared" si="6"/>
        <v>1287.4779140583239</v>
      </c>
      <c r="E120">
        <f t="shared" si="6"/>
        <v>310.83236234965477</v>
      </c>
    </row>
    <row r="121" spans="1:5" x14ac:dyDescent="0.25">
      <c r="A121">
        <f t="shared" si="7"/>
        <v>37</v>
      </c>
      <c r="B121">
        <f t="shared" si="4"/>
        <v>310</v>
      </c>
      <c r="C121">
        <f t="shared" si="5"/>
        <v>37</v>
      </c>
      <c r="D121">
        <f t="shared" si="6"/>
        <v>1309.5034994681209</v>
      </c>
      <c r="E121">
        <f t="shared" si="6"/>
        <v>323.90467237964435</v>
      </c>
    </row>
    <row r="122" spans="1:5" x14ac:dyDescent="0.25">
      <c r="A122">
        <f t="shared" si="7"/>
        <v>38</v>
      </c>
      <c r="B122">
        <f t="shared" si="4"/>
        <v>311</v>
      </c>
      <c r="C122">
        <f t="shared" si="5"/>
        <v>38</v>
      </c>
      <c r="D122">
        <f t="shared" si="6"/>
        <v>1331.8331273556137</v>
      </c>
      <c r="E122">
        <f t="shared" si="6"/>
        <v>337.48197074669122</v>
      </c>
    </row>
    <row r="123" spans="1:5" x14ac:dyDescent="0.25">
      <c r="A123">
        <f t="shared" si="7"/>
        <v>39</v>
      </c>
      <c r="B123">
        <f t="shared" si="4"/>
        <v>312</v>
      </c>
      <c r="C123">
        <f t="shared" si="5"/>
        <v>39</v>
      </c>
      <c r="D123">
        <f t="shared" si="6"/>
        <v>1354.4699968336429</v>
      </c>
      <c r="E123">
        <f t="shared" si="6"/>
        <v>351.58204683081658</v>
      </c>
    </row>
    <row r="124" spans="1:5" x14ac:dyDescent="0.25">
      <c r="A124">
        <f t="shared" si="7"/>
        <v>40</v>
      </c>
      <c r="B124">
        <f t="shared" si="4"/>
        <v>313</v>
      </c>
      <c r="C124">
        <f t="shared" si="5"/>
        <v>40</v>
      </c>
      <c r="D124">
        <f t="shared" si="6"/>
        <v>1377.4173302436252</v>
      </c>
      <c r="E124">
        <f t="shared" si="6"/>
        <v>366.22325653941283</v>
      </c>
    </row>
    <row r="125" spans="1:5" x14ac:dyDescent="0.25">
      <c r="A125">
        <f t="shared" si="7"/>
        <v>41</v>
      </c>
      <c r="B125">
        <f t="shared" si="4"/>
        <v>314</v>
      </c>
      <c r="C125">
        <f t="shared" si="5"/>
        <v>41</v>
      </c>
      <c r="D125">
        <f t="shared" si="6"/>
        <v>1400.6783732489571</v>
      </c>
      <c r="E125">
        <f t="shared" si="6"/>
        <v>381.4245384461293</v>
      </c>
    </row>
    <row r="126" spans="1:5" x14ac:dyDescent="0.25">
      <c r="A126">
        <f t="shared" si="7"/>
        <v>42</v>
      </c>
      <c r="B126">
        <f t="shared" si="4"/>
        <v>315</v>
      </c>
      <c r="C126">
        <f t="shared" si="5"/>
        <v>42</v>
      </c>
      <c r="D126">
        <f t="shared" si="6"/>
        <v>1424.2563949284831</v>
      </c>
      <c r="E126">
        <f t="shared" si="6"/>
        <v>397.20543033565042</v>
      </c>
    </row>
    <row r="127" spans="1:5" x14ac:dyDescent="0.25">
      <c r="A127">
        <f t="shared" si="7"/>
        <v>43</v>
      </c>
      <c r="B127">
        <f t="shared" si="4"/>
        <v>316</v>
      </c>
      <c r="C127">
        <f t="shared" si="5"/>
        <v>43</v>
      </c>
      <c r="D127">
        <f t="shared" si="6"/>
        <v>1448.1546878700494</v>
      </c>
      <c r="E127">
        <f t="shared" si="6"/>
        <v>413.58608616322596</v>
      </c>
    </row>
    <row r="128" spans="1:5" x14ac:dyDescent="0.25">
      <c r="A128">
        <f t="shared" si="7"/>
        <v>44</v>
      </c>
      <c r="B128">
        <f t="shared" si="4"/>
        <v>317</v>
      </c>
      <c r="C128">
        <f t="shared" si="5"/>
        <v>44</v>
      </c>
      <c r="D128">
        <f t="shared" si="6"/>
        <v>1472.3765682641272</v>
      </c>
      <c r="E128">
        <f t="shared" si="6"/>
        <v>430.58729343799615</v>
      </c>
    </row>
    <row r="129" spans="1:5" x14ac:dyDescent="0.25">
      <c r="A129">
        <f t="shared" si="7"/>
        <v>45</v>
      </c>
      <c r="B129">
        <f t="shared" si="4"/>
        <v>318</v>
      </c>
      <c r="C129">
        <f t="shared" si="5"/>
        <v>45</v>
      </c>
      <c r="D129">
        <f t="shared" si="6"/>
        <v>1496.9253759975124</v>
      </c>
      <c r="E129">
        <f t="shared" si="6"/>
        <v>448.23049103928093</v>
      </c>
    </row>
    <row r="130" spans="1:5" x14ac:dyDescent="0.25">
      <c r="A130">
        <f t="shared" si="7"/>
        <v>46</v>
      </c>
      <c r="B130">
        <f t="shared" si="4"/>
        <v>319</v>
      </c>
      <c r="C130">
        <f t="shared" si="5"/>
        <v>46</v>
      </c>
      <c r="D130">
        <f t="shared" si="6"/>
        <v>1521.8044747470924</v>
      </c>
      <c r="E130">
        <f t="shared" si="6"/>
        <v>466.53778747522233</v>
      </c>
    </row>
    <row r="131" spans="1:5" x14ac:dyDescent="0.25">
      <c r="A131">
        <f t="shared" si="7"/>
        <v>47</v>
      </c>
      <c r="B131">
        <f t="shared" si="4"/>
        <v>320</v>
      </c>
      <c r="C131">
        <f t="shared" si="5"/>
        <v>47</v>
      </c>
      <c r="D131">
        <f t="shared" si="6"/>
        <v>1547.0172520737015</v>
      </c>
      <c r="E131">
        <f t="shared" si="6"/>
        <v>485.53197959329032</v>
      </c>
    </row>
    <row r="132" spans="1:5" x14ac:dyDescent="0.25">
      <c r="A132">
        <f t="shared" si="7"/>
        <v>48</v>
      </c>
      <c r="B132">
        <f t="shared" si="4"/>
        <v>321</v>
      </c>
      <c r="C132">
        <f t="shared" si="5"/>
        <v>48</v>
      </c>
      <c r="D132">
        <f t="shared" si="6"/>
        <v>1572.5671195160335</v>
      </c>
      <c r="E132">
        <f t="shared" si="6"/>
        <v>505.23657175238344</v>
      </c>
    </row>
    <row r="133" spans="1:5" x14ac:dyDescent="0.25">
      <c r="A133">
        <f t="shared" si="7"/>
        <v>49</v>
      </c>
      <c r="B133">
        <f t="shared" ref="B133:B164" si="8">+$A133+273</f>
        <v>322</v>
      </c>
      <c r="C133">
        <f t="shared" ref="C133:C164" si="9">+$A133</f>
        <v>49</v>
      </c>
      <c r="D133">
        <f t="shared" ref="D133:E164" si="10">+(($B133+D$3)/D$1)^(D$2)</f>
        <v>1598.4575126846364</v>
      </c>
      <c r="E133">
        <f t="shared" si="10"/>
        <v>525.67579546639138</v>
      </c>
    </row>
    <row r="134" spans="1:5" x14ac:dyDescent="0.25">
      <c r="A134">
        <f t="shared" ref="A134:A197" si="11">+$A133+1</f>
        <v>50</v>
      </c>
      <c r="B134">
        <f t="shared" si="8"/>
        <v>323</v>
      </c>
      <c r="C134">
        <f t="shared" si="9"/>
        <v>50</v>
      </c>
      <c r="D134">
        <f t="shared" si="10"/>
        <v>1624.6918913559857</v>
      </c>
      <c r="E134">
        <f t="shared" si="10"/>
        <v>546.87462952930241</v>
      </c>
    </row>
    <row r="135" spans="1:5" x14ac:dyDescent="0.25">
      <c r="A135">
        <f t="shared" si="11"/>
        <v>51</v>
      </c>
      <c r="B135">
        <f t="shared" si="8"/>
        <v>324</v>
      </c>
      <c r="C135">
        <f t="shared" si="9"/>
        <v>51</v>
      </c>
      <c r="D135">
        <f t="shared" si="10"/>
        <v>1651.273739566619</v>
      </c>
      <c r="E135">
        <f t="shared" si="10"/>
        <v>568.85882063209431</v>
      </c>
    </row>
    <row r="136" spans="1:5" x14ac:dyDescent="0.25">
      <c r="A136">
        <f t="shared" si="11"/>
        <v>52</v>
      </c>
      <c r="B136">
        <f t="shared" si="8"/>
        <v>325</v>
      </c>
      <c r="C136">
        <f t="shared" si="9"/>
        <v>52</v>
      </c>
      <c r="D136">
        <f t="shared" si="10"/>
        <v>1678.2065657073531</v>
      </c>
      <c r="E136">
        <f t="shared" si="10"/>
        <v>591.65490448183982</v>
      </c>
    </row>
    <row r="137" spans="1:5" x14ac:dyDescent="0.25">
      <c r="A137">
        <f t="shared" si="11"/>
        <v>53</v>
      </c>
      <c r="B137">
        <f t="shared" si="8"/>
        <v>326</v>
      </c>
      <c r="C137">
        <f t="shared" si="9"/>
        <v>53</v>
      </c>
      <c r="D137">
        <f t="shared" si="10"/>
        <v>1705.4939026175616</v>
      </c>
      <c r="E137">
        <f t="shared" si="10"/>
        <v>615.29022743366988</v>
      </c>
    </row>
    <row r="138" spans="1:5" x14ac:dyDescent="0.25">
      <c r="A138">
        <f t="shared" si="11"/>
        <v>54</v>
      </c>
      <c r="B138">
        <f t="shared" si="8"/>
        <v>327</v>
      </c>
      <c r="C138">
        <f t="shared" si="9"/>
        <v>54</v>
      </c>
      <c r="D138">
        <f t="shared" si="10"/>
        <v>1733.1393076795562</v>
      </c>
      <c r="E138">
        <f t="shared" si="10"/>
        <v>639.79296864636797</v>
      </c>
    </row>
    <row r="139" spans="1:5" x14ac:dyDescent="0.25">
      <c r="A139">
        <f t="shared" si="11"/>
        <v>55</v>
      </c>
      <c r="B139">
        <f t="shared" si="8"/>
        <v>328</v>
      </c>
      <c r="C139">
        <f t="shared" si="9"/>
        <v>55</v>
      </c>
      <c r="D139">
        <f t="shared" si="10"/>
        <v>1761.1463629129869</v>
      </c>
      <c r="E139">
        <f t="shared" si="10"/>
        <v>665.19216277265798</v>
      </c>
    </row>
    <row r="140" spans="1:5" x14ac:dyDescent="0.25">
      <c r="A140">
        <f t="shared" si="11"/>
        <v>56</v>
      </c>
      <c r="B140">
        <f t="shared" si="8"/>
        <v>329</v>
      </c>
      <c r="C140">
        <f t="shared" si="9"/>
        <v>56</v>
      </c>
      <c r="D140">
        <f t="shared" si="10"/>
        <v>1789.5186750693795</v>
      </c>
      <c r="E140">
        <f t="shared" si="10"/>
        <v>691.51772319532051</v>
      </c>
    </row>
    <row r="141" spans="1:5" x14ac:dyDescent="0.25">
      <c r="A141">
        <f t="shared" si="11"/>
        <v>57</v>
      </c>
      <c r="B141">
        <f t="shared" si="8"/>
        <v>330</v>
      </c>
      <c r="C141">
        <f t="shared" si="9"/>
        <v>57</v>
      </c>
      <c r="D141">
        <f t="shared" si="10"/>
        <v>1818.259875726686</v>
      </c>
      <c r="E141">
        <f t="shared" si="10"/>
        <v>718.80046582061027</v>
      </c>
    </row>
    <row r="142" spans="1:5" x14ac:dyDescent="0.25">
      <c r="A142">
        <f t="shared" si="11"/>
        <v>58</v>
      </c>
      <c r="B142">
        <f t="shared" si="8"/>
        <v>331</v>
      </c>
      <c r="C142">
        <f t="shared" si="9"/>
        <v>58</v>
      </c>
      <c r="D142">
        <f t="shared" si="10"/>
        <v>1847.3736213839527</v>
      </c>
      <c r="E142">
        <f t="shared" si="10"/>
        <v>747.07213344051854</v>
      </c>
    </row>
    <row r="143" spans="1:5" x14ac:dyDescent="0.25">
      <c r="A143">
        <f t="shared" si="11"/>
        <v>59</v>
      </c>
      <c r="B143">
        <f t="shared" si="8"/>
        <v>332</v>
      </c>
      <c r="C143">
        <f t="shared" si="9"/>
        <v>59</v>
      </c>
      <c r="D143">
        <f t="shared" si="10"/>
        <v>1876.8635935560287</v>
      </c>
      <c r="E143">
        <f t="shared" si="10"/>
        <v>776.3654206757343</v>
      </c>
    </row>
    <row r="144" spans="1:5" x14ac:dyDescent="0.25">
      <c r="A144">
        <f t="shared" si="11"/>
        <v>60</v>
      </c>
      <c r="B144">
        <f t="shared" si="8"/>
        <v>333</v>
      </c>
      <c r="C144">
        <f t="shared" si="9"/>
        <v>60</v>
      </c>
      <c r="D144">
        <f t="shared" si="10"/>
        <v>1906.7334988683608</v>
      </c>
      <c r="E144">
        <f t="shared" si="10"/>
        <v>806.71399951129331</v>
      </c>
    </row>
    <row r="145" spans="1:5" x14ac:dyDescent="0.25">
      <c r="A145">
        <f t="shared" si="11"/>
        <v>61</v>
      </c>
      <c r="B145">
        <f t="shared" si="8"/>
        <v>334</v>
      </c>
      <c r="C145">
        <f t="shared" si="9"/>
        <v>61</v>
      </c>
      <c r="D145">
        <f t="shared" si="10"/>
        <v>1936.9870691518627</v>
      </c>
      <c r="E145">
        <f t="shared" si="10"/>
        <v>838.15254543716139</v>
      </c>
    </row>
    <row r="146" spans="1:5" x14ac:dyDescent="0.25">
      <c r="A146">
        <f t="shared" si="11"/>
        <v>62</v>
      </c>
      <c r="B146">
        <f t="shared" si="8"/>
        <v>335</v>
      </c>
      <c r="C146">
        <f t="shared" si="9"/>
        <v>62</v>
      </c>
      <c r="D146">
        <f t="shared" si="10"/>
        <v>1967.6280615378475</v>
      </c>
      <c r="E146">
        <f t="shared" si="10"/>
        <v>870.71676420618894</v>
      </c>
    </row>
    <row r="147" spans="1:5" x14ac:dyDescent="0.25">
      <c r="A147">
        <f t="shared" si="11"/>
        <v>63</v>
      </c>
      <c r="B147">
        <f t="shared" si="8"/>
        <v>336</v>
      </c>
      <c r="C147">
        <f t="shared" si="9"/>
        <v>63</v>
      </c>
      <c r="D147">
        <f t="shared" si="10"/>
        <v>1998.6602585530322</v>
      </c>
      <c r="E147">
        <f t="shared" si="10"/>
        <v>904.44341922209628</v>
      </c>
    </row>
    <row r="148" spans="1:5" x14ac:dyDescent="0.25">
      <c r="A148">
        <f t="shared" si="11"/>
        <v>64</v>
      </c>
      <c r="B148">
        <f t="shared" si="8"/>
        <v>337</v>
      </c>
      <c r="C148">
        <f t="shared" si="9"/>
        <v>64</v>
      </c>
      <c r="D148">
        <f t="shared" si="10"/>
        <v>2030.0874682146232</v>
      </c>
      <c r="E148">
        <f t="shared" si="10"/>
        <v>939.37035957037199</v>
      </c>
    </row>
    <row r="149" spans="1:5" x14ac:dyDescent="0.25">
      <c r="A149">
        <f t="shared" si="11"/>
        <v>65</v>
      </c>
      <c r="B149">
        <f t="shared" si="8"/>
        <v>338</v>
      </c>
      <c r="C149">
        <f t="shared" si="9"/>
        <v>65</v>
      </c>
      <c r="D149">
        <f t="shared" si="10"/>
        <v>2061.9135241254567</v>
      </c>
      <c r="E149">
        <f t="shared" si="10"/>
        <v>975.53654870520029</v>
      </c>
    </row>
    <row r="150" spans="1:5" x14ac:dyDescent="0.25">
      <c r="A150">
        <f t="shared" si="11"/>
        <v>66</v>
      </c>
      <c r="B150">
        <f t="shared" si="8"/>
        <v>339</v>
      </c>
      <c r="C150">
        <f t="shared" si="9"/>
        <v>66</v>
      </c>
      <c r="D150">
        <f t="shared" si="10"/>
        <v>2094.1422855692226</v>
      </c>
      <c r="E150">
        <f t="shared" si="10"/>
        <v>1012.9820938057184</v>
      </c>
    </row>
    <row r="151" spans="1:5" x14ac:dyDescent="0.25">
      <c r="A151">
        <f t="shared" si="11"/>
        <v>67</v>
      </c>
      <c r="B151">
        <f t="shared" si="8"/>
        <v>340</v>
      </c>
      <c r="C151">
        <f t="shared" si="9"/>
        <v>67</v>
      </c>
      <c r="D151">
        <f t="shared" si="10"/>
        <v>2126.7776376057586</v>
      </c>
      <c r="E151">
        <f t="shared" si="10"/>
        <v>1051.7482758152164</v>
      </c>
    </row>
    <row r="152" spans="1:5" x14ac:dyDescent="0.25">
      <c r="A152">
        <f t="shared" si="11"/>
        <v>68</v>
      </c>
      <c r="B152">
        <f t="shared" si="8"/>
        <v>341</v>
      </c>
      <c r="C152">
        <f t="shared" si="9"/>
        <v>68</v>
      </c>
      <c r="D152">
        <f t="shared" si="10"/>
        <v>2159.8234911664049</v>
      </c>
      <c r="E152">
        <f t="shared" si="10"/>
        <v>1091.8775801770078</v>
      </c>
    </row>
    <row r="153" spans="1:5" x14ac:dyDescent="0.25">
      <c r="A153">
        <f t="shared" si="11"/>
        <v>69</v>
      </c>
      <c r="B153">
        <f t="shared" si="8"/>
        <v>342</v>
      </c>
      <c r="C153">
        <f t="shared" si="9"/>
        <v>69</v>
      </c>
      <c r="D153">
        <f t="shared" si="10"/>
        <v>2193.2837831494403</v>
      </c>
      <c r="E153">
        <f t="shared" si="10"/>
        <v>1133.4137282810914</v>
      </c>
    </row>
    <row r="154" spans="1:5" x14ac:dyDescent="0.25">
      <c r="A154">
        <f t="shared" si="11"/>
        <v>70</v>
      </c>
      <c r="B154">
        <f t="shared" si="8"/>
        <v>343</v>
      </c>
      <c r="C154">
        <f t="shared" si="9"/>
        <v>70</v>
      </c>
      <c r="D154">
        <f t="shared" si="10"/>
        <v>2227.1624765155793</v>
      </c>
      <c r="E154">
        <f t="shared" si="10"/>
        <v>1176.4017096357643</v>
      </c>
    </row>
    <row r="155" spans="1:5" x14ac:dyDescent="0.25">
      <c r="A155">
        <f t="shared" si="11"/>
        <v>71</v>
      </c>
      <c r="B155">
        <f t="shared" si="8"/>
        <v>344</v>
      </c>
      <c r="C155">
        <f t="shared" si="9"/>
        <v>71</v>
      </c>
      <c r="D155">
        <f t="shared" si="10"/>
        <v>2261.4635603835527</v>
      </c>
      <c r="E155">
        <f t="shared" si="10"/>
        <v>1220.8878147788223</v>
      </c>
    </row>
    <row r="156" spans="1:5" x14ac:dyDescent="0.25">
      <c r="A156">
        <f t="shared" si="11"/>
        <v>72</v>
      </c>
      <c r="B156">
        <f t="shared" si="8"/>
        <v>345</v>
      </c>
      <c r="C156">
        <f t="shared" si="9"/>
        <v>72</v>
      </c>
      <c r="D156">
        <f t="shared" si="10"/>
        <v>2296.1910501257389</v>
      </c>
      <c r="E156">
        <f t="shared" si="10"/>
        <v>1266.9196689430148</v>
      </c>
    </row>
    <row r="157" spans="1:5" x14ac:dyDescent="0.25">
      <c r="A157">
        <f t="shared" si="11"/>
        <v>73</v>
      </c>
      <c r="B157">
        <f t="shared" si="8"/>
        <v>346</v>
      </c>
      <c r="C157">
        <f t="shared" si="9"/>
        <v>73</v>
      </c>
      <c r="D157">
        <f t="shared" si="10"/>
        <v>2331.3489874638794</v>
      </c>
      <c r="E157">
        <f t="shared" si="10"/>
        <v>1314.5462664908034</v>
      </c>
    </row>
    <row r="158" spans="1:5" x14ac:dyDescent="0.25">
      <c r="A158">
        <f t="shared" si="11"/>
        <v>74</v>
      </c>
      <c r="B158">
        <f t="shared" si="8"/>
        <v>347</v>
      </c>
      <c r="C158">
        <f t="shared" si="9"/>
        <v>74</v>
      </c>
      <c r="D158">
        <f t="shared" si="10"/>
        <v>2366.9414405648636</v>
      </c>
      <c r="E158">
        <f t="shared" si="10"/>
        <v>1363.8180061337123</v>
      </c>
    </row>
    <row r="159" spans="1:5" x14ac:dyDescent="0.25">
      <c r="A159">
        <f t="shared" si="11"/>
        <v>75</v>
      </c>
      <c r="B159">
        <f t="shared" si="8"/>
        <v>348</v>
      </c>
      <c r="C159">
        <f t="shared" si="9"/>
        <v>75</v>
      </c>
      <c r="D159">
        <f t="shared" si="10"/>
        <v>2402.972504136575</v>
      </c>
      <c r="E159">
        <f t="shared" si="10"/>
        <v>1414.7867269517587</v>
      </c>
    </row>
    <row r="160" spans="1:5" x14ac:dyDescent="0.25">
      <c r="A160">
        <f t="shared" si="11"/>
        <v>76</v>
      </c>
      <c r="B160">
        <f t="shared" si="8"/>
        <v>349</v>
      </c>
      <c r="C160">
        <f t="shared" si="9"/>
        <v>76</v>
      </c>
      <c r="D160">
        <f t="shared" si="10"/>
        <v>2439.4462995238005</v>
      </c>
      <c r="E160">
        <f t="shared" si="10"/>
        <v>1467.5057452287556</v>
      </c>
    </row>
    <row r="161" spans="1:5" x14ac:dyDescent="0.25">
      <c r="A161">
        <f t="shared" si="11"/>
        <v>77</v>
      </c>
      <c r="B161">
        <f t="shared" si="8"/>
        <v>350</v>
      </c>
      <c r="C161">
        <f t="shared" si="9"/>
        <v>77</v>
      </c>
      <c r="D161">
        <f t="shared" si="10"/>
        <v>2476.366974804253</v>
      </c>
      <c r="E161">
        <f t="shared" si="10"/>
        <v>1522.0298921195488</v>
      </c>
    </row>
    <row r="162" spans="1:5" x14ac:dyDescent="0.25">
      <c r="A162">
        <f t="shared" si="11"/>
        <v>78</v>
      </c>
      <c r="B162">
        <f t="shared" si="8"/>
        <v>351</v>
      </c>
      <c r="C162">
        <f t="shared" si="9"/>
        <v>78</v>
      </c>
      <c r="D162">
        <f t="shared" si="10"/>
        <v>2513.7387048845872</v>
      </c>
      <c r="E162">
        <f t="shared" si="10"/>
        <v>1578.4155521655096</v>
      </c>
    </row>
    <row r="163" spans="1:5" x14ac:dyDescent="0.25">
      <c r="A163">
        <f t="shared" si="11"/>
        <v>79</v>
      </c>
      <c r="B163">
        <f t="shared" si="8"/>
        <v>352</v>
      </c>
      <c r="C163">
        <f t="shared" si="9"/>
        <v>79</v>
      </c>
      <c r="D163">
        <f t="shared" si="10"/>
        <v>2551.5656915965492</v>
      </c>
      <c r="E163">
        <f t="shared" si="10"/>
        <v>1636.7207026748392</v>
      </c>
    </row>
    <row r="164" spans="1:5" x14ac:dyDescent="0.25">
      <c r="A164">
        <f t="shared" si="11"/>
        <v>80</v>
      </c>
      <c r="B164">
        <f t="shared" si="8"/>
        <v>353</v>
      </c>
      <c r="C164">
        <f t="shared" si="9"/>
        <v>80</v>
      </c>
      <c r="D164">
        <f t="shared" si="10"/>
        <v>2589.8521637931754</v>
      </c>
      <c r="E164">
        <f t="shared" si="10"/>
        <v>1697.0049539845845</v>
      </c>
    </row>
    <row r="165" spans="1:5" x14ac:dyDescent="0.25">
      <c r="A165">
        <f t="shared" si="11"/>
        <v>81</v>
      </c>
    </row>
    <row r="166" spans="1:5" x14ac:dyDescent="0.25">
      <c r="A166">
        <f t="shared" si="11"/>
        <v>82</v>
      </c>
    </row>
    <row r="167" spans="1:5" x14ac:dyDescent="0.25">
      <c r="A167">
        <f t="shared" si="11"/>
        <v>83</v>
      </c>
    </row>
    <row r="168" spans="1:5" x14ac:dyDescent="0.25">
      <c r="A168">
        <f t="shared" si="11"/>
        <v>84</v>
      </c>
    </row>
    <row r="169" spans="1:5" x14ac:dyDescent="0.25">
      <c r="A169">
        <f t="shared" si="11"/>
        <v>85</v>
      </c>
    </row>
    <row r="170" spans="1:5" x14ac:dyDescent="0.25">
      <c r="A170">
        <f t="shared" si="11"/>
        <v>86</v>
      </c>
    </row>
    <row r="171" spans="1:5" x14ac:dyDescent="0.25">
      <c r="A171">
        <f t="shared" si="11"/>
        <v>87</v>
      </c>
    </row>
    <row r="172" spans="1:5" x14ac:dyDescent="0.25">
      <c r="A172">
        <f t="shared" si="11"/>
        <v>88</v>
      </c>
    </row>
    <row r="173" spans="1:5" x14ac:dyDescent="0.25">
      <c r="A173">
        <f t="shared" si="11"/>
        <v>89</v>
      </c>
    </row>
    <row r="174" spans="1:5" x14ac:dyDescent="0.25">
      <c r="A174">
        <f t="shared" si="11"/>
        <v>90</v>
      </c>
    </row>
    <row r="175" spans="1:5" x14ac:dyDescent="0.25">
      <c r="A175">
        <f t="shared" si="11"/>
        <v>91</v>
      </c>
    </row>
    <row r="176" spans="1:5" x14ac:dyDescent="0.25">
      <c r="A176">
        <f t="shared" si="11"/>
        <v>92</v>
      </c>
    </row>
    <row r="177" spans="1:1" x14ac:dyDescent="0.25">
      <c r="A177">
        <f t="shared" si="11"/>
        <v>93</v>
      </c>
    </row>
    <row r="178" spans="1:1" x14ac:dyDescent="0.25">
      <c r="A178">
        <f t="shared" si="11"/>
        <v>94</v>
      </c>
    </row>
    <row r="179" spans="1:1" x14ac:dyDescent="0.25">
      <c r="A179">
        <f t="shared" si="11"/>
        <v>95</v>
      </c>
    </row>
    <row r="180" spans="1:1" x14ac:dyDescent="0.25">
      <c r="A180">
        <f t="shared" si="11"/>
        <v>96</v>
      </c>
    </row>
    <row r="181" spans="1:1" x14ac:dyDescent="0.25">
      <c r="A181">
        <f t="shared" si="11"/>
        <v>97</v>
      </c>
    </row>
    <row r="182" spans="1:1" x14ac:dyDescent="0.25">
      <c r="A182">
        <f t="shared" si="11"/>
        <v>98</v>
      </c>
    </row>
    <row r="183" spans="1:1" x14ac:dyDescent="0.25">
      <c r="A183">
        <f t="shared" si="11"/>
        <v>99</v>
      </c>
    </row>
    <row r="184" spans="1:1" x14ac:dyDescent="0.25">
      <c r="A184">
        <f t="shared" si="11"/>
        <v>100</v>
      </c>
    </row>
    <row r="185" spans="1:1" x14ac:dyDescent="0.25">
      <c r="A185">
        <f t="shared" si="11"/>
        <v>101</v>
      </c>
    </row>
    <row r="186" spans="1:1" x14ac:dyDescent="0.25">
      <c r="A186">
        <f t="shared" si="11"/>
        <v>102</v>
      </c>
    </row>
    <row r="187" spans="1:1" x14ac:dyDescent="0.25">
      <c r="A187">
        <f t="shared" si="11"/>
        <v>103</v>
      </c>
    </row>
    <row r="188" spans="1:1" x14ac:dyDescent="0.25">
      <c r="A188">
        <f t="shared" si="11"/>
        <v>104</v>
      </c>
    </row>
    <row r="189" spans="1:1" x14ac:dyDescent="0.25">
      <c r="A189">
        <f t="shared" si="11"/>
        <v>105</v>
      </c>
    </row>
    <row r="190" spans="1:1" x14ac:dyDescent="0.25">
      <c r="A190">
        <f t="shared" si="11"/>
        <v>106</v>
      </c>
    </row>
    <row r="191" spans="1:1" x14ac:dyDescent="0.25">
      <c r="A191">
        <f t="shared" si="11"/>
        <v>107</v>
      </c>
    </row>
    <row r="192" spans="1:1" x14ac:dyDescent="0.25">
      <c r="A192">
        <f t="shared" si="11"/>
        <v>108</v>
      </c>
    </row>
    <row r="193" spans="1:1" x14ac:dyDescent="0.25">
      <c r="A193">
        <f t="shared" si="11"/>
        <v>109</v>
      </c>
    </row>
    <row r="194" spans="1:1" x14ac:dyDescent="0.25">
      <c r="A194">
        <f t="shared" si="11"/>
        <v>110</v>
      </c>
    </row>
    <row r="195" spans="1:1" x14ac:dyDescent="0.25">
      <c r="A195">
        <f t="shared" si="11"/>
        <v>111</v>
      </c>
    </row>
    <row r="196" spans="1:1" x14ac:dyDescent="0.25">
      <c r="A196">
        <f t="shared" si="11"/>
        <v>112</v>
      </c>
    </row>
    <row r="197" spans="1:1" x14ac:dyDescent="0.25">
      <c r="A197">
        <f t="shared" si="11"/>
        <v>113</v>
      </c>
    </row>
    <row r="198" spans="1:1" x14ac:dyDescent="0.25">
      <c r="A198">
        <f t="shared" ref="A198:A261" si="12">+$A197+1</f>
        <v>114</v>
      </c>
    </row>
    <row r="199" spans="1:1" x14ac:dyDescent="0.25">
      <c r="A199">
        <f t="shared" si="12"/>
        <v>115</v>
      </c>
    </row>
    <row r="200" spans="1:1" x14ac:dyDescent="0.25">
      <c r="A200">
        <f t="shared" si="12"/>
        <v>116</v>
      </c>
    </row>
    <row r="201" spans="1:1" x14ac:dyDescent="0.25">
      <c r="A201">
        <f t="shared" si="12"/>
        <v>117</v>
      </c>
    </row>
    <row r="202" spans="1:1" x14ac:dyDescent="0.25">
      <c r="A202">
        <f t="shared" si="12"/>
        <v>118</v>
      </c>
    </row>
    <row r="203" spans="1:1" x14ac:dyDescent="0.25">
      <c r="A203">
        <f t="shared" si="12"/>
        <v>119</v>
      </c>
    </row>
    <row r="204" spans="1:1" x14ac:dyDescent="0.25">
      <c r="A204">
        <f t="shared" si="12"/>
        <v>120</v>
      </c>
    </row>
    <row r="205" spans="1:1" x14ac:dyDescent="0.25">
      <c r="A205">
        <f t="shared" si="12"/>
        <v>121</v>
      </c>
    </row>
    <row r="206" spans="1:1" x14ac:dyDescent="0.25">
      <c r="A206">
        <f t="shared" si="12"/>
        <v>122</v>
      </c>
    </row>
    <row r="207" spans="1:1" x14ac:dyDescent="0.25">
      <c r="A207">
        <f t="shared" si="12"/>
        <v>123</v>
      </c>
    </row>
    <row r="208" spans="1:1" x14ac:dyDescent="0.25">
      <c r="A208">
        <f t="shared" si="12"/>
        <v>124</v>
      </c>
    </row>
    <row r="209" spans="1:1" x14ac:dyDescent="0.25">
      <c r="A209">
        <f t="shared" si="12"/>
        <v>125</v>
      </c>
    </row>
    <row r="210" spans="1:1" x14ac:dyDescent="0.25">
      <c r="A210">
        <f t="shared" si="12"/>
        <v>126</v>
      </c>
    </row>
    <row r="211" spans="1:1" x14ac:dyDescent="0.25">
      <c r="A211">
        <f t="shared" si="12"/>
        <v>127</v>
      </c>
    </row>
    <row r="212" spans="1:1" x14ac:dyDescent="0.25">
      <c r="A212">
        <f t="shared" si="12"/>
        <v>128</v>
      </c>
    </row>
    <row r="213" spans="1:1" x14ac:dyDescent="0.25">
      <c r="A213">
        <f t="shared" si="12"/>
        <v>129</v>
      </c>
    </row>
    <row r="214" spans="1:1" x14ac:dyDescent="0.25">
      <c r="A214">
        <f t="shared" si="12"/>
        <v>130</v>
      </c>
    </row>
    <row r="215" spans="1:1" x14ac:dyDescent="0.25">
      <c r="A215">
        <f t="shared" si="12"/>
        <v>131</v>
      </c>
    </row>
    <row r="216" spans="1:1" x14ac:dyDescent="0.25">
      <c r="A216">
        <f t="shared" si="12"/>
        <v>132</v>
      </c>
    </row>
    <row r="217" spans="1:1" x14ac:dyDescent="0.25">
      <c r="A217">
        <f t="shared" si="12"/>
        <v>133</v>
      </c>
    </row>
    <row r="218" spans="1:1" x14ac:dyDescent="0.25">
      <c r="A218">
        <f t="shared" si="12"/>
        <v>134</v>
      </c>
    </row>
    <row r="219" spans="1:1" x14ac:dyDescent="0.25">
      <c r="A219">
        <f t="shared" si="12"/>
        <v>135</v>
      </c>
    </row>
    <row r="220" spans="1:1" x14ac:dyDescent="0.25">
      <c r="A220">
        <f t="shared" si="12"/>
        <v>136</v>
      </c>
    </row>
    <row r="221" spans="1:1" x14ac:dyDescent="0.25">
      <c r="A221">
        <f t="shared" si="12"/>
        <v>137</v>
      </c>
    </row>
    <row r="222" spans="1:1" x14ac:dyDescent="0.25">
      <c r="A222">
        <f t="shared" si="12"/>
        <v>138</v>
      </c>
    </row>
    <row r="223" spans="1:1" x14ac:dyDescent="0.25">
      <c r="A223">
        <f t="shared" si="12"/>
        <v>139</v>
      </c>
    </row>
    <row r="224" spans="1:1" x14ac:dyDescent="0.25">
      <c r="A224">
        <f t="shared" si="12"/>
        <v>140</v>
      </c>
    </row>
    <row r="225" spans="1:1" x14ac:dyDescent="0.25">
      <c r="A225">
        <f t="shared" si="12"/>
        <v>141</v>
      </c>
    </row>
    <row r="226" spans="1:1" x14ac:dyDescent="0.25">
      <c r="A226">
        <f t="shared" si="12"/>
        <v>142</v>
      </c>
    </row>
    <row r="227" spans="1:1" x14ac:dyDescent="0.25">
      <c r="A227">
        <f t="shared" si="12"/>
        <v>143</v>
      </c>
    </row>
    <row r="228" spans="1:1" x14ac:dyDescent="0.25">
      <c r="A228">
        <f t="shared" si="12"/>
        <v>144</v>
      </c>
    </row>
    <row r="229" spans="1:1" x14ac:dyDescent="0.25">
      <c r="A229">
        <f t="shared" si="12"/>
        <v>145</v>
      </c>
    </row>
    <row r="230" spans="1:1" x14ac:dyDescent="0.25">
      <c r="A230">
        <f t="shared" si="12"/>
        <v>146</v>
      </c>
    </row>
    <row r="231" spans="1:1" x14ac:dyDescent="0.25">
      <c r="A231">
        <f t="shared" si="12"/>
        <v>147</v>
      </c>
    </row>
    <row r="232" spans="1:1" x14ac:dyDescent="0.25">
      <c r="A232">
        <f t="shared" si="12"/>
        <v>148</v>
      </c>
    </row>
    <row r="233" spans="1:1" x14ac:dyDescent="0.25">
      <c r="A233">
        <f t="shared" si="12"/>
        <v>149</v>
      </c>
    </row>
    <row r="234" spans="1:1" x14ac:dyDescent="0.25">
      <c r="A234">
        <f t="shared" si="12"/>
        <v>150</v>
      </c>
    </row>
    <row r="235" spans="1:1" x14ac:dyDescent="0.25">
      <c r="A235">
        <f t="shared" si="12"/>
        <v>151</v>
      </c>
    </row>
    <row r="236" spans="1:1" x14ac:dyDescent="0.25">
      <c r="A236">
        <f t="shared" si="12"/>
        <v>152</v>
      </c>
    </row>
    <row r="237" spans="1:1" x14ac:dyDescent="0.25">
      <c r="A237">
        <f t="shared" si="12"/>
        <v>153</v>
      </c>
    </row>
    <row r="238" spans="1:1" x14ac:dyDescent="0.25">
      <c r="A238">
        <f t="shared" si="12"/>
        <v>154</v>
      </c>
    </row>
    <row r="239" spans="1:1" x14ac:dyDescent="0.25">
      <c r="A239">
        <f t="shared" si="12"/>
        <v>155</v>
      </c>
    </row>
    <row r="240" spans="1:1" x14ac:dyDescent="0.25">
      <c r="A240">
        <f t="shared" si="12"/>
        <v>156</v>
      </c>
    </row>
    <row r="241" spans="1:1" x14ac:dyDescent="0.25">
      <c r="A241">
        <f t="shared" si="12"/>
        <v>157</v>
      </c>
    </row>
    <row r="242" spans="1:1" x14ac:dyDescent="0.25">
      <c r="A242">
        <f t="shared" si="12"/>
        <v>158</v>
      </c>
    </row>
    <row r="243" spans="1:1" x14ac:dyDescent="0.25">
      <c r="A243">
        <f t="shared" si="12"/>
        <v>159</v>
      </c>
    </row>
    <row r="244" spans="1:1" x14ac:dyDescent="0.25">
      <c r="A244">
        <f t="shared" si="12"/>
        <v>160</v>
      </c>
    </row>
    <row r="245" spans="1:1" x14ac:dyDescent="0.25">
      <c r="A245">
        <f t="shared" si="12"/>
        <v>161</v>
      </c>
    </row>
    <row r="246" spans="1:1" x14ac:dyDescent="0.25">
      <c r="A246">
        <f t="shared" si="12"/>
        <v>162</v>
      </c>
    </row>
    <row r="247" spans="1:1" x14ac:dyDescent="0.25">
      <c r="A247">
        <f t="shared" si="12"/>
        <v>163</v>
      </c>
    </row>
    <row r="248" spans="1:1" x14ac:dyDescent="0.25">
      <c r="A248">
        <f t="shared" si="12"/>
        <v>164</v>
      </c>
    </row>
    <row r="249" spans="1:1" x14ac:dyDescent="0.25">
      <c r="A249">
        <f t="shared" si="12"/>
        <v>165</v>
      </c>
    </row>
    <row r="250" spans="1:1" x14ac:dyDescent="0.25">
      <c r="A250">
        <f t="shared" si="12"/>
        <v>166</v>
      </c>
    </row>
    <row r="251" spans="1:1" x14ac:dyDescent="0.25">
      <c r="A251">
        <f t="shared" si="12"/>
        <v>167</v>
      </c>
    </row>
    <row r="252" spans="1:1" x14ac:dyDescent="0.25">
      <c r="A252">
        <f t="shared" si="12"/>
        <v>168</v>
      </c>
    </row>
    <row r="253" spans="1:1" x14ac:dyDescent="0.25">
      <c r="A253">
        <f t="shared" si="12"/>
        <v>169</v>
      </c>
    </row>
    <row r="254" spans="1:1" x14ac:dyDescent="0.25">
      <c r="A254">
        <f t="shared" si="12"/>
        <v>170</v>
      </c>
    </row>
    <row r="255" spans="1:1" x14ac:dyDescent="0.25">
      <c r="A255">
        <f t="shared" si="12"/>
        <v>171</v>
      </c>
    </row>
    <row r="256" spans="1:1" x14ac:dyDescent="0.25">
      <c r="A256">
        <f t="shared" si="12"/>
        <v>172</v>
      </c>
    </row>
    <row r="257" spans="1:1" x14ac:dyDescent="0.25">
      <c r="A257">
        <f t="shared" si="12"/>
        <v>173</v>
      </c>
    </row>
    <row r="258" spans="1:1" x14ac:dyDescent="0.25">
      <c r="A258">
        <f t="shared" si="12"/>
        <v>174</v>
      </c>
    </row>
    <row r="259" spans="1:1" x14ac:dyDescent="0.25">
      <c r="A259">
        <f t="shared" si="12"/>
        <v>175</v>
      </c>
    </row>
    <row r="260" spans="1:1" x14ac:dyDescent="0.25">
      <c r="A260">
        <f t="shared" si="12"/>
        <v>176</v>
      </c>
    </row>
    <row r="261" spans="1:1" x14ac:dyDescent="0.25">
      <c r="A261">
        <f t="shared" si="12"/>
        <v>177</v>
      </c>
    </row>
    <row r="262" spans="1:1" x14ac:dyDescent="0.25">
      <c r="A262">
        <f t="shared" ref="A262:A270" si="13">+$A261+1</f>
        <v>178</v>
      </c>
    </row>
    <row r="263" spans="1:1" x14ac:dyDescent="0.25">
      <c r="A263">
        <f t="shared" si="13"/>
        <v>179</v>
      </c>
    </row>
    <row r="264" spans="1:1" x14ac:dyDescent="0.25">
      <c r="A264">
        <f t="shared" si="13"/>
        <v>180</v>
      </c>
    </row>
    <row r="265" spans="1:1" x14ac:dyDescent="0.25">
      <c r="A265">
        <f t="shared" si="13"/>
        <v>181</v>
      </c>
    </row>
    <row r="266" spans="1:1" x14ac:dyDescent="0.25">
      <c r="A266">
        <f t="shared" si="13"/>
        <v>182</v>
      </c>
    </row>
    <row r="267" spans="1:1" x14ac:dyDescent="0.25">
      <c r="A267">
        <f t="shared" si="13"/>
        <v>183</v>
      </c>
    </row>
    <row r="268" spans="1:1" x14ac:dyDescent="0.25">
      <c r="A268">
        <f t="shared" si="13"/>
        <v>184</v>
      </c>
    </row>
    <row r="269" spans="1:1" x14ac:dyDescent="0.25">
      <c r="A269">
        <f t="shared" si="13"/>
        <v>185</v>
      </c>
    </row>
    <row r="270" spans="1:1" x14ac:dyDescent="0.25">
      <c r="A270">
        <f t="shared" si="13"/>
        <v>186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"/>
  <sheetViews>
    <sheetView workbookViewId="0">
      <selection activeCell="C10" sqref="C10"/>
    </sheetView>
  </sheetViews>
  <sheetFormatPr defaultRowHeight="15" x14ac:dyDescent="0.25"/>
  <cols>
    <col min="1" max="1" width="7" customWidth="1"/>
    <col min="2" max="2" width="11.85546875" customWidth="1"/>
    <col min="3" max="3" width="15.28515625" style="2" customWidth="1"/>
  </cols>
  <sheetData>
    <row r="1" spans="1:4" x14ac:dyDescent="0.25">
      <c r="A1">
        <v>1</v>
      </c>
      <c r="B1" s="3" t="s">
        <v>2</v>
      </c>
      <c r="C1" s="4">
        <f>4/21</f>
        <v>0.19047619047619047</v>
      </c>
      <c r="D1">
        <v>295</v>
      </c>
    </row>
    <row r="2" spans="1:4" x14ac:dyDescent="0.25">
      <c r="B2" s="3" t="s">
        <v>3</v>
      </c>
      <c r="C2" s="4">
        <v>9.8065999999999995</v>
      </c>
      <c r="D2">
        <v>0</v>
      </c>
    </row>
    <row r="3" spans="1:4" x14ac:dyDescent="0.25">
      <c r="B3" s="3" t="s">
        <v>4</v>
      </c>
      <c r="C3" s="4">
        <v>28.964400000000001</v>
      </c>
    </row>
    <row r="4" spans="1:4" x14ac:dyDescent="0.25">
      <c r="B4" s="3" t="s">
        <v>5</v>
      </c>
      <c r="C4" s="4">
        <v>8314.32</v>
      </c>
    </row>
    <row r="5" spans="1:4" x14ac:dyDescent="0.25">
      <c r="B5" s="3" t="s">
        <v>6</v>
      </c>
      <c r="C5" s="4">
        <f>+$C$3*$C$2*$C$1/$C$4</f>
        <v>6.5072420099985852E-3</v>
      </c>
    </row>
    <row r="6" spans="1:4" x14ac:dyDescent="0.25">
      <c r="C6" s="2">
        <v>258.5</v>
      </c>
    </row>
    <row r="7" spans="1:4" x14ac:dyDescent="0.25">
      <c r="C7" s="2">
        <v>6000</v>
      </c>
    </row>
    <row r="9" spans="1:4" x14ac:dyDescent="0.25">
      <c r="A9" t="s">
        <v>7</v>
      </c>
      <c r="B9" t="s">
        <v>8</v>
      </c>
      <c r="C9" s="2" t="s">
        <v>1</v>
      </c>
      <c r="D9" t="s">
        <v>0</v>
      </c>
    </row>
    <row r="10" spans="1:4" x14ac:dyDescent="0.25">
      <c r="A10">
        <v>203</v>
      </c>
      <c r="B10">
        <f>+$A10-273</f>
        <v>-70</v>
      </c>
      <c r="C10" s="2">
        <f>$C$7-$A10*(LN($A10/$C$6))/$C$5</f>
        <v>13539.75525278951</v>
      </c>
      <c r="D10">
        <f>-($A10-$D$1)/$C$5+$D$2</f>
        <v>14138.094120157059</v>
      </c>
    </row>
    <row r="11" spans="1:4" x14ac:dyDescent="0.25">
      <c r="A11">
        <f>+$A10+$A$1</f>
        <v>204</v>
      </c>
      <c r="B11">
        <f t="shared" ref="B11:B74" si="0">+$A11-273</f>
        <v>-69</v>
      </c>
      <c r="C11" s="2">
        <f t="shared" ref="C11:C74" si="1">$C$7-$A11*(LN($A11/$C$6))/$C$5</f>
        <v>13422.844078497868</v>
      </c>
      <c r="D11">
        <f t="shared" ref="D11:D74" si="2">-($A11-$D$1)/$C$5+$D$2</f>
        <v>13984.419184068396</v>
      </c>
    </row>
    <row r="12" spans="1:4" x14ac:dyDescent="0.25">
      <c r="A12">
        <f t="shared" ref="A12:A75" si="3">+$A11+$A$1</f>
        <v>205</v>
      </c>
      <c r="B12">
        <f t="shared" si="0"/>
        <v>-68</v>
      </c>
      <c r="C12" s="2">
        <f t="shared" si="1"/>
        <v>13305.179592679055</v>
      </c>
      <c r="D12">
        <f t="shared" si="2"/>
        <v>13830.744247979732</v>
      </c>
    </row>
    <row r="13" spans="1:4" x14ac:dyDescent="0.25">
      <c r="A13">
        <f t="shared" si="3"/>
        <v>206</v>
      </c>
      <c r="B13">
        <f t="shared" si="0"/>
        <v>-67</v>
      </c>
      <c r="C13" s="2">
        <f t="shared" si="1"/>
        <v>13186.765470052669</v>
      </c>
      <c r="D13">
        <f t="shared" si="2"/>
        <v>13677.069311891068</v>
      </c>
    </row>
    <row r="14" spans="1:4" x14ac:dyDescent="0.25">
      <c r="A14">
        <f t="shared" si="3"/>
        <v>207</v>
      </c>
      <c r="B14">
        <f t="shared" si="0"/>
        <v>-66</v>
      </c>
      <c r="C14" s="2">
        <f t="shared" si="1"/>
        <v>13067.605349660993</v>
      </c>
      <c r="D14">
        <f t="shared" si="2"/>
        <v>13523.394375802405</v>
      </c>
    </row>
    <row r="15" spans="1:4" x14ac:dyDescent="0.25">
      <c r="A15">
        <f t="shared" si="3"/>
        <v>208</v>
      </c>
      <c r="B15">
        <f t="shared" si="0"/>
        <v>-65</v>
      </c>
      <c r="C15" s="2">
        <f t="shared" si="1"/>
        <v>12947.702835386068</v>
      </c>
      <c r="D15">
        <f t="shared" si="2"/>
        <v>13369.719439713741</v>
      </c>
    </row>
    <row r="16" spans="1:4" x14ac:dyDescent="0.25">
      <c r="A16">
        <f t="shared" si="3"/>
        <v>209</v>
      </c>
      <c r="B16">
        <f t="shared" si="0"/>
        <v>-64</v>
      </c>
      <c r="C16" s="2">
        <f t="shared" si="1"/>
        <v>12827.061496456821</v>
      </c>
      <c r="D16">
        <f t="shared" si="2"/>
        <v>13216.044503625077</v>
      </c>
    </row>
    <row r="17" spans="1:4" x14ac:dyDescent="0.25">
      <c r="A17">
        <f t="shared" si="3"/>
        <v>210</v>
      </c>
      <c r="B17">
        <f t="shared" si="0"/>
        <v>-63</v>
      </c>
      <c r="C17" s="2">
        <f t="shared" si="1"/>
        <v>12705.684867946482</v>
      </c>
      <c r="D17">
        <f t="shared" si="2"/>
        <v>13062.369567536412</v>
      </c>
    </row>
    <row r="18" spans="1:4" x14ac:dyDescent="0.25">
      <c r="A18">
        <f t="shared" si="3"/>
        <v>211</v>
      </c>
      <c r="B18">
        <f t="shared" si="0"/>
        <v>-62</v>
      </c>
      <c r="C18" s="2">
        <f t="shared" si="1"/>
        <v>12583.576451260549</v>
      </c>
      <c r="D18">
        <f t="shared" si="2"/>
        <v>12908.69463144775</v>
      </c>
    </row>
    <row r="19" spans="1:4" x14ac:dyDescent="0.25">
      <c r="A19">
        <f t="shared" si="3"/>
        <v>212</v>
      </c>
      <c r="B19">
        <f t="shared" si="0"/>
        <v>-61</v>
      </c>
      <c r="C19" s="2">
        <f t="shared" si="1"/>
        <v>12460.739714615451</v>
      </c>
      <c r="D19">
        <f t="shared" si="2"/>
        <v>12755.019695359086</v>
      </c>
    </row>
    <row r="20" spans="1:4" x14ac:dyDescent="0.25">
      <c r="A20">
        <f t="shared" si="3"/>
        <v>213</v>
      </c>
      <c r="B20">
        <f t="shared" si="0"/>
        <v>-60</v>
      </c>
      <c r="C20" s="2">
        <f t="shared" si="1"/>
        <v>12337.178093508233</v>
      </c>
      <c r="D20">
        <f t="shared" si="2"/>
        <v>12601.344759270421</v>
      </c>
    </row>
    <row r="21" spans="1:4" x14ac:dyDescent="0.25">
      <c r="A21">
        <f t="shared" si="3"/>
        <v>214</v>
      </c>
      <c r="B21">
        <f t="shared" si="0"/>
        <v>-59</v>
      </c>
      <c r="C21" s="2">
        <f t="shared" si="1"/>
        <v>12212.894991177391</v>
      </c>
      <c r="D21">
        <f t="shared" si="2"/>
        <v>12447.669823181759</v>
      </c>
    </row>
    <row r="22" spans="1:4" x14ac:dyDescent="0.25">
      <c r="A22">
        <f t="shared" si="3"/>
        <v>215</v>
      </c>
      <c r="B22">
        <f t="shared" si="0"/>
        <v>-58</v>
      </c>
      <c r="C22" s="2">
        <f t="shared" si="1"/>
        <v>12087.893779055121</v>
      </c>
      <c r="D22">
        <f t="shared" si="2"/>
        <v>12293.994887093095</v>
      </c>
    </row>
    <row r="23" spans="1:4" x14ac:dyDescent="0.25">
      <c r="A23">
        <f t="shared" si="3"/>
        <v>216</v>
      </c>
      <c r="B23">
        <f t="shared" si="0"/>
        <v>-57</v>
      </c>
      <c r="C23" s="2">
        <f t="shared" si="1"/>
        <v>11962.177797211094</v>
      </c>
      <c r="D23">
        <f t="shared" si="2"/>
        <v>12140.319951004431</v>
      </c>
    </row>
    <row r="24" spans="1:4" x14ac:dyDescent="0.25">
      <c r="A24">
        <f t="shared" si="3"/>
        <v>217</v>
      </c>
      <c r="B24">
        <f t="shared" si="0"/>
        <v>-56</v>
      </c>
      <c r="C24" s="2">
        <f t="shared" si="1"/>
        <v>11835.750354788101</v>
      </c>
      <c r="D24">
        <f t="shared" si="2"/>
        <v>11986.645014915768</v>
      </c>
    </row>
    <row r="25" spans="1:4" x14ac:dyDescent="0.25">
      <c r="A25">
        <f t="shared" si="3"/>
        <v>218</v>
      </c>
      <c r="B25">
        <f t="shared" si="0"/>
        <v>-55</v>
      </c>
      <c r="C25" s="2">
        <f t="shared" si="1"/>
        <v>11708.614730429577</v>
      </c>
      <c r="D25">
        <f t="shared" si="2"/>
        <v>11832.970078827104</v>
      </c>
    </row>
    <row r="26" spans="1:4" x14ac:dyDescent="0.25">
      <c r="A26">
        <f t="shared" si="3"/>
        <v>219</v>
      </c>
      <c r="B26">
        <f t="shared" si="0"/>
        <v>-54</v>
      </c>
      <c r="C26" s="2">
        <f t="shared" si="1"/>
        <v>11580.774172699344</v>
      </c>
      <c r="D26">
        <f t="shared" si="2"/>
        <v>11679.29514273844</v>
      </c>
    </row>
    <row r="27" spans="1:4" x14ac:dyDescent="0.25">
      <c r="A27">
        <f t="shared" si="3"/>
        <v>220</v>
      </c>
      <c r="B27">
        <f t="shared" si="0"/>
        <v>-53</v>
      </c>
      <c r="C27" s="2">
        <f t="shared" si="1"/>
        <v>11452.23190049368</v>
      </c>
      <c r="D27">
        <f t="shared" si="2"/>
        <v>11525.620206649777</v>
      </c>
    </row>
    <row r="28" spans="1:4" x14ac:dyDescent="0.25">
      <c r="A28">
        <f t="shared" si="3"/>
        <v>221</v>
      </c>
      <c r="B28">
        <f t="shared" si="0"/>
        <v>-52</v>
      </c>
      <c r="C28" s="2">
        <f t="shared" si="1"/>
        <v>11322.991103445849</v>
      </c>
      <c r="D28">
        <f t="shared" si="2"/>
        <v>11371.945270561113</v>
      </c>
    </row>
    <row r="29" spans="1:4" x14ac:dyDescent="0.25">
      <c r="A29">
        <f t="shared" si="3"/>
        <v>222</v>
      </c>
      <c r="B29">
        <f t="shared" si="0"/>
        <v>-51</v>
      </c>
      <c r="C29" s="2">
        <f t="shared" si="1"/>
        <v>11193.054942323364</v>
      </c>
      <c r="D29">
        <f t="shared" si="2"/>
        <v>11218.270334472449</v>
      </c>
    </row>
    <row r="30" spans="1:4" x14ac:dyDescent="0.25">
      <c r="A30">
        <f t="shared" si="3"/>
        <v>223</v>
      </c>
      <c r="B30">
        <f t="shared" si="0"/>
        <v>-50</v>
      </c>
      <c r="C30" s="2">
        <f t="shared" si="1"/>
        <v>11062.426549418064</v>
      </c>
      <c r="D30">
        <f t="shared" si="2"/>
        <v>11064.595398383786</v>
      </c>
    </row>
    <row r="31" spans="1:4" x14ac:dyDescent="0.25">
      <c r="A31">
        <f t="shared" si="3"/>
        <v>224</v>
      </c>
      <c r="B31">
        <f t="shared" si="0"/>
        <v>-49</v>
      </c>
      <c r="C31" s="2">
        <f t="shared" si="1"/>
        <v>10931.109028929204</v>
      </c>
      <c r="D31">
        <f t="shared" si="2"/>
        <v>10910.920462295122</v>
      </c>
    </row>
    <row r="32" spans="1:4" x14ac:dyDescent="0.25">
      <c r="A32">
        <f t="shared" si="3"/>
        <v>225</v>
      </c>
      <c r="B32">
        <f t="shared" si="0"/>
        <v>-48</v>
      </c>
      <c r="C32" s="2">
        <f t="shared" si="1"/>
        <v>10799.105457339694</v>
      </c>
      <c r="D32">
        <f t="shared" si="2"/>
        <v>10757.245526206458</v>
      </c>
    </row>
    <row r="33" spans="1:4" x14ac:dyDescent="0.25">
      <c r="A33">
        <f t="shared" si="3"/>
        <v>226</v>
      </c>
      <c r="B33">
        <f t="shared" si="0"/>
        <v>-47</v>
      </c>
      <c r="C33" s="2">
        <f t="shared" si="1"/>
        <v>10666.41888378566</v>
      </c>
      <c r="D33">
        <f t="shared" si="2"/>
        <v>10603.570590117793</v>
      </c>
    </row>
    <row r="34" spans="1:4" x14ac:dyDescent="0.25">
      <c r="A34">
        <f t="shared" si="3"/>
        <v>227</v>
      </c>
      <c r="B34">
        <f t="shared" si="0"/>
        <v>-46</v>
      </c>
      <c r="C34" s="2">
        <f t="shared" si="1"/>
        <v>10533.05233041945</v>
      </c>
      <c r="D34">
        <f t="shared" si="2"/>
        <v>10449.895654029131</v>
      </c>
    </row>
    <row r="35" spans="1:4" x14ac:dyDescent="0.25">
      <c r="A35">
        <f t="shared" si="3"/>
        <v>228</v>
      </c>
      <c r="B35">
        <f t="shared" si="0"/>
        <v>-45</v>
      </c>
      <c r="C35" s="2">
        <f t="shared" si="1"/>
        <v>10399.008792766264</v>
      </c>
      <c r="D35">
        <f t="shared" si="2"/>
        <v>10296.220717940467</v>
      </c>
    </row>
    <row r="36" spans="1:4" x14ac:dyDescent="0.25">
      <c r="A36">
        <f t="shared" si="3"/>
        <v>229</v>
      </c>
      <c r="B36">
        <f t="shared" si="0"/>
        <v>-44</v>
      </c>
      <c r="C36" s="2">
        <f t="shared" si="1"/>
        <v>10264.291240074526</v>
      </c>
      <c r="D36">
        <f t="shared" si="2"/>
        <v>10142.545781851803</v>
      </c>
    </row>
    <row r="37" spans="1:4" x14ac:dyDescent="0.25">
      <c r="A37">
        <f t="shared" si="3"/>
        <v>230</v>
      </c>
      <c r="B37">
        <f t="shared" si="0"/>
        <v>-43</v>
      </c>
      <c r="C37" s="2">
        <f t="shared" si="1"/>
        <v>10128.902615660085</v>
      </c>
      <c r="D37">
        <f t="shared" si="2"/>
        <v>9988.8708457631401</v>
      </c>
    </row>
    <row r="38" spans="1:4" x14ac:dyDescent="0.25">
      <c r="A38">
        <f t="shared" si="3"/>
        <v>231</v>
      </c>
      <c r="B38">
        <f t="shared" si="0"/>
        <v>-42</v>
      </c>
      <c r="C38" s="2">
        <f t="shared" si="1"/>
        <v>9992.8458372445129</v>
      </c>
      <c r="D38">
        <f t="shared" si="2"/>
        <v>9835.1959096744758</v>
      </c>
    </row>
    <row r="39" spans="1:4" x14ac:dyDescent="0.25">
      <c r="A39">
        <f t="shared" si="3"/>
        <v>232</v>
      </c>
      <c r="B39">
        <f t="shared" si="0"/>
        <v>-41</v>
      </c>
      <c r="C39" s="2">
        <f t="shared" si="1"/>
        <v>9856.1237972874751</v>
      </c>
      <c r="D39">
        <f t="shared" si="2"/>
        <v>9681.5209735858116</v>
      </c>
    </row>
    <row r="40" spans="1:4" x14ac:dyDescent="0.25">
      <c r="A40">
        <f t="shared" si="3"/>
        <v>233</v>
      </c>
      <c r="B40">
        <f t="shared" si="0"/>
        <v>-40</v>
      </c>
      <c r="C40" s="2">
        <f t="shared" si="1"/>
        <v>9718.7393633134234</v>
      </c>
      <c r="D40">
        <f t="shared" si="2"/>
        <v>9527.8460374971492</v>
      </c>
    </row>
    <row r="41" spans="1:4" x14ac:dyDescent="0.25">
      <c r="A41">
        <f t="shared" si="3"/>
        <v>234</v>
      </c>
      <c r="B41">
        <f t="shared" si="0"/>
        <v>-39</v>
      </c>
      <c r="C41" s="2">
        <f t="shared" si="1"/>
        <v>9580.69537823262</v>
      </c>
      <c r="D41">
        <f t="shared" si="2"/>
        <v>9374.1711014084849</v>
      </c>
    </row>
    <row r="42" spans="1:4" x14ac:dyDescent="0.25">
      <c r="A42">
        <f t="shared" si="3"/>
        <v>235</v>
      </c>
      <c r="B42">
        <f t="shared" si="0"/>
        <v>-38</v>
      </c>
      <c r="C42" s="2">
        <f t="shared" si="1"/>
        <v>9441.9946606567391</v>
      </c>
      <c r="D42">
        <f t="shared" si="2"/>
        <v>9220.4961653198206</v>
      </c>
    </row>
    <row r="43" spans="1:4" x14ac:dyDescent="0.25">
      <c r="A43">
        <f t="shared" si="3"/>
        <v>236</v>
      </c>
      <c r="B43">
        <f t="shared" si="0"/>
        <v>-37</v>
      </c>
      <c r="C43" s="2">
        <f t="shared" si="1"/>
        <v>9302.6400052090412</v>
      </c>
      <c r="D43">
        <f t="shared" si="2"/>
        <v>9066.8212292311582</v>
      </c>
    </row>
    <row r="44" spans="1:4" x14ac:dyDescent="0.25">
      <c r="A44">
        <f t="shared" si="3"/>
        <v>237</v>
      </c>
      <c r="B44">
        <f t="shared" si="0"/>
        <v>-36</v>
      </c>
      <c r="C44" s="2">
        <f t="shared" si="1"/>
        <v>9162.6341828293298</v>
      </c>
      <c r="D44">
        <f t="shared" si="2"/>
        <v>8913.146293142494</v>
      </c>
    </row>
    <row r="45" spans="1:4" x14ac:dyDescent="0.25">
      <c r="A45">
        <f t="shared" si="3"/>
        <v>238</v>
      </c>
      <c r="B45">
        <f t="shared" si="0"/>
        <v>-35</v>
      </c>
      <c r="C45" s="2">
        <f t="shared" si="1"/>
        <v>9021.9799410737523</v>
      </c>
      <c r="D45">
        <f t="shared" si="2"/>
        <v>8759.4713570538297</v>
      </c>
    </row>
    <row r="46" spans="1:4" x14ac:dyDescent="0.25">
      <c r="A46">
        <f t="shared" si="3"/>
        <v>239</v>
      </c>
      <c r="B46">
        <f t="shared" si="0"/>
        <v>-34</v>
      </c>
      <c r="C46" s="2">
        <f t="shared" si="1"/>
        <v>8880.6800044095271</v>
      </c>
      <c r="D46">
        <f t="shared" si="2"/>
        <v>8605.7964209651673</v>
      </c>
    </row>
    <row r="47" spans="1:4" x14ac:dyDescent="0.25">
      <c r="A47">
        <f t="shared" si="3"/>
        <v>240</v>
      </c>
      <c r="B47">
        <f t="shared" si="0"/>
        <v>-33</v>
      </c>
      <c r="C47" s="2">
        <f t="shared" si="1"/>
        <v>8738.7370745047938</v>
      </c>
      <c r="D47">
        <f t="shared" si="2"/>
        <v>8452.121484876503</v>
      </c>
    </row>
    <row r="48" spans="1:4" x14ac:dyDescent="0.25">
      <c r="A48">
        <f t="shared" si="3"/>
        <v>241</v>
      </c>
      <c r="B48">
        <f t="shared" si="0"/>
        <v>-32</v>
      </c>
      <c r="C48" s="2">
        <f t="shared" si="1"/>
        <v>8596.1538305135837</v>
      </c>
      <c r="D48">
        <f t="shared" si="2"/>
        <v>8298.4465487878388</v>
      </c>
    </row>
    <row r="49" spans="1:4" x14ac:dyDescent="0.25">
      <c r="A49">
        <f t="shared" si="3"/>
        <v>242</v>
      </c>
      <c r="B49">
        <f t="shared" si="0"/>
        <v>-31</v>
      </c>
      <c r="C49" s="2">
        <f t="shared" si="1"/>
        <v>8452.9329293561095</v>
      </c>
      <c r="D49">
        <f t="shared" si="2"/>
        <v>8144.7716126991754</v>
      </c>
    </row>
    <row r="50" spans="1:4" x14ac:dyDescent="0.25">
      <c r="A50">
        <f t="shared" si="3"/>
        <v>243</v>
      </c>
      <c r="B50">
        <f t="shared" si="0"/>
        <v>-30</v>
      </c>
      <c r="C50" s="2">
        <f t="shared" si="1"/>
        <v>8309.0770059943661</v>
      </c>
      <c r="D50">
        <f t="shared" si="2"/>
        <v>7991.0966766105121</v>
      </c>
    </row>
    <row r="51" spans="1:4" x14ac:dyDescent="0.25">
      <c r="A51">
        <f t="shared" si="3"/>
        <v>244</v>
      </c>
      <c r="B51">
        <f t="shared" si="0"/>
        <v>-29</v>
      </c>
      <c r="C51" s="2">
        <f t="shared" si="1"/>
        <v>8164.5886737032342</v>
      </c>
      <c r="D51">
        <f t="shared" si="2"/>
        <v>7837.4217405218478</v>
      </c>
    </row>
    <row r="52" spans="1:4" x14ac:dyDescent="0.25">
      <c r="A52">
        <f t="shared" si="3"/>
        <v>245</v>
      </c>
      <c r="B52">
        <f t="shared" si="0"/>
        <v>-28</v>
      </c>
      <c r="C52" s="2">
        <f t="shared" si="1"/>
        <v>8019.47052433713</v>
      </c>
      <c r="D52">
        <f t="shared" si="2"/>
        <v>7683.7468044331845</v>
      </c>
    </row>
    <row r="53" spans="1:4" x14ac:dyDescent="0.25">
      <c r="A53">
        <f t="shared" si="3"/>
        <v>246</v>
      </c>
      <c r="B53">
        <f t="shared" si="0"/>
        <v>-27</v>
      </c>
      <c r="C53" s="2">
        <f t="shared" si="1"/>
        <v>7873.7251285922921</v>
      </c>
      <c r="D53">
        <f t="shared" si="2"/>
        <v>7530.0718683445202</v>
      </c>
    </row>
    <row r="54" spans="1:4" x14ac:dyDescent="0.25">
      <c r="A54">
        <f t="shared" si="3"/>
        <v>247</v>
      </c>
      <c r="B54">
        <f t="shared" si="0"/>
        <v>-26</v>
      </c>
      <c r="C54" s="2">
        <f t="shared" si="1"/>
        <v>7727.3550362648302</v>
      </c>
      <c r="D54">
        <f t="shared" si="2"/>
        <v>7376.3969322558569</v>
      </c>
    </row>
    <row r="55" spans="1:4" x14ac:dyDescent="0.25">
      <c r="A55">
        <f t="shared" si="3"/>
        <v>248</v>
      </c>
      <c r="B55">
        <f t="shared" si="0"/>
        <v>-25</v>
      </c>
      <c r="C55" s="2">
        <f t="shared" si="1"/>
        <v>7580.3627765045494</v>
      </c>
      <c r="D55">
        <f t="shared" si="2"/>
        <v>7222.7219961671935</v>
      </c>
    </row>
    <row r="56" spans="1:4" x14ac:dyDescent="0.25">
      <c r="A56">
        <f t="shared" si="3"/>
        <v>249</v>
      </c>
      <c r="B56">
        <f t="shared" si="0"/>
        <v>-24</v>
      </c>
      <c r="C56" s="2">
        <f t="shared" si="1"/>
        <v>7432.7508580647227</v>
      </c>
      <c r="D56">
        <f t="shared" si="2"/>
        <v>7069.0470600785293</v>
      </c>
    </row>
    <row r="57" spans="1:4" x14ac:dyDescent="0.25">
      <c r="A57">
        <f t="shared" si="3"/>
        <v>250</v>
      </c>
      <c r="B57">
        <f t="shared" si="0"/>
        <v>-23</v>
      </c>
      <c r="C57" s="2">
        <f t="shared" si="1"/>
        <v>7284.5217695478259</v>
      </c>
      <c r="D57">
        <f t="shared" si="2"/>
        <v>6915.3721239898659</v>
      </c>
    </row>
    <row r="58" spans="1:4" x14ac:dyDescent="0.25">
      <c r="A58">
        <f t="shared" si="3"/>
        <v>251</v>
      </c>
      <c r="B58">
        <f t="shared" si="0"/>
        <v>-22</v>
      </c>
      <c r="C58" s="2">
        <f t="shared" si="1"/>
        <v>7135.6779796473693</v>
      </c>
      <c r="D58">
        <f t="shared" si="2"/>
        <v>6761.6971879012026</v>
      </c>
    </row>
    <row r="59" spans="1:4" x14ac:dyDescent="0.25">
      <c r="A59">
        <f t="shared" si="3"/>
        <v>252</v>
      </c>
      <c r="B59">
        <f t="shared" si="0"/>
        <v>-21</v>
      </c>
      <c r="C59" s="2">
        <f t="shared" si="1"/>
        <v>6986.2219373858279</v>
      </c>
      <c r="D59">
        <f t="shared" si="2"/>
        <v>6608.0222518125383</v>
      </c>
    </row>
    <row r="60" spans="1:4" x14ac:dyDescent="0.25">
      <c r="A60">
        <f t="shared" si="3"/>
        <v>253</v>
      </c>
      <c r="B60">
        <f t="shared" si="0"/>
        <v>-20</v>
      </c>
      <c r="C60" s="2">
        <f t="shared" si="1"/>
        <v>6836.156072348841</v>
      </c>
      <c r="D60">
        <f t="shared" si="2"/>
        <v>6454.347315723875</v>
      </c>
    </row>
    <row r="61" spans="1:4" x14ac:dyDescent="0.25">
      <c r="A61">
        <f t="shared" si="3"/>
        <v>254</v>
      </c>
      <c r="B61">
        <f t="shared" si="0"/>
        <v>-19</v>
      </c>
      <c r="C61" s="2">
        <f t="shared" si="1"/>
        <v>6685.4827949156888</v>
      </c>
      <c r="D61">
        <f t="shared" si="2"/>
        <v>6300.6723796352107</v>
      </c>
    </row>
    <row r="62" spans="1:4" x14ac:dyDescent="0.25">
      <c r="A62">
        <f t="shared" si="3"/>
        <v>255</v>
      </c>
      <c r="B62">
        <f t="shared" si="0"/>
        <v>-18</v>
      </c>
      <c r="C62" s="2">
        <f t="shared" si="1"/>
        <v>6534.2044964861316</v>
      </c>
      <c r="D62">
        <f t="shared" si="2"/>
        <v>6146.9974435465474</v>
      </c>
    </row>
    <row r="63" spans="1:4" x14ac:dyDescent="0.25">
      <c r="A63">
        <f t="shared" si="3"/>
        <v>256</v>
      </c>
      <c r="B63">
        <f t="shared" si="0"/>
        <v>-17</v>
      </c>
      <c r="C63" s="2">
        <f t="shared" si="1"/>
        <v>6382.3235497037249</v>
      </c>
      <c r="D63">
        <f t="shared" si="2"/>
        <v>5993.3225074578841</v>
      </c>
    </row>
    <row r="64" spans="1:4" x14ac:dyDescent="0.25">
      <c r="A64">
        <f t="shared" si="3"/>
        <v>257</v>
      </c>
      <c r="B64">
        <f t="shared" si="0"/>
        <v>-16</v>
      </c>
      <c r="C64" s="2">
        <f t="shared" si="1"/>
        <v>6229.8423086755893</v>
      </c>
      <c r="D64">
        <f t="shared" si="2"/>
        <v>5839.6475713692198</v>
      </c>
    </row>
    <row r="65" spans="1:4" x14ac:dyDescent="0.25">
      <c r="A65">
        <f t="shared" si="3"/>
        <v>258</v>
      </c>
      <c r="B65">
        <f t="shared" si="0"/>
        <v>-15</v>
      </c>
      <c r="C65" s="2">
        <f t="shared" si="1"/>
        <v>6076.7631091888115</v>
      </c>
      <c r="D65">
        <f t="shared" si="2"/>
        <v>5685.9726352805565</v>
      </c>
    </row>
    <row r="66" spans="1:4" x14ac:dyDescent="0.25">
      <c r="A66">
        <f t="shared" si="3"/>
        <v>259</v>
      </c>
      <c r="B66">
        <f t="shared" si="0"/>
        <v>-14</v>
      </c>
      <c r="C66" s="2">
        <f t="shared" si="1"/>
        <v>5923.0882689234641</v>
      </c>
      <c r="D66">
        <f t="shared" si="2"/>
        <v>5532.2976991918931</v>
      </c>
    </row>
    <row r="67" spans="1:4" x14ac:dyDescent="0.25">
      <c r="A67">
        <f t="shared" si="3"/>
        <v>260</v>
      </c>
      <c r="B67">
        <f t="shared" si="0"/>
        <v>-13</v>
      </c>
      <c r="C67" s="2">
        <f t="shared" si="1"/>
        <v>5768.8200876623387</v>
      </c>
      <c r="D67">
        <f t="shared" si="2"/>
        <v>5378.6227631032289</v>
      </c>
    </row>
    <row r="68" spans="1:4" x14ac:dyDescent="0.25">
      <c r="A68">
        <f t="shared" si="3"/>
        <v>261</v>
      </c>
      <c r="B68">
        <f t="shared" si="0"/>
        <v>-12</v>
      </c>
      <c r="C68" s="2">
        <f t="shared" si="1"/>
        <v>5613.9608474974675</v>
      </c>
      <c r="D68">
        <f t="shared" si="2"/>
        <v>5224.9478270145655</v>
      </c>
    </row>
    <row r="69" spans="1:4" x14ac:dyDescent="0.25">
      <c r="A69">
        <f t="shared" si="3"/>
        <v>262</v>
      </c>
      <c r="B69">
        <f t="shared" si="0"/>
        <v>-11</v>
      </c>
      <c r="C69" s="2">
        <f t="shared" si="1"/>
        <v>5458.5128130334633</v>
      </c>
      <c r="D69">
        <f t="shared" si="2"/>
        <v>5071.2728909259013</v>
      </c>
    </row>
    <row r="70" spans="1:4" x14ac:dyDescent="0.25">
      <c r="A70">
        <f t="shared" si="3"/>
        <v>263</v>
      </c>
      <c r="B70">
        <f t="shared" si="0"/>
        <v>-10</v>
      </c>
      <c r="C70" s="2">
        <f t="shared" si="1"/>
        <v>5302.4782315877274</v>
      </c>
      <c r="D70">
        <f t="shared" si="2"/>
        <v>4917.5979548372379</v>
      </c>
    </row>
    <row r="71" spans="1:4" x14ac:dyDescent="0.25">
      <c r="A71">
        <f t="shared" si="3"/>
        <v>264</v>
      </c>
      <c r="B71">
        <f t="shared" si="0"/>
        <v>-9</v>
      </c>
      <c r="C71" s="2">
        <f t="shared" si="1"/>
        <v>5145.8593333877052</v>
      </c>
      <c r="D71">
        <f t="shared" si="2"/>
        <v>4763.9230187485746</v>
      </c>
    </row>
    <row r="72" spans="1:4" x14ac:dyDescent="0.25">
      <c r="A72">
        <f t="shared" si="3"/>
        <v>265</v>
      </c>
      <c r="B72">
        <f t="shared" si="0"/>
        <v>-8</v>
      </c>
      <c r="C72" s="2">
        <f t="shared" si="1"/>
        <v>4988.6583317650257</v>
      </c>
      <c r="D72">
        <f t="shared" si="2"/>
        <v>4610.2480826599103</v>
      </c>
    </row>
    <row r="73" spans="1:4" x14ac:dyDescent="0.25">
      <c r="A73">
        <f t="shared" si="3"/>
        <v>266</v>
      </c>
      <c r="B73">
        <f t="shared" si="0"/>
        <v>-7</v>
      </c>
      <c r="C73" s="2">
        <f t="shared" si="1"/>
        <v>4830.877423346833</v>
      </c>
      <c r="D73">
        <f t="shared" si="2"/>
        <v>4456.573146571247</v>
      </c>
    </row>
    <row r="74" spans="1:4" x14ac:dyDescent="0.25">
      <c r="A74">
        <f t="shared" si="3"/>
        <v>267</v>
      </c>
      <c r="B74">
        <f t="shared" si="0"/>
        <v>-6</v>
      </c>
      <c r="C74" s="2">
        <f t="shared" si="1"/>
        <v>4672.5187882441596</v>
      </c>
      <c r="D74">
        <f t="shared" si="2"/>
        <v>4302.8982104825836</v>
      </c>
    </row>
    <row r="75" spans="1:4" x14ac:dyDescent="0.25">
      <c r="A75">
        <f t="shared" si="3"/>
        <v>268</v>
      </c>
      <c r="B75">
        <f t="shared" ref="B75:B123" si="4">+$A75-273</f>
        <v>-5</v>
      </c>
      <c r="C75" s="2">
        <f t="shared" ref="C75:C123" si="5">$C$7-$A75*(LN($A75/$C$6))/$C$5</f>
        <v>4513.5845902374786</v>
      </c>
      <c r="D75">
        <f t="shared" ref="D75:D123" si="6">-($A75-$D$1)/$C$5+$D$2</f>
        <v>4149.2232743939194</v>
      </c>
    </row>
    <row r="76" spans="1:4" x14ac:dyDescent="0.25">
      <c r="A76">
        <f t="shared" ref="A76:A123" si="7">+$A75+$A$1</f>
        <v>269</v>
      </c>
      <c r="B76">
        <f t="shared" si="4"/>
        <v>-4</v>
      </c>
      <c r="C76" s="2">
        <f t="shared" si="5"/>
        <v>4354.0769769595718</v>
      </c>
      <c r="D76">
        <f t="shared" si="6"/>
        <v>3995.548338305256</v>
      </c>
    </row>
    <row r="77" spans="1:4" x14ac:dyDescent="0.25">
      <c r="A77">
        <f t="shared" si="7"/>
        <v>270</v>
      </c>
      <c r="B77">
        <f t="shared" si="4"/>
        <v>-3</v>
      </c>
      <c r="C77" s="2">
        <f t="shared" si="5"/>
        <v>4193.9980800755393</v>
      </c>
      <c r="D77">
        <f t="shared" si="6"/>
        <v>3841.8734022165922</v>
      </c>
    </row>
    <row r="78" spans="1:4" x14ac:dyDescent="0.25">
      <c r="A78">
        <f t="shared" si="7"/>
        <v>271</v>
      </c>
      <c r="B78">
        <f t="shared" si="4"/>
        <v>-2</v>
      </c>
      <c r="C78" s="2">
        <f t="shared" si="5"/>
        <v>4033.350015460293</v>
      </c>
      <c r="D78">
        <f t="shared" si="6"/>
        <v>3688.1984661279284</v>
      </c>
    </row>
    <row r="79" spans="1:4" x14ac:dyDescent="0.25">
      <c r="A79">
        <f t="shared" si="7"/>
        <v>272</v>
      </c>
      <c r="B79">
        <f t="shared" si="4"/>
        <v>-1</v>
      </c>
      <c r="C79" s="2">
        <f t="shared" si="5"/>
        <v>3872.1348833733223</v>
      </c>
      <c r="D79">
        <f t="shared" si="6"/>
        <v>3534.5235300392646</v>
      </c>
    </row>
    <row r="80" spans="1:4" x14ac:dyDescent="0.25">
      <c r="A80">
        <f t="shared" si="7"/>
        <v>273</v>
      </c>
      <c r="B80">
        <f t="shared" si="4"/>
        <v>0</v>
      </c>
      <c r="C80" s="2">
        <f t="shared" si="5"/>
        <v>3710.3547686309012</v>
      </c>
      <c r="D80">
        <f t="shared" si="6"/>
        <v>3380.8485939506013</v>
      </c>
    </row>
    <row r="81" spans="1:4" x14ac:dyDescent="0.25">
      <c r="A81">
        <f t="shared" si="7"/>
        <v>274</v>
      </c>
      <c r="B81">
        <f t="shared" si="4"/>
        <v>1</v>
      </c>
      <c r="C81" s="2">
        <f t="shared" si="5"/>
        <v>3548.0117407758567</v>
      </c>
      <c r="D81">
        <f t="shared" si="6"/>
        <v>3227.1736578619375</v>
      </c>
    </row>
    <row r="82" spans="1:4" x14ac:dyDescent="0.25">
      <c r="A82">
        <f t="shared" si="7"/>
        <v>275</v>
      </c>
      <c r="B82">
        <f t="shared" si="4"/>
        <v>2</v>
      </c>
      <c r="C82" s="2">
        <f t="shared" si="5"/>
        <v>3385.1078542447281</v>
      </c>
      <c r="D82">
        <f t="shared" si="6"/>
        <v>3073.4987217732737</v>
      </c>
    </row>
    <row r="83" spans="1:4" x14ac:dyDescent="0.25">
      <c r="A83">
        <f t="shared" si="7"/>
        <v>276</v>
      </c>
      <c r="B83">
        <f t="shared" si="4"/>
        <v>3</v>
      </c>
      <c r="C83" s="2">
        <f t="shared" si="5"/>
        <v>3221.6451485326247</v>
      </c>
      <c r="D83">
        <f t="shared" si="6"/>
        <v>2919.8237856846099</v>
      </c>
    </row>
    <row r="84" spans="1:4" x14ac:dyDescent="0.25">
      <c r="A84">
        <f t="shared" si="7"/>
        <v>277</v>
      </c>
      <c r="B84">
        <f t="shared" si="4"/>
        <v>4</v>
      </c>
      <c r="C84" s="2">
        <f t="shared" si="5"/>
        <v>3057.625648355609</v>
      </c>
      <c r="D84">
        <f t="shared" si="6"/>
        <v>2766.1488495959466</v>
      </c>
    </row>
    <row r="85" spans="1:4" x14ac:dyDescent="0.25">
      <c r="A85">
        <f t="shared" si="7"/>
        <v>278</v>
      </c>
      <c r="B85">
        <f t="shared" si="4"/>
        <v>5</v>
      </c>
      <c r="C85" s="2">
        <f t="shared" si="5"/>
        <v>2893.0513638107336</v>
      </c>
      <c r="D85">
        <f t="shared" si="6"/>
        <v>2612.4739135072828</v>
      </c>
    </row>
    <row r="86" spans="1:4" x14ac:dyDescent="0.25">
      <c r="A86">
        <f t="shared" si="7"/>
        <v>279</v>
      </c>
      <c r="B86">
        <f t="shared" si="4"/>
        <v>6</v>
      </c>
      <c r="C86" s="2">
        <f t="shared" si="5"/>
        <v>2727.9242905338506</v>
      </c>
      <c r="D86">
        <f t="shared" si="6"/>
        <v>2458.798977418619</v>
      </c>
    </row>
    <row r="87" spans="1:4" x14ac:dyDescent="0.25">
      <c r="A87">
        <f t="shared" si="7"/>
        <v>280</v>
      </c>
      <c r="B87">
        <f t="shared" si="4"/>
        <v>7</v>
      </c>
      <c r="C87" s="2">
        <f t="shared" si="5"/>
        <v>2562.2464098550913</v>
      </c>
      <c r="D87">
        <f t="shared" si="6"/>
        <v>2305.1240413299552</v>
      </c>
    </row>
    <row r="88" spans="1:4" x14ac:dyDescent="0.25">
      <c r="A88">
        <f t="shared" si="7"/>
        <v>281</v>
      </c>
      <c r="B88">
        <f t="shared" si="4"/>
        <v>8</v>
      </c>
      <c r="C88" s="2">
        <f t="shared" si="5"/>
        <v>2396.0196889521067</v>
      </c>
      <c r="D88">
        <f t="shared" si="6"/>
        <v>2151.4491052412918</v>
      </c>
    </row>
    <row r="89" spans="1:4" x14ac:dyDescent="0.25">
      <c r="A89">
        <f t="shared" si="7"/>
        <v>282</v>
      </c>
      <c r="B89">
        <f t="shared" si="4"/>
        <v>9</v>
      </c>
      <c r="C89" s="2">
        <f t="shared" si="5"/>
        <v>2229.246081001234</v>
      </c>
      <c r="D89">
        <f t="shared" si="6"/>
        <v>1997.774169152628</v>
      </c>
    </row>
    <row r="90" spans="1:4" x14ac:dyDescent="0.25">
      <c r="A90">
        <f t="shared" si="7"/>
        <v>283</v>
      </c>
      <c r="B90">
        <f t="shared" si="4"/>
        <v>10</v>
      </c>
      <c r="C90" s="2">
        <f t="shared" si="5"/>
        <v>2061.9275253263709</v>
      </c>
      <c r="D90">
        <f t="shared" si="6"/>
        <v>1844.0992330639642</v>
      </c>
    </row>
    <row r="91" spans="1:4" x14ac:dyDescent="0.25">
      <c r="A91">
        <f t="shared" si="7"/>
        <v>284</v>
      </c>
      <c r="B91">
        <f t="shared" si="4"/>
        <v>11</v>
      </c>
      <c r="C91" s="2">
        <f t="shared" si="5"/>
        <v>1894.0659475458879</v>
      </c>
      <c r="D91">
        <f t="shared" si="6"/>
        <v>1690.4242969753006</v>
      </c>
    </row>
    <row r="92" spans="1:4" x14ac:dyDescent="0.25">
      <c r="A92">
        <f t="shared" si="7"/>
        <v>285</v>
      </c>
      <c r="B92">
        <f t="shared" si="4"/>
        <v>12</v>
      </c>
      <c r="C92" s="2">
        <f t="shared" si="5"/>
        <v>1725.6632597173766</v>
      </c>
      <c r="D92">
        <f t="shared" si="6"/>
        <v>1536.7493608866369</v>
      </c>
    </row>
    <row r="93" spans="1:4" x14ac:dyDescent="0.25">
      <c r="A93">
        <f t="shared" si="7"/>
        <v>286</v>
      </c>
      <c r="B93">
        <f t="shared" si="4"/>
        <v>13</v>
      </c>
      <c r="C93" s="2">
        <f t="shared" si="5"/>
        <v>1556.7213604803728</v>
      </c>
      <c r="D93">
        <f t="shared" si="6"/>
        <v>1383.0744247979733</v>
      </c>
    </row>
    <row r="94" spans="1:4" x14ac:dyDescent="0.25">
      <c r="A94">
        <f t="shared" si="7"/>
        <v>287</v>
      </c>
      <c r="B94">
        <f t="shared" si="4"/>
        <v>14</v>
      </c>
      <c r="C94" s="2">
        <f t="shared" si="5"/>
        <v>1387.2421351971661</v>
      </c>
      <c r="D94">
        <f t="shared" si="6"/>
        <v>1229.3994887093095</v>
      </c>
    </row>
    <row r="95" spans="1:4" x14ac:dyDescent="0.25">
      <c r="A95">
        <f t="shared" si="7"/>
        <v>288</v>
      </c>
      <c r="B95">
        <f t="shared" si="4"/>
        <v>15</v>
      </c>
      <c r="C95" s="2">
        <f t="shared" si="5"/>
        <v>1217.2274560915166</v>
      </c>
      <c r="D95">
        <f t="shared" si="6"/>
        <v>1075.7245526206459</v>
      </c>
    </row>
    <row r="96" spans="1:4" x14ac:dyDescent="0.25">
      <c r="A96">
        <f t="shared" si="7"/>
        <v>289</v>
      </c>
      <c r="B96">
        <f t="shared" si="4"/>
        <v>16</v>
      </c>
      <c r="C96" s="2">
        <f t="shared" si="5"/>
        <v>1046.6791823855801</v>
      </c>
      <c r="D96">
        <f t="shared" si="6"/>
        <v>922.04961653198211</v>
      </c>
    </row>
    <row r="97" spans="1:4" x14ac:dyDescent="0.25">
      <c r="A97">
        <f t="shared" si="7"/>
        <v>290</v>
      </c>
      <c r="B97">
        <f t="shared" si="4"/>
        <v>17</v>
      </c>
      <c r="C97" s="2">
        <f t="shared" si="5"/>
        <v>875.59916043484554</v>
      </c>
      <c r="D97">
        <f t="shared" si="6"/>
        <v>768.37468044331843</v>
      </c>
    </row>
    <row r="98" spans="1:4" x14ac:dyDescent="0.25">
      <c r="A98">
        <f t="shared" si="7"/>
        <v>291</v>
      </c>
      <c r="B98">
        <f t="shared" si="4"/>
        <v>18</v>
      </c>
      <c r="C98" s="2">
        <f t="shared" si="5"/>
        <v>703.98922386121103</v>
      </c>
      <c r="D98">
        <f t="shared" si="6"/>
        <v>614.69974435465474</v>
      </c>
    </row>
    <row r="99" spans="1:4" x14ac:dyDescent="0.25">
      <c r="A99">
        <f t="shared" si="7"/>
        <v>292</v>
      </c>
      <c r="B99">
        <f t="shared" si="4"/>
        <v>19</v>
      </c>
      <c r="C99" s="2">
        <f t="shared" si="5"/>
        <v>531.85119368432606</v>
      </c>
      <c r="D99">
        <f t="shared" si="6"/>
        <v>461.02480826599106</v>
      </c>
    </row>
    <row r="100" spans="1:4" x14ac:dyDescent="0.25">
      <c r="A100">
        <f t="shared" si="7"/>
        <v>293</v>
      </c>
      <c r="B100">
        <f t="shared" si="4"/>
        <v>20</v>
      </c>
      <c r="C100" s="2">
        <f t="shared" si="5"/>
        <v>359.18687845099248</v>
      </c>
      <c r="D100">
        <f t="shared" si="6"/>
        <v>307.34987217732737</v>
      </c>
    </row>
    <row r="101" spans="1:4" x14ac:dyDescent="0.25">
      <c r="A101">
        <f t="shared" si="7"/>
        <v>294</v>
      </c>
      <c r="B101">
        <f t="shared" si="4"/>
        <v>21</v>
      </c>
      <c r="C101" s="2">
        <f t="shared" si="5"/>
        <v>185.99807436293668</v>
      </c>
      <c r="D101">
        <f t="shared" si="6"/>
        <v>153.67493608866369</v>
      </c>
    </row>
    <row r="102" spans="1:4" x14ac:dyDescent="0.25">
      <c r="A102">
        <f t="shared" si="7"/>
        <v>295</v>
      </c>
      <c r="B102">
        <f t="shared" si="4"/>
        <v>22</v>
      </c>
      <c r="C102" s="2">
        <f t="shared" si="5"/>
        <v>12.286565402754604</v>
      </c>
      <c r="D102">
        <f t="shared" si="6"/>
        <v>0</v>
      </c>
    </row>
    <row r="103" spans="1:4" x14ac:dyDescent="0.25">
      <c r="A103">
        <f t="shared" si="7"/>
        <v>296</v>
      </c>
      <c r="B103">
        <f t="shared" si="4"/>
        <v>23</v>
      </c>
      <c r="C103" s="2">
        <f t="shared" si="5"/>
        <v>-161.9458765418467</v>
      </c>
      <c r="D103">
        <f t="shared" si="6"/>
        <v>-153.67493608866369</v>
      </c>
    </row>
    <row r="104" spans="1:4" x14ac:dyDescent="0.25">
      <c r="A104">
        <f t="shared" si="7"/>
        <v>297</v>
      </c>
      <c r="B104">
        <f t="shared" si="4"/>
        <v>24</v>
      </c>
      <c r="C104" s="2">
        <f t="shared" si="5"/>
        <v>-336.69749155542559</v>
      </c>
      <c r="D104">
        <f t="shared" si="6"/>
        <v>-307.34987217732737</v>
      </c>
    </row>
    <row r="105" spans="1:4" x14ac:dyDescent="0.25">
      <c r="A105">
        <f t="shared" si="7"/>
        <v>298</v>
      </c>
      <c r="B105">
        <f t="shared" si="4"/>
        <v>25</v>
      </c>
      <c r="C105" s="2">
        <f t="shared" si="5"/>
        <v>-511.96653157388118</v>
      </c>
      <c r="D105">
        <f t="shared" si="6"/>
        <v>-461.02480826599106</v>
      </c>
    </row>
    <row r="106" spans="1:4" x14ac:dyDescent="0.25">
      <c r="A106">
        <f t="shared" si="7"/>
        <v>299</v>
      </c>
      <c r="B106">
        <f t="shared" si="4"/>
        <v>26</v>
      </c>
      <c r="C106" s="2">
        <f t="shared" si="5"/>
        <v>-687.75126026518501</v>
      </c>
      <c r="D106">
        <f t="shared" si="6"/>
        <v>-614.69974435465474</v>
      </c>
    </row>
    <row r="107" spans="1:4" x14ac:dyDescent="0.25">
      <c r="A107">
        <f t="shared" si="7"/>
        <v>300</v>
      </c>
      <c r="B107">
        <f t="shared" si="4"/>
        <v>27</v>
      </c>
      <c r="C107" s="2">
        <f t="shared" si="5"/>
        <v>-864.04995291159594</v>
      </c>
      <c r="D107">
        <f t="shared" si="6"/>
        <v>-768.37468044331843</v>
      </c>
    </row>
    <row r="108" spans="1:4" x14ac:dyDescent="0.25">
      <c r="A108">
        <f t="shared" si="7"/>
        <v>301</v>
      </c>
      <c r="B108">
        <f t="shared" si="4"/>
        <v>28</v>
      </c>
      <c r="C108" s="2">
        <f t="shared" si="5"/>
        <v>-1040.8608962935932</v>
      </c>
      <c r="D108">
        <f t="shared" si="6"/>
        <v>-922.04961653198211</v>
      </c>
    </row>
    <row r="109" spans="1:4" x14ac:dyDescent="0.25">
      <c r="A109">
        <f t="shared" si="7"/>
        <v>302</v>
      </c>
      <c r="B109">
        <f t="shared" si="4"/>
        <v>29</v>
      </c>
      <c r="C109" s="2">
        <f t="shared" si="5"/>
        <v>-1218.1823885752101</v>
      </c>
      <c r="D109">
        <f t="shared" si="6"/>
        <v>-1075.7245526206459</v>
      </c>
    </row>
    <row r="110" spans="1:4" x14ac:dyDescent="0.25">
      <c r="A110">
        <f t="shared" si="7"/>
        <v>303</v>
      </c>
      <c r="B110">
        <f t="shared" si="4"/>
        <v>30</v>
      </c>
      <c r="C110" s="2">
        <f t="shared" si="5"/>
        <v>-1396.0127391909773</v>
      </c>
      <c r="D110">
        <f t="shared" si="6"/>
        <v>-1229.3994887093095</v>
      </c>
    </row>
    <row r="111" spans="1:4" x14ac:dyDescent="0.25">
      <c r="A111">
        <f t="shared" si="7"/>
        <v>304</v>
      </c>
      <c r="B111">
        <f t="shared" si="4"/>
        <v>31</v>
      </c>
      <c r="C111" s="2">
        <f t="shared" si="5"/>
        <v>-1574.3502687343635</v>
      </c>
      <c r="D111">
        <f t="shared" si="6"/>
        <v>-1383.0744247979733</v>
      </c>
    </row>
    <row r="112" spans="1:4" x14ac:dyDescent="0.25">
      <c r="A112">
        <f t="shared" si="7"/>
        <v>305</v>
      </c>
      <c r="B112">
        <f t="shared" si="4"/>
        <v>32</v>
      </c>
      <c r="C112" s="2">
        <f t="shared" si="5"/>
        <v>-1753.1933088475871</v>
      </c>
      <c r="D112">
        <f t="shared" si="6"/>
        <v>-1536.7493608866369</v>
      </c>
    </row>
    <row r="113" spans="1:4" x14ac:dyDescent="0.25">
      <c r="A113">
        <f t="shared" si="7"/>
        <v>306</v>
      </c>
      <c r="B113">
        <f t="shared" si="4"/>
        <v>33</v>
      </c>
      <c r="C113" s="2">
        <f t="shared" si="5"/>
        <v>-1932.540202113013</v>
      </c>
      <c r="D113">
        <f t="shared" si="6"/>
        <v>-1690.4242969753006</v>
      </c>
    </row>
    <row r="114" spans="1:4" x14ac:dyDescent="0.25">
      <c r="A114">
        <f t="shared" si="7"/>
        <v>307</v>
      </c>
      <c r="B114">
        <f t="shared" si="4"/>
        <v>34</v>
      </c>
      <c r="C114" s="2">
        <f t="shared" si="5"/>
        <v>-2112.3893019458319</v>
      </c>
      <c r="D114">
        <f t="shared" si="6"/>
        <v>-1844.0992330639642</v>
      </c>
    </row>
    <row r="115" spans="1:4" x14ac:dyDescent="0.25">
      <c r="A115">
        <f t="shared" si="7"/>
        <v>308</v>
      </c>
      <c r="B115">
        <f t="shared" si="4"/>
        <v>35</v>
      </c>
      <c r="C115" s="2">
        <f t="shared" si="5"/>
        <v>-2292.7389724882287</v>
      </c>
      <c r="D115">
        <f t="shared" si="6"/>
        <v>-1997.774169152628</v>
      </c>
    </row>
    <row r="116" spans="1:4" x14ac:dyDescent="0.25">
      <c r="A116">
        <f t="shared" si="7"/>
        <v>309</v>
      </c>
      <c r="B116">
        <f t="shared" si="4"/>
        <v>36</v>
      </c>
      <c r="C116" s="2">
        <f t="shared" si="5"/>
        <v>-2473.5875885049245</v>
      </c>
      <c r="D116">
        <f t="shared" si="6"/>
        <v>-2151.4491052412918</v>
      </c>
    </row>
    <row r="117" spans="1:4" x14ac:dyDescent="0.25">
      <c r="A117">
        <f t="shared" si="7"/>
        <v>310</v>
      </c>
      <c r="B117">
        <f t="shared" si="4"/>
        <v>37</v>
      </c>
      <c r="C117" s="2">
        <f t="shared" si="5"/>
        <v>-2654.9335352799844</v>
      </c>
      <c r="D117">
        <f t="shared" si="6"/>
        <v>-2305.1240413299552</v>
      </c>
    </row>
    <row r="118" spans="1:4" x14ac:dyDescent="0.25">
      <c r="A118">
        <f t="shared" si="7"/>
        <v>311</v>
      </c>
      <c r="B118">
        <f t="shared" si="4"/>
        <v>38</v>
      </c>
      <c r="C118" s="2">
        <f t="shared" si="5"/>
        <v>-2836.7752085150823</v>
      </c>
      <c r="D118">
        <f t="shared" si="6"/>
        <v>-2458.798977418619</v>
      </c>
    </row>
    <row r="119" spans="1:4" x14ac:dyDescent="0.25">
      <c r="A119">
        <f t="shared" si="7"/>
        <v>312</v>
      </c>
      <c r="B119">
        <f t="shared" si="4"/>
        <v>39</v>
      </c>
      <c r="C119" s="2">
        <f t="shared" si="5"/>
        <v>-3019.1110142289472</v>
      </c>
      <c r="D119">
        <f t="shared" si="6"/>
        <v>-2612.4739135072828</v>
      </c>
    </row>
    <row r="120" spans="1:4" x14ac:dyDescent="0.25">
      <c r="A120">
        <f t="shared" si="7"/>
        <v>313</v>
      </c>
      <c r="B120">
        <f t="shared" si="4"/>
        <v>40</v>
      </c>
      <c r="C120" s="2">
        <f t="shared" si="5"/>
        <v>-3201.9393686582007</v>
      </c>
      <c r="D120">
        <f t="shared" si="6"/>
        <v>-2766.1488495959466</v>
      </c>
    </row>
    <row r="121" spans="1:4" x14ac:dyDescent="0.25">
      <c r="A121">
        <f t="shared" si="7"/>
        <v>314</v>
      </c>
      <c r="B121">
        <f t="shared" si="4"/>
        <v>41</v>
      </c>
      <c r="C121" s="2">
        <f t="shared" si="5"/>
        <v>-3385.258698159425</v>
      </c>
      <c r="D121">
        <f t="shared" si="6"/>
        <v>-2919.8237856846099</v>
      </c>
    </row>
    <row r="122" spans="1:4" x14ac:dyDescent="0.25">
      <c r="A122">
        <f t="shared" si="7"/>
        <v>315</v>
      </c>
      <c r="B122">
        <f t="shared" si="4"/>
        <v>42</v>
      </c>
      <c r="C122" s="2">
        <f t="shared" si="5"/>
        <v>-3569.0674391124376</v>
      </c>
      <c r="D122">
        <f t="shared" si="6"/>
        <v>-3073.4987217732737</v>
      </c>
    </row>
    <row r="123" spans="1:4" x14ac:dyDescent="0.25">
      <c r="A123">
        <f t="shared" si="7"/>
        <v>316</v>
      </c>
      <c r="B123">
        <f t="shared" si="4"/>
        <v>43</v>
      </c>
      <c r="C123" s="2">
        <f t="shared" si="5"/>
        <v>-3753.3640378248547</v>
      </c>
      <c r="D123">
        <f t="shared" si="6"/>
        <v>-3227.1736578619375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hansen</vt:lpstr>
      <vt:lpstr>atlanta</vt:lpstr>
    </vt:vector>
  </TitlesOfParts>
  <Company>Customer Solutions BAE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pp</cp:lastModifiedBy>
  <dcterms:created xsi:type="dcterms:W3CDTF">2013-04-17T15:52:29Z</dcterms:created>
  <dcterms:modified xsi:type="dcterms:W3CDTF">2013-04-24T12:33:15Z</dcterms:modified>
</cp:coreProperties>
</file>