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6140" windowHeight="1189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0" i="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1"/>
  <c r="E1"/>
  <c r="E19"/>
  <c r="E18"/>
  <c r="E17"/>
  <c r="E16"/>
  <c r="E15"/>
  <c r="E14"/>
  <c r="E13"/>
  <c r="E12"/>
  <c r="E11"/>
  <c r="E10"/>
  <c r="E9"/>
  <c r="E8"/>
  <c r="E7"/>
  <c r="E6"/>
  <c r="E5"/>
  <c r="E4"/>
  <c r="E3"/>
  <c r="E2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  <c r="C1"/>
  <c r="C19"/>
  <c r="C18"/>
  <c r="C17"/>
  <c r="C16"/>
  <c r="C15"/>
  <c r="C14"/>
  <c r="C13"/>
  <c r="C12"/>
  <c r="C11"/>
  <c r="C10"/>
  <c r="C9"/>
  <c r="C8"/>
  <c r="C7"/>
  <c r="C6"/>
  <c r="C5"/>
  <c r="C4"/>
  <c r="C3"/>
  <c r="C2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"/>
  <c r="C20" l="1"/>
</calcChain>
</file>

<file path=xl/sharedStrings.xml><?xml version="1.0" encoding="utf-8"?>
<sst xmlns="http://schemas.openxmlformats.org/spreadsheetml/2006/main" count="3" uniqueCount="3">
  <si>
    <t>Tropospheric Lapse Rate and Its Relation to Surface</t>
  </si>
  <si>
    <t>Temperature from Reanalysis Data</t>
  </si>
  <si>
    <t>I. I. Mokhov and M. G. Akpero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</si>
</sst>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Sheet1!$A$1:$A$19</c:f>
              <c:numCache>
                <c:formatCode>General</c:formatCode>
                <c:ptCount val="19"/>
                <c:pt idx="0">
                  <c:v>-90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</c:numCache>
            </c:numRef>
          </c:xVal>
          <c:yVal>
            <c:numRef>
              <c:f>Sheet1!$B$1:$B$19</c:f>
              <c:numCache>
                <c:formatCode>General</c:formatCode>
                <c:ptCount val="19"/>
                <c:pt idx="0">
                  <c:v>4.6500000000000004</c:v>
                </c:pt>
                <c:pt idx="1">
                  <c:v>4.5999999999999996</c:v>
                </c:pt>
                <c:pt idx="2">
                  <c:v>4.7300000000000004</c:v>
                </c:pt>
                <c:pt idx="3">
                  <c:v>5</c:v>
                </c:pt>
                <c:pt idx="4">
                  <c:v>5.22</c:v>
                </c:pt>
                <c:pt idx="5">
                  <c:v>5.48</c:v>
                </c:pt>
                <c:pt idx="6">
                  <c:v>5.73</c:v>
                </c:pt>
                <c:pt idx="7">
                  <c:v>5.87</c:v>
                </c:pt>
                <c:pt idx="8">
                  <c:v>5.96</c:v>
                </c:pt>
                <c:pt idx="9">
                  <c:v>6.13</c:v>
                </c:pt>
                <c:pt idx="10">
                  <c:v>6.23</c:v>
                </c:pt>
                <c:pt idx="11">
                  <c:v>6.29</c:v>
                </c:pt>
                <c:pt idx="12">
                  <c:v>6.28</c:v>
                </c:pt>
                <c:pt idx="13">
                  <c:v>6.34</c:v>
                </c:pt>
                <c:pt idx="14">
                  <c:v>6.44</c:v>
                </c:pt>
                <c:pt idx="15">
                  <c:v>6.46</c:v>
                </c:pt>
                <c:pt idx="16">
                  <c:v>6.45</c:v>
                </c:pt>
                <c:pt idx="17">
                  <c:v>6.42</c:v>
                </c:pt>
                <c:pt idx="18">
                  <c:v>6.39</c:v>
                </c:pt>
              </c:numCache>
            </c:numRef>
          </c:yVal>
        </c:ser>
        <c:axId val="148664704"/>
        <c:axId val="91953408"/>
      </c:scatterChart>
      <c:valAx>
        <c:axId val="148664704"/>
        <c:scaling>
          <c:orientation val="minMax"/>
          <c:max val="0"/>
          <c:min val="-90"/>
        </c:scaling>
        <c:axPos val="b"/>
        <c:numFmt formatCode="General" sourceLinked="1"/>
        <c:tickLblPos val="nextTo"/>
        <c:crossAx val="91953408"/>
        <c:crosses val="autoZero"/>
        <c:crossBetween val="midCat"/>
      </c:valAx>
      <c:valAx>
        <c:axId val="91953408"/>
        <c:scaling>
          <c:orientation val="minMax"/>
          <c:max val="7"/>
          <c:min val="4"/>
        </c:scaling>
        <c:axPos val="l"/>
        <c:majorGridlines/>
        <c:numFmt formatCode="General" sourceLinked="1"/>
        <c:tickLblPos val="nextTo"/>
        <c:crossAx val="148664704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2</xdr:row>
      <xdr:rowOff>66675</xdr:rowOff>
    </xdr:from>
    <xdr:to>
      <xdr:col>15</xdr:col>
      <xdr:colOff>485775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activeCell="H33" sqref="H33"/>
    </sheetView>
  </sheetViews>
  <sheetFormatPr defaultRowHeight="15"/>
  <cols>
    <col min="3" max="3" width="12" bestFit="1" customWidth="1"/>
    <col min="6" max="6" width="12" bestFit="1" customWidth="1"/>
  </cols>
  <sheetData>
    <row r="1" spans="1:6">
      <c r="A1">
        <v>-90</v>
      </c>
      <c r="B1">
        <v>4.6500000000000004</v>
      </c>
      <c r="C1">
        <f>+(1+SIN(($A1+2.5)*PI()/180))*$B1</f>
        <v>4.4257696443612384E-3</v>
      </c>
      <c r="D1">
        <f>+(1+SIN(($A1+2.5)*PI()/180))</f>
        <v>9.5177841814220177E-4</v>
      </c>
      <c r="E1">
        <f>+(COS(($A1)*PI()/180)^2)*$B1</f>
        <v>1.744899406256788E-32</v>
      </c>
      <c r="F1">
        <f>+(COS(($A1)*PI()/180)^2)</f>
        <v>3.7524718414124473E-33</v>
      </c>
    </row>
    <row r="2" spans="1:6">
      <c r="A2">
        <f>+$A1+5</f>
        <v>-85</v>
      </c>
      <c r="B2">
        <v>4.5999999999999996</v>
      </c>
      <c r="C2">
        <f>+(SIN(($A2+2.5)*PI()/180)-SIN(($A2-2.5)*PI()/180))*$B2</f>
        <v>3.4975456957018113E-2</v>
      </c>
      <c r="D2">
        <f>+(SIN(($A2+2.5)*PI()/180)-SIN(($A2-2.5)*PI()/180))</f>
        <v>7.6033602080474161E-3</v>
      </c>
      <c r="E2">
        <f>+(COS(($A2)*PI()/180)^2)*$B2</f>
        <v>3.494216807192143E-2</v>
      </c>
      <c r="F2">
        <f t="shared" ref="F2:F19" si="0">+(COS(($A2)*PI()/180)^2)</f>
        <v>7.5961234938959638E-3</v>
      </c>
    </row>
    <row r="3" spans="1:6">
      <c r="A3">
        <f t="shared" ref="A3:A19" si="1">+$A2+5</f>
        <v>-80</v>
      </c>
      <c r="B3">
        <v>4.7300000000000004</v>
      </c>
      <c r="C3">
        <f t="shared" ref="C3:E18" si="2">+(SIN(($A3+2.5)*PI()/180)-SIN(($A3-2.5)*PI()/180))*$B3</f>
        <v>7.1654080620838306E-2</v>
      </c>
      <c r="D3">
        <f t="shared" ref="D3:D18" si="3">+(SIN(($A3+2.5)*PI()/180)-SIN(($A3-2.5)*PI()/180))</f>
        <v>1.514885425387702E-2</v>
      </c>
      <c r="E3">
        <f t="shared" ref="E3:F19" si="4">+(COS(($A3)*PI()/180)^2)*$B3</f>
        <v>0.14262695184132679</v>
      </c>
      <c r="F3">
        <f t="shared" si="0"/>
        <v>3.0153689607045831E-2</v>
      </c>
    </row>
    <row r="4" spans="1:6">
      <c r="A4">
        <f t="shared" si="1"/>
        <v>-75</v>
      </c>
      <c r="B4">
        <v>5</v>
      </c>
      <c r="C4">
        <f t="shared" si="2"/>
        <v>0.1128952818585327</v>
      </c>
      <c r="D4">
        <f t="shared" si="3"/>
        <v>2.2579056371706541E-2</v>
      </c>
      <c r="E4">
        <f t="shared" si="4"/>
        <v>0.33493649053890329</v>
      </c>
      <c r="F4">
        <f t="shared" si="0"/>
        <v>6.698729810778066E-2</v>
      </c>
    </row>
    <row r="5" spans="1:6">
      <c r="A5">
        <f t="shared" si="1"/>
        <v>-70</v>
      </c>
      <c r="B5">
        <v>5.22</v>
      </c>
      <c r="C5">
        <f t="shared" si="2"/>
        <v>0.15575132319682722</v>
      </c>
      <c r="D5">
        <f t="shared" si="3"/>
        <v>2.9837418236940083E-2</v>
      </c>
      <c r="E5">
        <f t="shared" si="4"/>
        <v>0.61062400345946766</v>
      </c>
      <c r="F5">
        <f t="shared" si="0"/>
        <v>0.11697777844051105</v>
      </c>
    </row>
    <row r="6" spans="1:6">
      <c r="A6">
        <f t="shared" si="1"/>
        <v>-65</v>
      </c>
      <c r="B6">
        <v>5.48</v>
      </c>
      <c r="C6">
        <f t="shared" si="2"/>
        <v>0.20204047234519695</v>
      </c>
      <c r="D6">
        <f t="shared" si="3"/>
        <v>3.6868699333065136E-2</v>
      </c>
      <c r="E6">
        <f t="shared" si="4"/>
        <v>0.9787619494588824</v>
      </c>
      <c r="F6">
        <f t="shared" si="0"/>
        <v>0.17860619515673035</v>
      </c>
    </row>
    <row r="7" spans="1:6">
      <c r="A7">
        <f t="shared" si="1"/>
        <v>-60</v>
      </c>
      <c r="B7">
        <v>5.73</v>
      </c>
      <c r="C7">
        <f t="shared" si="2"/>
        <v>0.24993908960337463</v>
      </c>
      <c r="D7">
        <f t="shared" si="3"/>
        <v>4.3619387365335882E-2</v>
      </c>
      <c r="E7">
        <f t="shared" si="4"/>
        <v>1.4325000000000008</v>
      </c>
      <c r="F7">
        <f t="shared" si="0"/>
        <v>0.25000000000000011</v>
      </c>
    </row>
    <row r="8" spans="1:6">
      <c r="A8">
        <f t="shared" si="1"/>
        <v>-55</v>
      </c>
      <c r="B8">
        <v>5.87</v>
      </c>
      <c r="C8">
        <f t="shared" si="2"/>
        <v>0.29372367941208877</v>
      </c>
      <c r="D8">
        <f t="shared" si="3"/>
        <v>5.0038105521650555E-2</v>
      </c>
      <c r="E8">
        <f t="shared" si="4"/>
        <v>1.9311708793391629</v>
      </c>
      <c r="F8">
        <f t="shared" si="0"/>
        <v>0.32898992833716573</v>
      </c>
    </row>
    <row r="9" spans="1:6">
      <c r="A9">
        <f t="shared" si="1"/>
        <v>-50</v>
      </c>
      <c r="B9">
        <v>5.96</v>
      </c>
      <c r="C9">
        <f t="shared" si="2"/>
        <v>0.33421298074742206</v>
      </c>
      <c r="D9">
        <f t="shared" si="3"/>
        <v>5.6076003481111081E-2</v>
      </c>
      <c r="E9">
        <f t="shared" si="4"/>
        <v>2.4625284305525477</v>
      </c>
      <c r="F9">
        <f t="shared" si="0"/>
        <v>0.41317591116653485</v>
      </c>
    </row>
    <row r="10" spans="1:6">
      <c r="A10">
        <f t="shared" si="1"/>
        <v>-45</v>
      </c>
      <c r="B10">
        <v>6.13</v>
      </c>
      <c r="C10">
        <f t="shared" si="2"/>
        <v>0.37814210196206333</v>
      </c>
      <c r="D10">
        <f t="shared" si="3"/>
        <v>6.1687129194463841E-2</v>
      </c>
      <c r="E10">
        <f t="shared" si="4"/>
        <v>3.0650000000000008</v>
      </c>
      <c r="F10">
        <f t="shared" si="0"/>
        <v>0.50000000000000011</v>
      </c>
    </row>
    <row r="11" spans="1:6">
      <c r="A11">
        <f t="shared" si="1"/>
        <v>-40</v>
      </c>
      <c r="B11">
        <v>6.23</v>
      </c>
      <c r="C11">
        <f t="shared" si="2"/>
        <v>0.41634329072123366</v>
      </c>
      <c r="D11">
        <f t="shared" si="3"/>
        <v>6.6828778606939587E-2</v>
      </c>
      <c r="E11">
        <f t="shared" si="4"/>
        <v>3.6559140734324882</v>
      </c>
      <c r="F11">
        <f t="shared" si="0"/>
        <v>0.58682408883346515</v>
      </c>
    </row>
    <row r="12" spans="1:6">
      <c r="A12">
        <f t="shared" si="1"/>
        <v>-35</v>
      </c>
      <c r="B12">
        <v>6.29</v>
      </c>
      <c r="C12">
        <f t="shared" si="2"/>
        <v>0.44949485196333067</v>
      </c>
      <c r="D12">
        <f t="shared" si="3"/>
        <v>7.1461820661896769E-2</v>
      </c>
      <c r="E12">
        <f t="shared" si="4"/>
        <v>4.2206533507592283</v>
      </c>
      <c r="F12">
        <f t="shared" si="0"/>
        <v>0.67101007166283433</v>
      </c>
    </row>
    <row r="13" spans="1:6">
      <c r="A13">
        <f t="shared" si="1"/>
        <v>-30</v>
      </c>
      <c r="B13">
        <v>6.28</v>
      </c>
      <c r="C13">
        <f t="shared" si="2"/>
        <v>0.47446024930204106</v>
      </c>
      <c r="D13">
        <f t="shared" si="3"/>
        <v>7.5550995111789976E-2</v>
      </c>
      <c r="E13">
        <f t="shared" si="4"/>
        <v>4.7100000000000009</v>
      </c>
      <c r="F13">
        <f t="shared" si="0"/>
        <v>0.75000000000000011</v>
      </c>
    </row>
    <row r="14" spans="1:6">
      <c r="A14">
        <f t="shared" si="1"/>
        <v>-25</v>
      </c>
      <c r="B14">
        <v>6.34</v>
      </c>
      <c r="C14">
        <f t="shared" si="2"/>
        <v>0.50127324671544582</v>
      </c>
      <c r="D14">
        <f t="shared" si="3"/>
        <v>7.9065180869944129E-2</v>
      </c>
      <c r="E14">
        <f t="shared" si="4"/>
        <v>5.2076367227063294</v>
      </c>
      <c r="F14">
        <f t="shared" si="0"/>
        <v>0.82139380484326963</v>
      </c>
    </row>
    <row r="15" spans="1:6">
      <c r="A15">
        <f t="shared" si="1"/>
        <v>-20</v>
      </c>
      <c r="B15">
        <v>6.44</v>
      </c>
      <c r="C15">
        <f t="shared" si="2"/>
        <v>0.52793595562365936</v>
      </c>
      <c r="D15">
        <f t="shared" si="3"/>
        <v>8.1977632860816663E-2</v>
      </c>
      <c r="E15">
        <f t="shared" si="4"/>
        <v>5.6866631068431097</v>
      </c>
      <c r="F15">
        <f t="shared" si="0"/>
        <v>0.88302222155948906</v>
      </c>
    </row>
    <row r="16" spans="1:6">
      <c r="A16">
        <f t="shared" si="1"/>
        <v>-15</v>
      </c>
      <c r="B16">
        <v>6.46</v>
      </c>
      <c r="C16">
        <f t="shared" si="2"/>
        <v>0.54435955875745978</v>
      </c>
      <c r="D16">
        <f t="shared" si="3"/>
        <v>8.4266185566170243E-2</v>
      </c>
      <c r="E16">
        <f t="shared" si="4"/>
        <v>6.027262054223737</v>
      </c>
      <c r="F16">
        <f t="shared" si="0"/>
        <v>0.93301270189221941</v>
      </c>
    </row>
    <row r="17" spans="1:6">
      <c r="A17">
        <f t="shared" si="1"/>
        <v>-10</v>
      </c>
      <c r="B17">
        <v>6.45</v>
      </c>
      <c r="C17">
        <f t="shared" si="2"/>
        <v>0.55414157008143095</v>
      </c>
      <c r="D17">
        <f t="shared" si="3"/>
        <v>8.5913421718051303E-2</v>
      </c>
      <c r="E17">
        <f t="shared" si="4"/>
        <v>6.2555087020345539</v>
      </c>
      <c r="F17">
        <f t="shared" si="0"/>
        <v>0.9698463103929541</v>
      </c>
    </row>
    <row r="18" spans="1:6">
      <c r="A18">
        <f t="shared" si="1"/>
        <v>-5</v>
      </c>
      <c r="B18">
        <v>6.42</v>
      </c>
      <c r="C18">
        <f t="shared" si="2"/>
        <v>0.55794168716727399</v>
      </c>
      <c r="D18">
        <f t="shared" si="3"/>
        <v>8.690680485471558E-2</v>
      </c>
      <c r="E18">
        <f t="shared" si="4"/>
        <v>6.3712328871691879</v>
      </c>
      <c r="F18">
        <f t="shared" si="0"/>
        <v>0.99240387650610407</v>
      </c>
    </row>
    <row r="19" spans="1:6">
      <c r="A19">
        <f t="shared" si="1"/>
        <v>0</v>
      </c>
      <c r="B19">
        <v>6.39</v>
      </c>
      <c r="C19">
        <f>+(SIN(($A19+2.5)*PI()/180))*$B19</f>
        <v>0.27872788526449704</v>
      </c>
      <c r="D19">
        <f>+(SIN(($A19+2.5)*PI()/180))</f>
        <v>4.3619387365336E-2</v>
      </c>
      <c r="E19">
        <f t="shared" si="4"/>
        <v>6.39</v>
      </c>
      <c r="F19">
        <f t="shared" si="0"/>
        <v>1</v>
      </c>
    </row>
    <row r="20" spans="1:6">
      <c r="C20">
        <f>+SUM(C1:C19)</f>
        <v>6.1424385319440953</v>
      </c>
      <c r="D20">
        <f>+SUM(D1:D19)</f>
        <v>0.99999999999999989</v>
      </c>
      <c r="E20">
        <f>+SUM(E1:E19)/9.5</f>
        <v>6.2650486074137737</v>
      </c>
      <c r="F20">
        <f>+SUM(F1:F19)</f>
        <v>9.5000000000000018</v>
      </c>
    </row>
    <row r="24" spans="1:6" ht="20.25">
      <c r="F24" s="1" t="s">
        <v>0</v>
      </c>
    </row>
    <row r="25" spans="1:6" ht="20.25">
      <c r="F25" s="1" t="s">
        <v>1</v>
      </c>
    </row>
    <row r="26" spans="1:6">
      <c r="F26" s="2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2013-06-06T18:31:59Z</dcterms:created>
  <dcterms:modified xsi:type="dcterms:W3CDTF">2013-06-06T23:40:33Z</dcterms:modified>
</cp:coreProperties>
</file>