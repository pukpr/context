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6.xml" ContentType="application/vnd.openxmlformats-officedocument.drawing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\git\context\dynamic_context_server\ref\foundation\climate\"/>
    </mc:Choice>
  </mc:AlternateContent>
  <bookViews>
    <workbookView xWindow="120" yWindow="90" windowWidth="20730" windowHeight="11700" activeTab="5"/>
  </bookViews>
  <sheets>
    <sheet name="main" sheetId="1" r:id="rId1"/>
    <sheet name="wft" sheetId="2" r:id="rId2"/>
    <sheet name="co2 log" sheetId="3" r:id="rId3"/>
    <sheet name="triple" sheetId="4" r:id="rId4"/>
    <sheet name="main (2)" sheetId="6" r:id="rId5"/>
    <sheet name="main (3)" sheetId="7" r:id="rId6"/>
    <sheet name="main (4)" sheetId="8" r:id="rId7"/>
  </sheets>
  <calcPr calcId="152511"/>
</workbook>
</file>

<file path=xl/calcChain.xml><?xml version="1.0" encoding="utf-8"?>
<calcChain xmlns="http://schemas.openxmlformats.org/spreadsheetml/2006/main">
  <c r="G171" i="7" l="1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7" i="7"/>
  <c r="V171" i="8"/>
  <c r="P171" i="8"/>
  <c r="O171" i="8"/>
  <c r="Q171" i="8" s="1"/>
  <c r="B171" i="8"/>
  <c r="V170" i="8"/>
  <c r="O170" i="8"/>
  <c r="B170" i="8"/>
  <c r="V169" i="8"/>
  <c r="Q169" i="8"/>
  <c r="P169" i="8"/>
  <c r="O169" i="8"/>
  <c r="B169" i="8"/>
  <c r="X168" i="8"/>
  <c r="V168" i="8"/>
  <c r="O168" i="8"/>
  <c r="B168" i="8"/>
  <c r="X167" i="8"/>
  <c r="V167" i="8"/>
  <c r="Q167" i="8"/>
  <c r="P167" i="8"/>
  <c r="O167" i="8"/>
  <c r="B167" i="8"/>
  <c r="X166" i="8"/>
  <c r="V166" i="8"/>
  <c r="P166" i="8"/>
  <c r="O166" i="8"/>
  <c r="B166" i="8"/>
  <c r="X165" i="8"/>
  <c r="V165" i="8"/>
  <c r="Q165" i="8"/>
  <c r="P165" i="8"/>
  <c r="O165" i="8"/>
  <c r="B165" i="8"/>
  <c r="X164" i="8"/>
  <c r="V164" i="8"/>
  <c r="O164" i="8"/>
  <c r="P164" i="8" s="1"/>
  <c r="B164" i="8"/>
  <c r="X163" i="8"/>
  <c r="V163" i="8"/>
  <c r="Q163" i="8"/>
  <c r="P163" i="8"/>
  <c r="O163" i="8"/>
  <c r="B163" i="8"/>
  <c r="X162" i="8"/>
  <c r="V162" i="8"/>
  <c r="P162" i="8"/>
  <c r="O162" i="8"/>
  <c r="Q162" i="8" s="1"/>
  <c r="B162" i="8"/>
  <c r="X161" i="8"/>
  <c r="V161" i="8"/>
  <c r="Q161" i="8"/>
  <c r="P161" i="8"/>
  <c r="O161" i="8"/>
  <c r="B161" i="8"/>
  <c r="X160" i="8"/>
  <c r="V160" i="8"/>
  <c r="O160" i="8"/>
  <c r="B160" i="8"/>
  <c r="X159" i="8"/>
  <c r="V159" i="8"/>
  <c r="Q159" i="8"/>
  <c r="P159" i="8"/>
  <c r="O159" i="8"/>
  <c r="B159" i="8"/>
  <c r="X158" i="8"/>
  <c r="V158" i="8"/>
  <c r="O158" i="8"/>
  <c r="P158" i="8" s="1"/>
  <c r="B158" i="8"/>
  <c r="X157" i="8"/>
  <c r="V157" i="8"/>
  <c r="Q157" i="8"/>
  <c r="P157" i="8"/>
  <c r="O157" i="8"/>
  <c r="B157" i="8"/>
  <c r="X156" i="8"/>
  <c r="V156" i="8"/>
  <c r="Q156" i="8"/>
  <c r="P156" i="8"/>
  <c r="O156" i="8"/>
  <c r="B156" i="8"/>
  <c r="X155" i="8"/>
  <c r="V155" i="8"/>
  <c r="Q155" i="8"/>
  <c r="O155" i="8"/>
  <c r="P155" i="8" s="1"/>
  <c r="B155" i="8"/>
  <c r="X154" i="8"/>
  <c r="V154" i="8"/>
  <c r="O154" i="8"/>
  <c r="B154" i="8"/>
  <c r="X153" i="8"/>
  <c r="V153" i="8"/>
  <c r="O153" i="8"/>
  <c r="B153" i="8"/>
  <c r="X152" i="8"/>
  <c r="V152" i="8"/>
  <c r="Q152" i="8"/>
  <c r="P152" i="8"/>
  <c r="O152" i="8"/>
  <c r="B152" i="8"/>
  <c r="X151" i="8"/>
  <c r="V151" i="8"/>
  <c r="Q151" i="8"/>
  <c r="O151" i="8"/>
  <c r="P151" i="8" s="1"/>
  <c r="B151" i="8"/>
  <c r="X150" i="8"/>
  <c r="V150" i="8"/>
  <c r="P150" i="8"/>
  <c r="O150" i="8"/>
  <c r="Q150" i="8" s="1"/>
  <c r="B150" i="8"/>
  <c r="X149" i="8"/>
  <c r="V149" i="8"/>
  <c r="P149" i="8"/>
  <c r="O149" i="8"/>
  <c r="B149" i="8"/>
  <c r="X148" i="8"/>
  <c r="V148" i="8"/>
  <c r="Q148" i="8"/>
  <c r="P148" i="8"/>
  <c r="O148" i="8"/>
  <c r="B148" i="8"/>
  <c r="X147" i="8"/>
  <c r="V147" i="8"/>
  <c r="O147" i="8"/>
  <c r="B147" i="8"/>
  <c r="X146" i="8"/>
  <c r="V146" i="8"/>
  <c r="Q146" i="8"/>
  <c r="O146" i="8"/>
  <c r="P146" i="8" s="1"/>
  <c r="B146" i="8"/>
  <c r="X145" i="8"/>
  <c r="V145" i="8"/>
  <c r="P145" i="8"/>
  <c r="O145" i="8"/>
  <c r="Q145" i="8" s="1"/>
  <c r="B145" i="8"/>
  <c r="X144" i="8"/>
  <c r="V144" i="8"/>
  <c r="O144" i="8"/>
  <c r="B144" i="8"/>
  <c r="X143" i="8"/>
  <c r="V143" i="8"/>
  <c r="Q143" i="8"/>
  <c r="P143" i="8"/>
  <c r="O143" i="8"/>
  <c r="B143" i="8"/>
  <c r="X142" i="8"/>
  <c r="V142" i="8"/>
  <c r="O142" i="8"/>
  <c r="B142" i="8"/>
  <c r="X141" i="8"/>
  <c r="V141" i="8"/>
  <c r="O141" i="8"/>
  <c r="B141" i="8"/>
  <c r="X140" i="8"/>
  <c r="V140" i="8"/>
  <c r="O140" i="8"/>
  <c r="Q140" i="8" s="1"/>
  <c r="B140" i="8"/>
  <c r="X139" i="8"/>
  <c r="V139" i="8"/>
  <c r="Q139" i="8"/>
  <c r="P139" i="8"/>
  <c r="O139" i="8"/>
  <c r="B139" i="8"/>
  <c r="X138" i="8"/>
  <c r="V138" i="8"/>
  <c r="Q138" i="8"/>
  <c r="O138" i="8"/>
  <c r="P138" i="8" s="1"/>
  <c r="B138" i="8"/>
  <c r="X137" i="8"/>
  <c r="V137" i="8"/>
  <c r="P137" i="8"/>
  <c r="O137" i="8"/>
  <c r="B137" i="8"/>
  <c r="X136" i="8"/>
  <c r="V136" i="8"/>
  <c r="Q136" i="8"/>
  <c r="P136" i="8"/>
  <c r="O136" i="8"/>
  <c r="B136" i="8"/>
  <c r="X135" i="8"/>
  <c r="V135" i="8"/>
  <c r="Q135" i="8"/>
  <c r="P135" i="8"/>
  <c r="O135" i="8"/>
  <c r="B135" i="8"/>
  <c r="X134" i="8"/>
  <c r="V134" i="8"/>
  <c r="O134" i="8"/>
  <c r="B134" i="8"/>
  <c r="X133" i="8"/>
  <c r="V133" i="8"/>
  <c r="O133" i="8"/>
  <c r="B133" i="8"/>
  <c r="X132" i="8"/>
  <c r="V132" i="8"/>
  <c r="O132" i="8"/>
  <c r="B132" i="8"/>
  <c r="X131" i="8"/>
  <c r="V131" i="8"/>
  <c r="Q131" i="8"/>
  <c r="P131" i="8"/>
  <c r="O131" i="8"/>
  <c r="B131" i="8"/>
  <c r="X130" i="8"/>
  <c r="V130" i="8"/>
  <c r="O130" i="8"/>
  <c r="B130" i="8"/>
  <c r="X129" i="8"/>
  <c r="V129" i="8"/>
  <c r="O129" i="8"/>
  <c r="Q129" i="8" s="1"/>
  <c r="B129" i="8"/>
  <c r="X128" i="8"/>
  <c r="V128" i="8"/>
  <c r="P128" i="8"/>
  <c r="O128" i="8"/>
  <c r="B128" i="8"/>
  <c r="X127" i="8"/>
  <c r="V127" i="8"/>
  <c r="Q127" i="8"/>
  <c r="P127" i="8"/>
  <c r="O127" i="8"/>
  <c r="B127" i="8"/>
  <c r="X126" i="8"/>
  <c r="V126" i="8"/>
  <c r="O126" i="8"/>
  <c r="B126" i="8"/>
  <c r="X125" i="8"/>
  <c r="V125" i="8"/>
  <c r="P125" i="8"/>
  <c r="O125" i="8"/>
  <c r="Q125" i="8" s="1"/>
  <c r="B125" i="8"/>
  <c r="X124" i="8"/>
  <c r="V124" i="8"/>
  <c r="O124" i="8"/>
  <c r="B124" i="8"/>
  <c r="X123" i="8"/>
  <c r="V123" i="8"/>
  <c r="Q123" i="8"/>
  <c r="P123" i="8"/>
  <c r="O123" i="8"/>
  <c r="B123" i="8"/>
  <c r="X122" i="8"/>
  <c r="V122" i="8"/>
  <c r="O122" i="8"/>
  <c r="P122" i="8" s="1"/>
  <c r="B122" i="8"/>
  <c r="X121" i="8"/>
  <c r="V121" i="8"/>
  <c r="P121" i="8"/>
  <c r="O121" i="8"/>
  <c r="B121" i="8"/>
  <c r="X120" i="8"/>
  <c r="V120" i="8"/>
  <c r="Q120" i="8"/>
  <c r="O120" i="8"/>
  <c r="P120" i="8" s="1"/>
  <c r="B120" i="8"/>
  <c r="X119" i="8"/>
  <c r="V119" i="8"/>
  <c r="Q119" i="8"/>
  <c r="P119" i="8"/>
  <c r="O119" i="8"/>
  <c r="B119" i="8"/>
  <c r="X118" i="8"/>
  <c r="V118" i="8"/>
  <c r="Q118" i="8"/>
  <c r="O118" i="8"/>
  <c r="P118" i="8" s="1"/>
  <c r="E118" i="8"/>
  <c r="B118" i="8"/>
  <c r="X117" i="8"/>
  <c r="V117" i="8"/>
  <c r="Q117" i="8"/>
  <c r="O117" i="8"/>
  <c r="P117" i="8" s="1"/>
  <c r="B117" i="8"/>
  <c r="X116" i="8"/>
  <c r="V116" i="8"/>
  <c r="O116" i="8"/>
  <c r="B116" i="8"/>
  <c r="X115" i="8"/>
  <c r="V115" i="8"/>
  <c r="Q115" i="8"/>
  <c r="P115" i="8"/>
  <c r="O115" i="8"/>
  <c r="B115" i="8"/>
  <c r="X114" i="8"/>
  <c r="V114" i="8"/>
  <c r="Q114" i="8"/>
  <c r="P114" i="8"/>
  <c r="O114" i="8"/>
  <c r="B114" i="8"/>
  <c r="X113" i="8"/>
  <c r="V113" i="8"/>
  <c r="Q113" i="8"/>
  <c r="O113" i="8"/>
  <c r="P113" i="8" s="1"/>
  <c r="B113" i="8"/>
  <c r="X112" i="8"/>
  <c r="V112" i="8"/>
  <c r="O112" i="8"/>
  <c r="B112" i="8"/>
  <c r="X111" i="8"/>
  <c r="V111" i="8"/>
  <c r="O111" i="8"/>
  <c r="B111" i="8"/>
  <c r="X110" i="8"/>
  <c r="V110" i="8"/>
  <c r="Q110" i="8"/>
  <c r="P110" i="8"/>
  <c r="O110" i="8"/>
  <c r="B110" i="8"/>
  <c r="X109" i="8"/>
  <c r="V109" i="8"/>
  <c r="Q109" i="8"/>
  <c r="O109" i="8"/>
  <c r="P109" i="8" s="1"/>
  <c r="B109" i="8"/>
  <c r="X108" i="8"/>
  <c r="V108" i="8"/>
  <c r="O108" i="8"/>
  <c r="B108" i="8"/>
  <c r="X107" i="8"/>
  <c r="V107" i="8"/>
  <c r="Q107" i="8"/>
  <c r="P107" i="8"/>
  <c r="O107" i="8"/>
  <c r="B107" i="8"/>
  <c r="X106" i="8"/>
  <c r="V106" i="8"/>
  <c r="Q106" i="8"/>
  <c r="P106" i="8"/>
  <c r="O106" i="8"/>
  <c r="B106" i="8"/>
  <c r="X105" i="8"/>
  <c r="V105" i="8"/>
  <c r="O105" i="8"/>
  <c r="P105" i="8" s="1"/>
  <c r="B105" i="8"/>
  <c r="X104" i="8"/>
  <c r="V104" i="8"/>
  <c r="O104" i="8"/>
  <c r="Q104" i="8" s="1"/>
  <c r="B104" i="8"/>
  <c r="X103" i="8"/>
  <c r="V103" i="8"/>
  <c r="P103" i="8"/>
  <c r="O103" i="8"/>
  <c r="B103" i="8"/>
  <c r="X102" i="8"/>
  <c r="V102" i="8"/>
  <c r="Q102" i="8"/>
  <c r="P102" i="8"/>
  <c r="O102" i="8"/>
  <c r="B102" i="8"/>
  <c r="X101" i="8"/>
  <c r="V101" i="8"/>
  <c r="O101" i="8"/>
  <c r="P101" i="8" s="1"/>
  <c r="B101" i="8"/>
  <c r="X100" i="8"/>
  <c r="V100" i="8"/>
  <c r="P100" i="8"/>
  <c r="O100" i="8"/>
  <c r="Q100" i="8" s="1"/>
  <c r="B100" i="8"/>
  <c r="X99" i="8"/>
  <c r="V99" i="8"/>
  <c r="O99" i="8"/>
  <c r="P99" i="8" s="1"/>
  <c r="B99" i="8"/>
  <c r="X98" i="8"/>
  <c r="V98" i="8"/>
  <c r="Q98" i="8"/>
  <c r="P98" i="8"/>
  <c r="O98" i="8"/>
  <c r="B98" i="8"/>
  <c r="X97" i="8"/>
  <c r="V97" i="8"/>
  <c r="O97" i="8"/>
  <c r="B97" i="8"/>
  <c r="X96" i="8"/>
  <c r="V96" i="8"/>
  <c r="P96" i="8"/>
  <c r="O96" i="8"/>
  <c r="Q96" i="8" s="1"/>
  <c r="B96" i="8"/>
  <c r="X95" i="8"/>
  <c r="V95" i="8"/>
  <c r="O95" i="8"/>
  <c r="Q95" i="8" s="1"/>
  <c r="B95" i="8"/>
  <c r="X94" i="8"/>
  <c r="V94" i="8"/>
  <c r="Q94" i="8"/>
  <c r="P94" i="8"/>
  <c r="O94" i="8"/>
  <c r="B94" i="8"/>
  <c r="X93" i="8"/>
  <c r="V93" i="8"/>
  <c r="O93" i="8"/>
  <c r="P93" i="8" s="1"/>
  <c r="B93" i="8"/>
  <c r="X92" i="8"/>
  <c r="V92" i="8"/>
  <c r="O92" i="8"/>
  <c r="B92" i="8"/>
  <c r="X91" i="8"/>
  <c r="V91" i="8"/>
  <c r="O91" i="8"/>
  <c r="P91" i="8" s="1"/>
  <c r="B91" i="8"/>
  <c r="X90" i="8"/>
  <c r="V90" i="8"/>
  <c r="O90" i="8"/>
  <c r="B90" i="8"/>
  <c r="X89" i="8"/>
  <c r="V89" i="8"/>
  <c r="Q89" i="8"/>
  <c r="P89" i="8"/>
  <c r="O89" i="8"/>
  <c r="B89" i="8"/>
  <c r="X88" i="8"/>
  <c r="V88" i="8"/>
  <c r="Q88" i="8"/>
  <c r="O88" i="8"/>
  <c r="P88" i="8" s="1"/>
  <c r="B88" i="8"/>
  <c r="X87" i="8"/>
  <c r="V87" i="8"/>
  <c r="O87" i="8"/>
  <c r="P87" i="8" s="1"/>
  <c r="B87" i="8"/>
  <c r="X86" i="8"/>
  <c r="V86" i="8"/>
  <c r="O86" i="8"/>
  <c r="B86" i="8"/>
  <c r="X85" i="8"/>
  <c r="V85" i="8"/>
  <c r="Q85" i="8"/>
  <c r="P85" i="8"/>
  <c r="O85" i="8"/>
  <c r="B85" i="8"/>
  <c r="X84" i="8"/>
  <c r="V84" i="8"/>
  <c r="Q84" i="8"/>
  <c r="O84" i="8"/>
  <c r="P84" i="8" s="1"/>
  <c r="B84" i="8"/>
  <c r="X83" i="8"/>
  <c r="V83" i="8"/>
  <c r="O83" i="8"/>
  <c r="P83" i="8" s="1"/>
  <c r="B83" i="8"/>
  <c r="X82" i="8"/>
  <c r="V82" i="8"/>
  <c r="O82" i="8"/>
  <c r="B82" i="8"/>
  <c r="X81" i="8"/>
  <c r="V81" i="8"/>
  <c r="Q81" i="8"/>
  <c r="P81" i="8"/>
  <c r="O81" i="8"/>
  <c r="B81" i="8"/>
  <c r="X80" i="8"/>
  <c r="V80" i="8"/>
  <c r="Q80" i="8"/>
  <c r="O80" i="8"/>
  <c r="P80" i="8" s="1"/>
  <c r="B80" i="8"/>
  <c r="X79" i="8"/>
  <c r="V79" i="8"/>
  <c r="O79" i="8"/>
  <c r="P79" i="8" s="1"/>
  <c r="B79" i="8"/>
  <c r="X78" i="8"/>
  <c r="V78" i="8"/>
  <c r="O78" i="8"/>
  <c r="B78" i="8"/>
  <c r="X77" i="8"/>
  <c r="V77" i="8"/>
  <c r="Q77" i="8"/>
  <c r="P77" i="8"/>
  <c r="O77" i="8"/>
  <c r="B77" i="8"/>
  <c r="X76" i="8"/>
  <c r="V76" i="8"/>
  <c r="Q76" i="8"/>
  <c r="O76" i="8"/>
  <c r="P76" i="8" s="1"/>
  <c r="B76" i="8"/>
  <c r="X75" i="8"/>
  <c r="V75" i="8"/>
  <c r="O75" i="8"/>
  <c r="P75" i="8" s="1"/>
  <c r="B75" i="8"/>
  <c r="X74" i="8"/>
  <c r="V74" i="8"/>
  <c r="O74" i="8"/>
  <c r="B74" i="8"/>
  <c r="X73" i="8"/>
  <c r="V73" i="8"/>
  <c r="Q73" i="8"/>
  <c r="P73" i="8"/>
  <c r="O73" i="8"/>
  <c r="B73" i="8"/>
  <c r="X72" i="8"/>
  <c r="V72" i="8"/>
  <c r="Q72" i="8"/>
  <c r="O72" i="8"/>
  <c r="P72" i="8" s="1"/>
  <c r="B72" i="8"/>
  <c r="X71" i="8"/>
  <c r="V71" i="8"/>
  <c r="O71" i="8"/>
  <c r="P71" i="8" s="1"/>
  <c r="B71" i="8"/>
  <c r="X70" i="8"/>
  <c r="V70" i="8"/>
  <c r="O70" i="8"/>
  <c r="B70" i="8"/>
  <c r="X69" i="8"/>
  <c r="V69" i="8"/>
  <c r="Q69" i="8"/>
  <c r="P69" i="8"/>
  <c r="O69" i="8"/>
  <c r="B69" i="8"/>
  <c r="X68" i="8"/>
  <c r="V68" i="8"/>
  <c r="Q68" i="8"/>
  <c r="O68" i="8"/>
  <c r="P68" i="8" s="1"/>
  <c r="B68" i="8"/>
  <c r="X67" i="8"/>
  <c r="V67" i="8"/>
  <c r="O67" i="8"/>
  <c r="P67" i="8" s="1"/>
  <c r="B67" i="8"/>
  <c r="X66" i="8"/>
  <c r="V66" i="8"/>
  <c r="O66" i="8"/>
  <c r="B66" i="8"/>
  <c r="X65" i="8"/>
  <c r="V65" i="8"/>
  <c r="Q65" i="8"/>
  <c r="P65" i="8"/>
  <c r="O65" i="8"/>
  <c r="B65" i="8"/>
  <c r="X64" i="8"/>
  <c r="V64" i="8"/>
  <c r="Q64" i="8"/>
  <c r="O64" i="8"/>
  <c r="P64" i="8" s="1"/>
  <c r="B64" i="8"/>
  <c r="X63" i="8"/>
  <c r="V63" i="8"/>
  <c r="O63" i="8"/>
  <c r="P63" i="8" s="1"/>
  <c r="B63" i="8"/>
  <c r="X62" i="8"/>
  <c r="V62" i="8"/>
  <c r="O62" i="8"/>
  <c r="B62" i="8"/>
  <c r="X61" i="8"/>
  <c r="V61" i="8"/>
  <c r="Q61" i="8"/>
  <c r="P61" i="8"/>
  <c r="O61" i="8"/>
  <c r="B61" i="8"/>
  <c r="X60" i="8"/>
  <c r="V60" i="8"/>
  <c r="Q60" i="8"/>
  <c r="O60" i="8"/>
  <c r="P60" i="8" s="1"/>
  <c r="B60" i="8"/>
  <c r="X59" i="8"/>
  <c r="V59" i="8"/>
  <c r="O59" i="8"/>
  <c r="P59" i="8" s="1"/>
  <c r="B59" i="8"/>
  <c r="X58" i="8"/>
  <c r="V58" i="8"/>
  <c r="O58" i="8"/>
  <c r="B58" i="8"/>
  <c r="X57" i="8"/>
  <c r="V57" i="8"/>
  <c r="Q57" i="8"/>
  <c r="P57" i="8"/>
  <c r="O57" i="8"/>
  <c r="B57" i="8"/>
  <c r="X56" i="8"/>
  <c r="V56" i="8"/>
  <c r="Q56" i="8"/>
  <c r="O56" i="8"/>
  <c r="P56" i="8" s="1"/>
  <c r="B56" i="8"/>
  <c r="X55" i="8"/>
  <c r="V55" i="8"/>
  <c r="O55" i="8"/>
  <c r="P55" i="8" s="1"/>
  <c r="B55" i="8"/>
  <c r="X54" i="8"/>
  <c r="V54" i="8"/>
  <c r="P54" i="8"/>
  <c r="O54" i="8"/>
  <c r="B54" i="8"/>
  <c r="X53" i="8"/>
  <c r="V53" i="8"/>
  <c r="Q53" i="8"/>
  <c r="P53" i="8"/>
  <c r="O53" i="8"/>
  <c r="B53" i="8"/>
  <c r="X52" i="8"/>
  <c r="V52" i="8"/>
  <c r="Q52" i="8"/>
  <c r="O52" i="8"/>
  <c r="P52" i="8" s="1"/>
  <c r="B52" i="8"/>
  <c r="X51" i="8"/>
  <c r="V51" i="8"/>
  <c r="O51" i="8"/>
  <c r="B51" i="8"/>
  <c r="X50" i="8"/>
  <c r="V50" i="8"/>
  <c r="O50" i="8"/>
  <c r="B50" i="8"/>
  <c r="X49" i="8"/>
  <c r="V49" i="8"/>
  <c r="Q49" i="8"/>
  <c r="P49" i="8"/>
  <c r="O49" i="8"/>
  <c r="B49" i="8"/>
  <c r="X48" i="8"/>
  <c r="V48" i="8"/>
  <c r="Q48" i="8"/>
  <c r="O48" i="8"/>
  <c r="P48" i="8" s="1"/>
  <c r="B48" i="8"/>
  <c r="X47" i="8"/>
  <c r="V47" i="8"/>
  <c r="O47" i="8"/>
  <c r="B47" i="8"/>
  <c r="X46" i="8"/>
  <c r="V46" i="8"/>
  <c r="P46" i="8"/>
  <c r="O46" i="8"/>
  <c r="B46" i="8"/>
  <c r="X45" i="8"/>
  <c r="V45" i="8"/>
  <c r="Q45" i="8"/>
  <c r="P45" i="8"/>
  <c r="O45" i="8"/>
  <c r="B45" i="8"/>
  <c r="X44" i="8"/>
  <c r="V44" i="8"/>
  <c r="Q44" i="8"/>
  <c r="O44" i="8"/>
  <c r="P44" i="8" s="1"/>
  <c r="B44" i="8"/>
  <c r="X43" i="8"/>
  <c r="V43" i="8"/>
  <c r="O43" i="8"/>
  <c r="B43" i="8"/>
  <c r="X42" i="8"/>
  <c r="V42" i="8"/>
  <c r="O42" i="8"/>
  <c r="B42" i="8"/>
  <c r="X41" i="8"/>
  <c r="V41" i="8"/>
  <c r="Q41" i="8"/>
  <c r="P41" i="8"/>
  <c r="O41" i="8"/>
  <c r="B41" i="8"/>
  <c r="X40" i="8"/>
  <c r="V40" i="8"/>
  <c r="Q40" i="8"/>
  <c r="O40" i="8"/>
  <c r="P40" i="8" s="1"/>
  <c r="B40" i="8"/>
  <c r="X39" i="8"/>
  <c r="V39" i="8"/>
  <c r="O39" i="8"/>
  <c r="B39" i="8"/>
  <c r="X38" i="8"/>
  <c r="V38" i="8"/>
  <c r="P38" i="8"/>
  <c r="O38" i="8"/>
  <c r="B38" i="8"/>
  <c r="X37" i="8"/>
  <c r="V37" i="8"/>
  <c r="Q37" i="8"/>
  <c r="P37" i="8"/>
  <c r="O37" i="8"/>
  <c r="B37" i="8"/>
  <c r="X36" i="8"/>
  <c r="V36" i="8"/>
  <c r="Q36" i="8"/>
  <c r="O36" i="8"/>
  <c r="P36" i="8" s="1"/>
  <c r="B36" i="8"/>
  <c r="X35" i="8"/>
  <c r="V35" i="8"/>
  <c r="O35" i="8"/>
  <c r="B35" i="8"/>
  <c r="X34" i="8"/>
  <c r="V34" i="8"/>
  <c r="O34" i="8"/>
  <c r="B34" i="8"/>
  <c r="X33" i="8"/>
  <c r="V33" i="8"/>
  <c r="Q33" i="8"/>
  <c r="P33" i="8"/>
  <c r="O33" i="8"/>
  <c r="B33" i="8"/>
  <c r="X32" i="8"/>
  <c r="V32" i="8"/>
  <c r="Q32" i="8"/>
  <c r="O32" i="8"/>
  <c r="P32" i="8" s="1"/>
  <c r="B32" i="8"/>
  <c r="X31" i="8"/>
  <c r="V31" i="8"/>
  <c r="O31" i="8"/>
  <c r="B31" i="8"/>
  <c r="X30" i="8"/>
  <c r="V30" i="8"/>
  <c r="P30" i="8"/>
  <c r="O30" i="8"/>
  <c r="B30" i="8"/>
  <c r="X29" i="8"/>
  <c r="V29" i="8"/>
  <c r="Q29" i="8"/>
  <c r="P29" i="8"/>
  <c r="O29" i="8"/>
  <c r="B29" i="8"/>
  <c r="X28" i="8"/>
  <c r="V28" i="8"/>
  <c r="Q28" i="8"/>
  <c r="O28" i="8"/>
  <c r="P28" i="8" s="1"/>
  <c r="B28" i="8"/>
  <c r="X27" i="8"/>
  <c r="V27" i="8"/>
  <c r="O27" i="8"/>
  <c r="B27" i="8"/>
  <c r="X26" i="8"/>
  <c r="V26" i="8"/>
  <c r="O26" i="8"/>
  <c r="B26" i="8"/>
  <c r="X25" i="8"/>
  <c r="V25" i="8"/>
  <c r="Q25" i="8"/>
  <c r="P25" i="8"/>
  <c r="O25" i="8"/>
  <c r="B25" i="8"/>
  <c r="X24" i="8"/>
  <c r="V24" i="8"/>
  <c r="Q24" i="8"/>
  <c r="O24" i="8"/>
  <c r="P24" i="8" s="1"/>
  <c r="B24" i="8"/>
  <c r="X23" i="8"/>
  <c r="V23" i="8"/>
  <c r="O23" i="8"/>
  <c r="B23" i="8"/>
  <c r="X22" i="8"/>
  <c r="V22" i="8"/>
  <c r="P22" i="8"/>
  <c r="O22" i="8"/>
  <c r="B22" i="8"/>
  <c r="X21" i="8"/>
  <c r="V21" i="8"/>
  <c r="Q21" i="8"/>
  <c r="P21" i="8"/>
  <c r="O21" i="8"/>
  <c r="B21" i="8"/>
  <c r="X20" i="8"/>
  <c r="V20" i="8"/>
  <c r="Q20" i="8"/>
  <c r="O20" i="8"/>
  <c r="P20" i="8" s="1"/>
  <c r="B20" i="8"/>
  <c r="X19" i="8"/>
  <c r="V19" i="8"/>
  <c r="O19" i="8"/>
  <c r="B19" i="8"/>
  <c r="X18" i="8"/>
  <c r="V18" i="8"/>
  <c r="O18" i="8"/>
  <c r="B18" i="8"/>
  <c r="X17" i="8"/>
  <c r="V17" i="8"/>
  <c r="Q17" i="8"/>
  <c r="P17" i="8"/>
  <c r="O17" i="8"/>
  <c r="B17" i="8"/>
  <c r="X16" i="8"/>
  <c r="V16" i="8"/>
  <c r="Q16" i="8"/>
  <c r="O16" i="8"/>
  <c r="P16" i="8" s="1"/>
  <c r="B16" i="8"/>
  <c r="X15" i="8"/>
  <c r="V15" i="8"/>
  <c r="O15" i="8"/>
  <c r="B15" i="8"/>
  <c r="X14" i="8"/>
  <c r="V14" i="8"/>
  <c r="P14" i="8"/>
  <c r="O14" i="8"/>
  <c r="B14" i="8"/>
  <c r="X13" i="8"/>
  <c r="V13" i="8"/>
  <c r="Q13" i="8"/>
  <c r="P13" i="8"/>
  <c r="O13" i="8"/>
  <c r="B13" i="8"/>
  <c r="X12" i="8"/>
  <c r="V12" i="8"/>
  <c r="Q12" i="8"/>
  <c r="O12" i="8"/>
  <c r="P12" i="8" s="1"/>
  <c r="B12" i="8"/>
  <c r="X11" i="8"/>
  <c r="V11" i="8"/>
  <c r="O11" i="8"/>
  <c r="B11" i="8"/>
  <c r="X10" i="8"/>
  <c r="V10" i="8"/>
  <c r="O10" i="8"/>
  <c r="B10" i="8"/>
  <c r="G2" i="8"/>
  <c r="C168" i="8" s="1"/>
  <c r="O171" i="6"/>
  <c r="S171" i="6" s="1"/>
  <c r="O170" i="6"/>
  <c r="S170" i="6" s="1"/>
  <c r="O169" i="6"/>
  <c r="S169" i="6" s="1"/>
  <c r="O168" i="6"/>
  <c r="S168" i="6" s="1"/>
  <c r="O167" i="6"/>
  <c r="O166" i="6"/>
  <c r="S166" i="6" s="1"/>
  <c r="O165" i="6"/>
  <c r="S165" i="6" s="1"/>
  <c r="O164" i="6"/>
  <c r="S164" i="6" s="1"/>
  <c r="O163" i="6"/>
  <c r="S163" i="6" s="1"/>
  <c r="O162" i="6"/>
  <c r="S162" i="6" s="1"/>
  <c r="O161" i="6"/>
  <c r="S161" i="6" s="1"/>
  <c r="O160" i="6"/>
  <c r="S160" i="6" s="1"/>
  <c r="O159" i="6"/>
  <c r="O158" i="6"/>
  <c r="S158" i="6" s="1"/>
  <c r="O157" i="6"/>
  <c r="S157" i="6" s="1"/>
  <c r="O156" i="6"/>
  <c r="S156" i="6" s="1"/>
  <c r="O155" i="6"/>
  <c r="S155" i="6" s="1"/>
  <c r="O154" i="6"/>
  <c r="S154" i="6" s="1"/>
  <c r="O153" i="6"/>
  <c r="S153" i="6" s="1"/>
  <c r="O152" i="6"/>
  <c r="S152" i="6" s="1"/>
  <c r="O151" i="6"/>
  <c r="O150" i="6"/>
  <c r="S150" i="6" s="1"/>
  <c r="O149" i="6"/>
  <c r="S149" i="6" s="1"/>
  <c r="O148" i="6"/>
  <c r="S148" i="6" s="1"/>
  <c r="O147" i="6"/>
  <c r="S147" i="6" s="1"/>
  <c r="O146" i="6"/>
  <c r="O145" i="6"/>
  <c r="S145" i="6" s="1"/>
  <c r="O144" i="6"/>
  <c r="S144" i="6" s="1"/>
  <c r="O143" i="6"/>
  <c r="O142" i="6"/>
  <c r="O141" i="6"/>
  <c r="S141" i="6" s="1"/>
  <c r="O140" i="6"/>
  <c r="S140" i="6" s="1"/>
  <c r="O139" i="6"/>
  <c r="O138" i="6"/>
  <c r="S138" i="6" s="1"/>
  <c r="O137" i="6"/>
  <c r="S137" i="6" s="1"/>
  <c r="O136" i="6"/>
  <c r="S136" i="6" s="1"/>
  <c r="O135" i="6"/>
  <c r="S135" i="6" s="1"/>
  <c r="O134" i="6"/>
  <c r="S134" i="6" s="1"/>
  <c r="O133" i="6"/>
  <c r="S133" i="6" s="1"/>
  <c r="O132" i="6"/>
  <c r="S132" i="6" s="1"/>
  <c r="O131" i="6"/>
  <c r="S131" i="6" s="1"/>
  <c r="O130" i="6"/>
  <c r="S130" i="6" s="1"/>
  <c r="O129" i="6"/>
  <c r="S129" i="6" s="1"/>
  <c r="O128" i="6"/>
  <c r="O127" i="6"/>
  <c r="S127" i="6" s="1"/>
  <c r="O126" i="6"/>
  <c r="O125" i="6"/>
  <c r="S125" i="6" s="1"/>
  <c r="O124" i="6"/>
  <c r="S124" i="6" s="1"/>
  <c r="O123" i="6"/>
  <c r="S123" i="6" s="1"/>
  <c r="O122" i="6"/>
  <c r="S122" i="6" s="1"/>
  <c r="O121" i="6"/>
  <c r="O120" i="6"/>
  <c r="S120" i="6" s="1"/>
  <c r="O119" i="6"/>
  <c r="S119" i="6" s="1"/>
  <c r="O118" i="6"/>
  <c r="S118" i="6" s="1"/>
  <c r="O117" i="6"/>
  <c r="S117" i="6" s="1"/>
  <c r="O116" i="6"/>
  <c r="S116" i="6" s="1"/>
  <c r="O115" i="6"/>
  <c r="O114" i="6"/>
  <c r="O113" i="6"/>
  <c r="S113" i="6" s="1"/>
  <c r="O112" i="6"/>
  <c r="S112" i="6" s="1"/>
  <c r="O111" i="6"/>
  <c r="S111" i="6" s="1"/>
  <c r="O110" i="6"/>
  <c r="O109" i="6"/>
  <c r="S109" i="6" s="1"/>
  <c r="O108" i="6"/>
  <c r="S108" i="6" s="1"/>
  <c r="O107" i="6"/>
  <c r="S107" i="6" s="1"/>
  <c r="O106" i="6"/>
  <c r="O105" i="6"/>
  <c r="S105" i="6" s="1"/>
  <c r="O104" i="6"/>
  <c r="S104" i="6" s="1"/>
  <c r="O103" i="6"/>
  <c r="S103" i="6" s="1"/>
  <c r="O102" i="6"/>
  <c r="S102" i="6" s="1"/>
  <c r="O101" i="6"/>
  <c r="S101" i="6" s="1"/>
  <c r="O100" i="6"/>
  <c r="S100" i="6" s="1"/>
  <c r="O99" i="6"/>
  <c r="O98" i="6"/>
  <c r="S98" i="6" s="1"/>
  <c r="O97" i="6"/>
  <c r="S97" i="6" s="1"/>
  <c r="O96" i="6"/>
  <c r="S96" i="6" s="1"/>
  <c r="O95" i="6"/>
  <c r="S95" i="6" s="1"/>
  <c r="O94" i="6"/>
  <c r="O93" i="6"/>
  <c r="O92" i="6"/>
  <c r="S92" i="6" s="1"/>
  <c r="O91" i="6"/>
  <c r="S91" i="6" s="1"/>
  <c r="O90" i="6"/>
  <c r="S90" i="6" s="1"/>
  <c r="O89" i="6"/>
  <c r="S89" i="6" s="1"/>
  <c r="O88" i="6"/>
  <c r="S88" i="6" s="1"/>
  <c r="O87" i="6"/>
  <c r="S87" i="6" s="1"/>
  <c r="O86" i="6"/>
  <c r="S86" i="6" s="1"/>
  <c r="O85" i="6"/>
  <c r="S85" i="6" s="1"/>
  <c r="O84" i="6"/>
  <c r="S84" i="6" s="1"/>
  <c r="O83" i="6"/>
  <c r="S83" i="6" s="1"/>
  <c r="O82" i="6"/>
  <c r="S82" i="6" s="1"/>
  <c r="O81" i="6"/>
  <c r="S81" i="6" s="1"/>
  <c r="O80" i="6"/>
  <c r="S80" i="6" s="1"/>
  <c r="O79" i="6"/>
  <c r="S79" i="6" s="1"/>
  <c r="O78" i="6"/>
  <c r="S78" i="6" s="1"/>
  <c r="O77" i="6"/>
  <c r="S77" i="6" s="1"/>
  <c r="O76" i="6"/>
  <c r="S76" i="6" s="1"/>
  <c r="O75" i="6"/>
  <c r="S75" i="6" s="1"/>
  <c r="O74" i="6"/>
  <c r="S74" i="6" s="1"/>
  <c r="O73" i="6"/>
  <c r="S73" i="6" s="1"/>
  <c r="O72" i="6"/>
  <c r="S72" i="6" s="1"/>
  <c r="O71" i="6"/>
  <c r="S71" i="6" s="1"/>
  <c r="O70" i="6"/>
  <c r="S70" i="6" s="1"/>
  <c r="O69" i="6"/>
  <c r="S69" i="6" s="1"/>
  <c r="O68" i="6"/>
  <c r="S68" i="6" s="1"/>
  <c r="O67" i="6"/>
  <c r="O66" i="6"/>
  <c r="S66" i="6" s="1"/>
  <c r="O65" i="6"/>
  <c r="S65" i="6" s="1"/>
  <c r="O64" i="6"/>
  <c r="S64" i="6" s="1"/>
  <c r="O63" i="6"/>
  <c r="S63" i="6" s="1"/>
  <c r="O62" i="6"/>
  <c r="S62" i="6" s="1"/>
  <c r="O61" i="6"/>
  <c r="S61" i="6" s="1"/>
  <c r="O60" i="6"/>
  <c r="S60" i="6" s="1"/>
  <c r="O59" i="6"/>
  <c r="O58" i="6"/>
  <c r="S58" i="6" s="1"/>
  <c r="O57" i="6"/>
  <c r="S57" i="6" s="1"/>
  <c r="O56" i="6"/>
  <c r="S56" i="6" s="1"/>
  <c r="O55" i="6"/>
  <c r="S55" i="6" s="1"/>
  <c r="O54" i="6"/>
  <c r="S54" i="6" s="1"/>
  <c r="O53" i="6"/>
  <c r="S53" i="6" s="1"/>
  <c r="O52" i="6"/>
  <c r="S52" i="6" s="1"/>
  <c r="O51" i="6"/>
  <c r="O50" i="6"/>
  <c r="S50" i="6" s="1"/>
  <c r="O49" i="6"/>
  <c r="S49" i="6" s="1"/>
  <c r="O48" i="6"/>
  <c r="S48" i="6" s="1"/>
  <c r="O47" i="6"/>
  <c r="S47" i="6" s="1"/>
  <c r="O46" i="6"/>
  <c r="O45" i="6"/>
  <c r="O44" i="6"/>
  <c r="S44" i="6" s="1"/>
  <c r="O43" i="6"/>
  <c r="S43" i="6" s="1"/>
  <c r="O42" i="6"/>
  <c r="S42" i="6" s="1"/>
  <c r="O41" i="6"/>
  <c r="S41" i="6" s="1"/>
  <c r="O40" i="6"/>
  <c r="S40" i="6" s="1"/>
  <c r="O39" i="6"/>
  <c r="S39" i="6" s="1"/>
  <c r="O38" i="6"/>
  <c r="O37" i="6"/>
  <c r="S37" i="6" s="1"/>
  <c r="O36" i="6"/>
  <c r="S36" i="6" s="1"/>
  <c r="O35" i="6"/>
  <c r="O34" i="6"/>
  <c r="S34" i="6" s="1"/>
  <c r="O33" i="6"/>
  <c r="S33" i="6" s="1"/>
  <c r="O32" i="6"/>
  <c r="S32" i="6" s="1"/>
  <c r="O31" i="6"/>
  <c r="S31" i="6" s="1"/>
  <c r="O30" i="6"/>
  <c r="S30" i="6" s="1"/>
  <c r="O29" i="6"/>
  <c r="S29" i="6" s="1"/>
  <c r="O28" i="6"/>
  <c r="S28" i="6" s="1"/>
  <c r="O27" i="6"/>
  <c r="O26" i="6"/>
  <c r="S26" i="6" s="1"/>
  <c r="O25" i="6"/>
  <c r="S25" i="6" s="1"/>
  <c r="O24" i="6"/>
  <c r="S24" i="6" s="1"/>
  <c r="O23" i="6"/>
  <c r="S23" i="6" s="1"/>
  <c r="O22" i="6"/>
  <c r="S22" i="6" s="1"/>
  <c r="O21" i="6"/>
  <c r="S21" i="6" s="1"/>
  <c r="O20" i="6"/>
  <c r="S20" i="6" s="1"/>
  <c r="O19" i="6"/>
  <c r="O18" i="6"/>
  <c r="S18" i="6" s="1"/>
  <c r="O17" i="6"/>
  <c r="S17" i="6" s="1"/>
  <c r="O16" i="6"/>
  <c r="S16" i="6" s="1"/>
  <c r="O15" i="6"/>
  <c r="O14" i="6"/>
  <c r="S14" i="6" s="1"/>
  <c r="O13" i="6"/>
  <c r="S13" i="6" s="1"/>
  <c r="O12" i="6"/>
  <c r="S12" i="6" s="1"/>
  <c r="O11" i="6"/>
  <c r="M3" i="6"/>
  <c r="N160" i="6" s="1"/>
  <c r="M2" i="6"/>
  <c r="S167" i="6"/>
  <c r="S159" i="6"/>
  <c r="S151" i="6"/>
  <c r="S146" i="6"/>
  <c r="S143" i="6"/>
  <c r="S142" i="6"/>
  <c r="S139" i="6"/>
  <c r="S126" i="6"/>
  <c r="S121" i="6"/>
  <c r="S115" i="6"/>
  <c r="S114" i="6"/>
  <c r="S110" i="6"/>
  <c r="S106" i="6"/>
  <c r="S99" i="6"/>
  <c r="S94" i="6"/>
  <c r="S93" i="6"/>
  <c r="S67" i="6"/>
  <c r="S59" i="6"/>
  <c r="S51" i="6"/>
  <c r="S46" i="6"/>
  <c r="S45" i="6"/>
  <c r="S38" i="6"/>
  <c r="S35" i="6"/>
  <c r="S27" i="6"/>
  <c r="S19" i="6"/>
  <c r="S15" i="6"/>
  <c r="S11" i="6"/>
  <c r="O10" i="6"/>
  <c r="S10" i="6" s="1"/>
  <c r="W171" i="7"/>
  <c r="R171" i="7"/>
  <c r="Q171" i="7"/>
  <c r="P171" i="7"/>
  <c r="B171" i="7"/>
  <c r="W170" i="7"/>
  <c r="Q170" i="7"/>
  <c r="P170" i="7"/>
  <c r="R170" i="7" s="1"/>
  <c r="B170" i="7"/>
  <c r="W169" i="7"/>
  <c r="P169" i="7"/>
  <c r="B169" i="7"/>
  <c r="Y168" i="7"/>
  <c r="W168" i="7"/>
  <c r="R168" i="7"/>
  <c r="Q168" i="7"/>
  <c r="P168" i="7"/>
  <c r="B168" i="7"/>
  <c r="Y167" i="7"/>
  <c r="W167" i="7"/>
  <c r="P167" i="7"/>
  <c r="B167" i="7"/>
  <c r="Y166" i="7"/>
  <c r="W166" i="7"/>
  <c r="R166" i="7"/>
  <c r="Q166" i="7"/>
  <c r="P166" i="7"/>
  <c r="B166" i="7"/>
  <c r="Y165" i="7"/>
  <c r="W165" i="7"/>
  <c r="P165" i="7"/>
  <c r="B165" i="7"/>
  <c r="Y164" i="7"/>
  <c r="W164" i="7"/>
  <c r="R164" i="7"/>
  <c r="Q164" i="7"/>
  <c r="P164" i="7"/>
  <c r="B164" i="7"/>
  <c r="Y163" i="7"/>
  <c r="W163" i="7"/>
  <c r="P163" i="7"/>
  <c r="B163" i="7"/>
  <c r="Y162" i="7"/>
  <c r="W162" i="7"/>
  <c r="R162" i="7"/>
  <c r="Q162" i="7"/>
  <c r="P162" i="7"/>
  <c r="B162" i="7"/>
  <c r="Y161" i="7"/>
  <c r="W161" i="7"/>
  <c r="P161" i="7"/>
  <c r="B161" i="7"/>
  <c r="Y160" i="7"/>
  <c r="W160" i="7"/>
  <c r="R160" i="7"/>
  <c r="Q160" i="7"/>
  <c r="P160" i="7"/>
  <c r="B160" i="7"/>
  <c r="Y159" i="7"/>
  <c r="W159" i="7"/>
  <c r="P159" i="7"/>
  <c r="B159" i="7"/>
  <c r="Y158" i="7"/>
  <c r="W158" i="7"/>
  <c r="R158" i="7"/>
  <c r="Q158" i="7"/>
  <c r="P158" i="7"/>
  <c r="B158" i="7"/>
  <c r="Y157" i="7"/>
  <c r="W157" i="7"/>
  <c r="P157" i="7"/>
  <c r="R157" i="7" s="1"/>
  <c r="B157" i="7"/>
  <c r="Y156" i="7"/>
  <c r="W156" i="7"/>
  <c r="P156" i="7"/>
  <c r="B156" i="7"/>
  <c r="Y155" i="7"/>
  <c r="W155" i="7"/>
  <c r="R155" i="7"/>
  <c r="Q155" i="7"/>
  <c r="P155" i="7"/>
  <c r="B155" i="7"/>
  <c r="Y154" i="7"/>
  <c r="W154" i="7"/>
  <c r="R154" i="7"/>
  <c r="Q154" i="7"/>
  <c r="P154" i="7"/>
  <c r="B154" i="7"/>
  <c r="Y153" i="7"/>
  <c r="W153" i="7"/>
  <c r="P153" i="7"/>
  <c r="R153" i="7" s="1"/>
  <c r="B153" i="7"/>
  <c r="Y152" i="7"/>
  <c r="W152" i="7"/>
  <c r="P152" i="7"/>
  <c r="B152" i="7"/>
  <c r="Y151" i="7"/>
  <c r="W151" i="7"/>
  <c r="R151" i="7"/>
  <c r="Q151" i="7"/>
  <c r="P151" i="7"/>
  <c r="B151" i="7"/>
  <c r="Y150" i="7"/>
  <c r="W150" i="7"/>
  <c r="R150" i="7"/>
  <c r="Q150" i="7"/>
  <c r="P150" i="7"/>
  <c r="B150" i="7"/>
  <c r="Y149" i="7"/>
  <c r="W149" i="7"/>
  <c r="P149" i="7"/>
  <c r="R149" i="7" s="1"/>
  <c r="B149" i="7"/>
  <c r="Y148" i="7"/>
  <c r="W148" i="7"/>
  <c r="P148" i="7"/>
  <c r="B148" i="7"/>
  <c r="Y147" i="7"/>
  <c r="W147" i="7"/>
  <c r="R147" i="7"/>
  <c r="Q147" i="7"/>
  <c r="P147" i="7"/>
  <c r="B147" i="7"/>
  <c r="Y146" i="7"/>
  <c r="W146" i="7"/>
  <c r="R146" i="7"/>
  <c r="P146" i="7"/>
  <c r="Q146" i="7" s="1"/>
  <c r="B146" i="7"/>
  <c r="Y145" i="7"/>
  <c r="W145" i="7"/>
  <c r="P145" i="7"/>
  <c r="R145" i="7" s="1"/>
  <c r="B145" i="7"/>
  <c r="Y144" i="7"/>
  <c r="W144" i="7"/>
  <c r="Q144" i="7"/>
  <c r="P144" i="7"/>
  <c r="R144" i="7" s="1"/>
  <c r="B144" i="7"/>
  <c r="Y143" i="7"/>
  <c r="W143" i="7"/>
  <c r="P143" i="7"/>
  <c r="B143" i="7"/>
  <c r="Y142" i="7"/>
  <c r="W142" i="7"/>
  <c r="Q142" i="7"/>
  <c r="P142" i="7"/>
  <c r="B142" i="7"/>
  <c r="Y141" i="7"/>
  <c r="W141" i="7"/>
  <c r="R141" i="7"/>
  <c r="Q141" i="7"/>
  <c r="P141" i="7"/>
  <c r="B141" i="7"/>
  <c r="Y140" i="7"/>
  <c r="W140" i="7"/>
  <c r="R140" i="7"/>
  <c r="Q140" i="7"/>
  <c r="P140" i="7"/>
  <c r="B140" i="7"/>
  <c r="Y139" i="7"/>
  <c r="W139" i="7"/>
  <c r="P139" i="7"/>
  <c r="B139" i="7"/>
  <c r="Y138" i="7"/>
  <c r="W138" i="7"/>
  <c r="Q138" i="7"/>
  <c r="P138" i="7"/>
  <c r="B138" i="7"/>
  <c r="Y137" i="7"/>
  <c r="W137" i="7"/>
  <c r="R137" i="7"/>
  <c r="Q137" i="7"/>
  <c r="P137" i="7"/>
  <c r="B137" i="7"/>
  <c r="Y136" i="7"/>
  <c r="W136" i="7"/>
  <c r="R136" i="7"/>
  <c r="Q136" i="7"/>
  <c r="P136" i="7"/>
  <c r="B136" i="7"/>
  <c r="Y135" i="7"/>
  <c r="W135" i="7"/>
  <c r="P135" i="7"/>
  <c r="B135" i="7"/>
  <c r="Y134" i="7"/>
  <c r="W134" i="7"/>
  <c r="Q134" i="7"/>
  <c r="P134" i="7"/>
  <c r="B134" i="7"/>
  <c r="Y133" i="7"/>
  <c r="W133" i="7"/>
  <c r="R133" i="7"/>
  <c r="Q133" i="7"/>
  <c r="P133" i="7"/>
  <c r="B133" i="7"/>
  <c r="Y132" i="7"/>
  <c r="W132" i="7"/>
  <c r="R132" i="7"/>
  <c r="Q132" i="7"/>
  <c r="P132" i="7"/>
  <c r="B132" i="7"/>
  <c r="Y131" i="7"/>
  <c r="W131" i="7"/>
  <c r="P131" i="7"/>
  <c r="B131" i="7"/>
  <c r="Y130" i="7"/>
  <c r="W130" i="7"/>
  <c r="Q130" i="7"/>
  <c r="P130" i="7"/>
  <c r="B130" i="7"/>
  <c r="Y129" i="7"/>
  <c r="W129" i="7"/>
  <c r="R129" i="7"/>
  <c r="Q129" i="7"/>
  <c r="P129" i="7"/>
  <c r="B129" i="7"/>
  <c r="Y128" i="7"/>
  <c r="W128" i="7"/>
  <c r="R128" i="7"/>
  <c r="P128" i="7"/>
  <c r="Q128" i="7" s="1"/>
  <c r="B128" i="7"/>
  <c r="Y127" i="7"/>
  <c r="W127" i="7"/>
  <c r="P127" i="7"/>
  <c r="B127" i="7"/>
  <c r="Y126" i="7"/>
  <c r="W126" i="7"/>
  <c r="R126" i="7"/>
  <c r="P126" i="7"/>
  <c r="Q126" i="7" s="1"/>
  <c r="B126" i="7"/>
  <c r="Y125" i="7"/>
  <c r="W125" i="7"/>
  <c r="P125" i="7"/>
  <c r="Q125" i="7" s="1"/>
  <c r="B125" i="7"/>
  <c r="Y124" i="7"/>
  <c r="W124" i="7"/>
  <c r="P124" i="7"/>
  <c r="B124" i="7"/>
  <c r="Y123" i="7"/>
  <c r="W123" i="7"/>
  <c r="R123" i="7"/>
  <c r="Q123" i="7"/>
  <c r="P123" i="7"/>
  <c r="B123" i="7"/>
  <c r="Y122" i="7"/>
  <c r="W122" i="7"/>
  <c r="R122" i="7"/>
  <c r="P122" i="7"/>
  <c r="Q122" i="7" s="1"/>
  <c r="B122" i="7"/>
  <c r="Y121" i="7"/>
  <c r="W121" i="7"/>
  <c r="P121" i="7"/>
  <c r="Q121" i="7" s="1"/>
  <c r="B121" i="7"/>
  <c r="Y120" i="7"/>
  <c r="W120" i="7"/>
  <c r="P120" i="7"/>
  <c r="B120" i="7"/>
  <c r="Y119" i="7"/>
  <c r="W119" i="7"/>
  <c r="R119" i="7"/>
  <c r="Q119" i="7"/>
  <c r="P119" i="7"/>
  <c r="B119" i="7"/>
  <c r="Y118" i="7"/>
  <c r="W118" i="7"/>
  <c r="R118" i="7"/>
  <c r="P118" i="7"/>
  <c r="Q118" i="7" s="1"/>
  <c r="B118" i="7"/>
  <c r="Y117" i="7"/>
  <c r="W117" i="7"/>
  <c r="P117" i="7"/>
  <c r="Q117" i="7" s="1"/>
  <c r="B117" i="7"/>
  <c r="Y116" i="7"/>
  <c r="W116" i="7"/>
  <c r="P116" i="7"/>
  <c r="B116" i="7"/>
  <c r="Y115" i="7"/>
  <c r="W115" i="7"/>
  <c r="R115" i="7"/>
  <c r="Q115" i="7"/>
  <c r="P115" i="7"/>
  <c r="B115" i="7"/>
  <c r="Y114" i="7"/>
  <c r="W114" i="7"/>
  <c r="R114" i="7"/>
  <c r="P114" i="7"/>
  <c r="Q114" i="7" s="1"/>
  <c r="B114" i="7"/>
  <c r="Y113" i="7"/>
  <c r="W113" i="7"/>
  <c r="P113" i="7"/>
  <c r="B113" i="7"/>
  <c r="Y112" i="7"/>
  <c r="W112" i="7"/>
  <c r="Q112" i="7"/>
  <c r="P112" i="7"/>
  <c r="B112" i="7"/>
  <c r="Y111" i="7"/>
  <c r="W111" i="7"/>
  <c r="R111" i="7"/>
  <c r="Q111" i="7"/>
  <c r="S111" i="7" s="1"/>
  <c r="P111" i="7"/>
  <c r="B111" i="7"/>
  <c r="Y110" i="7"/>
  <c r="W110" i="7"/>
  <c r="P110" i="7"/>
  <c r="Q110" i="7" s="1"/>
  <c r="B110" i="7"/>
  <c r="Y109" i="7"/>
  <c r="W109" i="7"/>
  <c r="R109" i="7"/>
  <c r="P109" i="7"/>
  <c r="Q109" i="7" s="1"/>
  <c r="B109" i="7"/>
  <c r="Y108" i="7"/>
  <c r="W108" i="7"/>
  <c r="P108" i="7"/>
  <c r="B108" i="7"/>
  <c r="Y107" i="7"/>
  <c r="W107" i="7"/>
  <c r="Q107" i="7"/>
  <c r="P107" i="7"/>
  <c r="B107" i="7"/>
  <c r="Y106" i="7"/>
  <c r="W106" i="7"/>
  <c r="R106" i="7"/>
  <c r="Q106" i="7"/>
  <c r="P106" i="7"/>
  <c r="B106" i="7"/>
  <c r="Y105" i="7"/>
  <c r="W105" i="7"/>
  <c r="R105" i="7"/>
  <c r="P105" i="7"/>
  <c r="Q105" i="7" s="1"/>
  <c r="B105" i="7"/>
  <c r="Y104" i="7"/>
  <c r="W104" i="7"/>
  <c r="P104" i="7"/>
  <c r="B104" i="7"/>
  <c r="Y103" i="7"/>
  <c r="W103" i="7"/>
  <c r="Q103" i="7"/>
  <c r="P103" i="7"/>
  <c r="B103" i="7"/>
  <c r="Y102" i="7"/>
  <c r="W102" i="7"/>
  <c r="R102" i="7"/>
  <c r="Q102" i="7"/>
  <c r="P102" i="7"/>
  <c r="B102" i="7"/>
  <c r="Y101" i="7"/>
  <c r="W101" i="7"/>
  <c r="R101" i="7"/>
  <c r="P101" i="7"/>
  <c r="Q101" i="7" s="1"/>
  <c r="B101" i="7"/>
  <c r="Y100" i="7"/>
  <c r="W100" i="7"/>
  <c r="P100" i="7"/>
  <c r="B100" i="7"/>
  <c r="Y99" i="7"/>
  <c r="W99" i="7"/>
  <c r="Q99" i="7"/>
  <c r="P99" i="7"/>
  <c r="B99" i="7"/>
  <c r="Y98" i="7"/>
  <c r="W98" i="7"/>
  <c r="R98" i="7"/>
  <c r="Q98" i="7"/>
  <c r="P98" i="7"/>
  <c r="B98" i="7"/>
  <c r="Y97" i="7"/>
  <c r="W97" i="7"/>
  <c r="R97" i="7"/>
  <c r="P97" i="7"/>
  <c r="Q97" i="7" s="1"/>
  <c r="B97" i="7"/>
  <c r="Y96" i="7"/>
  <c r="W96" i="7"/>
  <c r="P96" i="7"/>
  <c r="B96" i="7"/>
  <c r="Y95" i="7"/>
  <c r="W95" i="7"/>
  <c r="Q95" i="7"/>
  <c r="P95" i="7"/>
  <c r="B95" i="7"/>
  <c r="Y94" i="7"/>
  <c r="W94" i="7"/>
  <c r="R94" i="7"/>
  <c r="Q94" i="7"/>
  <c r="P94" i="7"/>
  <c r="B94" i="7"/>
  <c r="Y93" i="7"/>
  <c r="W93" i="7"/>
  <c r="R93" i="7"/>
  <c r="P93" i="7"/>
  <c r="Q93" i="7" s="1"/>
  <c r="B93" i="7"/>
  <c r="Y92" i="7"/>
  <c r="W92" i="7"/>
  <c r="P92" i="7"/>
  <c r="B92" i="7"/>
  <c r="Y91" i="7"/>
  <c r="W91" i="7"/>
  <c r="Q91" i="7"/>
  <c r="P91" i="7"/>
  <c r="B91" i="7"/>
  <c r="Y90" i="7"/>
  <c r="W90" i="7"/>
  <c r="R90" i="7"/>
  <c r="Q90" i="7"/>
  <c r="P90" i="7"/>
  <c r="B90" i="7"/>
  <c r="Y89" i="7"/>
  <c r="W89" i="7"/>
  <c r="R89" i="7"/>
  <c r="P89" i="7"/>
  <c r="Q89" i="7" s="1"/>
  <c r="B89" i="7"/>
  <c r="Y88" i="7"/>
  <c r="W88" i="7"/>
  <c r="P88" i="7"/>
  <c r="B88" i="7"/>
  <c r="Y87" i="7"/>
  <c r="W87" i="7"/>
  <c r="Q87" i="7"/>
  <c r="P87" i="7"/>
  <c r="B87" i="7"/>
  <c r="Y86" i="7"/>
  <c r="W86" i="7"/>
  <c r="R86" i="7"/>
  <c r="Q86" i="7"/>
  <c r="P86" i="7"/>
  <c r="B86" i="7"/>
  <c r="Y85" i="7"/>
  <c r="W85" i="7"/>
  <c r="R85" i="7"/>
  <c r="P85" i="7"/>
  <c r="Q85" i="7" s="1"/>
  <c r="B85" i="7"/>
  <c r="Y84" i="7"/>
  <c r="W84" i="7"/>
  <c r="P84" i="7"/>
  <c r="B84" i="7"/>
  <c r="Y83" i="7"/>
  <c r="W83" i="7"/>
  <c r="Q83" i="7"/>
  <c r="P83" i="7"/>
  <c r="B83" i="7"/>
  <c r="Y82" i="7"/>
  <c r="W82" i="7"/>
  <c r="R82" i="7"/>
  <c r="Q82" i="7"/>
  <c r="P82" i="7"/>
  <c r="B82" i="7"/>
  <c r="Y81" i="7"/>
  <c r="W81" i="7"/>
  <c r="R81" i="7"/>
  <c r="P81" i="7"/>
  <c r="Q81" i="7" s="1"/>
  <c r="B81" i="7"/>
  <c r="Y80" i="7"/>
  <c r="W80" i="7"/>
  <c r="P80" i="7"/>
  <c r="B80" i="7"/>
  <c r="Y79" i="7"/>
  <c r="W79" i="7"/>
  <c r="Q79" i="7"/>
  <c r="P79" i="7"/>
  <c r="B79" i="7"/>
  <c r="Y78" i="7"/>
  <c r="W78" i="7"/>
  <c r="R78" i="7"/>
  <c r="Q78" i="7"/>
  <c r="P78" i="7"/>
  <c r="B78" i="7"/>
  <c r="Y77" i="7"/>
  <c r="W77" i="7"/>
  <c r="R77" i="7"/>
  <c r="P77" i="7"/>
  <c r="Q77" i="7" s="1"/>
  <c r="B77" i="7"/>
  <c r="Y76" i="7"/>
  <c r="W76" i="7"/>
  <c r="P76" i="7"/>
  <c r="B76" i="7"/>
  <c r="Y75" i="7"/>
  <c r="W75" i="7"/>
  <c r="Q75" i="7"/>
  <c r="P75" i="7"/>
  <c r="B75" i="7"/>
  <c r="Y74" i="7"/>
  <c r="W74" i="7"/>
  <c r="R74" i="7"/>
  <c r="Q74" i="7"/>
  <c r="P74" i="7"/>
  <c r="B74" i="7"/>
  <c r="Y73" i="7"/>
  <c r="W73" i="7"/>
  <c r="R73" i="7"/>
  <c r="P73" i="7"/>
  <c r="Q73" i="7" s="1"/>
  <c r="C73" i="7"/>
  <c r="B73" i="7"/>
  <c r="Y72" i="7"/>
  <c r="W72" i="7"/>
  <c r="P72" i="7"/>
  <c r="B72" i="7"/>
  <c r="Y71" i="7"/>
  <c r="W71" i="7"/>
  <c r="Q71" i="7"/>
  <c r="P71" i="7"/>
  <c r="B71" i="7"/>
  <c r="Y70" i="7"/>
  <c r="W70" i="7"/>
  <c r="R70" i="7"/>
  <c r="Q70" i="7"/>
  <c r="P70" i="7"/>
  <c r="B70" i="7"/>
  <c r="Y69" i="7"/>
  <c r="W69" i="7"/>
  <c r="R69" i="7"/>
  <c r="P69" i="7"/>
  <c r="Q69" i="7" s="1"/>
  <c r="B69" i="7"/>
  <c r="Y68" i="7"/>
  <c r="W68" i="7"/>
  <c r="P68" i="7"/>
  <c r="B68" i="7"/>
  <c r="Y67" i="7"/>
  <c r="W67" i="7"/>
  <c r="R67" i="7"/>
  <c r="Q67" i="7"/>
  <c r="P67" i="7"/>
  <c r="B67" i="7"/>
  <c r="Y66" i="7"/>
  <c r="W66" i="7"/>
  <c r="R66" i="7"/>
  <c r="P66" i="7"/>
  <c r="Q66" i="7" s="1"/>
  <c r="B66" i="7"/>
  <c r="Y65" i="7"/>
  <c r="W65" i="7"/>
  <c r="P65" i="7"/>
  <c r="Q65" i="7" s="1"/>
  <c r="C65" i="7"/>
  <c r="B65" i="7"/>
  <c r="Y64" i="7"/>
  <c r="W64" i="7"/>
  <c r="P64" i="7"/>
  <c r="B64" i="7"/>
  <c r="Y63" i="7"/>
  <c r="W63" i="7"/>
  <c r="R63" i="7"/>
  <c r="Q63" i="7"/>
  <c r="P63" i="7"/>
  <c r="B63" i="7"/>
  <c r="Y62" i="7"/>
  <c r="W62" i="7"/>
  <c r="R62" i="7"/>
  <c r="P62" i="7"/>
  <c r="Q62" i="7" s="1"/>
  <c r="B62" i="7"/>
  <c r="Y61" i="7"/>
  <c r="W61" i="7"/>
  <c r="P61" i="7"/>
  <c r="Q61" i="7" s="1"/>
  <c r="L61" i="7"/>
  <c r="B61" i="7"/>
  <c r="Y60" i="7"/>
  <c r="W60" i="7"/>
  <c r="P60" i="7"/>
  <c r="B60" i="7"/>
  <c r="Y59" i="7"/>
  <c r="W59" i="7"/>
  <c r="R59" i="7"/>
  <c r="Q59" i="7"/>
  <c r="P59" i="7"/>
  <c r="B59" i="7"/>
  <c r="Y58" i="7"/>
  <c r="W58" i="7"/>
  <c r="R58" i="7"/>
  <c r="P58" i="7"/>
  <c r="Q58" i="7" s="1"/>
  <c r="B58" i="7"/>
  <c r="Y57" i="7"/>
  <c r="W57" i="7"/>
  <c r="P57" i="7"/>
  <c r="Q57" i="7" s="1"/>
  <c r="C57" i="7"/>
  <c r="B57" i="7"/>
  <c r="Y56" i="7"/>
  <c r="W56" i="7"/>
  <c r="P56" i="7"/>
  <c r="B56" i="7"/>
  <c r="Y55" i="7"/>
  <c r="W55" i="7"/>
  <c r="R55" i="7"/>
  <c r="Q55" i="7"/>
  <c r="P55" i="7"/>
  <c r="B55" i="7"/>
  <c r="Y54" i="7"/>
  <c r="W54" i="7"/>
  <c r="R54" i="7"/>
  <c r="P54" i="7"/>
  <c r="Q54" i="7" s="1"/>
  <c r="B54" i="7"/>
  <c r="Y53" i="7"/>
  <c r="W53" i="7"/>
  <c r="P53" i="7"/>
  <c r="Q53" i="7" s="1"/>
  <c r="L53" i="7"/>
  <c r="B53" i="7"/>
  <c r="Y52" i="7"/>
  <c r="W52" i="7"/>
  <c r="P52" i="7"/>
  <c r="B52" i="7"/>
  <c r="Y51" i="7"/>
  <c r="W51" i="7"/>
  <c r="R51" i="7"/>
  <c r="Q51" i="7"/>
  <c r="P51" i="7"/>
  <c r="B51" i="7"/>
  <c r="Y50" i="7"/>
  <c r="W50" i="7"/>
  <c r="R50" i="7"/>
  <c r="P50" i="7"/>
  <c r="Q50" i="7" s="1"/>
  <c r="B50" i="7"/>
  <c r="Y49" i="7"/>
  <c r="W49" i="7"/>
  <c r="P49" i="7"/>
  <c r="Q49" i="7" s="1"/>
  <c r="C49" i="7"/>
  <c r="B49" i="7"/>
  <c r="Y48" i="7"/>
  <c r="W48" i="7"/>
  <c r="P48" i="7"/>
  <c r="B48" i="7"/>
  <c r="Y47" i="7"/>
  <c r="W47" i="7"/>
  <c r="R47" i="7"/>
  <c r="Q47" i="7"/>
  <c r="P47" i="7"/>
  <c r="B47" i="7"/>
  <c r="Y46" i="7"/>
  <c r="W46" i="7"/>
  <c r="R46" i="7"/>
  <c r="P46" i="7"/>
  <c r="Q46" i="7" s="1"/>
  <c r="B46" i="7"/>
  <c r="Y45" i="7"/>
  <c r="W45" i="7"/>
  <c r="P45" i="7"/>
  <c r="Q45" i="7" s="1"/>
  <c r="L45" i="7"/>
  <c r="B45" i="7"/>
  <c r="Y44" i="7"/>
  <c r="W44" i="7"/>
  <c r="P44" i="7"/>
  <c r="B44" i="7"/>
  <c r="Y43" i="7"/>
  <c r="W43" i="7"/>
  <c r="R43" i="7"/>
  <c r="Q43" i="7"/>
  <c r="P43" i="7"/>
  <c r="B43" i="7"/>
  <c r="Y42" i="7"/>
  <c r="W42" i="7"/>
  <c r="R42" i="7"/>
  <c r="P42" i="7"/>
  <c r="Q42" i="7" s="1"/>
  <c r="B42" i="7"/>
  <c r="Y41" i="7"/>
  <c r="W41" i="7"/>
  <c r="P41" i="7"/>
  <c r="B41" i="7"/>
  <c r="Y40" i="7"/>
  <c r="W40" i="7"/>
  <c r="P40" i="7"/>
  <c r="B40" i="7"/>
  <c r="Y39" i="7"/>
  <c r="W39" i="7"/>
  <c r="R39" i="7"/>
  <c r="Q39" i="7"/>
  <c r="P39" i="7"/>
  <c r="B39" i="7"/>
  <c r="Y38" i="7"/>
  <c r="W38" i="7"/>
  <c r="R38" i="7"/>
  <c r="P38" i="7"/>
  <c r="Q38" i="7" s="1"/>
  <c r="B38" i="7"/>
  <c r="Y37" i="7"/>
  <c r="W37" i="7"/>
  <c r="P37" i="7"/>
  <c r="C37" i="7"/>
  <c r="B37" i="7"/>
  <c r="Y36" i="7"/>
  <c r="W36" i="7"/>
  <c r="P36" i="7"/>
  <c r="B36" i="7"/>
  <c r="Y35" i="7"/>
  <c r="W35" i="7"/>
  <c r="R35" i="7"/>
  <c r="Q35" i="7"/>
  <c r="P35" i="7"/>
  <c r="B35" i="7"/>
  <c r="Y34" i="7"/>
  <c r="W34" i="7"/>
  <c r="P34" i="7"/>
  <c r="B34" i="7"/>
  <c r="Y33" i="7"/>
  <c r="W33" i="7"/>
  <c r="P33" i="7"/>
  <c r="R33" i="7" s="1"/>
  <c r="B33" i="7"/>
  <c r="Y32" i="7"/>
  <c r="W32" i="7"/>
  <c r="Q32" i="7"/>
  <c r="P32" i="7"/>
  <c r="R32" i="7" s="1"/>
  <c r="B32" i="7"/>
  <c r="Y31" i="7"/>
  <c r="W31" i="7"/>
  <c r="R31" i="7"/>
  <c r="P31" i="7"/>
  <c r="Q31" i="7" s="1"/>
  <c r="B31" i="7"/>
  <c r="Y30" i="7"/>
  <c r="W30" i="7"/>
  <c r="R30" i="7"/>
  <c r="Q30" i="7"/>
  <c r="P30" i="7"/>
  <c r="B30" i="7"/>
  <c r="Y29" i="7"/>
  <c r="W29" i="7"/>
  <c r="P29" i="7"/>
  <c r="B29" i="7"/>
  <c r="Y28" i="7"/>
  <c r="W28" i="7"/>
  <c r="Q28" i="7"/>
  <c r="S28" i="7" s="1"/>
  <c r="P28" i="7"/>
  <c r="R28" i="7" s="1"/>
  <c r="B28" i="7"/>
  <c r="Y27" i="7"/>
  <c r="W27" i="7"/>
  <c r="R27" i="7"/>
  <c r="P27" i="7"/>
  <c r="H27" i="7"/>
  <c r="J27" i="7" s="1"/>
  <c r="B27" i="7"/>
  <c r="Y26" i="7"/>
  <c r="W26" i="7"/>
  <c r="S26" i="7"/>
  <c r="R26" i="7"/>
  <c r="Q26" i="7"/>
  <c r="P26" i="7"/>
  <c r="L26" i="7"/>
  <c r="B26" i="7"/>
  <c r="Y25" i="7"/>
  <c r="W25" i="7"/>
  <c r="P25" i="7"/>
  <c r="Q25" i="7" s="1"/>
  <c r="B25" i="7"/>
  <c r="Y24" i="7"/>
  <c r="W24" i="7"/>
  <c r="S24" i="7"/>
  <c r="Q24" i="7"/>
  <c r="P24" i="7"/>
  <c r="R24" i="7" s="1"/>
  <c r="B24" i="7"/>
  <c r="Y23" i="7"/>
  <c r="W23" i="7"/>
  <c r="R23" i="7"/>
  <c r="Q23" i="7"/>
  <c r="S23" i="7" s="1"/>
  <c r="P23" i="7"/>
  <c r="B23" i="7"/>
  <c r="Y22" i="7"/>
  <c r="W22" i="7"/>
  <c r="P22" i="7"/>
  <c r="Q22" i="7" s="1"/>
  <c r="L22" i="7"/>
  <c r="C22" i="7"/>
  <c r="B22" i="7"/>
  <c r="F22" i="7" s="1"/>
  <c r="Y21" i="7"/>
  <c r="W21" i="7"/>
  <c r="P21" i="7"/>
  <c r="R21" i="7" s="1"/>
  <c r="H21" i="7"/>
  <c r="J21" i="7" s="1"/>
  <c r="B21" i="7"/>
  <c r="Y20" i="7"/>
  <c r="X20" i="7"/>
  <c r="W20" i="7"/>
  <c r="Q20" i="7"/>
  <c r="P20" i="7"/>
  <c r="C20" i="7" s="1"/>
  <c r="B20" i="7"/>
  <c r="Y19" i="7"/>
  <c r="W19" i="7"/>
  <c r="R19" i="7"/>
  <c r="Q19" i="7"/>
  <c r="S19" i="7" s="1"/>
  <c r="P19" i="7"/>
  <c r="B19" i="7"/>
  <c r="Y18" i="7"/>
  <c r="W18" i="7"/>
  <c r="P18" i="7"/>
  <c r="Q18" i="7" s="1"/>
  <c r="L18" i="7"/>
  <c r="C18" i="7"/>
  <c r="B18" i="7"/>
  <c r="F18" i="7" s="1"/>
  <c r="Y17" i="7"/>
  <c r="W17" i="7"/>
  <c r="P17" i="7"/>
  <c r="R17" i="7" s="1"/>
  <c r="H17" i="7"/>
  <c r="J17" i="7" s="1"/>
  <c r="B17" i="7"/>
  <c r="Y16" i="7"/>
  <c r="X16" i="7"/>
  <c r="W16" i="7"/>
  <c r="R16" i="7"/>
  <c r="Q16" i="7"/>
  <c r="S16" i="7" s="1"/>
  <c r="P16" i="7"/>
  <c r="C16" i="7" s="1"/>
  <c r="B16" i="7"/>
  <c r="Y15" i="7"/>
  <c r="W15" i="7"/>
  <c r="R15" i="7"/>
  <c r="Q15" i="7"/>
  <c r="P15" i="7"/>
  <c r="B15" i="7"/>
  <c r="Y14" i="7"/>
  <c r="W14" i="7"/>
  <c r="P14" i="7"/>
  <c r="Q14" i="7" s="1"/>
  <c r="L14" i="7"/>
  <c r="C14" i="7"/>
  <c r="B14" i="7"/>
  <c r="F14" i="7" s="1"/>
  <c r="Y13" i="7"/>
  <c r="W13" i="7"/>
  <c r="P13" i="7"/>
  <c r="R13" i="7" s="1"/>
  <c r="H13" i="7"/>
  <c r="J13" i="7" s="1"/>
  <c r="B13" i="7"/>
  <c r="Y12" i="7"/>
  <c r="X12" i="7"/>
  <c r="W12" i="7"/>
  <c r="R12" i="7"/>
  <c r="Q12" i="7"/>
  <c r="S12" i="7" s="1"/>
  <c r="P12" i="7"/>
  <c r="C12" i="7" s="1"/>
  <c r="B12" i="7"/>
  <c r="Y11" i="7"/>
  <c r="W11" i="7"/>
  <c r="R11" i="7"/>
  <c r="Q11" i="7"/>
  <c r="P11" i="7"/>
  <c r="B11" i="7"/>
  <c r="Y10" i="7"/>
  <c r="W10" i="7"/>
  <c r="P10" i="7"/>
  <c r="Q10" i="7" s="1"/>
  <c r="L10" i="7"/>
  <c r="C10" i="7"/>
  <c r="B10" i="7"/>
  <c r="F10" i="7" s="1"/>
  <c r="G6" i="7"/>
  <c r="G2" i="7"/>
  <c r="S77" i="7" s="1"/>
  <c r="G6" i="6"/>
  <c r="Z171" i="6"/>
  <c r="Z170" i="6"/>
  <c r="Z169" i="6"/>
  <c r="AB168" i="6"/>
  <c r="Z168" i="6"/>
  <c r="AB167" i="6"/>
  <c r="Z167" i="6"/>
  <c r="AB166" i="6"/>
  <c r="Z166" i="6"/>
  <c r="AB165" i="6"/>
  <c r="Z165" i="6"/>
  <c r="AB164" i="6"/>
  <c r="Z164" i="6"/>
  <c r="AB163" i="6"/>
  <c r="Z163" i="6"/>
  <c r="AB162" i="6"/>
  <c r="Z162" i="6"/>
  <c r="AB161" i="6"/>
  <c r="Z161" i="6"/>
  <c r="AB160" i="6"/>
  <c r="Z160" i="6"/>
  <c r="AB159" i="6"/>
  <c r="Z159" i="6"/>
  <c r="AB158" i="6"/>
  <c r="Z158" i="6"/>
  <c r="AB157" i="6"/>
  <c r="Z157" i="6"/>
  <c r="AB156" i="6"/>
  <c r="Z156" i="6"/>
  <c r="AB155" i="6"/>
  <c r="Z155" i="6"/>
  <c r="AB154" i="6"/>
  <c r="Z154" i="6"/>
  <c r="AB153" i="6"/>
  <c r="Z153" i="6"/>
  <c r="AB152" i="6"/>
  <c r="Z152" i="6"/>
  <c r="AB151" i="6"/>
  <c r="Z151" i="6"/>
  <c r="AB150" i="6"/>
  <c r="Z150" i="6"/>
  <c r="AB149" i="6"/>
  <c r="Z149" i="6"/>
  <c r="AB148" i="6"/>
  <c r="Z148" i="6"/>
  <c r="AB147" i="6"/>
  <c r="Z147" i="6"/>
  <c r="AB146" i="6"/>
  <c r="Z146" i="6"/>
  <c r="AB145" i="6"/>
  <c r="Z145" i="6"/>
  <c r="AB144" i="6"/>
  <c r="Z144" i="6"/>
  <c r="AB143" i="6"/>
  <c r="Z143" i="6"/>
  <c r="AB142" i="6"/>
  <c r="Z142" i="6"/>
  <c r="AB141" i="6"/>
  <c r="Z141" i="6"/>
  <c r="AB140" i="6"/>
  <c r="Z140" i="6"/>
  <c r="AB139" i="6"/>
  <c r="Z139" i="6"/>
  <c r="AB138" i="6"/>
  <c r="Z138" i="6"/>
  <c r="AB137" i="6"/>
  <c r="Z137" i="6"/>
  <c r="AB136" i="6"/>
  <c r="Z136" i="6"/>
  <c r="AB135" i="6"/>
  <c r="Z135" i="6"/>
  <c r="AB134" i="6"/>
  <c r="Z134" i="6"/>
  <c r="AB133" i="6"/>
  <c r="Z133" i="6"/>
  <c r="AB132" i="6"/>
  <c r="Z132" i="6"/>
  <c r="AB131" i="6"/>
  <c r="Z131" i="6"/>
  <c r="AB130" i="6"/>
  <c r="Z130" i="6"/>
  <c r="AB129" i="6"/>
  <c r="Z129" i="6"/>
  <c r="AB128" i="6"/>
  <c r="Z128" i="6"/>
  <c r="S128" i="6"/>
  <c r="AB127" i="6"/>
  <c r="Z127" i="6"/>
  <c r="AB126" i="6"/>
  <c r="Z126" i="6"/>
  <c r="AB125" i="6"/>
  <c r="Z125" i="6"/>
  <c r="AB124" i="6"/>
  <c r="Z124" i="6"/>
  <c r="AB123" i="6"/>
  <c r="Z123" i="6"/>
  <c r="AB122" i="6"/>
  <c r="Z122" i="6"/>
  <c r="AB121" i="6"/>
  <c r="Z121" i="6"/>
  <c r="AB120" i="6"/>
  <c r="Z120" i="6"/>
  <c r="AB119" i="6"/>
  <c r="Z119" i="6"/>
  <c r="AB118" i="6"/>
  <c r="Z118" i="6"/>
  <c r="AB117" i="6"/>
  <c r="Z117" i="6"/>
  <c r="AB116" i="6"/>
  <c r="Z116" i="6"/>
  <c r="AB115" i="6"/>
  <c r="Z115" i="6"/>
  <c r="AB114" i="6"/>
  <c r="Z114" i="6"/>
  <c r="AB113" i="6"/>
  <c r="Z113" i="6"/>
  <c r="AB112" i="6"/>
  <c r="Z112" i="6"/>
  <c r="AB111" i="6"/>
  <c r="Z111" i="6"/>
  <c r="AB110" i="6"/>
  <c r="Z110" i="6"/>
  <c r="AB109" i="6"/>
  <c r="Z109" i="6"/>
  <c r="AB108" i="6"/>
  <c r="Z108" i="6"/>
  <c r="AB107" i="6"/>
  <c r="Z107" i="6"/>
  <c r="AB106" i="6"/>
  <c r="Z106" i="6"/>
  <c r="AB105" i="6"/>
  <c r="Z105" i="6"/>
  <c r="AB104" i="6"/>
  <c r="Z104" i="6"/>
  <c r="AB103" i="6"/>
  <c r="Z103" i="6"/>
  <c r="AB102" i="6"/>
  <c r="Z102" i="6"/>
  <c r="AB101" i="6"/>
  <c r="Z101" i="6"/>
  <c r="AB100" i="6"/>
  <c r="Z100" i="6"/>
  <c r="AB99" i="6"/>
  <c r="Z99" i="6"/>
  <c r="AB98" i="6"/>
  <c r="Z98" i="6"/>
  <c r="AB97" i="6"/>
  <c r="Z97" i="6"/>
  <c r="AB96" i="6"/>
  <c r="Z96" i="6"/>
  <c r="AB95" i="6"/>
  <c r="Z95" i="6"/>
  <c r="AB94" i="6"/>
  <c r="Z94" i="6"/>
  <c r="AB93" i="6"/>
  <c r="Z93" i="6"/>
  <c r="AB92" i="6"/>
  <c r="Z92" i="6"/>
  <c r="AB91" i="6"/>
  <c r="Z91" i="6"/>
  <c r="AB90" i="6"/>
  <c r="Z90" i="6"/>
  <c r="AB89" i="6"/>
  <c r="Z89" i="6"/>
  <c r="AB88" i="6"/>
  <c r="Z88" i="6"/>
  <c r="AB87" i="6"/>
  <c r="Z87" i="6"/>
  <c r="AB86" i="6"/>
  <c r="Z86" i="6"/>
  <c r="AB85" i="6"/>
  <c r="Z85" i="6"/>
  <c r="AB84" i="6"/>
  <c r="Z84" i="6"/>
  <c r="AB83" i="6"/>
  <c r="Z83" i="6"/>
  <c r="AB82" i="6"/>
  <c r="Z82" i="6"/>
  <c r="AB81" i="6"/>
  <c r="Z81" i="6"/>
  <c r="AB80" i="6"/>
  <c r="Z80" i="6"/>
  <c r="AB79" i="6"/>
  <c r="Z79" i="6"/>
  <c r="AB78" i="6"/>
  <c r="Z78" i="6"/>
  <c r="AB77" i="6"/>
  <c r="Z77" i="6"/>
  <c r="AB76" i="6"/>
  <c r="Z76" i="6"/>
  <c r="AB75" i="6"/>
  <c r="Z75" i="6"/>
  <c r="AB74" i="6"/>
  <c r="Z74" i="6"/>
  <c r="AB73" i="6"/>
  <c r="Z73" i="6"/>
  <c r="AB72" i="6"/>
  <c r="Z72" i="6"/>
  <c r="AB71" i="6"/>
  <c r="Z71" i="6"/>
  <c r="AB70" i="6"/>
  <c r="Z70" i="6"/>
  <c r="AB69" i="6"/>
  <c r="Z69" i="6"/>
  <c r="AB68" i="6"/>
  <c r="Z68" i="6"/>
  <c r="AB67" i="6"/>
  <c r="Z67" i="6"/>
  <c r="AB66" i="6"/>
  <c r="Z66" i="6"/>
  <c r="AB65" i="6"/>
  <c r="Z65" i="6"/>
  <c r="AB64" i="6"/>
  <c r="Z64" i="6"/>
  <c r="AB63" i="6"/>
  <c r="Z63" i="6"/>
  <c r="AB62" i="6"/>
  <c r="Z62" i="6"/>
  <c r="AB61" i="6"/>
  <c r="Z61" i="6"/>
  <c r="AB60" i="6"/>
  <c r="Z60" i="6"/>
  <c r="AB59" i="6"/>
  <c r="Z59" i="6"/>
  <c r="AB58" i="6"/>
  <c r="Z58" i="6"/>
  <c r="AB57" i="6"/>
  <c r="Z57" i="6"/>
  <c r="AB56" i="6"/>
  <c r="Z56" i="6"/>
  <c r="AB55" i="6"/>
  <c r="Z55" i="6"/>
  <c r="AB54" i="6"/>
  <c r="Z54" i="6"/>
  <c r="AB53" i="6"/>
  <c r="Z53" i="6"/>
  <c r="AB52" i="6"/>
  <c r="Z52" i="6"/>
  <c r="AB51" i="6"/>
  <c r="Z51" i="6"/>
  <c r="AB50" i="6"/>
  <c r="Z50" i="6"/>
  <c r="AB49" i="6"/>
  <c r="Z49" i="6"/>
  <c r="AB48" i="6"/>
  <c r="Z48" i="6"/>
  <c r="AB47" i="6"/>
  <c r="Z47" i="6"/>
  <c r="AB46" i="6"/>
  <c r="Z46" i="6"/>
  <c r="AB45" i="6"/>
  <c r="Z45" i="6"/>
  <c r="AB44" i="6"/>
  <c r="Z44" i="6"/>
  <c r="AB43" i="6"/>
  <c r="Z43" i="6"/>
  <c r="AB42" i="6"/>
  <c r="Z42" i="6"/>
  <c r="AB41" i="6"/>
  <c r="Z41" i="6"/>
  <c r="AB40" i="6"/>
  <c r="Z40" i="6"/>
  <c r="AB39" i="6"/>
  <c r="Z39" i="6"/>
  <c r="AB38" i="6"/>
  <c r="Z38" i="6"/>
  <c r="AB37" i="6"/>
  <c r="Z37" i="6"/>
  <c r="AB36" i="6"/>
  <c r="Z36" i="6"/>
  <c r="AB35" i="6"/>
  <c r="Z35" i="6"/>
  <c r="AB34" i="6"/>
  <c r="Z34" i="6"/>
  <c r="AB33" i="6"/>
  <c r="Z33" i="6"/>
  <c r="AB32" i="6"/>
  <c r="Z32" i="6"/>
  <c r="AB31" i="6"/>
  <c r="Z31" i="6"/>
  <c r="AB30" i="6"/>
  <c r="Z30" i="6"/>
  <c r="AB29" i="6"/>
  <c r="Z29" i="6"/>
  <c r="AB28" i="6"/>
  <c r="Z28" i="6"/>
  <c r="AB27" i="6"/>
  <c r="Z27" i="6"/>
  <c r="AB26" i="6"/>
  <c r="Z26" i="6"/>
  <c r="AB25" i="6"/>
  <c r="Z25" i="6"/>
  <c r="AB24" i="6"/>
  <c r="Z24" i="6"/>
  <c r="AB23" i="6"/>
  <c r="Z23" i="6"/>
  <c r="AB22" i="6"/>
  <c r="Z22" i="6"/>
  <c r="AB21" i="6"/>
  <c r="Z21" i="6"/>
  <c r="AB20" i="6"/>
  <c r="Z20" i="6"/>
  <c r="AB19" i="6"/>
  <c r="Z19" i="6"/>
  <c r="AB18" i="6"/>
  <c r="Z18" i="6"/>
  <c r="AB17" i="6"/>
  <c r="Z17" i="6"/>
  <c r="AB16" i="6"/>
  <c r="Z16" i="6"/>
  <c r="AB15" i="6"/>
  <c r="Z15" i="6"/>
  <c r="AB14" i="6"/>
  <c r="Z14" i="6"/>
  <c r="AB13" i="6"/>
  <c r="Z13" i="6"/>
  <c r="AB12" i="6"/>
  <c r="Z12" i="6"/>
  <c r="AB11" i="6"/>
  <c r="Z11" i="6"/>
  <c r="AB10" i="6"/>
  <c r="Z10" i="6"/>
  <c r="G2" i="6"/>
  <c r="L17" i="4"/>
  <c r="M17" i="4"/>
  <c r="N17" i="4"/>
  <c r="L18" i="4"/>
  <c r="M18" i="4"/>
  <c r="N18" i="4"/>
  <c r="Z18" i="4" s="1"/>
  <c r="L19" i="4"/>
  <c r="B19" i="4" s="1"/>
  <c r="M19" i="4"/>
  <c r="N19" i="4"/>
  <c r="L20" i="4"/>
  <c r="M20" i="4"/>
  <c r="N20" i="4"/>
  <c r="L21" i="4"/>
  <c r="M21" i="4"/>
  <c r="N21" i="4"/>
  <c r="R21" i="4" s="1"/>
  <c r="S21" i="4" s="1"/>
  <c r="L22" i="4"/>
  <c r="M22" i="4"/>
  <c r="N22" i="4"/>
  <c r="R22" i="4" s="1"/>
  <c r="L23" i="4"/>
  <c r="B23" i="4" s="1"/>
  <c r="M23" i="4"/>
  <c r="N23" i="4"/>
  <c r="L24" i="4"/>
  <c r="M24" i="4"/>
  <c r="N24" i="4"/>
  <c r="L25" i="4"/>
  <c r="M25" i="4"/>
  <c r="N25" i="4"/>
  <c r="R25" i="4" s="1"/>
  <c r="L26" i="4"/>
  <c r="M26" i="4"/>
  <c r="N26" i="4"/>
  <c r="R26" i="4" s="1"/>
  <c r="L27" i="4"/>
  <c r="B27" i="4" s="1"/>
  <c r="M27" i="4"/>
  <c r="N27" i="4"/>
  <c r="L28" i="4"/>
  <c r="M28" i="4"/>
  <c r="N28" i="4"/>
  <c r="L29" i="4"/>
  <c r="M29" i="4"/>
  <c r="Z29" i="4" s="1"/>
  <c r="N29" i="4"/>
  <c r="L30" i="4"/>
  <c r="M30" i="4"/>
  <c r="N30" i="4"/>
  <c r="R30" i="4" s="1"/>
  <c r="L31" i="4"/>
  <c r="B31" i="4" s="1"/>
  <c r="M31" i="4"/>
  <c r="N31" i="4"/>
  <c r="L32" i="4"/>
  <c r="M32" i="4"/>
  <c r="N32" i="4"/>
  <c r="L33" i="4"/>
  <c r="M33" i="4"/>
  <c r="N33" i="4"/>
  <c r="R33" i="4" s="1"/>
  <c r="L34" i="4"/>
  <c r="M34" i="4"/>
  <c r="N34" i="4"/>
  <c r="R34" i="4" s="1"/>
  <c r="L35" i="4"/>
  <c r="B35" i="4" s="1"/>
  <c r="M35" i="4"/>
  <c r="N35" i="4"/>
  <c r="L36" i="4"/>
  <c r="M36" i="4"/>
  <c r="N36" i="4"/>
  <c r="L37" i="4"/>
  <c r="M37" i="4"/>
  <c r="N37" i="4"/>
  <c r="R37" i="4" s="1"/>
  <c r="L38" i="4"/>
  <c r="M38" i="4"/>
  <c r="N38" i="4"/>
  <c r="Z38" i="4" s="1"/>
  <c r="L39" i="4"/>
  <c r="B39" i="4" s="1"/>
  <c r="M39" i="4"/>
  <c r="N39" i="4"/>
  <c r="L40" i="4"/>
  <c r="M40" i="4"/>
  <c r="N40" i="4"/>
  <c r="L41" i="4"/>
  <c r="M41" i="4"/>
  <c r="N41" i="4"/>
  <c r="R41" i="4" s="1"/>
  <c r="L42" i="4"/>
  <c r="M42" i="4"/>
  <c r="N42" i="4"/>
  <c r="Z42" i="4" s="1"/>
  <c r="L43" i="4"/>
  <c r="B43" i="4" s="1"/>
  <c r="M43" i="4"/>
  <c r="N43" i="4"/>
  <c r="L44" i="4"/>
  <c r="M44" i="4"/>
  <c r="N44" i="4"/>
  <c r="L45" i="4"/>
  <c r="M45" i="4"/>
  <c r="N45" i="4"/>
  <c r="L46" i="4"/>
  <c r="M46" i="4"/>
  <c r="N46" i="4"/>
  <c r="R46" i="4" s="1"/>
  <c r="L47" i="4"/>
  <c r="B47" i="4" s="1"/>
  <c r="M47" i="4"/>
  <c r="N47" i="4"/>
  <c r="L48" i="4"/>
  <c r="B48" i="4" s="1"/>
  <c r="M48" i="4"/>
  <c r="N48" i="4"/>
  <c r="L49" i="4"/>
  <c r="M49" i="4"/>
  <c r="N49" i="4"/>
  <c r="L50" i="4"/>
  <c r="M50" i="4"/>
  <c r="N50" i="4"/>
  <c r="R50" i="4" s="1"/>
  <c r="L51" i="4"/>
  <c r="B51" i="4" s="1"/>
  <c r="M51" i="4"/>
  <c r="N51" i="4"/>
  <c r="L52" i="4"/>
  <c r="M52" i="4"/>
  <c r="N52" i="4"/>
  <c r="L53" i="4"/>
  <c r="M53" i="4"/>
  <c r="N53" i="4"/>
  <c r="R53" i="4" s="1"/>
  <c r="L54" i="4"/>
  <c r="M54" i="4"/>
  <c r="N54" i="4"/>
  <c r="R54" i="4" s="1"/>
  <c r="L55" i="4"/>
  <c r="B55" i="4" s="1"/>
  <c r="M55" i="4"/>
  <c r="N55" i="4"/>
  <c r="L56" i="4"/>
  <c r="M56" i="4"/>
  <c r="N56" i="4"/>
  <c r="L57" i="4"/>
  <c r="M57" i="4"/>
  <c r="N57" i="4"/>
  <c r="R57" i="4" s="1"/>
  <c r="L58" i="4"/>
  <c r="M58" i="4"/>
  <c r="N58" i="4"/>
  <c r="Z58" i="4" s="1"/>
  <c r="L59" i="4"/>
  <c r="B59" i="4" s="1"/>
  <c r="M59" i="4"/>
  <c r="N59" i="4"/>
  <c r="L60" i="4"/>
  <c r="M60" i="4"/>
  <c r="N60" i="4"/>
  <c r="L61" i="4"/>
  <c r="M61" i="4"/>
  <c r="N61" i="4"/>
  <c r="R61" i="4" s="1"/>
  <c r="L62" i="4"/>
  <c r="M62" i="4"/>
  <c r="N62" i="4"/>
  <c r="R62" i="4" s="1"/>
  <c r="L63" i="4"/>
  <c r="B63" i="4" s="1"/>
  <c r="M63" i="4"/>
  <c r="N63" i="4"/>
  <c r="L64" i="4"/>
  <c r="M64" i="4"/>
  <c r="N64" i="4"/>
  <c r="L65" i="4"/>
  <c r="M65" i="4"/>
  <c r="N65" i="4"/>
  <c r="L66" i="4"/>
  <c r="M66" i="4"/>
  <c r="N66" i="4"/>
  <c r="L67" i="4"/>
  <c r="B67" i="4" s="1"/>
  <c r="M67" i="4"/>
  <c r="N67" i="4"/>
  <c r="L68" i="4"/>
  <c r="B68" i="4" s="1"/>
  <c r="M68" i="4"/>
  <c r="N68" i="4"/>
  <c r="L69" i="4"/>
  <c r="M69" i="4"/>
  <c r="N69" i="4"/>
  <c r="R69" i="4" s="1"/>
  <c r="S69" i="4" s="1"/>
  <c r="L70" i="4"/>
  <c r="M70" i="4"/>
  <c r="N70" i="4"/>
  <c r="L71" i="4"/>
  <c r="B71" i="4" s="1"/>
  <c r="M71" i="4"/>
  <c r="N71" i="4"/>
  <c r="L72" i="4"/>
  <c r="M72" i="4"/>
  <c r="N72" i="4"/>
  <c r="L73" i="4"/>
  <c r="M73" i="4"/>
  <c r="N73" i="4"/>
  <c r="R73" i="4" s="1"/>
  <c r="L74" i="4"/>
  <c r="M74" i="4"/>
  <c r="N74" i="4"/>
  <c r="L75" i="4"/>
  <c r="B75" i="4" s="1"/>
  <c r="M75" i="4"/>
  <c r="N75" i="4"/>
  <c r="L76" i="4"/>
  <c r="M76" i="4"/>
  <c r="N76" i="4"/>
  <c r="L77" i="4"/>
  <c r="M77" i="4"/>
  <c r="N77" i="4"/>
  <c r="L78" i="4"/>
  <c r="M78" i="4"/>
  <c r="N78" i="4"/>
  <c r="R78" i="4" s="1"/>
  <c r="L79" i="4"/>
  <c r="B79" i="4" s="1"/>
  <c r="M79" i="4"/>
  <c r="N79" i="4"/>
  <c r="L80" i="4"/>
  <c r="B80" i="4" s="1"/>
  <c r="M80" i="4"/>
  <c r="N80" i="4"/>
  <c r="L81" i="4"/>
  <c r="M81" i="4"/>
  <c r="N81" i="4"/>
  <c r="R81" i="4" s="1"/>
  <c r="L82" i="4"/>
  <c r="M82" i="4"/>
  <c r="N82" i="4"/>
  <c r="R82" i="4" s="1"/>
  <c r="L83" i="4"/>
  <c r="M83" i="4"/>
  <c r="N83" i="4"/>
  <c r="L84" i="4"/>
  <c r="B84" i="4" s="1"/>
  <c r="M84" i="4"/>
  <c r="N84" i="4"/>
  <c r="L85" i="4"/>
  <c r="M85" i="4"/>
  <c r="N85" i="4"/>
  <c r="R85" i="4" s="1"/>
  <c r="L86" i="4"/>
  <c r="M86" i="4"/>
  <c r="N86" i="4"/>
  <c r="L87" i="4"/>
  <c r="M87" i="4"/>
  <c r="N87" i="4"/>
  <c r="L88" i="4"/>
  <c r="B88" i="4" s="1"/>
  <c r="M88" i="4"/>
  <c r="N88" i="4"/>
  <c r="L89" i="4"/>
  <c r="M89" i="4"/>
  <c r="N89" i="4"/>
  <c r="L90" i="4"/>
  <c r="M90" i="4"/>
  <c r="N90" i="4"/>
  <c r="L91" i="4"/>
  <c r="M91" i="4"/>
  <c r="N91" i="4"/>
  <c r="L92" i="4"/>
  <c r="B92" i="4" s="1"/>
  <c r="M92" i="4"/>
  <c r="N92" i="4"/>
  <c r="L93" i="4"/>
  <c r="M93" i="4"/>
  <c r="N93" i="4"/>
  <c r="R93" i="4" s="1"/>
  <c r="L94" i="4"/>
  <c r="M94" i="4"/>
  <c r="N94" i="4"/>
  <c r="L95" i="4"/>
  <c r="M95" i="4"/>
  <c r="N95" i="4"/>
  <c r="L96" i="4"/>
  <c r="B96" i="4" s="1"/>
  <c r="M96" i="4"/>
  <c r="N96" i="4"/>
  <c r="L97" i="4"/>
  <c r="M97" i="4"/>
  <c r="N97" i="4"/>
  <c r="R97" i="4" s="1"/>
  <c r="L98" i="4"/>
  <c r="M98" i="4"/>
  <c r="N98" i="4"/>
  <c r="L99" i="4"/>
  <c r="B99" i="4" s="1"/>
  <c r="M99" i="4"/>
  <c r="N99" i="4"/>
  <c r="L100" i="4"/>
  <c r="M100" i="4"/>
  <c r="N100" i="4"/>
  <c r="L101" i="4"/>
  <c r="M101" i="4"/>
  <c r="N101" i="4"/>
  <c r="R101" i="4" s="1"/>
  <c r="L102" i="4"/>
  <c r="M102" i="4"/>
  <c r="N102" i="4"/>
  <c r="R102" i="4" s="1"/>
  <c r="L103" i="4"/>
  <c r="B103" i="4" s="1"/>
  <c r="M103" i="4"/>
  <c r="N103" i="4"/>
  <c r="L104" i="4"/>
  <c r="B104" i="4" s="1"/>
  <c r="M104" i="4"/>
  <c r="N104" i="4"/>
  <c r="L105" i="4"/>
  <c r="M105" i="4"/>
  <c r="N105" i="4"/>
  <c r="L106" i="4"/>
  <c r="M106" i="4"/>
  <c r="N106" i="4"/>
  <c r="R106" i="4" s="1"/>
  <c r="L107" i="4"/>
  <c r="B107" i="4" s="1"/>
  <c r="M107" i="4"/>
  <c r="N107" i="4"/>
  <c r="L108" i="4"/>
  <c r="M108" i="4"/>
  <c r="N108" i="4"/>
  <c r="L109" i="4"/>
  <c r="M109" i="4"/>
  <c r="N109" i="4"/>
  <c r="R109" i="4" s="1"/>
  <c r="L110" i="4"/>
  <c r="M110" i="4"/>
  <c r="N110" i="4"/>
  <c r="L111" i="4"/>
  <c r="B111" i="4" s="1"/>
  <c r="M111" i="4"/>
  <c r="N111" i="4"/>
  <c r="L112" i="4"/>
  <c r="M112" i="4"/>
  <c r="N112" i="4"/>
  <c r="L113" i="4"/>
  <c r="M113" i="4"/>
  <c r="N113" i="4"/>
  <c r="L114" i="4"/>
  <c r="M114" i="4"/>
  <c r="N114" i="4"/>
  <c r="R114" i="4" s="1"/>
  <c r="L115" i="4"/>
  <c r="B115" i="4" s="1"/>
  <c r="M115" i="4"/>
  <c r="N115" i="4"/>
  <c r="L116" i="4"/>
  <c r="M116" i="4"/>
  <c r="N116" i="4"/>
  <c r="L117" i="4"/>
  <c r="M117" i="4"/>
  <c r="N117" i="4"/>
  <c r="L118" i="4"/>
  <c r="M118" i="4"/>
  <c r="N118" i="4"/>
  <c r="R118" i="4" s="1"/>
  <c r="L119" i="4"/>
  <c r="B119" i="4" s="1"/>
  <c r="M119" i="4"/>
  <c r="N119" i="4"/>
  <c r="L120" i="4"/>
  <c r="B120" i="4" s="1"/>
  <c r="M120" i="4"/>
  <c r="N120" i="4"/>
  <c r="L121" i="4"/>
  <c r="M121" i="4"/>
  <c r="N121" i="4"/>
  <c r="L122" i="4"/>
  <c r="M122" i="4"/>
  <c r="N122" i="4"/>
  <c r="R122" i="4" s="1"/>
  <c r="L123" i="4"/>
  <c r="B123" i="4" s="1"/>
  <c r="M123" i="4"/>
  <c r="N123" i="4"/>
  <c r="L124" i="4"/>
  <c r="M124" i="4"/>
  <c r="N124" i="4"/>
  <c r="L125" i="4"/>
  <c r="M125" i="4"/>
  <c r="N125" i="4"/>
  <c r="L126" i="4"/>
  <c r="M126" i="4"/>
  <c r="N126" i="4"/>
  <c r="R126" i="4" s="1"/>
  <c r="L127" i="4"/>
  <c r="B127" i="4" s="1"/>
  <c r="M127" i="4"/>
  <c r="N127" i="4"/>
  <c r="L128" i="4"/>
  <c r="M128" i="4"/>
  <c r="N128" i="4"/>
  <c r="L129" i="4"/>
  <c r="M129" i="4"/>
  <c r="N129" i="4"/>
  <c r="R129" i="4" s="1"/>
  <c r="L130" i="4"/>
  <c r="M130" i="4"/>
  <c r="N130" i="4"/>
  <c r="L131" i="4"/>
  <c r="M131" i="4"/>
  <c r="N131" i="4"/>
  <c r="L132" i="4"/>
  <c r="B132" i="4" s="1"/>
  <c r="M132" i="4"/>
  <c r="N132" i="4"/>
  <c r="L133" i="4"/>
  <c r="M133" i="4"/>
  <c r="N133" i="4"/>
  <c r="R133" i="4" s="1"/>
  <c r="L134" i="4"/>
  <c r="M134" i="4"/>
  <c r="N134" i="4"/>
  <c r="L135" i="4"/>
  <c r="B135" i="4" s="1"/>
  <c r="M135" i="4"/>
  <c r="N135" i="4"/>
  <c r="L136" i="4"/>
  <c r="B136" i="4" s="1"/>
  <c r="M136" i="4"/>
  <c r="N136" i="4"/>
  <c r="L137" i="4"/>
  <c r="M137" i="4"/>
  <c r="N137" i="4"/>
  <c r="R137" i="4" s="1"/>
  <c r="L138" i="4"/>
  <c r="M138" i="4"/>
  <c r="N138" i="4"/>
  <c r="L139" i="4"/>
  <c r="B139" i="4" s="1"/>
  <c r="M139" i="4"/>
  <c r="N139" i="4"/>
  <c r="L140" i="4"/>
  <c r="M140" i="4"/>
  <c r="N140" i="4"/>
  <c r="L141" i="4"/>
  <c r="M141" i="4"/>
  <c r="N141" i="4"/>
  <c r="R141" i="4" s="1"/>
  <c r="L142" i="4"/>
  <c r="M142" i="4"/>
  <c r="N142" i="4"/>
  <c r="L143" i="4"/>
  <c r="M143" i="4"/>
  <c r="N143" i="4"/>
  <c r="L144" i="4"/>
  <c r="M144" i="4"/>
  <c r="N144" i="4"/>
  <c r="L145" i="4"/>
  <c r="M145" i="4"/>
  <c r="N145" i="4"/>
  <c r="R145" i="4" s="1"/>
  <c r="L146" i="4"/>
  <c r="M146" i="4"/>
  <c r="N146" i="4"/>
  <c r="R146" i="4" s="1"/>
  <c r="L147" i="4"/>
  <c r="B147" i="4" s="1"/>
  <c r="M147" i="4"/>
  <c r="N147" i="4"/>
  <c r="L148" i="4"/>
  <c r="M148" i="4"/>
  <c r="N148" i="4"/>
  <c r="L149" i="4"/>
  <c r="M149" i="4"/>
  <c r="N149" i="4"/>
  <c r="R149" i="4" s="1"/>
  <c r="L150" i="4"/>
  <c r="M150" i="4"/>
  <c r="N150" i="4"/>
  <c r="R150" i="4" s="1"/>
  <c r="L151" i="4"/>
  <c r="B151" i="4" s="1"/>
  <c r="M151" i="4"/>
  <c r="N151" i="4"/>
  <c r="L152" i="4"/>
  <c r="B152" i="4" s="1"/>
  <c r="M152" i="4"/>
  <c r="N152" i="4"/>
  <c r="L153" i="4"/>
  <c r="M153" i="4"/>
  <c r="N153" i="4"/>
  <c r="R153" i="4" s="1"/>
  <c r="L154" i="4"/>
  <c r="M154" i="4"/>
  <c r="N154" i="4"/>
  <c r="R154" i="4" s="1"/>
  <c r="L155" i="4"/>
  <c r="B155" i="4" s="1"/>
  <c r="M155" i="4"/>
  <c r="N155" i="4"/>
  <c r="L156" i="4"/>
  <c r="M156" i="4"/>
  <c r="N156" i="4"/>
  <c r="L157" i="4"/>
  <c r="M157" i="4"/>
  <c r="N157" i="4"/>
  <c r="L158" i="4"/>
  <c r="M158" i="4"/>
  <c r="N158" i="4"/>
  <c r="R158" i="4" s="1"/>
  <c r="L159" i="4"/>
  <c r="M159" i="4"/>
  <c r="N159" i="4"/>
  <c r="L160" i="4"/>
  <c r="M160" i="4"/>
  <c r="N160" i="4"/>
  <c r="L161" i="4"/>
  <c r="M161" i="4"/>
  <c r="N161" i="4"/>
  <c r="R161" i="4" s="1"/>
  <c r="L162" i="4"/>
  <c r="M162" i="4"/>
  <c r="N162" i="4"/>
  <c r="R162" i="4" s="1"/>
  <c r="L163" i="4"/>
  <c r="M163" i="4"/>
  <c r="N163" i="4"/>
  <c r="L164" i="4"/>
  <c r="M164" i="4"/>
  <c r="N164" i="4"/>
  <c r="B18" i="4"/>
  <c r="B20" i="4"/>
  <c r="B24" i="4"/>
  <c r="B25" i="4"/>
  <c r="B28" i="4"/>
  <c r="B32" i="4"/>
  <c r="B36" i="4"/>
  <c r="R39" i="4"/>
  <c r="B40" i="4"/>
  <c r="R43" i="4"/>
  <c r="R45" i="4"/>
  <c r="B49" i="4"/>
  <c r="R49" i="4"/>
  <c r="Z51" i="4"/>
  <c r="B52" i="4"/>
  <c r="B56" i="4"/>
  <c r="B60" i="4"/>
  <c r="R63" i="4"/>
  <c r="B64" i="4"/>
  <c r="B72" i="4"/>
  <c r="B73" i="4"/>
  <c r="B76" i="4"/>
  <c r="R77" i="4"/>
  <c r="S77" i="4" s="1"/>
  <c r="B83" i="4"/>
  <c r="R86" i="4"/>
  <c r="B87" i="4"/>
  <c r="B89" i="4"/>
  <c r="R90" i="4"/>
  <c r="B91" i="4"/>
  <c r="R94" i="4"/>
  <c r="B95" i="4"/>
  <c r="R99" i="4"/>
  <c r="B105" i="4"/>
  <c r="R107" i="4"/>
  <c r="Z110" i="4"/>
  <c r="R111" i="4"/>
  <c r="B112" i="4"/>
  <c r="R113" i="4"/>
  <c r="B116" i="4"/>
  <c r="R117" i="4"/>
  <c r="B121" i="4"/>
  <c r="R121" i="4"/>
  <c r="B124" i="4"/>
  <c r="R125" i="4"/>
  <c r="R127" i="4"/>
  <c r="S127" i="4" s="1"/>
  <c r="R130" i="4"/>
  <c r="B131" i="4"/>
  <c r="B133" i="4"/>
  <c r="R134" i="4"/>
  <c r="B140" i="4"/>
  <c r="B141" i="4"/>
  <c r="R142" i="4"/>
  <c r="B144" i="4"/>
  <c r="B148" i="4"/>
  <c r="B149" i="4"/>
  <c r="R151" i="4"/>
  <c r="R157" i="4"/>
  <c r="B21" i="4"/>
  <c r="B26" i="4"/>
  <c r="R28" i="4"/>
  <c r="R31" i="4"/>
  <c r="R32" i="4"/>
  <c r="B33" i="4"/>
  <c r="B37" i="4"/>
  <c r="R40" i="4"/>
  <c r="B42" i="4"/>
  <c r="B45" i="4"/>
  <c r="R47" i="4"/>
  <c r="R48" i="4"/>
  <c r="B53" i="4"/>
  <c r="B54" i="4"/>
  <c r="R55" i="4"/>
  <c r="R56" i="4"/>
  <c r="R59" i="4"/>
  <c r="S59" i="4" s="1"/>
  <c r="B61" i="4"/>
  <c r="B62" i="4"/>
  <c r="B65" i="4"/>
  <c r="B69" i="4"/>
  <c r="B70" i="4"/>
  <c r="B74" i="4"/>
  <c r="B77" i="4"/>
  <c r="R79" i="4"/>
  <c r="R80" i="4"/>
  <c r="B82" i="4"/>
  <c r="B85" i="4"/>
  <c r="Z87" i="4"/>
  <c r="R91" i="4"/>
  <c r="S91" i="4" s="1"/>
  <c r="R92" i="4"/>
  <c r="B93" i="4"/>
  <c r="R95" i="4"/>
  <c r="R96" i="4"/>
  <c r="B97" i="4"/>
  <c r="R100" i="4"/>
  <c r="B102" i="4"/>
  <c r="R103" i="4"/>
  <c r="R108" i="4"/>
  <c r="B109" i="4"/>
  <c r="R112" i="4"/>
  <c r="B113" i="4"/>
  <c r="B114" i="4"/>
  <c r="R116" i="4"/>
  <c r="B117" i="4"/>
  <c r="R119" i="4"/>
  <c r="R120" i="4"/>
  <c r="R123" i="4"/>
  <c r="R124" i="4"/>
  <c r="B125" i="4"/>
  <c r="B129" i="4"/>
  <c r="R131" i="4"/>
  <c r="S131" i="4" s="1"/>
  <c r="R132" i="4"/>
  <c r="R135" i="4"/>
  <c r="R136" i="4"/>
  <c r="B137" i="4"/>
  <c r="R143" i="4"/>
  <c r="R144" i="4"/>
  <c r="R147" i="4"/>
  <c r="R152" i="4"/>
  <c r="B154" i="4"/>
  <c r="R155" i="4"/>
  <c r="R156" i="4"/>
  <c r="B157" i="4"/>
  <c r="B158" i="4"/>
  <c r="R159" i="4"/>
  <c r="R160" i="4"/>
  <c r="B161" i="4"/>
  <c r="B150" i="4"/>
  <c r="R148" i="4"/>
  <c r="R128" i="4"/>
  <c r="B122" i="4"/>
  <c r="B110" i="4"/>
  <c r="B94" i="4"/>
  <c r="B90" i="4"/>
  <c r="R88" i="4"/>
  <c r="R75" i="4"/>
  <c r="R68" i="4"/>
  <c r="R64" i="4"/>
  <c r="R60" i="4"/>
  <c r="B50" i="4"/>
  <c r="B38" i="4"/>
  <c r="R36" i="4"/>
  <c r="B30" i="4"/>
  <c r="R24" i="4"/>
  <c r="B163" i="4"/>
  <c r="R140" i="4"/>
  <c r="B126" i="4"/>
  <c r="R105" i="4"/>
  <c r="R84" i="4"/>
  <c r="R72" i="4"/>
  <c r="R65" i="4"/>
  <c r="R44" i="4"/>
  <c r="B29" i="4"/>
  <c r="R20" i="4"/>
  <c r="B153" i="4"/>
  <c r="R139" i="4"/>
  <c r="B128" i="4"/>
  <c r="R115" i="4"/>
  <c r="S115" i="4" s="1"/>
  <c r="B101" i="4"/>
  <c r="B100" i="4"/>
  <c r="R83" i="4"/>
  <c r="R71" i="4"/>
  <c r="R66" i="4"/>
  <c r="B57" i="4"/>
  <c r="B44" i="4"/>
  <c r="R23" i="4"/>
  <c r="R19" i="4"/>
  <c r="R17" i="4"/>
  <c r="N165" i="4"/>
  <c r="M165" i="4"/>
  <c r="L165" i="4"/>
  <c r="R163" i="4"/>
  <c r="S163" i="4" s="1"/>
  <c r="B145" i="4"/>
  <c r="B17" i="4"/>
  <c r="N16" i="4"/>
  <c r="M16" i="4"/>
  <c r="L16" i="4"/>
  <c r="N166" i="4"/>
  <c r="M166" i="4"/>
  <c r="L166" i="4"/>
  <c r="B166" i="4" s="1"/>
  <c r="B162" i="4"/>
  <c r="B134" i="4"/>
  <c r="R104" i="4"/>
  <c r="B81" i="4"/>
  <c r="R52" i="4"/>
  <c r="B34" i="4"/>
  <c r="R16" i="4"/>
  <c r="N15" i="4"/>
  <c r="M15" i="4"/>
  <c r="B164" i="4"/>
  <c r="B160" i="4"/>
  <c r="L15" i="4"/>
  <c r="N167" i="4"/>
  <c r="M167" i="4"/>
  <c r="L167" i="4"/>
  <c r="R166" i="4"/>
  <c r="R165" i="4"/>
  <c r="B16" i="4"/>
  <c r="N14" i="4"/>
  <c r="R14" i="4" s="1"/>
  <c r="M14" i="4"/>
  <c r="L14" i="4"/>
  <c r="B14" i="4" s="1"/>
  <c r="N168" i="4"/>
  <c r="M168" i="4"/>
  <c r="L168" i="4"/>
  <c r="B168" i="4" s="1"/>
  <c r="R138" i="4"/>
  <c r="R74" i="4"/>
  <c r="N13" i="4"/>
  <c r="M13" i="4"/>
  <c r="L13" i="4"/>
  <c r="B13" i="4" s="1"/>
  <c r="N169" i="4"/>
  <c r="M169" i="4"/>
  <c r="L169" i="4"/>
  <c r="B169" i="4" s="1"/>
  <c r="R167" i="4"/>
  <c r="R98" i="4"/>
  <c r="R15" i="4"/>
  <c r="B15" i="4"/>
  <c r="Z13" i="4"/>
  <c r="N12" i="4"/>
  <c r="M12" i="4"/>
  <c r="L12" i="4"/>
  <c r="N170" i="4"/>
  <c r="M170" i="4"/>
  <c r="L170" i="4"/>
  <c r="B170" i="4" s="1"/>
  <c r="R169" i="4"/>
  <c r="S169" i="4" s="1"/>
  <c r="R168" i="4"/>
  <c r="S168" i="4" s="1"/>
  <c r="R164" i="4"/>
  <c r="B142" i="4"/>
  <c r="R76" i="4"/>
  <c r="R12" i="4"/>
  <c r="N11" i="4"/>
  <c r="M11" i="4"/>
  <c r="Z11" i="4" s="1"/>
  <c r="L11" i="4"/>
  <c r="B11" i="4" s="1"/>
  <c r="Y171" i="4"/>
  <c r="R171" i="4"/>
  <c r="B171" i="4"/>
  <c r="Y170" i="4"/>
  <c r="R170" i="4"/>
  <c r="Y169" i="4"/>
  <c r="AA168" i="4"/>
  <c r="Y168" i="4"/>
  <c r="AA167" i="4"/>
  <c r="Y167" i="4"/>
  <c r="AA166" i="4"/>
  <c r="Y166" i="4"/>
  <c r="AA165" i="4"/>
  <c r="Y165" i="4"/>
  <c r="AA164" i="4"/>
  <c r="Y164" i="4"/>
  <c r="AA163" i="4"/>
  <c r="Y163" i="4"/>
  <c r="AA162" i="4"/>
  <c r="Y162" i="4"/>
  <c r="AA161" i="4"/>
  <c r="Y161" i="4"/>
  <c r="AA160" i="4"/>
  <c r="Y160" i="4"/>
  <c r="AA159" i="4"/>
  <c r="Y159" i="4"/>
  <c r="AA158" i="4"/>
  <c r="Y158" i="4"/>
  <c r="AA157" i="4"/>
  <c r="Y157" i="4"/>
  <c r="AA156" i="4"/>
  <c r="Y156" i="4"/>
  <c r="AA155" i="4"/>
  <c r="Y155" i="4"/>
  <c r="AA154" i="4"/>
  <c r="Y154" i="4"/>
  <c r="AA153" i="4"/>
  <c r="Y153" i="4"/>
  <c r="AA152" i="4"/>
  <c r="Y152" i="4"/>
  <c r="AA151" i="4"/>
  <c r="Y151" i="4"/>
  <c r="AA150" i="4"/>
  <c r="Y150" i="4"/>
  <c r="AA149" i="4"/>
  <c r="Y149" i="4"/>
  <c r="AA148" i="4"/>
  <c r="Y148" i="4"/>
  <c r="AA147" i="4"/>
  <c r="Y147" i="4"/>
  <c r="AA146" i="4"/>
  <c r="Y146" i="4"/>
  <c r="AA145" i="4"/>
  <c r="Y145" i="4"/>
  <c r="AA144" i="4"/>
  <c r="Y144" i="4"/>
  <c r="AA143" i="4"/>
  <c r="Y143" i="4"/>
  <c r="AA142" i="4"/>
  <c r="Y142" i="4"/>
  <c r="AA141" i="4"/>
  <c r="Y141" i="4"/>
  <c r="AA140" i="4"/>
  <c r="Y140" i="4"/>
  <c r="AA139" i="4"/>
  <c r="Y139" i="4"/>
  <c r="AA138" i="4"/>
  <c r="Y138" i="4"/>
  <c r="AA137" i="4"/>
  <c r="Y137" i="4"/>
  <c r="AA136" i="4"/>
  <c r="Y136" i="4"/>
  <c r="AA135" i="4"/>
  <c r="Y135" i="4"/>
  <c r="AA134" i="4"/>
  <c r="Y134" i="4"/>
  <c r="AA133" i="4"/>
  <c r="Y133" i="4"/>
  <c r="AA132" i="4"/>
  <c r="Y132" i="4"/>
  <c r="AA131" i="4"/>
  <c r="Y131" i="4"/>
  <c r="AA130" i="4"/>
  <c r="Y130" i="4"/>
  <c r="AA129" i="4"/>
  <c r="Y129" i="4"/>
  <c r="AA128" i="4"/>
  <c r="Y128" i="4"/>
  <c r="AA127" i="4"/>
  <c r="Y127" i="4"/>
  <c r="AA126" i="4"/>
  <c r="Y126" i="4"/>
  <c r="AA125" i="4"/>
  <c r="Y125" i="4"/>
  <c r="AA124" i="4"/>
  <c r="Y124" i="4"/>
  <c r="AA123" i="4"/>
  <c r="Y123" i="4"/>
  <c r="AA122" i="4"/>
  <c r="Y122" i="4"/>
  <c r="AA121" i="4"/>
  <c r="Y121" i="4"/>
  <c r="AA120" i="4"/>
  <c r="Y120" i="4"/>
  <c r="AA119" i="4"/>
  <c r="Y119" i="4"/>
  <c r="AA118" i="4"/>
  <c r="Y118" i="4"/>
  <c r="AA117" i="4"/>
  <c r="Y117" i="4"/>
  <c r="AA116" i="4"/>
  <c r="Y116" i="4"/>
  <c r="AA115" i="4"/>
  <c r="Y115" i="4"/>
  <c r="AA114" i="4"/>
  <c r="Y114" i="4"/>
  <c r="AA113" i="4"/>
  <c r="Y113" i="4"/>
  <c r="AA112" i="4"/>
  <c r="Y112" i="4"/>
  <c r="AA111" i="4"/>
  <c r="Y111" i="4"/>
  <c r="AA110" i="4"/>
  <c r="Y110" i="4"/>
  <c r="AA109" i="4"/>
  <c r="Y109" i="4"/>
  <c r="AA108" i="4"/>
  <c r="Y108" i="4"/>
  <c r="AA107" i="4"/>
  <c r="Y107" i="4"/>
  <c r="AA106" i="4"/>
  <c r="Y106" i="4"/>
  <c r="AA105" i="4"/>
  <c r="Y105" i="4"/>
  <c r="AA104" i="4"/>
  <c r="Y104" i="4"/>
  <c r="AA103" i="4"/>
  <c r="Y103" i="4"/>
  <c r="AA102" i="4"/>
  <c r="Y102" i="4"/>
  <c r="AA101" i="4"/>
  <c r="Y101" i="4"/>
  <c r="AA100" i="4"/>
  <c r="Y100" i="4"/>
  <c r="AA99" i="4"/>
  <c r="Y99" i="4"/>
  <c r="AA98" i="4"/>
  <c r="Y98" i="4"/>
  <c r="AA97" i="4"/>
  <c r="Y97" i="4"/>
  <c r="AA96" i="4"/>
  <c r="Y96" i="4"/>
  <c r="AA95" i="4"/>
  <c r="Y95" i="4"/>
  <c r="AA94" i="4"/>
  <c r="Y94" i="4"/>
  <c r="AA93" i="4"/>
  <c r="Y93" i="4"/>
  <c r="AA92" i="4"/>
  <c r="Y92" i="4"/>
  <c r="AA91" i="4"/>
  <c r="Y91" i="4"/>
  <c r="AA90" i="4"/>
  <c r="Y90" i="4"/>
  <c r="AA89" i="4"/>
  <c r="Y89" i="4"/>
  <c r="AA88" i="4"/>
  <c r="Y88" i="4"/>
  <c r="AA87" i="4"/>
  <c r="Y87" i="4"/>
  <c r="AA86" i="4"/>
  <c r="Y86" i="4"/>
  <c r="AA85" i="4"/>
  <c r="Y85" i="4"/>
  <c r="AA84" i="4"/>
  <c r="Y84" i="4"/>
  <c r="AA83" i="4"/>
  <c r="Y83" i="4"/>
  <c r="AA82" i="4"/>
  <c r="Y82" i="4"/>
  <c r="AA81" i="4"/>
  <c r="Y81" i="4"/>
  <c r="AA80" i="4"/>
  <c r="Y80" i="4"/>
  <c r="AA79" i="4"/>
  <c r="Y79" i="4"/>
  <c r="AA78" i="4"/>
  <c r="Y78" i="4"/>
  <c r="AA77" i="4"/>
  <c r="Y77" i="4"/>
  <c r="AA76" i="4"/>
  <c r="Y76" i="4"/>
  <c r="AA75" i="4"/>
  <c r="Y75" i="4"/>
  <c r="AA74" i="4"/>
  <c r="Y74" i="4"/>
  <c r="AA73" i="4"/>
  <c r="Y73" i="4"/>
  <c r="AA72" i="4"/>
  <c r="Y72" i="4"/>
  <c r="AA71" i="4"/>
  <c r="Y71" i="4"/>
  <c r="AA70" i="4"/>
  <c r="Y70" i="4"/>
  <c r="AA69" i="4"/>
  <c r="Y69" i="4"/>
  <c r="AA68" i="4"/>
  <c r="Y68" i="4"/>
  <c r="AA67" i="4"/>
  <c r="Y67" i="4"/>
  <c r="AA66" i="4"/>
  <c r="Y66" i="4"/>
  <c r="AA65" i="4"/>
  <c r="Y65" i="4"/>
  <c r="AA64" i="4"/>
  <c r="Y64" i="4"/>
  <c r="AA63" i="4"/>
  <c r="Y63" i="4"/>
  <c r="AA62" i="4"/>
  <c r="Y62" i="4"/>
  <c r="AA61" i="4"/>
  <c r="Y61" i="4"/>
  <c r="AA60" i="4"/>
  <c r="Y60" i="4"/>
  <c r="AA59" i="4"/>
  <c r="Y59" i="4"/>
  <c r="AA58" i="4"/>
  <c r="Y58" i="4"/>
  <c r="AA57" i="4"/>
  <c r="Y57" i="4"/>
  <c r="AA56" i="4"/>
  <c r="Y56" i="4"/>
  <c r="AA55" i="4"/>
  <c r="Y55" i="4"/>
  <c r="AA54" i="4"/>
  <c r="Y54" i="4"/>
  <c r="AA53" i="4"/>
  <c r="Y53" i="4"/>
  <c r="AA52" i="4"/>
  <c r="Y52" i="4"/>
  <c r="AA51" i="4"/>
  <c r="Y51" i="4"/>
  <c r="AA50" i="4"/>
  <c r="Y50" i="4"/>
  <c r="AA49" i="4"/>
  <c r="Y49" i="4"/>
  <c r="AA48" i="4"/>
  <c r="Y48" i="4"/>
  <c r="AA47" i="4"/>
  <c r="Y47" i="4"/>
  <c r="AA46" i="4"/>
  <c r="Y46" i="4"/>
  <c r="B46" i="4"/>
  <c r="AA45" i="4"/>
  <c r="Y45" i="4"/>
  <c r="AA44" i="4"/>
  <c r="Y44" i="4"/>
  <c r="AA43" i="4"/>
  <c r="Y43" i="4"/>
  <c r="AA42" i="4"/>
  <c r="Y42" i="4"/>
  <c r="AA41" i="4"/>
  <c r="Y41" i="4"/>
  <c r="AA40" i="4"/>
  <c r="Y40" i="4"/>
  <c r="AA39" i="4"/>
  <c r="Y39" i="4"/>
  <c r="AA38" i="4"/>
  <c r="Y38" i="4"/>
  <c r="AA37" i="4"/>
  <c r="Y37" i="4"/>
  <c r="AA36" i="4"/>
  <c r="Y36" i="4"/>
  <c r="AA35" i="4"/>
  <c r="Y35" i="4"/>
  <c r="AA34" i="4"/>
  <c r="Y34" i="4"/>
  <c r="AA33" i="4"/>
  <c r="Y33" i="4"/>
  <c r="AA32" i="4"/>
  <c r="Y32" i="4"/>
  <c r="AA31" i="4"/>
  <c r="Y31" i="4"/>
  <c r="AA30" i="4"/>
  <c r="Y30" i="4"/>
  <c r="AA29" i="4"/>
  <c r="Y29" i="4"/>
  <c r="AA28" i="4"/>
  <c r="Y28" i="4"/>
  <c r="AA27" i="4"/>
  <c r="Y27" i="4"/>
  <c r="AA26" i="4"/>
  <c r="Y26" i="4"/>
  <c r="AA25" i="4"/>
  <c r="Y25" i="4"/>
  <c r="AA24" i="4"/>
  <c r="Y24" i="4"/>
  <c r="AA23" i="4"/>
  <c r="Y23" i="4"/>
  <c r="AA22" i="4"/>
  <c r="Y22" i="4"/>
  <c r="AA21" i="4"/>
  <c r="Y21" i="4"/>
  <c r="AA20" i="4"/>
  <c r="Y20" i="4"/>
  <c r="AA19" i="4"/>
  <c r="Y19" i="4"/>
  <c r="AA18" i="4"/>
  <c r="Y18" i="4"/>
  <c r="AA17" i="4"/>
  <c r="Y17" i="4"/>
  <c r="AA16" i="4"/>
  <c r="Y16" i="4"/>
  <c r="AA15" i="4"/>
  <c r="Y15" i="4"/>
  <c r="AA14" i="4"/>
  <c r="Y14" i="4"/>
  <c r="AA13" i="4"/>
  <c r="Y13" i="4"/>
  <c r="AA12" i="4"/>
  <c r="Y12" i="4"/>
  <c r="B12" i="4"/>
  <c r="AA11" i="4"/>
  <c r="Y11" i="4"/>
  <c r="R11" i="4"/>
  <c r="AA10" i="4"/>
  <c r="Y10" i="4"/>
  <c r="T10" i="4"/>
  <c r="R10" i="4"/>
  <c r="B10" i="4"/>
  <c r="G2" i="4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R24" i="8" l="1"/>
  <c r="J24" i="8" s="1"/>
  <c r="C15" i="8"/>
  <c r="F15" i="8" s="1"/>
  <c r="C31" i="8"/>
  <c r="F31" i="8" s="1"/>
  <c r="C47" i="8"/>
  <c r="F47" i="8" s="1"/>
  <c r="C55" i="8"/>
  <c r="F55" i="8" s="1"/>
  <c r="C71" i="8"/>
  <c r="F71" i="8" s="1"/>
  <c r="C95" i="8"/>
  <c r="F95" i="8" s="1"/>
  <c r="C103" i="8"/>
  <c r="F103" i="8" s="1"/>
  <c r="C119" i="8"/>
  <c r="F119" i="8" s="1"/>
  <c r="C135" i="8"/>
  <c r="F135" i="8" s="1"/>
  <c r="C159" i="8"/>
  <c r="F159" i="8" s="1"/>
  <c r="W18" i="8"/>
  <c r="C14" i="8"/>
  <c r="F14" i="8" s="1"/>
  <c r="C22" i="8"/>
  <c r="F22" i="8" s="1"/>
  <c r="C30" i="8"/>
  <c r="F30" i="8" s="1"/>
  <c r="C38" i="8"/>
  <c r="F38" i="8" s="1"/>
  <c r="C46" i="8"/>
  <c r="F46" i="8" s="1"/>
  <c r="C54" i="8"/>
  <c r="F54" i="8" s="1"/>
  <c r="C62" i="8"/>
  <c r="F62" i="8" s="1"/>
  <c r="C70" i="8"/>
  <c r="F70" i="8" s="1"/>
  <c r="C78" i="8"/>
  <c r="F78" i="8" s="1"/>
  <c r="C86" i="8"/>
  <c r="F86" i="8" s="1"/>
  <c r="C94" i="8"/>
  <c r="F94" i="8" s="1"/>
  <c r="C102" i="8"/>
  <c r="F102" i="8" s="1"/>
  <c r="C110" i="8"/>
  <c r="F110" i="8" s="1"/>
  <c r="C118" i="8"/>
  <c r="F118" i="8" s="1"/>
  <c r="C126" i="8"/>
  <c r="F126" i="8" s="1"/>
  <c r="C134" i="8"/>
  <c r="F134" i="8" s="1"/>
  <c r="C142" i="8"/>
  <c r="F142" i="8" s="1"/>
  <c r="C150" i="8"/>
  <c r="F150" i="8" s="1"/>
  <c r="C158" i="8"/>
  <c r="F158" i="8" s="1"/>
  <c r="C166" i="8"/>
  <c r="F166" i="8" s="1"/>
  <c r="R20" i="8"/>
  <c r="I20" i="8" s="1"/>
  <c r="W21" i="8"/>
  <c r="W34" i="8"/>
  <c r="C23" i="8"/>
  <c r="F23" i="8" s="1"/>
  <c r="C39" i="8"/>
  <c r="F39" i="8" s="1"/>
  <c r="C63" i="8"/>
  <c r="F63" i="8" s="1"/>
  <c r="C79" i="8"/>
  <c r="F79" i="8" s="1"/>
  <c r="C87" i="8"/>
  <c r="F87" i="8" s="1"/>
  <c r="C111" i="8"/>
  <c r="F111" i="8" s="1"/>
  <c r="C127" i="8"/>
  <c r="F127" i="8" s="1"/>
  <c r="C143" i="8"/>
  <c r="F143" i="8" s="1"/>
  <c r="C167" i="8"/>
  <c r="F167" i="8" s="1"/>
  <c r="R36" i="8"/>
  <c r="J36" i="8" s="1"/>
  <c r="W37" i="8"/>
  <c r="R40" i="8"/>
  <c r="I40" i="8" s="1"/>
  <c r="W50" i="8"/>
  <c r="R107" i="8"/>
  <c r="J107" i="8" s="1"/>
  <c r="C10" i="8"/>
  <c r="F10" i="8" s="1"/>
  <c r="C18" i="8"/>
  <c r="F18" i="8" s="1"/>
  <c r="C26" i="8"/>
  <c r="F26" i="8" s="1"/>
  <c r="C34" i="8"/>
  <c r="F34" i="8" s="1"/>
  <c r="C42" i="8"/>
  <c r="F42" i="8" s="1"/>
  <c r="C50" i="8"/>
  <c r="F50" i="8" s="1"/>
  <c r="C58" i="8"/>
  <c r="F58" i="8" s="1"/>
  <c r="C66" i="8"/>
  <c r="F66" i="8" s="1"/>
  <c r="C74" i="8"/>
  <c r="F74" i="8" s="1"/>
  <c r="C82" i="8"/>
  <c r="F82" i="8" s="1"/>
  <c r="C90" i="8"/>
  <c r="F90" i="8" s="1"/>
  <c r="C98" i="8"/>
  <c r="F98" i="8" s="1"/>
  <c r="C106" i="8"/>
  <c r="F106" i="8" s="1"/>
  <c r="C114" i="8"/>
  <c r="F114" i="8" s="1"/>
  <c r="C122" i="8"/>
  <c r="F122" i="8" s="1"/>
  <c r="C130" i="8"/>
  <c r="F130" i="8" s="1"/>
  <c r="C138" i="8"/>
  <c r="F138" i="8" s="1"/>
  <c r="C146" i="8"/>
  <c r="F146" i="8" s="1"/>
  <c r="C154" i="8"/>
  <c r="F154" i="8" s="1"/>
  <c r="C162" i="8"/>
  <c r="F162" i="8" s="1"/>
  <c r="C170" i="8"/>
  <c r="F170" i="8" s="1"/>
  <c r="C151" i="8"/>
  <c r="F151" i="8" s="1"/>
  <c r="R52" i="8"/>
  <c r="K52" i="8" s="1"/>
  <c r="W53" i="8"/>
  <c r="R56" i="8"/>
  <c r="J56" i="8" s="1"/>
  <c r="R65" i="8"/>
  <c r="K65" i="8" s="1"/>
  <c r="R72" i="8"/>
  <c r="J72" i="8" s="1"/>
  <c r="R81" i="8"/>
  <c r="K81" i="8" s="1"/>
  <c r="R88" i="8"/>
  <c r="J88" i="8" s="1"/>
  <c r="R94" i="8"/>
  <c r="H94" i="8" s="1"/>
  <c r="W114" i="8"/>
  <c r="C11" i="8"/>
  <c r="F11" i="8" s="1"/>
  <c r="C19" i="8"/>
  <c r="F19" i="8" s="1"/>
  <c r="C27" i="8"/>
  <c r="F27" i="8" s="1"/>
  <c r="C35" i="8"/>
  <c r="F35" i="8" s="1"/>
  <c r="C43" i="8"/>
  <c r="F43" i="8" s="1"/>
  <c r="C51" i="8"/>
  <c r="F51" i="8" s="1"/>
  <c r="C59" i="8"/>
  <c r="F59" i="8" s="1"/>
  <c r="C67" i="8"/>
  <c r="F67" i="8" s="1"/>
  <c r="C75" i="8"/>
  <c r="F75" i="8" s="1"/>
  <c r="C83" i="8"/>
  <c r="F83" i="8" s="1"/>
  <c r="C91" i="8"/>
  <c r="F91" i="8" s="1"/>
  <c r="C99" i="8"/>
  <c r="F99" i="8" s="1"/>
  <c r="C107" i="8"/>
  <c r="F107" i="8" s="1"/>
  <c r="C115" i="8"/>
  <c r="F115" i="8" s="1"/>
  <c r="C123" i="8"/>
  <c r="F123" i="8" s="1"/>
  <c r="C131" i="8"/>
  <c r="F131" i="8" s="1"/>
  <c r="C139" i="8"/>
  <c r="F139" i="8" s="1"/>
  <c r="C147" i="8"/>
  <c r="F147" i="8" s="1"/>
  <c r="C155" i="8"/>
  <c r="F155" i="8" s="1"/>
  <c r="C163" i="8"/>
  <c r="F163" i="8" s="1"/>
  <c r="C171" i="8"/>
  <c r="F171" i="8" s="1"/>
  <c r="R12" i="8"/>
  <c r="J12" i="8" s="1"/>
  <c r="W13" i="8"/>
  <c r="R16" i="8"/>
  <c r="H16" i="8" s="1"/>
  <c r="R28" i="8"/>
  <c r="K28" i="8" s="1"/>
  <c r="W29" i="8"/>
  <c r="R32" i="8"/>
  <c r="I32" i="8" s="1"/>
  <c r="R44" i="8"/>
  <c r="J44" i="8" s="1"/>
  <c r="W45" i="8"/>
  <c r="R48" i="8"/>
  <c r="H48" i="8" s="1"/>
  <c r="R57" i="8"/>
  <c r="K57" i="8" s="1"/>
  <c r="R64" i="8"/>
  <c r="J64" i="8" s="1"/>
  <c r="R73" i="8"/>
  <c r="H73" i="8" s="1"/>
  <c r="R80" i="8"/>
  <c r="J80" i="8" s="1"/>
  <c r="R89" i="8"/>
  <c r="H89" i="8" s="1"/>
  <c r="C13" i="8"/>
  <c r="F13" i="8" s="1"/>
  <c r="C17" i="8"/>
  <c r="F17" i="8" s="1"/>
  <c r="C21" i="8"/>
  <c r="F21" i="8" s="1"/>
  <c r="C25" i="8"/>
  <c r="F25" i="8" s="1"/>
  <c r="C29" i="8"/>
  <c r="F29" i="8" s="1"/>
  <c r="C33" i="8"/>
  <c r="F33" i="8" s="1"/>
  <c r="C37" i="8"/>
  <c r="F37" i="8" s="1"/>
  <c r="C41" i="8"/>
  <c r="F41" i="8" s="1"/>
  <c r="C45" i="8"/>
  <c r="F45" i="8" s="1"/>
  <c r="C49" i="8"/>
  <c r="F49" i="8" s="1"/>
  <c r="C53" i="8"/>
  <c r="F53" i="8" s="1"/>
  <c r="C57" i="8"/>
  <c r="F57" i="8" s="1"/>
  <c r="C61" i="8"/>
  <c r="F61" i="8" s="1"/>
  <c r="C65" i="8"/>
  <c r="F65" i="8" s="1"/>
  <c r="C69" i="8"/>
  <c r="F69" i="8" s="1"/>
  <c r="C73" i="8"/>
  <c r="F73" i="8" s="1"/>
  <c r="C77" i="8"/>
  <c r="F77" i="8" s="1"/>
  <c r="C81" i="8"/>
  <c r="F81" i="8" s="1"/>
  <c r="C85" i="8"/>
  <c r="F85" i="8" s="1"/>
  <c r="C89" i="8"/>
  <c r="F89" i="8" s="1"/>
  <c r="C93" i="8"/>
  <c r="F93" i="8" s="1"/>
  <c r="C97" i="8"/>
  <c r="F97" i="8" s="1"/>
  <c r="C101" i="8"/>
  <c r="F101" i="8" s="1"/>
  <c r="C105" i="8"/>
  <c r="F105" i="8" s="1"/>
  <c r="C109" i="8"/>
  <c r="F109" i="8" s="1"/>
  <c r="C113" i="8"/>
  <c r="F113" i="8" s="1"/>
  <c r="C117" i="8"/>
  <c r="F117" i="8" s="1"/>
  <c r="C121" i="8"/>
  <c r="F121" i="8" s="1"/>
  <c r="C125" i="8"/>
  <c r="F125" i="8" s="1"/>
  <c r="C129" i="8"/>
  <c r="F129" i="8" s="1"/>
  <c r="C133" i="8"/>
  <c r="F133" i="8" s="1"/>
  <c r="C137" i="8"/>
  <c r="F137" i="8" s="1"/>
  <c r="C141" i="8"/>
  <c r="F141" i="8" s="1"/>
  <c r="C145" i="8"/>
  <c r="F145" i="8" s="1"/>
  <c r="C149" i="8"/>
  <c r="F149" i="8" s="1"/>
  <c r="C153" i="8"/>
  <c r="F153" i="8" s="1"/>
  <c r="C157" i="8"/>
  <c r="F157" i="8" s="1"/>
  <c r="C161" i="8"/>
  <c r="F161" i="8" s="1"/>
  <c r="C165" i="8"/>
  <c r="F165" i="8" s="1"/>
  <c r="C169" i="8"/>
  <c r="F169" i="8" s="1"/>
  <c r="W10" i="8"/>
  <c r="W26" i="8"/>
  <c r="W42" i="8"/>
  <c r="C12" i="8"/>
  <c r="F12" i="8" s="1"/>
  <c r="C16" i="8"/>
  <c r="F16" i="8" s="1"/>
  <c r="C20" i="8"/>
  <c r="F20" i="8" s="1"/>
  <c r="C24" i="8"/>
  <c r="F24" i="8" s="1"/>
  <c r="C28" i="8"/>
  <c r="F28" i="8" s="1"/>
  <c r="C32" i="8"/>
  <c r="F32" i="8" s="1"/>
  <c r="C36" i="8"/>
  <c r="F36" i="8" s="1"/>
  <c r="C40" i="8"/>
  <c r="F40" i="8" s="1"/>
  <c r="C44" i="8"/>
  <c r="F44" i="8" s="1"/>
  <c r="C48" i="8"/>
  <c r="F48" i="8" s="1"/>
  <c r="C52" i="8"/>
  <c r="F52" i="8" s="1"/>
  <c r="C56" i="8"/>
  <c r="F56" i="8" s="1"/>
  <c r="C60" i="8"/>
  <c r="F60" i="8" s="1"/>
  <c r="C64" i="8"/>
  <c r="F64" i="8" s="1"/>
  <c r="C68" i="8"/>
  <c r="F68" i="8" s="1"/>
  <c r="C72" i="8"/>
  <c r="F72" i="8" s="1"/>
  <c r="C76" i="8"/>
  <c r="F76" i="8" s="1"/>
  <c r="C80" i="8"/>
  <c r="F80" i="8" s="1"/>
  <c r="C84" i="8"/>
  <c r="F84" i="8" s="1"/>
  <c r="C88" i="8"/>
  <c r="F88" i="8" s="1"/>
  <c r="C92" i="8"/>
  <c r="F92" i="8" s="1"/>
  <c r="C96" i="8"/>
  <c r="F96" i="8" s="1"/>
  <c r="C100" i="8"/>
  <c r="F100" i="8" s="1"/>
  <c r="C104" i="8"/>
  <c r="F104" i="8" s="1"/>
  <c r="C108" i="8"/>
  <c r="F108" i="8" s="1"/>
  <c r="C112" i="8"/>
  <c r="F112" i="8" s="1"/>
  <c r="C116" i="8"/>
  <c r="F116" i="8" s="1"/>
  <c r="C120" i="8"/>
  <c r="F120" i="8" s="1"/>
  <c r="C124" i="8"/>
  <c r="F124" i="8" s="1"/>
  <c r="C128" i="8"/>
  <c r="F128" i="8" s="1"/>
  <c r="C132" i="8"/>
  <c r="F132" i="8" s="1"/>
  <c r="C136" i="8"/>
  <c r="F136" i="8" s="1"/>
  <c r="C140" i="8"/>
  <c r="F140" i="8" s="1"/>
  <c r="C144" i="8"/>
  <c r="F144" i="8" s="1"/>
  <c r="C148" i="8"/>
  <c r="F148" i="8" s="1"/>
  <c r="C152" i="8"/>
  <c r="F152" i="8" s="1"/>
  <c r="C156" i="8"/>
  <c r="F156" i="8" s="1"/>
  <c r="C160" i="8"/>
  <c r="F160" i="8" s="1"/>
  <c r="C164" i="8"/>
  <c r="F164" i="8" s="1"/>
  <c r="R55" i="8"/>
  <c r="P11" i="8"/>
  <c r="R11" i="8" s="1"/>
  <c r="Q11" i="8"/>
  <c r="P35" i="8"/>
  <c r="R35" i="8" s="1"/>
  <c r="Q35" i="8"/>
  <c r="P51" i="8"/>
  <c r="R51" i="8" s="1"/>
  <c r="Q51" i="8"/>
  <c r="Q74" i="8"/>
  <c r="P74" i="8"/>
  <c r="W171" i="8"/>
  <c r="W168" i="8"/>
  <c r="W166" i="8"/>
  <c r="W164" i="8"/>
  <c r="W162" i="8"/>
  <c r="W160" i="8"/>
  <c r="W158" i="8"/>
  <c r="W155" i="8"/>
  <c r="W151" i="8"/>
  <c r="W147" i="8"/>
  <c r="W165" i="8"/>
  <c r="W157" i="8"/>
  <c r="W152" i="8"/>
  <c r="W150" i="8"/>
  <c r="W146" i="8"/>
  <c r="W142" i="8"/>
  <c r="W138" i="8"/>
  <c r="W134" i="8"/>
  <c r="W130" i="8"/>
  <c r="W126" i="8"/>
  <c r="W122" i="8"/>
  <c r="W118" i="8"/>
  <c r="W117" i="8"/>
  <c r="R165" i="8"/>
  <c r="W161" i="8"/>
  <c r="W169" i="8"/>
  <c r="W159" i="8"/>
  <c r="W156" i="8"/>
  <c r="W154" i="8"/>
  <c r="W149" i="8"/>
  <c r="W145" i="8"/>
  <c r="W136" i="8"/>
  <c r="W131" i="8"/>
  <c r="W167" i="8"/>
  <c r="R156" i="8"/>
  <c r="R152" i="8"/>
  <c r="W139" i="8"/>
  <c r="W137" i="8"/>
  <c r="W129" i="8"/>
  <c r="W120" i="8"/>
  <c r="W112" i="8"/>
  <c r="W108" i="8"/>
  <c r="W170" i="8"/>
  <c r="W144" i="8"/>
  <c r="W127" i="8"/>
  <c r="W125" i="8"/>
  <c r="W115" i="8"/>
  <c r="W113" i="8"/>
  <c r="W109" i="8"/>
  <c r="W105" i="8"/>
  <c r="W101" i="8"/>
  <c r="W97" i="8"/>
  <c r="W93" i="8"/>
  <c r="R159" i="8"/>
  <c r="R155" i="8"/>
  <c r="R138" i="8"/>
  <c r="R117" i="8"/>
  <c r="W107" i="8"/>
  <c r="W102" i="8"/>
  <c r="W100" i="8"/>
  <c r="R171" i="8"/>
  <c r="W148" i="8"/>
  <c r="W128" i="8"/>
  <c r="W124" i="8"/>
  <c r="W123" i="8"/>
  <c r="W121" i="8"/>
  <c r="W116" i="8"/>
  <c r="W110" i="8"/>
  <c r="W106" i="8"/>
  <c r="W104" i="8"/>
  <c r="W163" i="8"/>
  <c r="W153" i="8"/>
  <c r="W135" i="8"/>
  <c r="W133" i="8"/>
  <c r="R127" i="8"/>
  <c r="R113" i="8"/>
  <c r="W103" i="8"/>
  <c r="W91" i="8"/>
  <c r="W87" i="8"/>
  <c r="W83" i="8"/>
  <c r="W79" i="8"/>
  <c r="W75" i="8"/>
  <c r="W71" i="8"/>
  <c r="W67" i="8"/>
  <c r="W63" i="8"/>
  <c r="W59" i="8"/>
  <c r="W55" i="8"/>
  <c r="W51" i="8"/>
  <c r="W47" i="8"/>
  <c r="W43" i="8"/>
  <c r="W39" i="8"/>
  <c r="W35" i="8"/>
  <c r="W31" i="8"/>
  <c r="W27" i="8"/>
  <c r="W23" i="8"/>
  <c r="W19" i="8"/>
  <c r="W15" i="8"/>
  <c r="W11" i="8"/>
  <c r="W143" i="8"/>
  <c r="R102" i="8"/>
  <c r="W99" i="8"/>
  <c r="R98" i="8"/>
  <c r="W95" i="8"/>
  <c r="W90" i="8"/>
  <c r="W86" i="8"/>
  <c r="W82" i="8"/>
  <c r="W78" i="8"/>
  <c r="W74" i="8"/>
  <c r="W70" i="8"/>
  <c r="W66" i="8"/>
  <c r="W62" i="8"/>
  <c r="W58" i="8"/>
  <c r="W141" i="8"/>
  <c r="W132" i="8"/>
  <c r="R131" i="8"/>
  <c r="R118" i="8"/>
  <c r="W111" i="8"/>
  <c r="W98" i="8"/>
  <c r="W96" i="8"/>
  <c r="W88" i="8"/>
  <c r="W84" i="8"/>
  <c r="W80" i="8"/>
  <c r="W76" i="8"/>
  <c r="W72" i="8"/>
  <c r="W68" i="8"/>
  <c r="W64" i="8"/>
  <c r="W60" i="8"/>
  <c r="W56" i="8"/>
  <c r="W52" i="8"/>
  <c r="W48" i="8"/>
  <c r="W44" i="8"/>
  <c r="W40" i="8"/>
  <c r="W36" i="8"/>
  <c r="W32" i="8"/>
  <c r="W28" i="8"/>
  <c r="W24" i="8"/>
  <c r="W20" i="8"/>
  <c r="W16" i="8"/>
  <c r="W12" i="8"/>
  <c r="Q14" i="8"/>
  <c r="R14" i="8" s="1"/>
  <c r="R17" i="8"/>
  <c r="Q22" i="8"/>
  <c r="R25" i="8"/>
  <c r="Q30" i="8"/>
  <c r="R30" i="8" s="1"/>
  <c r="R33" i="8"/>
  <c r="Q38" i="8"/>
  <c r="R41" i="8"/>
  <c r="Q46" i="8"/>
  <c r="R49" i="8"/>
  <c r="Q54" i="8"/>
  <c r="R54" i="8" s="1"/>
  <c r="W57" i="8"/>
  <c r="W65" i="8"/>
  <c r="W73" i="8"/>
  <c r="W81" i="8"/>
  <c r="W89" i="8"/>
  <c r="W92" i="8"/>
  <c r="W94" i="8"/>
  <c r="R96" i="8"/>
  <c r="P112" i="8"/>
  <c r="Q112" i="8"/>
  <c r="W119" i="8"/>
  <c r="W140" i="8"/>
  <c r="P19" i="8"/>
  <c r="R19" i="8" s="1"/>
  <c r="Q19" i="8"/>
  <c r="P27" i="8"/>
  <c r="R27" i="8" s="1"/>
  <c r="Q27" i="8"/>
  <c r="R38" i="8"/>
  <c r="Q58" i="8"/>
  <c r="P58" i="8"/>
  <c r="R58" i="8" s="1"/>
  <c r="Q82" i="8"/>
  <c r="P82" i="8"/>
  <c r="Q90" i="8"/>
  <c r="P90" i="8"/>
  <c r="R90" i="8" s="1"/>
  <c r="P124" i="8"/>
  <c r="R124" i="8" s="1"/>
  <c r="Q124" i="8"/>
  <c r="Q10" i="8"/>
  <c r="R13" i="8"/>
  <c r="Q18" i="8"/>
  <c r="R21" i="8"/>
  <c r="Q26" i="8"/>
  <c r="R29" i="8"/>
  <c r="Q34" i="8"/>
  <c r="R37" i="8"/>
  <c r="Q42" i="8"/>
  <c r="R45" i="8"/>
  <c r="Q50" i="8"/>
  <c r="R53" i="8"/>
  <c r="W61" i="8"/>
  <c r="W69" i="8"/>
  <c r="W77" i="8"/>
  <c r="W85" i="8"/>
  <c r="Q92" i="8"/>
  <c r="P92" i="8"/>
  <c r="Q108" i="8"/>
  <c r="P108" i="8"/>
  <c r="R22" i="8"/>
  <c r="P43" i="8"/>
  <c r="Q43" i="8"/>
  <c r="R46" i="8"/>
  <c r="Q66" i="8"/>
  <c r="P66" i="8"/>
  <c r="P10" i="8"/>
  <c r="R10" i="8" s="1"/>
  <c r="W14" i="8"/>
  <c r="P15" i="8"/>
  <c r="Q15" i="8"/>
  <c r="W17" i="8"/>
  <c r="P18" i="8"/>
  <c r="W22" i="8"/>
  <c r="P23" i="8"/>
  <c r="R23" i="8" s="1"/>
  <c r="Q23" i="8"/>
  <c r="W25" i="8"/>
  <c r="P26" i="8"/>
  <c r="W30" i="8"/>
  <c r="P31" i="8"/>
  <c r="Q31" i="8"/>
  <c r="W33" i="8"/>
  <c r="P34" i="8"/>
  <c r="W38" i="8"/>
  <c r="P39" i="8"/>
  <c r="R39" i="8" s="1"/>
  <c r="Q39" i="8"/>
  <c r="W41" i="8"/>
  <c r="P42" i="8"/>
  <c r="R42" i="8" s="1"/>
  <c r="W46" i="8"/>
  <c r="P47" i="8"/>
  <c r="Q47" i="8"/>
  <c r="W49" i="8"/>
  <c r="P50" i="8"/>
  <c r="W54" i="8"/>
  <c r="R60" i="8"/>
  <c r="R61" i="8"/>
  <c r="Q62" i="8"/>
  <c r="P62" i="8"/>
  <c r="R68" i="8"/>
  <c r="R69" i="8"/>
  <c r="Q70" i="8"/>
  <c r="P70" i="8"/>
  <c r="R76" i="8"/>
  <c r="R77" i="8"/>
  <c r="Q78" i="8"/>
  <c r="P78" i="8"/>
  <c r="R84" i="8"/>
  <c r="R85" i="8"/>
  <c r="Q86" i="8"/>
  <c r="P86" i="8"/>
  <c r="R100" i="8"/>
  <c r="R106" i="8"/>
  <c r="Q116" i="8"/>
  <c r="P116" i="8"/>
  <c r="Q55" i="8"/>
  <c r="Q59" i="8"/>
  <c r="R59" i="8" s="1"/>
  <c r="Q63" i="8"/>
  <c r="R63" i="8" s="1"/>
  <c r="Q67" i="8"/>
  <c r="R67" i="8" s="1"/>
  <c r="Q71" i="8"/>
  <c r="R71" i="8" s="1"/>
  <c r="Q75" i="8"/>
  <c r="R75" i="8" s="1"/>
  <c r="Q79" i="8"/>
  <c r="R79" i="8" s="1"/>
  <c r="Q83" i="8"/>
  <c r="R83" i="8" s="1"/>
  <c r="Q87" i="8"/>
  <c r="R87" i="8" s="1"/>
  <c r="Q91" i="8"/>
  <c r="R91" i="8" s="1"/>
  <c r="Q93" i="8"/>
  <c r="R93" i="8" s="1"/>
  <c r="P97" i="8"/>
  <c r="R97" i="8" s="1"/>
  <c r="Q97" i="8"/>
  <c r="Q103" i="8"/>
  <c r="R103" i="8" s="1"/>
  <c r="R125" i="8"/>
  <c r="P130" i="8"/>
  <c r="R130" i="8" s="1"/>
  <c r="Q130" i="8"/>
  <c r="R135" i="8"/>
  <c r="R101" i="8"/>
  <c r="Q111" i="8"/>
  <c r="P111" i="8"/>
  <c r="R114" i="8"/>
  <c r="R119" i="8"/>
  <c r="R157" i="8"/>
  <c r="Q170" i="8"/>
  <c r="P170" i="8"/>
  <c r="P95" i="8"/>
  <c r="R95" i="8" s="1"/>
  <c r="Q99" i="8"/>
  <c r="R99" i="8" s="1"/>
  <c r="Q101" i="8"/>
  <c r="Q105" i="8"/>
  <c r="R105" i="8" s="1"/>
  <c r="R109" i="8"/>
  <c r="R115" i="8"/>
  <c r="P134" i="8"/>
  <c r="Q134" i="8"/>
  <c r="D118" i="8"/>
  <c r="P126" i="8"/>
  <c r="R126" i="8" s="1"/>
  <c r="Q126" i="8"/>
  <c r="P132" i="8"/>
  <c r="R132" i="8" s="1"/>
  <c r="Q132" i="8"/>
  <c r="Q133" i="8"/>
  <c r="P133" i="8"/>
  <c r="R136" i="8"/>
  <c r="R143" i="8"/>
  <c r="Q144" i="8"/>
  <c r="R145" i="8"/>
  <c r="P104" i="8"/>
  <c r="R104" i="8" s="1"/>
  <c r="R110" i="8"/>
  <c r="R120" i="8"/>
  <c r="Q121" i="8"/>
  <c r="R121" i="8" s="1"/>
  <c r="R123" i="8"/>
  <c r="Q128" i="8"/>
  <c r="R128" i="8" s="1"/>
  <c r="Q141" i="8"/>
  <c r="P141" i="8"/>
  <c r="P142" i="8"/>
  <c r="R142" i="8" s="1"/>
  <c r="Q142" i="8"/>
  <c r="P144" i="8"/>
  <c r="P147" i="8"/>
  <c r="R147" i="8" s="1"/>
  <c r="Q147" i="8"/>
  <c r="R150" i="8"/>
  <c r="P153" i="8"/>
  <c r="R153" i="8" s="1"/>
  <c r="Q153" i="8"/>
  <c r="R162" i="8"/>
  <c r="Q122" i="8"/>
  <c r="R122" i="8" s="1"/>
  <c r="P129" i="8"/>
  <c r="R129" i="8" s="1"/>
  <c r="Q137" i="8"/>
  <c r="R137" i="8" s="1"/>
  <c r="R139" i="8"/>
  <c r="R146" i="8"/>
  <c r="Q149" i="8"/>
  <c r="R149" i="8" s="1"/>
  <c r="Q154" i="8"/>
  <c r="P154" i="8"/>
  <c r="R167" i="8"/>
  <c r="Q168" i="8"/>
  <c r="P168" i="8"/>
  <c r="R168" i="8" s="1"/>
  <c r="R169" i="8"/>
  <c r="P140" i="8"/>
  <c r="R140" i="8" s="1"/>
  <c r="R148" i="8"/>
  <c r="R163" i="8"/>
  <c r="Q164" i="8"/>
  <c r="R164" i="8" s="1"/>
  <c r="R166" i="8"/>
  <c r="R151" i="8"/>
  <c r="Q160" i="8"/>
  <c r="P160" i="8"/>
  <c r="R160" i="8" s="1"/>
  <c r="R161" i="8"/>
  <c r="Q166" i="8"/>
  <c r="Q158" i="8"/>
  <c r="R158" i="8" s="1"/>
  <c r="F168" i="8"/>
  <c r="N19" i="6"/>
  <c r="AA19" i="6" s="1"/>
  <c r="N32" i="6"/>
  <c r="N48" i="6"/>
  <c r="AA48" i="6" s="1"/>
  <c r="M67" i="6"/>
  <c r="B67" i="6" s="1"/>
  <c r="N21" i="6"/>
  <c r="H21" i="6" s="1"/>
  <c r="I21" i="6" s="1"/>
  <c r="N24" i="6"/>
  <c r="M27" i="6"/>
  <c r="N40" i="6"/>
  <c r="C40" i="6" s="1"/>
  <c r="M43" i="6"/>
  <c r="B43" i="6" s="1"/>
  <c r="N56" i="6"/>
  <c r="M59" i="6"/>
  <c r="B59" i="6" s="1"/>
  <c r="N72" i="6"/>
  <c r="C72" i="6" s="1"/>
  <c r="M75" i="6"/>
  <c r="B75" i="6" s="1"/>
  <c r="N88" i="6"/>
  <c r="M91" i="6"/>
  <c r="N104" i="6"/>
  <c r="M107" i="6"/>
  <c r="N120" i="6"/>
  <c r="T120" i="6" s="1"/>
  <c r="M123" i="6"/>
  <c r="U123" i="6" s="1"/>
  <c r="N144" i="6"/>
  <c r="T144" i="6" s="1"/>
  <c r="N16" i="6"/>
  <c r="T16" i="6" s="1"/>
  <c r="N152" i="6"/>
  <c r="N11" i="6"/>
  <c r="T11" i="6" s="1"/>
  <c r="M35" i="6"/>
  <c r="M51" i="6"/>
  <c r="B51" i="6" s="1"/>
  <c r="N64" i="6"/>
  <c r="N80" i="6"/>
  <c r="T80" i="6" s="1"/>
  <c r="M83" i="6"/>
  <c r="B83" i="6" s="1"/>
  <c r="N96" i="6"/>
  <c r="C96" i="6" s="1"/>
  <c r="M99" i="6"/>
  <c r="N112" i="6"/>
  <c r="T112" i="6" s="1"/>
  <c r="M115" i="6"/>
  <c r="U115" i="6" s="1"/>
  <c r="N128" i="6"/>
  <c r="N156" i="6"/>
  <c r="AA156" i="6" s="1"/>
  <c r="M15" i="6"/>
  <c r="L15" i="6" s="1"/>
  <c r="N136" i="6"/>
  <c r="T136" i="6" s="1"/>
  <c r="N168" i="6"/>
  <c r="AA168" i="6" s="1"/>
  <c r="M16" i="6"/>
  <c r="B16" i="6" s="1"/>
  <c r="M18" i="6"/>
  <c r="M23" i="6"/>
  <c r="N28" i="6"/>
  <c r="AA28" i="6" s="1"/>
  <c r="M31" i="6"/>
  <c r="B31" i="6" s="1"/>
  <c r="N36" i="6"/>
  <c r="C36" i="6" s="1"/>
  <c r="M39" i="6"/>
  <c r="B39" i="6" s="1"/>
  <c r="N44" i="6"/>
  <c r="M47" i="6"/>
  <c r="N52" i="6"/>
  <c r="M55" i="6"/>
  <c r="N60" i="6"/>
  <c r="M63" i="6"/>
  <c r="B63" i="6" s="1"/>
  <c r="N68" i="6"/>
  <c r="AA68" i="6" s="1"/>
  <c r="M71" i="6"/>
  <c r="N76" i="6"/>
  <c r="M79" i="6"/>
  <c r="U79" i="6" s="1"/>
  <c r="N84" i="6"/>
  <c r="AA84" i="6" s="1"/>
  <c r="M87" i="6"/>
  <c r="B87" i="6" s="1"/>
  <c r="N92" i="6"/>
  <c r="C92" i="6" s="1"/>
  <c r="M95" i="6"/>
  <c r="N100" i="6"/>
  <c r="AA100" i="6" s="1"/>
  <c r="M103" i="6"/>
  <c r="B103" i="6" s="1"/>
  <c r="N108" i="6"/>
  <c r="AA108" i="6" s="1"/>
  <c r="M111" i="6"/>
  <c r="N116" i="6"/>
  <c r="T116" i="6" s="1"/>
  <c r="M119" i="6"/>
  <c r="N124" i="6"/>
  <c r="AA124" i="6" s="1"/>
  <c r="M127" i="6"/>
  <c r="B127" i="6" s="1"/>
  <c r="N140" i="6"/>
  <c r="N170" i="6"/>
  <c r="M169" i="6"/>
  <c r="N166" i="6"/>
  <c r="AA166" i="6" s="1"/>
  <c r="M165" i="6"/>
  <c r="N162" i="6"/>
  <c r="AA162" i="6" s="1"/>
  <c r="M161" i="6"/>
  <c r="L161" i="6" s="1"/>
  <c r="N158" i="6"/>
  <c r="M157" i="6"/>
  <c r="N154" i="6"/>
  <c r="T154" i="6" s="1"/>
  <c r="M153" i="6"/>
  <c r="N150" i="6"/>
  <c r="T150" i="6" s="1"/>
  <c r="M149" i="6"/>
  <c r="N146" i="6"/>
  <c r="M145" i="6"/>
  <c r="L145" i="6" s="1"/>
  <c r="N142" i="6"/>
  <c r="M141" i="6"/>
  <c r="B141" i="6" s="1"/>
  <c r="N138" i="6"/>
  <c r="M137" i="6"/>
  <c r="U137" i="6" s="1"/>
  <c r="N134" i="6"/>
  <c r="C134" i="6" s="1"/>
  <c r="M133" i="6"/>
  <c r="N130" i="6"/>
  <c r="M129" i="6"/>
  <c r="L129" i="6" s="1"/>
  <c r="N126" i="6"/>
  <c r="M125" i="6"/>
  <c r="B125" i="6" s="1"/>
  <c r="N122" i="6"/>
  <c r="T122" i="6" s="1"/>
  <c r="M121" i="6"/>
  <c r="L121" i="6" s="1"/>
  <c r="N118" i="6"/>
  <c r="M117" i="6"/>
  <c r="N114" i="6"/>
  <c r="AA114" i="6" s="1"/>
  <c r="M113" i="6"/>
  <c r="U113" i="6" s="1"/>
  <c r="N110" i="6"/>
  <c r="T110" i="6" s="1"/>
  <c r="M109" i="6"/>
  <c r="N106" i="6"/>
  <c r="T106" i="6" s="1"/>
  <c r="M105" i="6"/>
  <c r="B105" i="6" s="1"/>
  <c r="N102" i="6"/>
  <c r="M101" i="6"/>
  <c r="U101" i="6" s="1"/>
  <c r="N98" i="6"/>
  <c r="C98" i="6" s="1"/>
  <c r="M97" i="6"/>
  <c r="L97" i="6" s="1"/>
  <c r="N94" i="6"/>
  <c r="M93" i="6"/>
  <c r="B93" i="6" s="1"/>
  <c r="N90" i="6"/>
  <c r="C90" i="6" s="1"/>
  <c r="M89" i="6"/>
  <c r="N86" i="6"/>
  <c r="AA86" i="6" s="1"/>
  <c r="M85" i="6"/>
  <c r="N82" i="6"/>
  <c r="M81" i="6"/>
  <c r="L81" i="6" s="1"/>
  <c r="N78" i="6"/>
  <c r="M77" i="6"/>
  <c r="N74" i="6"/>
  <c r="M73" i="6"/>
  <c r="N70" i="6"/>
  <c r="M69" i="6"/>
  <c r="N66" i="6"/>
  <c r="M65" i="6"/>
  <c r="B65" i="6" s="1"/>
  <c r="N62" i="6"/>
  <c r="M61" i="6"/>
  <c r="N58" i="6"/>
  <c r="T58" i="6" s="1"/>
  <c r="M57" i="6"/>
  <c r="L57" i="6" s="1"/>
  <c r="N54" i="6"/>
  <c r="M53" i="6"/>
  <c r="U53" i="6" s="1"/>
  <c r="N50" i="6"/>
  <c r="C50" i="6" s="1"/>
  <c r="M49" i="6"/>
  <c r="N46" i="6"/>
  <c r="C46" i="6" s="1"/>
  <c r="M45" i="6"/>
  <c r="B45" i="6" s="1"/>
  <c r="N42" i="6"/>
  <c r="AA42" i="6" s="1"/>
  <c r="M41" i="6"/>
  <c r="L41" i="6" s="1"/>
  <c r="N38" i="6"/>
  <c r="AA38" i="6" s="1"/>
  <c r="M37" i="6"/>
  <c r="U37" i="6" s="1"/>
  <c r="N34" i="6"/>
  <c r="T34" i="6" s="1"/>
  <c r="M33" i="6"/>
  <c r="N30" i="6"/>
  <c r="M29" i="6"/>
  <c r="N26" i="6"/>
  <c r="T26" i="6" s="1"/>
  <c r="M25" i="6"/>
  <c r="L25" i="6" s="1"/>
  <c r="N22" i="6"/>
  <c r="M21" i="6"/>
  <c r="N18" i="6"/>
  <c r="M17" i="6"/>
  <c r="L17" i="6" s="1"/>
  <c r="N14" i="6"/>
  <c r="M13" i="6"/>
  <c r="N10" i="6"/>
  <c r="AA10" i="6" s="1"/>
  <c r="N169" i="6"/>
  <c r="T169" i="6" s="1"/>
  <c r="M168" i="6"/>
  <c r="N165" i="6"/>
  <c r="C165" i="6" s="1"/>
  <c r="M164" i="6"/>
  <c r="N161" i="6"/>
  <c r="M160" i="6"/>
  <c r="N157" i="6"/>
  <c r="C157" i="6" s="1"/>
  <c r="M156" i="6"/>
  <c r="N153" i="6"/>
  <c r="M152" i="6"/>
  <c r="H152" i="6" s="1"/>
  <c r="N149" i="6"/>
  <c r="C149" i="6" s="1"/>
  <c r="M148" i="6"/>
  <c r="B148" i="6" s="1"/>
  <c r="N145" i="6"/>
  <c r="M144" i="6"/>
  <c r="H144" i="6" s="1"/>
  <c r="N141" i="6"/>
  <c r="AA141" i="6" s="1"/>
  <c r="M140" i="6"/>
  <c r="N137" i="6"/>
  <c r="M136" i="6"/>
  <c r="U136" i="6" s="1"/>
  <c r="N133" i="6"/>
  <c r="T133" i="6" s="1"/>
  <c r="M132" i="6"/>
  <c r="U132" i="6" s="1"/>
  <c r="N129" i="6"/>
  <c r="AA129" i="6" s="1"/>
  <c r="M128" i="6"/>
  <c r="L128" i="6" s="1"/>
  <c r="N125" i="6"/>
  <c r="M124" i="6"/>
  <c r="N121" i="6"/>
  <c r="C121" i="6" s="1"/>
  <c r="M120" i="6"/>
  <c r="N117" i="6"/>
  <c r="T117" i="6" s="1"/>
  <c r="M116" i="6"/>
  <c r="N113" i="6"/>
  <c r="M112" i="6"/>
  <c r="N109" i="6"/>
  <c r="C109" i="6" s="1"/>
  <c r="M108" i="6"/>
  <c r="N105" i="6"/>
  <c r="M104" i="6"/>
  <c r="N101" i="6"/>
  <c r="C101" i="6" s="1"/>
  <c r="M100" i="6"/>
  <c r="B100" i="6" s="1"/>
  <c r="N97" i="6"/>
  <c r="T97" i="6" s="1"/>
  <c r="M96" i="6"/>
  <c r="N93" i="6"/>
  <c r="M92" i="6"/>
  <c r="N89" i="6"/>
  <c r="T89" i="6" s="1"/>
  <c r="M88" i="6"/>
  <c r="N85" i="6"/>
  <c r="AA85" i="6" s="1"/>
  <c r="M84" i="6"/>
  <c r="N81" i="6"/>
  <c r="T81" i="6" s="1"/>
  <c r="M80" i="6"/>
  <c r="U80" i="6" s="1"/>
  <c r="N77" i="6"/>
  <c r="T77" i="6" s="1"/>
  <c r="M76" i="6"/>
  <c r="N73" i="6"/>
  <c r="AA73" i="6" s="1"/>
  <c r="M72" i="6"/>
  <c r="N69" i="6"/>
  <c r="M68" i="6"/>
  <c r="B68" i="6" s="1"/>
  <c r="N65" i="6"/>
  <c r="M64" i="6"/>
  <c r="N61" i="6"/>
  <c r="T61" i="6" s="1"/>
  <c r="M60" i="6"/>
  <c r="N57" i="6"/>
  <c r="C57" i="6" s="1"/>
  <c r="M56" i="6"/>
  <c r="N53" i="6"/>
  <c r="T53" i="6" s="1"/>
  <c r="M52" i="6"/>
  <c r="U52" i="6" s="1"/>
  <c r="N49" i="6"/>
  <c r="T49" i="6" s="1"/>
  <c r="M48" i="6"/>
  <c r="H48" i="6" s="1"/>
  <c r="N45" i="6"/>
  <c r="M44" i="6"/>
  <c r="B44" i="6" s="1"/>
  <c r="N41" i="6"/>
  <c r="M40" i="6"/>
  <c r="N37" i="6"/>
  <c r="C37" i="6" s="1"/>
  <c r="M36" i="6"/>
  <c r="N33" i="6"/>
  <c r="M32" i="6"/>
  <c r="L32" i="6" s="1"/>
  <c r="N29" i="6"/>
  <c r="M28" i="6"/>
  <c r="N25" i="6"/>
  <c r="T25" i="6" s="1"/>
  <c r="M24" i="6"/>
  <c r="H24" i="6" s="1"/>
  <c r="M170" i="6"/>
  <c r="B170" i="6" s="1"/>
  <c r="M166" i="6"/>
  <c r="M162" i="6"/>
  <c r="H162" i="6" s="1"/>
  <c r="M158" i="6"/>
  <c r="U158" i="6" s="1"/>
  <c r="M154" i="6"/>
  <c r="B154" i="6" s="1"/>
  <c r="M150" i="6"/>
  <c r="B150" i="6" s="1"/>
  <c r="M146" i="6"/>
  <c r="L146" i="6" s="1"/>
  <c r="M142" i="6"/>
  <c r="M138" i="6"/>
  <c r="M134" i="6"/>
  <c r="B134" i="6" s="1"/>
  <c r="M130" i="6"/>
  <c r="M126" i="6"/>
  <c r="M122" i="6"/>
  <c r="B122" i="6" s="1"/>
  <c r="M118" i="6"/>
  <c r="M114" i="6"/>
  <c r="L114" i="6" s="1"/>
  <c r="M110" i="6"/>
  <c r="M106" i="6"/>
  <c r="M102" i="6"/>
  <c r="M98" i="6"/>
  <c r="U98" i="6" s="1"/>
  <c r="M94" i="6"/>
  <c r="H94" i="6" s="1"/>
  <c r="M90" i="6"/>
  <c r="B90" i="6" s="1"/>
  <c r="M86" i="6"/>
  <c r="M82" i="6"/>
  <c r="B82" i="6" s="1"/>
  <c r="M78" i="6"/>
  <c r="U78" i="6" s="1"/>
  <c r="M74" i="6"/>
  <c r="M70" i="6"/>
  <c r="M66" i="6"/>
  <c r="M62" i="6"/>
  <c r="M58" i="6"/>
  <c r="L58" i="6" s="1"/>
  <c r="M54" i="6"/>
  <c r="L54" i="6" s="1"/>
  <c r="M50" i="6"/>
  <c r="M46" i="6"/>
  <c r="M42" i="6"/>
  <c r="M38" i="6"/>
  <c r="M34" i="6"/>
  <c r="M30" i="6"/>
  <c r="L30" i="6" s="1"/>
  <c r="M26" i="6"/>
  <c r="M22" i="6"/>
  <c r="N20" i="6"/>
  <c r="C20" i="6" s="1"/>
  <c r="M19" i="6"/>
  <c r="N17" i="6"/>
  <c r="M14" i="6"/>
  <c r="B14" i="6" s="1"/>
  <c r="N12" i="6"/>
  <c r="M11" i="6"/>
  <c r="M171" i="6"/>
  <c r="U171" i="6" s="1"/>
  <c r="M167" i="6"/>
  <c r="U167" i="6" s="1"/>
  <c r="M163" i="6"/>
  <c r="M155" i="6"/>
  <c r="L155" i="6" s="1"/>
  <c r="M151" i="6"/>
  <c r="L151" i="6" s="1"/>
  <c r="N171" i="6"/>
  <c r="T171" i="6" s="1"/>
  <c r="N167" i="6"/>
  <c r="AA167" i="6" s="1"/>
  <c r="N163" i="6"/>
  <c r="N159" i="6"/>
  <c r="AA159" i="6" s="1"/>
  <c r="N155" i="6"/>
  <c r="T155" i="6" s="1"/>
  <c r="N151" i="6"/>
  <c r="AA151" i="6" s="1"/>
  <c r="N147" i="6"/>
  <c r="N143" i="6"/>
  <c r="C143" i="6" s="1"/>
  <c r="N139" i="6"/>
  <c r="AA139" i="6" s="1"/>
  <c r="N135" i="6"/>
  <c r="AA135" i="6" s="1"/>
  <c r="N131" i="6"/>
  <c r="N127" i="6"/>
  <c r="N123" i="6"/>
  <c r="T123" i="6" s="1"/>
  <c r="N119" i="6"/>
  <c r="AA119" i="6" s="1"/>
  <c r="N115" i="6"/>
  <c r="AA115" i="6" s="1"/>
  <c r="N111" i="6"/>
  <c r="AA111" i="6" s="1"/>
  <c r="N107" i="6"/>
  <c r="N103" i="6"/>
  <c r="AA103" i="6" s="1"/>
  <c r="N99" i="6"/>
  <c r="N95" i="6"/>
  <c r="N91" i="6"/>
  <c r="AA91" i="6" s="1"/>
  <c r="N87" i="6"/>
  <c r="T87" i="6" s="1"/>
  <c r="N83" i="6"/>
  <c r="N79" i="6"/>
  <c r="AA79" i="6" s="1"/>
  <c r="N75" i="6"/>
  <c r="T75" i="6" s="1"/>
  <c r="N71" i="6"/>
  <c r="AA71" i="6" s="1"/>
  <c r="N67" i="6"/>
  <c r="N63" i="6"/>
  <c r="N59" i="6"/>
  <c r="T59" i="6" s="1"/>
  <c r="N55" i="6"/>
  <c r="AA55" i="6" s="1"/>
  <c r="N51" i="6"/>
  <c r="AA51" i="6" s="1"/>
  <c r="N47" i="6"/>
  <c r="N43" i="6"/>
  <c r="AA43" i="6" s="1"/>
  <c r="N39" i="6"/>
  <c r="AA39" i="6" s="1"/>
  <c r="N35" i="6"/>
  <c r="N31" i="6"/>
  <c r="N27" i="6"/>
  <c r="N23" i="6"/>
  <c r="M20" i="6"/>
  <c r="N15" i="6"/>
  <c r="M12" i="6"/>
  <c r="M10" i="6"/>
  <c r="M159" i="6"/>
  <c r="L159" i="6" s="1"/>
  <c r="M147" i="6"/>
  <c r="B147" i="6" s="1"/>
  <c r="M143" i="6"/>
  <c r="M139" i="6"/>
  <c r="U139" i="6" s="1"/>
  <c r="M135" i="6"/>
  <c r="B135" i="6" s="1"/>
  <c r="M131" i="6"/>
  <c r="N13" i="6"/>
  <c r="N132" i="6"/>
  <c r="N148" i="6"/>
  <c r="T148" i="6" s="1"/>
  <c r="N164" i="6"/>
  <c r="C164" i="6" s="1"/>
  <c r="T111" i="6"/>
  <c r="T134" i="6"/>
  <c r="U35" i="6"/>
  <c r="T104" i="6"/>
  <c r="U107" i="6"/>
  <c r="T164" i="6"/>
  <c r="U144" i="6"/>
  <c r="T29" i="6"/>
  <c r="B35" i="6"/>
  <c r="T124" i="6"/>
  <c r="U147" i="6"/>
  <c r="C53" i="6"/>
  <c r="T160" i="6"/>
  <c r="T168" i="6"/>
  <c r="T128" i="6"/>
  <c r="U43" i="6"/>
  <c r="U75" i="6"/>
  <c r="U133" i="6"/>
  <c r="T165" i="6"/>
  <c r="T141" i="6"/>
  <c r="U141" i="6"/>
  <c r="B107" i="6"/>
  <c r="B115" i="6"/>
  <c r="B171" i="6"/>
  <c r="U42" i="6"/>
  <c r="U51" i="6"/>
  <c r="U83" i="6"/>
  <c r="U103" i="6"/>
  <c r="U120" i="6"/>
  <c r="C61" i="6"/>
  <c r="C21" i="6"/>
  <c r="H62" i="6"/>
  <c r="J62" i="6" s="1"/>
  <c r="C29" i="6"/>
  <c r="L107" i="6"/>
  <c r="C69" i="6"/>
  <c r="C45" i="6"/>
  <c r="F45" i="6" s="1"/>
  <c r="C77" i="6"/>
  <c r="C141" i="6"/>
  <c r="F141" i="6" s="1"/>
  <c r="H11" i="6"/>
  <c r="J11" i="6" s="1"/>
  <c r="L171" i="6"/>
  <c r="H32" i="6"/>
  <c r="J32" i="6" s="1"/>
  <c r="L115" i="6"/>
  <c r="C86" i="6"/>
  <c r="L83" i="6"/>
  <c r="C10" i="6"/>
  <c r="H37" i="6"/>
  <c r="L67" i="6"/>
  <c r="L99" i="6"/>
  <c r="L141" i="6"/>
  <c r="L109" i="6"/>
  <c r="L77" i="6"/>
  <c r="H67" i="6"/>
  <c r="L164" i="6"/>
  <c r="L120" i="6"/>
  <c r="L119" i="6"/>
  <c r="L87" i="6"/>
  <c r="L71" i="6"/>
  <c r="L42" i="6"/>
  <c r="C139" i="6"/>
  <c r="C111" i="6"/>
  <c r="C79" i="6"/>
  <c r="C75" i="6"/>
  <c r="C47" i="6"/>
  <c r="C19" i="6"/>
  <c r="C15" i="6"/>
  <c r="H74" i="6"/>
  <c r="L154" i="6"/>
  <c r="L138" i="6"/>
  <c r="L122" i="6"/>
  <c r="L90" i="6"/>
  <c r="L74" i="6"/>
  <c r="H141" i="6"/>
  <c r="H109" i="6"/>
  <c r="H77" i="6"/>
  <c r="H45" i="6"/>
  <c r="C160" i="6"/>
  <c r="C148" i="6"/>
  <c r="C136" i="6"/>
  <c r="C128" i="6"/>
  <c r="C124" i="6"/>
  <c r="C116" i="6"/>
  <c r="C104" i="6"/>
  <c r="C100" i="6"/>
  <c r="C80" i="6"/>
  <c r="C76" i="6"/>
  <c r="C60" i="6"/>
  <c r="C44" i="6"/>
  <c r="C28" i="6"/>
  <c r="C16" i="6"/>
  <c r="L102" i="6"/>
  <c r="L35" i="6"/>
  <c r="H149" i="6"/>
  <c r="H69" i="6"/>
  <c r="C33" i="6"/>
  <c r="F12" i="7"/>
  <c r="F16" i="7"/>
  <c r="F20" i="7"/>
  <c r="R10" i="7"/>
  <c r="S10" i="7" s="1"/>
  <c r="X11" i="7"/>
  <c r="H12" i="7"/>
  <c r="C13" i="7"/>
  <c r="F13" i="7" s="1"/>
  <c r="L13" i="7"/>
  <c r="R14" i="7"/>
  <c r="S14" i="7" s="1"/>
  <c r="X15" i="7"/>
  <c r="H16" i="7"/>
  <c r="C17" i="7"/>
  <c r="F17" i="7" s="1"/>
  <c r="L17" i="7"/>
  <c r="R18" i="7"/>
  <c r="S18" i="7" s="1"/>
  <c r="X19" i="7"/>
  <c r="H20" i="7"/>
  <c r="C21" i="7"/>
  <c r="F21" i="7" s="1"/>
  <c r="L21" i="7"/>
  <c r="R22" i="7"/>
  <c r="S22" i="7" s="1"/>
  <c r="X23" i="7"/>
  <c r="H24" i="7"/>
  <c r="L25" i="7"/>
  <c r="C28" i="7"/>
  <c r="C29" i="7"/>
  <c r="R29" i="7"/>
  <c r="Q29" i="7"/>
  <c r="C30" i="7"/>
  <c r="S31" i="7"/>
  <c r="S32" i="7"/>
  <c r="H36" i="7"/>
  <c r="S38" i="7"/>
  <c r="S47" i="7"/>
  <c r="S55" i="7"/>
  <c r="S63" i="7"/>
  <c r="L68" i="7"/>
  <c r="S126" i="7"/>
  <c r="Q34" i="7"/>
  <c r="S34" i="7" s="1"/>
  <c r="R34" i="7"/>
  <c r="C34" i="7"/>
  <c r="R40" i="7"/>
  <c r="C40" i="7"/>
  <c r="Q40" i="7"/>
  <c r="S40" i="7" s="1"/>
  <c r="R48" i="7"/>
  <c r="Q48" i="7"/>
  <c r="C48" i="7"/>
  <c r="R56" i="7"/>
  <c r="Q56" i="7"/>
  <c r="C56" i="7"/>
  <c r="R64" i="7"/>
  <c r="Q64" i="7"/>
  <c r="C64" i="7"/>
  <c r="R72" i="7"/>
  <c r="Q72" i="7"/>
  <c r="S72" i="7" s="1"/>
  <c r="C72" i="7"/>
  <c r="X170" i="7"/>
  <c r="L169" i="7"/>
  <c r="L167" i="7"/>
  <c r="L165" i="7"/>
  <c r="L163" i="7"/>
  <c r="L161" i="7"/>
  <c r="L159" i="7"/>
  <c r="L156" i="7"/>
  <c r="H155" i="7"/>
  <c r="X154" i="7"/>
  <c r="L152" i="7"/>
  <c r="H151" i="7"/>
  <c r="X150" i="7"/>
  <c r="L148" i="7"/>
  <c r="H147" i="7"/>
  <c r="X146" i="7"/>
  <c r="L144" i="7"/>
  <c r="H171" i="7"/>
  <c r="X169" i="7"/>
  <c r="H168" i="7"/>
  <c r="X167" i="7"/>
  <c r="H166" i="7"/>
  <c r="X165" i="7"/>
  <c r="H164" i="7"/>
  <c r="X163" i="7"/>
  <c r="H162" i="7"/>
  <c r="X161" i="7"/>
  <c r="H160" i="7"/>
  <c r="X159" i="7"/>
  <c r="H158" i="7"/>
  <c r="X157" i="7"/>
  <c r="L155" i="7"/>
  <c r="H154" i="7"/>
  <c r="X153" i="7"/>
  <c r="L151" i="7"/>
  <c r="H150" i="7"/>
  <c r="X149" i="7"/>
  <c r="L147" i="7"/>
  <c r="L171" i="7"/>
  <c r="C171" i="7"/>
  <c r="F171" i="7" s="1"/>
  <c r="H170" i="7"/>
  <c r="S168" i="7"/>
  <c r="T168" i="7" s="1"/>
  <c r="L168" i="7"/>
  <c r="C168" i="7"/>
  <c r="S166" i="7"/>
  <c r="T166" i="7" s="1"/>
  <c r="L166" i="7"/>
  <c r="C166" i="7"/>
  <c r="S164" i="7"/>
  <c r="T164" i="7" s="1"/>
  <c r="L164" i="7"/>
  <c r="C164" i="7"/>
  <c r="S162" i="7"/>
  <c r="T162" i="7" s="1"/>
  <c r="L162" i="7"/>
  <c r="C162" i="7"/>
  <c r="S160" i="7"/>
  <c r="T160" i="7" s="1"/>
  <c r="L160" i="7"/>
  <c r="C160" i="7"/>
  <c r="S158" i="7"/>
  <c r="T158" i="7" s="1"/>
  <c r="L158" i="7"/>
  <c r="C158" i="7"/>
  <c r="H157" i="7"/>
  <c r="X156" i="7"/>
  <c r="S154" i="7"/>
  <c r="L154" i="7"/>
  <c r="C154" i="7"/>
  <c r="H153" i="7"/>
  <c r="X152" i="7"/>
  <c r="S150" i="7"/>
  <c r="L150" i="7"/>
  <c r="C150" i="7"/>
  <c r="F150" i="7" s="1"/>
  <c r="H149" i="7"/>
  <c r="X148" i="7"/>
  <c r="X171" i="7"/>
  <c r="L170" i="7"/>
  <c r="C153" i="7"/>
  <c r="H148" i="7"/>
  <c r="X147" i="7"/>
  <c r="L146" i="7"/>
  <c r="H145" i="7"/>
  <c r="L142" i="7"/>
  <c r="H141" i="7"/>
  <c r="X140" i="7"/>
  <c r="L138" i="7"/>
  <c r="H137" i="7"/>
  <c r="X136" i="7"/>
  <c r="L134" i="7"/>
  <c r="H133" i="7"/>
  <c r="X132" i="7"/>
  <c r="L130" i="7"/>
  <c r="H129" i="7"/>
  <c r="X128" i="7"/>
  <c r="S170" i="7"/>
  <c r="T170" i="7" s="1"/>
  <c r="C157" i="7"/>
  <c r="H152" i="7"/>
  <c r="X151" i="7"/>
  <c r="L149" i="7"/>
  <c r="X145" i="7"/>
  <c r="X143" i="7"/>
  <c r="L141" i="7"/>
  <c r="H140" i="7"/>
  <c r="X139" i="7"/>
  <c r="L137" i="7"/>
  <c r="H136" i="7"/>
  <c r="X135" i="7"/>
  <c r="L133" i="7"/>
  <c r="H132" i="7"/>
  <c r="X131" i="7"/>
  <c r="L129" i="7"/>
  <c r="H128" i="7"/>
  <c r="X127" i="7"/>
  <c r="H169" i="7"/>
  <c r="X168" i="7"/>
  <c r="H167" i="7"/>
  <c r="X166" i="7"/>
  <c r="H165" i="7"/>
  <c r="X164" i="7"/>
  <c r="H163" i="7"/>
  <c r="X162" i="7"/>
  <c r="H161" i="7"/>
  <c r="X160" i="7"/>
  <c r="H159" i="7"/>
  <c r="X158" i="7"/>
  <c r="L157" i="7"/>
  <c r="C149" i="7"/>
  <c r="X144" i="7"/>
  <c r="L143" i="7"/>
  <c r="H142" i="7"/>
  <c r="X141" i="7"/>
  <c r="L139" i="7"/>
  <c r="H138" i="7"/>
  <c r="X137" i="7"/>
  <c r="L135" i="7"/>
  <c r="H134" i="7"/>
  <c r="X133" i="7"/>
  <c r="L131" i="7"/>
  <c r="X155" i="7"/>
  <c r="H146" i="7"/>
  <c r="S140" i="7"/>
  <c r="L140" i="7"/>
  <c r="S136" i="7"/>
  <c r="L136" i="7"/>
  <c r="S132" i="7"/>
  <c r="L132" i="7"/>
  <c r="H130" i="7"/>
  <c r="L128" i="7"/>
  <c r="C128" i="7"/>
  <c r="H126" i="7"/>
  <c r="X125" i="7"/>
  <c r="L123" i="7"/>
  <c r="C123" i="7"/>
  <c r="H122" i="7"/>
  <c r="X121" i="7"/>
  <c r="L119" i="7"/>
  <c r="C119" i="7"/>
  <c r="H118" i="7"/>
  <c r="X117" i="7"/>
  <c r="L115" i="7"/>
  <c r="C115" i="7"/>
  <c r="H114" i="7"/>
  <c r="X113" i="7"/>
  <c r="L111" i="7"/>
  <c r="C111" i="7"/>
  <c r="F111" i="7" s="1"/>
  <c r="C170" i="7"/>
  <c r="H156" i="7"/>
  <c r="C146" i="7"/>
  <c r="H144" i="7"/>
  <c r="X129" i="7"/>
  <c r="S128" i="7"/>
  <c r="L126" i="7"/>
  <c r="C126" i="7"/>
  <c r="H125" i="7"/>
  <c r="X124" i="7"/>
  <c r="L122" i="7"/>
  <c r="C122" i="7"/>
  <c r="F122" i="7" s="1"/>
  <c r="H121" i="7"/>
  <c r="X120" i="7"/>
  <c r="L118" i="7"/>
  <c r="C118" i="7"/>
  <c r="H117" i="7"/>
  <c r="X116" i="7"/>
  <c r="L114" i="7"/>
  <c r="L153" i="7"/>
  <c r="H143" i="7"/>
  <c r="X142" i="7"/>
  <c r="H139" i="7"/>
  <c r="X138" i="7"/>
  <c r="H135" i="7"/>
  <c r="X134" i="7"/>
  <c r="H131" i="7"/>
  <c r="X130" i="7"/>
  <c r="H127" i="7"/>
  <c r="X126" i="7"/>
  <c r="L124" i="7"/>
  <c r="H123" i="7"/>
  <c r="X122" i="7"/>
  <c r="L120" i="7"/>
  <c r="H119" i="7"/>
  <c r="X118" i="7"/>
  <c r="L116" i="7"/>
  <c r="H115" i="7"/>
  <c r="X114" i="7"/>
  <c r="L112" i="7"/>
  <c r="H111" i="7"/>
  <c r="X110" i="7"/>
  <c r="L145" i="7"/>
  <c r="C140" i="7"/>
  <c r="C132" i="7"/>
  <c r="L127" i="7"/>
  <c r="C125" i="7"/>
  <c r="L121" i="7"/>
  <c r="C117" i="7"/>
  <c r="C114" i="7"/>
  <c r="F114" i="7" s="1"/>
  <c r="H110" i="7"/>
  <c r="X109" i="7"/>
  <c r="L107" i="7"/>
  <c r="H106" i="7"/>
  <c r="X105" i="7"/>
  <c r="L103" i="7"/>
  <c r="H102" i="7"/>
  <c r="X101" i="7"/>
  <c r="L99" i="7"/>
  <c r="H98" i="7"/>
  <c r="X97" i="7"/>
  <c r="L95" i="7"/>
  <c r="H94" i="7"/>
  <c r="X93" i="7"/>
  <c r="L91" i="7"/>
  <c r="H90" i="7"/>
  <c r="X89" i="7"/>
  <c r="L87" i="7"/>
  <c r="H86" i="7"/>
  <c r="X85" i="7"/>
  <c r="L83" i="7"/>
  <c r="H82" i="7"/>
  <c r="X81" i="7"/>
  <c r="L79" i="7"/>
  <c r="H78" i="7"/>
  <c r="X77" i="7"/>
  <c r="L75" i="7"/>
  <c r="H74" i="7"/>
  <c r="X73" i="7"/>
  <c r="L71" i="7"/>
  <c r="H70" i="7"/>
  <c r="X69" i="7"/>
  <c r="H124" i="7"/>
  <c r="X123" i="7"/>
  <c r="H116" i="7"/>
  <c r="X115" i="7"/>
  <c r="X112" i="7"/>
  <c r="C110" i="7"/>
  <c r="F110" i="7" s="1"/>
  <c r="H109" i="7"/>
  <c r="X108" i="7"/>
  <c r="L106" i="7"/>
  <c r="C106" i="7"/>
  <c r="H105" i="7"/>
  <c r="X104" i="7"/>
  <c r="L102" i="7"/>
  <c r="C102" i="7"/>
  <c r="H101" i="7"/>
  <c r="X100" i="7"/>
  <c r="L98" i="7"/>
  <c r="C98" i="7"/>
  <c r="H97" i="7"/>
  <c r="X96" i="7"/>
  <c r="L94" i="7"/>
  <c r="C94" i="7"/>
  <c r="F94" i="7" s="1"/>
  <c r="H93" i="7"/>
  <c r="X92" i="7"/>
  <c r="L90" i="7"/>
  <c r="C90" i="7"/>
  <c r="F90" i="7" s="1"/>
  <c r="H89" i="7"/>
  <c r="X88" i="7"/>
  <c r="L86" i="7"/>
  <c r="C86" i="7"/>
  <c r="H85" i="7"/>
  <c r="X84" i="7"/>
  <c r="L82" i="7"/>
  <c r="C82" i="7"/>
  <c r="H81" i="7"/>
  <c r="X80" i="7"/>
  <c r="L78" i="7"/>
  <c r="C78" i="7"/>
  <c r="F78" i="7" s="1"/>
  <c r="H77" i="7"/>
  <c r="X76" i="7"/>
  <c r="L74" i="7"/>
  <c r="C74" i="7"/>
  <c r="H73" i="7"/>
  <c r="X72" i="7"/>
  <c r="L70" i="7"/>
  <c r="C70" i="7"/>
  <c r="H69" i="7"/>
  <c r="X68" i="7"/>
  <c r="H120" i="7"/>
  <c r="X119" i="7"/>
  <c r="H113" i="7"/>
  <c r="X111" i="7"/>
  <c r="L108" i="7"/>
  <c r="H107" i="7"/>
  <c r="X106" i="7"/>
  <c r="L104" i="7"/>
  <c r="H103" i="7"/>
  <c r="X102" i="7"/>
  <c r="L100" i="7"/>
  <c r="H99" i="7"/>
  <c r="X98" i="7"/>
  <c r="L96" i="7"/>
  <c r="H95" i="7"/>
  <c r="X94" i="7"/>
  <c r="L92" i="7"/>
  <c r="H91" i="7"/>
  <c r="X90" i="7"/>
  <c r="L88" i="7"/>
  <c r="H87" i="7"/>
  <c r="X86" i="7"/>
  <c r="L84" i="7"/>
  <c r="H83" i="7"/>
  <c r="X82" i="7"/>
  <c r="L80" i="7"/>
  <c r="H79" i="7"/>
  <c r="X78" i="7"/>
  <c r="L76" i="7"/>
  <c r="H75" i="7"/>
  <c r="X74" i="7"/>
  <c r="L72" i="7"/>
  <c r="C144" i="7"/>
  <c r="H108" i="7"/>
  <c r="X107" i="7"/>
  <c r="L105" i="7"/>
  <c r="C97" i="7"/>
  <c r="H92" i="7"/>
  <c r="X91" i="7"/>
  <c r="L89" i="7"/>
  <c r="C81" i="7"/>
  <c r="H76" i="7"/>
  <c r="X75" i="7"/>
  <c r="L73" i="7"/>
  <c r="H71" i="7"/>
  <c r="L69" i="7"/>
  <c r="C69" i="7"/>
  <c r="F69" i="7" s="1"/>
  <c r="H68" i="7"/>
  <c r="L67" i="7"/>
  <c r="C67" i="7"/>
  <c r="H66" i="7"/>
  <c r="X65" i="7"/>
  <c r="L63" i="7"/>
  <c r="C63" i="7"/>
  <c r="H62" i="7"/>
  <c r="X61" i="7"/>
  <c r="L59" i="7"/>
  <c r="C59" i="7"/>
  <c r="H58" i="7"/>
  <c r="X57" i="7"/>
  <c r="L55" i="7"/>
  <c r="C55" i="7"/>
  <c r="H54" i="7"/>
  <c r="X53" i="7"/>
  <c r="L51" i="7"/>
  <c r="C51" i="7"/>
  <c r="H50" i="7"/>
  <c r="X49" i="7"/>
  <c r="L47" i="7"/>
  <c r="C47" i="7"/>
  <c r="H46" i="7"/>
  <c r="X45" i="7"/>
  <c r="L43" i="7"/>
  <c r="C43" i="7"/>
  <c r="H42" i="7"/>
  <c r="X41" i="7"/>
  <c r="L39" i="7"/>
  <c r="C39" i="7"/>
  <c r="F39" i="7" s="1"/>
  <c r="H38" i="7"/>
  <c r="X37" i="7"/>
  <c r="L35" i="7"/>
  <c r="H112" i="7"/>
  <c r="L110" i="7"/>
  <c r="L109" i="7"/>
  <c r="S105" i="7"/>
  <c r="C101" i="7"/>
  <c r="H96" i="7"/>
  <c r="X95" i="7"/>
  <c r="L93" i="7"/>
  <c r="S89" i="7"/>
  <c r="C85" i="7"/>
  <c r="H80" i="7"/>
  <c r="X79" i="7"/>
  <c r="L77" i="7"/>
  <c r="S73" i="7"/>
  <c r="X70" i="7"/>
  <c r="S69" i="7"/>
  <c r="L66" i="7"/>
  <c r="C66" i="7"/>
  <c r="F66" i="7" s="1"/>
  <c r="H65" i="7"/>
  <c r="X64" i="7"/>
  <c r="L62" i="7"/>
  <c r="C62" i="7"/>
  <c r="F62" i="7" s="1"/>
  <c r="H61" i="7"/>
  <c r="X60" i="7"/>
  <c r="L58" i="7"/>
  <c r="C58" i="7"/>
  <c r="F58" i="7" s="1"/>
  <c r="H57" i="7"/>
  <c r="X56" i="7"/>
  <c r="L54" i="7"/>
  <c r="C54" i="7"/>
  <c r="F54" i="7" s="1"/>
  <c r="H53" i="7"/>
  <c r="X52" i="7"/>
  <c r="L50" i="7"/>
  <c r="C50" i="7"/>
  <c r="F50" i="7" s="1"/>
  <c r="H49" i="7"/>
  <c r="X48" i="7"/>
  <c r="L46" i="7"/>
  <c r="C46" i="7"/>
  <c r="F46" i="7" s="1"/>
  <c r="H45" i="7"/>
  <c r="X44" i="7"/>
  <c r="L42" i="7"/>
  <c r="C42" i="7"/>
  <c r="F42" i="7" s="1"/>
  <c r="C136" i="7"/>
  <c r="L125" i="7"/>
  <c r="C121" i="7"/>
  <c r="L117" i="7"/>
  <c r="C113" i="7"/>
  <c r="C109" i="7"/>
  <c r="H104" i="7"/>
  <c r="X103" i="7"/>
  <c r="L101" i="7"/>
  <c r="C93" i="7"/>
  <c r="H88" i="7"/>
  <c r="X87" i="7"/>
  <c r="L85" i="7"/>
  <c r="C77" i="7"/>
  <c r="H72" i="7"/>
  <c r="X71" i="7"/>
  <c r="X67" i="7"/>
  <c r="H67" i="7"/>
  <c r="X66" i="7"/>
  <c r="L64" i="7"/>
  <c r="H63" i="7"/>
  <c r="X62" i="7"/>
  <c r="L60" i="7"/>
  <c r="H59" i="7"/>
  <c r="X58" i="7"/>
  <c r="L56" i="7"/>
  <c r="H55" i="7"/>
  <c r="X54" i="7"/>
  <c r="L52" i="7"/>
  <c r="H51" i="7"/>
  <c r="X50" i="7"/>
  <c r="L48" i="7"/>
  <c r="H47" i="7"/>
  <c r="X46" i="7"/>
  <c r="L44" i="7"/>
  <c r="H43" i="7"/>
  <c r="X42" i="7"/>
  <c r="L40" i="7"/>
  <c r="H39" i="7"/>
  <c r="X38" i="7"/>
  <c r="L36" i="7"/>
  <c r="H35" i="7"/>
  <c r="X34" i="7"/>
  <c r="S93" i="7"/>
  <c r="C89" i="7"/>
  <c r="X83" i="7"/>
  <c r="H64" i="7"/>
  <c r="X63" i="7"/>
  <c r="H56" i="7"/>
  <c r="X55" i="7"/>
  <c r="H48" i="7"/>
  <c r="X47" i="7"/>
  <c r="X40" i="7"/>
  <c r="H37" i="7"/>
  <c r="X35" i="7"/>
  <c r="L34" i="7"/>
  <c r="H33" i="7"/>
  <c r="H32" i="7"/>
  <c r="X31" i="7"/>
  <c r="L29" i="7"/>
  <c r="H28" i="7"/>
  <c r="X27" i="7"/>
  <c r="L113" i="7"/>
  <c r="S109" i="7"/>
  <c r="C105" i="7"/>
  <c r="X99" i="7"/>
  <c r="H84" i="7"/>
  <c r="L81" i="7"/>
  <c r="L65" i="7"/>
  <c r="C61" i="7"/>
  <c r="L57" i="7"/>
  <c r="C53" i="7"/>
  <c r="L49" i="7"/>
  <c r="C45" i="7"/>
  <c r="L41" i="7"/>
  <c r="C41" i="7"/>
  <c r="H40" i="7"/>
  <c r="L38" i="7"/>
  <c r="C38" i="7"/>
  <c r="F38" i="7" s="1"/>
  <c r="C35" i="7"/>
  <c r="F35" i="7" s="1"/>
  <c r="X33" i="7"/>
  <c r="L32" i="7"/>
  <c r="C32" i="7"/>
  <c r="F32" i="7" s="1"/>
  <c r="H31" i="7"/>
  <c r="X30" i="7"/>
  <c r="L28" i="7"/>
  <c r="H100" i="7"/>
  <c r="L97" i="7"/>
  <c r="H60" i="7"/>
  <c r="X59" i="7"/>
  <c r="H52" i="7"/>
  <c r="X51" i="7"/>
  <c r="H44" i="7"/>
  <c r="X43" i="7"/>
  <c r="H41" i="7"/>
  <c r="X39" i="7"/>
  <c r="X36" i="7"/>
  <c r="H34" i="7"/>
  <c r="L33" i="7"/>
  <c r="L31" i="7"/>
  <c r="H30" i="7"/>
  <c r="X29" i="7"/>
  <c r="L27" i="7"/>
  <c r="H26" i="7"/>
  <c r="X25" i="7"/>
  <c r="H10" i="7"/>
  <c r="C11" i="7"/>
  <c r="F11" i="7" s="1"/>
  <c r="L11" i="7"/>
  <c r="S11" i="7"/>
  <c r="I13" i="7"/>
  <c r="E13" i="7" s="1"/>
  <c r="D13" i="7" s="1"/>
  <c r="Q13" i="7"/>
  <c r="S13" i="7" s="1"/>
  <c r="X13" i="7"/>
  <c r="H14" i="7"/>
  <c r="C15" i="7"/>
  <c r="F15" i="7" s="1"/>
  <c r="L15" i="7"/>
  <c r="S15" i="7"/>
  <c r="I17" i="7"/>
  <c r="E17" i="7" s="1"/>
  <c r="D17" i="7" s="1"/>
  <c r="Q17" i="7"/>
  <c r="S17" i="7" s="1"/>
  <c r="X17" i="7"/>
  <c r="H18" i="7"/>
  <c r="C19" i="7"/>
  <c r="F19" i="7" s="1"/>
  <c r="L19" i="7"/>
  <c r="R20" i="7"/>
  <c r="S20" i="7" s="1"/>
  <c r="I21" i="7"/>
  <c r="E21" i="7" s="1"/>
  <c r="D21" i="7" s="1"/>
  <c r="Q21" i="7"/>
  <c r="S21" i="7" s="1"/>
  <c r="X21" i="7"/>
  <c r="H22" i="7"/>
  <c r="C23" i="7"/>
  <c r="F23" i="7" s="1"/>
  <c r="L23" i="7"/>
  <c r="L24" i="7"/>
  <c r="C25" i="7"/>
  <c r="F25" i="7" s="1"/>
  <c r="H25" i="7"/>
  <c r="R25" i="7"/>
  <c r="S25" i="7" s="1"/>
  <c r="L30" i="7"/>
  <c r="S30" i="7"/>
  <c r="X32" i="7"/>
  <c r="L37" i="7"/>
  <c r="S46" i="7"/>
  <c r="F47" i="7"/>
  <c r="S54" i="7"/>
  <c r="F55" i="7"/>
  <c r="S62" i="7"/>
  <c r="F63" i="7"/>
  <c r="I27" i="7"/>
  <c r="E27" i="7"/>
  <c r="D27" i="7" s="1"/>
  <c r="F29" i="7"/>
  <c r="X10" i="7"/>
  <c r="H11" i="7"/>
  <c r="L12" i="7"/>
  <c r="X14" i="7"/>
  <c r="H15" i="7"/>
  <c r="L16" i="7"/>
  <c r="X18" i="7"/>
  <c r="H19" i="7"/>
  <c r="L20" i="7"/>
  <c r="X22" i="7"/>
  <c r="H23" i="7"/>
  <c r="C24" i="7"/>
  <c r="F24" i="7" s="1"/>
  <c r="X24" i="7"/>
  <c r="C26" i="7"/>
  <c r="F26" i="7" s="1"/>
  <c r="X26" i="7"/>
  <c r="Q27" i="7"/>
  <c r="S27" i="7" s="1"/>
  <c r="C27" i="7"/>
  <c r="F27" i="7" s="1"/>
  <c r="F28" i="7"/>
  <c r="X28" i="7"/>
  <c r="H29" i="7"/>
  <c r="F30" i="7"/>
  <c r="F34" i="7"/>
  <c r="S35" i="7"/>
  <c r="S49" i="7"/>
  <c r="C31" i="7"/>
  <c r="F31" i="7" s="1"/>
  <c r="Q37" i="7"/>
  <c r="R37" i="7"/>
  <c r="F41" i="7"/>
  <c r="F45" i="7"/>
  <c r="F48" i="7"/>
  <c r="F53" i="7"/>
  <c r="F56" i="7"/>
  <c r="F61" i="7"/>
  <c r="F64" i="7"/>
  <c r="F74" i="7"/>
  <c r="C103" i="7"/>
  <c r="S106" i="7"/>
  <c r="F33" i="7"/>
  <c r="R36" i="7"/>
  <c r="C36" i="7"/>
  <c r="F36" i="7" s="1"/>
  <c r="S39" i="7"/>
  <c r="S42" i="7"/>
  <c r="F43" i="7"/>
  <c r="S43" i="7"/>
  <c r="R44" i="7"/>
  <c r="Q44" i="7"/>
  <c r="S44" i="7" s="1"/>
  <c r="C44" i="7"/>
  <c r="S50" i="7"/>
  <c r="F51" i="7"/>
  <c r="S51" i="7"/>
  <c r="R52" i="7"/>
  <c r="Q52" i="7"/>
  <c r="C52" i="7"/>
  <c r="S58" i="7"/>
  <c r="F59" i="7"/>
  <c r="S59" i="7"/>
  <c r="R60" i="7"/>
  <c r="Q60" i="7"/>
  <c r="S60" i="7" s="1"/>
  <c r="C60" i="7"/>
  <c r="S66" i="7"/>
  <c r="F67" i="7"/>
  <c r="S67" i="7"/>
  <c r="F70" i="7"/>
  <c r="C87" i="7"/>
  <c r="S90" i="7"/>
  <c r="S97" i="7"/>
  <c r="F98" i="7"/>
  <c r="S101" i="7"/>
  <c r="R104" i="7"/>
  <c r="Q104" i="7"/>
  <c r="S104" i="7" s="1"/>
  <c r="C104" i="7"/>
  <c r="S118" i="7"/>
  <c r="F119" i="7"/>
  <c r="C33" i="7"/>
  <c r="Q33" i="7"/>
  <c r="S33" i="7" s="1"/>
  <c r="Q36" i="7"/>
  <c r="S36" i="7" s="1"/>
  <c r="F37" i="7"/>
  <c r="F40" i="7"/>
  <c r="Q41" i="7"/>
  <c r="S41" i="7" s="1"/>
  <c r="R41" i="7"/>
  <c r="F44" i="7"/>
  <c r="F49" i="7"/>
  <c r="F52" i="7"/>
  <c r="F57" i="7"/>
  <c r="F60" i="7"/>
  <c r="F65" i="7"/>
  <c r="C71" i="7"/>
  <c r="S74" i="7"/>
  <c r="S81" i="7"/>
  <c r="F82" i="7"/>
  <c r="S85" i="7"/>
  <c r="R88" i="7"/>
  <c r="Q88" i="7"/>
  <c r="S88" i="7" s="1"/>
  <c r="C88" i="7"/>
  <c r="F88" i="7" s="1"/>
  <c r="F106" i="7"/>
  <c r="R45" i="7"/>
  <c r="S45" i="7" s="1"/>
  <c r="R49" i="7"/>
  <c r="R53" i="7"/>
  <c r="S53" i="7" s="1"/>
  <c r="R57" i="7"/>
  <c r="S57" i="7" s="1"/>
  <c r="R61" i="7"/>
  <c r="S61" i="7" s="1"/>
  <c r="R65" i="7"/>
  <c r="S65" i="7" s="1"/>
  <c r="F71" i="7"/>
  <c r="C75" i="7"/>
  <c r="F75" i="7" s="1"/>
  <c r="R76" i="7"/>
  <c r="Q76" i="7"/>
  <c r="S76" i="7" s="1"/>
  <c r="C76" i="7"/>
  <c r="F76" i="7" s="1"/>
  <c r="S78" i="7"/>
  <c r="F79" i="7"/>
  <c r="C91" i="7"/>
  <c r="F91" i="7" s="1"/>
  <c r="R92" i="7"/>
  <c r="Q92" i="7"/>
  <c r="C92" i="7"/>
  <c r="F92" i="7" s="1"/>
  <c r="S94" i="7"/>
  <c r="C107" i="7"/>
  <c r="F107" i="7" s="1"/>
  <c r="R108" i="7"/>
  <c r="Q108" i="7"/>
  <c r="S108" i="7" s="1"/>
  <c r="C108" i="7"/>
  <c r="F108" i="7" s="1"/>
  <c r="R120" i="7"/>
  <c r="Q120" i="7"/>
  <c r="S120" i="7" s="1"/>
  <c r="C120" i="7"/>
  <c r="R135" i="7"/>
  <c r="Q135" i="7"/>
  <c r="S135" i="7" s="1"/>
  <c r="C135" i="7"/>
  <c r="R68" i="7"/>
  <c r="Q68" i="7"/>
  <c r="F72" i="7"/>
  <c r="C83" i="7"/>
  <c r="R84" i="7"/>
  <c r="Q84" i="7"/>
  <c r="S84" i="7" s="1"/>
  <c r="C84" i="7"/>
  <c r="F84" i="7" s="1"/>
  <c r="S86" i="7"/>
  <c r="F87" i="7"/>
  <c r="C99" i="7"/>
  <c r="F99" i="7" s="1"/>
  <c r="R100" i="7"/>
  <c r="Q100" i="7"/>
  <c r="C100" i="7"/>
  <c r="S102" i="7"/>
  <c r="F103" i="7"/>
  <c r="F104" i="7"/>
  <c r="C68" i="7"/>
  <c r="F68" i="7" s="1"/>
  <c r="S70" i="7"/>
  <c r="C79" i="7"/>
  <c r="R80" i="7"/>
  <c r="Q80" i="7"/>
  <c r="S80" i="7" s="1"/>
  <c r="C80" i="7"/>
  <c r="F80" i="7" s="1"/>
  <c r="S82" i="7"/>
  <c r="F83" i="7"/>
  <c r="S83" i="7"/>
  <c r="F86" i="7"/>
  <c r="C95" i="7"/>
  <c r="F95" i="7" s="1"/>
  <c r="R96" i="7"/>
  <c r="Q96" i="7"/>
  <c r="S96" i="7" s="1"/>
  <c r="C96" i="7"/>
  <c r="F96" i="7" s="1"/>
  <c r="S98" i="7"/>
  <c r="S99" i="7"/>
  <c r="F100" i="7"/>
  <c r="F102" i="7"/>
  <c r="S119" i="7"/>
  <c r="R143" i="7"/>
  <c r="Q143" i="7"/>
  <c r="C143" i="7"/>
  <c r="F73" i="7"/>
  <c r="F77" i="7"/>
  <c r="F81" i="7"/>
  <c r="F85" i="7"/>
  <c r="F89" i="7"/>
  <c r="F93" i="7"/>
  <c r="F97" i="7"/>
  <c r="F101" i="7"/>
  <c r="F105" i="7"/>
  <c r="F109" i="7"/>
  <c r="F113" i="7"/>
  <c r="F121" i="7"/>
  <c r="F124" i="7"/>
  <c r="C134" i="7"/>
  <c r="F134" i="7" s="1"/>
  <c r="C137" i="7"/>
  <c r="C142" i="7"/>
  <c r="R71" i="7"/>
  <c r="S71" i="7" s="1"/>
  <c r="R75" i="7"/>
  <c r="S75" i="7" s="1"/>
  <c r="R79" i="7"/>
  <c r="S79" i="7" s="1"/>
  <c r="R83" i="7"/>
  <c r="R87" i="7"/>
  <c r="S87" i="7" s="1"/>
  <c r="R91" i="7"/>
  <c r="S91" i="7" s="1"/>
  <c r="R95" i="7"/>
  <c r="S95" i="7" s="1"/>
  <c r="R99" i="7"/>
  <c r="R103" i="7"/>
  <c r="S103" i="7" s="1"/>
  <c r="R107" i="7"/>
  <c r="S107" i="7" s="1"/>
  <c r="Q113" i="7"/>
  <c r="R113" i="7"/>
  <c r="F117" i="7"/>
  <c r="F120" i="7"/>
  <c r="F125" i="7"/>
  <c r="C130" i="7"/>
  <c r="C133" i="7"/>
  <c r="C138" i="7"/>
  <c r="C141" i="7"/>
  <c r="R110" i="7"/>
  <c r="S110" i="7" s="1"/>
  <c r="R112" i="7"/>
  <c r="S112" i="7" s="1"/>
  <c r="C112" i="7"/>
  <c r="F112" i="7" s="1"/>
  <c r="S114" i="7"/>
  <c r="F115" i="7"/>
  <c r="S115" i="7"/>
  <c r="R116" i="7"/>
  <c r="Q116" i="7"/>
  <c r="S116" i="7" s="1"/>
  <c r="C116" i="7"/>
  <c r="F116" i="7" s="1"/>
  <c r="F118" i="7"/>
  <c r="S122" i="7"/>
  <c r="F123" i="7"/>
  <c r="S123" i="7"/>
  <c r="R124" i="7"/>
  <c r="Q124" i="7"/>
  <c r="C124" i="7"/>
  <c r="F126" i="7"/>
  <c r="F128" i="7"/>
  <c r="R131" i="7"/>
  <c r="Q131" i="7"/>
  <c r="S131" i="7" s="1"/>
  <c r="C131" i="7"/>
  <c r="F131" i="7" s="1"/>
  <c r="R139" i="7"/>
  <c r="Q139" i="7"/>
  <c r="S139" i="7" s="1"/>
  <c r="C139" i="7"/>
  <c r="F139" i="7" s="1"/>
  <c r="F146" i="7"/>
  <c r="C159" i="7"/>
  <c r="R159" i="7"/>
  <c r="Q159" i="7"/>
  <c r="C163" i="7"/>
  <c r="R163" i="7"/>
  <c r="Q163" i="7"/>
  <c r="C167" i="7"/>
  <c r="R167" i="7"/>
  <c r="Q167" i="7"/>
  <c r="R117" i="7"/>
  <c r="S117" i="7" s="1"/>
  <c r="R121" i="7"/>
  <c r="S121" i="7" s="1"/>
  <c r="R125" i="7"/>
  <c r="S125" i="7" s="1"/>
  <c r="F130" i="7"/>
  <c r="S144" i="7"/>
  <c r="F160" i="7"/>
  <c r="F164" i="7"/>
  <c r="F168" i="7"/>
  <c r="R127" i="7"/>
  <c r="Q127" i="7"/>
  <c r="S127" i="7" s="1"/>
  <c r="C129" i="7"/>
  <c r="F129" i="7" s="1"/>
  <c r="S133" i="7"/>
  <c r="F135" i="7"/>
  <c r="S137" i="7"/>
  <c r="F138" i="7"/>
  <c r="S138" i="7"/>
  <c r="S141" i="7"/>
  <c r="F142" i="7"/>
  <c r="S142" i="7"/>
  <c r="F143" i="7"/>
  <c r="F157" i="7"/>
  <c r="F158" i="7"/>
  <c r="F162" i="7"/>
  <c r="F166" i="7"/>
  <c r="C127" i="7"/>
  <c r="F127" i="7" s="1"/>
  <c r="S129" i="7"/>
  <c r="F133" i="7"/>
  <c r="F137" i="7"/>
  <c r="F141" i="7"/>
  <c r="C155" i="7"/>
  <c r="F155" i="7" s="1"/>
  <c r="C161" i="7"/>
  <c r="R161" i="7"/>
  <c r="Q161" i="7"/>
  <c r="S161" i="7" s="1"/>
  <c r="T161" i="7" s="1"/>
  <c r="C165" i="7"/>
  <c r="R165" i="7"/>
  <c r="Q165" i="7"/>
  <c r="S165" i="7" s="1"/>
  <c r="T165" i="7" s="1"/>
  <c r="C169" i="7"/>
  <c r="R169" i="7"/>
  <c r="Q169" i="7"/>
  <c r="S169" i="7" s="1"/>
  <c r="T169" i="7" s="1"/>
  <c r="F132" i="7"/>
  <c r="F136" i="7"/>
  <c r="F140" i="7"/>
  <c r="F144" i="7"/>
  <c r="S146" i="7"/>
  <c r="S147" i="7"/>
  <c r="C148" i="7"/>
  <c r="F148" i="7" s="1"/>
  <c r="R148" i="7"/>
  <c r="Q148" i="7"/>
  <c r="S148" i="7" s="1"/>
  <c r="F152" i="7"/>
  <c r="F170" i="7"/>
  <c r="S171" i="7"/>
  <c r="T171" i="7" s="1"/>
  <c r="R130" i="7"/>
  <c r="S130" i="7" s="1"/>
  <c r="R134" i="7"/>
  <c r="S134" i="7" s="1"/>
  <c r="R138" i="7"/>
  <c r="R142" i="7"/>
  <c r="F145" i="7"/>
  <c r="C151" i="7"/>
  <c r="F151" i="7" s="1"/>
  <c r="F153" i="7"/>
  <c r="S155" i="7"/>
  <c r="C156" i="7"/>
  <c r="R156" i="7"/>
  <c r="Q156" i="7"/>
  <c r="F159" i="7"/>
  <c r="F161" i="7"/>
  <c r="F163" i="7"/>
  <c r="F165" i="7"/>
  <c r="F167" i="7"/>
  <c r="F169" i="7"/>
  <c r="C145" i="7"/>
  <c r="Q145" i="7"/>
  <c r="S145" i="7" s="1"/>
  <c r="C147" i="7"/>
  <c r="F149" i="7"/>
  <c r="S151" i="7"/>
  <c r="C152" i="7"/>
  <c r="R152" i="7"/>
  <c r="Q152" i="7"/>
  <c r="F154" i="7"/>
  <c r="F156" i="7"/>
  <c r="F147" i="7"/>
  <c r="Q149" i="7"/>
  <c r="S149" i="7" s="1"/>
  <c r="Q153" i="7"/>
  <c r="S153" i="7" s="1"/>
  <c r="Q157" i="7"/>
  <c r="S157" i="7" s="1"/>
  <c r="AA164" i="6"/>
  <c r="AA160" i="6"/>
  <c r="AA165" i="6"/>
  <c r="AA149" i="6"/>
  <c r="AA133" i="6"/>
  <c r="AA150" i="6"/>
  <c r="AA136" i="6"/>
  <c r="AA128" i="6"/>
  <c r="AA148" i="6"/>
  <c r="AA143" i="6"/>
  <c r="AA127" i="6"/>
  <c r="AA125" i="6"/>
  <c r="AA116" i="6"/>
  <c r="AA117" i="6"/>
  <c r="AA109" i="6"/>
  <c r="AA104" i="6"/>
  <c r="AA98" i="6"/>
  <c r="AA101" i="6"/>
  <c r="AA89" i="6"/>
  <c r="AA35" i="6"/>
  <c r="AA77" i="6"/>
  <c r="AA61" i="6"/>
  <c r="AA53" i="6"/>
  <c r="AA37" i="6"/>
  <c r="AA80" i="6"/>
  <c r="AA72" i="6"/>
  <c r="AA40" i="6"/>
  <c r="T10" i="6"/>
  <c r="AA22" i="6"/>
  <c r="U14" i="6"/>
  <c r="AA15" i="6"/>
  <c r="T19" i="6"/>
  <c r="AA31" i="6"/>
  <c r="AA16" i="6"/>
  <c r="AA29" i="6"/>
  <c r="U33" i="6"/>
  <c r="T40" i="6"/>
  <c r="T72" i="6"/>
  <c r="U48" i="6"/>
  <c r="U45" i="6"/>
  <c r="U61" i="6"/>
  <c r="U69" i="6"/>
  <c r="T92" i="6"/>
  <c r="T101" i="6"/>
  <c r="T90" i="6"/>
  <c r="T98" i="6"/>
  <c r="T109" i="6"/>
  <c r="T118" i="6"/>
  <c r="U122" i="6"/>
  <c r="U126" i="6"/>
  <c r="T149" i="6"/>
  <c r="U149" i="6"/>
  <c r="U131" i="6"/>
  <c r="S144" i="4"/>
  <c r="Z85" i="4"/>
  <c r="Z94" i="4"/>
  <c r="Z70" i="4"/>
  <c r="R58" i="4"/>
  <c r="C58" i="4" s="1"/>
  <c r="S152" i="4"/>
  <c r="T34" i="4"/>
  <c r="T46" i="4"/>
  <c r="S43" i="4"/>
  <c r="S111" i="4"/>
  <c r="T54" i="4"/>
  <c r="S107" i="4"/>
  <c r="S139" i="4"/>
  <c r="Z27" i="4"/>
  <c r="R27" i="4"/>
  <c r="S27" i="4" s="1"/>
  <c r="S153" i="4"/>
  <c r="C44" i="4"/>
  <c r="F44" i="4" s="1"/>
  <c r="S150" i="4"/>
  <c r="C32" i="4"/>
  <c r="F32" i="4" s="1"/>
  <c r="S143" i="4"/>
  <c r="S95" i="4"/>
  <c r="T62" i="4"/>
  <c r="S162" i="4"/>
  <c r="T74" i="4"/>
  <c r="S159" i="4"/>
  <c r="S138" i="4"/>
  <c r="T108" i="4"/>
  <c r="T26" i="4"/>
  <c r="T152" i="4"/>
  <c r="U152" i="4" s="1"/>
  <c r="S156" i="4"/>
  <c r="S106" i="4"/>
  <c r="S73" i="4"/>
  <c r="S78" i="4"/>
  <c r="S134" i="4"/>
  <c r="B156" i="4"/>
  <c r="T156" i="4"/>
  <c r="C64" i="4"/>
  <c r="F64" i="4" s="1"/>
  <c r="C60" i="4"/>
  <c r="F60" i="4" s="1"/>
  <c r="S148" i="4"/>
  <c r="T102" i="4"/>
  <c r="S102" i="4"/>
  <c r="T122" i="4"/>
  <c r="S122" i="4"/>
  <c r="T130" i="4"/>
  <c r="S130" i="4"/>
  <c r="T126" i="4"/>
  <c r="S126" i="4"/>
  <c r="S53" i="4"/>
  <c r="S129" i="4"/>
  <c r="R18" i="4"/>
  <c r="T18" i="4" s="1"/>
  <c r="R110" i="4"/>
  <c r="C110" i="4" s="1"/>
  <c r="F110" i="4" s="1"/>
  <c r="S33" i="4"/>
  <c r="T15" i="4"/>
  <c r="R38" i="4"/>
  <c r="T38" i="4" s="1"/>
  <c r="R42" i="4"/>
  <c r="T42" i="4" s="1"/>
  <c r="S46" i="4"/>
  <c r="U46" i="4" s="1"/>
  <c r="H46" i="4" s="1"/>
  <c r="S62" i="4"/>
  <c r="R70" i="4"/>
  <c r="C70" i="4" s="1"/>
  <c r="F70" i="4" s="1"/>
  <c r="S97" i="4"/>
  <c r="S121" i="4"/>
  <c r="S133" i="4"/>
  <c r="T160" i="4"/>
  <c r="Z114" i="4"/>
  <c r="T167" i="4"/>
  <c r="U167" i="4" s="1"/>
  <c r="S167" i="4"/>
  <c r="Z35" i="4"/>
  <c r="R35" i="4"/>
  <c r="S35" i="4" s="1"/>
  <c r="Z67" i="4"/>
  <c r="R67" i="4"/>
  <c r="C67" i="4" s="1"/>
  <c r="F67" i="4" s="1"/>
  <c r="S74" i="4"/>
  <c r="Z74" i="4"/>
  <c r="S22" i="4"/>
  <c r="T113" i="4"/>
  <c r="C54" i="4"/>
  <c r="F54" i="4" s="1"/>
  <c r="S86" i="4"/>
  <c r="S94" i="4"/>
  <c r="S98" i="4"/>
  <c r="S118" i="4"/>
  <c r="R51" i="4"/>
  <c r="C51" i="4" s="1"/>
  <c r="F51" i="4" s="1"/>
  <c r="B108" i="4"/>
  <c r="R87" i="4"/>
  <c r="T87" i="4" s="1"/>
  <c r="S109" i="4"/>
  <c r="S160" i="4"/>
  <c r="S34" i="4"/>
  <c r="U34" i="4" s="1"/>
  <c r="S54" i="4"/>
  <c r="Z54" i="4"/>
  <c r="Z14" i="4"/>
  <c r="Z23" i="4"/>
  <c r="Z30" i="4"/>
  <c r="S66" i="4"/>
  <c r="S146" i="4"/>
  <c r="Z131" i="4"/>
  <c r="C14" i="4"/>
  <c r="T37" i="4"/>
  <c r="C37" i="4"/>
  <c r="F37" i="4" s="1"/>
  <c r="C69" i="4"/>
  <c r="F69" i="4" s="1"/>
  <c r="T159" i="4"/>
  <c r="S45" i="4"/>
  <c r="Z47" i="4"/>
  <c r="S65" i="4"/>
  <c r="Z31" i="4"/>
  <c r="Z63" i="4"/>
  <c r="S93" i="4"/>
  <c r="S101" i="4"/>
  <c r="S125" i="4"/>
  <c r="T148" i="4"/>
  <c r="T161" i="4"/>
  <c r="T168" i="4"/>
  <c r="S117" i="4"/>
  <c r="S157" i="4"/>
  <c r="F14" i="4"/>
  <c r="S61" i="4"/>
  <c r="S81" i="4"/>
  <c r="S85" i="4"/>
  <c r="S165" i="4"/>
  <c r="S17" i="4"/>
  <c r="T17" i="4"/>
  <c r="S25" i="4"/>
  <c r="T25" i="4"/>
  <c r="C25" i="4"/>
  <c r="F25" i="4" s="1"/>
  <c r="C41" i="4"/>
  <c r="S41" i="4"/>
  <c r="S49" i="4"/>
  <c r="T49" i="4"/>
  <c r="C57" i="4"/>
  <c r="F57" i="4" s="1"/>
  <c r="S57" i="4"/>
  <c r="S105" i="4"/>
  <c r="T105" i="4"/>
  <c r="S84" i="4"/>
  <c r="T84" i="4"/>
  <c r="C84" i="4"/>
  <c r="F84" i="4" s="1"/>
  <c r="S104" i="4"/>
  <c r="T104" i="4"/>
  <c r="S24" i="4"/>
  <c r="C24" i="4"/>
  <c r="F24" i="4" s="1"/>
  <c r="T31" i="4"/>
  <c r="C31" i="4"/>
  <c r="F31" i="4" s="1"/>
  <c r="C73" i="4"/>
  <c r="F73" i="4" s="1"/>
  <c r="T73" i="4"/>
  <c r="Z89" i="4"/>
  <c r="R89" i="4"/>
  <c r="S137" i="4"/>
  <c r="T137" i="4"/>
  <c r="T141" i="4"/>
  <c r="S141" i="4"/>
  <c r="T143" i="4"/>
  <c r="B143" i="4"/>
  <c r="R13" i="4"/>
  <c r="S15" i="4"/>
  <c r="U15" i="4" s="1"/>
  <c r="K15" i="4" s="1"/>
  <c r="S16" i="4"/>
  <c r="T24" i="4"/>
  <c r="Z25" i="4"/>
  <c r="R29" i="4"/>
  <c r="S37" i="4"/>
  <c r="S42" i="4"/>
  <c r="S58" i="4"/>
  <c r="T65" i="4"/>
  <c r="T69" i="4"/>
  <c r="U69" i="4" s="1"/>
  <c r="J69" i="4" s="1"/>
  <c r="S100" i="4"/>
  <c r="C100" i="4"/>
  <c r="F100" i="4" s="1"/>
  <c r="C109" i="4"/>
  <c r="F109" i="4" s="1"/>
  <c r="B167" i="4"/>
  <c r="T169" i="4"/>
  <c r="U169" i="4" s="1"/>
  <c r="S12" i="4"/>
  <c r="T22" i="4"/>
  <c r="B22" i="4"/>
  <c r="S28" i="4"/>
  <c r="C48" i="4"/>
  <c r="F48" i="4" s="1"/>
  <c r="B58" i="4"/>
  <c r="B66" i="4"/>
  <c r="T66" i="4"/>
  <c r="S75" i="4"/>
  <c r="C76" i="4"/>
  <c r="F76" i="4" s="1"/>
  <c r="T78" i="4"/>
  <c r="B78" i="4"/>
  <c r="C80" i="4"/>
  <c r="F80" i="4" s="1"/>
  <c r="T86" i="4"/>
  <c r="B86" i="4"/>
  <c r="S88" i="4"/>
  <c r="T88" i="4"/>
  <c r="S96" i="4"/>
  <c r="T98" i="4"/>
  <c r="B98" i="4"/>
  <c r="B106" i="4"/>
  <c r="T106" i="4"/>
  <c r="S108" i="4"/>
  <c r="T118" i="4"/>
  <c r="B118" i="4"/>
  <c r="S123" i="4"/>
  <c r="B138" i="4"/>
  <c r="T138" i="4"/>
  <c r="B146" i="4"/>
  <c r="T146" i="4"/>
  <c r="T19" i="4"/>
  <c r="Z79" i="4"/>
  <c r="T100" i="4"/>
  <c r="S113" i="4"/>
  <c r="T133" i="4"/>
  <c r="C161" i="4"/>
  <c r="F161" i="4" s="1"/>
  <c r="T163" i="4"/>
  <c r="U163" i="4" s="1"/>
  <c r="T21" i="4"/>
  <c r="U21" i="4" s="1"/>
  <c r="T23" i="4"/>
  <c r="T33" i="4"/>
  <c r="T41" i="4"/>
  <c r="T45" i="4"/>
  <c r="T53" i="4"/>
  <c r="T77" i="4"/>
  <c r="U77" i="4" s="1"/>
  <c r="T85" i="4"/>
  <c r="T97" i="4"/>
  <c r="T109" i="4"/>
  <c r="T111" i="4"/>
  <c r="S147" i="4"/>
  <c r="C15" i="4"/>
  <c r="F15" i="4" s="1"/>
  <c r="T50" i="4"/>
  <c r="C53" i="4"/>
  <c r="F53" i="4" s="1"/>
  <c r="S63" i="4"/>
  <c r="T81" i="4"/>
  <c r="T82" i="4"/>
  <c r="Z83" i="4"/>
  <c r="T95" i="4"/>
  <c r="U95" i="4" s="1"/>
  <c r="B130" i="4"/>
  <c r="T134" i="4"/>
  <c r="C137" i="4"/>
  <c r="F137" i="4" s="1"/>
  <c r="B159" i="4"/>
  <c r="S161" i="4"/>
  <c r="T91" i="4"/>
  <c r="U91" i="4" s="1"/>
  <c r="J91" i="4" s="1"/>
  <c r="C91" i="4"/>
  <c r="F91" i="4" s="1"/>
  <c r="T162" i="4"/>
  <c r="S47" i="4"/>
  <c r="S50" i="4"/>
  <c r="T57" i="4"/>
  <c r="T61" i="4"/>
  <c r="S79" i="4"/>
  <c r="S82" i="4"/>
  <c r="T93" i="4"/>
  <c r="T101" i="4"/>
  <c r="T115" i="4"/>
  <c r="U115" i="4" s="1"/>
  <c r="T121" i="4"/>
  <c r="T125" i="4"/>
  <c r="T129" i="4"/>
  <c r="S155" i="4"/>
  <c r="T157" i="4"/>
  <c r="T165" i="4"/>
  <c r="C30" i="4"/>
  <c r="F30" i="4" s="1"/>
  <c r="B41" i="4"/>
  <c r="C74" i="4"/>
  <c r="F74" i="4" s="1"/>
  <c r="Z90" i="4"/>
  <c r="T117" i="4"/>
  <c r="U117" i="4" s="1"/>
  <c r="B165" i="4"/>
  <c r="T150" i="4"/>
  <c r="T154" i="4"/>
  <c r="T99" i="4"/>
  <c r="S99" i="4"/>
  <c r="C99" i="4"/>
  <c r="F99" i="4" s="1"/>
  <c r="S116" i="4"/>
  <c r="C116" i="4"/>
  <c r="F116" i="4" s="1"/>
  <c r="T116" i="4"/>
  <c r="T39" i="4"/>
  <c r="C39" i="4"/>
  <c r="F39" i="4" s="1"/>
  <c r="S39" i="4"/>
  <c r="T71" i="4"/>
  <c r="C71" i="4"/>
  <c r="F71" i="4" s="1"/>
  <c r="S71" i="4"/>
  <c r="S20" i="4"/>
  <c r="T20" i="4"/>
  <c r="C20" i="4"/>
  <c r="F20" i="4" s="1"/>
  <c r="S52" i="4"/>
  <c r="T52" i="4"/>
  <c r="C52" i="4"/>
  <c r="F52" i="4" s="1"/>
  <c r="T11" i="4"/>
  <c r="S11" i="4"/>
  <c r="C11" i="4"/>
  <c r="F11" i="4" s="1"/>
  <c r="T55" i="4"/>
  <c r="C55" i="4"/>
  <c r="F55" i="4" s="1"/>
  <c r="S55" i="4"/>
  <c r="S140" i="4"/>
  <c r="T140" i="4"/>
  <c r="C140" i="4"/>
  <c r="F140" i="4" s="1"/>
  <c r="S36" i="4"/>
  <c r="T36" i="4"/>
  <c r="C36" i="4"/>
  <c r="F36" i="4" s="1"/>
  <c r="S68" i="4"/>
  <c r="T68" i="4"/>
  <c r="C68" i="4"/>
  <c r="F68" i="4" s="1"/>
  <c r="S80" i="4"/>
  <c r="T80" i="4"/>
  <c r="S64" i="4"/>
  <c r="T64" i="4"/>
  <c r="S92" i="4"/>
  <c r="T92" i="4"/>
  <c r="C92" i="4"/>
  <c r="F92" i="4" s="1"/>
  <c r="T103" i="4"/>
  <c r="C103" i="4"/>
  <c r="F103" i="4" s="1"/>
  <c r="S103" i="4"/>
  <c r="S112" i="4"/>
  <c r="T112" i="4"/>
  <c r="C112" i="4"/>
  <c r="F112" i="4" s="1"/>
  <c r="T158" i="4"/>
  <c r="S158" i="4"/>
  <c r="C158" i="4"/>
  <c r="F158" i="4" s="1"/>
  <c r="Z171" i="4"/>
  <c r="Z168" i="4"/>
  <c r="Z166" i="4"/>
  <c r="Z164" i="4"/>
  <c r="Z162" i="4"/>
  <c r="Z160" i="4"/>
  <c r="Z158" i="4"/>
  <c r="Z155" i="4"/>
  <c r="Z151" i="4"/>
  <c r="Z147" i="4"/>
  <c r="Z170" i="4"/>
  <c r="Z163" i="4"/>
  <c r="C163" i="4"/>
  <c r="F163" i="4" s="1"/>
  <c r="Z156" i="4"/>
  <c r="C156" i="4"/>
  <c r="Z154" i="4"/>
  <c r="C147" i="4"/>
  <c r="F147" i="4" s="1"/>
  <c r="Z145" i="4"/>
  <c r="C168" i="4"/>
  <c r="F168" i="4" s="1"/>
  <c r="Z165" i="4"/>
  <c r="C165" i="4"/>
  <c r="F165" i="4" s="1"/>
  <c r="C160" i="4"/>
  <c r="F160" i="4" s="1"/>
  <c r="Z157" i="4"/>
  <c r="Z152" i="4"/>
  <c r="C152" i="4"/>
  <c r="F152" i="4" s="1"/>
  <c r="Z150" i="4"/>
  <c r="Z146" i="4"/>
  <c r="Z142" i="4"/>
  <c r="Z169" i="4"/>
  <c r="U168" i="4"/>
  <c r="C162" i="4"/>
  <c r="F162" i="4" s="1"/>
  <c r="Z159" i="4"/>
  <c r="C159" i="4"/>
  <c r="C150" i="4"/>
  <c r="F150" i="4" s="1"/>
  <c r="C138" i="4"/>
  <c r="Z136" i="4"/>
  <c r="C134" i="4"/>
  <c r="F134" i="4" s="1"/>
  <c r="Z132" i="4"/>
  <c r="C130" i="4"/>
  <c r="Z128" i="4"/>
  <c r="C126" i="4"/>
  <c r="F126" i="4" s="1"/>
  <c r="Z124" i="4"/>
  <c r="C122" i="4"/>
  <c r="F122" i="4" s="1"/>
  <c r="Z120" i="4"/>
  <c r="C117" i="4"/>
  <c r="F117" i="4" s="1"/>
  <c r="C171" i="4"/>
  <c r="F171" i="4" s="1"/>
  <c r="C169" i="4"/>
  <c r="F169" i="4" s="1"/>
  <c r="Z161" i="4"/>
  <c r="Z153" i="4"/>
  <c r="Z149" i="4"/>
  <c r="Z148" i="4"/>
  <c r="C148" i="4"/>
  <c r="F148" i="4" s="1"/>
  <c r="C146" i="4"/>
  <c r="Z143" i="4"/>
  <c r="C143" i="4"/>
  <c r="Z141" i="4"/>
  <c r="Z137" i="4"/>
  <c r="Z133" i="4"/>
  <c r="Z129" i="4"/>
  <c r="Z125" i="4"/>
  <c r="Z121" i="4"/>
  <c r="C118" i="4"/>
  <c r="Z116" i="4"/>
  <c r="Z112" i="4"/>
  <c r="Z108" i="4"/>
  <c r="Z104" i="4"/>
  <c r="Z167" i="4"/>
  <c r="C141" i="4"/>
  <c r="F141" i="4" s="1"/>
  <c r="C133" i="4"/>
  <c r="F133" i="4" s="1"/>
  <c r="C125" i="4"/>
  <c r="F125" i="4" s="1"/>
  <c r="Z117" i="4"/>
  <c r="Z115" i="4"/>
  <c r="Z106" i="4"/>
  <c r="Z100" i="4"/>
  <c r="Z96" i="4"/>
  <c r="Z92" i="4"/>
  <c r="Z88" i="4"/>
  <c r="Z84" i="4"/>
  <c r="Z80" i="4"/>
  <c r="Z144" i="4"/>
  <c r="Z140" i="4"/>
  <c r="Z138" i="4"/>
  <c r="Z135" i="4"/>
  <c r="Z130" i="4"/>
  <c r="Z127" i="4"/>
  <c r="Z122" i="4"/>
  <c r="Z119" i="4"/>
  <c r="C115" i="4"/>
  <c r="F115" i="4" s="1"/>
  <c r="Z113" i="4"/>
  <c r="C113" i="4"/>
  <c r="F113" i="4" s="1"/>
  <c r="Z111" i="4"/>
  <c r="C108" i="4"/>
  <c r="Z139" i="4"/>
  <c r="Z126" i="4"/>
  <c r="Z123" i="4"/>
  <c r="Z102" i="4"/>
  <c r="Z97" i="4"/>
  <c r="C97" i="4"/>
  <c r="F97" i="4" s="1"/>
  <c r="Z95" i="4"/>
  <c r="Z86" i="4"/>
  <c r="Z81" i="4"/>
  <c r="C81" i="4"/>
  <c r="F81" i="4" s="1"/>
  <c r="Z76" i="4"/>
  <c r="Z72" i="4"/>
  <c r="Z68" i="4"/>
  <c r="Z64" i="4"/>
  <c r="Z60" i="4"/>
  <c r="Z56" i="4"/>
  <c r="Z52" i="4"/>
  <c r="Z48" i="4"/>
  <c r="Z44" i="4"/>
  <c r="Z40" i="4"/>
  <c r="Z36" i="4"/>
  <c r="Z32" i="4"/>
  <c r="Z28" i="4"/>
  <c r="Z24" i="4"/>
  <c r="Z20" i="4"/>
  <c r="Z16" i="4"/>
  <c r="Z12" i="4"/>
  <c r="C167" i="4"/>
  <c r="C132" i="4"/>
  <c r="F132" i="4" s="1"/>
  <c r="C129" i="4"/>
  <c r="F129" i="4" s="1"/>
  <c r="C111" i="4"/>
  <c r="F111" i="4" s="1"/>
  <c r="Z107" i="4"/>
  <c r="C104" i="4"/>
  <c r="F104" i="4" s="1"/>
  <c r="Z98" i="4"/>
  <c r="C95" i="4"/>
  <c r="F95" i="4" s="1"/>
  <c r="Z93" i="4"/>
  <c r="C93" i="4"/>
  <c r="F93" i="4" s="1"/>
  <c r="Z91" i="4"/>
  <c r="C88" i="4"/>
  <c r="F88" i="4" s="1"/>
  <c r="Z82" i="4"/>
  <c r="Z77" i="4"/>
  <c r="Z73" i="4"/>
  <c r="Z69" i="4"/>
  <c r="Z65" i="4"/>
  <c r="Z61" i="4"/>
  <c r="Z57" i="4"/>
  <c r="Z53" i="4"/>
  <c r="Z49" i="4"/>
  <c r="Z45" i="4"/>
  <c r="Z41" i="4"/>
  <c r="Z37" i="4"/>
  <c r="Z33" i="4"/>
  <c r="C10" i="4"/>
  <c r="F10" i="4" s="1"/>
  <c r="S14" i="4"/>
  <c r="C16" i="4"/>
  <c r="F16" i="4" s="1"/>
  <c r="Z19" i="4"/>
  <c r="C21" i="4"/>
  <c r="F21" i="4" s="1"/>
  <c r="C26" i="4"/>
  <c r="F26" i="4" s="1"/>
  <c r="Z26" i="4"/>
  <c r="S30" i="4"/>
  <c r="S10" i="4"/>
  <c r="U10" i="4" s="1"/>
  <c r="C12" i="4"/>
  <c r="F12" i="4" s="1"/>
  <c r="T12" i="4"/>
  <c r="U12" i="4" s="1"/>
  <c r="T14" i="4"/>
  <c r="Z15" i="4"/>
  <c r="C17" i="4"/>
  <c r="F17" i="4" s="1"/>
  <c r="Z17" i="4"/>
  <c r="C19" i="4"/>
  <c r="F19" i="4" s="1"/>
  <c r="S19" i="4"/>
  <c r="C22" i="4"/>
  <c r="Z22" i="4"/>
  <c r="S26" i="4"/>
  <c r="C28" i="4"/>
  <c r="F28" i="4" s="1"/>
  <c r="T28" i="4"/>
  <c r="T30" i="4"/>
  <c r="S31" i="4"/>
  <c r="Z39" i="4"/>
  <c r="S40" i="4"/>
  <c r="T40" i="4"/>
  <c r="T43" i="4"/>
  <c r="C43" i="4"/>
  <c r="F43" i="4" s="1"/>
  <c r="C45" i="4"/>
  <c r="F45" i="4" s="1"/>
  <c r="C46" i="4"/>
  <c r="F46" i="4" s="1"/>
  <c r="Z46" i="4"/>
  <c r="Z55" i="4"/>
  <c r="S56" i="4"/>
  <c r="T56" i="4"/>
  <c r="T59" i="4"/>
  <c r="U59" i="4" s="1"/>
  <c r="C59" i="4"/>
  <c r="F59" i="4" s="1"/>
  <c r="C61" i="4"/>
  <c r="F61" i="4" s="1"/>
  <c r="C62" i="4"/>
  <c r="F62" i="4" s="1"/>
  <c r="Z62" i="4"/>
  <c r="Z71" i="4"/>
  <c r="S72" i="4"/>
  <c r="T72" i="4"/>
  <c r="T75" i="4"/>
  <c r="C75" i="4"/>
  <c r="F75" i="4" s="1"/>
  <c r="C77" i="4"/>
  <c r="F77" i="4" s="1"/>
  <c r="C78" i="4"/>
  <c r="Z78" i="4"/>
  <c r="T83" i="4"/>
  <c r="S83" i="4"/>
  <c r="C83" i="4"/>
  <c r="F83" i="4" s="1"/>
  <c r="C90" i="4"/>
  <c r="F90" i="4" s="1"/>
  <c r="S90" i="4"/>
  <c r="T90" i="4"/>
  <c r="C101" i="4"/>
  <c r="F101" i="4" s="1"/>
  <c r="Z103" i="4"/>
  <c r="Z105" i="4"/>
  <c r="T107" i="4"/>
  <c r="C121" i="4"/>
  <c r="F121" i="4" s="1"/>
  <c r="S124" i="4"/>
  <c r="T124" i="4"/>
  <c r="Z134" i="4"/>
  <c r="T135" i="4"/>
  <c r="C135" i="4"/>
  <c r="F135" i="4" s="1"/>
  <c r="S135" i="4"/>
  <c r="S32" i="4"/>
  <c r="T32" i="4"/>
  <c r="S48" i="4"/>
  <c r="T48" i="4"/>
  <c r="Z10" i="4"/>
  <c r="T16" i="4"/>
  <c r="Z21" i="4"/>
  <c r="C23" i="4"/>
  <c r="F23" i="4" s="1"/>
  <c r="S23" i="4"/>
  <c r="U23" i="4" s="1"/>
  <c r="C33" i="4"/>
  <c r="F33" i="4" s="1"/>
  <c r="C34" i="4"/>
  <c r="F34" i="4" s="1"/>
  <c r="Z34" i="4"/>
  <c r="C40" i="4"/>
  <c r="F40" i="4" s="1"/>
  <c r="Z43" i="4"/>
  <c r="S44" i="4"/>
  <c r="T44" i="4"/>
  <c r="T47" i="4"/>
  <c r="C47" i="4"/>
  <c r="F47" i="4" s="1"/>
  <c r="C49" i="4"/>
  <c r="F49" i="4" s="1"/>
  <c r="C50" i="4"/>
  <c r="F50" i="4" s="1"/>
  <c r="Z50" i="4"/>
  <c r="C56" i="4"/>
  <c r="F56" i="4" s="1"/>
  <c r="Z59" i="4"/>
  <c r="S60" i="4"/>
  <c r="T60" i="4"/>
  <c r="T63" i="4"/>
  <c r="C63" i="4"/>
  <c r="F63" i="4" s="1"/>
  <c r="C65" i="4"/>
  <c r="F65" i="4" s="1"/>
  <c r="C66" i="4"/>
  <c r="Z66" i="4"/>
  <c r="C72" i="4"/>
  <c r="F72" i="4" s="1"/>
  <c r="Z75" i="4"/>
  <c r="S76" i="4"/>
  <c r="T76" i="4"/>
  <c r="T79" i="4"/>
  <c r="C79" i="4"/>
  <c r="F79" i="4" s="1"/>
  <c r="C85" i="4"/>
  <c r="F85" i="4" s="1"/>
  <c r="S87" i="4"/>
  <c r="C94" i="4"/>
  <c r="F94" i="4" s="1"/>
  <c r="T94" i="4"/>
  <c r="C96" i="4"/>
  <c r="F96" i="4" s="1"/>
  <c r="T96" i="4"/>
  <c r="Z99" i="4"/>
  <c r="Z101" i="4"/>
  <c r="C105" i="4"/>
  <c r="F105" i="4" s="1"/>
  <c r="C107" i="4"/>
  <c r="F107" i="4" s="1"/>
  <c r="Z109" i="4"/>
  <c r="C114" i="4"/>
  <c r="F114" i="4" s="1"/>
  <c r="T114" i="4"/>
  <c r="S114" i="4"/>
  <c r="Z118" i="4"/>
  <c r="T119" i="4"/>
  <c r="C119" i="4"/>
  <c r="F119" i="4" s="1"/>
  <c r="S119" i="4"/>
  <c r="C124" i="4"/>
  <c r="F124" i="4" s="1"/>
  <c r="T164" i="4"/>
  <c r="S164" i="4"/>
  <c r="C164" i="4"/>
  <c r="F164" i="4" s="1"/>
  <c r="C82" i="4"/>
  <c r="F82" i="4" s="1"/>
  <c r="C98" i="4"/>
  <c r="T127" i="4"/>
  <c r="U127" i="4" s="1"/>
  <c r="C127" i="4"/>
  <c r="F127" i="4" s="1"/>
  <c r="C86" i="4"/>
  <c r="C102" i="4"/>
  <c r="F102" i="4" s="1"/>
  <c r="S132" i="4"/>
  <c r="T132" i="4"/>
  <c r="C144" i="4"/>
  <c r="F144" i="4" s="1"/>
  <c r="T144" i="4"/>
  <c r="U144" i="4" s="1"/>
  <c r="C149" i="4"/>
  <c r="F149" i="4" s="1"/>
  <c r="S149" i="4"/>
  <c r="T149" i="4"/>
  <c r="S120" i="4"/>
  <c r="T120" i="4"/>
  <c r="S128" i="4"/>
  <c r="T128" i="4"/>
  <c r="S136" i="4"/>
  <c r="T136" i="4"/>
  <c r="S142" i="4"/>
  <c r="T142" i="4"/>
  <c r="C142" i="4"/>
  <c r="F142" i="4" s="1"/>
  <c r="T166" i="4"/>
  <c r="S166" i="4"/>
  <c r="C166" i="4"/>
  <c r="F166" i="4" s="1"/>
  <c r="C106" i="4"/>
  <c r="C120" i="4"/>
  <c r="F120" i="4" s="1"/>
  <c r="T123" i="4"/>
  <c r="C123" i="4"/>
  <c r="F123" i="4" s="1"/>
  <c r="C128" i="4"/>
  <c r="F128" i="4" s="1"/>
  <c r="T131" i="4"/>
  <c r="U131" i="4" s="1"/>
  <c r="C131" i="4"/>
  <c r="F131" i="4" s="1"/>
  <c r="C136" i="4"/>
  <c r="F136" i="4" s="1"/>
  <c r="T139" i="4"/>
  <c r="C139" i="4"/>
  <c r="F139" i="4" s="1"/>
  <c r="C145" i="4"/>
  <c r="F145" i="4" s="1"/>
  <c r="C153" i="4"/>
  <c r="F153" i="4" s="1"/>
  <c r="T153" i="4"/>
  <c r="S151" i="4"/>
  <c r="T151" i="4"/>
  <c r="C151" i="4"/>
  <c r="F151" i="4" s="1"/>
  <c r="C155" i="4"/>
  <c r="F155" i="4" s="1"/>
  <c r="T155" i="4"/>
  <c r="C170" i="4"/>
  <c r="F170" i="4" s="1"/>
  <c r="S170" i="4"/>
  <c r="T170" i="4"/>
  <c r="S145" i="4"/>
  <c r="T145" i="4"/>
  <c r="T147" i="4"/>
  <c r="C154" i="4"/>
  <c r="F154" i="4" s="1"/>
  <c r="S154" i="4"/>
  <c r="C157" i="4"/>
  <c r="F157" i="4" s="1"/>
  <c r="T171" i="4"/>
  <c r="S171" i="4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D357" i="2"/>
  <c r="E357" i="2" s="1"/>
  <c r="D353" i="2"/>
  <c r="E353" i="2" s="1"/>
  <c r="D349" i="2"/>
  <c r="E349" i="2" s="1"/>
  <c r="D345" i="2"/>
  <c r="E345" i="2" s="1"/>
  <c r="D341" i="2"/>
  <c r="E341" i="2" s="1"/>
  <c r="D337" i="2"/>
  <c r="E337" i="2" s="1"/>
  <c r="D333" i="2"/>
  <c r="E333" i="2" s="1"/>
  <c r="D329" i="2"/>
  <c r="E329" i="2" s="1"/>
  <c r="D325" i="2"/>
  <c r="E325" i="2" s="1"/>
  <c r="D321" i="2"/>
  <c r="E321" i="2" s="1"/>
  <c r="D317" i="2"/>
  <c r="E317" i="2" s="1"/>
  <c r="D313" i="2"/>
  <c r="E313" i="2" s="1"/>
  <c r="D309" i="2"/>
  <c r="E309" i="2" s="1"/>
  <c r="D305" i="2"/>
  <c r="E305" i="2" s="1"/>
  <c r="D301" i="2"/>
  <c r="E301" i="2" s="1"/>
  <c r="D297" i="2"/>
  <c r="E297" i="2" s="1"/>
  <c r="D293" i="2"/>
  <c r="E293" i="2" s="1"/>
  <c r="D289" i="2"/>
  <c r="E289" i="2" s="1"/>
  <c r="D285" i="2"/>
  <c r="E285" i="2" s="1"/>
  <c r="D281" i="2"/>
  <c r="E281" i="2" s="1"/>
  <c r="D277" i="2"/>
  <c r="E277" i="2" s="1"/>
  <c r="D273" i="2"/>
  <c r="E273" i="2" s="1"/>
  <c r="D269" i="2"/>
  <c r="E269" i="2" s="1"/>
  <c r="D265" i="2"/>
  <c r="E265" i="2" s="1"/>
  <c r="D261" i="2"/>
  <c r="E261" i="2" s="1"/>
  <c r="D257" i="2"/>
  <c r="E257" i="2" s="1"/>
  <c r="D253" i="2"/>
  <c r="E253" i="2" s="1"/>
  <c r="D249" i="2"/>
  <c r="E249" i="2" s="1"/>
  <c r="D245" i="2"/>
  <c r="E245" i="2" s="1"/>
  <c r="D241" i="2"/>
  <c r="E241" i="2" s="1"/>
  <c r="D237" i="2"/>
  <c r="E237" i="2" s="1"/>
  <c r="D233" i="2"/>
  <c r="E233" i="2" s="1"/>
  <c r="D229" i="2"/>
  <c r="E229" i="2" s="1"/>
  <c r="D225" i="2"/>
  <c r="E225" i="2" s="1"/>
  <c r="D221" i="2"/>
  <c r="E221" i="2" s="1"/>
  <c r="D217" i="2"/>
  <c r="E217" i="2" s="1"/>
  <c r="D213" i="2"/>
  <c r="E213" i="2" s="1"/>
  <c r="D209" i="2"/>
  <c r="E209" i="2" s="1"/>
  <c r="D205" i="2"/>
  <c r="E205" i="2" s="1"/>
  <c r="D201" i="2"/>
  <c r="E201" i="2" s="1"/>
  <c r="D197" i="2"/>
  <c r="E197" i="2" s="1"/>
  <c r="C358" i="2"/>
  <c r="D358" i="2" s="1"/>
  <c r="E358" i="2" s="1"/>
  <c r="C357" i="2"/>
  <c r="C356" i="2"/>
  <c r="D356" i="2" s="1"/>
  <c r="E356" i="2" s="1"/>
  <c r="C355" i="2"/>
  <c r="D355" i="2" s="1"/>
  <c r="E355" i="2" s="1"/>
  <c r="C354" i="2"/>
  <c r="D354" i="2" s="1"/>
  <c r="E354" i="2" s="1"/>
  <c r="C353" i="2"/>
  <c r="C352" i="2"/>
  <c r="D352" i="2" s="1"/>
  <c r="E352" i="2" s="1"/>
  <c r="C351" i="2"/>
  <c r="D351" i="2" s="1"/>
  <c r="E351" i="2" s="1"/>
  <c r="C350" i="2"/>
  <c r="D350" i="2" s="1"/>
  <c r="E350" i="2" s="1"/>
  <c r="C349" i="2"/>
  <c r="C348" i="2"/>
  <c r="D348" i="2" s="1"/>
  <c r="E348" i="2" s="1"/>
  <c r="C347" i="2"/>
  <c r="D347" i="2" s="1"/>
  <c r="E347" i="2" s="1"/>
  <c r="C346" i="2"/>
  <c r="D346" i="2" s="1"/>
  <c r="E346" i="2" s="1"/>
  <c r="C345" i="2"/>
  <c r="C344" i="2"/>
  <c r="D344" i="2" s="1"/>
  <c r="E344" i="2" s="1"/>
  <c r="C343" i="2"/>
  <c r="D343" i="2" s="1"/>
  <c r="E343" i="2" s="1"/>
  <c r="C342" i="2"/>
  <c r="D342" i="2" s="1"/>
  <c r="E342" i="2" s="1"/>
  <c r="C341" i="2"/>
  <c r="C340" i="2"/>
  <c r="D340" i="2" s="1"/>
  <c r="E340" i="2" s="1"/>
  <c r="C339" i="2"/>
  <c r="D339" i="2" s="1"/>
  <c r="E339" i="2" s="1"/>
  <c r="C338" i="2"/>
  <c r="D338" i="2" s="1"/>
  <c r="E338" i="2" s="1"/>
  <c r="C337" i="2"/>
  <c r="C336" i="2"/>
  <c r="D336" i="2" s="1"/>
  <c r="E336" i="2" s="1"/>
  <c r="C335" i="2"/>
  <c r="D335" i="2" s="1"/>
  <c r="E335" i="2" s="1"/>
  <c r="C334" i="2"/>
  <c r="D334" i="2" s="1"/>
  <c r="E334" i="2" s="1"/>
  <c r="C333" i="2"/>
  <c r="C332" i="2"/>
  <c r="D332" i="2" s="1"/>
  <c r="E332" i="2" s="1"/>
  <c r="C331" i="2"/>
  <c r="D331" i="2" s="1"/>
  <c r="E331" i="2" s="1"/>
  <c r="C330" i="2"/>
  <c r="D330" i="2" s="1"/>
  <c r="E330" i="2" s="1"/>
  <c r="C329" i="2"/>
  <c r="C328" i="2"/>
  <c r="D328" i="2" s="1"/>
  <c r="E328" i="2" s="1"/>
  <c r="C327" i="2"/>
  <c r="D327" i="2" s="1"/>
  <c r="E327" i="2" s="1"/>
  <c r="C326" i="2"/>
  <c r="D326" i="2" s="1"/>
  <c r="E326" i="2" s="1"/>
  <c r="C325" i="2"/>
  <c r="C324" i="2"/>
  <c r="D324" i="2" s="1"/>
  <c r="E324" i="2" s="1"/>
  <c r="C323" i="2"/>
  <c r="D323" i="2" s="1"/>
  <c r="E323" i="2" s="1"/>
  <c r="C322" i="2"/>
  <c r="D322" i="2" s="1"/>
  <c r="E322" i="2" s="1"/>
  <c r="C321" i="2"/>
  <c r="C320" i="2"/>
  <c r="D320" i="2" s="1"/>
  <c r="E320" i="2" s="1"/>
  <c r="C319" i="2"/>
  <c r="D319" i="2" s="1"/>
  <c r="E319" i="2" s="1"/>
  <c r="C318" i="2"/>
  <c r="D318" i="2" s="1"/>
  <c r="E318" i="2" s="1"/>
  <c r="C317" i="2"/>
  <c r="C316" i="2"/>
  <c r="D316" i="2" s="1"/>
  <c r="E316" i="2" s="1"/>
  <c r="C315" i="2"/>
  <c r="D315" i="2" s="1"/>
  <c r="E315" i="2" s="1"/>
  <c r="C314" i="2"/>
  <c r="D314" i="2" s="1"/>
  <c r="E314" i="2" s="1"/>
  <c r="C313" i="2"/>
  <c r="C312" i="2"/>
  <c r="D312" i="2" s="1"/>
  <c r="E312" i="2" s="1"/>
  <c r="C311" i="2"/>
  <c r="D311" i="2" s="1"/>
  <c r="E311" i="2" s="1"/>
  <c r="C310" i="2"/>
  <c r="D310" i="2" s="1"/>
  <c r="E310" i="2" s="1"/>
  <c r="C309" i="2"/>
  <c r="C308" i="2"/>
  <c r="D308" i="2" s="1"/>
  <c r="E308" i="2" s="1"/>
  <c r="C307" i="2"/>
  <c r="D307" i="2" s="1"/>
  <c r="E307" i="2" s="1"/>
  <c r="C306" i="2"/>
  <c r="D306" i="2" s="1"/>
  <c r="E306" i="2" s="1"/>
  <c r="C305" i="2"/>
  <c r="C304" i="2"/>
  <c r="D304" i="2" s="1"/>
  <c r="E304" i="2" s="1"/>
  <c r="C303" i="2"/>
  <c r="D303" i="2" s="1"/>
  <c r="E303" i="2" s="1"/>
  <c r="C302" i="2"/>
  <c r="D302" i="2" s="1"/>
  <c r="E302" i="2" s="1"/>
  <c r="C301" i="2"/>
  <c r="C300" i="2"/>
  <c r="D300" i="2" s="1"/>
  <c r="E300" i="2" s="1"/>
  <c r="C299" i="2"/>
  <c r="D299" i="2" s="1"/>
  <c r="E299" i="2" s="1"/>
  <c r="C298" i="2"/>
  <c r="D298" i="2" s="1"/>
  <c r="E298" i="2" s="1"/>
  <c r="C297" i="2"/>
  <c r="C296" i="2"/>
  <c r="D296" i="2" s="1"/>
  <c r="E296" i="2" s="1"/>
  <c r="C295" i="2"/>
  <c r="D295" i="2" s="1"/>
  <c r="E295" i="2" s="1"/>
  <c r="C294" i="2"/>
  <c r="D294" i="2" s="1"/>
  <c r="E294" i="2" s="1"/>
  <c r="C293" i="2"/>
  <c r="C292" i="2"/>
  <c r="D292" i="2" s="1"/>
  <c r="E292" i="2" s="1"/>
  <c r="C291" i="2"/>
  <c r="D291" i="2" s="1"/>
  <c r="E291" i="2" s="1"/>
  <c r="C290" i="2"/>
  <c r="D290" i="2" s="1"/>
  <c r="E290" i="2" s="1"/>
  <c r="C289" i="2"/>
  <c r="C288" i="2"/>
  <c r="D288" i="2" s="1"/>
  <c r="E288" i="2" s="1"/>
  <c r="C287" i="2"/>
  <c r="D287" i="2" s="1"/>
  <c r="E287" i="2" s="1"/>
  <c r="C286" i="2"/>
  <c r="D286" i="2" s="1"/>
  <c r="E286" i="2" s="1"/>
  <c r="C285" i="2"/>
  <c r="C284" i="2"/>
  <c r="D284" i="2" s="1"/>
  <c r="E284" i="2" s="1"/>
  <c r="C283" i="2"/>
  <c r="D283" i="2" s="1"/>
  <c r="E283" i="2" s="1"/>
  <c r="C282" i="2"/>
  <c r="D282" i="2" s="1"/>
  <c r="E282" i="2" s="1"/>
  <c r="C281" i="2"/>
  <c r="C280" i="2"/>
  <c r="D280" i="2" s="1"/>
  <c r="E280" i="2" s="1"/>
  <c r="C279" i="2"/>
  <c r="D279" i="2" s="1"/>
  <c r="E279" i="2" s="1"/>
  <c r="C278" i="2"/>
  <c r="D278" i="2" s="1"/>
  <c r="E278" i="2" s="1"/>
  <c r="C277" i="2"/>
  <c r="C276" i="2"/>
  <c r="D276" i="2" s="1"/>
  <c r="E276" i="2" s="1"/>
  <c r="C275" i="2"/>
  <c r="D275" i="2" s="1"/>
  <c r="E275" i="2" s="1"/>
  <c r="C274" i="2"/>
  <c r="D274" i="2" s="1"/>
  <c r="E274" i="2" s="1"/>
  <c r="C273" i="2"/>
  <c r="C272" i="2"/>
  <c r="D272" i="2" s="1"/>
  <c r="E272" i="2" s="1"/>
  <c r="C271" i="2"/>
  <c r="D271" i="2" s="1"/>
  <c r="E271" i="2" s="1"/>
  <c r="C270" i="2"/>
  <c r="D270" i="2" s="1"/>
  <c r="E270" i="2" s="1"/>
  <c r="C269" i="2"/>
  <c r="C268" i="2"/>
  <c r="D268" i="2" s="1"/>
  <c r="E268" i="2" s="1"/>
  <c r="C267" i="2"/>
  <c r="D267" i="2" s="1"/>
  <c r="E267" i="2" s="1"/>
  <c r="C266" i="2"/>
  <c r="D266" i="2" s="1"/>
  <c r="E266" i="2" s="1"/>
  <c r="C265" i="2"/>
  <c r="C264" i="2"/>
  <c r="D264" i="2" s="1"/>
  <c r="E264" i="2" s="1"/>
  <c r="C263" i="2"/>
  <c r="D263" i="2" s="1"/>
  <c r="E263" i="2" s="1"/>
  <c r="C262" i="2"/>
  <c r="D262" i="2" s="1"/>
  <c r="E262" i="2" s="1"/>
  <c r="C261" i="2"/>
  <c r="C260" i="2"/>
  <c r="D260" i="2" s="1"/>
  <c r="E260" i="2" s="1"/>
  <c r="C259" i="2"/>
  <c r="D259" i="2" s="1"/>
  <c r="E259" i="2" s="1"/>
  <c r="C258" i="2"/>
  <c r="D258" i="2" s="1"/>
  <c r="E258" i="2" s="1"/>
  <c r="C257" i="2"/>
  <c r="C256" i="2"/>
  <c r="D256" i="2" s="1"/>
  <c r="E256" i="2" s="1"/>
  <c r="C255" i="2"/>
  <c r="D255" i="2" s="1"/>
  <c r="E255" i="2" s="1"/>
  <c r="C254" i="2"/>
  <c r="D254" i="2" s="1"/>
  <c r="E254" i="2" s="1"/>
  <c r="C253" i="2"/>
  <c r="C252" i="2"/>
  <c r="D252" i="2" s="1"/>
  <c r="E252" i="2" s="1"/>
  <c r="C251" i="2"/>
  <c r="D251" i="2" s="1"/>
  <c r="E251" i="2" s="1"/>
  <c r="C250" i="2"/>
  <c r="D250" i="2" s="1"/>
  <c r="E250" i="2" s="1"/>
  <c r="C249" i="2"/>
  <c r="C248" i="2"/>
  <c r="D248" i="2" s="1"/>
  <c r="E248" i="2" s="1"/>
  <c r="C247" i="2"/>
  <c r="D247" i="2" s="1"/>
  <c r="E247" i="2" s="1"/>
  <c r="C246" i="2"/>
  <c r="D246" i="2" s="1"/>
  <c r="E246" i="2" s="1"/>
  <c r="C245" i="2"/>
  <c r="C244" i="2"/>
  <c r="D244" i="2" s="1"/>
  <c r="E244" i="2" s="1"/>
  <c r="C243" i="2"/>
  <c r="D243" i="2" s="1"/>
  <c r="E243" i="2" s="1"/>
  <c r="C242" i="2"/>
  <c r="D242" i="2" s="1"/>
  <c r="E242" i="2" s="1"/>
  <c r="C241" i="2"/>
  <c r="C240" i="2"/>
  <c r="D240" i="2" s="1"/>
  <c r="E240" i="2" s="1"/>
  <c r="C239" i="2"/>
  <c r="D239" i="2" s="1"/>
  <c r="E239" i="2" s="1"/>
  <c r="C238" i="2"/>
  <c r="D238" i="2" s="1"/>
  <c r="E238" i="2" s="1"/>
  <c r="C237" i="2"/>
  <c r="C236" i="2"/>
  <c r="D236" i="2" s="1"/>
  <c r="E236" i="2" s="1"/>
  <c r="C235" i="2"/>
  <c r="D235" i="2" s="1"/>
  <c r="E235" i="2" s="1"/>
  <c r="C234" i="2"/>
  <c r="D234" i="2" s="1"/>
  <c r="E234" i="2" s="1"/>
  <c r="C233" i="2"/>
  <c r="C232" i="2"/>
  <c r="D232" i="2" s="1"/>
  <c r="E232" i="2" s="1"/>
  <c r="C231" i="2"/>
  <c r="D231" i="2" s="1"/>
  <c r="E231" i="2" s="1"/>
  <c r="C230" i="2"/>
  <c r="D230" i="2" s="1"/>
  <c r="E230" i="2" s="1"/>
  <c r="C229" i="2"/>
  <c r="C228" i="2"/>
  <c r="D228" i="2" s="1"/>
  <c r="E228" i="2" s="1"/>
  <c r="C227" i="2"/>
  <c r="D227" i="2" s="1"/>
  <c r="E227" i="2" s="1"/>
  <c r="C226" i="2"/>
  <c r="D226" i="2" s="1"/>
  <c r="E226" i="2" s="1"/>
  <c r="C225" i="2"/>
  <c r="C224" i="2"/>
  <c r="D224" i="2" s="1"/>
  <c r="E224" i="2" s="1"/>
  <c r="C223" i="2"/>
  <c r="D223" i="2" s="1"/>
  <c r="E223" i="2" s="1"/>
  <c r="C222" i="2"/>
  <c r="D222" i="2" s="1"/>
  <c r="E222" i="2" s="1"/>
  <c r="C221" i="2"/>
  <c r="C220" i="2"/>
  <c r="D220" i="2" s="1"/>
  <c r="E220" i="2" s="1"/>
  <c r="C219" i="2"/>
  <c r="D219" i="2" s="1"/>
  <c r="E219" i="2" s="1"/>
  <c r="C218" i="2"/>
  <c r="D218" i="2" s="1"/>
  <c r="E218" i="2" s="1"/>
  <c r="C217" i="2"/>
  <c r="C216" i="2"/>
  <c r="D216" i="2" s="1"/>
  <c r="E216" i="2" s="1"/>
  <c r="C215" i="2"/>
  <c r="D215" i="2" s="1"/>
  <c r="E215" i="2" s="1"/>
  <c r="C214" i="2"/>
  <c r="D214" i="2" s="1"/>
  <c r="E214" i="2" s="1"/>
  <c r="C213" i="2"/>
  <c r="C212" i="2"/>
  <c r="D212" i="2" s="1"/>
  <c r="E212" i="2" s="1"/>
  <c r="C211" i="2"/>
  <c r="D211" i="2" s="1"/>
  <c r="E211" i="2" s="1"/>
  <c r="C210" i="2"/>
  <c r="D210" i="2" s="1"/>
  <c r="E210" i="2" s="1"/>
  <c r="C209" i="2"/>
  <c r="C208" i="2"/>
  <c r="D208" i="2" s="1"/>
  <c r="E208" i="2" s="1"/>
  <c r="C207" i="2"/>
  <c r="D207" i="2" s="1"/>
  <c r="E207" i="2" s="1"/>
  <c r="C206" i="2"/>
  <c r="D206" i="2" s="1"/>
  <c r="E206" i="2" s="1"/>
  <c r="C205" i="2"/>
  <c r="C204" i="2"/>
  <c r="D204" i="2" s="1"/>
  <c r="E204" i="2" s="1"/>
  <c r="C203" i="2"/>
  <c r="D203" i="2" s="1"/>
  <c r="E203" i="2" s="1"/>
  <c r="C202" i="2"/>
  <c r="D202" i="2" s="1"/>
  <c r="E202" i="2" s="1"/>
  <c r="C201" i="2"/>
  <c r="C200" i="2"/>
  <c r="D200" i="2" s="1"/>
  <c r="E200" i="2" s="1"/>
  <c r="C199" i="2"/>
  <c r="D199" i="2" s="1"/>
  <c r="E199" i="2" s="1"/>
  <c r="C198" i="2"/>
  <c r="D198" i="2" s="1"/>
  <c r="E198" i="2" s="1"/>
  <c r="C197" i="2"/>
  <c r="O171" i="1"/>
  <c r="I81" i="8" l="1"/>
  <c r="K20" i="8"/>
  <c r="H56" i="8"/>
  <c r="J28" i="8"/>
  <c r="K12" i="8"/>
  <c r="H81" i="8"/>
  <c r="I80" i="8"/>
  <c r="H107" i="8"/>
  <c r="H20" i="8"/>
  <c r="I24" i="8"/>
  <c r="K107" i="8"/>
  <c r="H24" i="8"/>
  <c r="I44" i="8"/>
  <c r="K94" i="8"/>
  <c r="H65" i="8"/>
  <c r="J57" i="8"/>
  <c r="K89" i="8"/>
  <c r="K32" i="8"/>
  <c r="I94" i="8"/>
  <c r="K40" i="8"/>
  <c r="H80" i="8"/>
  <c r="K88" i="8"/>
  <c r="J81" i="8"/>
  <c r="I36" i="8"/>
  <c r="I12" i="8"/>
  <c r="I107" i="8"/>
  <c r="I28" i="8"/>
  <c r="K24" i="8"/>
  <c r="K48" i="8"/>
  <c r="K36" i="8"/>
  <c r="I56" i="8"/>
  <c r="H36" i="8"/>
  <c r="J20" i="8"/>
  <c r="J73" i="8"/>
  <c r="I48" i="8"/>
  <c r="I72" i="8"/>
  <c r="H72" i="8"/>
  <c r="J16" i="8"/>
  <c r="I52" i="8"/>
  <c r="I64" i="8"/>
  <c r="H88" i="8"/>
  <c r="J52" i="8"/>
  <c r="H44" i="8"/>
  <c r="J48" i="8"/>
  <c r="K16" i="8"/>
  <c r="K80" i="8"/>
  <c r="K72" i="8"/>
  <c r="H52" i="8"/>
  <c r="K44" i="8"/>
  <c r="I88" i="8"/>
  <c r="K56" i="8"/>
  <c r="H12" i="8"/>
  <c r="J94" i="8"/>
  <c r="J89" i="8"/>
  <c r="H57" i="8"/>
  <c r="H40" i="8"/>
  <c r="G40" i="8" s="1"/>
  <c r="E40" i="8" s="1"/>
  <c r="D40" i="8" s="1"/>
  <c r="H32" i="8"/>
  <c r="G32" i="8" s="1"/>
  <c r="E32" i="8" s="1"/>
  <c r="D32" i="8" s="1"/>
  <c r="I89" i="8"/>
  <c r="I57" i="8"/>
  <c r="J65" i="8"/>
  <c r="J40" i="8"/>
  <c r="J32" i="8"/>
  <c r="I65" i="8"/>
  <c r="G65" i="8" s="1"/>
  <c r="E65" i="8" s="1"/>
  <c r="D65" i="8" s="1"/>
  <c r="F2" i="8"/>
  <c r="K73" i="8"/>
  <c r="H28" i="8"/>
  <c r="K64" i="8"/>
  <c r="I16" i="8"/>
  <c r="I73" i="8"/>
  <c r="H64" i="8"/>
  <c r="K149" i="8"/>
  <c r="I149" i="8"/>
  <c r="J149" i="8"/>
  <c r="H149" i="8"/>
  <c r="J121" i="8"/>
  <c r="I121" i="8"/>
  <c r="K121" i="8"/>
  <c r="H121" i="8"/>
  <c r="I79" i="8"/>
  <c r="H79" i="8"/>
  <c r="J79" i="8"/>
  <c r="K79" i="8"/>
  <c r="I93" i="8"/>
  <c r="K93" i="8"/>
  <c r="H93" i="8"/>
  <c r="J93" i="8"/>
  <c r="J158" i="8"/>
  <c r="I158" i="8"/>
  <c r="S158" i="8"/>
  <c r="H158" i="8"/>
  <c r="K158" i="8"/>
  <c r="J137" i="8"/>
  <c r="I137" i="8"/>
  <c r="K137" i="8"/>
  <c r="H137" i="8"/>
  <c r="I63" i="8"/>
  <c r="H63" i="8"/>
  <c r="J63" i="8"/>
  <c r="K63" i="8"/>
  <c r="J30" i="8"/>
  <c r="K30" i="8"/>
  <c r="I30" i="8"/>
  <c r="H30" i="8"/>
  <c r="K128" i="8"/>
  <c r="I128" i="8"/>
  <c r="J128" i="8"/>
  <c r="H128" i="8"/>
  <c r="I105" i="8"/>
  <c r="K105" i="8"/>
  <c r="J105" i="8"/>
  <c r="H105" i="8"/>
  <c r="K103" i="8"/>
  <c r="J103" i="8"/>
  <c r="I103" i="8"/>
  <c r="H103" i="8"/>
  <c r="I122" i="8"/>
  <c r="H122" i="8"/>
  <c r="J122" i="8"/>
  <c r="K122" i="8"/>
  <c r="K99" i="8"/>
  <c r="I99" i="8"/>
  <c r="J99" i="8"/>
  <c r="H99" i="8"/>
  <c r="J14" i="8"/>
  <c r="K14" i="8"/>
  <c r="I14" i="8"/>
  <c r="H14" i="8"/>
  <c r="J164" i="8"/>
  <c r="S164" i="8"/>
  <c r="K164" i="8"/>
  <c r="H164" i="8"/>
  <c r="I164" i="8"/>
  <c r="I87" i="8"/>
  <c r="H87" i="8"/>
  <c r="J87" i="8"/>
  <c r="K87" i="8"/>
  <c r="I71" i="8"/>
  <c r="H71" i="8"/>
  <c r="J71" i="8"/>
  <c r="K71" i="8"/>
  <c r="J54" i="8"/>
  <c r="K54" i="8"/>
  <c r="I54" i="8"/>
  <c r="H54" i="8"/>
  <c r="S167" i="8"/>
  <c r="H167" i="8"/>
  <c r="K167" i="8"/>
  <c r="J167" i="8"/>
  <c r="I167" i="8"/>
  <c r="J129" i="8"/>
  <c r="H129" i="8"/>
  <c r="I129" i="8"/>
  <c r="K129" i="8"/>
  <c r="J145" i="8"/>
  <c r="I145" i="8"/>
  <c r="K145" i="8"/>
  <c r="H145" i="8"/>
  <c r="I91" i="8"/>
  <c r="H91" i="8"/>
  <c r="J91" i="8"/>
  <c r="K91" i="8"/>
  <c r="I75" i="8"/>
  <c r="H75" i="8"/>
  <c r="J75" i="8"/>
  <c r="K75" i="8"/>
  <c r="I59" i="8"/>
  <c r="H59" i="8"/>
  <c r="J59" i="8"/>
  <c r="K59" i="8"/>
  <c r="I39" i="8"/>
  <c r="J39" i="8"/>
  <c r="K39" i="8"/>
  <c r="H39" i="8"/>
  <c r="J10" i="8"/>
  <c r="K10" i="8"/>
  <c r="H10" i="8"/>
  <c r="I10" i="8"/>
  <c r="J38" i="8"/>
  <c r="K38" i="8"/>
  <c r="I38" i="8"/>
  <c r="H38" i="8"/>
  <c r="K25" i="8"/>
  <c r="H25" i="8"/>
  <c r="J25" i="8"/>
  <c r="I25" i="8"/>
  <c r="J160" i="8"/>
  <c r="H160" i="8"/>
  <c r="K160" i="8"/>
  <c r="I160" i="8"/>
  <c r="S160" i="8"/>
  <c r="K140" i="8"/>
  <c r="H140" i="8"/>
  <c r="J140" i="8"/>
  <c r="I140" i="8"/>
  <c r="I147" i="8"/>
  <c r="H147" i="8"/>
  <c r="J147" i="8"/>
  <c r="K147" i="8"/>
  <c r="H123" i="8"/>
  <c r="K123" i="8"/>
  <c r="I123" i="8"/>
  <c r="J123" i="8"/>
  <c r="J104" i="8"/>
  <c r="H104" i="8"/>
  <c r="I104" i="8"/>
  <c r="K104" i="8"/>
  <c r="K132" i="8"/>
  <c r="J132" i="8"/>
  <c r="H132" i="8"/>
  <c r="I132" i="8"/>
  <c r="I126" i="8"/>
  <c r="H126" i="8"/>
  <c r="J126" i="8"/>
  <c r="K126" i="8"/>
  <c r="K95" i="8"/>
  <c r="H95" i="8"/>
  <c r="I95" i="8"/>
  <c r="J95" i="8"/>
  <c r="K114" i="8"/>
  <c r="H114" i="8"/>
  <c r="J114" i="8"/>
  <c r="I114" i="8"/>
  <c r="I130" i="8"/>
  <c r="J130" i="8"/>
  <c r="K130" i="8"/>
  <c r="H130" i="8"/>
  <c r="I23" i="8"/>
  <c r="J23" i="8"/>
  <c r="H23" i="8"/>
  <c r="K23" i="8"/>
  <c r="J46" i="8"/>
  <c r="K46" i="8"/>
  <c r="I46" i="8"/>
  <c r="H46" i="8"/>
  <c r="R154" i="8"/>
  <c r="J150" i="8"/>
  <c r="K150" i="8"/>
  <c r="H150" i="8"/>
  <c r="I150" i="8"/>
  <c r="R144" i="8"/>
  <c r="R141" i="8"/>
  <c r="H143" i="8"/>
  <c r="J143" i="8"/>
  <c r="K143" i="8"/>
  <c r="I143" i="8"/>
  <c r="R133" i="8"/>
  <c r="R134" i="8"/>
  <c r="K115" i="8"/>
  <c r="J115" i="8"/>
  <c r="I115" i="8"/>
  <c r="H115" i="8"/>
  <c r="H109" i="8"/>
  <c r="I109" i="8"/>
  <c r="K109" i="8"/>
  <c r="J109" i="8"/>
  <c r="R170" i="8"/>
  <c r="R111" i="8"/>
  <c r="H135" i="8"/>
  <c r="J135" i="8"/>
  <c r="K135" i="8"/>
  <c r="I135" i="8"/>
  <c r="J125" i="8"/>
  <c r="K125" i="8"/>
  <c r="H125" i="8"/>
  <c r="I125" i="8"/>
  <c r="R116" i="8"/>
  <c r="H106" i="8"/>
  <c r="J106" i="8"/>
  <c r="I106" i="8"/>
  <c r="K106" i="8"/>
  <c r="J100" i="8"/>
  <c r="K100" i="8"/>
  <c r="H100" i="8"/>
  <c r="I100" i="8"/>
  <c r="K85" i="8"/>
  <c r="J85" i="8"/>
  <c r="H85" i="8"/>
  <c r="I85" i="8"/>
  <c r="R78" i="8"/>
  <c r="H76" i="8"/>
  <c r="K76" i="8"/>
  <c r="I76" i="8"/>
  <c r="J76" i="8"/>
  <c r="K69" i="8"/>
  <c r="J69" i="8"/>
  <c r="H69" i="8"/>
  <c r="I69" i="8"/>
  <c r="R62" i="8"/>
  <c r="H60" i="8"/>
  <c r="K60" i="8"/>
  <c r="I60" i="8"/>
  <c r="J60" i="8"/>
  <c r="R50" i="8"/>
  <c r="R47" i="8"/>
  <c r="R18" i="8"/>
  <c r="R15" i="8"/>
  <c r="R108" i="8"/>
  <c r="R92" i="8"/>
  <c r="K45" i="8"/>
  <c r="H45" i="8"/>
  <c r="I45" i="8"/>
  <c r="J45" i="8"/>
  <c r="K37" i="8"/>
  <c r="H37" i="8"/>
  <c r="I37" i="8"/>
  <c r="J37" i="8"/>
  <c r="K29" i="8"/>
  <c r="H29" i="8"/>
  <c r="I29" i="8"/>
  <c r="J29" i="8"/>
  <c r="K21" i="8"/>
  <c r="H21" i="8"/>
  <c r="I21" i="8"/>
  <c r="J21" i="8"/>
  <c r="K13" i="8"/>
  <c r="H13" i="8"/>
  <c r="I13" i="8"/>
  <c r="J13" i="8"/>
  <c r="R112" i="8"/>
  <c r="K33" i="8"/>
  <c r="H33" i="8"/>
  <c r="I33" i="8"/>
  <c r="J33" i="8"/>
  <c r="I117" i="8"/>
  <c r="K117" i="8"/>
  <c r="H117" i="8"/>
  <c r="J117" i="8"/>
  <c r="I155" i="8"/>
  <c r="K155" i="8"/>
  <c r="J155" i="8"/>
  <c r="H155" i="8"/>
  <c r="H156" i="8"/>
  <c r="J156" i="8"/>
  <c r="K156" i="8"/>
  <c r="I156" i="8"/>
  <c r="R74" i="8"/>
  <c r="S161" i="8"/>
  <c r="H161" i="8"/>
  <c r="K161" i="8"/>
  <c r="I161" i="8"/>
  <c r="J161" i="8"/>
  <c r="K110" i="8"/>
  <c r="H110" i="8"/>
  <c r="I110" i="8"/>
  <c r="J110" i="8"/>
  <c r="K136" i="8"/>
  <c r="I136" i="8"/>
  <c r="J136" i="8"/>
  <c r="H136" i="8"/>
  <c r="I67" i="8"/>
  <c r="H67" i="8"/>
  <c r="J67" i="8"/>
  <c r="K67" i="8"/>
  <c r="J42" i="8"/>
  <c r="K42" i="8"/>
  <c r="I42" i="8"/>
  <c r="H42" i="8"/>
  <c r="K49" i="8"/>
  <c r="H49" i="8"/>
  <c r="J49" i="8"/>
  <c r="I49" i="8"/>
  <c r="H131" i="8"/>
  <c r="I131" i="8"/>
  <c r="J131" i="8"/>
  <c r="K131" i="8"/>
  <c r="H113" i="8"/>
  <c r="I113" i="8"/>
  <c r="J113" i="8"/>
  <c r="K113" i="8"/>
  <c r="I11" i="8"/>
  <c r="J11" i="8"/>
  <c r="H11" i="8"/>
  <c r="K11" i="8"/>
  <c r="I151" i="8"/>
  <c r="J151" i="8"/>
  <c r="H151" i="8"/>
  <c r="K151" i="8"/>
  <c r="H148" i="8"/>
  <c r="K148" i="8"/>
  <c r="I148" i="8"/>
  <c r="J148" i="8"/>
  <c r="S169" i="8"/>
  <c r="H169" i="8"/>
  <c r="K169" i="8"/>
  <c r="J169" i="8"/>
  <c r="I169" i="8"/>
  <c r="I146" i="8"/>
  <c r="J146" i="8"/>
  <c r="K146" i="8"/>
  <c r="H146" i="8"/>
  <c r="K153" i="8"/>
  <c r="J153" i="8"/>
  <c r="I153" i="8"/>
  <c r="H153" i="8"/>
  <c r="K157" i="8"/>
  <c r="J157" i="8"/>
  <c r="H157" i="8"/>
  <c r="I157" i="8"/>
  <c r="H119" i="8"/>
  <c r="J119" i="8"/>
  <c r="K119" i="8"/>
  <c r="I119" i="8"/>
  <c r="R86" i="8"/>
  <c r="H84" i="8"/>
  <c r="K84" i="8"/>
  <c r="I84" i="8"/>
  <c r="J84" i="8"/>
  <c r="K77" i="8"/>
  <c r="J77" i="8"/>
  <c r="H77" i="8"/>
  <c r="I77" i="8"/>
  <c r="R70" i="8"/>
  <c r="H68" i="8"/>
  <c r="K68" i="8"/>
  <c r="I68" i="8"/>
  <c r="J68" i="8"/>
  <c r="K61" i="8"/>
  <c r="J61" i="8"/>
  <c r="H61" i="8"/>
  <c r="I61" i="8"/>
  <c r="R34" i="8"/>
  <c r="R31" i="8"/>
  <c r="R66" i="8"/>
  <c r="R43" i="8"/>
  <c r="R82" i="8"/>
  <c r="J96" i="8"/>
  <c r="K96" i="8"/>
  <c r="I96" i="8"/>
  <c r="H96" i="8"/>
  <c r="K41" i="8"/>
  <c r="H41" i="8"/>
  <c r="I41" i="8"/>
  <c r="J41" i="8"/>
  <c r="K17" i="8"/>
  <c r="H17" i="8"/>
  <c r="J17" i="8"/>
  <c r="I17" i="8"/>
  <c r="J171" i="8"/>
  <c r="S171" i="8"/>
  <c r="K171" i="8"/>
  <c r="H171" i="8"/>
  <c r="I171" i="8"/>
  <c r="I138" i="8"/>
  <c r="K138" i="8"/>
  <c r="H138" i="8"/>
  <c r="J138" i="8"/>
  <c r="S159" i="8"/>
  <c r="H159" i="8"/>
  <c r="I159" i="8"/>
  <c r="K159" i="8"/>
  <c r="J159" i="8"/>
  <c r="S165" i="8"/>
  <c r="H165" i="8"/>
  <c r="I165" i="8"/>
  <c r="K165" i="8"/>
  <c r="J165" i="8"/>
  <c r="J166" i="8"/>
  <c r="I166" i="8"/>
  <c r="K166" i="8"/>
  <c r="S166" i="8"/>
  <c r="H166" i="8"/>
  <c r="H139" i="8"/>
  <c r="K139" i="8"/>
  <c r="J139" i="8"/>
  <c r="I139" i="8"/>
  <c r="I83" i="8"/>
  <c r="H83" i="8"/>
  <c r="J83" i="8"/>
  <c r="K83" i="8"/>
  <c r="J22" i="8"/>
  <c r="K22" i="8"/>
  <c r="I22" i="8"/>
  <c r="H22" i="8"/>
  <c r="K53" i="8"/>
  <c r="H53" i="8"/>
  <c r="I53" i="8"/>
  <c r="J53" i="8"/>
  <c r="H98" i="8"/>
  <c r="K98" i="8"/>
  <c r="I98" i="8"/>
  <c r="J98" i="8"/>
  <c r="I55" i="8"/>
  <c r="H55" i="8"/>
  <c r="J55" i="8"/>
  <c r="K55" i="8"/>
  <c r="S163" i="8"/>
  <c r="H163" i="8"/>
  <c r="J163" i="8"/>
  <c r="K163" i="8"/>
  <c r="I163" i="8"/>
  <c r="J168" i="8"/>
  <c r="H168" i="8"/>
  <c r="S168" i="8"/>
  <c r="I168" i="8"/>
  <c r="K168" i="8"/>
  <c r="J162" i="8"/>
  <c r="S162" i="8"/>
  <c r="K162" i="8"/>
  <c r="H162" i="8"/>
  <c r="I162" i="8"/>
  <c r="I142" i="8"/>
  <c r="H142" i="8"/>
  <c r="J142" i="8"/>
  <c r="K142" i="8"/>
  <c r="K120" i="8"/>
  <c r="H120" i="8"/>
  <c r="J120" i="8"/>
  <c r="I120" i="8"/>
  <c r="F1" i="8"/>
  <c r="I101" i="8"/>
  <c r="J101" i="8"/>
  <c r="H101" i="8"/>
  <c r="K101" i="8"/>
  <c r="I97" i="8"/>
  <c r="H97" i="8"/>
  <c r="K97" i="8"/>
  <c r="J97" i="8"/>
  <c r="R26" i="8"/>
  <c r="K124" i="8"/>
  <c r="H124" i="8"/>
  <c r="I124" i="8"/>
  <c r="J124" i="8"/>
  <c r="J90" i="8"/>
  <c r="I90" i="8"/>
  <c r="K90" i="8"/>
  <c r="H90" i="8"/>
  <c r="J58" i="8"/>
  <c r="I58" i="8"/>
  <c r="K58" i="8"/>
  <c r="H58" i="8"/>
  <c r="I27" i="8"/>
  <c r="J27" i="8"/>
  <c r="H27" i="8"/>
  <c r="K27" i="8"/>
  <c r="I19" i="8"/>
  <c r="J19" i="8"/>
  <c r="H19" i="8"/>
  <c r="K19" i="8"/>
  <c r="I118" i="8"/>
  <c r="K118" i="8"/>
  <c r="J118" i="8"/>
  <c r="H118" i="8"/>
  <c r="H102" i="8"/>
  <c r="I102" i="8"/>
  <c r="K102" i="8"/>
  <c r="J102" i="8"/>
  <c r="H127" i="8"/>
  <c r="I127" i="8"/>
  <c r="K127" i="8"/>
  <c r="J127" i="8"/>
  <c r="H152" i="8"/>
  <c r="I152" i="8"/>
  <c r="J152" i="8"/>
  <c r="K152" i="8"/>
  <c r="I51" i="8"/>
  <c r="J51" i="8"/>
  <c r="H51" i="8"/>
  <c r="K51" i="8"/>
  <c r="I35" i="8"/>
  <c r="J35" i="8"/>
  <c r="H35" i="8"/>
  <c r="K35" i="8"/>
  <c r="B20" i="6"/>
  <c r="L20" i="6"/>
  <c r="H35" i="6"/>
  <c r="T35" i="6"/>
  <c r="AA147" i="6"/>
  <c r="C147" i="6"/>
  <c r="U19" i="6"/>
  <c r="H19" i="6"/>
  <c r="B110" i="6"/>
  <c r="L110" i="6"/>
  <c r="U110" i="6"/>
  <c r="H56" i="6"/>
  <c r="I56" i="6" s="1"/>
  <c r="U56" i="6"/>
  <c r="H64" i="6"/>
  <c r="J64" i="6" s="1"/>
  <c r="L64" i="6"/>
  <c r="B72" i="6"/>
  <c r="L72" i="6"/>
  <c r="H72" i="6"/>
  <c r="J72" i="6" s="1"/>
  <c r="B96" i="6"/>
  <c r="U96" i="6"/>
  <c r="L160" i="6"/>
  <c r="H160" i="6"/>
  <c r="I160" i="6" s="1"/>
  <c r="C22" i="6"/>
  <c r="T22" i="6"/>
  <c r="AA30" i="6"/>
  <c r="T30" i="6"/>
  <c r="AA70" i="6"/>
  <c r="C70" i="6"/>
  <c r="AA94" i="6"/>
  <c r="T94" i="6"/>
  <c r="C94" i="6"/>
  <c r="C102" i="6"/>
  <c r="AA102" i="6"/>
  <c r="C126" i="6"/>
  <c r="AA126" i="6"/>
  <c r="C142" i="6"/>
  <c r="T142" i="6"/>
  <c r="H99" i="6"/>
  <c r="I99" i="6" s="1"/>
  <c r="AA64" i="6"/>
  <c r="C64" i="6"/>
  <c r="C88" i="6"/>
  <c r="T88" i="6"/>
  <c r="C56" i="6"/>
  <c r="AA56" i="6"/>
  <c r="T56" i="6"/>
  <c r="C32" i="6"/>
  <c r="T32" i="6"/>
  <c r="AA32" i="6"/>
  <c r="T57" i="6"/>
  <c r="AA92" i="6"/>
  <c r="C108" i="6"/>
  <c r="C168" i="6"/>
  <c r="L43" i="6"/>
  <c r="F75" i="6"/>
  <c r="T21" i="6"/>
  <c r="T28" i="6"/>
  <c r="T96" i="6"/>
  <c r="AA21" i="6"/>
  <c r="AA26" i="6"/>
  <c r="AA58" i="6"/>
  <c r="AA96" i="6"/>
  <c r="AA144" i="6"/>
  <c r="C89" i="6"/>
  <c r="L150" i="6"/>
  <c r="C144" i="6"/>
  <c r="L103" i="6"/>
  <c r="L100" i="6"/>
  <c r="L51" i="6"/>
  <c r="L75" i="6"/>
  <c r="U67" i="6"/>
  <c r="T108" i="6"/>
  <c r="B27" i="6"/>
  <c r="U27" i="6"/>
  <c r="V27" i="6" s="1"/>
  <c r="C68" i="6"/>
  <c r="T36" i="6"/>
  <c r="C51" i="6"/>
  <c r="F51" i="6" s="1"/>
  <c r="T51" i="6"/>
  <c r="H51" i="6"/>
  <c r="J51" i="6" s="1"/>
  <c r="H83" i="6"/>
  <c r="J83" i="6" s="1"/>
  <c r="C83" i="6"/>
  <c r="F83" i="6" s="1"/>
  <c r="AA83" i="6"/>
  <c r="T99" i="6"/>
  <c r="V99" i="6" s="1"/>
  <c r="C99" i="6"/>
  <c r="B155" i="6"/>
  <c r="U155" i="6"/>
  <c r="V155" i="6" s="1"/>
  <c r="B46" i="6"/>
  <c r="F46" i="6" s="1"/>
  <c r="U46" i="6"/>
  <c r="L46" i="6"/>
  <c r="H46" i="6"/>
  <c r="J46" i="6" s="1"/>
  <c r="B158" i="6"/>
  <c r="H158" i="6"/>
  <c r="J158" i="6" s="1"/>
  <c r="B40" i="6"/>
  <c r="H40" i="6"/>
  <c r="B64" i="6"/>
  <c r="F64" i="6" s="1"/>
  <c r="U64" i="6"/>
  <c r="B120" i="6"/>
  <c r="H120" i="6"/>
  <c r="J120" i="6" s="1"/>
  <c r="B144" i="6"/>
  <c r="F144" i="6" s="1"/>
  <c r="L144" i="6"/>
  <c r="B168" i="6"/>
  <c r="H168" i="6"/>
  <c r="J168" i="6" s="1"/>
  <c r="L168" i="6"/>
  <c r="T38" i="6"/>
  <c r="C38" i="6"/>
  <c r="C54" i="6"/>
  <c r="T54" i="6"/>
  <c r="AA54" i="6"/>
  <c r="T62" i="6"/>
  <c r="C62" i="6"/>
  <c r="C78" i="6"/>
  <c r="AA78" i="6"/>
  <c r="U135" i="6"/>
  <c r="T64" i="6"/>
  <c r="V64" i="6" s="1"/>
  <c r="AA11" i="6"/>
  <c r="AA36" i="6"/>
  <c r="AA62" i="6"/>
  <c r="AA112" i="6"/>
  <c r="H110" i="6"/>
  <c r="J110" i="6" s="1"/>
  <c r="F96" i="6"/>
  <c r="C112" i="6"/>
  <c r="F136" i="6"/>
  <c r="H96" i="6"/>
  <c r="I96" i="6" s="1"/>
  <c r="C11" i="6"/>
  <c r="C115" i="6"/>
  <c r="H59" i="6"/>
  <c r="J59" i="6" s="1"/>
  <c r="C110" i="6"/>
  <c r="F110" i="6" s="1"/>
  <c r="T83" i="6"/>
  <c r="U59" i="6"/>
  <c r="V59" i="6" s="1"/>
  <c r="U20" i="6"/>
  <c r="U168" i="6"/>
  <c r="V168" i="6" s="1"/>
  <c r="W168" i="6" s="1"/>
  <c r="T70" i="6"/>
  <c r="F168" i="6"/>
  <c r="T140" i="6"/>
  <c r="V140" i="6" s="1"/>
  <c r="C140" i="6"/>
  <c r="AA140" i="6"/>
  <c r="AA52" i="6"/>
  <c r="T52" i="6"/>
  <c r="V52" i="6" s="1"/>
  <c r="B18" i="6"/>
  <c r="L18" i="6"/>
  <c r="U18" i="6"/>
  <c r="B15" i="6"/>
  <c r="U15" i="6"/>
  <c r="B123" i="6"/>
  <c r="L123" i="6"/>
  <c r="B91" i="6"/>
  <c r="L91" i="6"/>
  <c r="U91" i="6"/>
  <c r="T100" i="6"/>
  <c r="T84" i="6"/>
  <c r="T48" i="6"/>
  <c r="C48" i="6"/>
  <c r="C84" i="6"/>
  <c r="B159" i="6"/>
  <c r="U159" i="6"/>
  <c r="V159" i="6" s="1"/>
  <c r="W159" i="6" s="1"/>
  <c r="H159" i="6"/>
  <c r="I159" i="6" s="1"/>
  <c r="T67" i="6"/>
  <c r="AA67" i="6"/>
  <c r="C67" i="6"/>
  <c r="F67" i="6" s="1"/>
  <c r="H131" i="6"/>
  <c r="I131" i="6" s="1"/>
  <c r="C131" i="6"/>
  <c r="AA131" i="6"/>
  <c r="T163" i="6"/>
  <c r="V163" i="6" s="1"/>
  <c r="W163" i="6" s="1"/>
  <c r="AA163" i="6"/>
  <c r="B11" i="6"/>
  <c r="L11" i="6"/>
  <c r="U11" i="6"/>
  <c r="B19" i="6"/>
  <c r="F19" i="6" s="1"/>
  <c r="L19" i="6"/>
  <c r="B30" i="6"/>
  <c r="H30" i="6"/>
  <c r="I30" i="6" s="1"/>
  <c r="U30" i="6"/>
  <c r="B62" i="6"/>
  <c r="L62" i="6"/>
  <c r="U62" i="6"/>
  <c r="V62" i="6" s="1"/>
  <c r="B78" i="6"/>
  <c r="H78" i="6"/>
  <c r="I78" i="6" s="1"/>
  <c r="L78" i="6"/>
  <c r="B94" i="6"/>
  <c r="F94" i="6" s="1"/>
  <c r="U94" i="6"/>
  <c r="L94" i="6"/>
  <c r="B126" i="6"/>
  <c r="L126" i="6"/>
  <c r="H126" i="6"/>
  <c r="J126" i="6" s="1"/>
  <c r="B142" i="6"/>
  <c r="F142" i="6" s="1"/>
  <c r="H142" i="6"/>
  <c r="J142" i="6" s="1"/>
  <c r="U142" i="6"/>
  <c r="V142" i="6" s="1"/>
  <c r="B24" i="6"/>
  <c r="U24" i="6"/>
  <c r="L24" i="6"/>
  <c r="B32" i="6"/>
  <c r="F32" i="6" s="1"/>
  <c r="U32" i="6"/>
  <c r="V32" i="6" s="1"/>
  <c r="B48" i="6"/>
  <c r="L48" i="6"/>
  <c r="B56" i="6"/>
  <c r="F56" i="6" s="1"/>
  <c r="L56" i="6"/>
  <c r="B80" i="6"/>
  <c r="F80" i="6" s="1"/>
  <c r="L80" i="6"/>
  <c r="H80" i="6"/>
  <c r="J80" i="6" s="1"/>
  <c r="B88" i="6"/>
  <c r="L88" i="6"/>
  <c r="H88" i="6"/>
  <c r="J88" i="6" s="1"/>
  <c r="U88" i="6"/>
  <c r="V88" i="6" s="1"/>
  <c r="B104" i="6"/>
  <c r="F104" i="6" s="1"/>
  <c r="L104" i="6"/>
  <c r="U104" i="6"/>
  <c r="B112" i="6"/>
  <c r="H112" i="6"/>
  <c r="J112" i="6" s="1"/>
  <c r="L112" i="6"/>
  <c r="B128" i="6"/>
  <c r="F128" i="6" s="1"/>
  <c r="U128" i="6"/>
  <c r="V128" i="6" s="1"/>
  <c r="H128" i="6"/>
  <c r="J128" i="6" s="1"/>
  <c r="B136" i="6"/>
  <c r="L136" i="6"/>
  <c r="H136" i="6"/>
  <c r="J136" i="6" s="1"/>
  <c r="B152" i="6"/>
  <c r="U152" i="6"/>
  <c r="B160" i="6"/>
  <c r="U160" i="6"/>
  <c r="V160" i="6" s="1"/>
  <c r="W160" i="6" s="1"/>
  <c r="C14" i="6"/>
  <c r="F14" i="6" s="1"/>
  <c r="AA14" i="6"/>
  <c r="T46" i="6"/>
  <c r="AA46" i="6"/>
  <c r="C118" i="6"/>
  <c r="AA118" i="6"/>
  <c r="H134" i="6"/>
  <c r="J134" i="6" s="1"/>
  <c r="AA134" i="6"/>
  <c r="AA158" i="6"/>
  <c r="T158" i="6"/>
  <c r="V158" i="6" s="1"/>
  <c r="W158" i="6" s="1"/>
  <c r="T166" i="6"/>
  <c r="C166" i="6"/>
  <c r="B95" i="6"/>
  <c r="H95" i="6"/>
  <c r="U63" i="6"/>
  <c r="L63" i="6"/>
  <c r="C156" i="6"/>
  <c r="T156" i="6"/>
  <c r="B99" i="6"/>
  <c r="U99" i="6"/>
  <c r="T152" i="6"/>
  <c r="V152" i="6" s="1"/>
  <c r="AA152" i="6"/>
  <c r="C120" i="6"/>
  <c r="F120" i="6" s="1"/>
  <c r="AA120" i="6"/>
  <c r="C24" i="6"/>
  <c r="AA24" i="6"/>
  <c r="T147" i="6"/>
  <c r="V147" i="6" s="1"/>
  <c r="T131" i="6"/>
  <c r="T126" i="6"/>
  <c r="T102" i="6"/>
  <c r="T86" i="6"/>
  <c r="U72" i="6"/>
  <c r="U40" i="6"/>
  <c r="V40" i="6" s="1"/>
  <c r="T68" i="6"/>
  <c r="U31" i="6"/>
  <c r="AA88" i="6"/>
  <c r="AA99" i="6"/>
  <c r="AA110" i="6"/>
  <c r="AA142" i="6"/>
  <c r="L59" i="6"/>
  <c r="L40" i="6"/>
  <c r="L158" i="6"/>
  <c r="C52" i="6"/>
  <c r="C152" i="6"/>
  <c r="H104" i="6"/>
  <c r="J104" i="6" s="1"/>
  <c r="L27" i="6"/>
  <c r="L142" i="6"/>
  <c r="C35" i="6"/>
  <c r="C163" i="6"/>
  <c r="L135" i="6"/>
  <c r="L96" i="6"/>
  <c r="L152" i="6"/>
  <c r="H31" i="6"/>
  <c r="I31" i="6" s="1"/>
  <c r="H115" i="6"/>
  <c r="I115" i="6" s="1"/>
  <c r="C150" i="6"/>
  <c r="C158" i="6"/>
  <c r="C30" i="6"/>
  <c r="F30" i="6" s="1"/>
  <c r="T24" i="6"/>
  <c r="U112" i="6"/>
  <c r="T78" i="6"/>
  <c r="V78" i="6" s="1"/>
  <c r="T115" i="6"/>
  <c r="V115" i="6" s="1"/>
  <c r="T14" i="6"/>
  <c r="V14" i="6" s="1"/>
  <c r="AA23" i="6"/>
  <c r="T23" i="6"/>
  <c r="F20" i="6"/>
  <c r="B34" i="6"/>
  <c r="U34" i="6"/>
  <c r="L50" i="6"/>
  <c r="U50" i="6"/>
  <c r="C41" i="6"/>
  <c r="F41" i="6" s="1"/>
  <c r="T41" i="6"/>
  <c r="T137" i="6"/>
  <c r="V137" i="6" s="1"/>
  <c r="C137" i="6"/>
  <c r="C161" i="6"/>
  <c r="AA161" i="6"/>
  <c r="H49" i="6"/>
  <c r="I49" i="6" s="1"/>
  <c r="H73" i="6"/>
  <c r="J73" i="6" s="1"/>
  <c r="B129" i="6"/>
  <c r="H129" i="6"/>
  <c r="H169" i="6"/>
  <c r="I169" i="6" s="1"/>
  <c r="L169" i="6"/>
  <c r="F160" i="6"/>
  <c r="H15" i="6"/>
  <c r="J15" i="6" s="1"/>
  <c r="F40" i="6"/>
  <c r="F72" i="6"/>
  <c r="F15" i="6"/>
  <c r="H27" i="6"/>
  <c r="V123" i="6"/>
  <c r="H36" i="6"/>
  <c r="I36" i="6" s="1"/>
  <c r="F90" i="6"/>
  <c r="H122" i="6"/>
  <c r="F89" i="6"/>
  <c r="T132" i="6"/>
  <c r="V132" i="6" s="1"/>
  <c r="C132" i="6"/>
  <c r="AA132" i="6"/>
  <c r="U163" i="6"/>
  <c r="H163" i="6"/>
  <c r="J163" i="6" s="1"/>
  <c r="C25" i="6"/>
  <c r="AA25" i="6"/>
  <c r="AA65" i="6"/>
  <c r="C65" i="6"/>
  <c r="F65" i="6" s="1"/>
  <c r="T65" i="6"/>
  <c r="V65" i="6" s="1"/>
  <c r="AA105" i="6"/>
  <c r="C105" i="6"/>
  <c r="F105" i="6" s="1"/>
  <c r="C113" i="6"/>
  <c r="AA113" i="6"/>
  <c r="AA153" i="6"/>
  <c r="C153" i="6"/>
  <c r="F153" i="6" s="1"/>
  <c r="B33" i="6"/>
  <c r="F33" i="6" s="1"/>
  <c r="L33" i="6"/>
  <c r="B89" i="6"/>
  <c r="L89" i="6"/>
  <c r="B97" i="6"/>
  <c r="H97" i="6"/>
  <c r="J97" i="6" s="1"/>
  <c r="B153" i="6"/>
  <c r="H153" i="6"/>
  <c r="I153" i="6" s="1"/>
  <c r="U153" i="6"/>
  <c r="B111" i="6"/>
  <c r="F111" i="6" s="1"/>
  <c r="L111" i="6"/>
  <c r="B79" i="6"/>
  <c r="F79" i="6" s="1"/>
  <c r="L79" i="6"/>
  <c r="B47" i="6"/>
  <c r="F47" i="6" s="1"/>
  <c r="L47" i="6"/>
  <c r="U121" i="6"/>
  <c r="U105" i="6"/>
  <c r="V105" i="6" s="1"/>
  <c r="U97" i="6"/>
  <c r="V97" i="6" s="1"/>
  <c r="U89" i="6"/>
  <c r="U81" i="6"/>
  <c r="U49" i="6"/>
  <c r="V49" i="6" s="1"/>
  <c r="T73" i="6"/>
  <c r="AA57" i="6"/>
  <c r="AA97" i="6"/>
  <c r="AA87" i="6"/>
  <c r="L34" i="6"/>
  <c r="H25" i="6"/>
  <c r="C129" i="6"/>
  <c r="C73" i="6"/>
  <c r="L82" i="6"/>
  <c r="H33" i="6"/>
  <c r="J33" i="6" s="1"/>
  <c r="L31" i="6"/>
  <c r="H139" i="6"/>
  <c r="I139" i="6" s="1"/>
  <c r="L65" i="6"/>
  <c r="L105" i="6"/>
  <c r="T161" i="6"/>
  <c r="T71" i="6"/>
  <c r="T55" i="6"/>
  <c r="V55" i="6" s="1"/>
  <c r="U162" i="6"/>
  <c r="B22" i="6"/>
  <c r="F22" i="6" s="1"/>
  <c r="H22" i="6"/>
  <c r="J22" i="6" s="1"/>
  <c r="T66" i="6"/>
  <c r="C66" i="6"/>
  <c r="C74" i="6"/>
  <c r="T74" i="6"/>
  <c r="C82" i="6"/>
  <c r="F82" i="6" s="1"/>
  <c r="AA82" i="6"/>
  <c r="AA76" i="6"/>
  <c r="T76" i="6"/>
  <c r="AA60" i="6"/>
  <c r="T60" i="6"/>
  <c r="AA44" i="6"/>
  <c r="T44" i="6"/>
  <c r="V44" i="6" s="1"/>
  <c r="T153" i="6"/>
  <c r="V153" i="6" s="1"/>
  <c r="U129" i="6"/>
  <c r="U82" i="6"/>
  <c r="AA137" i="6"/>
  <c r="C169" i="6"/>
  <c r="F16" i="6"/>
  <c r="H82" i="6"/>
  <c r="J82" i="6" s="1"/>
  <c r="L16" i="6"/>
  <c r="H161" i="6"/>
  <c r="J161" i="6" s="1"/>
  <c r="L127" i="6"/>
  <c r="H47" i="6"/>
  <c r="I47" i="6" s="1"/>
  <c r="H79" i="6"/>
  <c r="I79" i="6" s="1"/>
  <c r="H111" i="6"/>
  <c r="J111" i="6" s="1"/>
  <c r="L153" i="6"/>
  <c r="H16" i="6"/>
  <c r="I16" i="6" s="1"/>
  <c r="H105" i="6"/>
  <c r="J105" i="6" s="1"/>
  <c r="U95" i="6"/>
  <c r="U16" i="6"/>
  <c r="V16" i="6" s="1"/>
  <c r="B131" i="6"/>
  <c r="F131" i="6" s="1"/>
  <c r="L131" i="6"/>
  <c r="T31" i="6"/>
  <c r="V31" i="6" s="1"/>
  <c r="C31" i="6"/>
  <c r="F31" i="6" s="1"/>
  <c r="AA47" i="6"/>
  <c r="T47" i="6"/>
  <c r="V47" i="6" s="1"/>
  <c r="T63" i="6"/>
  <c r="C63" i="6"/>
  <c r="F63" i="6" s="1"/>
  <c r="T95" i="6"/>
  <c r="AA95" i="6"/>
  <c r="H127" i="6"/>
  <c r="J127" i="6" s="1"/>
  <c r="T127" i="6"/>
  <c r="C17" i="6"/>
  <c r="T17" i="6"/>
  <c r="V17" i="6" s="1"/>
  <c r="B74" i="6"/>
  <c r="U74" i="6"/>
  <c r="B106" i="6"/>
  <c r="L106" i="6"/>
  <c r="B138" i="6"/>
  <c r="U138" i="6"/>
  <c r="T45" i="6"/>
  <c r="AA45" i="6"/>
  <c r="T69" i="6"/>
  <c r="V69" i="6" s="1"/>
  <c r="AA69" i="6"/>
  <c r="T125" i="6"/>
  <c r="C125" i="6"/>
  <c r="F125" i="6" s="1"/>
  <c r="B13" i="6"/>
  <c r="U13" i="6"/>
  <c r="B29" i="6"/>
  <c r="F29" i="6" s="1"/>
  <c r="U29" i="6"/>
  <c r="V29" i="6" s="1"/>
  <c r="B61" i="6"/>
  <c r="F61" i="6" s="1"/>
  <c r="L61" i="6"/>
  <c r="B77" i="6"/>
  <c r="F77" i="6" s="1"/>
  <c r="U77" i="6"/>
  <c r="V77" i="6" s="1"/>
  <c r="H85" i="6"/>
  <c r="I85" i="6" s="1"/>
  <c r="B109" i="6"/>
  <c r="F109" i="6" s="1"/>
  <c r="U109" i="6"/>
  <c r="V109" i="6" s="1"/>
  <c r="H117" i="6"/>
  <c r="I117" i="6" s="1"/>
  <c r="B119" i="6"/>
  <c r="U119" i="6"/>
  <c r="B71" i="6"/>
  <c r="U71" i="6"/>
  <c r="B55" i="6"/>
  <c r="U55" i="6"/>
  <c r="B23" i="6"/>
  <c r="L23" i="6"/>
  <c r="T157" i="6"/>
  <c r="T143" i="6"/>
  <c r="U127" i="6"/>
  <c r="V127" i="6" s="1"/>
  <c r="T113" i="6"/>
  <c r="V113" i="6" s="1"/>
  <c r="U93" i="6"/>
  <c r="T105" i="6"/>
  <c r="U65" i="6"/>
  <c r="AA17" i="6"/>
  <c r="U23" i="6"/>
  <c r="T27" i="6"/>
  <c r="AA41" i="6"/>
  <c r="AA74" i="6"/>
  <c r="AA122" i="6"/>
  <c r="AA157" i="6"/>
  <c r="AA169" i="6"/>
  <c r="H89" i="6"/>
  <c r="J89" i="6" s="1"/>
  <c r="C97" i="6"/>
  <c r="H106" i="6"/>
  <c r="H34" i="6"/>
  <c r="I34" i="6" s="1"/>
  <c r="H61" i="6"/>
  <c r="J61" i="6" s="1"/>
  <c r="H125" i="6"/>
  <c r="J125" i="6" s="1"/>
  <c r="L22" i="6"/>
  <c r="L170" i="6"/>
  <c r="C95" i="6"/>
  <c r="F95" i="6" s="1"/>
  <c r="C127" i="6"/>
  <c r="F127" i="6" s="1"/>
  <c r="C159" i="6"/>
  <c r="H65" i="6"/>
  <c r="J65" i="6" s="1"/>
  <c r="L55" i="6"/>
  <c r="L95" i="6"/>
  <c r="L13" i="6"/>
  <c r="L45" i="6"/>
  <c r="L125" i="6"/>
  <c r="L39" i="6"/>
  <c r="C122" i="6"/>
  <c r="F122" i="6" s="1"/>
  <c r="C85" i="6"/>
  <c r="U87" i="6"/>
  <c r="V87" i="6" s="1"/>
  <c r="T85" i="6"/>
  <c r="U111" i="6"/>
  <c r="U47" i="6"/>
  <c r="C117" i="6"/>
  <c r="U39" i="6"/>
  <c r="T129" i="6"/>
  <c r="T159" i="6"/>
  <c r="U90" i="6"/>
  <c r="V90" i="6" s="1"/>
  <c r="V24" i="6"/>
  <c r="T13" i="6"/>
  <c r="V13" i="6" s="1"/>
  <c r="C13" i="6"/>
  <c r="B143" i="6"/>
  <c r="F143" i="6" s="1"/>
  <c r="L143" i="6"/>
  <c r="U143" i="6"/>
  <c r="V143" i="6" s="1"/>
  <c r="B12" i="6"/>
  <c r="U12" i="6"/>
  <c r="V12" i="6" s="1"/>
  <c r="T43" i="6"/>
  <c r="V43" i="6" s="1"/>
  <c r="H43" i="6"/>
  <c r="I43" i="6" s="1"/>
  <c r="T107" i="6"/>
  <c r="V107" i="6" s="1"/>
  <c r="H107" i="6"/>
  <c r="I107" i="6" s="1"/>
  <c r="AA107" i="6"/>
  <c r="B167" i="6"/>
  <c r="H167" i="6"/>
  <c r="J167" i="6" s="1"/>
  <c r="L167" i="6"/>
  <c r="B38" i="6"/>
  <c r="H38" i="6"/>
  <c r="J38" i="6" s="1"/>
  <c r="U38" i="6"/>
  <c r="L38" i="6"/>
  <c r="B54" i="6"/>
  <c r="H54" i="6"/>
  <c r="J54" i="6" s="1"/>
  <c r="B70" i="6"/>
  <c r="F70" i="6" s="1"/>
  <c r="L70" i="6"/>
  <c r="B86" i="6"/>
  <c r="F86" i="6" s="1"/>
  <c r="U86" i="6"/>
  <c r="H86" i="6"/>
  <c r="J86" i="6" s="1"/>
  <c r="B102" i="6"/>
  <c r="F102" i="6" s="1"/>
  <c r="H102" i="6"/>
  <c r="J102" i="6" s="1"/>
  <c r="B118" i="6"/>
  <c r="U118" i="6"/>
  <c r="V118" i="6" s="1"/>
  <c r="B166" i="6"/>
  <c r="F166" i="6" s="1"/>
  <c r="H166" i="6"/>
  <c r="L166" i="6"/>
  <c r="U166" i="6"/>
  <c r="B28" i="6"/>
  <c r="F28" i="6" s="1"/>
  <c r="U28" i="6"/>
  <c r="L28" i="6"/>
  <c r="H28" i="6"/>
  <c r="J28" i="6" s="1"/>
  <c r="B36" i="6"/>
  <c r="F36" i="6" s="1"/>
  <c r="L36" i="6"/>
  <c r="B52" i="6"/>
  <c r="H52" i="6"/>
  <c r="J52" i="6" s="1"/>
  <c r="B60" i="6"/>
  <c r="F60" i="6" s="1"/>
  <c r="H60" i="6"/>
  <c r="J60" i="6" s="1"/>
  <c r="L60" i="6"/>
  <c r="B76" i="6"/>
  <c r="F76" i="6" s="1"/>
  <c r="L76" i="6"/>
  <c r="B84" i="6"/>
  <c r="H84" i="6"/>
  <c r="J84" i="6" s="1"/>
  <c r="B92" i="6"/>
  <c r="F92" i="6" s="1"/>
  <c r="L92" i="6"/>
  <c r="B108" i="6"/>
  <c r="F108" i="6" s="1"/>
  <c r="L108" i="6"/>
  <c r="B116" i="6"/>
  <c r="F116" i="6" s="1"/>
  <c r="U116" i="6"/>
  <c r="V116" i="6" s="1"/>
  <c r="B124" i="6"/>
  <c r="F124" i="6" s="1"/>
  <c r="H124" i="6"/>
  <c r="J124" i="6" s="1"/>
  <c r="L124" i="6"/>
  <c r="B132" i="6"/>
  <c r="F132" i="6" s="1"/>
  <c r="H132" i="6"/>
  <c r="J132" i="6" s="1"/>
  <c r="B140" i="6"/>
  <c r="L140" i="6"/>
  <c r="H140" i="6"/>
  <c r="J140" i="6" s="1"/>
  <c r="U140" i="6"/>
  <c r="B156" i="6"/>
  <c r="F156" i="6" s="1"/>
  <c r="U156" i="6"/>
  <c r="V156" i="6" s="1"/>
  <c r="L156" i="6"/>
  <c r="B164" i="6"/>
  <c r="H164" i="6"/>
  <c r="I164" i="6" s="1"/>
  <c r="C18" i="6"/>
  <c r="AA18" i="6"/>
  <c r="T42" i="6"/>
  <c r="C42" i="6"/>
  <c r="C114" i="6"/>
  <c r="T114" i="6"/>
  <c r="C130" i="6"/>
  <c r="T130" i="6"/>
  <c r="AA138" i="6"/>
  <c r="T138" i="6"/>
  <c r="C146" i="6"/>
  <c r="T146" i="6"/>
  <c r="C170" i="6"/>
  <c r="F170" i="6" s="1"/>
  <c r="AA170" i="6"/>
  <c r="T139" i="6"/>
  <c r="V139" i="6" s="1"/>
  <c r="U100" i="6"/>
  <c r="U84" i="6"/>
  <c r="U60" i="6"/>
  <c r="V60" i="6" s="1"/>
  <c r="H154" i="6"/>
  <c r="J154" i="6" s="1"/>
  <c r="H14" i="6"/>
  <c r="J14" i="6" s="1"/>
  <c r="H66" i="6"/>
  <c r="J66" i="6" s="1"/>
  <c r="C59" i="6"/>
  <c r="F59" i="6" s="1"/>
  <c r="C123" i="6"/>
  <c r="F123" i="6" s="1"/>
  <c r="H70" i="6"/>
  <c r="J70" i="6" s="1"/>
  <c r="H108" i="6"/>
  <c r="J108" i="6" s="1"/>
  <c r="H150" i="6"/>
  <c r="J150" i="6" s="1"/>
  <c r="L84" i="6"/>
  <c r="L148" i="6"/>
  <c r="H91" i="6"/>
  <c r="J91" i="6" s="1"/>
  <c r="H143" i="6"/>
  <c r="J143" i="6" s="1"/>
  <c r="C162" i="6"/>
  <c r="C106" i="6"/>
  <c r="F106" i="6" s="1"/>
  <c r="C58" i="6"/>
  <c r="F54" i="6"/>
  <c r="H12" i="6"/>
  <c r="J12" i="6" s="1"/>
  <c r="L44" i="6"/>
  <c r="T162" i="6"/>
  <c r="V162" i="6" s="1"/>
  <c r="U164" i="6"/>
  <c r="V164" i="6" s="1"/>
  <c r="W164" i="6" s="1"/>
  <c r="U108" i="6"/>
  <c r="V108" i="6" s="1"/>
  <c r="T91" i="6"/>
  <c r="V91" i="6" s="1"/>
  <c r="U102" i="6"/>
  <c r="V171" i="6"/>
  <c r="W171" i="6" s="1"/>
  <c r="T170" i="6"/>
  <c r="U68" i="6"/>
  <c r="U36" i="6"/>
  <c r="AA13" i="6"/>
  <c r="AA34" i="6"/>
  <c r="AA50" i="6"/>
  <c r="AA66" i="6"/>
  <c r="AA75" i="6"/>
  <c r="AA90" i="6"/>
  <c r="AA106" i="6"/>
  <c r="AA123" i="6"/>
  <c r="AA146" i="6"/>
  <c r="AA171" i="6"/>
  <c r="L12" i="6"/>
  <c r="H68" i="6"/>
  <c r="J68" i="6" s="1"/>
  <c r="H18" i="6"/>
  <c r="J18" i="6" s="1"/>
  <c r="H98" i="6"/>
  <c r="J98" i="6" s="1"/>
  <c r="H146" i="6"/>
  <c r="L14" i="6"/>
  <c r="L118" i="6"/>
  <c r="C43" i="6"/>
  <c r="F43" i="6" s="1"/>
  <c r="C107" i="6"/>
  <c r="C171" i="6"/>
  <c r="F171" i="6" s="1"/>
  <c r="H44" i="6"/>
  <c r="J44" i="6" s="1"/>
  <c r="H76" i="6"/>
  <c r="J76" i="6" s="1"/>
  <c r="H118" i="6"/>
  <c r="H156" i="6"/>
  <c r="I156" i="6" s="1"/>
  <c r="L68" i="6"/>
  <c r="L132" i="6"/>
  <c r="H75" i="6"/>
  <c r="H123" i="6"/>
  <c r="I123" i="6" s="1"/>
  <c r="H155" i="6"/>
  <c r="I155" i="6" s="1"/>
  <c r="H116" i="6"/>
  <c r="J116" i="6" s="1"/>
  <c r="C154" i="6"/>
  <c r="F154" i="6" s="1"/>
  <c r="C34" i="6"/>
  <c r="H148" i="6"/>
  <c r="J148" i="6" s="1"/>
  <c r="U70" i="6"/>
  <c r="V70" i="6" s="1"/>
  <c r="U124" i="6"/>
  <c r="V124" i="6" s="1"/>
  <c r="U134" i="6"/>
  <c r="V134" i="6" s="1"/>
  <c r="T50" i="6"/>
  <c r="V50" i="6" s="1"/>
  <c r="U92" i="6"/>
  <c r="U76" i="6"/>
  <c r="U44" i="6"/>
  <c r="T82" i="6"/>
  <c r="AA27" i="6"/>
  <c r="U22" i="6"/>
  <c r="V22" i="6" s="1"/>
  <c r="AA59" i="6"/>
  <c r="AA130" i="6"/>
  <c r="AA154" i="6"/>
  <c r="AA155" i="6"/>
  <c r="H90" i="6"/>
  <c r="J90" i="6" s="1"/>
  <c r="H138" i="6"/>
  <c r="J138" i="6" s="1"/>
  <c r="H170" i="6"/>
  <c r="J170" i="6" s="1"/>
  <c r="L86" i="6"/>
  <c r="L134" i="6"/>
  <c r="F68" i="6"/>
  <c r="F100" i="6"/>
  <c r="F148" i="6"/>
  <c r="F164" i="6"/>
  <c r="H130" i="6"/>
  <c r="J130" i="6" s="1"/>
  <c r="C27" i="6"/>
  <c r="C91" i="6"/>
  <c r="C155" i="6"/>
  <c r="F155" i="6" s="1"/>
  <c r="H13" i="6"/>
  <c r="I13" i="6" s="1"/>
  <c r="H92" i="6"/>
  <c r="J92" i="6" s="1"/>
  <c r="L52" i="6"/>
  <c r="L116" i="6"/>
  <c r="H26" i="6"/>
  <c r="I26" i="6" s="1"/>
  <c r="C138" i="6"/>
  <c r="C26" i="6"/>
  <c r="F150" i="6"/>
  <c r="H100" i="6"/>
  <c r="I100" i="6" s="1"/>
  <c r="U54" i="6"/>
  <c r="U148" i="6"/>
  <c r="V148" i="6" s="1"/>
  <c r="T18" i="6"/>
  <c r="U150" i="6"/>
  <c r="V150" i="6" s="1"/>
  <c r="B139" i="6"/>
  <c r="F139" i="6" s="1"/>
  <c r="L139" i="6"/>
  <c r="B10" i="6"/>
  <c r="F10" i="6" s="1"/>
  <c r="L10" i="6"/>
  <c r="H10" i="6"/>
  <c r="J10" i="6" s="1"/>
  <c r="U10" i="6"/>
  <c r="V10" i="6" s="1"/>
  <c r="H23" i="6"/>
  <c r="I23" i="6" s="1"/>
  <c r="C23" i="6"/>
  <c r="T39" i="6"/>
  <c r="H39" i="6"/>
  <c r="J39" i="6" s="1"/>
  <c r="C39" i="6"/>
  <c r="F39" i="6" s="1"/>
  <c r="H55" i="6"/>
  <c r="J55" i="6" s="1"/>
  <c r="C55" i="6"/>
  <c r="H71" i="6"/>
  <c r="J71" i="6" s="1"/>
  <c r="C71" i="6"/>
  <c r="H87" i="6"/>
  <c r="J87" i="6" s="1"/>
  <c r="C87" i="6"/>
  <c r="F87" i="6" s="1"/>
  <c r="H103" i="6"/>
  <c r="J103" i="6" s="1"/>
  <c r="T103" i="6"/>
  <c r="V103" i="6" s="1"/>
  <c r="C103" i="6"/>
  <c r="F103" i="6" s="1"/>
  <c r="H119" i="6"/>
  <c r="I119" i="6" s="1"/>
  <c r="T119" i="6"/>
  <c r="V119" i="6" s="1"/>
  <c r="C119" i="6"/>
  <c r="F119" i="6" s="1"/>
  <c r="H135" i="6"/>
  <c r="J135" i="6" s="1"/>
  <c r="C135" i="6"/>
  <c r="F135" i="6" s="1"/>
  <c r="T135" i="6"/>
  <c r="C151" i="6"/>
  <c r="T151" i="6"/>
  <c r="T167" i="6"/>
  <c r="V167" i="6" s="1"/>
  <c r="W167" i="6" s="1"/>
  <c r="C167" i="6"/>
  <c r="B163" i="6"/>
  <c r="L163" i="6"/>
  <c r="T12" i="6"/>
  <c r="C12" i="6"/>
  <c r="AA12" i="6"/>
  <c r="T20" i="6"/>
  <c r="H20" i="6"/>
  <c r="J20" i="6" s="1"/>
  <c r="AA20" i="6"/>
  <c r="B50" i="6"/>
  <c r="F50" i="6" s="1"/>
  <c r="H50" i="6"/>
  <c r="J50" i="6" s="1"/>
  <c r="B66" i="6"/>
  <c r="U66" i="6"/>
  <c r="L66" i="6"/>
  <c r="B98" i="6"/>
  <c r="F98" i="6" s="1"/>
  <c r="L98" i="6"/>
  <c r="B114" i="6"/>
  <c r="H114" i="6"/>
  <c r="J114" i="6" s="1"/>
  <c r="U114" i="6"/>
  <c r="B130" i="6"/>
  <c r="L130" i="6"/>
  <c r="U130" i="6"/>
  <c r="B146" i="6"/>
  <c r="U146" i="6"/>
  <c r="B162" i="6"/>
  <c r="L162" i="6"/>
  <c r="AA33" i="6"/>
  <c r="T33" i="6"/>
  <c r="V33" i="6" s="1"/>
  <c r="C49" i="6"/>
  <c r="AA49" i="6"/>
  <c r="C81" i="6"/>
  <c r="AA81" i="6"/>
  <c r="AA121" i="6"/>
  <c r="T121" i="6"/>
  <c r="V121" i="6" s="1"/>
  <c r="T145" i="6"/>
  <c r="C145" i="6"/>
  <c r="AA145" i="6"/>
  <c r="B17" i="6"/>
  <c r="H17" i="6"/>
  <c r="U17" i="6"/>
  <c r="B25" i="6"/>
  <c r="U25" i="6"/>
  <c r="V25" i="6" s="1"/>
  <c r="B41" i="6"/>
  <c r="U41" i="6"/>
  <c r="V41" i="6" s="1"/>
  <c r="H41" i="6"/>
  <c r="J41" i="6" s="1"/>
  <c r="B49" i="6"/>
  <c r="L49" i="6"/>
  <c r="B57" i="6"/>
  <c r="F57" i="6" s="1"/>
  <c r="H57" i="6"/>
  <c r="J57" i="6" s="1"/>
  <c r="U57" i="6"/>
  <c r="V57" i="6" s="1"/>
  <c r="B73" i="6"/>
  <c r="L73" i="6"/>
  <c r="U73" i="6"/>
  <c r="B81" i="6"/>
  <c r="H81" i="6"/>
  <c r="B113" i="6"/>
  <c r="L113" i="6"/>
  <c r="H113" i="6"/>
  <c r="J113" i="6" s="1"/>
  <c r="B121" i="6"/>
  <c r="F121" i="6" s="1"/>
  <c r="H121" i="6"/>
  <c r="I121" i="6" s="1"/>
  <c r="B137" i="6"/>
  <c r="F137" i="6" s="1"/>
  <c r="H137" i="6"/>
  <c r="J137" i="6" s="1"/>
  <c r="L137" i="6"/>
  <c r="B145" i="6"/>
  <c r="H145" i="6"/>
  <c r="J145" i="6" s="1"/>
  <c r="U145" i="6"/>
  <c r="B161" i="6"/>
  <c r="U161" i="6"/>
  <c r="B169" i="6"/>
  <c r="U169" i="6"/>
  <c r="V169" i="6" s="1"/>
  <c r="W169" i="6" s="1"/>
  <c r="B151" i="6"/>
  <c r="H151" i="6"/>
  <c r="J151" i="6" s="1"/>
  <c r="B26" i="6"/>
  <c r="L26" i="6"/>
  <c r="B42" i="6"/>
  <c r="H42" i="6"/>
  <c r="J42" i="6" s="1"/>
  <c r="B58" i="6"/>
  <c r="U58" i="6"/>
  <c r="V58" i="6" s="1"/>
  <c r="H58" i="6"/>
  <c r="T93" i="6"/>
  <c r="C93" i="6"/>
  <c r="F93" i="6" s="1"/>
  <c r="B21" i="6"/>
  <c r="F21" i="6" s="1"/>
  <c r="U21" i="6"/>
  <c r="V21" i="6" s="1"/>
  <c r="L21" i="6"/>
  <c r="B37" i="6"/>
  <c r="F37" i="6" s="1"/>
  <c r="L37" i="6"/>
  <c r="B53" i="6"/>
  <c r="F53" i="6" s="1"/>
  <c r="L53" i="6"/>
  <c r="B69" i="6"/>
  <c r="F69" i="6" s="1"/>
  <c r="L69" i="6"/>
  <c r="B85" i="6"/>
  <c r="U85" i="6"/>
  <c r="L85" i="6"/>
  <c r="B101" i="6"/>
  <c r="F101" i="6" s="1"/>
  <c r="L101" i="6"/>
  <c r="B117" i="6"/>
  <c r="L117" i="6"/>
  <c r="B133" i="6"/>
  <c r="L133" i="6"/>
  <c r="B149" i="6"/>
  <c r="F149" i="6" s="1"/>
  <c r="L149" i="6"/>
  <c r="B157" i="6"/>
  <c r="F157" i="6" s="1"/>
  <c r="U157" i="6"/>
  <c r="B165" i="6"/>
  <c r="F165" i="6" s="1"/>
  <c r="U165" i="6"/>
  <c r="V165" i="6" s="1"/>
  <c r="W165" i="6" s="1"/>
  <c r="L165" i="6"/>
  <c r="T79" i="6"/>
  <c r="V79" i="6" s="1"/>
  <c r="U170" i="6"/>
  <c r="U117" i="6"/>
  <c r="V117" i="6" s="1"/>
  <c r="U125" i="6"/>
  <c r="T37" i="6"/>
  <c r="V37" i="6" s="1"/>
  <c r="U26" i="6"/>
  <c r="V26" i="6" s="1"/>
  <c r="T15" i="6"/>
  <c r="AA63" i="6"/>
  <c r="AA93" i="6"/>
  <c r="H101" i="6"/>
  <c r="J101" i="6" s="1"/>
  <c r="H133" i="6"/>
  <c r="J133" i="6" s="1"/>
  <c r="F44" i="6"/>
  <c r="H29" i="6"/>
  <c r="J29" i="6" s="1"/>
  <c r="H93" i="6"/>
  <c r="J93" i="6" s="1"/>
  <c r="H157" i="6"/>
  <c r="J157" i="6" s="1"/>
  <c r="H165" i="6"/>
  <c r="J165" i="6" s="1"/>
  <c r="H63" i="6"/>
  <c r="I63" i="6" s="1"/>
  <c r="H147" i="6"/>
  <c r="I147" i="6" s="1"/>
  <c r="H171" i="6"/>
  <c r="J171" i="6" s="1"/>
  <c r="L29" i="6"/>
  <c r="L93" i="6"/>
  <c r="L157" i="6"/>
  <c r="L147" i="6"/>
  <c r="H53" i="6"/>
  <c r="I53" i="6" s="1"/>
  <c r="C133" i="6"/>
  <c r="U106" i="6"/>
  <c r="V106" i="6" s="1"/>
  <c r="U151" i="6"/>
  <c r="V151" i="6" s="1"/>
  <c r="U154" i="6"/>
  <c r="V154" i="6" s="1"/>
  <c r="F134" i="6"/>
  <c r="V75" i="6"/>
  <c r="V89" i="6"/>
  <c r="V98" i="6"/>
  <c r="V141" i="6"/>
  <c r="F35" i="6"/>
  <c r="V51" i="6"/>
  <c r="V133" i="6"/>
  <c r="V120" i="6"/>
  <c r="V35" i="6"/>
  <c r="V67" i="6"/>
  <c r="V110" i="6"/>
  <c r="V42" i="6"/>
  <c r="V111" i="6"/>
  <c r="J78" i="6"/>
  <c r="G78" i="6" s="1"/>
  <c r="V34" i="6"/>
  <c r="V104" i="6"/>
  <c r="V136" i="6"/>
  <c r="V112" i="6"/>
  <c r="V129" i="6"/>
  <c r="F115" i="6"/>
  <c r="V144" i="6"/>
  <c r="V83" i="6"/>
  <c r="V149" i="6"/>
  <c r="I32" i="6"/>
  <c r="I11" i="6"/>
  <c r="G11" i="6" s="1"/>
  <c r="V101" i="6"/>
  <c r="F107" i="6"/>
  <c r="F147" i="6"/>
  <c r="J121" i="6"/>
  <c r="G121" i="6" s="1"/>
  <c r="V135" i="6"/>
  <c r="V96" i="6"/>
  <c r="V126" i="6"/>
  <c r="V53" i="6"/>
  <c r="I62" i="6"/>
  <c r="G62" i="6" s="1"/>
  <c r="J21" i="6"/>
  <c r="G32" i="6"/>
  <c r="J153" i="6"/>
  <c r="J25" i="6"/>
  <c r="I25" i="6"/>
  <c r="J69" i="6"/>
  <c r="I69" i="6"/>
  <c r="J56" i="6"/>
  <c r="I120" i="6"/>
  <c r="J162" i="6"/>
  <c r="I162" i="6"/>
  <c r="I134" i="6"/>
  <c r="J31" i="6"/>
  <c r="I143" i="6"/>
  <c r="J37" i="6"/>
  <c r="I37" i="6"/>
  <c r="I80" i="6"/>
  <c r="J149" i="6"/>
  <c r="I149" i="6"/>
  <c r="I104" i="6"/>
  <c r="I168" i="6"/>
  <c r="J74" i="6"/>
  <c r="I74" i="6"/>
  <c r="J13" i="6"/>
  <c r="J118" i="6"/>
  <c r="I118" i="6"/>
  <c r="I161" i="6"/>
  <c r="J35" i="6"/>
  <c r="I35" i="6"/>
  <c r="J67" i="6"/>
  <c r="I67" i="6"/>
  <c r="I83" i="6"/>
  <c r="J115" i="6"/>
  <c r="J131" i="6"/>
  <c r="J36" i="6"/>
  <c r="I10" i="6"/>
  <c r="I29" i="6"/>
  <c r="I50" i="6"/>
  <c r="I136" i="6"/>
  <c r="J129" i="6"/>
  <c r="I129" i="6"/>
  <c r="I27" i="6"/>
  <c r="J27" i="6"/>
  <c r="I59" i="6"/>
  <c r="I75" i="6"/>
  <c r="J75" i="6"/>
  <c r="J123" i="6"/>
  <c r="J48" i="6"/>
  <c r="I48" i="6"/>
  <c r="J106" i="6"/>
  <c r="I106" i="6"/>
  <c r="J34" i="6"/>
  <c r="J77" i="6"/>
  <c r="I77" i="6"/>
  <c r="J141" i="6"/>
  <c r="I141" i="6"/>
  <c r="J47" i="6"/>
  <c r="J95" i="6"/>
  <c r="I95" i="6"/>
  <c r="J159" i="6"/>
  <c r="J94" i="6"/>
  <c r="I94" i="6"/>
  <c r="J40" i="6"/>
  <c r="I40" i="6"/>
  <c r="J146" i="6"/>
  <c r="I146" i="6"/>
  <c r="I128" i="6"/>
  <c r="I33" i="6"/>
  <c r="J19" i="6"/>
  <c r="I19" i="6"/>
  <c r="I51" i="6"/>
  <c r="J147" i="6"/>
  <c r="I110" i="6"/>
  <c r="J122" i="6"/>
  <c r="I122" i="6"/>
  <c r="I154" i="6"/>
  <c r="J24" i="6"/>
  <c r="I24" i="6"/>
  <c r="J45" i="6"/>
  <c r="I45" i="6"/>
  <c r="I88" i="6"/>
  <c r="J109" i="6"/>
  <c r="I109" i="6"/>
  <c r="J152" i="6"/>
  <c r="I152" i="6"/>
  <c r="J144" i="6"/>
  <c r="I144" i="6"/>
  <c r="J17" i="6"/>
  <c r="I17" i="6"/>
  <c r="I38" i="6"/>
  <c r="J81" i="6"/>
  <c r="I81" i="6"/>
  <c r="J166" i="6"/>
  <c r="I166" i="6"/>
  <c r="I135" i="6"/>
  <c r="J58" i="6"/>
  <c r="I58" i="6"/>
  <c r="F1" i="7"/>
  <c r="S167" i="7"/>
  <c r="T167" i="7" s="1"/>
  <c r="S163" i="7"/>
  <c r="T163" i="7" s="1"/>
  <c r="S159" i="7"/>
  <c r="T159" i="7" s="1"/>
  <c r="S68" i="7"/>
  <c r="J11" i="7"/>
  <c r="I11" i="7"/>
  <c r="E11" i="7" s="1"/>
  <c r="D11" i="7" s="1"/>
  <c r="I22" i="7"/>
  <c r="J22" i="7"/>
  <c r="E22" i="7"/>
  <c r="D22" i="7" s="1"/>
  <c r="I41" i="7"/>
  <c r="J41" i="7"/>
  <c r="E41" i="7"/>
  <c r="D41" i="7" s="1"/>
  <c r="J52" i="7"/>
  <c r="I52" i="7"/>
  <c r="E52" i="7"/>
  <c r="D52" i="7" s="1"/>
  <c r="J100" i="7"/>
  <c r="I100" i="7"/>
  <c r="E100" i="7" s="1"/>
  <c r="D100" i="7" s="1"/>
  <c r="J32" i="7"/>
  <c r="I32" i="7"/>
  <c r="E32" i="7" s="1"/>
  <c r="D32" i="7" s="1"/>
  <c r="I37" i="7"/>
  <c r="E37" i="7" s="1"/>
  <c r="D37" i="7" s="1"/>
  <c r="J37" i="7"/>
  <c r="E35" i="7"/>
  <c r="D35" i="7" s="1"/>
  <c r="J35" i="7"/>
  <c r="I35" i="7"/>
  <c r="E51" i="7"/>
  <c r="D51" i="7" s="1"/>
  <c r="J51" i="7"/>
  <c r="I51" i="7"/>
  <c r="J67" i="7"/>
  <c r="I67" i="7"/>
  <c r="E67" i="7" s="1"/>
  <c r="D67" i="7" s="1"/>
  <c r="J76" i="7"/>
  <c r="I76" i="7"/>
  <c r="E76" i="7"/>
  <c r="D76" i="7" s="1"/>
  <c r="J92" i="7"/>
  <c r="I92" i="7"/>
  <c r="E92" i="7" s="1"/>
  <c r="D92" i="7" s="1"/>
  <c r="J108" i="7"/>
  <c r="I108" i="7"/>
  <c r="E108" i="7" s="1"/>
  <c r="D108" i="7" s="1"/>
  <c r="J75" i="7"/>
  <c r="I75" i="7"/>
  <c r="E75" i="7" s="1"/>
  <c r="D75" i="7" s="1"/>
  <c r="J91" i="7"/>
  <c r="I91" i="7"/>
  <c r="E91" i="7" s="1"/>
  <c r="D91" i="7" s="1"/>
  <c r="E107" i="7"/>
  <c r="D107" i="7" s="1"/>
  <c r="J107" i="7"/>
  <c r="I107" i="7"/>
  <c r="I113" i="7"/>
  <c r="J113" i="7"/>
  <c r="E113" i="7" s="1"/>
  <c r="D113" i="7" s="1"/>
  <c r="I69" i="7"/>
  <c r="J69" i="7"/>
  <c r="E69" i="7"/>
  <c r="D69" i="7" s="1"/>
  <c r="I73" i="7"/>
  <c r="E73" i="7" s="1"/>
  <c r="D73" i="7" s="1"/>
  <c r="J73" i="7"/>
  <c r="I77" i="7"/>
  <c r="J77" i="7"/>
  <c r="E77" i="7"/>
  <c r="D77" i="7" s="1"/>
  <c r="I81" i="7"/>
  <c r="J81" i="7"/>
  <c r="E81" i="7" s="1"/>
  <c r="D81" i="7" s="1"/>
  <c r="I85" i="7"/>
  <c r="J85" i="7"/>
  <c r="E85" i="7"/>
  <c r="D85" i="7" s="1"/>
  <c r="I89" i="7"/>
  <c r="E89" i="7" s="1"/>
  <c r="D89" i="7" s="1"/>
  <c r="J89" i="7"/>
  <c r="I93" i="7"/>
  <c r="E93" i="7" s="1"/>
  <c r="D93" i="7" s="1"/>
  <c r="J93" i="7"/>
  <c r="I97" i="7"/>
  <c r="J97" i="7"/>
  <c r="E97" i="7" s="1"/>
  <c r="D97" i="7" s="1"/>
  <c r="I101" i="7"/>
  <c r="J101" i="7"/>
  <c r="E101" i="7"/>
  <c r="D101" i="7" s="1"/>
  <c r="I105" i="7"/>
  <c r="E105" i="7" s="1"/>
  <c r="D105" i="7" s="1"/>
  <c r="J105" i="7"/>
  <c r="I109" i="7"/>
  <c r="E109" i="7" s="1"/>
  <c r="D109" i="7" s="1"/>
  <c r="J109" i="7"/>
  <c r="J116" i="7"/>
  <c r="I116" i="7"/>
  <c r="E116" i="7" s="1"/>
  <c r="D116" i="7" s="1"/>
  <c r="I70" i="7"/>
  <c r="E70" i="7" s="1"/>
  <c r="D70" i="7" s="1"/>
  <c r="J70" i="7"/>
  <c r="E86" i="7"/>
  <c r="D86" i="7" s="1"/>
  <c r="I86" i="7"/>
  <c r="J86" i="7"/>
  <c r="E102" i="7"/>
  <c r="D102" i="7" s="1"/>
  <c r="I102" i="7"/>
  <c r="J102" i="7"/>
  <c r="J111" i="7"/>
  <c r="I111" i="7"/>
  <c r="E111" i="7" s="1"/>
  <c r="D111" i="7" s="1"/>
  <c r="J127" i="7"/>
  <c r="I127" i="7"/>
  <c r="E127" i="7"/>
  <c r="D127" i="7" s="1"/>
  <c r="J135" i="7"/>
  <c r="E135" i="7" s="1"/>
  <c r="D135" i="7" s="1"/>
  <c r="I135" i="7"/>
  <c r="J143" i="7"/>
  <c r="I143" i="7"/>
  <c r="E143" i="7"/>
  <c r="D143" i="7" s="1"/>
  <c r="I117" i="7"/>
  <c r="J117" i="7"/>
  <c r="E117" i="7"/>
  <c r="D117" i="7" s="1"/>
  <c r="I121" i="7"/>
  <c r="J121" i="7"/>
  <c r="E121" i="7"/>
  <c r="D121" i="7" s="1"/>
  <c r="I125" i="7"/>
  <c r="E125" i="7" s="1"/>
  <c r="D125" i="7" s="1"/>
  <c r="J125" i="7"/>
  <c r="I114" i="7"/>
  <c r="E114" i="7" s="1"/>
  <c r="D114" i="7" s="1"/>
  <c r="J114" i="7"/>
  <c r="E118" i="7"/>
  <c r="D118" i="7" s="1"/>
  <c r="I118" i="7"/>
  <c r="J118" i="7"/>
  <c r="I122" i="7"/>
  <c r="E122" i="7" s="1"/>
  <c r="D122" i="7" s="1"/>
  <c r="J122" i="7"/>
  <c r="E126" i="7"/>
  <c r="D126" i="7" s="1"/>
  <c r="I126" i="7"/>
  <c r="J126" i="7"/>
  <c r="E142" i="7"/>
  <c r="D142" i="7" s="1"/>
  <c r="J142" i="7"/>
  <c r="I142" i="7"/>
  <c r="J161" i="7"/>
  <c r="I161" i="7"/>
  <c r="E161" i="7" s="1"/>
  <c r="D161" i="7" s="1"/>
  <c r="J165" i="7"/>
  <c r="I165" i="7"/>
  <c r="E165" i="7" s="1"/>
  <c r="D165" i="7" s="1"/>
  <c r="E169" i="7"/>
  <c r="D169" i="7" s="1"/>
  <c r="J169" i="7"/>
  <c r="I169" i="7"/>
  <c r="I136" i="7"/>
  <c r="E136" i="7" s="1"/>
  <c r="D136" i="7" s="1"/>
  <c r="J136" i="7"/>
  <c r="I133" i="7"/>
  <c r="E133" i="7" s="1"/>
  <c r="D133" i="7" s="1"/>
  <c r="J133" i="7"/>
  <c r="J145" i="7"/>
  <c r="I145" i="7"/>
  <c r="E145" i="7" s="1"/>
  <c r="D145" i="7" s="1"/>
  <c r="J149" i="7"/>
  <c r="E149" i="7" s="1"/>
  <c r="D149" i="7" s="1"/>
  <c r="I149" i="7"/>
  <c r="I158" i="7"/>
  <c r="E158" i="7" s="1"/>
  <c r="D158" i="7" s="1"/>
  <c r="J158" i="7"/>
  <c r="I162" i="7"/>
  <c r="E162" i="7"/>
  <c r="D162" i="7" s="1"/>
  <c r="J162" i="7"/>
  <c r="I166" i="7"/>
  <c r="J166" i="7"/>
  <c r="E166" i="7" s="1"/>
  <c r="D166" i="7" s="1"/>
  <c r="I171" i="7"/>
  <c r="E171" i="7"/>
  <c r="D171" i="7" s="1"/>
  <c r="J171" i="7"/>
  <c r="J36" i="7"/>
  <c r="E36" i="7"/>
  <c r="D36" i="7" s="1"/>
  <c r="I36" i="7"/>
  <c r="J24" i="7"/>
  <c r="E24" i="7"/>
  <c r="D24" i="7" s="1"/>
  <c r="I24" i="7"/>
  <c r="I12" i="7"/>
  <c r="E12" i="7" s="1"/>
  <c r="D12" i="7" s="1"/>
  <c r="J12" i="7"/>
  <c r="F2" i="7"/>
  <c r="E15" i="7"/>
  <c r="D15" i="7" s="1"/>
  <c r="I15" i="7"/>
  <c r="J15" i="7"/>
  <c r="I10" i="7"/>
  <c r="E10" i="7" s="1"/>
  <c r="D10" i="7" s="1"/>
  <c r="J10" i="7"/>
  <c r="I34" i="7"/>
  <c r="J34" i="7"/>
  <c r="E34" i="7"/>
  <c r="D34" i="7" s="1"/>
  <c r="J28" i="7"/>
  <c r="I28" i="7"/>
  <c r="E28" i="7" s="1"/>
  <c r="D28" i="7" s="1"/>
  <c r="J33" i="7"/>
  <c r="E33" i="7"/>
  <c r="D33" i="7" s="1"/>
  <c r="I33" i="7"/>
  <c r="J56" i="7"/>
  <c r="I56" i="7"/>
  <c r="E56" i="7"/>
  <c r="D56" i="7" s="1"/>
  <c r="E47" i="7"/>
  <c r="D47" i="7" s="1"/>
  <c r="J47" i="7"/>
  <c r="I47" i="7"/>
  <c r="J63" i="7"/>
  <c r="I63" i="7"/>
  <c r="E63" i="7" s="1"/>
  <c r="D63" i="7" s="1"/>
  <c r="I45" i="7"/>
  <c r="J45" i="7"/>
  <c r="E45" i="7"/>
  <c r="D45" i="7" s="1"/>
  <c r="I49" i="7"/>
  <c r="E49" i="7" s="1"/>
  <c r="D49" i="7" s="1"/>
  <c r="J49" i="7"/>
  <c r="I53" i="7"/>
  <c r="E53" i="7" s="1"/>
  <c r="D53" i="7" s="1"/>
  <c r="J53" i="7"/>
  <c r="I57" i="7"/>
  <c r="J57" i="7"/>
  <c r="E57" i="7" s="1"/>
  <c r="D57" i="7" s="1"/>
  <c r="I61" i="7"/>
  <c r="J61" i="7"/>
  <c r="E61" i="7"/>
  <c r="D61" i="7" s="1"/>
  <c r="I65" i="7"/>
  <c r="E65" i="7" s="1"/>
  <c r="D65" i="7" s="1"/>
  <c r="J65" i="7"/>
  <c r="J80" i="7"/>
  <c r="I80" i="7"/>
  <c r="E80" i="7" s="1"/>
  <c r="D80" i="7" s="1"/>
  <c r="J71" i="7"/>
  <c r="I71" i="7"/>
  <c r="E71" i="7" s="1"/>
  <c r="D71" i="7" s="1"/>
  <c r="J87" i="7"/>
  <c r="I87" i="7"/>
  <c r="E87" i="7" s="1"/>
  <c r="D87" i="7" s="1"/>
  <c r="E103" i="7"/>
  <c r="D103" i="7" s="1"/>
  <c r="J103" i="7"/>
  <c r="I103" i="7"/>
  <c r="E82" i="7"/>
  <c r="D82" i="7" s="1"/>
  <c r="I82" i="7"/>
  <c r="J82" i="7"/>
  <c r="I98" i="7"/>
  <c r="E98" i="7" s="1"/>
  <c r="D98" i="7" s="1"/>
  <c r="J98" i="7"/>
  <c r="J123" i="7"/>
  <c r="I123" i="7"/>
  <c r="E123" i="7" s="1"/>
  <c r="D123" i="7" s="1"/>
  <c r="E144" i="7"/>
  <c r="D144" i="7" s="1"/>
  <c r="J144" i="7"/>
  <c r="I144" i="7"/>
  <c r="E138" i="7"/>
  <c r="D138" i="7" s="1"/>
  <c r="J138" i="7"/>
  <c r="I138" i="7"/>
  <c r="I132" i="7"/>
  <c r="J132" i="7"/>
  <c r="E132" i="7" s="1"/>
  <c r="D132" i="7" s="1"/>
  <c r="J152" i="7"/>
  <c r="I152" i="7"/>
  <c r="E152" i="7" s="1"/>
  <c r="D152" i="7" s="1"/>
  <c r="E129" i="7"/>
  <c r="D129" i="7" s="1"/>
  <c r="I129" i="7"/>
  <c r="J129" i="7"/>
  <c r="J153" i="7"/>
  <c r="I153" i="7"/>
  <c r="E153" i="7" s="1"/>
  <c r="D153" i="7" s="1"/>
  <c r="J170" i="7"/>
  <c r="I170" i="7"/>
  <c r="E170" i="7" s="1"/>
  <c r="D170" i="7" s="1"/>
  <c r="I154" i="7"/>
  <c r="E154" i="7" s="1"/>
  <c r="D154" i="7" s="1"/>
  <c r="J154" i="7"/>
  <c r="E155" i="7"/>
  <c r="D155" i="7" s="1"/>
  <c r="J155" i="7"/>
  <c r="I155" i="7"/>
  <c r="S64" i="7"/>
  <c r="S56" i="7"/>
  <c r="S48" i="7"/>
  <c r="S29" i="7"/>
  <c r="E16" i="7"/>
  <c r="D16" i="7" s="1"/>
  <c r="I16" i="7"/>
  <c r="J16" i="7"/>
  <c r="S113" i="7"/>
  <c r="S37" i="7"/>
  <c r="E29" i="7"/>
  <c r="D29" i="7" s="1"/>
  <c r="J29" i="7"/>
  <c r="I29" i="7"/>
  <c r="E19" i="7"/>
  <c r="D19" i="7" s="1"/>
  <c r="I19" i="7"/>
  <c r="J19" i="7"/>
  <c r="I14" i="7"/>
  <c r="E14" i="7"/>
  <c r="D14" i="7" s="1"/>
  <c r="J14" i="7"/>
  <c r="J30" i="7"/>
  <c r="I30" i="7"/>
  <c r="E30" i="7"/>
  <c r="D30" i="7" s="1"/>
  <c r="J44" i="7"/>
  <c r="I44" i="7"/>
  <c r="E44" i="7"/>
  <c r="D44" i="7" s="1"/>
  <c r="J60" i="7"/>
  <c r="I60" i="7"/>
  <c r="E60" i="7" s="1"/>
  <c r="D60" i="7" s="1"/>
  <c r="J40" i="7"/>
  <c r="E40" i="7"/>
  <c r="D40" i="7" s="1"/>
  <c r="I40" i="7"/>
  <c r="E43" i="7"/>
  <c r="D43" i="7" s="1"/>
  <c r="J43" i="7"/>
  <c r="I43" i="7"/>
  <c r="E59" i="7"/>
  <c r="D59" i="7" s="1"/>
  <c r="J59" i="7"/>
  <c r="I59" i="7"/>
  <c r="J96" i="7"/>
  <c r="I96" i="7"/>
  <c r="E96" i="7" s="1"/>
  <c r="D96" i="7" s="1"/>
  <c r="J68" i="7"/>
  <c r="E68" i="7"/>
  <c r="D68" i="7" s="1"/>
  <c r="I68" i="7"/>
  <c r="J83" i="7"/>
  <c r="I83" i="7"/>
  <c r="E83" i="7" s="1"/>
  <c r="D83" i="7" s="1"/>
  <c r="E99" i="7"/>
  <c r="D99" i="7" s="1"/>
  <c r="J99" i="7"/>
  <c r="I99" i="7"/>
  <c r="J120" i="7"/>
  <c r="I120" i="7"/>
  <c r="E120" i="7"/>
  <c r="D120" i="7" s="1"/>
  <c r="J124" i="7"/>
  <c r="I124" i="7"/>
  <c r="E124" i="7"/>
  <c r="D124" i="7" s="1"/>
  <c r="E78" i="7"/>
  <c r="D78" i="7" s="1"/>
  <c r="I78" i="7"/>
  <c r="J78" i="7"/>
  <c r="E94" i="7"/>
  <c r="D94" i="7" s="1"/>
  <c r="I94" i="7"/>
  <c r="J94" i="7"/>
  <c r="I110" i="7"/>
  <c r="E110" i="7" s="1"/>
  <c r="D110" i="7" s="1"/>
  <c r="J110" i="7"/>
  <c r="J119" i="7"/>
  <c r="I119" i="7"/>
  <c r="E119" i="7" s="1"/>
  <c r="D119" i="7" s="1"/>
  <c r="J131" i="7"/>
  <c r="I131" i="7"/>
  <c r="E131" i="7"/>
  <c r="D131" i="7" s="1"/>
  <c r="J139" i="7"/>
  <c r="I139" i="7"/>
  <c r="E139" i="7" s="1"/>
  <c r="D139" i="7" s="1"/>
  <c r="I146" i="7"/>
  <c r="E146" i="7" s="1"/>
  <c r="D146" i="7" s="1"/>
  <c r="J146" i="7"/>
  <c r="J134" i="7"/>
  <c r="I134" i="7"/>
  <c r="E134" i="7" s="1"/>
  <c r="D134" i="7" s="1"/>
  <c r="J159" i="7"/>
  <c r="I159" i="7"/>
  <c r="E159" i="7" s="1"/>
  <c r="D159" i="7" s="1"/>
  <c r="E163" i="7"/>
  <c r="D163" i="7" s="1"/>
  <c r="J163" i="7"/>
  <c r="I163" i="7"/>
  <c r="E167" i="7"/>
  <c r="D167" i="7" s="1"/>
  <c r="J167" i="7"/>
  <c r="I167" i="7"/>
  <c r="I128" i="7"/>
  <c r="J128" i="7"/>
  <c r="E128" i="7" s="1"/>
  <c r="D128" i="7" s="1"/>
  <c r="I141" i="7"/>
  <c r="J141" i="7"/>
  <c r="E141" i="7" s="1"/>
  <c r="D141" i="7" s="1"/>
  <c r="J157" i="7"/>
  <c r="I157" i="7"/>
  <c r="E157" i="7"/>
  <c r="D157" i="7" s="1"/>
  <c r="I150" i="7"/>
  <c r="E150" i="7" s="1"/>
  <c r="D150" i="7" s="1"/>
  <c r="J150" i="7"/>
  <c r="I160" i="7"/>
  <c r="E160" i="7"/>
  <c r="D160" i="7" s="1"/>
  <c r="J160" i="7"/>
  <c r="I164" i="7"/>
  <c r="E164" i="7" s="1"/>
  <c r="D164" i="7" s="1"/>
  <c r="J164" i="7"/>
  <c r="I168" i="7"/>
  <c r="E168" i="7" s="1"/>
  <c r="D168" i="7" s="1"/>
  <c r="J168" i="7"/>
  <c r="E151" i="7"/>
  <c r="D151" i="7" s="1"/>
  <c r="J151" i="7"/>
  <c r="I151" i="7"/>
  <c r="I20" i="7"/>
  <c r="E20" i="7" s="1"/>
  <c r="D20" i="7" s="1"/>
  <c r="J20" i="7"/>
  <c r="S152" i="7"/>
  <c r="S156" i="7"/>
  <c r="S124" i="7"/>
  <c r="S143" i="7"/>
  <c r="S100" i="7"/>
  <c r="S92" i="7"/>
  <c r="S52" i="7"/>
  <c r="E23" i="7"/>
  <c r="D23" i="7" s="1"/>
  <c r="I23" i="7"/>
  <c r="J23" i="7"/>
  <c r="I25" i="7"/>
  <c r="J25" i="7"/>
  <c r="E25" i="7"/>
  <c r="D25" i="7" s="1"/>
  <c r="I18" i="7"/>
  <c r="E18" i="7"/>
  <c r="D18" i="7" s="1"/>
  <c r="J18" i="7"/>
  <c r="I26" i="7"/>
  <c r="E26" i="7" s="1"/>
  <c r="D26" i="7" s="1"/>
  <c r="J26" i="7"/>
  <c r="I31" i="7"/>
  <c r="E31" i="7"/>
  <c r="D31" i="7" s="1"/>
  <c r="J31" i="7"/>
  <c r="J84" i="7"/>
  <c r="I84" i="7"/>
  <c r="E84" i="7" s="1"/>
  <c r="D84" i="7" s="1"/>
  <c r="J48" i="7"/>
  <c r="I48" i="7"/>
  <c r="E48" i="7"/>
  <c r="D48" i="7" s="1"/>
  <c r="J64" i="7"/>
  <c r="I64" i="7"/>
  <c r="E64" i="7"/>
  <c r="D64" i="7" s="1"/>
  <c r="E39" i="7"/>
  <c r="D39" i="7" s="1"/>
  <c r="I39" i="7"/>
  <c r="J39" i="7"/>
  <c r="E55" i="7"/>
  <c r="D55" i="7" s="1"/>
  <c r="J55" i="7"/>
  <c r="I55" i="7"/>
  <c r="J72" i="7"/>
  <c r="I72" i="7"/>
  <c r="E72" i="7" s="1"/>
  <c r="D72" i="7" s="1"/>
  <c r="J88" i="7"/>
  <c r="I88" i="7"/>
  <c r="E88" i="7"/>
  <c r="D88" i="7" s="1"/>
  <c r="J104" i="7"/>
  <c r="I104" i="7"/>
  <c r="E104" i="7" s="1"/>
  <c r="D104" i="7" s="1"/>
  <c r="J112" i="7"/>
  <c r="E112" i="7" s="1"/>
  <c r="D112" i="7" s="1"/>
  <c r="I112" i="7"/>
  <c r="I38" i="7"/>
  <c r="J38" i="7"/>
  <c r="E38" i="7"/>
  <c r="D38" i="7" s="1"/>
  <c r="E42" i="7"/>
  <c r="D42" i="7" s="1"/>
  <c r="I42" i="7"/>
  <c r="J42" i="7"/>
  <c r="E46" i="7"/>
  <c r="D46" i="7" s="1"/>
  <c r="I46" i="7"/>
  <c r="J46" i="7"/>
  <c r="E50" i="7"/>
  <c r="D50" i="7" s="1"/>
  <c r="I50" i="7"/>
  <c r="J50" i="7"/>
  <c r="E54" i="7"/>
  <c r="D54" i="7" s="1"/>
  <c r="I54" i="7"/>
  <c r="J54" i="7"/>
  <c r="I58" i="7"/>
  <c r="J58" i="7"/>
  <c r="E58" i="7" s="1"/>
  <c r="D58" i="7" s="1"/>
  <c r="E62" i="7"/>
  <c r="D62" i="7" s="1"/>
  <c r="I62" i="7"/>
  <c r="J62" i="7"/>
  <c r="E66" i="7"/>
  <c r="D66" i="7" s="1"/>
  <c r="I66" i="7"/>
  <c r="J66" i="7"/>
  <c r="J79" i="7"/>
  <c r="I79" i="7"/>
  <c r="E79" i="7" s="1"/>
  <c r="D79" i="7" s="1"/>
  <c r="J95" i="7"/>
  <c r="I95" i="7"/>
  <c r="E95" i="7" s="1"/>
  <c r="D95" i="7" s="1"/>
  <c r="E74" i="7"/>
  <c r="D74" i="7" s="1"/>
  <c r="I74" i="7"/>
  <c r="J74" i="7"/>
  <c r="I90" i="7"/>
  <c r="E90" i="7" s="1"/>
  <c r="D90" i="7" s="1"/>
  <c r="J90" i="7"/>
  <c r="I106" i="7"/>
  <c r="E106" i="7" s="1"/>
  <c r="D106" i="7" s="1"/>
  <c r="J106" i="7"/>
  <c r="J115" i="7"/>
  <c r="I115" i="7"/>
  <c r="E115" i="7" s="1"/>
  <c r="D115" i="7" s="1"/>
  <c r="E156" i="7"/>
  <c r="D156" i="7" s="1"/>
  <c r="J156" i="7"/>
  <c r="I156" i="7"/>
  <c r="J130" i="7"/>
  <c r="E130" i="7" s="1"/>
  <c r="D130" i="7" s="1"/>
  <c r="I130" i="7"/>
  <c r="I140" i="7"/>
  <c r="J140" i="7"/>
  <c r="E140" i="7"/>
  <c r="D140" i="7" s="1"/>
  <c r="I137" i="7"/>
  <c r="J137" i="7"/>
  <c r="E137" i="7" s="1"/>
  <c r="D137" i="7" s="1"/>
  <c r="E148" i="7"/>
  <c r="D148" i="7" s="1"/>
  <c r="J148" i="7"/>
  <c r="I148" i="7"/>
  <c r="J147" i="7"/>
  <c r="E147" i="7" s="1"/>
  <c r="D147" i="7" s="1"/>
  <c r="I147" i="7"/>
  <c r="W162" i="6"/>
  <c r="V131" i="6"/>
  <c r="V81" i="6"/>
  <c r="V80" i="6"/>
  <c r="V122" i="6"/>
  <c r="V92" i="6"/>
  <c r="V72" i="6"/>
  <c r="V56" i="6"/>
  <c r="V48" i="6"/>
  <c r="V19" i="6"/>
  <c r="V11" i="6"/>
  <c r="V61" i="6"/>
  <c r="V45" i="6"/>
  <c r="U107" i="4"/>
  <c r="U108" i="4"/>
  <c r="J108" i="4" s="1"/>
  <c r="T58" i="4"/>
  <c r="U153" i="4"/>
  <c r="J153" i="4" s="1"/>
  <c r="U139" i="4"/>
  <c r="H139" i="4" s="1"/>
  <c r="U84" i="4"/>
  <c r="J84" i="4" s="1"/>
  <c r="U43" i="4"/>
  <c r="H43" i="4" s="1"/>
  <c r="U31" i="4"/>
  <c r="J31" i="4" s="1"/>
  <c r="U26" i="4"/>
  <c r="J26" i="4" s="1"/>
  <c r="U150" i="4"/>
  <c r="I150" i="4" s="1"/>
  <c r="U54" i="4"/>
  <c r="I54" i="4" s="1"/>
  <c r="C27" i="4"/>
  <c r="F27" i="4" s="1"/>
  <c r="U111" i="4"/>
  <c r="H111" i="4" s="1"/>
  <c r="T35" i="4"/>
  <c r="U35" i="4" s="1"/>
  <c r="I35" i="4" s="1"/>
  <c r="T27" i="4"/>
  <c r="U27" i="4" s="1"/>
  <c r="C35" i="4"/>
  <c r="F35" i="4" s="1"/>
  <c r="F58" i="4"/>
  <c r="U73" i="4"/>
  <c r="H73" i="4" s="1"/>
  <c r="T110" i="4"/>
  <c r="H108" i="4"/>
  <c r="U106" i="4"/>
  <c r="K106" i="4" s="1"/>
  <c r="U143" i="4"/>
  <c r="J143" i="4" s="1"/>
  <c r="U148" i="4"/>
  <c r="I148" i="4" s="1"/>
  <c r="U74" i="4"/>
  <c r="K74" i="4" s="1"/>
  <c r="S110" i="4"/>
  <c r="U101" i="4"/>
  <c r="I101" i="4" s="1"/>
  <c r="U61" i="4"/>
  <c r="J61" i="4" s="1"/>
  <c r="U162" i="4"/>
  <c r="K162" i="4" s="1"/>
  <c r="U65" i="4"/>
  <c r="I65" i="4" s="1"/>
  <c r="U159" i="4"/>
  <c r="K159" i="4" s="1"/>
  <c r="U16" i="4"/>
  <c r="U96" i="4"/>
  <c r="I96" i="4" s="1"/>
  <c r="U47" i="4"/>
  <c r="H47" i="4" s="1"/>
  <c r="U81" i="4"/>
  <c r="I81" i="4" s="1"/>
  <c r="U62" i="4"/>
  <c r="H62" i="4" s="1"/>
  <c r="C87" i="4"/>
  <c r="F87" i="4" s="1"/>
  <c r="U166" i="4"/>
  <c r="I166" i="4" s="1"/>
  <c r="F130" i="4"/>
  <c r="U134" i="4"/>
  <c r="H134" i="4" s="1"/>
  <c r="U98" i="4"/>
  <c r="K98" i="4" s="1"/>
  <c r="U78" i="4"/>
  <c r="I78" i="4" s="1"/>
  <c r="U160" i="4"/>
  <c r="K160" i="4" s="1"/>
  <c r="U125" i="4"/>
  <c r="J125" i="4" s="1"/>
  <c r="U138" i="4"/>
  <c r="I138" i="4" s="1"/>
  <c r="U102" i="4"/>
  <c r="J102" i="4" s="1"/>
  <c r="U156" i="4"/>
  <c r="H156" i="4" s="1"/>
  <c r="F78" i="4"/>
  <c r="U113" i="4"/>
  <c r="K113" i="4" s="1"/>
  <c r="U109" i="4"/>
  <c r="I109" i="4" s="1"/>
  <c r="U49" i="4"/>
  <c r="J49" i="4" s="1"/>
  <c r="U146" i="4"/>
  <c r="K146" i="4" s="1"/>
  <c r="I15" i="4"/>
  <c r="J78" i="4"/>
  <c r="I108" i="4"/>
  <c r="U121" i="4"/>
  <c r="K121" i="4" s="1"/>
  <c r="U33" i="4"/>
  <c r="I33" i="4" s="1"/>
  <c r="U57" i="4"/>
  <c r="K57" i="4" s="1"/>
  <c r="U123" i="4"/>
  <c r="I123" i="4" s="1"/>
  <c r="F138" i="4"/>
  <c r="U161" i="4"/>
  <c r="I161" i="4" s="1"/>
  <c r="U53" i="4"/>
  <c r="H53" i="4" s="1"/>
  <c r="U22" i="4"/>
  <c r="J22" i="4" s="1"/>
  <c r="C42" i="4"/>
  <c r="F42" i="4" s="1"/>
  <c r="U126" i="4"/>
  <c r="J126" i="4" s="1"/>
  <c r="U122" i="4"/>
  <c r="J122" i="4" s="1"/>
  <c r="U164" i="4"/>
  <c r="I164" i="4" s="1"/>
  <c r="F156" i="4"/>
  <c r="U97" i="4"/>
  <c r="K97" i="4" s="1"/>
  <c r="U118" i="4"/>
  <c r="I118" i="4" s="1"/>
  <c r="U66" i="4"/>
  <c r="J66" i="4" s="1"/>
  <c r="U129" i="4"/>
  <c r="I129" i="4" s="1"/>
  <c r="U130" i="4"/>
  <c r="H130" i="4" s="1"/>
  <c r="U155" i="4"/>
  <c r="I155" i="4" s="1"/>
  <c r="F98" i="4"/>
  <c r="S18" i="4"/>
  <c r="U18" i="4" s="1"/>
  <c r="K18" i="4" s="1"/>
  <c r="S70" i="4"/>
  <c r="T70" i="4"/>
  <c r="S67" i="4"/>
  <c r="U142" i="4"/>
  <c r="H142" i="4" s="1"/>
  <c r="U87" i="4"/>
  <c r="J87" i="4" s="1"/>
  <c r="T67" i="4"/>
  <c r="U32" i="4"/>
  <c r="J32" i="4" s="1"/>
  <c r="U19" i="4"/>
  <c r="K19" i="4" s="1"/>
  <c r="H69" i="4"/>
  <c r="C18" i="4"/>
  <c r="F18" i="4" s="1"/>
  <c r="H15" i="4"/>
  <c r="J15" i="4"/>
  <c r="U157" i="4"/>
  <c r="I157" i="4" s="1"/>
  <c r="U82" i="4"/>
  <c r="K82" i="4" s="1"/>
  <c r="U133" i="4"/>
  <c r="I133" i="4" s="1"/>
  <c r="U86" i="4"/>
  <c r="I86" i="4" s="1"/>
  <c r="U100" i="4"/>
  <c r="K100" i="4" s="1"/>
  <c r="U42" i="4"/>
  <c r="H42" i="4" s="1"/>
  <c r="U41" i="4"/>
  <c r="J41" i="4" s="1"/>
  <c r="U103" i="4"/>
  <c r="K103" i="4" s="1"/>
  <c r="T51" i="4"/>
  <c r="F159" i="4"/>
  <c r="S38" i="4"/>
  <c r="U38" i="4" s="1"/>
  <c r="H38" i="4" s="1"/>
  <c r="C38" i="4"/>
  <c r="F38" i="4" s="1"/>
  <c r="F108" i="4"/>
  <c r="U24" i="4"/>
  <c r="J24" i="4" s="1"/>
  <c r="U132" i="4"/>
  <c r="K132" i="4" s="1"/>
  <c r="F86" i="4"/>
  <c r="F66" i="4"/>
  <c r="U63" i="4"/>
  <c r="K63" i="4" s="1"/>
  <c r="S51" i="4"/>
  <c r="U99" i="4"/>
  <c r="K99" i="4" s="1"/>
  <c r="U165" i="4"/>
  <c r="V165" i="4" s="1"/>
  <c r="U93" i="4"/>
  <c r="J93" i="4" s="1"/>
  <c r="U50" i="4"/>
  <c r="H50" i="4" s="1"/>
  <c r="U141" i="4"/>
  <c r="F41" i="4"/>
  <c r="U94" i="4"/>
  <c r="K94" i="4" s="1"/>
  <c r="U79" i="4"/>
  <c r="J79" i="4" s="1"/>
  <c r="U85" i="4"/>
  <c r="H85" i="4" s="1"/>
  <c r="U45" i="4"/>
  <c r="H45" i="4" s="1"/>
  <c r="U37" i="4"/>
  <c r="I37" i="4" s="1"/>
  <c r="U104" i="4"/>
  <c r="K104" i="4" s="1"/>
  <c r="U151" i="4"/>
  <c r="H151" i="4" s="1"/>
  <c r="I46" i="4"/>
  <c r="K46" i="4"/>
  <c r="G46" i="4" s="1"/>
  <c r="E46" i="4" s="1"/>
  <c r="D46" i="4" s="1"/>
  <c r="J46" i="4"/>
  <c r="H91" i="4"/>
  <c r="K91" i="4"/>
  <c r="I91" i="4"/>
  <c r="F143" i="4"/>
  <c r="K21" i="4"/>
  <c r="J21" i="4"/>
  <c r="I21" i="4"/>
  <c r="F118" i="4"/>
  <c r="H21" i="4"/>
  <c r="U137" i="4"/>
  <c r="U105" i="4"/>
  <c r="U145" i="4"/>
  <c r="K145" i="4" s="1"/>
  <c r="U135" i="4"/>
  <c r="J135" i="4" s="1"/>
  <c r="U154" i="4"/>
  <c r="I154" i="4" s="1"/>
  <c r="F106" i="4"/>
  <c r="U136" i="4"/>
  <c r="J136" i="4" s="1"/>
  <c r="U128" i="4"/>
  <c r="I128" i="4" s="1"/>
  <c r="U120" i="4"/>
  <c r="J120" i="4" s="1"/>
  <c r="U60" i="4"/>
  <c r="K60" i="4" s="1"/>
  <c r="U75" i="4"/>
  <c r="K75" i="4" s="1"/>
  <c r="U40" i="4"/>
  <c r="H40" i="4" s="1"/>
  <c r="U28" i="4"/>
  <c r="I28" i="4" s="1"/>
  <c r="F22" i="4"/>
  <c r="F167" i="4"/>
  <c r="U112" i="4"/>
  <c r="K112" i="4" s="1"/>
  <c r="I69" i="4"/>
  <c r="U20" i="4"/>
  <c r="K20" i="4" s="1"/>
  <c r="U58" i="4"/>
  <c r="C13" i="4"/>
  <c r="F13" i="4" s="1"/>
  <c r="T13" i="4"/>
  <c r="S13" i="4"/>
  <c r="C89" i="4"/>
  <c r="F89" i="4" s="1"/>
  <c r="T89" i="4"/>
  <c r="S89" i="4"/>
  <c r="U17" i="4"/>
  <c r="U25" i="4"/>
  <c r="U147" i="4"/>
  <c r="H147" i="4" s="1"/>
  <c r="U30" i="4"/>
  <c r="J30" i="4" s="1"/>
  <c r="F146" i="4"/>
  <c r="U80" i="4"/>
  <c r="J80" i="4" s="1"/>
  <c r="K69" i="4"/>
  <c r="U55" i="4"/>
  <c r="I55" i="4" s="1"/>
  <c r="U39" i="4"/>
  <c r="I39" i="4" s="1"/>
  <c r="U116" i="4"/>
  <c r="J116" i="4" s="1"/>
  <c r="U88" i="4"/>
  <c r="C29" i="4"/>
  <c r="F29" i="4" s="1"/>
  <c r="T29" i="4"/>
  <c r="S29" i="4"/>
  <c r="U11" i="4"/>
  <c r="J131" i="4"/>
  <c r="K131" i="4"/>
  <c r="H131" i="4"/>
  <c r="I131" i="4"/>
  <c r="J127" i="4"/>
  <c r="K127" i="4"/>
  <c r="H127" i="4"/>
  <c r="I127" i="4"/>
  <c r="J107" i="4"/>
  <c r="I107" i="4"/>
  <c r="K107" i="4"/>
  <c r="H107" i="4"/>
  <c r="I153" i="4"/>
  <c r="K144" i="4"/>
  <c r="I144" i="4"/>
  <c r="J144" i="4"/>
  <c r="H144" i="4"/>
  <c r="J59" i="4"/>
  <c r="K59" i="4"/>
  <c r="I59" i="4"/>
  <c r="H59" i="4"/>
  <c r="F1" i="4"/>
  <c r="K139" i="4"/>
  <c r="I139" i="4"/>
  <c r="I16" i="4"/>
  <c r="J16" i="4"/>
  <c r="H16" i="4"/>
  <c r="K16" i="4"/>
  <c r="H84" i="4"/>
  <c r="J115" i="4"/>
  <c r="H115" i="4"/>
  <c r="K115" i="4"/>
  <c r="I115" i="4"/>
  <c r="I116" i="4"/>
  <c r="U171" i="4"/>
  <c r="V169" i="4"/>
  <c r="H169" i="4"/>
  <c r="G169" i="4" s="1"/>
  <c r="E169" i="4" s="1"/>
  <c r="D169" i="4" s="1"/>
  <c r="J169" i="4"/>
  <c r="K169" i="4"/>
  <c r="I169" i="4"/>
  <c r="K134" i="4"/>
  <c r="U119" i="4"/>
  <c r="U44" i="4"/>
  <c r="J23" i="4"/>
  <c r="H23" i="4"/>
  <c r="I23" i="4"/>
  <c r="K23" i="4"/>
  <c r="U83" i="4"/>
  <c r="H77" i="4"/>
  <c r="I77" i="4"/>
  <c r="J77" i="4"/>
  <c r="K77" i="4"/>
  <c r="U72" i="4"/>
  <c r="U56" i="4"/>
  <c r="K34" i="4"/>
  <c r="H34" i="4"/>
  <c r="J34" i="4"/>
  <c r="I34" i="4"/>
  <c r="H31" i="4"/>
  <c r="K10" i="4"/>
  <c r="H10" i="4"/>
  <c r="J10" i="4"/>
  <c r="I10" i="4"/>
  <c r="U14" i="4"/>
  <c r="H152" i="4"/>
  <c r="I152" i="4"/>
  <c r="K152" i="4"/>
  <c r="J152" i="4"/>
  <c r="V163" i="4"/>
  <c r="H163" i="4"/>
  <c r="I163" i="4"/>
  <c r="J163" i="4"/>
  <c r="K163" i="4"/>
  <c r="U158" i="4"/>
  <c r="J168" i="4"/>
  <c r="H168" i="4"/>
  <c r="I168" i="4"/>
  <c r="V168" i="4"/>
  <c r="K168" i="4"/>
  <c r="U71" i="4"/>
  <c r="J166" i="4"/>
  <c r="H166" i="4"/>
  <c r="V166" i="4"/>
  <c r="K117" i="4"/>
  <c r="H117" i="4"/>
  <c r="J117" i="4"/>
  <c r="I117" i="4"/>
  <c r="J95" i="4"/>
  <c r="H95" i="4"/>
  <c r="I95" i="4"/>
  <c r="K95" i="4"/>
  <c r="J11" i="4"/>
  <c r="K11" i="4"/>
  <c r="I11" i="4"/>
  <c r="H11" i="4"/>
  <c r="G11" i="4" s="1"/>
  <c r="E11" i="4" s="1"/>
  <c r="D11" i="4" s="1"/>
  <c r="V167" i="4"/>
  <c r="H167" i="4"/>
  <c r="K167" i="4"/>
  <c r="I167" i="4"/>
  <c r="J167" i="4"/>
  <c r="U170" i="4"/>
  <c r="F2" i="4"/>
  <c r="U149" i="4"/>
  <c r="U114" i="4"/>
  <c r="U76" i="4"/>
  <c r="U48" i="4"/>
  <c r="U124" i="4"/>
  <c r="U90" i="4"/>
  <c r="I12" i="4"/>
  <c r="H12" i="4"/>
  <c r="K12" i="4"/>
  <c r="J12" i="4"/>
  <c r="U92" i="4"/>
  <c r="U64" i="4"/>
  <c r="U68" i="4"/>
  <c r="U36" i="4"/>
  <c r="U52" i="4"/>
  <c r="U140" i="4"/>
  <c r="G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P156" i="1" s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G20" i="8" l="1"/>
  <c r="E20" i="8" s="1"/>
  <c r="D20" i="8" s="1"/>
  <c r="G56" i="8"/>
  <c r="E56" i="8" s="1"/>
  <c r="D56" i="8" s="1"/>
  <c r="G81" i="8"/>
  <c r="E81" i="8" s="1"/>
  <c r="D81" i="8" s="1"/>
  <c r="G48" i="8"/>
  <c r="E48" i="8" s="1"/>
  <c r="D48" i="8" s="1"/>
  <c r="G94" i="8"/>
  <c r="E94" i="8" s="1"/>
  <c r="D94" i="8" s="1"/>
  <c r="G107" i="8"/>
  <c r="E107" i="8" s="1"/>
  <c r="D107" i="8" s="1"/>
  <c r="G24" i="8"/>
  <c r="E24" i="8" s="1"/>
  <c r="D24" i="8" s="1"/>
  <c r="G52" i="8"/>
  <c r="E52" i="8" s="1"/>
  <c r="D52" i="8" s="1"/>
  <c r="G28" i="8"/>
  <c r="E28" i="8" s="1"/>
  <c r="D28" i="8" s="1"/>
  <c r="G153" i="8"/>
  <c r="E153" i="8" s="1"/>
  <c r="D153" i="8" s="1"/>
  <c r="G16" i="8"/>
  <c r="E16" i="8" s="1"/>
  <c r="D16" i="8" s="1"/>
  <c r="G88" i="8"/>
  <c r="E88" i="8" s="1"/>
  <c r="D88" i="8" s="1"/>
  <c r="G80" i="8"/>
  <c r="E80" i="8" s="1"/>
  <c r="D80" i="8" s="1"/>
  <c r="G36" i="8"/>
  <c r="E36" i="8" s="1"/>
  <c r="D36" i="8" s="1"/>
  <c r="G12" i="8"/>
  <c r="E12" i="8" s="1"/>
  <c r="D12" i="8" s="1"/>
  <c r="G89" i="8"/>
  <c r="E89" i="8" s="1"/>
  <c r="D89" i="8" s="1"/>
  <c r="G72" i="8"/>
  <c r="E72" i="8" s="1"/>
  <c r="D72" i="8" s="1"/>
  <c r="G44" i="8"/>
  <c r="E44" i="8" s="1"/>
  <c r="D44" i="8" s="1"/>
  <c r="G147" i="8"/>
  <c r="E147" i="8" s="1"/>
  <c r="D147" i="8" s="1"/>
  <c r="G77" i="8"/>
  <c r="E77" i="8" s="1"/>
  <c r="D77" i="8" s="1"/>
  <c r="G148" i="8"/>
  <c r="E148" i="8" s="1"/>
  <c r="D148" i="8" s="1"/>
  <c r="G161" i="8"/>
  <c r="E161" i="8" s="1"/>
  <c r="D161" i="8" s="1"/>
  <c r="G114" i="8"/>
  <c r="E114" i="8" s="1"/>
  <c r="D114" i="8" s="1"/>
  <c r="G126" i="8"/>
  <c r="E126" i="8" s="1"/>
  <c r="D126" i="8" s="1"/>
  <c r="G140" i="8"/>
  <c r="E140" i="8" s="1"/>
  <c r="D140" i="8" s="1"/>
  <c r="G54" i="8"/>
  <c r="E54" i="8" s="1"/>
  <c r="D54" i="8" s="1"/>
  <c r="G79" i="8"/>
  <c r="E79" i="8" s="1"/>
  <c r="D79" i="8" s="1"/>
  <c r="G73" i="8"/>
  <c r="E73" i="8" s="1"/>
  <c r="D73" i="8" s="1"/>
  <c r="G57" i="8"/>
  <c r="E57" i="8" s="1"/>
  <c r="D57" i="8" s="1"/>
  <c r="G122" i="8"/>
  <c r="E122" i="8" s="1"/>
  <c r="D122" i="8" s="1"/>
  <c r="G63" i="8"/>
  <c r="E63" i="8" s="1"/>
  <c r="D63" i="8" s="1"/>
  <c r="G93" i="8"/>
  <c r="E93" i="8" s="1"/>
  <c r="D93" i="8" s="1"/>
  <c r="G35" i="8"/>
  <c r="E35" i="8" s="1"/>
  <c r="D35" i="8" s="1"/>
  <c r="G90" i="8"/>
  <c r="E90" i="8" s="1"/>
  <c r="D90" i="8" s="1"/>
  <c r="G120" i="8"/>
  <c r="E120" i="8" s="1"/>
  <c r="D120" i="8" s="1"/>
  <c r="G142" i="8"/>
  <c r="E142" i="8" s="1"/>
  <c r="D142" i="8" s="1"/>
  <c r="G139" i="8"/>
  <c r="E139" i="8" s="1"/>
  <c r="D139" i="8" s="1"/>
  <c r="G117" i="8"/>
  <c r="E117" i="8" s="1"/>
  <c r="D117" i="8" s="1"/>
  <c r="G64" i="8"/>
  <c r="E64" i="8" s="1"/>
  <c r="D64" i="8" s="1"/>
  <c r="G19" i="8"/>
  <c r="E19" i="8" s="1"/>
  <c r="D19" i="8" s="1"/>
  <c r="G27" i="8"/>
  <c r="E27" i="8" s="1"/>
  <c r="D27" i="8" s="1"/>
  <c r="G98" i="8"/>
  <c r="E98" i="8" s="1"/>
  <c r="D98" i="8" s="1"/>
  <c r="G159" i="8"/>
  <c r="E159" i="8" s="1"/>
  <c r="D159" i="8" s="1"/>
  <c r="G146" i="8"/>
  <c r="E146" i="8" s="1"/>
  <c r="D146" i="8" s="1"/>
  <c r="G131" i="8"/>
  <c r="E131" i="8" s="1"/>
  <c r="D131" i="8" s="1"/>
  <c r="G155" i="8"/>
  <c r="E155" i="8" s="1"/>
  <c r="D155" i="8" s="1"/>
  <c r="G95" i="8"/>
  <c r="E95" i="8" s="1"/>
  <c r="D95" i="8" s="1"/>
  <c r="G10" i="8"/>
  <c r="E10" i="8" s="1"/>
  <c r="D10" i="8" s="1"/>
  <c r="G22" i="8"/>
  <c r="E22" i="8" s="1"/>
  <c r="D22" i="8" s="1"/>
  <c r="G17" i="8"/>
  <c r="E17" i="8" s="1"/>
  <c r="D17" i="8" s="1"/>
  <c r="G41" i="8"/>
  <c r="E41" i="8" s="1"/>
  <c r="D41" i="8" s="1"/>
  <c r="G157" i="8"/>
  <c r="E157" i="8" s="1"/>
  <c r="D157" i="8" s="1"/>
  <c r="G42" i="8"/>
  <c r="E42" i="8" s="1"/>
  <c r="D42" i="8" s="1"/>
  <c r="G106" i="8"/>
  <c r="E106" i="8" s="1"/>
  <c r="D106" i="8" s="1"/>
  <c r="G115" i="8"/>
  <c r="E115" i="8" s="1"/>
  <c r="D115" i="8" s="1"/>
  <c r="G123" i="8"/>
  <c r="E123" i="8" s="1"/>
  <c r="D123" i="8" s="1"/>
  <c r="G160" i="8"/>
  <c r="E160" i="8" s="1"/>
  <c r="D160" i="8" s="1"/>
  <c r="G25" i="8"/>
  <c r="E25" i="8" s="1"/>
  <c r="D25" i="8" s="1"/>
  <c r="G59" i="8"/>
  <c r="E59" i="8" s="1"/>
  <c r="D59" i="8" s="1"/>
  <c r="G75" i="8"/>
  <c r="E75" i="8" s="1"/>
  <c r="D75" i="8" s="1"/>
  <c r="G91" i="8"/>
  <c r="E91" i="8" s="1"/>
  <c r="D91" i="8" s="1"/>
  <c r="G51" i="8"/>
  <c r="E51" i="8" s="1"/>
  <c r="D51" i="8" s="1"/>
  <c r="G113" i="8"/>
  <c r="E113" i="8" s="1"/>
  <c r="D113" i="8" s="1"/>
  <c r="G76" i="8"/>
  <c r="E76" i="8" s="1"/>
  <c r="D76" i="8" s="1"/>
  <c r="G125" i="8"/>
  <c r="E125" i="8" s="1"/>
  <c r="D125" i="8" s="1"/>
  <c r="G109" i="8"/>
  <c r="E109" i="8" s="1"/>
  <c r="D109" i="8" s="1"/>
  <c r="G104" i="8"/>
  <c r="E104" i="8" s="1"/>
  <c r="D104" i="8" s="1"/>
  <c r="G124" i="8"/>
  <c r="E124" i="8" s="1"/>
  <c r="D124" i="8" s="1"/>
  <c r="G33" i="8"/>
  <c r="E33" i="8" s="1"/>
  <c r="D33" i="8" s="1"/>
  <c r="G29" i="8"/>
  <c r="E29" i="8" s="1"/>
  <c r="D29" i="8" s="1"/>
  <c r="G45" i="8"/>
  <c r="E45" i="8" s="1"/>
  <c r="D45" i="8" s="1"/>
  <c r="G135" i="8"/>
  <c r="E135" i="8" s="1"/>
  <c r="D135" i="8" s="1"/>
  <c r="G130" i="8"/>
  <c r="E130" i="8" s="1"/>
  <c r="D130" i="8" s="1"/>
  <c r="G167" i="8"/>
  <c r="E167" i="8" s="1"/>
  <c r="D167" i="8" s="1"/>
  <c r="J26" i="8"/>
  <c r="K26" i="8"/>
  <c r="I26" i="8"/>
  <c r="H26" i="8"/>
  <c r="J82" i="8"/>
  <c r="I82" i="8"/>
  <c r="K82" i="8"/>
  <c r="H82" i="8"/>
  <c r="I112" i="8"/>
  <c r="J112" i="8"/>
  <c r="K112" i="8"/>
  <c r="H112" i="8"/>
  <c r="J92" i="8"/>
  <c r="I92" i="8"/>
  <c r="H92" i="8"/>
  <c r="K92" i="8"/>
  <c r="I15" i="8"/>
  <c r="J15" i="8"/>
  <c r="K15" i="8"/>
  <c r="H15" i="8"/>
  <c r="J62" i="8"/>
  <c r="I62" i="8"/>
  <c r="K62" i="8"/>
  <c r="H62" i="8"/>
  <c r="K144" i="8"/>
  <c r="I144" i="8"/>
  <c r="H144" i="8"/>
  <c r="J144" i="8"/>
  <c r="I43" i="8"/>
  <c r="J43" i="8"/>
  <c r="H43" i="8"/>
  <c r="K43" i="8"/>
  <c r="J18" i="8"/>
  <c r="K18" i="8"/>
  <c r="I18" i="8"/>
  <c r="H18" i="8"/>
  <c r="J78" i="8"/>
  <c r="I78" i="8"/>
  <c r="K78" i="8"/>
  <c r="H78" i="8"/>
  <c r="J154" i="8"/>
  <c r="H154" i="8"/>
  <c r="K154" i="8"/>
  <c r="I154" i="8"/>
  <c r="G127" i="8"/>
  <c r="E127" i="8" s="1"/>
  <c r="D127" i="8" s="1"/>
  <c r="G58" i="8"/>
  <c r="E58" i="8" s="1"/>
  <c r="D58" i="8" s="1"/>
  <c r="G97" i="8"/>
  <c r="E97" i="8" s="1"/>
  <c r="D97" i="8" s="1"/>
  <c r="G162" i="8"/>
  <c r="E162" i="8" s="1"/>
  <c r="D162" i="8" s="1"/>
  <c r="G163" i="8"/>
  <c r="E163" i="8" s="1"/>
  <c r="D163" i="8" s="1"/>
  <c r="G55" i="8"/>
  <c r="E55" i="8" s="1"/>
  <c r="D55" i="8" s="1"/>
  <c r="G53" i="8"/>
  <c r="E53" i="8" s="1"/>
  <c r="D53" i="8" s="1"/>
  <c r="G83" i="8"/>
  <c r="E83" i="8" s="1"/>
  <c r="D83" i="8" s="1"/>
  <c r="G165" i="8"/>
  <c r="E165" i="8" s="1"/>
  <c r="D165" i="8" s="1"/>
  <c r="G138" i="8"/>
  <c r="E138" i="8" s="1"/>
  <c r="D138" i="8" s="1"/>
  <c r="G171" i="8"/>
  <c r="E171" i="8" s="1"/>
  <c r="D171" i="8" s="1"/>
  <c r="G96" i="8"/>
  <c r="E96" i="8" s="1"/>
  <c r="D96" i="8" s="1"/>
  <c r="G61" i="8"/>
  <c r="E61" i="8" s="1"/>
  <c r="D61" i="8" s="1"/>
  <c r="J86" i="8"/>
  <c r="I86" i="8"/>
  <c r="K86" i="8"/>
  <c r="H86" i="8"/>
  <c r="G119" i="8"/>
  <c r="E119" i="8" s="1"/>
  <c r="D119" i="8" s="1"/>
  <c r="G169" i="8"/>
  <c r="E169" i="8" s="1"/>
  <c r="D169" i="8" s="1"/>
  <c r="G49" i="8"/>
  <c r="E49" i="8" s="1"/>
  <c r="D49" i="8" s="1"/>
  <c r="G67" i="8"/>
  <c r="E67" i="8" s="1"/>
  <c r="D67" i="8" s="1"/>
  <c r="G110" i="8"/>
  <c r="E110" i="8" s="1"/>
  <c r="D110" i="8" s="1"/>
  <c r="J74" i="8"/>
  <c r="I74" i="8"/>
  <c r="K74" i="8"/>
  <c r="H74" i="8"/>
  <c r="G156" i="8"/>
  <c r="E156" i="8" s="1"/>
  <c r="D156" i="8" s="1"/>
  <c r="J50" i="8"/>
  <c r="K50" i="8"/>
  <c r="H50" i="8"/>
  <c r="I50" i="8"/>
  <c r="G60" i="8"/>
  <c r="E60" i="8" s="1"/>
  <c r="D60" i="8" s="1"/>
  <c r="G85" i="8"/>
  <c r="E85" i="8" s="1"/>
  <c r="D85" i="8" s="1"/>
  <c r="G100" i="8"/>
  <c r="E100" i="8" s="1"/>
  <c r="D100" i="8" s="1"/>
  <c r="J111" i="8"/>
  <c r="K111" i="8"/>
  <c r="H111" i="8"/>
  <c r="I111" i="8"/>
  <c r="J141" i="8"/>
  <c r="K141" i="8"/>
  <c r="H141" i="8"/>
  <c r="I141" i="8"/>
  <c r="G23" i="8"/>
  <c r="E23" i="8" s="1"/>
  <c r="D23" i="8" s="1"/>
  <c r="G132" i="8"/>
  <c r="E132" i="8" s="1"/>
  <c r="D132" i="8" s="1"/>
  <c r="G38" i="8"/>
  <c r="E38" i="8" s="1"/>
  <c r="D38" i="8" s="1"/>
  <c r="G39" i="8"/>
  <c r="E39" i="8" s="1"/>
  <c r="D39" i="8" s="1"/>
  <c r="G145" i="8"/>
  <c r="E145" i="8" s="1"/>
  <c r="D145" i="8" s="1"/>
  <c r="G71" i="8"/>
  <c r="E71" i="8" s="1"/>
  <c r="D71" i="8" s="1"/>
  <c r="G87" i="8"/>
  <c r="E87" i="8" s="1"/>
  <c r="D87" i="8" s="1"/>
  <c r="G158" i="8"/>
  <c r="E158" i="8" s="1"/>
  <c r="D158" i="8" s="1"/>
  <c r="G121" i="8"/>
  <c r="E121" i="8" s="1"/>
  <c r="D121" i="8" s="1"/>
  <c r="G149" i="8"/>
  <c r="E149" i="8" s="1"/>
  <c r="D149" i="8" s="1"/>
  <c r="I31" i="8"/>
  <c r="J31" i="8"/>
  <c r="K31" i="8"/>
  <c r="H31" i="8"/>
  <c r="G166" i="8"/>
  <c r="E166" i="8" s="1"/>
  <c r="D166" i="8" s="1"/>
  <c r="J34" i="8"/>
  <c r="K34" i="8"/>
  <c r="I34" i="8"/>
  <c r="H34" i="8"/>
  <c r="G136" i="8"/>
  <c r="E136" i="8" s="1"/>
  <c r="D136" i="8" s="1"/>
  <c r="J108" i="8"/>
  <c r="I108" i="8"/>
  <c r="H108" i="8"/>
  <c r="K108" i="8"/>
  <c r="I134" i="8"/>
  <c r="K134" i="8"/>
  <c r="H134" i="8"/>
  <c r="J134" i="8"/>
  <c r="G129" i="8"/>
  <c r="E129" i="8" s="1"/>
  <c r="D129" i="8" s="1"/>
  <c r="K170" i="8"/>
  <c r="I170" i="8"/>
  <c r="S170" i="8"/>
  <c r="H170" i="8"/>
  <c r="J170" i="8"/>
  <c r="G68" i="8"/>
  <c r="E68" i="8" s="1"/>
  <c r="D68" i="8" s="1"/>
  <c r="G152" i="8"/>
  <c r="E152" i="8" s="1"/>
  <c r="D152" i="8" s="1"/>
  <c r="G102" i="8"/>
  <c r="E102" i="8" s="1"/>
  <c r="D102" i="8" s="1"/>
  <c r="G101" i="8"/>
  <c r="E101" i="8" s="1"/>
  <c r="D101" i="8" s="1"/>
  <c r="G168" i="8"/>
  <c r="E168" i="8" s="1"/>
  <c r="D168" i="8" s="1"/>
  <c r="J66" i="8"/>
  <c r="I66" i="8"/>
  <c r="K66" i="8"/>
  <c r="H66" i="8"/>
  <c r="J70" i="8"/>
  <c r="I70" i="8"/>
  <c r="K70" i="8"/>
  <c r="H70" i="8"/>
  <c r="G84" i="8"/>
  <c r="E84" i="8" s="1"/>
  <c r="D84" i="8" s="1"/>
  <c r="G151" i="8"/>
  <c r="E151" i="8" s="1"/>
  <c r="D151" i="8" s="1"/>
  <c r="G11" i="8"/>
  <c r="E11" i="8" s="1"/>
  <c r="D11" i="8" s="1"/>
  <c r="G13" i="8"/>
  <c r="E13" i="8" s="1"/>
  <c r="D13" i="8" s="1"/>
  <c r="G21" i="8"/>
  <c r="E21" i="8" s="1"/>
  <c r="D21" i="8" s="1"/>
  <c r="G37" i="8"/>
  <c r="E37" i="8" s="1"/>
  <c r="D37" i="8" s="1"/>
  <c r="I47" i="8"/>
  <c r="J47" i="8"/>
  <c r="H47" i="8"/>
  <c r="K47" i="8"/>
  <c r="G69" i="8"/>
  <c r="E69" i="8" s="1"/>
  <c r="D69" i="8" s="1"/>
  <c r="J116" i="8"/>
  <c r="H116" i="8"/>
  <c r="I116" i="8"/>
  <c r="K116" i="8"/>
  <c r="J133" i="8"/>
  <c r="H133" i="8"/>
  <c r="I133" i="8"/>
  <c r="K133" i="8"/>
  <c r="G143" i="8"/>
  <c r="E143" i="8" s="1"/>
  <c r="D143" i="8" s="1"/>
  <c r="G150" i="8"/>
  <c r="E150" i="8" s="1"/>
  <c r="D150" i="8" s="1"/>
  <c r="G46" i="8"/>
  <c r="E46" i="8" s="1"/>
  <c r="D46" i="8" s="1"/>
  <c r="G164" i="8"/>
  <c r="E164" i="8" s="1"/>
  <c r="D164" i="8" s="1"/>
  <c r="G14" i="8"/>
  <c r="E14" i="8" s="1"/>
  <c r="D14" i="8" s="1"/>
  <c r="G99" i="8"/>
  <c r="E99" i="8" s="1"/>
  <c r="D99" i="8" s="1"/>
  <c r="G103" i="8"/>
  <c r="E103" i="8" s="1"/>
  <c r="D103" i="8" s="1"/>
  <c r="G105" i="8"/>
  <c r="E105" i="8" s="1"/>
  <c r="D105" i="8" s="1"/>
  <c r="G128" i="8"/>
  <c r="E128" i="8" s="1"/>
  <c r="D128" i="8" s="1"/>
  <c r="G30" i="8"/>
  <c r="E30" i="8" s="1"/>
  <c r="D30" i="8" s="1"/>
  <c r="G137" i="8"/>
  <c r="E137" i="8" s="1"/>
  <c r="D137" i="8" s="1"/>
  <c r="I72" i="6"/>
  <c r="G72" i="6" s="1"/>
  <c r="J26" i="6"/>
  <c r="G26" i="6" s="1"/>
  <c r="E26" i="6" s="1"/>
  <c r="D26" i="6" s="1"/>
  <c r="I111" i="6"/>
  <c r="I64" i="6"/>
  <c r="G64" i="6" s="1"/>
  <c r="J100" i="6"/>
  <c r="G100" i="6" s="1"/>
  <c r="V15" i="6"/>
  <c r="F169" i="6"/>
  <c r="F25" i="6"/>
  <c r="F18" i="6"/>
  <c r="V166" i="6"/>
  <c r="W166" i="6" s="1"/>
  <c r="F13" i="6"/>
  <c r="V71" i="6"/>
  <c r="V68" i="6"/>
  <c r="F126" i="6"/>
  <c r="I46" i="6"/>
  <c r="J99" i="6"/>
  <c r="G99" i="6" s="1"/>
  <c r="J117" i="6"/>
  <c r="I127" i="6"/>
  <c r="G127" i="6" s="1"/>
  <c r="I91" i="6"/>
  <c r="I22" i="6"/>
  <c r="G22" i="6" s="1"/>
  <c r="E22" i="6" s="1"/>
  <c r="D22" i="6" s="1"/>
  <c r="J160" i="6"/>
  <c r="I73" i="6"/>
  <c r="G73" i="6" s="1"/>
  <c r="J30" i="6"/>
  <c r="G30" i="6" s="1"/>
  <c r="I142" i="6"/>
  <c r="G142" i="6" s="1"/>
  <c r="F117" i="6"/>
  <c r="V76" i="6"/>
  <c r="F34" i="6"/>
  <c r="F140" i="6"/>
  <c r="F52" i="6"/>
  <c r="V86" i="6"/>
  <c r="V95" i="6"/>
  <c r="V82" i="6"/>
  <c r="F74" i="6"/>
  <c r="V161" i="6"/>
  <c r="W161" i="6" s="1"/>
  <c r="F129" i="6"/>
  <c r="V23" i="6"/>
  <c r="F158" i="6"/>
  <c r="V100" i="6"/>
  <c r="J119" i="6"/>
  <c r="I82" i="6"/>
  <c r="G82" i="6" s="1"/>
  <c r="J96" i="6"/>
  <c r="J63" i="6"/>
  <c r="G63" i="6" s="1"/>
  <c r="I105" i="6"/>
  <c r="G105" i="6" s="1"/>
  <c r="I84" i="6"/>
  <c r="I42" i="6"/>
  <c r="G42" i="6" s="1"/>
  <c r="F85" i="6"/>
  <c r="F161" i="6"/>
  <c r="V20" i="6"/>
  <c r="F138" i="6"/>
  <c r="F27" i="6"/>
  <c r="V28" i="6"/>
  <c r="F38" i="6"/>
  <c r="F159" i="6"/>
  <c r="F88" i="6"/>
  <c r="V94" i="6"/>
  <c r="V30" i="6"/>
  <c r="F48" i="6"/>
  <c r="V38" i="6"/>
  <c r="V46" i="6"/>
  <c r="F99" i="6"/>
  <c r="V170" i="6"/>
  <c r="W170" i="6" s="1"/>
  <c r="V73" i="6"/>
  <c r="I71" i="6"/>
  <c r="I140" i="6"/>
  <c r="G140" i="6" s="1"/>
  <c r="J107" i="6"/>
  <c r="G107" i="6" s="1"/>
  <c r="E107" i="6" s="1"/>
  <c r="D107" i="6" s="1"/>
  <c r="I89" i="6"/>
  <c r="G89" i="6" s="1"/>
  <c r="G21" i="6"/>
  <c r="E21" i="6" s="1"/>
  <c r="D21" i="6" s="1"/>
  <c r="F91" i="6"/>
  <c r="V84" i="6"/>
  <c r="F152" i="6"/>
  <c r="F24" i="6"/>
  <c r="F78" i="6"/>
  <c r="I112" i="6"/>
  <c r="I171" i="6"/>
  <c r="I86" i="6"/>
  <c r="I165" i="6"/>
  <c r="J139" i="6"/>
  <c r="I65" i="6"/>
  <c r="G65" i="6" s="1"/>
  <c r="I93" i="6"/>
  <c r="I163" i="6"/>
  <c r="I15" i="6"/>
  <c r="J156" i="6"/>
  <c r="G156" i="6" s="1"/>
  <c r="J49" i="6"/>
  <c r="V145" i="6"/>
  <c r="F17" i="6"/>
  <c r="F163" i="6"/>
  <c r="F151" i="6"/>
  <c r="F71" i="6"/>
  <c r="V18" i="6"/>
  <c r="F84" i="6"/>
  <c r="V39" i="6"/>
  <c r="F97" i="6"/>
  <c r="V157" i="6"/>
  <c r="V63" i="6"/>
  <c r="V66" i="6"/>
  <c r="F11" i="6"/>
  <c r="I108" i="6"/>
  <c r="G108" i="6" s="1"/>
  <c r="I158" i="6"/>
  <c r="G158" i="6" s="1"/>
  <c r="J79" i="6"/>
  <c r="I126" i="6"/>
  <c r="G126" i="6" s="1"/>
  <c r="I66" i="6"/>
  <c r="J53" i="6"/>
  <c r="G53" i="6" s="1"/>
  <c r="E53" i="6" s="1"/>
  <c r="D53" i="6" s="1"/>
  <c r="J169" i="6"/>
  <c r="G169" i="6" s="1"/>
  <c r="F73" i="6"/>
  <c r="V114" i="6"/>
  <c r="V54" i="6"/>
  <c r="V36" i="6"/>
  <c r="V102" i="6"/>
  <c r="F162" i="6"/>
  <c r="V146" i="6"/>
  <c r="F42" i="6"/>
  <c r="F118" i="6"/>
  <c r="V74" i="6"/>
  <c r="F112" i="6"/>
  <c r="F62" i="6"/>
  <c r="J16" i="6"/>
  <c r="G16" i="6" s="1"/>
  <c r="E16" i="6" s="1"/>
  <c r="D16" i="6" s="1"/>
  <c r="I167" i="6"/>
  <c r="G167" i="6" s="1"/>
  <c r="I97" i="6"/>
  <c r="I92" i="6"/>
  <c r="I28" i="6"/>
  <c r="I170" i="6"/>
  <c r="G170" i="6" s="1"/>
  <c r="G84" i="6"/>
  <c r="I52" i="6"/>
  <c r="G52" i="6" s="1"/>
  <c r="V85" i="6"/>
  <c r="F12" i="6"/>
  <c r="I103" i="6"/>
  <c r="G103" i="6" s="1"/>
  <c r="I39" i="6"/>
  <c r="I124" i="6"/>
  <c r="J85" i="6"/>
  <c r="I130" i="6"/>
  <c r="G130" i="6" s="1"/>
  <c r="E130" i="6" s="1"/>
  <c r="D130" i="6" s="1"/>
  <c r="I57" i="6"/>
  <c r="I113" i="6"/>
  <c r="I150" i="6"/>
  <c r="I133" i="6"/>
  <c r="G133" i="6" s="1"/>
  <c r="I125" i="6"/>
  <c r="G125" i="6" s="1"/>
  <c r="I61" i="6"/>
  <c r="G61" i="6" s="1"/>
  <c r="V93" i="6"/>
  <c r="F113" i="6"/>
  <c r="F66" i="6"/>
  <c r="F55" i="6"/>
  <c r="F130" i="6"/>
  <c r="J43" i="6"/>
  <c r="I54" i="6"/>
  <c r="I148" i="6"/>
  <c r="G148" i="6" s="1"/>
  <c r="I20" i="6"/>
  <c r="G20" i="6" s="1"/>
  <c r="E20" i="6" s="1"/>
  <c r="D20" i="6" s="1"/>
  <c r="V125" i="6"/>
  <c r="F23" i="6"/>
  <c r="V138" i="6"/>
  <c r="F81" i="6"/>
  <c r="F146" i="6"/>
  <c r="I12" i="6"/>
  <c r="G12" i="6" s="1"/>
  <c r="E12" i="6" s="1"/>
  <c r="D12" i="6" s="1"/>
  <c r="J164" i="6"/>
  <c r="G164" i="6" s="1"/>
  <c r="E164" i="6" s="1"/>
  <c r="D164" i="6" s="1"/>
  <c r="F133" i="6"/>
  <c r="F26" i="6"/>
  <c r="I137" i="6"/>
  <c r="I151" i="6"/>
  <c r="I87" i="6"/>
  <c r="I55" i="6"/>
  <c r="J23" i="6"/>
  <c r="I145" i="6"/>
  <c r="I102" i="6"/>
  <c r="I60" i="6"/>
  <c r="G60" i="6" s="1"/>
  <c r="I90" i="6"/>
  <c r="I76" i="6"/>
  <c r="I70" i="6"/>
  <c r="G70" i="6" s="1"/>
  <c r="E70" i="6" s="1"/>
  <c r="D70" i="6" s="1"/>
  <c r="I68" i="6"/>
  <c r="G68" i="6" s="1"/>
  <c r="I116" i="6"/>
  <c r="J155" i="6"/>
  <c r="G155" i="6" s="1"/>
  <c r="I44" i="6"/>
  <c r="I157" i="6"/>
  <c r="G157" i="6" s="1"/>
  <c r="I114" i="6"/>
  <c r="I101" i="6"/>
  <c r="G101" i="6" s="1"/>
  <c r="I18" i="6"/>
  <c r="G18" i="6" s="1"/>
  <c r="E18" i="6" s="1"/>
  <c r="D18" i="6" s="1"/>
  <c r="I132" i="6"/>
  <c r="G132" i="6" s="1"/>
  <c r="E132" i="6" s="1"/>
  <c r="D132" i="6" s="1"/>
  <c r="I98" i="6"/>
  <c r="I14" i="6"/>
  <c r="G14" i="6" s="1"/>
  <c r="E14" i="6" s="1"/>
  <c r="D14" i="6" s="1"/>
  <c r="I138" i="6"/>
  <c r="F1" i="6"/>
  <c r="F145" i="6"/>
  <c r="F49" i="6"/>
  <c r="F167" i="6"/>
  <c r="F114" i="6"/>
  <c r="I41" i="6"/>
  <c r="G41" i="6" s="1"/>
  <c r="F58" i="6"/>
  <c r="V130" i="6"/>
  <c r="G47" i="6"/>
  <c r="G34" i="6"/>
  <c r="G143" i="6"/>
  <c r="G31" i="6"/>
  <c r="G38" i="6"/>
  <c r="G43" i="6"/>
  <c r="G33" i="6"/>
  <c r="G55" i="6"/>
  <c r="G45" i="6"/>
  <c r="G76" i="6"/>
  <c r="G44" i="6"/>
  <c r="G29" i="6"/>
  <c r="G40" i="6"/>
  <c r="G77" i="6"/>
  <c r="G36" i="6"/>
  <c r="G120" i="6"/>
  <c r="G56" i="6"/>
  <c r="G117" i="6"/>
  <c r="G50" i="6"/>
  <c r="G144" i="6"/>
  <c r="G118" i="6"/>
  <c r="E118" i="6" s="1"/>
  <c r="D118" i="6" s="1"/>
  <c r="G54" i="6"/>
  <c r="G46" i="6"/>
  <c r="G48" i="6"/>
  <c r="G171" i="6"/>
  <c r="G27" i="6"/>
  <c r="G19" i="6"/>
  <c r="G81" i="6"/>
  <c r="G119" i="6"/>
  <c r="G154" i="6"/>
  <c r="G146" i="6"/>
  <c r="G129" i="6"/>
  <c r="G95" i="6"/>
  <c r="E95" i="6" s="1"/>
  <c r="D95" i="6" s="1"/>
  <c r="G25" i="6"/>
  <c r="G124" i="6"/>
  <c r="G141" i="6"/>
  <c r="E141" i="6" s="1"/>
  <c r="D141" i="6" s="1"/>
  <c r="G37" i="6"/>
  <c r="E37" i="6" s="1"/>
  <c r="D37" i="6" s="1"/>
  <c r="G122" i="6"/>
  <c r="G67" i="6"/>
  <c r="G137" i="6"/>
  <c r="E137" i="6" s="1"/>
  <c r="D137" i="6" s="1"/>
  <c r="G151" i="6"/>
  <c r="G166" i="6"/>
  <c r="E166" i="6" s="1"/>
  <c r="D166" i="6" s="1"/>
  <c r="G152" i="6"/>
  <c r="G66" i="6"/>
  <c r="G160" i="6"/>
  <c r="G74" i="6"/>
  <c r="E74" i="6" s="1"/>
  <c r="D74" i="6" s="1"/>
  <c r="G149" i="6"/>
  <c r="G15" i="6"/>
  <c r="G162" i="6"/>
  <c r="G85" i="6"/>
  <c r="E85" i="6" s="1"/>
  <c r="D85" i="6" s="1"/>
  <c r="G106" i="6"/>
  <c r="G58" i="6"/>
  <c r="E58" i="6" s="1"/>
  <c r="D58" i="6" s="1"/>
  <c r="G113" i="6"/>
  <c r="G116" i="6"/>
  <c r="G165" i="6"/>
  <c r="G10" i="6"/>
  <c r="G97" i="6"/>
  <c r="E97" i="6" s="1"/>
  <c r="D97" i="6" s="1"/>
  <c r="G13" i="6"/>
  <c r="E13" i="6" s="1"/>
  <c r="D13" i="6" s="1"/>
  <c r="G92" i="6"/>
  <c r="G28" i="6"/>
  <c r="E28" i="6" s="1"/>
  <c r="D28" i="6" s="1"/>
  <c r="G69" i="6"/>
  <c r="E69" i="6" s="1"/>
  <c r="D69" i="6" s="1"/>
  <c r="G153" i="6"/>
  <c r="G96" i="6"/>
  <c r="G49" i="6"/>
  <c r="G39" i="6"/>
  <c r="G135" i="6"/>
  <c r="G23" i="6"/>
  <c r="G24" i="6"/>
  <c r="E24" i="6" s="1"/>
  <c r="D24" i="6" s="1"/>
  <c r="G51" i="6"/>
  <c r="G59" i="6"/>
  <c r="G150" i="6"/>
  <c r="E150" i="6" s="1"/>
  <c r="D150" i="6" s="1"/>
  <c r="G83" i="6"/>
  <c r="E83" i="6" s="1"/>
  <c r="D83" i="6" s="1"/>
  <c r="G35" i="6"/>
  <c r="G104" i="6"/>
  <c r="G80" i="6"/>
  <c r="G79" i="6"/>
  <c r="E79" i="6" s="1"/>
  <c r="D79" i="6" s="1"/>
  <c r="G159" i="6"/>
  <c r="E159" i="6" s="1"/>
  <c r="D159" i="6" s="1"/>
  <c r="G139" i="6"/>
  <c r="G75" i="6"/>
  <c r="G115" i="6"/>
  <c r="E115" i="6" s="1"/>
  <c r="D115" i="6" s="1"/>
  <c r="G111" i="6"/>
  <c r="E111" i="6" s="1"/>
  <c r="D111" i="6" s="1"/>
  <c r="G102" i="6"/>
  <c r="E102" i="6" s="1"/>
  <c r="D102" i="6" s="1"/>
  <c r="G109" i="6"/>
  <c r="E109" i="6" s="1"/>
  <c r="D109" i="6" s="1"/>
  <c r="G87" i="6"/>
  <c r="E87" i="6" s="1"/>
  <c r="D87" i="6" s="1"/>
  <c r="G145" i="6"/>
  <c r="E145" i="6" s="1"/>
  <c r="D145" i="6" s="1"/>
  <c r="G17" i="6"/>
  <c r="E17" i="6" s="1"/>
  <c r="D17" i="6" s="1"/>
  <c r="G88" i="6"/>
  <c r="G90" i="6"/>
  <c r="G110" i="6"/>
  <c r="E110" i="6" s="1"/>
  <c r="D110" i="6" s="1"/>
  <c r="G128" i="6"/>
  <c r="E128" i="6" s="1"/>
  <c r="D128" i="6" s="1"/>
  <c r="G57" i="6"/>
  <c r="G112" i="6"/>
  <c r="E112" i="6" s="1"/>
  <c r="D112" i="6" s="1"/>
  <c r="G123" i="6"/>
  <c r="E123" i="6" s="1"/>
  <c r="D123" i="6" s="1"/>
  <c r="G91" i="6"/>
  <c r="G86" i="6"/>
  <c r="E86" i="6" s="1"/>
  <c r="D86" i="6" s="1"/>
  <c r="G136" i="6"/>
  <c r="E136" i="6" s="1"/>
  <c r="D136" i="6" s="1"/>
  <c r="G93" i="6"/>
  <c r="G163" i="6"/>
  <c r="G168" i="6"/>
  <c r="G134" i="6"/>
  <c r="E134" i="6" s="1"/>
  <c r="D134" i="6" s="1"/>
  <c r="G138" i="6"/>
  <c r="G161" i="6"/>
  <c r="E161" i="6" s="1"/>
  <c r="D161" i="6" s="1"/>
  <c r="G71" i="6"/>
  <c r="G147" i="6"/>
  <c r="E147" i="6" s="1"/>
  <c r="D147" i="6" s="1"/>
  <c r="G94" i="6"/>
  <c r="E94" i="6" s="1"/>
  <c r="D94" i="6" s="1"/>
  <c r="G114" i="6"/>
  <c r="G131" i="6"/>
  <c r="G98" i="6"/>
  <c r="E32" i="6"/>
  <c r="D32" i="6" s="1"/>
  <c r="E135" i="6"/>
  <c r="D135" i="6" s="1"/>
  <c r="E142" i="6"/>
  <c r="D142" i="6" s="1"/>
  <c r="E105" i="6"/>
  <c r="D105" i="6" s="1"/>
  <c r="I31" i="4"/>
  <c r="H153" i="4"/>
  <c r="J62" i="4"/>
  <c r="H33" i="4"/>
  <c r="K153" i="4"/>
  <c r="H63" i="4"/>
  <c r="J43" i="4"/>
  <c r="H61" i="4"/>
  <c r="G61" i="4" s="1"/>
  <c r="E61" i="4" s="1"/>
  <c r="D61" i="4" s="1"/>
  <c r="J54" i="4"/>
  <c r="K108" i="4"/>
  <c r="K84" i="4"/>
  <c r="H143" i="4"/>
  <c r="H150" i="4"/>
  <c r="G150" i="4" s="1"/>
  <c r="E150" i="4" s="1"/>
  <c r="D150" i="4" s="1"/>
  <c r="J139" i="4"/>
  <c r="K26" i="4"/>
  <c r="J157" i="4"/>
  <c r="K150" i="4"/>
  <c r="H159" i="4"/>
  <c r="J101" i="4"/>
  <c r="K129" i="4"/>
  <c r="J42" i="4"/>
  <c r="J150" i="4"/>
  <c r="K54" i="4"/>
  <c r="K125" i="4"/>
  <c r="I84" i="4"/>
  <c r="I43" i="4"/>
  <c r="J73" i="4"/>
  <c r="I62" i="4"/>
  <c r="H54" i="4"/>
  <c r="K62" i="4"/>
  <c r="J148" i="4"/>
  <c r="I61" i="4"/>
  <c r="J156" i="4"/>
  <c r="K43" i="4"/>
  <c r="G43" i="4" s="1"/>
  <c r="E43" i="4" s="1"/>
  <c r="D43" i="4" s="1"/>
  <c r="I22" i="4"/>
  <c r="I26" i="4"/>
  <c r="I106" i="4"/>
  <c r="J111" i="4"/>
  <c r="H26" i="4"/>
  <c r="G26" i="4" s="1"/>
  <c r="E26" i="4" s="1"/>
  <c r="D26" i="4" s="1"/>
  <c r="J85" i="4"/>
  <c r="K31" i="4"/>
  <c r="G31" i="4" s="1"/>
  <c r="E31" i="4" s="1"/>
  <c r="D31" i="4" s="1"/>
  <c r="J65" i="4"/>
  <c r="J106" i="4"/>
  <c r="J47" i="4"/>
  <c r="J146" i="4"/>
  <c r="H65" i="4"/>
  <c r="J161" i="4"/>
  <c r="J132" i="4"/>
  <c r="I97" i="4"/>
  <c r="I130" i="4"/>
  <c r="G130" i="4" s="1"/>
  <c r="E130" i="4" s="1"/>
  <c r="D130" i="4" s="1"/>
  <c r="V159" i="4"/>
  <c r="I50" i="4"/>
  <c r="H101" i="4"/>
  <c r="K73" i="4"/>
  <c r="J97" i="4"/>
  <c r="I73" i="4"/>
  <c r="G73" i="4" s="1"/>
  <c r="E73" i="4" s="1"/>
  <c r="D73" i="4" s="1"/>
  <c r="K143" i="4"/>
  <c r="H109" i="4"/>
  <c r="G109" i="4" s="1"/>
  <c r="E109" i="4" s="1"/>
  <c r="D109" i="4" s="1"/>
  <c r="I122" i="4"/>
  <c r="K65" i="4"/>
  <c r="H102" i="4"/>
  <c r="H106" i="4"/>
  <c r="G106" i="4" s="1"/>
  <c r="E106" i="4" s="1"/>
  <c r="D106" i="4" s="1"/>
  <c r="I159" i="4"/>
  <c r="I82" i="4"/>
  <c r="I132" i="4"/>
  <c r="K111" i="4"/>
  <c r="J57" i="4"/>
  <c r="I143" i="4"/>
  <c r="G143" i="4" s="1"/>
  <c r="E143" i="4" s="1"/>
  <c r="D143" i="4" s="1"/>
  <c r="I32" i="4"/>
  <c r="I126" i="4"/>
  <c r="H160" i="4"/>
  <c r="K122" i="4"/>
  <c r="K102" i="4"/>
  <c r="J159" i="4"/>
  <c r="K101" i="4"/>
  <c r="I60" i="4"/>
  <c r="K47" i="4"/>
  <c r="G47" i="4" s="1"/>
  <c r="E47" i="4" s="1"/>
  <c r="D47" i="4" s="1"/>
  <c r="I111" i="4"/>
  <c r="G111" i="4" s="1"/>
  <c r="E111" i="4" s="1"/>
  <c r="D111" i="4" s="1"/>
  <c r="I162" i="4"/>
  <c r="H97" i="4"/>
  <c r="U110" i="4"/>
  <c r="J110" i="4" s="1"/>
  <c r="I98" i="4"/>
  <c r="J19" i="4"/>
  <c r="I146" i="4"/>
  <c r="H20" i="4"/>
  <c r="J134" i="4"/>
  <c r="J35" i="4"/>
  <c r="K79" i="4"/>
  <c r="K148" i="4"/>
  <c r="I125" i="4"/>
  <c r="H96" i="4"/>
  <c r="J138" i="4"/>
  <c r="I74" i="4"/>
  <c r="I80" i="4"/>
  <c r="K86" i="4"/>
  <c r="K96" i="4"/>
  <c r="J162" i="4"/>
  <c r="K138" i="4"/>
  <c r="H162" i="4"/>
  <c r="G162" i="4" s="1"/>
  <c r="E162" i="4" s="1"/>
  <c r="D162" i="4" s="1"/>
  <c r="H74" i="4"/>
  <c r="G108" i="4"/>
  <c r="E108" i="4" s="1"/>
  <c r="D108" i="4" s="1"/>
  <c r="H146" i="4"/>
  <c r="J118" i="4"/>
  <c r="H148" i="4"/>
  <c r="G148" i="4" s="1"/>
  <c r="E148" i="4" s="1"/>
  <c r="D148" i="4" s="1"/>
  <c r="J113" i="4"/>
  <c r="K61" i="4"/>
  <c r="I134" i="4"/>
  <c r="H125" i="4"/>
  <c r="J96" i="4"/>
  <c r="H98" i="4"/>
  <c r="G98" i="4" s="1"/>
  <c r="E98" i="4" s="1"/>
  <c r="D98" i="4" s="1"/>
  <c r="H138" i="4"/>
  <c r="V162" i="4"/>
  <c r="J74" i="4"/>
  <c r="I19" i="4"/>
  <c r="K130" i="4"/>
  <c r="J145" i="4"/>
  <c r="K49" i="4"/>
  <c r="I113" i="4"/>
  <c r="K81" i="4"/>
  <c r="K35" i="4"/>
  <c r="K164" i="4"/>
  <c r="J98" i="4"/>
  <c r="K93" i="4"/>
  <c r="K37" i="4"/>
  <c r="H57" i="4"/>
  <c r="U67" i="4"/>
  <c r="H67" i="4" s="1"/>
  <c r="J33" i="4"/>
  <c r="H80" i="4"/>
  <c r="I49" i="4"/>
  <c r="H126" i="4"/>
  <c r="H28" i="4"/>
  <c r="H161" i="4"/>
  <c r="G161" i="4" s="1"/>
  <c r="E161" i="4" s="1"/>
  <c r="D161" i="4" s="1"/>
  <c r="I156" i="4"/>
  <c r="G156" i="4" s="1"/>
  <c r="E156" i="4" s="1"/>
  <c r="D156" i="4" s="1"/>
  <c r="K33" i="4"/>
  <c r="J100" i="4"/>
  <c r="K166" i="4"/>
  <c r="K80" i="4"/>
  <c r="J45" i="4"/>
  <c r="H49" i="4"/>
  <c r="K126" i="4"/>
  <c r="V161" i="4"/>
  <c r="H129" i="4"/>
  <c r="G129" i="4" s="1"/>
  <c r="E129" i="4" s="1"/>
  <c r="D129" i="4" s="1"/>
  <c r="I100" i="4"/>
  <c r="H157" i="4"/>
  <c r="G157" i="4" s="1"/>
  <c r="E157" i="4" s="1"/>
  <c r="D157" i="4" s="1"/>
  <c r="I160" i="4"/>
  <c r="H81" i="4"/>
  <c r="I102" i="4"/>
  <c r="K161" i="4"/>
  <c r="K116" i="4"/>
  <c r="K156" i="4"/>
  <c r="I47" i="4"/>
  <c r="J155" i="4"/>
  <c r="H121" i="4"/>
  <c r="U51" i="4"/>
  <c r="H51" i="4" s="1"/>
  <c r="K78" i="4"/>
  <c r="J129" i="4"/>
  <c r="V160" i="4"/>
  <c r="J160" i="4"/>
  <c r="J81" i="4"/>
  <c r="K151" i="4"/>
  <c r="H116" i="4"/>
  <c r="G116" i="4" s="1"/>
  <c r="E116" i="4" s="1"/>
  <c r="D116" i="4" s="1"/>
  <c r="K66" i="4"/>
  <c r="K155" i="4"/>
  <c r="H78" i="4"/>
  <c r="G78" i="4" s="1"/>
  <c r="E78" i="4" s="1"/>
  <c r="D78" i="4" s="1"/>
  <c r="I121" i="4"/>
  <c r="G15" i="4"/>
  <c r="E15" i="4" s="1"/>
  <c r="D15" i="4" s="1"/>
  <c r="I99" i="4"/>
  <c r="J103" i="4"/>
  <c r="J109" i="4"/>
  <c r="I45" i="4"/>
  <c r="I66" i="4"/>
  <c r="J133" i="4"/>
  <c r="H30" i="4"/>
  <c r="K142" i="4"/>
  <c r="H113" i="4"/>
  <c r="I18" i="4"/>
  <c r="H133" i="4"/>
  <c r="K109" i="4"/>
  <c r="K38" i="4"/>
  <c r="G38" i="4" s="1"/>
  <c r="E38" i="4" s="1"/>
  <c r="D38" i="4" s="1"/>
  <c r="I142" i="4"/>
  <c r="G142" i="4" s="1"/>
  <c r="E142" i="4" s="1"/>
  <c r="D142" i="4" s="1"/>
  <c r="H66" i="4"/>
  <c r="H35" i="4"/>
  <c r="K87" i="4"/>
  <c r="H75" i="4"/>
  <c r="H93" i="4"/>
  <c r="I41" i="4"/>
  <c r="J121" i="4"/>
  <c r="J18" i="4"/>
  <c r="J38" i="4"/>
  <c r="J123" i="4"/>
  <c r="K41" i="4"/>
  <c r="K32" i="4"/>
  <c r="I165" i="4"/>
  <c r="V164" i="4"/>
  <c r="K42" i="4"/>
  <c r="G42" i="4" s="1"/>
  <c r="E42" i="4" s="1"/>
  <c r="D42" i="4" s="1"/>
  <c r="K22" i="4"/>
  <c r="I53" i="4"/>
  <c r="K53" i="4"/>
  <c r="G53" i="4" s="1"/>
  <c r="E53" i="4" s="1"/>
  <c r="D53" i="4" s="1"/>
  <c r="H118" i="4"/>
  <c r="G118" i="4" s="1"/>
  <c r="E118" i="4" s="1"/>
  <c r="D118" i="4" s="1"/>
  <c r="H100" i="4"/>
  <c r="H32" i="4"/>
  <c r="J130" i="4"/>
  <c r="K157" i="4"/>
  <c r="K118" i="4"/>
  <c r="H145" i="4"/>
  <c r="H122" i="4"/>
  <c r="J104" i="4"/>
  <c r="H82" i="4"/>
  <c r="H135" i="4"/>
  <c r="H164" i="4"/>
  <c r="G164" i="4" s="1"/>
  <c r="E164" i="4" s="1"/>
  <c r="D164" i="4" s="1"/>
  <c r="J164" i="4"/>
  <c r="H155" i="4"/>
  <c r="G155" i="4" s="1"/>
  <c r="E155" i="4" s="1"/>
  <c r="D155" i="4" s="1"/>
  <c r="I79" i="4"/>
  <c r="K123" i="4"/>
  <c r="J94" i="4"/>
  <c r="K24" i="4"/>
  <c r="I57" i="4"/>
  <c r="G57" i="4" s="1"/>
  <c r="E57" i="4" s="1"/>
  <c r="D57" i="4" s="1"/>
  <c r="J53" i="4"/>
  <c r="H22" i="4"/>
  <c r="G62" i="4"/>
  <c r="E62" i="4" s="1"/>
  <c r="D62" i="4" s="1"/>
  <c r="J82" i="4"/>
  <c r="H123" i="4"/>
  <c r="G123" i="4" s="1"/>
  <c r="E123" i="4" s="1"/>
  <c r="D123" i="4" s="1"/>
  <c r="K39" i="4"/>
  <c r="H104" i="4"/>
  <c r="H136" i="4"/>
  <c r="I75" i="4"/>
  <c r="I42" i="4"/>
  <c r="U70" i="4"/>
  <c r="H70" i="4" s="1"/>
  <c r="H99" i="4"/>
  <c r="I103" i="4"/>
  <c r="K40" i="4"/>
  <c r="G40" i="4" s="1"/>
  <c r="E40" i="4" s="1"/>
  <c r="D40" i="4" s="1"/>
  <c r="H112" i="4"/>
  <c r="J50" i="4"/>
  <c r="I87" i="4"/>
  <c r="I63" i="4"/>
  <c r="G63" i="4" s="1"/>
  <c r="E63" i="4" s="1"/>
  <c r="D63" i="4" s="1"/>
  <c r="I94" i="4"/>
  <c r="J99" i="4"/>
  <c r="H103" i="4"/>
  <c r="K133" i="4"/>
  <c r="I38" i="4"/>
  <c r="I85" i="4"/>
  <c r="G85" i="4" s="1"/>
  <c r="E85" i="4" s="1"/>
  <c r="D85" i="4" s="1"/>
  <c r="K128" i="4"/>
  <c r="J40" i="4"/>
  <c r="J142" i="4"/>
  <c r="H18" i="4"/>
  <c r="H19" i="4"/>
  <c r="K85" i="4"/>
  <c r="J128" i="4"/>
  <c r="I145" i="4"/>
  <c r="I104" i="4"/>
  <c r="H86" i="4"/>
  <c r="K50" i="4"/>
  <c r="G50" i="4" s="1"/>
  <c r="E50" i="4" s="1"/>
  <c r="D50" i="4" s="1"/>
  <c r="H87" i="4"/>
  <c r="J63" i="4"/>
  <c r="I136" i="4"/>
  <c r="G131" i="4"/>
  <c r="E131" i="4" s="1"/>
  <c r="D131" i="4" s="1"/>
  <c r="K147" i="4"/>
  <c r="H94" i="4"/>
  <c r="G69" i="4"/>
  <c r="E69" i="4" s="1"/>
  <c r="D69" i="4" s="1"/>
  <c r="I93" i="4"/>
  <c r="H24" i="4"/>
  <c r="H41" i="4"/>
  <c r="J86" i="4"/>
  <c r="K135" i="4"/>
  <c r="I24" i="4"/>
  <c r="I112" i="4"/>
  <c r="G115" i="4"/>
  <c r="E115" i="4" s="1"/>
  <c r="D115" i="4" s="1"/>
  <c r="K136" i="4"/>
  <c r="J147" i="4"/>
  <c r="J75" i="4"/>
  <c r="U13" i="4"/>
  <c r="H39" i="4"/>
  <c r="I20" i="4"/>
  <c r="K55" i="4"/>
  <c r="K45" i="4"/>
  <c r="G45" i="4" s="1"/>
  <c r="E45" i="4" s="1"/>
  <c r="D45" i="4" s="1"/>
  <c r="G77" i="4"/>
  <c r="E77" i="4" s="1"/>
  <c r="D77" i="4" s="1"/>
  <c r="K165" i="4"/>
  <c r="J60" i="4"/>
  <c r="G16" i="4"/>
  <c r="E16" i="4" s="1"/>
  <c r="D16" i="4" s="1"/>
  <c r="G153" i="4"/>
  <c r="E153" i="4" s="1"/>
  <c r="D153" i="4" s="1"/>
  <c r="G107" i="4"/>
  <c r="E107" i="4" s="1"/>
  <c r="D107" i="4" s="1"/>
  <c r="H79" i="4"/>
  <c r="J154" i="4"/>
  <c r="H132" i="4"/>
  <c r="U29" i="4"/>
  <c r="K29" i="4" s="1"/>
  <c r="J37" i="4"/>
  <c r="J39" i="4"/>
  <c r="J20" i="4"/>
  <c r="H165" i="4"/>
  <c r="G165" i="4" s="1"/>
  <c r="E165" i="4" s="1"/>
  <c r="D165" i="4" s="1"/>
  <c r="H60" i="4"/>
  <c r="H37" i="4"/>
  <c r="J141" i="4"/>
  <c r="I141" i="4"/>
  <c r="H141" i="4"/>
  <c r="K141" i="4"/>
  <c r="J165" i="4"/>
  <c r="H120" i="4"/>
  <c r="I147" i="4"/>
  <c r="G147" i="4" s="1"/>
  <c r="E147" i="4" s="1"/>
  <c r="D147" i="4" s="1"/>
  <c r="U89" i="4"/>
  <c r="H89" i="4" s="1"/>
  <c r="G21" i="4"/>
  <c r="E21" i="4" s="1"/>
  <c r="D21" i="4" s="1"/>
  <c r="G91" i="4"/>
  <c r="E91" i="4" s="1"/>
  <c r="D91" i="4" s="1"/>
  <c r="I30" i="4"/>
  <c r="J151" i="4"/>
  <c r="K28" i="4"/>
  <c r="K120" i="4"/>
  <c r="G144" i="4"/>
  <c r="E144" i="4" s="1"/>
  <c r="D144" i="4" s="1"/>
  <c r="K154" i="4"/>
  <c r="J88" i="4"/>
  <c r="H88" i="4"/>
  <c r="K88" i="4"/>
  <c r="I88" i="4"/>
  <c r="K30" i="4"/>
  <c r="G166" i="4"/>
  <c r="E166" i="4" s="1"/>
  <c r="D166" i="4" s="1"/>
  <c r="I40" i="4"/>
  <c r="H128" i="4"/>
  <c r="G128" i="4" s="1"/>
  <c r="E128" i="4" s="1"/>
  <c r="D128" i="4" s="1"/>
  <c r="I151" i="4"/>
  <c r="G151" i="4" s="1"/>
  <c r="E151" i="4" s="1"/>
  <c r="D151" i="4" s="1"/>
  <c r="H55" i="4"/>
  <c r="J28" i="4"/>
  <c r="J112" i="4"/>
  <c r="I135" i="4"/>
  <c r="I120" i="4"/>
  <c r="H154" i="4"/>
  <c r="G154" i="4" s="1"/>
  <c r="E154" i="4" s="1"/>
  <c r="D154" i="4" s="1"/>
  <c r="J25" i="4"/>
  <c r="I25" i="4"/>
  <c r="K25" i="4"/>
  <c r="H25" i="4"/>
  <c r="K58" i="4"/>
  <c r="I58" i="4"/>
  <c r="H58" i="4"/>
  <c r="J58" i="4"/>
  <c r="J105" i="4"/>
  <c r="H105" i="4"/>
  <c r="K105" i="4"/>
  <c r="I105" i="4"/>
  <c r="J17" i="4"/>
  <c r="K17" i="4"/>
  <c r="I17" i="4"/>
  <c r="H17" i="4"/>
  <c r="H13" i="4"/>
  <c r="K13" i="4"/>
  <c r="I13" i="4"/>
  <c r="J13" i="4"/>
  <c r="I137" i="4"/>
  <c r="H137" i="4"/>
  <c r="J137" i="4"/>
  <c r="K137" i="4"/>
  <c r="J55" i="4"/>
  <c r="G127" i="4"/>
  <c r="E127" i="4" s="1"/>
  <c r="D127" i="4" s="1"/>
  <c r="I68" i="4"/>
  <c r="J68" i="4"/>
  <c r="H68" i="4"/>
  <c r="K68" i="4"/>
  <c r="K14" i="4"/>
  <c r="I14" i="4"/>
  <c r="H14" i="4"/>
  <c r="J14" i="4"/>
  <c r="I140" i="4"/>
  <c r="J140" i="4"/>
  <c r="H140" i="4"/>
  <c r="K140" i="4"/>
  <c r="I64" i="4"/>
  <c r="J64" i="4"/>
  <c r="H64" i="4"/>
  <c r="K64" i="4"/>
  <c r="I52" i="4"/>
  <c r="J52" i="4"/>
  <c r="H52" i="4"/>
  <c r="K52" i="4"/>
  <c r="I36" i="4"/>
  <c r="J36" i="4"/>
  <c r="H36" i="4"/>
  <c r="K36" i="4"/>
  <c r="G12" i="4"/>
  <c r="E12" i="4" s="1"/>
  <c r="D12" i="4" s="1"/>
  <c r="I48" i="4"/>
  <c r="J48" i="4"/>
  <c r="H48" i="4"/>
  <c r="K48" i="4"/>
  <c r="K114" i="4"/>
  <c r="I114" i="4"/>
  <c r="J114" i="4"/>
  <c r="H114" i="4"/>
  <c r="K170" i="4"/>
  <c r="H170" i="4"/>
  <c r="I170" i="4"/>
  <c r="J170" i="4"/>
  <c r="V170" i="4"/>
  <c r="G167" i="4"/>
  <c r="E167" i="4" s="1"/>
  <c r="D167" i="4" s="1"/>
  <c r="G95" i="4"/>
  <c r="E95" i="4" s="1"/>
  <c r="D95" i="4" s="1"/>
  <c r="G117" i="4"/>
  <c r="E117" i="4" s="1"/>
  <c r="D117" i="4" s="1"/>
  <c r="J71" i="4"/>
  <c r="K71" i="4"/>
  <c r="H71" i="4"/>
  <c r="I71" i="4"/>
  <c r="G168" i="4"/>
  <c r="E168" i="4" s="1"/>
  <c r="D168" i="4" s="1"/>
  <c r="G10" i="4"/>
  <c r="E10" i="4" s="1"/>
  <c r="D10" i="4" s="1"/>
  <c r="G34" i="4"/>
  <c r="E34" i="4" s="1"/>
  <c r="D34" i="4" s="1"/>
  <c r="J83" i="4"/>
  <c r="H83" i="4"/>
  <c r="I83" i="4"/>
  <c r="K83" i="4"/>
  <c r="G59" i="4"/>
  <c r="E59" i="4" s="1"/>
  <c r="D59" i="4" s="1"/>
  <c r="I92" i="4"/>
  <c r="H92" i="4"/>
  <c r="J92" i="4"/>
  <c r="K92" i="4"/>
  <c r="K90" i="4"/>
  <c r="H90" i="4"/>
  <c r="I90" i="4"/>
  <c r="J90" i="4"/>
  <c r="K149" i="4"/>
  <c r="H149" i="4"/>
  <c r="I149" i="4"/>
  <c r="J149" i="4"/>
  <c r="J27" i="4"/>
  <c r="H27" i="4"/>
  <c r="K27" i="4"/>
  <c r="I27" i="4"/>
  <c r="J158" i="4"/>
  <c r="H158" i="4"/>
  <c r="I158" i="4"/>
  <c r="V158" i="4"/>
  <c r="K158" i="4"/>
  <c r="G163" i="4"/>
  <c r="E163" i="4" s="1"/>
  <c r="D163" i="4" s="1"/>
  <c r="I56" i="4"/>
  <c r="J56" i="4"/>
  <c r="K56" i="4"/>
  <c r="H56" i="4"/>
  <c r="J119" i="4"/>
  <c r="K119" i="4"/>
  <c r="H119" i="4"/>
  <c r="I119" i="4"/>
  <c r="G134" i="4"/>
  <c r="E134" i="4" s="1"/>
  <c r="D134" i="4" s="1"/>
  <c r="J171" i="4"/>
  <c r="K171" i="4"/>
  <c r="I171" i="4"/>
  <c r="H171" i="4"/>
  <c r="G171" i="4" s="1"/>
  <c r="E171" i="4" s="1"/>
  <c r="D171" i="4" s="1"/>
  <c r="V171" i="4"/>
  <c r="I44" i="4"/>
  <c r="J44" i="4"/>
  <c r="K44" i="4"/>
  <c r="H44" i="4"/>
  <c r="I124" i="4"/>
  <c r="J124" i="4"/>
  <c r="H124" i="4"/>
  <c r="K124" i="4"/>
  <c r="I76" i="4"/>
  <c r="J76" i="4"/>
  <c r="K76" i="4"/>
  <c r="H76" i="4"/>
  <c r="G152" i="4"/>
  <c r="E152" i="4" s="1"/>
  <c r="D152" i="4" s="1"/>
  <c r="I72" i="4"/>
  <c r="J72" i="4"/>
  <c r="K72" i="4"/>
  <c r="H72" i="4"/>
  <c r="G23" i="4"/>
  <c r="E23" i="4" s="1"/>
  <c r="D23" i="4" s="1"/>
  <c r="G84" i="4"/>
  <c r="E84" i="4" s="1"/>
  <c r="D84" i="4" s="1"/>
  <c r="G139" i="4"/>
  <c r="E139" i="4" s="1"/>
  <c r="D139" i="4" s="1"/>
  <c r="C17" i="1"/>
  <c r="F17" i="1" s="1"/>
  <c r="C25" i="1"/>
  <c r="F25" i="1" s="1"/>
  <c r="C33" i="1"/>
  <c r="F33" i="1" s="1"/>
  <c r="C41" i="1"/>
  <c r="F41" i="1" s="1"/>
  <c r="C49" i="1"/>
  <c r="F49" i="1" s="1"/>
  <c r="C57" i="1"/>
  <c r="F57" i="1" s="1"/>
  <c r="C65" i="1"/>
  <c r="F65" i="1" s="1"/>
  <c r="C73" i="1"/>
  <c r="F73" i="1" s="1"/>
  <c r="C81" i="1"/>
  <c r="F81" i="1" s="1"/>
  <c r="C89" i="1"/>
  <c r="F89" i="1" s="1"/>
  <c r="C97" i="1"/>
  <c r="F97" i="1" s="1"/>
  <c r="C105" i="1"/>
  <c r="F105" i="1" s="1"/>
  <c r="C113" i="1"/>
  <c r="F113" i="1" s="1"/>
  <c r="C121" i="1"/>
  <c r="F121" i="1" s="1"/>
  <c r="C129" i="1"/>
  <c r="F129" i="1" s="1"/>
  <c r="C137" i="1"/>
  <c r="F137" i="1" s="1"/>
  <c r="C145" i="1"/>
  <c r="F145" i="1" s="1"/>
  <c r="C153" i="1"/>
  <c r="F153" i="1" s="1"/>
  <c r="C161" i="1"/>
  <c r="F161" i="1" s="1"/>
  <c r="C169" i="1"/>
  <c r="F169" i="1" s="1"/>
  <c r="C16" i="1"/>
  <c r="F16" i="1" s="1"/>
  <c r="C24" i="1"/>
  <c r="F24" i="1" s="1"/>
  <c r="C32" i="1"/>
  <c r="F32" i="1" s="1"/>
  <c r="C40" i="1"/>
  <c r="F40" i="1" s="1"/>
  <c r="C48" i="1"/>
  <c r="F48" i="1" s="1"/>
  <c r="C56" i="1"/>
  <c r="F56" i="1" s="1"/>
  <c r="C64" i="1"/>
  <c r="F64" i="1" s="1"/>
  <c r="C72" i="1"/>
  <c r="F72" i="1" s="1"/>
  <c r="C80" i="1"/>
  <c r="F80" i="1" s="1"/>
  <c r="C88" i="1"/>
  <c r="F88" i="1" s="1"/>
  <c r="C96" i="1"/>
  <c r="F96" i="1" s="1"/>
  <c r="C104" i="1"/>
  <c r="F104" i="1" s="1"/>
  <c r="C112" i="1"/>
  <c r="F112" i="1" s="1"/>
  <c r="C120" i="1"/>
  <c r="F120" i="1" s="1"/>
  <c r="C128" i="1"/>
  <c r="F128" i="1" s="1"/>
  <c r="C136" i="1"/>
  <c r="F136" i="1" s="1"/>
  <c r="C144" i="1"/>
  <c r="F144" i="1" s="1"/>
  <c r="C31" i="1"/>
  <c r="F31" i="1" s="1"/>
  <c r="C47" i="1"/>
  <c r="F47" i="1" s="1"/>
  <c r="C63" i="1"/>
  <c r="F63" i="1" s="1"/>
  <c r="C79" i="1"/>
  <c r="F79" i="1" s="1"/>
  <c r="C111" i="1"/>
  <c r="F111" i="1" s="1"/>
  <c r="C22" i="1"/>
  <c r="F22" i="1" s="1"/>
  <c r="C38" i="1"/>
  <c r="F38" i="1" s="1"/>
  <c r="C54" i="1"/>
  <c r="F54" i="1" s="1"/>
  <c r="C62" i="1"/>
  <c r="F62" i="1" s="1"/>
  <c r="C70" i="1"/>
  <c r="F70" i="1" s="1"/>
  <c r="C86" i="1"/>
  <c r="F86" i="1" s="1"/>
  <c r="C94" i="1"/>
  <c r="F94" i="1" s="1"/>
  <c r="C102" i="1"/>
  <c r="F102" i="1" s="1"/>
  <c r="C110" i="1"/>
  <c r="F110" i="1" s="1"/>
  <c r="C118" i="1"/>
  <c r="F118" i="1" s="1"/>
  <c r="C126" i="1"/>
  <c r="F126" i="1" s="1"/>
  <c r="C134" i="1"/>
  <c r="F134" i="1" s="1"/>
  <c r="C142" i="1"/>
  <c r="F142" i="1" s="1"/>
  <c r="C150" i="1"/>
  <c r="F150" i="1" s="1"/>
  <c r="C158" i="1"/>
  <c r="F158" i="1" s="1"/>
  <c r="C166" i="1"/>
  <c r="F166" i="1" s="1"/>
  <c r="C21" i="1"/>
  <c r="F21" i="1" s="1"/>
  <c r="C37" i="1"/>
  <c r="F37" i="1" s="1"/>
  <c r="C53" i="1"/>
  <c r="F53" i="1" s="1"/>
  <c r="C69" i="1"/>
  <c r="F69" i="1" s="1"/>
  <c r="C85" i="1"/>
  <c r="F85" i="1" s="1"/>
  <c r="C101" i="1"/>
  <c r="F101" i="1" s="1"/>
  <c r="C117" i="1"/>
  <c r="F117" i="1" s="1"/>
  <c r="C133" i="1"/>
  <c r="F133" i="1" s="1"/>
  <c r="C149" i="1"/>
  <c r="F149" i="1" s="1"/>
  <c r="C165" i="1"/>
  <c r="F165" i="1" s="1"/>
  <c r="C20" i="1"/>
  <c r="F20" i="1" s="1"/>
  <c r="C28" i="1"/>
  <c r="F28" i="1" s="1"/>
  <c r="C44" i="1"/>
  <c r="F44" i="1" s="1"/>
  <c r="C60" i="1"/>
  <c r="F60" i="1" s="1"/>
  <c r="C76" i="1"/>
  <c r="F76" i="1" s="1"/>
  <c r="C92" i="1"/>
  <c r="F92" i="1" s="1"/>
  <c r="C108" i="1"/>
  <c r="F108" i="1" s="1"/>
  <c r="C124" i="1"/>
  <c r="F124" i="1" s="1"/>
  <c r="C140" i="1"/>
  <c r="F140" i="1" s="1"/>
  <c r="C11" i="1"/>
  <c r="F11" i="1" s="1"/>
  <c r="C19" i="1"/>
  <c r="F19" i="1" s="1"/>
  <c r="C27" i="1"/>
  <c r="F27" i="1" s="1"/>
  <c r="C35" i="1"/>
  <c r="F35" i="1" s="1"/>
  <c r="C43" i="1"/>
  <c r="F43" i="1" s="1"/>
  <c r="C51" i="1"/>
  <c r="F51" i="1" s="1"/>
  <c r="C59" i="1"/>
  <c r="F59" i="1" s="1"/>
  <c r="C67" i="1"/>
  <c r="F67" i="1" s="1"/>
  <c r="C75" i="1"/>
  <c r="F75" i="1" s="1"/>
  <c r="C83" i="1"/>
  <c r="F83" i="1" s="1"/>
  <c r="C91" i="1"/>
  <c r="F91" i="1" s="1"/>
  <c r="C99" i="1"/>
  <c r="F99" i="1" s="1"/>
  <c r="C107" i="1"/>
  <c r="F107" i="1" s="1"/>
  <c r="C115" i="1"/>
  <c r="F115" i="1" s="1"/>
  <c r="C123" i="1"/>
  <c r="F123" i="1" s="1"/>
  <c r="C131" i="1"/>
  <c r="F131" i="1" s="1"/>
  <c r="C139" i="1"/>
  <c r="F139" i="1" s="1"/>
  <c r="C147" i="1"/>
  <c r="F147" i="1" s="1"/>
  <c r="C155" i="1"/>
  <c r="F155" i="1" s="1"/>
  <c r="C163" i="1"/>
  <c r="F163" i="1" s="1"/>
  <c r="C171" i="1"/>
  <c r="F171" i="1" s="1"/>
  <c r="C152" i="1"/>
  <c r="F152" i="1" s="1"/>
  <c r="C160" i="1"/>
  <c r="F160" i="1" s="1"/>
  <c r="C168" i="1"/>
  <c r="F168" i="1" s="1"/>
  <c r="C15" i="1"/>
  <c r="F15" i="1" s="1"/>
  <c r="C23" i="1"/>
  <c r="F23" i="1" s="1"/>
  <c r="C39" i="1"/>
  <c r="F39" i="1" s="1"/>
  <c r="C55" i="1"/>
  <c r="F55" i="1" s="1"/>
  <c r="C71" i="1"/>
  <c r="F71" i="1" s="1"/>
  <c r="C87" i="1"/>
  <c r="F87" i="1" s="1"/>
  <c r="C95" i="1"/>
  <c r="F95" i="1" s="1"/>
  <c r="C103" i="1"/>
  <c r="F103" i="1" s="1"/>
  <c r="C119" i="1"/>
  <c r="F119" i="1" s="1"/>
  <c r="C127" i="1"/>
  <c r="F127" i="1" s="1"/>
  <c r="C135" i="1"/>
  <c r="F135" i="1" s="1"/>
  <c r="C143" i="1"/>
  <c r="F143" i="1" s="1"/>
  <c r="C151" i="1"/>
  <c r="F151" i="1" s="1"/>
  <c r="C159" i="1"/>
  <c r="F159" i="1" s="1"/>
  <c r="C167" i="1"/>
  <c r="F167" i="1" s="1"/>
  <c r="C14" i="1"/>
  <c r="F14" i="1" s="1"/>
  <c r="C30" i="1"/>
  <c r="F30" i="1" s="1"/>
  <c r="C46" i="1"/>
  <c r="F46" i="1" s="1"/>
  <c r="C78" i="1"/>
  <c r="F78" i="1" s="1"/>
  <c r="C13" i="1"/>
  <c r="F13" i="1" s="1"/>
  <c r="C29" i="1"/>
  <c r="F29" i="1" s="1"/>
  <c r="C45" i="1"/>
  <c r="F45" i="1" s="1"/>
  <c r="C61" i="1"/>
  <c r="F61" i="1" s="1"/>
  <c r="C77" i="1"/>
  <c r="F77" i="1" s="1"/>
  <c r="C93" i="1"/>
  <c r="F93" i="1" s="1"/>
  <c r="C109" i="1"/>
  <c r="F109" i="1" s="1"/>
  <c r="C125" i="1"/>
  <c r="F125" i="1" s="1"/>
  <c r="C141" i="1"/>
  <c r="F141" i="1" s="1"/>
  <c r="C157" i="1"/>
  <c r="F157" i="1" s="1"/>
  <c r="C12" i="1"/>
  <c r="F12" i="1" s="1"/>
  <c r="C36" i="1"/>
  <c r="F36" i="1" s="1"/>
  <c r="C52" i="1"/>
  <c r="F52" i="1" s="1"/>
  <c r="C68" i="1"/>
  <c r="F68" i="1" s="1"/>
  <c r="C84" i="1"/>
  <c r="F84" i="1" s="1"/>
  <c r="C100" i="1"/>
  <c r="F100" i="1" s="1"/>
  <c r="C116" i="1"/>
  <c r="F116" i="1" s="1"/>
  <c r="C132" i="1"/>
  <c r="F132" i="1" s="1"/>
  <c r="C148" i="1"/>
  <c r="F148" i="1" s="1"/>
  <c r="C164" i="1"/>
  <c r="F164" i="1" s="1"/>
  <c r="C10" i="1"/>
  <c r="F10" i="1" s="1"/>
  <c r="C18" i="1"/>
  <c r="F18" i="1" s="1"/>
  <c r="C26" i="1"/>
  <c r="F26" i="1" s="1"/>
  <c r="C34" i="1"/>
  <c r="F34" i="1" s="1"/>
  <c r="C42" i="1"/>
  <c r="F42" i="1" s="1"/>
  <c r="C50" i="1"/>
  <c r="F50" i="1" s="1"/>
  <c r="C58" i="1"/>
  <c r="F58" i="1" s="1"/>
  <c r="C66" i="1"/>
  <c r="F66" i="1" s="1"/>
  <c r="C74" i="1"/>
  <c r="F74" i="1" s="1"/>
  <c r="C82" i="1"/>
  <c r="F82" i="1" s="1"/>
  <c r="C90" i="1"/>
  <c r="F90" i="1" s="1"/>
  <c r="C98" i="1"/>
  <c r="F98" i="1" s="1"/>
  <c r="C106" i="1"/>
  <c r="F106" i="1" s="1"/>
  <c r="C114" i="1"/>
  <c r="F114" i="1" s="1"/>
  <c r="C122" i="1"/>
  <c r="F122" i="1" s="1"/>
  <c r="C130" i="1"/>
  <c r="F130" i="1" s="1"/>
  <c r="C138" i="1"/>
  <c r="F138" i="1" s="1"/>
  <c r="C146" i="1"/>
  <c r="F146" i="1" s="1"/>
  <c r="C154" i="1"/>
  <c r="F154" i="1" s="1"/>
  <c r="C162" i="1"/>
  <c r="F162" i="1" s="1"/>
  <c r="C170" i="1"/>
  <c r="F170" i="1" s="1"/>
  <c r="P113" i="1"/>
  <c r="Q57" i="1"/>
  <c r="Q113" i="1"/>
  <c r="P57" i="1"/>
  <c r="Q33" i="1"/>
  <c r="P171" i="1"/>
  <c r="Q170" i="1"/>
  <c r="Q97" i="1"/>
  <c r="P97" i="1"/>
  <c r="P89" i="1"/>
  <c r="Q25" i="1"/>
  <c r="P145" i="1"/>
  <c r="P65" i="1"/>
  <c r="Q114" i="1"/>
  <c r="Q153" i="1"/>
  <c r="Q26" i="1"/>
  <c r="P153" i="1"/>
  <c r="P26" i="1"/>
  <c r="Q145" i="1"/>
  <c r="P81" i="1"/>
  <c r="P58" i="1"/>
  <c r="P114" i="1"/>
  <c r="P170" i="1"/>
  <c r="Q105" i="1"/>
  <c r="P25" i="1"/>
  <c r="P49" i="1"/>
  <c r="Q74" i="1"/>
  <c r="Q130" i="1"/>
  <c r="Q169" i="1"/>
  <c r="Q18" i="1"/>
  <c r="Q41" i="1"/>
  <c r="P74" i="1"/>
  <c r="P105" i="1"/>
  <c r="P123" i="1"/>
  <c r="P169" i="1"/>
  <c r="P10" i="1"/>
  <c r="Q34" i="1"/>
  <c r="Q73" i="1"/>
  <c r="Q98" i="1"/>
  <c r="Q122" i="1"/>
  <c r="P161" i="1"/>
  <c r="C156" i="1"/>
  <c r="F156" i="1" s="1"/>
  <c r="P34" i="1"/>
  <c r="Q65" i="1"/>
  <c r="P98" i="1"/>
  <c r="P115" i="1"/>
  <c r="P154" i="1"/>
  <c r="P126" i="1"/>
  <c r="Q125" i="1"/>
  <c r="P18" i="1"/>
  <c r="P122" i="1"/>
  <c r="Q162" i="1"/>
  <c r="Q17" i="1"/>
  <c r="P33" i="1"/>
  <c r="Q42" i="1"/>
  <c r="Q66" i="1"/>
  <c r="P90" i="1"/>
  <c r="Q106" i="1"/>
  <c r="Q121" i="1"/>
  <c r="P137" i="1"/>
  <c r="P162" i="1"/>
  <c r="P38" i="1"/>
  <c r="Q37" i="1"/>
  <c r="Q69" i="1"/>
  <c r="P107" i="1"/>
  <c r="P17" i="1"/>
  <c r="Q29" i="1"/>
  <c r="P42" i="1"/>
  <c r="P66" i="1"/>
  <c r="Q89" i="1"/>
  <c r="P106" i="1"/>
  <c r="Q117" i="1"/>
  <c r="P131" i="1"/>
  <c r="Q161" i="1"/>
  <c r="P46" i="1"/>
  <c r="P134" i="1"/>
  <c r="P142" i="1"/>
  <c r="P54" i="1"/>
  <c r="P86" i="1"/>
  <c r="Q141" i="1"/>
  <c r="P150" i="1"/>
  <c r="Q53" i="1"/>
  <c r="P94" i="1"/>
  <c r="P139" i="1"/>
  <c r="Q149" i="1"/>
  <c r="P14" i="1"/>
  <c r="Q50" i="1"/>
  <c r="Q93" i="1"/>
  <c r="Q138" i="1"/>
  <c r="P147" i="1"/>
  <c r="P166" i="1"/>
  <c r="Q13" i="1"/>
  <c r="P22" i="1"/>
  <c r="Q30" i="1"/>
  <c r="P41" i="1"/>
  <c r="P50" i="1"/>
  <c r="Q61" i="1"/>
  <c r="P73" i="1"/>
  <c r="P82" i="1"/>
  <c r="P91" i="1"/>
  <c r="Q101" i="1"/>
  <c r="P110" i="1"/>
  <c r="P121" i="1"/>
  <c r="Q129" i="1"/>
  <c r="P138" i="1"/>
  <c r="Q146" i="1"/>
  <c r="P155" i="1"/>
  <c r="Q165" i="1"/>
  <c r="P78" i="1"/>
  <c r="Q45" i="1"/>
  <c r="Q77" i="1"/>
  <c r="Q133" i="1"/>
  <c r="Q14" i="1"/>
  <c r="Q85" i="1"/>
  <c r="P158" i="1"/>
  <c r="Q22" i="1"/>
  <c r="P62" i="1"/>
  <c r="Q82" i="1"/>
  <c r="P102" i="1"/>
  <c r="P130" i="1"/>
  <c r="Q157" i="1"/>
  <c r="Q10" i="1"/>
  <c r="Q21" i="1"/>
  <c r="P30" i="1"/>
  <c r="Q38" i="1"/>
  <c r="Q49" i="1"/>
  <c r="Q58" i="1"/>
  <c r="P70" i="1"/>
  <c r="Q81" i="1"/>
  <c r="Q90" i="1"/>
  <c r="P99" i="1"/>
  <c r="Q109" i="1"/>
  <c r="P118" i="1"/>
  <c r="P129" i="1"/>
  <c r="Q137" i="1"/>
  <c r="P146" i="1"/>
  <c r="Q154" i="1"/>
  <c r="P163" i="1"/>
  <c r="P21" i="1"/>
  <c r="P29" i="1"/>
  <c r="P37" i="1"/>
  <c r="P45" i="1"/>
  <c r="P61" i="1"/>
  <c r="P69" i="1"/>
  <c r="P77" i="1"/>
  <c r="P85" i="1"/>
  <c r="P93" i="1"/>
  <c r="P101" i="1"/>
  <c r="P109" i="1"/>
  <c r="P117" i="1"/>
  <c r="P125" i="1"/>
  <c r="P133" i="1"/>
  <c r="P141" i="1"/>
  <c r="P149" i="1"/>
  <c r="P157" i="1"/>
  <c r="Q12" i="1"/>
  <c r="Q16" i="1"/>
  <c r="Q20" i="1"/>
  <c r="Q24" i="1"/>
  <c r="Q28" i="1"/>
  <c r="Q32" i="1"/>
  <c r="Q36" i="1"/>
  <c r="Q40" i="1"/>
  <c r="Q44" i="1"/>
  <c r="Q48" i="1"/>
  <c r="Q52" i="1"/>
  <c r="Q56" i="1"/>
  <c r="Q60" i="1"/>
  <c r="Q64" i="1"/>
  <c r="Q68" i="1"/>
  <c r="Q72" i="1"/>
  <c r="Q76" i="1"/>
  <c r="Q80" i="1"/>
  <c r="Q84" i="1"/>
  <c r="Q88" i="1"/>
  <c r="Q92" i="1"/>
  <c r="Q96" i="1"/>
  <c r="Q100" i="1"/>
  <c r="Q104" i="1"/>
  <c r="Q108" i="1"/>
  <c r="Q112" i="1"/>
  <c r="Q116" i="1"/>
  <c r="Q120" i="1"/>
  <c r="Q124" i="1"/>
  <c r="Q128" i="1"/>
  <c r="Q132" i="1"/>
  <c r="Q136" i="1"/>
  <c r="Q140" i="1"/>
  <c r="Q144" i="1"/>
  <c r="Q148" i="1"/>
  <c r="Q152" i="1"/>
  <c r="Q156" i="1"/>
  <c r="R156" i="1" s="1"/>
  <c r="I156" i="1" s="1"/>
  <c r="Q160" i="1"/>
  <c r="Q164" i="1"/>
  <c r="Q168" i="1"/>
  <c r="P12" i="1"/>
  <c r="P16" i="1"/>
  <c r="P20" i="1"/>
  <c r="P24" i="1"/>
  <c r="P28" i="1"/>
  <c r="P32" i="1"/>
  <c r="P36" i="1"/>
  <c r="P40" i="1"/>
  <c r="P44" i="1"/>
  <c r="P48" i="1"/>
  <c r="P52" i="1"/>
  <c r="P56" i="1"/>
  <c r="P60" i="1"/>
  <c r="P64" i="1"/>
  <c r="P68" i="1"/>
  <c r="P72" i="1"/>
  <c r="P76" i="1"/>
  <c r="P80" i="1"/>
  <c r="P84" i="1"/>
  <c r="P88" i="1"/>
  <c r="P92" i="1"/>
  <c r="P96" i="1"/>
  <c r="P100" i="1"/>
  <c r="P104" i="1"/>
  <c r="P108" i="1"/>
  <c r="P112" i="1"/>
  <c r="P116" i="1"/>
  <c r="P120" i="1"/>
  <c r="P124" i="1"/>
  <c r="P128" i="1"/>
  <c r="P132" i="1"/>
  <c r="P136" i="1"/>
  <c r="P140" i="1"/>
  <c r="P144" i="1"/>
  <c r="P148" i="1"/>
  <c r="P152" i="1"/>
  <c r="P160" i="1"/>
  <c r="P164" i="1"/>
  <c r="P168" i="1"/>
  <c r="Q11" i="1"/>
  <c r="Q15" i="1"/>
  <c r="Q19" i="1"/>
  <c r="Q23" i="1"/>
  <c r="Q27" i="1"/>
  <c r="Q31" i="1"/>
  <c r="Q35" i="1"/>
  <c r="Q39" i="1"/>
  <c r="Q43" i="1"/>
  <c r="Q47" i="1"/>
  <c r="Q51" i="1"/>
  <c r="Q55" i="1"/>
  <c r="Q59" i="1"/>
  <c r="Q63" i="1"/>
  <c r="Q67" i="1"/>
  <c r="Q71" i="1"/>
  <c r="Q75" i="1"/>
  <c r="Q79" i="1"/>
  <c r="Q83" i="1"/>
  <c r="Q87" i="1"/>
  <c r="Q91" i="1"/>
  <c r="Q95" i="1"/>
  <c r="Q99" i="1"/>
  <c r="Q103" i="1"/>
  <c r="Q107" i="1"/>
  <c r="Q111" i="1"/>
  <c r="Q115" i="1"/>
  <c r="Q119" i="1"/>
  <c r="Q123" i="1"/>
  <c r="Q127" i="1"/>
  <c r="Q131" i="1"/>
  <c r="Q135" i="1"/>
  <c r="Q139" i="1"/>
  <c r="Q143" i="1"/>
  <c r="Q147" i="1"/>
  <c r="Q151" i="1"/>
  <c r="Q155" i="1"/>
  <c r="Q159" i="1"/>
  <c r="Q163" i="1"/>
  <c r="Q167" i="1"/>
  <c r="Q171" i="1"/>
  <c r="P13" i="1"/>
  <c r="P53" i="1"/>
  <c r="P165" i="1"/>
  <c r="P11" i="1"/>
  <c r="P15" i="1"/>
  <c r="P19" i="1"/>
  <c r="P23" i="1"/>
  <c r="P27" i="1"/>
  <c r="P31" i="1"/>
  <c r="P35" i="1"/>
  <c r="P39" i="1"/>
  <c r="P43" i="1"/>
  <c r="P47" i="1"/>
  <c r="P51" i="1"/>
  <c r="P55" i="1"/>
  <c r="P59" i="1"/>
  <c r="P63" i="1"/>
  <c r="P67" i="1"/>
  <c r="P71" i="1"/>
  <c r="P75" i="1"/>
  <c r="P79" i="1"/>
  <c r="P83" i="1"/>
  <c r="P87" i="1"/>
  <c r="P95" i="1"/>
  <c r="P103" i="1"/>
  <c r="P111" i="1"/>
  <c r="P119" i="1"/>
  <c r="P127" i="1"/>
  <c r="P135" i="1"/>
  <c r="P143" i="1"/>
  <c r="P151" i="1"/>
  <c r="P159" i="1"/>
  <c r="P167" i="1"/>
  <c r="Q46" i="1"/>
  <c r="Q54" i="1"/>
  <c r="Q62" i="1"/>
  <c r="Q70" i="1"/>
  <c r="Q78" i="1"/>
  <c r="Q86" i="1"/>
  <c r="Q94" i="1"/>
  <c r="Q102" i="1"/>
  <c r="Q110" i="1"/>
  <c r="Q118" i="1"/>
  <c r="Q126" i="1"/>
  <c r="Q134" i="1"/>
  <c r="Q142" i="1"/>
  <c r="Q150" i="1"/>
  <c r="Q158" i="1"/>
  <c r="Q166" i="1"/>
  <c r="G66" i="8" l="1"/>
  <c r="E66" i="8" s="1"/>
  <c r="D66" i="8" s="1"/>
  <c r="G108" i="8"/>
  <c r="E108" i="8" s="1"/>
  <c r="D108" i="8" s="1"/>
  <c r="G170" i="8"/>
  <c r="E170" i="8" s="1"/>
  <c r="D170" i="8" s="1"/>
  <c r="G43" i="8"/>
  <c r="E43" i="8" s="1"/>
  <c r="D43" i="8" s="1"/>
  <c r="G144" i="8"/>
  <c r="E144" i="8" s="1"/>
  <c r="D144" i="8" s="1"/>
  <c r="G92" i="8"/>
  <c r="E92" i="8" s="1"/>
  <c r="D92" i="8" s="1"/>
  <c r="G50" i="8"/>
  <c r="E50" i="8" s="1"/>
  <c r="D50" i="8" s="1"/>
  <c r="G74" i="8"/>
  <c r="E74" i="8" s="1"/>
  <c r="D74" i="8" s="1"/>
  <c r="G154" i="8"/>
  <c r="E154" i="8" s="1"/>
  <c r="D154" i="8" s="1"/>
  <c r="G31" i="8"/>
  <c r="E31" i="8" s="1"/>
  <c r="D31" i="8" s="1"/>
  <c r="G78" i="8"/>
  <c r="E78" i="8" s="1"/>
  <c r="D78" i="8" s="1"/>
  <c r="G18" i="8"/>
  <c r="E18" i="8" s="1"/>
  <c r="D18" i="8" s="1"/>
  <c r="G62" i="8"/>
  <c r="E62" i="8" s="1"/>
  <c r="D62" i="8" s="1"/>
  <c r="G15" i="8"/>
  <c r="E15" i="8" s="1"/>
  <c r="D15" i="8" s="1"/>
  <c r="G112" i="8"/>
  <c r="E112" i="8" s="1"/>
  <c r="D112" i="8" s="1"/>
  <c r="G82" i="8"/>
  <c r="E82" i="8" s="1"/>
  <c r="D82" i="8" s="1"/>
  <c r="G26" i="8"/>
  <c r="E26" i="8" s="1"/>
  <c r="D26" i="8" s="1"/>
  <c r="G133" i="8"/>
  <c r="E133" i="8" s="1"/>
  <c r="D133" i="8" s="1"/>
  <c r="G116" i="8"/>
  <c r="E116" i="8" s="1"/>
  <c r="D116" i="8" s="1"/>
  <c r="G47" i="8"/>
  <c r="E47" i="8" s="1"/>
  <c r="D47" i="8" s="1"/>
  <c r="G70" i="8"/>
  <c r="E70" i="8" s="1"/>
  <c r="D70" i="8" s="1"/>
  <c r="G134" i="8"/>
  <c r="E134" i="8" s="1"/>
  <c r="D134" i="8" s="1"/>
  <c r="G34" i="8"/>
  <c r="E34" i="8" s="1"/>
  <c r="D34" i="8" s="1"/>
  <c r="G141" i="8"/>
  <c r="E141" i="8" s="1"/>
  <c r="D141" i="8" s="1"/>
  <c r="G111" i="8"/>
  <c r="E111" i="8" s="1"/>
  <c r="D111" i="8" s="1"/>
  <c r="G86" i="8"/>
  <c r="E86" i="8" s="1"/>
  <c r="D86" i="8" s="1"/>
  <c r="F2" i="6"/>
  <c r="E125" i="6"/>
  <c r="D125" i="6" s="1"/>
  <c r="E165" i="6"/>
  <c r="D165" i="6" s="1"/>
  <c r="E156" i="6"/>
  <c r="D156" i="6" s="1"/>
  <c r="E62" i="6"/>
  <c r="D62" i="6" s="1"/>
  <c r="E67" i="6"/>
  <c r="D67" i="6" s="1"/>
  <c r="E154" i="6"/>
  <c r="D154" i="6" s="1"/>
  <c r="E148" i="6"/>
  <c r="D148" i="6" s="1"/>
  <c r="E91" i="6"/>
  <c r="D91" i="6" s="1"/>
  <c r="E108" i="6"/>
  <c r="D108" i="6" s="1"/>
  <c r="E158" i="6"/>
  <c r="D158" i="6" s="1"/>
  <c r="E98" i="6"/>
  <c r="D98" i="6" s="1"/>
  <c r="E59" i="6"/>
  <c r="D59" i="6" s="1"/>
  <c r="E129" i="6"/>
  <c r="D129" i="6" s="1"/>
  <c r="E149" i="6"/>
  <c r="D149" i="6" s="1"/>
  <c r="E155" i="6"/>
  <c r="D155" i="6" s="1"/>
  <c r="E101" i="6"/>
  <c r="D101" i="6" s="1"/>
  <c r="E163" i="6"/>
  <c r="D163" i="6" s="1"/>
  <c r="E71" i="6"/>
  <c r="D71" i="6" s="1"/>
  <c r="E140" i="6"/>
  <c r="D140" i="6" s="1"/>
  <c r="E39" i="6"/>
  <c r="D39" i="6" s="1"/>
  <c r="E100" i="6"/>
  <c r="D100" i="6" s="1"/>
  <c r="E160" i="6"/>
  <c r="D160" i="6" s="1"/>
  <c r="E60" i="6"/>
  <c r="D60" i="6" s="1"/>
  <c r="E93" i="6"/>
  <c r="D93" i="6" s="1"/>
  <c r="E127" i="6"/>
  <c r="D127" i="6" s="1"/>
  <c r="E96" i="6"/>
  <c r="D96" i="6" s="1"/>
  <c r="E152" i="6"/>
  <c r="D152" i="6" s="1"/>
  <c r="E68" i="6"/>
  <c r="D68" i="6" s="1"/>
  <c r="E133" i="6"/>
  <c r="D133" i="6" s="1"/>
  <c r="E168" i="6"/>
  <c r="D168" i="6" s="1"/>
  <c r="E104" i="6"/>
  <c r="D104" i="6" s="1"/>
  <c r="E90" i="6"/>
  <c r="D90" i="6" s="1"/>
  <c r="E49" i="6"/>
  <c r="D49" i="6" s="1"/>
  <c r="E106" i="6"/>
  <c r="D106" i="6" s="1"/>
  <c r="E170" i="6"/>
  <c r="D170" i="6" s="1"/>
  <c r="E35" i="6"/>
  <c r="D35" i="6" s="1"/>
  <c r="E114" i="6"/>
  <c r="D114" i="6" s="1"/>
  <c r="E84" i="6"/>
  <c r="D84" i="6" s="1"/>
  <c r="E89" i="6"/>
  <c r="D89" i="6" s="1"/>
  <c r="E116" i="6"/>
  <c r="D116" i="6" s="1"/>
  <c r="E131" i="6"/>
  <c r="D131" i="6" s="1"/>
  <c r="E126" i="6"/>
  <c r="D126" i="6" s="1"/>
  <c r="E57" i="6"/>
  <c r="D57" i="6" s="1"/>
  <c r="E92" i="6"/>
  <c r="D92" i="6" s="1"/>
  <c r="E121" i="6"/>
  <c r="D121" i="6" s="1"/>
  <c r="E167" i="6"/>
  <c r="D167" i="6" s="1"/>
  <c r="E99" i="6"/>
  <c r="D99" i="6" s="1"/>
  <c r="E162" i="6"/>
  <c r="D162" i="6" s="1"/>
  <c r="E169" i="6"/>
  <c r="D169" i="6" s="1"/>
  <c r="E146" i="6"/>
  <c r="D146" i="6" s="1"/>
  <c r="E75" i="6"/>
  <c r="D75" i="6" s="1"/>
  <c r="E119" i="6"/>
  <c r="D119" i="6" s="1"/>
  <c r="E73" i="6"/>
  <c r="D73" i="6" s="1"/>
  <c r="E82" i="6"/>
  <c r="D82" i="6" s="1"/>
  <c r="E63" i="6"/>
  <c r="D63" i="6" s="1"/>
  <c r="E10" i="6"/>
  <c r="D10" i="6" s="1"/>
  <c r="G37" i="4"/>
  <c r="E37" i="4" s="1"/>
  <c r="D37" i="4" s="1"/>
  <c r="G60" i="4"/>
  <c r="E60" i="4" s="1"/>
  <c r="D60" i="4" s="1"/>
  <c r="G81" i="4"/>
  <c r="E81" i="4" s="1"/>
  <c r="D81" i="4" s="1"/>
  <c r="G33" i="4"/>
  <c r="E33" i="4" s="1"/>
  <c r="D33" i="4" s="1"/>
  <c r="I110" i="4"/>
  <c r="G28" i="4"/>
  <c r="E28" i="4" s="1"/>
  <c r="D28" i="4" s="1"/>
  <c r="G138" i="4"/>
  <c r="E138" i="4" s="1"/>
  <c r="D138" i="4" s="1"/>
  <c r="G96" i="4"/>
  <c r="E96" i="4" s="1"/>
  <c r="D96" i="4" s="1"/>
  <c r="G159" i="4"/>
  <c r="E159" i="4" s="1"/>
  <c r="D159" i="4" s="1"/>
  <c r="G54" i="4"/>
  <c r="E54" i="4" s="1"/>
  <c r="D54" i="4" s="1"/>
  <c r="G122" i="4"/>
  <c r="E122" i="4" s="1"/>
  <c r="D122" i="4" s="1"/>
  <c r="G99" i="4"/>
  <c r="E99" i="4" s="1"/>
  <c r="D99" i="4" s="1"/>
  <c r="G32" i="4"/>
  <c r="E32" i="4" s="1"/>
  <c r="D32" i="4" s="1"/>
  <c r="G160" i="4"/>
  <c r="E160" i="4" s="1"/>
  <c r="D160" i="4" s="1"/>
  <c r="G101" i="4"/>
  <c r="E101" i="4" s="1"/>
  <c r="D101" i="4" s="1"/>
  <c r="J51" i="4"/>
  <c r="G35" i="4"/>
  <c r="E35" i="4" s="1"/>
  <c r="D35" i="4" s="1"/>
  <c r="G102" i="4"/>
  <c r="E102" i="4" s="1"/>
  <c r="D102" i="4" s="1"/>
  <c r="G125" i="4"/>
  <c r="E125" i="4" s="1"/>
  <c r="D125" i="4" s="1"/>
  <c r="G74" i="4"/>
  <c r="E74" i="4" s="1"/>
  <c r="D74" i="4" s="1"/>
  <c r="G97" i="4"/>
  <c r="E97" i="4" s="1"/>
  <c r="D97" i="4" s="1"/>
  <c r="G65" i="4"/>
  <c r="E65" i="4" s="1"/>
  <c r="D65" i="4" s="1"/>
  <c r="G126" i="4"/>
  <c r="E126" i="4" s="1"/>
  <c r="D126" i="4" s="1"/>
  <c r="H110" i="4"/>
  <c r="G110" i="4" s="1"/>
  <c r="E110" i="4" s="1"/>
  <c r="D110" i="4" s="1"/>
  <c r="G93" i="4"/>
  <c r="E93" i="4" s="1"/>
  <c r="D93" i="4" s="1"/>
  <c r="G113" i="4"/>
  <c r="E113" i="4" s="1"/>
  <c r="D113" i="4" s="1"/>
  <c r="K110" i="4"/>
  <c r="G132" i="4"/>
  <c r="E132" i="4" s="1"/>
  <c r="D132" i="4" s="1"/>
  <c r="G20" i="4"/>
  <c r="E20" i="4" s="1"/>
  <c r="D20" i="4" s="1"/>
  <c r="G49" i="4"/>
  <c r="E49" i="4" s="1"/>
  <c r="D49" i="4" s="1"/>
  <c r="G146" i="4"/>
  <c r="E146" i="4" s="1"/>
  <c r="D146" i="4" s="1"/>
  <c r="G41" i="4"/>
  <c r="E41" i="4" s="1"/>
  <c r="D41" i="4" s="1"/>
  <c r="G82" i="4"/>
  <c r="E82" i="4" s="1"/>
  <c r="D82" i="4" s="1"/>
  <c r="G133" i="4"/>
  <c r="E133" i="4" s="1"/>
  <c r="D133" i="4" s="1"/>
  <c r="G18" i="4"/>
  <c r="E18" i="4" s="1"/>
  <c r="D18" i="4" s="1"/>
  <c r="G75" i="4"/>
  <c r="E75" i="4" s="1"/>
  <c r="D75" i="4" s="1"/>
  <c r="G22" i="4"/>
  <c r="E22" i="4" s="1"/>
  <c r="D22" i="4" s="1"/>
  <c r="G94" i="4"/>
  <c r="E94" i="4" s="1"/>
  <c r="D94" i="4" s="1"/>
  <c r="G19" i="4"/>
  <c r="E19" i="4" s="1"/>
  <c r="D19" i="4" s="1"/>
  <c r="G87" i="4"/>
  <c r="E87" i="4" s="1"/>
  <c r="D87" i="4" s="1"/>
  <c r="G104" i="4"/>
  <c r="E104" i="4" s="1"/>
  <c r="D104" i="4" s="1"/>
  <c r="G66" i="4"/>
  <c r="E66" i="4" s="1"/>
  <c r="D66" i="4" s="1"/>
  <c r="G121" i="4"/>
  <c r="E121" i="4" s="1"/>
  <c r="D121" i="4" s="1"/>
  <c r="G79" i="4"/>
  <c r="E79" i="4" s="1"/>
  <c r="D79" i="4" s="1"/>
  <c r="I51" i="4"/>
  <c r="G112" i="4"/>
  <c r="E112" i="4" s="1"/>
  <c r="D112" i="4" s="1"/>
  <c r="G86" i="4"/>
  <c r="E86" i="4" s="1"/>
  <c r="D86" i="4" s="1"/>
  <c r="K67" i="4"/>
  <c r="I67" i="4"/>
  <c r="J70" i="4"/>
  <c r="J67" i="4"/>
  <c r="K51" i="4"/>
  <c r="G51" i="4" s="1"/>
  <c r="E51" i="4" s="1"/>
  <c r="D51" i="4" s="1"/>
  <c r="G136" i="4"/>
  <c r="E136" i="4" s="1"/>
  <c r="D136" i="4" s="1"/>
  <c r="G103" i="4"/>
  <c r="E103" i="4" s="1"/>
  <c r="D103" i="4" s="1"/>
  <c r="G100" i="4"/>
  <c r="E100" i="4" s="1"/>
  <c r="D100" i="4" s="1"/>
  <c r="G80" i="4"/>
  <c r="E80" i="4" s="1"/>
  <c r="D80" i="4" s="1"/>
  <c r="G30" i="4"/>
  <c r="E30" i="4" s="1"/>
  <c r="D30" i="4" s="1"/>
  <c r="G24" i="4"/>
  <c r="E24" i="4" s="1"/>
  <c r="D24" i="4" s="1"/>
  <c r="G145" i="4"/>
  <c r="E145" i="4" s="1"/>
  <c r="D145" i="4" s="1"/>
  <c r="G39" i="4"/>
  <c r="E39" i="4" s="1"/>
  <c r="D39" i="4" s="1"/>
  <c r="K70" i="4"/>
  <c r="I70" i="4"/>
  <c r="J29" i="4"/>
  <c r="G135" i="4"/>
  <c r="E135" i="4" s="1"/>
  <c r="D135" i="4" s="1"/>
  <c r="H29" i="4"/>
  <c r="G29" i="4" s="1"/>
  <c r="E29" i="4" s="1"/>
  <c r="D29" i="4" s="1"/>
  <c r="G158" i="4"/>
  <c r="E158" i="4" s="1"/>
  <c r="D158" i="4" s="1"/>
  <c r="I29" i="4"/>
  <c r="G137" i="4"/>
  <c r="E137" i="4" s="1"/>
  <c r="D137" i="4" s="1"/>
  <c r="G58" i="4"/>
  <c r="E58" i="4" s="1"/>
  <c r="D58" i="4" s="1"/>
  <c r="G120" i="4"/>
  <c r="E120" i="4" s="1"/>
  <c r="D120" i="4" s="1"/>
  <c r="G88" i="4"/>
  <c r="E88" i="4" s="1"/>
  <c r="D88" i="4" s="1"/>
  <c r="G141" i="4"/>
  <c r="E141" i="4" s="1"/>
  <c r="D141" i="4" s="1"/>
  <c r="G55" i="4"/>
  <c r="E55" i="4" s="1"/>
  <c r="D55" i="4" s="1"/>
  <c r="J89" i="4"/>
  <c r="K89" i="4"/>
  <c r="I89" i="4"/>
  <c r="G36" i="4"/>
  <c r="E36" i="4" s="1"/>
  <c r="D36" i="4" s="1"/>
  <c r="G13" i="4"/>
  <c r="E13" i="4" s="1"/>
  <c r="D13" i="4" s="1"/>
  <c r="G105" i="4"/>
  <c r="E105" i="4" s="1"/>
  <c r="D105" i="4" s="1"/>
  <c r="G25" i="4"/>
  <c r="E25" i="4" s="1"/>
  <c r="D25" i="4" s="1"/>
  <c r="G72" i="4"/>
  <c r="E72" i="4" s="1"/>
  <c r="D72" i="4" s="1"/>
  <c r="G124" i="4"/>
  <c r="E124" i="4" s="1"/>
  <c r="D124" i="4" s="1"/>
  <c r="G27" i="4"/>
  <c r="E27" i="4" s="1"/>
  <c r="D27" i="4" s="1"/>
  <c r="G83" i="4"/>
  <c r="E83" i="4" s="1"/>
  <c r="D83" i="4" s="1"/>
  <c r="G170" i="4"/>
  <c r="E170" i="4" s="1"/>
  <c r="D170" i="4" s="1"/>
  <c r="G64" i="4"/>
  <c r="E64" i="4" s="1"/>
  <c r="D64" i="4" s="1"/>
  <c r="G140" i="4"/>
  <c r="E140" i="4" s="1"/>
  <c r="D140" i="4" s="1"/>
  <c r="G14" i="4"/>
  <c r="E14" i="4" s="1"/>
  <c r="D14" i="4" s="1"/>
  <c r="G68" i="4"/>
  <c r="E68" i="4" s="1"/>
  <c r="D68" i="4" s="1"/>
  <c r="G17" i="4"/>
  <c r="E17" i="4" s="1"/>
  <c r="D17" i="4" s="1"/>
  <c r="G76" i="4"/>
  <c r="E76" i="4" s="1"/>
  <c r="D76" i="4" s="1"/>
  <c r="G56" i="4"/>
  <c r="E56" i="4" s="1"/>
  <c r="D56" i="4" s="1"/>
  <c r="G114" i="4"/>
  <c r="E114" i="4" s="1"/>
  <c r="D114" i="4" s="1"/>
  <c r="G52" i="4"/>
  <c r="E52" i="4" s="1"/>
  <c r="D52" i="4" s="1"/>
  <c r="G71" i="4"/>
  <c r="E71" i="4" s="1"/>
  <c r="D71" i="4" s="1"/>
  <c r="G48" i="4"/>
  <c r="E48" i="4" s="1"/>
  <c r="D48" i="4" s="1"/>
  <c r="G44" i="4"/>
  <c r="E44" i="4" s="1"/>
  <c r="D44" i="4" s="1"/>
  <c r="G119" i="4"/>
  <c r="E119" i="4" s="1"/>
  <c r="D119" i="4" s="1"/>
  <c r="G149" i="4"/>
  <c r="E149" i="4" s="1"/>
  <c r="D149" i="4" s="1"/>
  <c r="G90" i="4"/>
  <c r="E90" i="4" s="1"/>
  <c r="D90" i="4" s="1"/>
  <c r="G92" i="4"/>
  <c r="E92" i="4" s="1"/>
  <c r="D92" i="4" s="1"/>
  <c r="H156" i="1"/>
  <c r="K156" i="1"/>
  <c r="F2" i="1"/>
  <c r="F1" i="1"/>
  <c r="R136" i="1"/>
  <c r="I136" i="1" s="1"/>
  <c r="R72" i="1"/>
  <c r="I72" i="1" s="1"/>
  <c r="R108" i="1"/>
  <c r="I108" i="1" s="1"/>
  <c r="R12" i="1"/>
  <c r="I12" i="1" s="1"/>
  <c r="R32" i="1"/>
  <c r="I32" i="1" s="1"/>
  <c r="R64" i="1"/>
  <c r="I64" i="1" s="1"/>
  <c r="R44" i="1"/>
  <c r="I44" i="1" s="1"/>
  <c r="R76" i="1"/>
  <c r="I76" i="1" s="1"/>
  <c r="R104" i="1"/>
  <c r="I104" i="1" s="1"/>
  <c r="R41" i="1"/>
  <c r="I41" i="1" s="1"/>
  <c r="R28" i="1"/>
  <c r="I28" i="1" s="1"/>
  <c r="R24" i="1"/>
  <c r="I24" i="1" s="1"/>
  <c r="R80" i="1"/>
  <c r="I80" i="1" s="1"/>
  <c r="R112" i="1"/>
  <c r="I112" i="1" s="1"/>
  <c r="R144" i="1"/>
  <c r="I144" i="1" s="1"/>
  <c r="R70" i="1"/>
  <c r="I70" i="1" s="1"/>
  <c r="R45" i="1"/>
  <c r="I45" i="1" s="1"/>
  <c r="R20" i="1"/>
  <c r="I20" i="1" s="1"/>
  <c r="R116" i="1"/>
  <c r="I116" i="1" s="1"/>
  <c r="R81" i="1"/>
  <c r="I81" i="1" s="1"/>
  <c r="R88" i="1"/>
  <c r="I88" i="1" s="1"/>
  <c r="R84" i="1"/>
  <c r="I84" i="1" s="1"/>
  <c r="R60" i="1"/>
  <c r="I60" i="1" s="1"/>
  <c r="R148" i="1"/>
  <c r="I148" i="1" s="1"/>
  <c r="R92" i="1"/>
  <c r="I92" i="1" s="1"/>
  <c r="R103" i="1"/>
  <c r="I103" i="1" s="1"/>
  <c r="R133" i="1"/>
  <c r="I133" i="1" s="1"/>
  <c r="R56" i="1"/>
  <c r="I56" i="1" s="1"/>
  <c r="R124" i="1"/>
  <c r="I124" i="1" s="1"/>
  <c r="R120" i="1"/>
  <c r="I120" i="1" s="1"/>
  <c r="R69" i="1"/>
  <c r="I69" i="1" s="1"/>
  <c r="R149" i="1"/>
  <c r="I149" i="1" s="1"/>
  <c r="R26" i="1"/>
  <c r="I26" i="1" s="1"/>
  <c r="R153" i="1"/>
  <c r="I153" i="1" s="1"/>
  <c r="R34" i="1"/>
  <c r="I34" i="1" s="1"/>
  <c r="R97" i="1"/>
  <c r="I97" i="1" s="1"/>
  <c r="R21" i="1"/>
  <c r="I21" i="1" s="1"/>
  <c r="R48" i="1"/>
  <c r="I48" i="1" s="1"/>
  <c r="R132" i="1"/>
  <c r="I132" i="1" s="1"/>
  <c r="R25" i="1"/>
  <c r="I25" i="1" s="1"/>
  <c r="R85" i="1"/>
  <c r="I85" i="1" s="1"/>
  <c r="R128" i="1"/>
  <c r="I128" i="1" s="1"/>
  <c r="R113" i="1"/>
  <c r="I113" i="1" s="1"/>
  <c r="R40" i="1"/>
  <c r="I40" i="1" s="1"/>
  <c r="R170" i="1"/>
  <c r="I170" i="1" s="1"/>
  <c r="R100" i="1"/>
  <c r="I100" i="1" s="1"/>
  <c r="R164" i="1"/>
  <c r="I164" i="1" s="1"/>
  <c r="R150" i="1"/>
  <c r="I150" i="1" s="1"/>
  <c r="R90" i="1"/>
  <c r="I90" i="1" s="1"/>
  <c r="R138" i="1"/>
  <c r="I138" i="1" s="1"/>
  <c r="R52" i="1"/>
  <c r="I52" i="1" s="1"/>
  <c r="R68" i="1"/>
  <c r="I68" i="1" s="1"/>
  <c r="R131" i="1"/>
  <c r="I131" i="1" s="1"/>
  <c r="R94" i="1"/>
  <c r="I94" i="1" s="1"/>
  <c r="R162" i="1"/>
  <c r="I162" i="1" s="1"/>
  <c r="R114" i="1"/>
  <c r="I114" i="1" s="1"/>
  <c r="R140" i="1"/>
  <c r="I140" i="1" s="1"/>
  <c r="R158" i="1"/>
  <c r="I158" i="1" s="1"/>
  <c r="R13" i="1"/>
  <c r="I13" i="1" s="1"/>
  <c r="R10" i="1"/>
  <c r="I10" i="1" s="1"/>
  <c r="R145" i="1"/>
  <c r="I145" i="1" s="1"/>
  <c r="R57" i="1"/>
  <c r="I57" i="1" s="1"/>
  <c r="R36" i="1"/>
  <c r="I36" i="1" s="1"/>
  <c r="R123" i="1"/>
  <c r="I123" i="1" s="1"/>
  <c r="R58" i="1"/>
  <c r="I58" i="1" s="1"/>
  <c r="R121" i="1"/>
  <c r="I121" i="1" s="1"/>
  <c r="R86" i="1"/>
  <c r="I86" i="1" s="1"/>
  <c r="R154" i="1"/>
  <c r="I154" i="1" s="1"/>
  <c r="R98" i="1"/>
  <c r="I98" i="1" s="1"/>
  <c r="J156" i="1"/>
  <c r="R96" i="1"/>
  <c r="I96" i="1" s="1"/>
  <c r="R17" i="1"/>
  <c r="I17" i="1" s="1"/>
  <c r="R169" i="1"/>
  <c r="I169" i="1" s="1"/>
  <c r="R119" i="1"/>
  <c r="I119" i="1" s="1"/>
  <c r="R89" i="1"/>
  <c r="I89" i="1" s="1"/>
  <c r="R38" i="1"/>
  <c r="I38" i="1" s="1"/>
  <c r="R33" i="1"/>
  <c r="I33" i="1" s="1"/>
  <c r="R135" i="1"/>
  <c r="I135" i="1" s="1"/>
  <c r="R160" i="1"/>
  <c r="I160" i="1" s="1"/>
  <c r="R146" i="1"/>
  <c r="I146" i="1" s="1"/>
  <c r="R130" i="1"/>
  <c r="I130" i="1" s="1"/>
  <c r="R74" i="1"/>
  <c r="I74" i="1" s="1"/>
  <c r="R110" i="1"/>
  <c r="I110" i="1" s="1"/>
  <c r="R115" i="1"/>
  <c r="I115" i="1" s="1"/>
  <c r="R152" i="1"/>
  <c r="I152" i="1" s="1"/>
  <c r="R117" i="1"/>
  <c r="I117" i="1" s="1"/>
  <c r="R105" i="1"/>
  <c r="I105" i="1" s="1"/>
  <c r="R151" i="1"/>
  <c r="I151" i="1" s="1"/>
  <c r="R163" i="1"/>
  <c r="I163" i="1" s="1"/>
  <c r="R73" i="1"/>
  <c r="I73" i="1" s="1"/>
  <c r="R18" i="1"/>
  <c r="I18" i="1" s="1"/>
  <c r="R49" i="1"/>
  <c r="I49" i="1" s="1"/>
  <c r="R78" i="1"/>
  <c r="I78" i="1" s="1"/>
  <c r="R171" i="1"/>
  <c r="I171" i="1" s="1"/>
  <c r="R82" i="1"/>
  <c r="I82" i="1" s="1"/>
  <c r="R14" i="1"/>
  <c r="I14" i="1" s="1"/>
  <c r="R101" i="1"/>
  <c r="I101" i="1" s="1"/>
  <c r="R30" i="1"/>
  <c r="I30" i="1" s="1"/>
  <c r="R165" i="1"/>
  <c r="I165" i="1" s="1"/>
  <c r="R65" i="1"/>
  <c r="I65" i="1" s="1"/>
  <c r="R42" i="1"/>
  <c r="I42" i="1" s="1"/>
  <c r="R50" i="1"/>
  <c r="I50" i="1" s="1"/>
  <c r="R126" i="1"/>
  <c r="I126" i="1" s="1"/>
  <c r="R141" i="1"/>
  <c r="I141" i="1" s="1"/>
  <c r="R161" i="1"/>
  <c r="I161" i="1" s="1"/>
  <c r="R106" i="1"/>
  <c r="I106" i="1" s="1"/>
  <c r="R59" i="1"/>
  <c r="I59" i="1" s="1"/>
  <c r="R27" i="1"/>
  <c r="I27" i="1" s="1"/>
  <c r="R75" i="1"/>
  <c r="I75" i="1" s="1"/>
  <c r="R11" i="1"/>
  <c r="I11" i="1" s="1"/>
  <c r="R102" i="1"/>
  <c r="I102" i="1" s="1"/>
  <c r="R37" i="1"/>
  <c r="I37" i="1" s="1"/>
  <c r="R22" i="1"/>
  <c r="I22" i="1" s="1"/>
  <c r="R66" i="1"/>
  <c r="I66" i="1" s="1"/>
  <c r="R43" i="1"/>
  <c r="I43" i="1" s="1"/>
  <c r="R155" i="1"/>
  <c r="I155" i="1" s="1"/>
  <c r="R122" i="1"/>
  <c r="I122" i="1" s="1"/>
  <c r="R159" i="1"/>
  <c r="I159" i="1" s="1"/>
  <c r="R107" i="1"/>
  <c r="I107" i="1" s="1"/>
  <c r="R166" i="1"/>
  <c r="I166" i="1" s="1"/>
  <c r="R95" i="1"/>
  <c r="I95" i="1" s="1"/>
  <c r="R168" i="1"/>
  <c r="I168" i="1" s="1"/>
  <c r="R167" i="1"/>
  <c r="I167" i="1" s="1"/>
  <c r="R79" i="1"/>
  <c r="I79" i="1" s="1"/>
  <c r="R46" i="1"/>
  <c r="I46" i="1" s="1"/>
  <c r="R35" i="1"/>
  <c r="I35" i="1" s="1"/>
  <c r="R53" i="1"/>
  <c r="I53" i="1" s="1"/>
  <c r="R147" i="1"/>
  <c r="I147" i="1" s="1"/>
  <c r="R19" i="1"/>
  <c r="I19" i="1" s="1"/>
  <c r="R71" i="1"/>
  <c r="I71" i="1" s="1"/>
  <c r="R39" i="1"/>
  <c r="I39" i="1" s="1"/>
  <c r="R87" i="1"/>
  <c r="I87" i="1" s="1"/>
  <c r="R55" i="1"/>
  <c r="I55" i="1" s="1"/>
  <c r="R23" i="1"/>
  <c r="I23" i="1" s="1"/>
  <c r="R129" i="1"/>
  <c r="I129" i="1" s="1"/>
  <c r="R54" i="1"/>
  <c r="I54" i="1" s="1"/>
  <c r="R157" i="1"/>
  <c r="I157" i="1" s="1"/>
  <c r="R93" i="1"/>
  <c r="I93" i="1" s="1"/>
  <c r="R99" i="1"/>
  <c r="I99" i="1" s="1"/>
  <c r="R63" i="1"/>
  <c r="I63" i="1" s="1"/>
  <c r="R31" i="1"/>
  <c r="I31" i="1" s="1"/>
  <c r="R143" i="1"/>
  <c r="I143" i="1" s="1"/>
  <c r="R15" i="1"/>
  <c r="I15" i="1" s="1"/>
  <c r="R29" i="1"/>
  <c r="I29" i="1" s="1"/>
  <c r="R139" i="1"/>
  <c r="I139" i="1" s="1"/>
  <c r="R134" i="1"/>
  <c r="I134" i="1" s="1"/>
  <c r="R67" i="1"/>
  <c r="I67" i="1" s="1"/>
  <c r="R51" i="1"/>
  <c r="I51" i="1" s="1"/>
  <c r="R16" i="1"/>
  <c r="I16" i="1" s="1"/>
  <c r="R109" i="1"/>
  <c r="I109" i="1" s="1"/>
  <c r="R142" i="1"/>
  <c r="I142" i="1" s="1"/>
  <c r="R127" i="1"/>
  <c r="I127" i="1" s="1"/>
  <c r="R125" i="1"/>
  <c r="I125" i="1" s="1"/>
  <c r="R61" i="1"/>
  <c r="I61" i="1" s="1"/>
  <c r="R137" i="1"/>
  <c r="I137" i="1" s="1"/>
  <c r="R111" i="1"/>
  <c r="I111" i="1" s="1"/>
  <c r="R118" i="1"/>
  <c r="I118" i="1" s="1"/>
  <c r="R62" i="1"/>
  <c r="I62" i="1" s="1"/>
  <c r="R91" i="1"/>
  <c r="I91" i="1" s="1"/>
  <c r="R83" i="1"/>
  <c r="I83" i="1" s="1"/>
  <c r="R77" i="1"/>
  <c r="I77" i="1" s="1"/>
  <c r="R47" i="1"/>
  <c r="I47" i="1" s="1"/>
  <c r="E139" i="6" l="1"/>
  <c r="D139" i="6" s="1"/>
  <c r="E11" i="6"/>
  <c r="D11" i="6" s="1"/>
  <c r="E61" i="6"/>
  <c r="D61" i="6" s="1"/>
  <c r="E88" i="6"/>
  <c r="D88" i="6" s="1"/>
  <c r="E64" i="6"/>
  <c r="D64" i="6" s="1"/>
  <c r="E113" i="6"/>
  <c r="D113" i="6" s="1"/>
  <c r="E81" i="6"/>
  <c r="D81" i="6" s="1"/>
  <c r="E80" i="6"/>
  <c r="D80" i="6" s="1"/>
  <c r="E65" i="6"/>
  <c r="D65" i="6" s="1"/>
  <c r="E72" i="6"/>
  <c r="D72" i="6" s="1"/>
  <c r="E153" i="6"/>
  <c r="D153" i="6" s="1"/>
  <c r="E23" i="6"/>
  <c r="D23" i="6" s="1"/>
  <c r="G89" i="4"/>
  <c r="E89" i="4" s="1"/>
  <c r="D89" i="4" s="1"/>
  <c r="G67" i="4"/>
  <c r="E67" i="4" s="1"/>
  <c r="D67" i="4" s="1"/>
  <c r="G70" i="4"/>
  <c r="E70" i="4" s="1"/>
  <c r="D70" i="4" s="1"/>
  <c r="G156" i="1"/>
  <c r="E156" i="1" s="1"/>
  <c r="D156" i="1" s="1"/>
  <c r="K62" i="1"/>
  <c r="H62" i="1"/>
  <c r="H61" i="1"/>
  <c r="K61" i="1"/>
  <c r="H109" i="1"/>
  <c r="K109" i="1"/>
  <c r="K134" i="1"/>
  <c r="H134" i="1"/>
  <c r="K143" i="1"/>
  <c r="H143" i="1"/>
  <c r="H93" i="1"/>
  <c r="K93" i="1"/>
  <c r="K23" i="1"/>
  <c r="H23" i="1"/>
  <c r="K71" i="1"/>
  <c r="H71" i="1"/>
  <c r="H35" i="1"/>
  <c r="K35" i="1"/>
  <c r="H168" i="1"/>
  <c r="K168" i="1"/>
  <c r="K159" i="1"/>
  <c r="H159" i="1"/>
  <c r="H66" i="1"/>
  <c r="K66" i="1"/>
  <c r="H11" i="1"/>
  <c r="K11" i="1"/>
  <c r="H106" i="1"/>
  <c r="K106" i="1"/>
  <c r="H50" i="1"/>
  <c r="K50" i="1"/>
  <c r="K30" i="1"/>
  <c r="H30" i="1"/>
  <c r="H171" i="1"/>
  <c r="K171" i="1"/>
  <c r="H73" i="1"/>
  <c r="K73" i="1"/>
  <c r="H83" i="1"/>
  <c r="K83" i="1"/>
  <c r="K111" i="1"/>
  <c r="H111" i="1"/>
  <c r="K127" i="1"/>
  <c r="H127" i="1"/>
  <c r="H51" i="1"/>
  <c r="K51" i="1"/>
  <c r="H29" i="1"/>
  <c r="K29" i="1"/>
  <c r="K63" i="1"/>
  <c r="H63" i="1"/>
  <c r="K54" i="1"/>
  <c r="H54" i="1"/>
  <c r="K87" i="1"/>
  <c r="H87" i="1"/>
  <c r="H147" i="1"/>
  <c r="K147" i="1"/>
  <c r="K79" i="1"/>
  <c r="H79" i="1"/>
  <c r="K166" i="1"/>
  <c r="H166" i="1"/>
  <c r="H155" i="1"/>
  <c r="K155" i="1"/>
  <c r="H37" i="1"/>
  <c r="K37" i="1"/>
  <c r="H27" i="1"/>
  <c r="K27" i="1"/>
  <c r="H141" i="1"/>
  <c r="K141" i="1"/>
  <c r="H65" i="1"/>
  <c r="K65" i="1"/>
  <c r="K14" i="1"/>
  <c r="H14" i="1"/>
  <c r="H49" i="1"/>
  <c r="K49" i="1"/>
  <c r="K151" i="1"/>
  <c r="H151" i="1"/>
  <c r="H115" i="1"/>
  <c r="K115" i="1"/>
  <c r="H146" i="1"/>
  <c r="K146" i="1"/>
  <c r="K38" i="1"/>
  <c r="H38" i="1"/>
  <c r="H17" i="1"/>
  <c r="K17" i="1"/>
  <c r="H154" i="1"/>
  <c r="K154" i="1"/>
  <c r="H123" i="1"/>
  <c r="K123" i="1"/>
  <c r="H10" i="1"/>
  <c r="K10" i="1"/>
  <c r="H114" i="1"/>
  <c r="K114" i="1"/>
  <c r="H68" i="1"/>
  <c r="K68" i="1"/>
  <c r="K150" i="1"/>
  <c r="H150" i="1"/>
  <c r="H40" i="1"/>
  <c r="K40" i="1"/>
  <c r="H25" i="1"/>
  <c r="K25" i="1"/>
  <c r="H97" i="1"/>
  <c r="K97" i="1"/>
  <c r="H149" i="1"/>
  <c r="K149" i="1"/>
  <c r="H56" i="1"/>
  <c r="K56" i="1"/>
  <c r="H148" i="1"/>
  <c r="K148" i="1"/>
  <c r="H81" i="1"/>
  <c r="K81" i="1"/>
  <c r="K70" i="1"/>
  <c r="H70" i="1"/>
  <c r="H24" i="1"/>
  <c r="K24" i="1"/>
  <c r="H76" i="1"/>
  <c r="K76" i="1"/>
  <c r="H12" i="1"/>
  <c r="K12" i="1"/>
  <c r="H91" i="1"/>
  <c r="K91" i="1"/>
  <c r="H137" i="1"/>
  <c r="K137" i="1"/>
  <c r="K142" i="1"/>
  <c r="H142" i="1"/>
  <c r="H67" i="1"/>
  <c r="K67" i="1"/>
  <c r="K15" i="1"/>
  <c r="H15" i="1"/>
  <c r="H99" i="1"/>
  <c r="K99" i="1"/>
  <c r="H129" i="1"/>
  <c r="K129" i="1"/>
  <c r="K39" i="1"/>
  <c r="H39" i="1"/>
  <c r="H53" i="1"/>
  <c r="K53" i="1"/>
  <c r="K167" i="1"/>
  <c r="H167" i="1"/>
  <c r="H107" i="1"/>
  <c r="K107" i="1"/>
  <c r="H43" i="1"/>
  <c r="K43" i="1"/>
  <c r="K102" i="1"/>
  <c r="H102" i="1"/>
  <c r="H59" i="1"/>
  <c r="K59" i="1"/>
  <c r="K126" i="1"/>
  <c r="H126" i="1"/>
  <c r="H165" i="1"/>
  <c r="K165" i="1"/>
  <c r="H82" i="1"/>
  <c r="K82" i="1"/>
  <c r="H18" i="1"/>
  <c r="K18" i="1"/>
  <c r="H105" i="1"/>
  <c r="K105" i="1"/>
  <c r="K110" i="1"/>
  <c r="H110" i="1"/>
  <c r="H160" i="1"/>
  <c r="K160" i="1"/>
  <c r="H89" i="1"/>
  <c r="K89" i="1"/>
  <c r="H96" i="1"/>
  <c r="K96" i="1"/>
  <c r="K86" i="1"/>
  <c r="H86" i="1"/>
  <c r="H36" i="1"/>
  <c r="K36" i="1"/>
  <c r="H13" i="1"/>
  <c r="K13" i="1"/>
  <c r="H162" i="1"/>
  <c r="K162" i="1"/>
  <c r="H52" i="1"/>
  <c r="K52" i="1"/>
  <c r="H164" i="1"/>
  <c r="K164" i="1"/>
  <c r="H113" i="1"/>
  <c r="K113" i="1"/>
  <c r="H132" i="1"/>
  <c r="K132" i="1"/>
  <c r="H34" i="1"/>
  <c r="K34" i="1"/>
  <c r="H69" i="1"/>
  <c r="K69" i="1"/>
  <c r="H133" i="1"/>
  <c r="K133" i="1"/>
  <c r="H60" i="1"/>
  <c r="K60" i="1"/>
  <c r="H116" i="1"/>
  <c r="K116" i="1"/>
  <c r="H144" i="1"/>
  <c r="K144" i="1"/>
  <c r="H28" i="1"/>
  <c r="K28" i="1"/>
  <c r="H44" i="1"/>
  <c r="K44" i="1"/>
  <c r="H108" i="1"/>
  <c r="K108" i="1"/>
  <c r="K47" i="1"/>
  <c r="H47" i="1"/>
  <c r="H117" i="1"/>
  <c r="K117" i="1"/>
  <c r="H74" i="1"/>
  <c r="K74" i="1"/>
  <c r="K135" i="1"/>
  <c r="H135" i="1"/>
  <c r="K119" i="1"/>
  <c r="H119" i="1"/>
  <c r="H121" i="1"/>
  <c r="K121" i="1"/>
  <c r="H57" i="1"/>
  <c r="K57" i="1"/>
  <c r="K158" i="1"/>
  <c r="H158" i="1"/>
  <c r="K94" i="1"/>
  <c r="H94" i="1"/>
  <c r="H138" i="1"/>
  <c r="K138" i="1"/>
  <c r="H100" i="1"/>
  <c r="K100" i="1"/>
  <c r="H128" i="1"/>
  <c r="K128" i="1"/>
  <c r="H48" i="1"/>
  <c r="K48" i="1"/>
  <c r="H153" i="1"/>
  <c r="K153" i="1"/>
  <c r="H120" i="1"/>
  <c r="K120" i="1"/>
  <c r="K103" i="1"/>
  <c r="H103" i="1"/>
  <c r="H84" i="1"/>
  <c r="K84" i="1"/>
  <c r="H20" i="1"/>
  <c r="K20" i="1"/>
  <c r="H112" i="1"/>
  <c r="K112" i="1"/>
  <c r="H41" i="1"/>
  <c r="K41" i="1"/>
  <c r="H64" i="1"/>
  <c r="K64" i="1"/>
  <c r="H72" i="1"/>
  <c r="K72" i="1"/>
  <c r="H77" i="1"/>
  <c r="K77" i="1"/>
  <c r="K118" i="1"/>
  <c r="H118" i="1"/>
  <c r="H125" i="1"/>
  <c r="K125" i="1"/>
  <c r="H16" i="1"/>
  <c r="K16" i="1"/>
  <c r="H139" i="1"/>
  <c r="K139" i="1"/>
  <c r="K31" i="1"/>
  <c r="H31" i="1"/>
  <c r="H157" i="1"/>
  <c r="K157" i="1"/>
  <c r="K55" i="1"/>
  <c r="H55" i="1"/>
  <c r="H19" i="1"/>
  <c r="K19" i="1"/>
  <c r="K46" i="1"/>
  <c r="H46" i="1"/>
  <c r="K95" i="1"/>
  <c r="H95" i="1"/>
  <c r="H122" i="1"/>
  <c r="K122" i="1"/>
  <c r="K22" i="1"/>
  <c r="H22" i="1"/>
  <c r="H75" i="1"/>
  <c r="K75" i="1"/>
  <c r="H161" i="1"/>
  <c r="K161" i="1"/>
  <c r="H42" i="1"/>
  <c r="K42" i="1"/>
  <c r="H101" i="1"/>
  <c r="K101" i="1"/>
  <c r="K78" i="1"/>
  <c r="H78" i="1"/>
  <c r="H163" i="1"/>
  <c r="K163" i="1"/>
  <c r="H152" i="1"/>
  <c r="K152" i="1"/>
  <c r="H130" i="1"/>
  <c r="K130" i="1"/>
  <c r="H33" i="1"/>
  <c r="K33" i="1"/>
  <c r="H169" i="1"/>
  <c r="K169" i="1"/>
  <c r="H98" i="1"/>
  <c r="K98" i="1"/>
  <c r="H58" i="1"/>
  <c r="K58" i="1"/>
  <c r="H145" i="1"/>
  <c r="K145" i="1"/>
  <c r="H140" i="1"/>
  <c r="K140" i="1"/>
  <c r="H131" i="1"/>
  <c r="K131" i="1"/>
  <c r="H90" i="1"/>
  <c r="K90" i="1"/>
  <c r="H170" i="1"/>
  <c r="K170" i="1"/>
  <c r="H85" i="1"/>
  <c r="K85" i="1"/>
  <c r="H21" i="1"/>
  <c r="K21" i="1"/>
  <c r="H26" i="1"/>
  <c r="K26" i="1"/>
  <c r="H124" i="1"/>
  <c r="K124" i="1"/>
  <c r="H92" i="1"/>
  <c r="K92" i="1"/>
  <c r="H88" i="1"/>
  <c r="K88" i="1"/>
  <c r="H45" i="1"/>
  <c r="K45" i="1"/>
  <c r="H80" i="1"/>
  <c r="K80" i="1"/>
  <c r="H104" i="1"/>
  <c r="K104" i="1"/>
  <c r="H32" i="1"/>
  <c r="K32" i="1"/>
  <c r="H136" i="1"/>
  <c r="K136" i="1"/>
  <c r="S171" i="1"/>
  <c r="S165" i="1"/>
  <c r="S162" i="1"/>
  <c r="S164" i="1"/>
  <c r="S168" i="1"/>
  <c r="S158" i="1"/>
  <c r="S161" i="1"/>
  <c r="S163" i="1"/>
  <c r="S169" i="1"/>
  <c r="S170" i="1"/>
  <c r="S167" i="1"/>
  <c r="S160" i="1"/>
  <c r="S159" i="1"/>
  <c r="S166" i="1"/>
  <c r="J13" i="1"/>
  <c r="J164" i="1"/>
  <c r="J60" i="1"/>
  <c r="J144" i="1"/>
  <c r="J44" i="1"/>
  <c r="J109" i="1"/>
  <c r="J159" i="1"/>
  <c r="J57" i="1"/>
  <c r="J158" i="1"/>
  <c r="J94" i="1"/>
  <c r="J138" i="1"/>
  <c r="J128" i="1"/>
  <c r="J48" i="1"/>
  <c r="J153" i="1"/>
  <c r="J120" i="1"/>
  <c r="J103" i="1"/>
  <c r="J84" i="1"/>
  <c r="J20" i="1"/>
  <c r="J41" i="1"/>
  <c r="J64" i="1"/>
  <c r="J77" i="1"/>
  <c r="J125" i="1"/>
  <c r="J31" i="1"/>
  <c r="J157" i="1"/>
  <c r="J22" i="1"/>
  <c r="J161" i="1"/>
  <c r="J78" i="1"/>
  <c r="J163" i="1"/>
  <c r="J140" i="1"/>
  <c r="J131" i="1"/>
  <c r="J90" i="1"/>
  <c r="J170" i="1"/>
  <c r="J85" i="1"/>
  <c r="J21" i="1"/>
  <c r="J26" i="1"/>
  <c r="J124" i="1"/>
  <c r="J92" i="1"/>
  <c r="J88" i="1"/>
  <c r="J80" i="1"/>
  <c r="J104" i="1"/>
  <c r="J32" i="1"/>
  <c r="J136" i="1"/>
  <c r="J129" i="1"/>
  <c r="J53" i="1"/>
  <c r="J167" i="1"/>
  <c r="J126" i="1"/>
  <c r="J165" i="1"/>
  <c r="J110" i="1"/>
  <c r="J160" i="1"/>
  <c r="J36" i="1"/>
  <c r="J162" i="1"/>
  <c r="J52" i="1"/>
  <c r="J113" i="1"/>
  <c r="J132" i="1"/>
  <c r="J34" i="1"/>
  <c r="J133" i="1"/>
  <c r="J116" i="1"/>
  <c r="J28" i="1"/>
  <c r="J108" i="1"/>
  <c r="J30" i="1"/>
  <c r="J171" i="1"/>
  <c r="J127" i="1"/>
  <c r="J29" i="1"/>
  <c r="J79" i="1"/>
  <c r="J141" i="1"/>
  <c r="J123" i="1"/>
  <c r="J10" i="1"/>
  <c r="J114" i="1"/>
  <c r="J68" i="1"/>
  <c r="J40" i="1"/>
  <c r="J25" i="1"/>
  <c r="J56" i="1"/>
  <c r="J148" i="1"/>
  <c r="J81" i="1"/>
  <c r="J24" i="1"/>
  <c r="J76" i="1"/>
  <c r="J12" i="1"/>
  <c r="J72" i="1"/>
  <c r="J112" i="1"/>
  <c r="J70" i="1"/>
  <c r="J45" i="1"/>
  <c r="J97" i="1"/>
  <c r="J69" i="1"/>
  <c r="J149" i="1"/>
  <c r="J100" i="1"/>
  <c r="J150" i="1"/>
  <c r="J145" i="1"/>
  <c r="J134" i="1"/>
  <c r="J168" i="1"/>
  <c r="J106" i="1"/>
  <c r="J74" i="1"/>
  <c r="J63" i="1"/>
  <c r="J155" i="1"/>
  <c r="J115" i="1"/>
  <c r="J75" i="1"/>
  <c r="J47" i="1"/>
  <c r="J93" i="1"/>
  <c r="J119" i="1"/>
  <c r="J137" i="1"/>
  <c r="J99" i="1"/>
  <c r="J59" i="1"/>
  <c r="J18" i="1"/>
  <c r="J89" i="1"/>
  <c r="J51" i="1"/>
  <c r="J87" i="1"/>
  <c r="J65" i="1"/>
  <c r="J118" i="1"/>
  <c r="J46" i="1"/>
  <c r="J152" i="1"/>
  <c r="J121" i="1"/>
  <c r="J143" i="1"/>
  <c r="J35" i="1"/>
  <c r="J11" i="1"/>
  <c r="J86" i="1"/>
  <c r="J91" i="1"/>
  <c r="J15" i="1"/>
  <c r="J105" i="1"/>
  <c r="J96" i="1"/>
  <c r="J166" i="1"/>
  <c r="J146" i="1"/>
  <c r="J61" i="1"/>
  <c r="J71" i="1"/>
  <c r="J66" i="1"/>
  <c r="J73" i="1"/>
  <c r="J67" i="1"/>
  <c r="J39" i="1"/>
  <c r="J43" i="1"/>
  <c r="J111" i="1"/>
  <c r="J27" i="1"/>
  <c r="J49" i="1"/>
  <c r="J38" i="1"/>
  <c r="J58" i="1"/>
  <c r="J16" i="1"/>
  <c r="J55" i="1"/>
  <c r="J122" i="1"/>
  <c r="J42" i="1"/>
  <c r="J33" i="1"/>
  <c r="J62" i="1"/>
  <c r="J23" i="1"/>
  <c r="J50" i="1"/>
  <c r="J117" i="1"/>
  <c r="J135" i="1"/>
  <c r="J142" i="1"/>
  <c r="J107" i="1"/>
  <c r="J102" i="1"/>
  <c r="J82" i="1"/>
  <c r="J154" i="1"/>
  <c r="J83" i="1"/>
  <c r="J54" i="1"/>
  <c r="J147" i="1"/>
  <c r="J37" i="1"/>
  <c r="J14" i="1"/>
  <c r="J151" i="1"/>
  <c r="J17" i="1"/>
  <c r="J98" i="1"/>
  <c r="J139" i="1"/>
  <c r="J19" i="1"/>
  <c r="J95" i="1"/>
  <c r="J101" i="1"/>
  <c r="J130" i="1"/>
  <c r="J169" i="1"/>
  <c r="G15" i="1" l="1"/>
  <c r="G54" i="1"/>
  <c r="G78" i="1"/>
  <c r="G46" i="1"/>
  <c r="E46" i="1" s="1"/>
  <c r="D46" i="1" s="1"/>
  <c r="G55" i="1"/>
  <c r="G47" i="1"/>
  <c r="G31" i="1"/>
  <c r="G22" i="1"/>
  <c r="E22" i="1" s="1"/>
  <c r="D22" i="1" s="1"/>
  <c r="G95" i="1"/>
  <c r="E95" i="1" s="1"/>
  <c r="D95" i="1" s="1"/>
  <c r="G94" i="1"/>
  <c r="E94" i="1" s="1"/>
  <c r="D94" i="1" s="1"/>
  <c r="G119" i="1"/>
  <c r="E119" i="1" s="1"/>
  <c r="D119" i="1" s="1"/>
  <c r="G126" i="1"/>
  <c r="E126" i="1" s="1"/>
  <c r="D126" i="1" s="1"/>
  <c r="G102" i="1"/>
  <c r="E102" i="1" s="1"/>
  <c r="D102" i="1" s="1"/>
  <c r="G142" i="1"/>
  <c r="E142" i="1" s="1"/>
  <c r="D142" i="1" s="1"/>
  <c r="G70" i="1"/>
  <c r="E70" i="1" s="1"/>
  <c r="D70" i="1" s="1"/>
  <c r="G150" i="1"/>
  <c r="E150" i="1" s="1"/>
  <c r="D150" i="1" s="1"/>
  <c r="G151" i="1"/>
  <c r="E151" i="1" s="1"/>
  <c r="D151" i="1" s="1"/>
  <c r="G14" i="1"/>
  <c r="E14" i="1" s="1"/>
  <c r="D14" i="1" s="1"/>
  <c r="G166" i="1"/>
  <c r="E166" i="1" s="1"/>
  <c r="D166" i="1" s="1"/>
  <c r="G127" i="1"/>
  <c r="E127" i="1" s="1"/>
  <c r="D127" i="1" s="1"/>
  <c r="G159" i="1"/>
  <c r="E159" i="1" s="1"/>
  <c r="D159" i="1" s="1"/>
  <c r="G23" i="1"/>
  <c r="E23" i="1" s="1"/>
  <c r="D23" i="1" s="1"/>
  <c r="G143" i="1"/>
  <c r="E143" i="1" s="1"/>
  <c r="D143" i="1" s="1"/>
  <c r="G62" i="1"/>
  <c r="E62" i="1" s="1"/>
  <c r="D62" i="1" s="1"/>
  <c r="G136" i="1"/>
  <c r="E136" i="1" s="1"/>
  <c r="D136" i="1" s="1"/>
  <c r="G104" i="1"/>
  <c r="E104" i="1" s="1"/>
  <c r="D104" i="1" s="1"/>
  <c r="G45" i="1"/>
  <c r="E45" i="1" s="1"/>
  <c r="D45" i="1" s="1"/>
  <c r="G92" i="1"/>
  <c r="E92" i="1" s="1"/>
  <c r="D92" i="1" s="1"/>
  <c r="G26" i="1"/>
  <c r="E26" i="1" s="1"/>
  <c r="D26" i="1" s="1"/>
  <c r="G85" i="1"/>
  <c r="E85" i="1" s="1"/>
  <c r="D85" i="1" s="1"/>
  <c r="G90" i="1"/>
  <c r="E90" i="1" s="1"/>
  <c r="D90" i="1" s="1"/>
  <c r="G140" i="1"/>
  <c r="E140" i="1" s="1"/>
  <c r="D140" i="1" s="1"/>
  <c r="G58" i="1"/>
  <c r="E58" i="1" s="1"/>
  <c r="D58" i="1" s="1"/>
  <c r="G169" i="1"/>
  <c r="E169" i="1" s="1"/>
  <c r="D169" i="1" s="1"/>
  <c r="G130" i="1"/>
  <c r="E130" i="1" s="1"/>
  <c r="D130" i="1" s="1"/>
  <c r="G163" i="1"/>
  <c r="E163" i="1" s="1"/>
  <c r="D163" i="1" s="1"/>
  <c r="G101" i="1"/>
  <c r="E101" i="1" s="1"/>
  <c r="D101" i="1" s="1"/>
  <c r="G161" i="1"/>
  <c r="E161" i="1" s="1"/>
  <c r="D161" i="1" s="1"/>
  <c r="G19" i="1"/>
  <c r="E19" i="1" s="1"/>
  <c r="D19" i="1" s="1"/>
  <c r="G157" i="1"/>
  <c r="E157" i="1" s="1"/>
  <c r="D157" i="1" s="1"/>
  <c r="G139" i="1"/>
  <c r="E139" i="1" s="1"/>
  <c r="D139" i="1" s="1"/>
  <c r="G125" i="1"/>
  <c r="E125" i="1" s="1"/>
  <c r="D125" i="1" s="1"/>
  <c r="G77" i="1"/>
  <c r="E77" i="1" s="1"/>
  <c r="D77" i="1" s="1"/>
  <c r="G64" i="1"/>
  <c r="E64" i="1" s="1"/>
  <c r="D64" i="1" s="1"/>
  <c r="G112" i="1"/>
  <c r="E112" i="1" s="1"/>
  <c r="D112" i="1" s="1"/>
  <c r="G84" i="1"/>
  <c r="E84" i="1" s="1"/>
  <c r="D84" i="1" s="1"/>
  <c r="G120" i="1"/>
  <c r="E120" i="1" s="1"/>
  <c r="D120" i="1" s="1"/>
  <c r="G48" i="1"/>
  <c r="E48" i="1" s="1"/>
  <c r="D48" i="1" s="1"/>
  <c r="G100" i="1"/>
  <c r="E100" i="1" s="1"/>
  <c r="D100" i="1" s="1"/>
  <c r="G57" i="1"/>
  <c r="E57" i="1" s="1"/>
  <c r="D57" i="1" s="1"/>
  <c r="G74" i="1"/>
  <c r="E74" i="1" s="1"/>
  <c r="D74" i="1" s="1"/>
  <c r="G44" i="1"/>
  <c r="E44" i="1" s="1"/>
  <c r="D44" i="1" s="1"/>
  <c r="G144" i="1"/>
  <c r="E144" i="1" s="1"/>
  <c r="D144" i="1" s="1"/>
  <c r="G60" i="1"/>
  <c r="E60" i="1" s="1"/>
  <c r="D60" i="1" s="1"/>
  <c r="G69" i="1"/>
  <c r="E69" i="1" s="1"/>
  <c r="D69" i="1" s="1"/>
  <c r="G132" i="1"/>
  <c r="E132" i="1" s="1"/>
  <c r="D132" i="1" s="1"/>
  <c r="G164" i="1"/>
  <c r="E164" i="1" s="1"/>
  <c r="D164" i="1" s="1"/>
  <c r="G162" i="1"/>
  <c r="E162" i="1" s="1"/>
  <c r="D162" i="1" s="1"/>
  <c r="G36" i="1"/>
  <c r="E36" i="1" s="1"/>
  <c r="D36" i="1" s="1"/>
  <c r="G96" i="1"/>
  <c r="E96" i="1" s="1"/>
  <c r="D96" i="1" s="1"/>
  <c r="G160" i="1"/>
  <c r="E160" i="1" s="1"/>
  <c r="D160" i="1" s="1"/>
  <c r="G105" i="1"/>
  <c r="E105" i="1" s="1"/>
  <c r="D105" i="1" s="1"/>
  <c r="G82" i="1"/>
  <c r="E82" i="1" s="1"/>
  <c r="D82" i="1" s="1"/>
  <c r="G107" i="1"/>
  <c r="E107" i="1" s="1"/>
  <c r="D107" i="1" s="1"/>
  <c r="G53" i="1"/>
  <c r="E53" i="1" s="1"/>
  <c r="D53" i="1" s="1"/>
  <c r="G129" i="1"/>
  <c r="E129" i="1" s="1"/>
  <c r="D129" i="1" s="1"/>
  <c r="G91" i="1"/>
  <c r="E91" i="1" s="1"/>
  <c r="D91" i="1" s="1"/>
  <c r="G76" i="1"/>
  <c r="E76" i="1" s="1"/>
  <c r="D76" i="1" s="1"/>
  <c r="G148" i="1"/>
  <c r="E148" i="1" s="1"/>
  <c r="D148" i="1" s="1"/>
  <c r="G149" i="1"/>
  <c r="E149" i="1" s="1"/>
  <c r="D149" i="1" s="1"/>
  <c r="G25" i="1"/>
  <c r="E25" i="1" s="1"/>
  <c r="D25" i="1" s="1"/>
  <c r="G114" i="1"/>
  <c r="E114" i="1" s="1"/>
  <c r="D114" i="1" s="1"/>
  <c r="G123" i="1"/>
  <c r="E123" i="1" s="1"/>
  <c r="D123" i="1" s="1"/>
  <c r="G17" i="1"/>
  <c r="E17" i="1" s="1"/>
  <c r="D17" i="1" s="1"/>
  <c r="G146" i="1"/>
  <c r="E146" i="1" s="1"/>
  <c r="D146" i="1" s="1"/>
  <c r="G141" i="1"/>
  <c r="E141" i="1" s="1"/>
  <c r="D141" i="1" s="1"/>
  <c r="G37" i="1"/>
  <c r="E37" i="1" s="1"/>
  <c r="D37" i="1" s="1"/>
  <c r="G147" i="1"/>
  <c r="E147" i="1" s="1"/>
  <c r="D147" i="1" s="1"/>
  <c r="G29" i="1"/>
  <c r="E29" i="1" s="1"/>
  <c r="D29" i="1" s="1"/>
  <c r="G83" i="1"/>
  <c r="E83" i="1" s="1"/>
  <c r="D83" i="1" s="1"/>
  <c r="G171" i="1"/>
  <c r="E171" i="1" s="1"/>
  <c r="D171" i="1" s="1"/>
  <c r="G50" i="1"/>
  <c r="E50" i="1" s="1"/>
  <c r="D50" i="1" s="1"/>
  <c r="G11" i="1"/>
  <c r="E11" i="1" s="1"/>
  <c r="D11" i="1" s="1"/>
  <c r="G35" i="1"/>
  <c r="E35" i="1" s="1"/>
  <c r="D35" i="1" s="1"/>
  <c r="G109" i="1"/>
  <c r="E109" i="1" s="1"/>
  <c r="D109" i="1" s="1"/>
  <c r="G103" i="1"/>
  <c r="E103" i="1" s="1"/>
  <c r="D103" i="1" s="1"/>
  <c r="G158" i="1"/>
  <c r="E158" i="1" s="1"/>
  <c r="D158" i="1" s="1"/>
  <c r="G135" i="1"/>
  <c r="E135" i="1" s="1"/>
  <c r="D135" i="1" s="1"/>
  <c r="G86" i="1"/>
  <c r="E86" i="1" s="1"/>
  <c r="D86" i="1" s="1"/>
  <c r="G110" i="1"/>
  <c r="E110" i="1" s="1"/>
  <c r="D110" i="1" s="1"/>
  <c r="G167" i="1"/>
  <c r="E167" i="1" s="1"/>
  <c r="D167" i="1" s="1"/>
  <c r="G39" i="1"/>
  <c r="E39" i="1" s="1"/>
  <c r="D39" i="1" s="1"/>
  <c r="G38" i="1"/>
  <c r="E38" i="1" s="1"/>
  <c r="D38" i="1" s="1"/>
  <c r="G79" i="1"/>
  <c r="E79" i="1" s="1"/>
  <c r="D79" i="1" s="1"/>
  <c r="G87" i="1"/>
  <c r="E87" i="1" s="1"/>
  <c r="D87" i="1" s="1"/>
  <c r="G63" i="1"/>
  <c r="E63" i="1" s="1"/>
  <c r="D63" i="1" s="1"/>
  <c r="G111" i="1"/>
  <c r="E111" i="1" s="1"/>
  <c r="D111" i="1" s="1"/>
  <c r="G30" i="1"/>
  <c r="E30" i="1" s="1"/>
  <c r="D30" i="1" s="1"/>
  <c r="G71" i="1"/>
  <c r="E71" i="1" s="1"/>
  <c r="D71" i="1" s="1"/>
  <c r="G134" i="1"/>
  <c r="E134" i="1" s="1"/>
  <c r="D134" i="1" s="1"/>
  <c r="G32" i="1"/>
  <c r="E32" i="1" s="1"/>
  <c r="D32" i="1" s="1"/>
  <c r="G80" i="1"/>
  <c r="E80" i="1" s="1"/>
  <c r="D80" i="1" s="1"/>
  <c r="G88" i="1"/>
  <c r="E88" i="1" s="1"/>
  <c r="D88" i="1" s="1"/>
  <c r="G124" i="1"/>
  <c r="E124" i="1" s="1"/>
  <c r="D124" i="1" s="1"/>
  <c r="G21" i="1"/>
  <c r="E21" i="1" s="1"/>
  <c r="D21" i="1" s="1"/>
  <c r="G170" i="1"/>
  <c r="E170" i="1" s="1"/>
  <c r="D170" i="1" s="1"/>
  <c r="G131" i="1"/>
  <c r="E131" i="1" s="1"/>
  <c r="D131" i="1" s="1"/>
  <c r="G145" i="1"/>
  <c r="E145" i="1" s="1"/>
  <c r="D145" i="1" s="1"/>
  <c r="G98" i="1"/>
  <c r="E98" i="1" s="1"/>
  <c r="D98" i="1" s="1"/>
  <c r="G33" i="1"/>
  <c r="E33" i="1" s="1"/>
  <c r="D33" i="1" s="1"/>
  <c r="G152" i="1"/>
  <c r="E152" i="1" s="1"/>
  <c r="D152" i="1" s="1"/>
  <c r="G42" i="1"/>
  <c r="E42" i="1" s="1"/>
  <c r="D42" i="1" s="1"/>
  <c r="G75" i="1"/>
  <c r="E75" i="1" s="1"/>
  <c r="D75" i="1" s="1"/>
  <c r="G122" i="1"/>
  <c r="E122" i="1" s="1"/>
  <c r="D122" i="1" s="1"/>
  <c r="G16" i="1"/>
  <c r="E16" i="1" s="1"/>
  <c r="D16" i="1" s="1"/>
  <c r="G72" i="1"/>
  <c r="E72" i="1" s="1"/>
  <c r="D72" i="1" s="1"/>
  <c r="G41" i="1"/>
  <c r="E41" i="1" s="1"/>
  <c r="D41" i="1" s="1"/>
  <c r="G20" i="1"/>
  <c r="E20" i="1" s="1"/>
  <c r="D20" i="1" s="1"/>
  <c r="G153" i="1"/>
  <c r="E153" i="1" s="1"/>
  <c r="D153" i="1" s="1"/>
  <c r="G128" i="1"/>
  <c r="E128" i="1" s="1"/>
  <c r="D128" i="1" s="1"/>
  <c r="G138" i="1"/>
  <c r="E138" i="1" s="1"/>
  <c r="D138" i="1" s="1"/>
  <c r="G121" i="1"/>
  <c r="E121" i="1" s="1"/>
  <c r="D121" i="1" s="1"/>
  <c r="G117" i="1"/>
  <c r="E117" i="1" s="1"/>
  <c r="D117" i="1" s="1"/>
  <c r="G108" i="1"/>
  <c r="E108" i="1" s="1"/>
  <c r="D108" i="1" s="1"/>
  <c r="G28" i="1"/>
  <c r="E28" i="1" s="1"/>
  <c r="D28" i="1" s="1"/>
  <c r="G116" i="1"/>
  <c r="E116" i="1" s="1"/>
  <c r="D116" i="1" s="1"/>
  <c r="G133" i="1"/>
  <c r="E133" i="1" s="1"/>
  <c r="D133" i="1" s="1"/>
  <c r="G34" i="1"/>
  <c r="E34" i="1" s="1"/>
  <c r="D34" i="1" s="1"/>
  <c r="G113" i="1"/>
  <c r="E113" i="1" s="1"/>
  <c r="D113" i="1" s="1"/>
  <c r="G52" i="1"/>
  <c r="E52" i="1" s="1"/>
  <c r="D52" i="1" s="1"/>
  <c r="G13" i="1"/>
  <c r="E13" i="1" s="1"/>
  <c r="D13" i="1" s="1"/>
  <c r="G89" i="1"/>
  <c r="E89" i="1" s="1"/>
  <c r="D89" i="1" s="1"/>
  <c r="G18" i="1"/>
  <c r="E18" i="1" s="1"/>
  <c r="D18" i="1" s="1"/>
  <c r="G165" i="1"/>
  <c r="E165" i="1" s="1"/>
  <c r="D165" i="1" s="1"/>
  <c r="G59" i="1"/>
  <c r="E59" i="1" s="1"/>
  <c r="D59" i="1" s="1"/>
  <c r="G43" i="1"/>
  <c r="E43" i="1" s="1"/>
  <c r="D43" i="1" s="1"/>
  <c r="G99" i="1"/>
  <c r="E99" i="1" s="1"/>
  <c r="D99" i="1" s="1"/>
  <c r="G67" i="1"/>
  <c r="E67" i="1" s="1"/>
  <c r="D67" i="1" s="1"/>
  <c r="G137" i="1"/>
  <c r="E137" i="1" s="1"/>
  <c r="D137" i="1" s="1"/>
  <c r="G12" i="1"/>
  <c r="E12" i="1" s="1"/>
  <c r="D12" i="1" s="1"/>
  <c r="G24" i="1"/>
  <c r="E24" i="1" s="1"/>
  <c r="D24" i="1" s="1"/>
  <c r="G81" i="1"/>
  <c r="E81" i="1" s="1"/>
  <c r="D81" i="1" s="1"/>
  <c r="G56" i="1"/>
  <c r="E56" i="1" s="1"/>
  <c r="D56" i="1" s="1"/>
  <c r="G97" i="1"/>
  <c r="E97" i="1" s="1"/>
  <c r="D97" i="1" s="1"/>
  <c r="G40" i="1"/>
  <c r="E40" i="1" s="1"/>
  <c r="D40" i="1" s="1"/>
  <c r="G68" i="1"/>
  <c r="E68" i="1" s="1"/>
  <c r="D68" i="1" s="1"/>
  <c r="G10" i="1"/>
  <c r="E10" i="1" s="1"/>
  <c r="D10" i="1" s="1"/>
  <c r="G154" i="1"/>
  <c r="E154" i="1" s="1"/>
  <c r="D154" i="1" s="1"/>
  <c r="G115" i="1"/>
  <c r="E115" i="1" s="1"/>
  <c r="D115" i="1" s="1"/>
  <c r="G49" i="1"/>
  <c r="E49" i="1" s="1"/>
  <c r="D49" i="1" s="1"/>
  <c r="G65" i="1"/>
  <c r="E65" i="1" s="1"/>
  <c r="D65" i="1" s="1"/>
  <c r="G27" i="1"/>
  <c r="E27" i="1" s="1"/>
  <c r="D27" i="1" s="1"/>
  <c r="G155" i="1"/>
  <c r="E155" i="1" s="1"/>
  <c r="D155" i="1" s="1"/>
  <c r="G51" i="1"/>
  <c r="G73" i="1"/>
  <c r="E73" i="1" s="1"/>
  <c r="D73" i="1" s="1"/>
  <c r="G106" i="1"/>
  <c r="E106" i="1" s="1"/>
  <c r="D106" i="1" s="1"/>
  <c r="G66" i="1"/>
  <c r="E66" i="1" s="1"/>
  <c r="D66" i="1" s="1"/>
  <c r="G168" i="1"/>
  <c r="E168" i="1" s="1"/>
  <c r="D168" i="1" s="1"/>
  <c r="G93" i="1"/>
  <c r="E93" i="1" s="1"/>
  <c r="D93" i="1" s="1"/>
  <c r="G61" i="1"/>
  <c r="E61" i="1" s="1"/>
  <c r="D61" i="1" s="1"/>
  <c r="E78" i="1"/>
  <c r="D78" i="1" s="1"/>
  <c r="E55" i="1"/>
  <c r="D55" i="1" s="1"/>
  <c r="E31" i="1"/>
  <c r="D31" i="1" s="1"/>
  <c r="E118" i="1"/>
  <c r="D118" i="1" s="1"/>
  <c r="E51" i="1"/>
  <c r="D51" i="1" s="1"/>
  <c r="E47" i="1"/>
  <c r="D47" i="1" s="1"/>
  <c r="E15" i="1"/>
  <c r="D15" i="1" s="1"/>
  <c r="E54" i="1"/>
  <c r="D54" i="1" s="1"/>
  <c r="E42" i="6"/>
  <c r="D42" i="6" s="1"/>
  <c r="E34" i="6"/>
  <c r="D34" i="6" s="1"/>
  <c r="E122" i="6"/>
  <c r="D122" i="6" s="1"/>
  <c r="E56" i="6"/>
  <c r="D56" i="6" s="1"/>
  <c r="E78" i="6"/>
  <c r="D78" i="6" s="1"/>
  <c r="E55" i="6"/>
  <c r="D55" i="6" s="1"/>
  <c r="E117" i="6"/>
  <c r="D117" i="6" s="1"/>
  <c r="E138" i="6"/>
  <c r="D138" i="6" s="1"/>
  <c r="E51" i="6"/>
  <c r="D51" i="6" s="1"/>
  <c r="E36" i="6"/>
  <c r="D36" i="6" s="1"/>
  <c r="E41" i="6"/>
  <c r="D41" i="6" s="1"/>
  <c r="E43" i="6"/>
  <c r="D43" i="6" s="1"/>
  <c r="E33" i="6"/>
  <c r="D33" i="6" s="1"/>
  <c r="E124" i="6"/>
  <c r="D124" i="6" s="1"/>
  <c r="E143" i="6"/>
  <c r="D143" i="6" s="1"/>
  <c r="E120" i="6"/>
  <c r="D120" i="6" s="1"/>
  <c r="E31" i="6"/>
  <c r="D31" i="6" s="1"/>
  <c r="E157" i="6"/>
  <c r="D157" i="6" s="1"/>
  <c r="E76" i="6"/>
  <c r="D76" i="6" s="1"/>
  <c r="E50" i="6"/>
  <c r="D50" i="6" s="1"/>
  <c r="E15" i="6"/>
  <c r="D15" i="6" s="1"/>
  <c r="E52" i="6"/>
  <c r="D52" i="6" s="1"/>
  <c r="E40" i="6"/>
  <c r="D40" i="6" s="1"/>
  <c r="E30" i="6"/>
  <c r="D30" i="6" s="1"/>
  <c r="E27" i="6"/>
  <c r="D27" i="6" s="1"/>
  <c r="E25" i="6"/>
  <c r="D25" i="6" s="1"/>
  <c r="E54" i="6"/>
  <c r="D54" i="6" s="1"/>
  <c r="E38" i="6"/>
  <c r="D38" i="6" s="1"/>
  <c r="E144" i="6"/>
  <c r="D144" i="6" s="1"/>
  <c r="E171" i="6"/>
  <c r="D171" i="6" s="1"/>
  <c r="E29" i="6"/>
  <c r="D29" i="6" s="1"/>
  <c r="E45" i="6"/>
  <c r="D45" i="6" s="1"/>
  <c r="E103" i="6"/>
  <c r="D103" i="6" s="1"/>
  <c r="E77" i="6"/>
  <c r="D77" i="6" s="1"/>
  <c r="E48" i="6"/>
  <c r="D48" i="6" s="1"/>
  <c r="E66" i="6"/>
  <c r="D66" i="6" s="1"/>
  <c r="E46" i="6"/>
  <c r="D46" i="6" s="1"/>
  <c r="E19" i="6"/>
  <c r="D19" i="6" s="1"/>
  <c r="E47" i="6"/>
  <c r="D47" i="6" s="1"/>
  <c r="E151" i="6"/>
  <c r="D151" i="6" s="1"/>
  <c r="E44" i="6"/>
  <c r="D44" i="6" s="1"/>
</calcChain>
</file>

<file path=xl/sharedStrings.xml><?xml version="1.0" encoding="utf-8"?>
<sst xmlns="http://schemas.openxmlformats.org/spreadsheetml/2006/main" count="248" uniqueCount="72">
  <si>
    <t>#</t>
  </si>
  <si>
    <t>#----------------------------------------------------</t>
  </si>
  <si>
    <t>#http://www.metoffice.gov.uk/hadobs/hadcrut4/data/download.html</t>
  </si>
  <si>
    <t>#http://www.metoffice.gov.uk/hadobs/hadcrut4/terms_and_conditions.html</t>
  </si>
  <si>
    <t>e</t>
  </si>
  <si>
    <t>#http://www.cru.uea.ac.uk/cru/data/temperature/</t>
  </si>
  <si>
    <t>#http://hadobs.metoffice.com/hadcrut3/terms_and_conditions.html</t>
  </si>
  <si>
    <t>#Data</t>
  </si>
  <si>
    <t>processed</t>
  </si>
  <si>
    <t>by</t>
  </si>
  <si>
    <t>www.woodfortrees.org</t>
  </si>
  <si>
    <t>#Please</t>
  </si>
  <si>
    <t>check</t>
  </si>
  <si>
    <t>original</t>
  </si>
  <si>
    <t>source</t>
  </si>
  <si>
    <t>for</t>
  </si>
  <si>
    <t>first-hand</t>
  </si>
  <si>
    <t>data</t>
  </si>
  <si>
    <t>and</t>
  </si>
  <si>
    <t>information:</t>
  </si>
  <si>
    <t>from</t>
  </si>
  <si>
    <t>Hadley</t>
  </si>
  <si>
    <t>Centre</t>
  </si>
  <si>
    <t>#For</t>
  </si>
  <si>
    <t>terms</t>
  </si>
  <si>
    <t>conditions</t>
  </si>
  <si>
    <t>of</t>
  </si>
  <si>
    <t>use,</t>
  </si>
  <si>
    <t>please</t>
  </si>
  <si>
    <t>see</t>
  </si>
  <si>
    <t>#File:</t>
  </si>
  <si>
    <t>hadcrut4_monthly_ns_avg.txt</t>
  </si>
  <si>
    <t>#Time</t>
  </si>
  <si>
    <t>series</t>
  </si>
  <si>
    <t>(hadcrut4)</t>
  </si>
  <si>
    <t>to</t>
  </si>
  <si>
    <t>#Selected</t>
  </si>
  <si>
    <t>#Averaged</t>
  </si>
  <si>
    <t>compressed</t>
  </si>
  <si>
    <t>in</t>
  </si>
  <si>
    <t>12-sample</t>
  </si>
  <si>
    <t>sections</t>
  </si>
  <si>
    <t>ends</t>
  </si>
  <si>
    <t>#Number</t>
  </si>
  <si>
    <t>samples:</t>
  </si>
  <si>
    <t>#Mean:</t>
  </si>
  <si>
    <t>/</t>
  </si>
  <si>
    <t>UEA</t>
  </si>
  <si>
    <t>CRU</t>
  </si>
  <si>
    <t>HadSST2-gl.dat</t>
  </si>
  <si>
    <t>(hadcrut3)</t>
  </si>
  <si>
    <t>CRUTEM4v-gl.dat</t>
  </si>
  <si>
    <t>G</t>
  </si>
  <si>
    <t xml:space="preserve">O </t>
  </si>
  <si>
    <t>L</t>
  </si>
  <si>
    <t>x</t>
  </si>
  <si>
    <t>y</t>
  </si>
  <si>
    <t>f</t>
  </si>
  <si>
    <t>Absolute error</t>
  </si>
  <si>
    <t>Fractionally Composed (CRUTEM4 + HadSST3)</t>
  </si>
  <si>
    <t>Global (HadCRUT4)</t>
  </si>
  <si>
    <t>f check</t>
  </si>
  <si>
    <t>deriv</t>
  </si>
  <si>
    <t>ERROR</t>
  </si>
  <si>
    <r>
      <t>y = -2.30E-10x</t>
    </r>
    <r>
      <rPr>
        <vertAlign val="superscript"/>
        <sz val="10"/>
        <color rgb="FF000000"/>
        <rFont val="Calibri"/>
        <family val="2"/>
        <scheme val="minor"/>
      </rPr>
      <t>5</t>
    </r>
    <r>
      <rPr>
        <sz val="10"/>
        <color rgb="FF000000"/>
        <rFont val="Calibri"/>
        <family val="2"/>
        <scheme val="minor"/>
      </rPr>
      <t xml:space="preserve"> + 2.23E-06x</t>
    </r>
    <r>
      <rPr>
        <vertAlign val="superscript"/>
        <sz val="10"/>
        <color rgb="FF000000"/>
        <rFont val="Calibri"/>
        <family val="2"/>
        <scheme val="minor"/>
      </rPr>
      <t>4</t>
    </r>
    <r>
      <rPr>
        <sz val="10"/>
        <color rgb="FF000000"/>
        <rFont val="Calibri"/>
        <family val="2"/>
        <scheme val="minor"/>
      </rPr>
      <t xml:space="preserve"> - 8.64E-03x</t>
    </r>
    <r>
      <rPr>
        <vertAlign val="superscript"/>
        <sz val="10"/>
        <color rgb="FF000000"/>
        <rFont val="Calibri"/>
        <family val="2"/>
        <scheme val="minor"/>
      </rPr>
      <t>3</t>
    </r>
    <r>
      <rPr>
        <sz val="10"/>
        <color rgb="FF000000"/>
        <rFont val="Calibri"/>
        <family val="2"/>
        <scheme val="minor"/>
      </rPr>
      <t xml:space="preserve"> + 1.68E+01x</t>
    </r>
    <r>
      <rPr>
        <vertAlign val="superscript"/>
        <sz val="10"/>
        <color rgb="FF000000"/>
        <rFont val="Calibri"/>
        <family val="2"/>
        <scheme val="minor"/>
      </rPr>
      <t>2</t>
    </r>
    <r>
      <rPr>
        <sz val="10"/>
        <color rgb="FF000000"/>
        <rFont val="Calibri"/>
        <family val="2"/>
        <scheme val="minor"/>
      </rPr>
      <t xml:space="preserve"> - 1.62E+04x + 6.30E+06</t>
    </r>
  </si>
  <si>
    <t>R² = 1.57E-01</t>
  </si>
  <si>
    <t>Year</t>
  </si>
  <si>
    <t>temperature</t>
  </si>
  <si>
    <t>Data</t>
  </si>
  <si>
    <t>ECS 3C CO2 model</t>
  </si>
  <si>
    <t xml:space="preserve">Equivalent global temperature anomaly if ocean heat uptake treated as an effective temperature </t>
  </si>
  <si>
    <t>sqr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</si>
</sst>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vertAlign val="superscript"/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0" fillId="7" borderId="0" xfId="0" applyFill="1"/>
    <xf numFmtId="0" fontId="1" fillId="7" borderId="0" xfId="0" applyFont="1" applyFill="1"/>
    <xf numFmtId="0" fontId="3" fillId="0" borderId="0" xfId="0" applyFont="1" applyAlignment="1">
      <alignment horizontal="center" vertical="center" readingOrder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Increased</a:t>
            </a:r>
            <a:r>
              <a:rPr lang="en-US" sz="1400" baseline="0"/>
              <a:t> rate of ocean heat sinking </a:t>
            </a:r>
            <a:endParaRPr lang="en-US" sz="1400"/>
          </a:p>
        </c:rich>
      </c:tx>
      <c:layout>
        <c:manualLayout>
          <c:xMode val="edge"/>
          <c:yMode val="edge"/>
          <c:x val="0.24617300962379701"/>
          <c:y val="3.04831974913553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094451766861077"/>
          <c:y val="0.14003360317702765"/>
          <c:w val="0.81209421395696657"/>
          <c:h val="0.65149125599695257"/>
        </c:manualLayout>
      </c:layout>
      <c:scatterChart>
        <c:scatterStyle val="lineMarker"/>
        <c:varyColors val="0"/>
        <c:ser>
          <c:idx val="0"/>
          <c:order val="0"/>
          <c:tx>
            <c:v>Ratio of Ocean/Land temperature rise</c:v>
          </c:tx>
          <c:spPr>
            <a:ln w="285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pPr>
              <a:solidFill>
                <a:schemeClr val="accent5">
                  <a:lumMod val="20000"/>
                  <a:lumOff val="80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xVal>
            <c:numRef>
              <c:f>main!$A$10:$A$171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main!$G$10:$G$171</c:f>
              <c:numCache>
                <c:formatCode>General</c:formatCode>
                <c:ptCount val="162"/>
                <c:pt idx="0">
                  <c:v>0.14451094509678641</c:v>
                </c:pt>
                <c:pt idx="1">
                  <c:v>0.13169193346340671</c:v>
                </c:pt>
                <c:pt idx="2">
                  <c:v>0.72976670137805699</c:v>
                </c:pt>
                <c:pt idx="3">
                  <c:v>0.18740472661054533</c:v>
                </c:pt>
                <c:pt idx="4">
                  <c:v>1</c:v>
                </c:pt>
                <c:pt idx="5">
                  <c:v>0.4670105161908441</c:v>
                </c:pt>
                <c:pt idx="6">
                  <c:v>0.79141988847916922</c:v>
                </c:pt>
                <c:pt idx="7">
                  <c:v>0.94648479977119926</c:v>
                </c:pt>
                <c:pt idx="8">
                  <c:v>0.99177786925174982</c:v>
                </c:pt>
                <c:pt idx="9">
                  <c:v>0.38716080519359219</c:v>
                </c:pt>
                <c:pt idx="10">
                  <c:v>0.69882316158910784</c:v>
                </c:pt>
                <c:pt idx="11">
                  <c:v>0.81347247039037585</c:v>
                </c:pt>
                <c:pt idx="12">
                  <c:v>0.93302969973840122</c:v>
                </c:pt>
                <c:pt idx="13">
                  <c:v>0.46902947017400543</c:v>
                </c:pt>
                <c:pt idx="14">
                  <c:v>0.5565339396837099</c:v>
                </c:pt>
                <c:pt idx="15">
                  <c:v>0.47296481061684648</c:v>
                </c:pt>
                <c:pt idx="16">
                  <c:v>0.49351069396186709</c:v>
                </c:pt>
                <c:pt idx="17">
                  <c:v>0.44396454021961612</c:v>
                </c:pt>
                <c:pt idx="18">
                  <c:v>0.5935953097978699</c:v>
                </c:pt>
                <c:pt idx="19">
                  <c:v>0.37007642162901877</c:v>
                </c:pt>
                <c:pt idx="20">
                  <c:v>0.37857029227587607</c:v>
                </c:pt>
                <c:pt idx="21">
                  <c:v>0.49828737943492046</c:v>
                </c:pt>
                <c:pt idx="22">
                  <c:v>0.811039351526468</c:v>
                </c:pt>
                <c:pt idx="23">
                  <c:v>0.49992023762515553</c:v>
                </c:pt>
                <c:pt idx="24">
                  <c:v>0.31046293577171635</c:v>
                </c:pt>
                <c:pt idx="25">
                  <c:v>0.66485017882980058</c:v>
                </c:pt>
                <c:pt idx="26">
                  <c:v>0.14672865758018735</c:v>
                </c:pt>
                <c:pt idx="27">
                  <c:v>9.0766005631167324E-2</c:v>
                </c:pt>
                <c:pt idx="28">
                  <c:v>0.22323900535147681</c:v>
                </c:pt>
                <c:pt idx="29">
                  <c:v>0.53151760744298426</c:v>
                </c:pt>
                <c:pt idx="30">
                  <c:v>0.2690729876759812</c:v>
                </c:pt>
                <c:pt idx="31">
                  <c:v>0.40653423686210571</c:v>
                </c:pt>
                <c:pt idx="32">
                  <c:v>0.29288659678940121</c:v>
                </c:pt>
                <c:pt idx="33">
                  <c:v>0.37191544754560013</c:v>
                </c:pt>
                <c:pt idx="34">
                  <c:v>0.3653061027283751</c:v>
                </c:pt>
                <c:pt idx="35">
                  <c:v>0.44248048763114239</c:v>
                </c:pt>
                <c:pt idx="36">
                  <c:v>0.47456583979282596</c:v>
                </c:pt>
                <c:pt idx="37">
                  <c:v>0.30334103630048409</c:v>
                </c:pt>
                <c:pt idx="38">
                  <c:v>0.39515067836052603</c:v>
                </c:pt>
                <c:pt idx="39">
                  <c:v>0.81790791233346782</c:v>
                </c:pt>
                <c:pt idx="40">
                  <c:v>0.40224377606658751</c:v>
                </c:pt>
                <c:pt idx="41">
                  <c:v>0.4953037971136332</c:v>
                </c:pt>
                <c:pt idx="42">
                  <c:v>0.46663373966652655</c:v>
                </c:pt>
                <c:pt idx="43">
                  <c:v>0.57106120635942759</c:v>
                </c:pt>
                <c:pt idx="44">
                  <c:v>0.46462679708241589</c:v>
                </c:pt>
                <c:pt idx="45">
                  <c:v>0.29366148038001338</c:v>
                </c:pt>
                <c:pt idx="46">
                  <c:v>0.44798300644264138</c:v>
                </c:pt>
                <c:pt idx="47">
                  <c:v>0.7559339743861283</c:v>
                </c:pt>
                <c:pt idx="48">
                  <c:v>0.76553261230378389</c:v>
                </c:pt>
                <c:pt idx="49">
                  <c:v>0.70931009581703142</c:v>
                </c:pt>
                <c:pt idx="50">
                  <c:v>1</c:v>
                </c:pt>
                <c:pt idx="51">
                  <c:v>0.94921466133542198</c:v>
                </c:pt>
                <c:pt idx="52">
                  <c:v>0.76103258500276483</c:v>
                </c:pt>
                <c:pt idx="53">
                  <c:v>0.7819277853163924</c:v>
                </c:pt>
                <c:pt idx="54">
                  <c:v>0.58736687448193503</c:v>
                </c:pt>
                <c:pt idx="55">
                  <c:v>0.92884906189112826</c:v>
                </c:pt>
                <c:pt idx="56">
                  <c:v>0.49224481358664712</c:v>
                </c:pt>
                <c:pt idx="57">
                  <c:v>0.73538693647983289</c:v>
                </c:pt>
                <c:pt idx="58">
                  <c:v>0.78380096313632719</c:v>
                </c:pt>
                <c:pt idx="59">
                  <c:v>0.99064255878225971</c:v>
                </c:pt>
                <c:pt idx="60">
                  <c:v>0.87848861287494684</c:v>
                </c:pt>
                <c:pt idx="61">
                  <c:v>0.89061958206643432</c:v>
                </c:pt>
                <c:pt idx="62">
                  <c:v>0.86274313564573946</c:v>
                </c:pt>
                <c:pt idx="63">
                  <c:v>1</c:v>
                </c:pt>
                <c:pt idx="64">
                  <c:v>0.94718985807678524</c:v>
                </c:pt>
                <c:pt idx="65">
                  <c:v>0.71521342372540342</c:v>
                </c:pt>
                <c:pt idx="66">
                  <c:v>0.44409677708574208</c:v>
                </c:pt>
                <c:pt idx="67">
                  <c:v>0.48185683371475724</c:v>
                </c:pt>
                <c:pt idx="68">
                  <c:v>0.54128090730601619</c:v>
                </c:pt>
                <c:pt idx="69">
                  <c:v>0.58032313115459699</c:v>
                </c:pt>
                <c:pt idx="70">
                  <c:v>1</c:v>
                </c:pt>
                <c:pt idx="71">
                  <c:v>0.77048676317458009</c:v>
                </c:pt>
                <c:pt idx="72">
                  <c:v>0.78270425608247285</c:v>
                </c:pt>
                <c:pt idx="73">
                  <c:v>0.82070588273701217</c:v>
                </c:pt>
                <c:pt idx="74">
                  <c:v>0.58634234578792377</c:v>
                </c:pt>
                <c:pt idx="75">
                  <c:v>1</c:v>
                </c:pt>
                <c:pt idx="76">
                  <c:v>0.9208693406547358</c:v>
                </c:pt>
                <c:pt idx="77">
                  <c:v>0.94719069637102404</c:v>
                </c:pt>
                <c:pt idx="78">
                  <c:v>0.59919955623466137</c:v>
                </c:pt>
                <c:pt idx="79">
                  <c:v>0.88080425949278407</c:v>
                </c:pt>
                <c:pt idx="80">
                  <c:v>0.58559529452448877</c:v>
                </c:pt>
                <c:pt idx="81">
                  <c:v>1</c:v>
                </c:pt>
                <c:pt idx="82">
                  <c:v>0.82777685623193553</c:v>
                </c:pt>
                <c:pt idx="83">
                  <c:v>1</c:v>
                </c:pt>
                <c:pt idx="84">
                  <c:v>0.72219327633090258</c:v>
                </c:pt>
                <c:pt idx="85">
                  <c:v>0.91428533897796183</c:v>
                </c:pt>
                <c:pt idx="86">
                  <c:v>0.60281299086303408</c:v>
                </c:pt>
                <c:pt idx="87">
                  <c:v>0.46971651572578355</c:v>
                </c:pt>
                <c:pt idx="88">
                  <c:v>1</c:v>
                </c:pt>
                <c:pt idx="89">
                  <c:v>0.11346003802131792</c:v>
                </c:pt>
                <c:pt idx="90">
                  <c:v>0.63990412595244328</c:v>
                </c:pt>
                <c:pt idx="91">
                  <c:v>0.65217391304347827</c:v>
                </c:pt>
                <c:pt idx="92">
                  <c:v>0.10484106207708634</c:v>
                </c:pt>
                <c:pt idx="93">
                  <c:v>0.96756519833442911</c:v>
                </c:pt>
                <c:pt idx="94">
                  <c:v>0.64230038476391182</c:v>
                </c:pt>
                <c:pt idx="95">
                  <c:v>0.92641420510272987</c:v>
                </c:pt>
                <c:pt idx="96">
                  <c:v>1</c:v>
                </c:pt>
                <c:pt idx="97">
                  <c:v>0.34803867971576447</c:v>
                </c:pt>
                <c:pt idx="98">
                  <c:v>0.72521162435727626</c:v>
                </c:pt>
                <c:pt idx="99">
                  <c:v>0.75109587504173247</c:v>
                </c:pt>
                <c:pt idx="100">
                  <c:v>0.49197702115734904</c:v>
                </c:pt>
                <c:pt idx="101">
                  <c:v>0.56654085246610564</c:v>
                </c:pt>
                <c:pt idx="102">
                  <c:v>0.62023948424045716</c:v>
                </c:pt>
                <c:pt idx="103">
                  <c:v>0.65463510143677295</c:v>
                </c:pt>
                <c:pt idx="104">
                  <c:v>0.74234909662960669</c:v>
                </c:pt>
                <c:pt idx="105">
                  <c:v>0.72548598176949453</c:v>
                </c:pt>
                <c:pt idx="106">
                  <c:v>0.77718069703224413</c:v>
                </c:pt>
                <c:pt idx="107">
                  <c:v>0.33190196353166462</c:v>
                </c:pt>
                <c:pt idx="109">
                  <c:v>0.70807614875777092</c:v>
                </c:pt>
                <c:pt idx="110">
                  <c:v>0.45395596482138623</c:v>
                </c:pt>
                <c:pt idx="111">
                  <c:v>0.7741755294711441</c:v>
                </c:pt>
                <c:pt idx="112">
                  <c:v>1</c:v>
                </c:pt>
                <c:pt idx="113">
                  <c:v>0.99415890110191019</c:v>
                </c:pt>
                <c:pt idx="114">
                  <c:v>0.41080160090248347</c:v>
                </c:pt>
                <c:pt idx="115">
                  <c:v>0.98088356548412159</c:v>
                </c:pt>
                <c:pt idx="116">
                  <c:v>0.62560784053450125</c:v>
                </c:pt>
                <c:pt idx="117">
                  <c:v>0.67330911373693114</c:v>
                </c:pt>
                <c:pt idx="118">
                  <c:v>0.52941976630060228</c:v>
                </c:pt>
                <c:pt idx="119">
                  <c:v>0.64854969545705543</c:v>
                </c:pt>
                <c:pt idx="120">
                  <c:v>0.60542258513367087</c:v>
                </c:pt>
                <c:pt idx="121">
                  <c:v>0.44416089389675084</c:v>
                </c:pt>
                <c:pt idx="122">
                  <c:v>0.6991240645072051</c:v>
                </c:pt>
                <c:pt idx="123">
                  <c:v>0.85655948049632191</c:v>
                </c:pt>
                <c:pt idx="124">
                  <c:v>1</c:v>
                </c:pt>
                <c:pt idx="125">
                  <c:v>0.66994207810619533</c:v>
                </c:pt>
                <c:pt idx="126">
                  <c:v>0.52828260349957545</c:v>
                </c:pt>
                <c:pt idx="127">
                  <c:v>0.89493992917329468</c:v>
                </c:pt>
                <c:pt idx="128">
                  <c:v>1</c:v>
                </c:pt>
                <c:pt idx="129">
                  <c:v>0.96263507814464033</c:v>
                </c:pt>
                <c:pt idx="130">
                  <c:v>0.72161740222205606</c:v>
                </c:pt>
                <c:pt idx="131">
                  <c:v>0.21151466263202789</c:v>
                </c:pt>
                <c:pt idx="132">
                  <c:v>0.62598015234761573</c:v>
                </c:pt>
                <c:pt idx="133">
                  <c:v>0.12422742204162969</c:v>
                </c:pt>
                <c:pt idx="134">
                  <c:v>0.42467762959566235</c:v>
                </c:pt>
                <c:pt idx="135">
                  <c:v>0.85554643747142245</c:v>
                </c:pt>
                <c:pt idx="136">
                  <c:v>0.80513085164411136</c:v>
                </c:pt>
                <c:pt idx="137">
                  <c:v>0.62929486837917026</c:v>
                </c:pt>
                <c:pt idx="138">
                  <c:v>0.45034172756787633</c:v>
                </c:pt>
                <c:pt idx="139">
                  <c:v>0.57127753620058297</c:v>
                </c:pt>
                <c:pt idx="140">
                  <c:v>0.69253432910437585</c:v>
                </c:pt>
                <c:pt idx="141">
                  <c:v>0.85229856224039191</c:v>
                </c:pt>
                <c:pt idx="142">
                  <c:v>0.64722152164775126</c:v>
                </c:pt>
                <c:pt idx="143">
                  <c:v>0.46252773948497927</c:v>
                </c:pt>
                <c:pt idx="144">
                  <c:v>0.60409190503687826</c:v>
                </c:pt>
                <c:pt idx="145">
                  <c:v>0.92413873722415063</c:v>
                </c:pt>
                <c:pt idx="146">
                  <c:v>0.79637764157800972</c:v>
                </c:pt>
                <c:pt idx="147">
                  <c:v>0.44135377836172973</c:v>
                </c:pt>
                <c:pt idx="148">
                  <c:v>0.39060287300160462</c:v>
                </c:pt>
                <c:pt idx="149">
                  <c:v>0.48774793719793424</c:v>
                </c:pt>
                <c:pt idx="150">
                  <c:v>0.57963063786638547</c:v>
                </c:pt>
                <c:pt idx="151">
                  <c:v>0.55785407417482102</c:v>
                </c:pt>
                <c:pt idx="152">
                  <c:v>0.53966756596731824</c:v>
                </c:pt>
                <c:pt idx="153">
                  <c:v>0.51351831527965075</c:v>
                </c:pt>
                <c:pt idx="154">
                  <c:v>0.54670411347798376</c:v>
                </c:pt>
                <c:pt idx="155">
                  <c:v>0.49714003663219802</c:v>
                </c:pt>
                <c:pt idx="156">
                  <c:v>0.50203072341646882</c:v>
                </c:pt>
                <c:pt idx="157">
                  <c:v>0.47768379247451231</c:v>
                </c:pt>
                <c:pt idx="158">
                  <c:v>0.57578604228448238</c:v>
                </c:pt>
                <c:pt idx="159">
                  <c:v>0.4247623450785693</c:v>
                </c:pt>
                <c:pt idx="160">
                  <c:v>0.42134585618420145</c:v>
                </c:pt>
                <c:pt idx="161">
                  <c:v>0.40490452503942714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771360"/>
        <c:axId val="478769400"/>
      </c:scatterChart>
      <c:valAx>
        <c:axId val="478771360"/>
        <c:scaling>
          <c:orientation val="minMax"/>
          <c:max val="2015"/>
          <c:min val="1995"/>
        </c:scaling>
        <c:delete val="0"/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478769400"/>
        <c:crosses val="autoZero"/>
        <c:crossBetween val="midCat"/>
      </c:valAx>
      <c:valAx>
        <c:axId val="478769400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>
                  <a:defRPr sz="1800"/>
                </a:pPr>
                <a:r>
                  <a:rPr lang="en-US" sz="1800"/>
                  <a:t>f</a:t>
                </a:r>
              </a:p>
            </c:rich>
          </c:tx>
          <c:layout>
            <c:manualLayout>
              <c:xMode val="edge"/>
              <c:yMode val="edge"/>
              <c:x val="2.1254593175853018E-2"/>
              <c:y val="0.3952042782401946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478771360"/>
        <c:crosses val="autoZero"/>
        <c:crossBetween val="midCat"/>
      </c:valAx>
      <c:spPr>
        <a:gradFill flip="none" rotWithShape="1">
          <a:gsLst>
            <a:gs pos="0">
              <a:srgbClr val="FFF200"/>
            </a:gs>
            <a:gs pos="39000">
              <a:srgbClr val="FF7A00"/>
            </a:gs>
            <a:gs pos="70000">
              <a:srgbClr val="FF0300"/>
            </a:gs>
            <a:gs pos="100000">
              <a:srgbClr val="4D0808"/>
            </a:gs>
          </a:gsLst>
          <a:lin ang="16200000" scaled="0"/>
          <a:tileRect/>
        </a:gradFill>
        <a:ln w="25400">
          <a:noFill/>
        </a:ln>
      </c:spPr>
    </c:plotArea>
    <c:legend>
      <c:legendPos val="r"/>
      <c:layout>
        <c:manualLayout>
          <c:xMode val="edge"/>
          <c:yMode val="edge"/>
          <c:x val="0.36500218722659666"/>
          <c:y val="0.61065364252182086"/>
          <c:w val="0.55987401574803153"/>
          <c:h val="0.16685502547475684"/>
        </c:manualLayout>
      </c:layout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70220673163471E-2"/>
          <c:y val="3.9874372058246302E-2"/>
          <c:w val="0.87777496620443063"/>
          <c:h val="0.78036659016174625"/>
        </c:manualLayout>
      </c:layout>
      <c:scatterChart>
        <c:scatterStyle val="lineMarker"/>
        <c:varyColors val="0"/>
        <c:ser>
          <c:idx val="0"/>
          <c:order val="0"/>
          <c:tx>
            <c:strRef>
              <c:f>main!$B$9</c:f>
              <c:strCache>
                <c:ptCount val="1"/>
                <c:pt idx="0">
                  <c:v>Global (HadCRUT4)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main!$A$10:$A$171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main!$B$10:$B$171</c:f>
              <c:numCache>
                <c:formatCode>General</c:formatCode>
                <c:ptCount val="162"/>
                <c:pt idx="0">
                  <c:v>-0.219</c:v>
                </c:pt>
                <c:pt idx="1">
                  <c:v>-0.223</c:v>
                </c:pt>
                <c:pt idx="2">
                  <c:v>-0.26800000000000002</c:v>
                </c:pt>
                <c:pt idx="3">
                  <c:v>-0.24299999999999999</c:v>
                </c:pt>
                <c:pt idx="4">
                  <c:v>-0.26400000000000001</c:v>
                </c:pt>
                <c:pt idx="5">
                  <c:v>-0.35599999999999998</c:v>
                </c:pt>
                <c:pt idx="6">
                  <c:v>-0.45400000000000001</c:v>
                </c:pt>
                <c:pt idx="7">
                  <c:v>-0.46100000000000002</c:v>
                </c:pt>
                <c:pt idx="8">
                  <c:v>-0.28199999999999997</c:v>
                </c:pt>
                <c:pt idx="9">
                  <c:v>-0.33800000000000002</c:v>
                </c:pt>
                <c:pt idx="10">
                  <c:v>-0.39100000000000001</c:v>
                </c:pt>
                <c:pt idx="11">
                  <c:v>-0.503</c:v>
                </c:pt>
                <c:pt idx="12">
                  <c:v>-0.27500000000000002</c:v>
                </c:pt>
                <c:pt idx="13">
                  <c:v>-0.47799999999999998</c:v>
                </c:pt>
                <c:pt idx="14">
                  <c:v>-0.27</c:v>
                </c:pt>
                <c:pt idx="15">
                  <c:v>-0.24099999999999999</c:v>
                </c:pt>
                <c:pt idx="16">
                  <c:v>-0.308</c:v>
                </c:pt>
                <c:pt idx="17">
                  <c:v>-0.23</c:v>
                </c:pt>
                <c:pt idx="18">
                  <c:v>-0.25900000000000001</c:v>
                </c:pt>
                <c:pt idx="19">
                  <c:v>-0.27100000000000002</c:v>
                </c:pt>
                <c:pt idx="20">
                  <c:v>-0.32600000000000001</c:v>
                </c:pt>
                <c:pt idx="21">
                  <c:v>-0.22900000000000001</c:v>
                </c:pt>
                <c:pt idx="22">
                  <c:v>-0.30599999999999999</c:v>
                </c:pt>
                <c:pt idx="23">
                  <c:v>-0.373</c:v>
                </c:pt>
                <c:pt idx="24">
                  <c:v>-0.40799999999999997</c:v>
                </c:pt>
                <c:pt idx="25">
                  <c:v>-0.38400000000000001</c:v>
                </c:pt>
                <c:pt idx="26">
                  <c:v>-7.2999999999999995E-2</c:v>
                </c:pt>
                <c:pt idx="27">
                  <c:v>3.2000000000000001E-2</c:v>
                </c:pt>
                <c:pt idx="28">
                  <c:v>-0.23400000000000001</c:v>
                </c:pt>
                <c:pt idx="29">
                  <c:v>-0.23</c:v>
                </c:pt>
                <c:pt idx="30">
                  <c:v>-0.20699999999999999</c:v>
                </c:pt>
                <c:pt idx="31">
                  <c:v>-0.214</c:v>
                </c:pt>
                <c:pt idx="32">
                  <c:v>-0.29199999999999998</c:v>
                </c:pt>
                <c:pt idx="33">
                  <c:v>-0.40300000000000002</c:v>
                </c:pt>
                <c:pt idx="34">
                  <c:v>-0.38500000000000001</c:v>
                </c:pt>
                <c:pt idx="35">
                  <c:v>-0.36599999999999999</c:v>
                </c:pt>
                <c:pt idx="36">
                  <c:v>-0.41799999999999998</c:v>
                </c:pt>
                <c:pt idx="37">
                  <c:v>-0.309</c:v>
                </c:pt>
                <c:pt idx="38">
                  <c:v>-0.17299999999999999</c:v>
                </c:pt>
                <c:pt idx="39">
                  <c:v>-0.41899999999999998</c:v>
                </c:pt>
                <c:pt idx="40">
                  <c:v>-0.33900000000000002</c:v>
                </c:pt>
                <c:pt idx="41">
                  <c:v>-0.45600000000000002</c:v>
                </c:pt>
                <c:pt idx="42">
                  <c:v>-0.47499999999999998</c:v>
                </c:pt>
                <c:pt idx="43">
                  <c:v>-0.40799999999999997</c:v>
                </c:pt>
                <c:pt idx="44">
                  <c:v>-0.39300000000000002</c:v>
                </c:pt>
                <c:pt idx="45">
                  <c:v>-0.191</c:v>
                </c:pt>
                <c:pt idx="46">
                  <c:v>-0.21</c:v>
                </c:pt>
                <c:pt idx="47">
                  <c:v>-0.40799999999999997</c:v>
                </c:pt>
                <c:pt idx="48">
                  <c:v>-0.28799999999999998</c:v>
                </c:pt>
                <c:pt idx="49">
                  <c:v>-0.19800000000000001</c:v>
                </c:pt>
                <c:pt idx="50">
                  <c:v>-0.26700000000000002</c:v>
                </c:pt>
                <c:pt idx="51">
                  <c:v>-0.41199999999999998</c:v>
                </c:pt>
                <c:pt idx="52">
                  <c:v>-0.48099999999999998</c:v>
                </c:pt>
                <c:pt idx="53">
                  <c:v>-0.52800000000000002</c:v>
                </c:pt>
                <c:pt idx="54">
                  <c:v>-0.38200000000000001</c:v>
                </c:pt>
                <c:pt idx="55">
                  <c:v>-0.29399999999999998</c:v>
                </c:pt>
                <c:pt idx="56">
                  <c:v>-0.47599999999999998</c:v>
                </c:pt>
                <c:pt idx="57">
                  <c:v>-0.52300000000000002</c:v>
                </c:pt>
                <c:pt idx="58">
                  <c:v>-0.53600000000000003</c:v>
                </c:pt>
                <c:pt idx="59">
                  <c:v>-0.496</c:v>
                </c:pt>
                <c:pt idx="60">
                  <c:v>-0.55400000000000005</c:v>
                </c:pt>
                <c:pt idx="61">
                  <c:v>-0.44900000000000001</c:v>
                </c:pt>
                <c:pt idx="62">
                  <c:v>-0.439</c:v>
                </c:pt>
                <c:pt idx="63">
                  <c:v>-0.25800000000000001</c:v>
                </c:pt>
                <c:pt idx="64">
                  <c:v>-0.16400000000000001</c:v>
                </c:pt>
                <c:pt idx="65">
                  <c:v>-0.39800000000000002</c:v>
                </c:pt>
                <c:pt idx="66">
                  <c:v>-0.48099999999999998</c:v>
                </c:pt>
                <c:pt idx="67">
                  <c:v>-0.34300000000000003</c:v>
                </c:pt>
                <c:pt idx="68">
                  <c:v>-0.28399999999999997</c:v>
                </c:pt>
                <c:pt idx="69">
                  <c:v>-0.252</c:v>
                </c:pt>
                <c:pt idx="70">
                  <c:v>-0.19</c:v>
                </c:pt>
                <c:pt idx="71">
                  <c:v>-0.309</c:v>
                </c:pt>
                <c:pt idx="72">
                  <c:v>-0.27500000000000002</c:v>
                </c:pt>
                <c:pt idx="73">
                  <c:v>-0.3</c:v>
                </c:pt>
                <c:pt idx="74">
                  <c:v>-0.219</c:v>
                </c:pt>
                <c:pt idx="75">
                  <c:v>-0.112</c:v>
                </c:pt>
                <c:pt idx="76">
                  <c:v>-0.21299999999999999</c:v>
                </c:pt>
                <c:pt idx="77">
                  <c:v>-0.21099999999999999</c:v>
                </c:pt>
                <c:pt idx="78">
                  <c:v>-0.34899999999999998</c:v>
                </c:pt>
                <c:pt idx="79">
                  <c:v>-0.13800000000000001</c:v>
                </c:pt>
                <c:pt idx="80">
                  <c:v>-8.6999999999999994E-2</c:v>
                </c:pt>
                <c:pt idx="81">
                  <c:v>-0.13500000000000001</c:v>
                </c:pt>
                <c:pt idx="82">
                  <c:v>-0.27300000000000002</c:v>
                </c:pt>
                <c:pt idx="83">
                  <c:v>-0.126</c:v>
                </c:pt>
                <c:pt idx="84">
                  <c:v>-0.17599999999999999</c:v>
                </c:pt>
                <c:pt idx="85">
                  <c:v>-0.14299999999999999</c:v>
                </c:pt>
                <c:pt idx="86">
                  <c:v>-2.5000000000000001E-2</c:v>
                </c:pt>
                <c:pt idx="87">
                  <c:v>-5.0000000000000001E-3</c:v>
                </c:pt>
                <c:pt idx="88">
                  <c:v>-5.5E-2</c:v>
                </c:pt>
                <c:pt idx="89">
                  <c:v>1.7999999999999999E-2</c:v>
                </c:pt>
                <c:pt idx="90">
                  <c:v>1.7999999999999999E-2</c:v>
                </c:pt>
                <c:pt idx="91">
                  <c:v>-2.3E-2</c:v>
                </c:pt>
                <c:pt idx="92">
                  <c:v>-3.0000000000000001E-3</c:v>
                </c:pt>
                <c:pt idx="93">
                  <c:v>0.15</c:v>
                </c:pt>
                <c:pt idx="94">
                  <c:v>3.3000000000000002E-2</c:v>
                </c:pt>
                <c:pt idx="95">
                  <c:v>-6.8000000000000005E-2</c:v>
                </c:pt>
                <c:pt idx="96">
                  <c:v>-3.7999999999999999E-2</c:v>
                </c:pt>
                <c:pt idx="97">
                  <c:v>-3.5000000000000003E-2</c:v>
                </c:pt>
                <c:pt idx="98">
                  <c:v>-7.5999999999999998E-2</c:v>
                </c:pt>
                <c:pt idx="99">
                  <c:v>-0.17399999999999999</c:v>
                </c:pt>
                <c:pt idx="100">
                  <c:v>-4.8000000000000001E-2</c:v>
                </c:pt>
                <c:pt idx="101">
                  <c:v>3.3000000000000002E-2</c:v>
                </c:pt>
                <c:pt idx="102">
                  <c:v>0.10100000000000001</c:v>
                </c:pt>
                <c:pt idx="103">
                  <c:v>-0.128</c:v>
                </c:pt>
                <c:pt idx="104">
                  <c:v>-0.185</c:v>
                </c:pt>
                <c:pt idx="105">
                  <c:v>-0.26200000000000001</c:v>
                </c:pt>
                <c:pt idx="106">
                  <c:v>-1E-3</c:v>
                </c:pt>
                <c:pt idx="107">
                  <c:v>4.9000000000000002E-2</c:v>
                </c:pt>
                <c:pt idx="108">
                  <c:v>1.7000000000000001E-2</c:v>
                </c:pt>
                <c:pt idx="109">
                  <c:v>-0.05</c:v>
                </c:pt>
                <c:pt idx="110">
                  <c:v>3.9E-2</c:v>
                </c:pt>
                <c:pt idx="111">
                  <c:v>1.7999999999999999E-2</c:v>
                </c:pt>
                <c:pt idx="112">
                  <c:v>0.05</c:v>
                </c:pt>
                <c:pt idx="113">
                  <c:v>-0.224</c:v>
                </c:pt>
                <c:pt idx="114">
                  <c:v>-0.14099999999999999</c:v>
                </c:pt>
                <c:pt idx="115">
                  <c:v>-7.2999999999999995E-2</c:v>
                </c:pt>
                <c:pt idx="116">
                  <c:v>-7.5999999999999998E-2</c:v>
                </c:pt>
                <c:pt idx="117">
                  <c:v>-0.113</c:v>
                </c:pt>
                <c:pt idx="118">
                  <c:v>2.9000000000000001E-2</c:v>
                </c:pt>
                <c:pt idx="119">
                  <c:v>-2.9000000000000001E-2</c:v>
                </c:pt>
                <c:pt idx="120">
                  <c:v>-0.184</c:v>
                </c:pt>
                <c:pt idx="121">
                  <c:v>-6.9000000000000006E-2</c:v>
                </c:pt>
                <c:pt idx="122">
                  <c:v>6.3E-2</c:v>
                </c:pt>
                <c:pt idx="123">
                  <c:v>-0.21099999999999999</c:v>
                </c:pt>
                <c:pt idx="124">
                  <c:v>-0.14499999999999999</c:v>
                </c:pt>
                <c:pt idx="125">
                  <c:v>-0.23799999999999999</c:v>
                </c:pt>
                <c:pt idx="126">
                  <c:v>4.5999999999999999E-2</c:v>
                </c:pt>
                <c:pt idx="127">
                  <c:v>-6.2E-2</c:v>
                </c:pt>
                <c:pt idx="128">
                  <c:v>5.8000000000000003E-2</c:v>
                </c:pt>
                <c:pt idx="129">
                  <c:v>9.2999999999999999E-2</c:v>
                </c:pt>
                <c:pt idx="130">
                  <c:v>0.14199999999999999</c:v>
                </c:pt>
                <c:pt idx="131">
                  <c:v>1.2999999999999999E-2</c:v>
                </c:pt>
                <c:pt idx="132">
                  <c:v>0.191</c:v>
                </c:pt>
                <c:pt idx="133">
                  <c:v>-1.4E-2</c:v>
                </c:pt>
                <c:pt idx="134">
                  <c:v>-2.9000000000000001E-2</c:v>
                </c:pt>
                <c:pt idx="135">
                  <c:v>4.7E-2</c:v>
                </c:pt>
                <c:pt idx="136">
                  <c:v>0.186</c:v>
                </c:pt>
                <c:pt idx="137">
                  <c:v>0.20100000000000001</c:v>
                </c:pt>
                <c:pt idx="138">
                  <c:v>0.121</c:v>
                </c:pt>
                <c:pt idx="139">
                  <c:v>0.29099999999999998</c:v>
                </c:pt>
                <c:pt idx="140">
                  <c:v>0.253</c:v>
                </c:pt>
                <c:pt idx="141">
                  <c:v>0.10199999999999999</c:v>
                </c:pt>
                <c:pt idx="142">
                  <c:v>0.14299999999999999</c:v>
                </c:pt>
                <c:pt idx="143">
                  <c:v>0.20300000000000001</c:v>
                </c:pt>
                <c:pt idx="144">
                  <c:v>0.32400000000000001</c:v>
                </c:pt>
                <c:pt idx="145">
                  <c:v>0.17899999999999999</c:v>
                </c:pt>
                <c:pt idx="146">
                  <c:v>0.39200000000000002</c:v>
                </c:pt>
                <c:pt idx="147">
                  <c:v>0.53100000000000003</c:v>
                </c:pt>
                <c:pt idx="148">
                  <c:v>0.30099999999999999</c:v>
                </c:pt>
                <c:pt idx="149">
                  <c:v>0.29399999999999998</c:v>
                </c:pt>
                <c:pt idx="150">
                  <c:v>0.437</c:v>
                </c:pt>
                <c:pt idx="151">
                  <c:v>0.49199999999999999</c:v>
                </c:pt>
                <c:pt idx="152">
                  <c:v>0.503</c:v>
                </c:pt>
                <c:pt idx="153">
                  <c:v>0.44500000000000001</c:v>
                </c:pt>
                <c:pt idx="154">
                  <c:v>0.53900000000000003</c:v>
                </c:pt>
                <c:pt idx="155">
                  <c:v>0.495</c:v>
                </c:pt>
                <c:pt idx="156">
                  <c:v>0.48299999999999998</c:v>
                </c:pt>
                <c:pt idx="157">
                  <c:v>0.38800000000000001</c:v>
                </c:pt>
                <c:pt idx="158">
                  <c:v>0.49399999999999999</c:v>
                </c:pt>
                <c:pt idx="159">
                  <c:v>0.54700000000000004</c:v>
                </c:pt>
                <c:pt idx="160">
                  <c:v>0.40600000000000003</c:v>
                </c:pt>
                <c:pt idx="161">
                  <c:v>0.44800000000000001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main!$C$9</c:f>
              <c:strCache>
                <c:ptCount val="1"/>
                <c:pt idx="0">
                  <c:v>Fractionally Composed (CRUTEM4 + HadSST3)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main!$A$10:$A$171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main!$C$10:$C$171</c:f>
              <c:numCache>
                <c:formatCode>General</c:formatCode>
                <c:ptCount val="162"/>
                <c:pt idx="0">
                  <c:v>-5.9491374999999999E-2</c:v>
                </c:pt>
                <c:pt idx="1">
                  <c:v>-4.4377349999999996E-2</c:v>
                </c:pt>
                <c:pt idx="2">
                  <c:v>-0.23185557499999998</c:v>
                </c:pt>
                <c:pt idx="3">
                  <c:v>-0.107084475</c:v>
                </c:pt>
                <c:pt idx="4">
                  <c:v>-0.20516485000000001</c:v>
                </c:pt>
                <c:pt idx="5">
                  <c:v>-0.36337975</c:v>
                </c:pt>
                <c:pt idx="6">
                  <c:v>-0.41547489999999998</c:v>
                </c:pt>
                <c:pt idx="7">
                  <c:v>-0.44570294999999999</c:v>
                </c:pt>
                <c:pt idx="8">
                  <c:v>-0.27430347500000002</c:v>
                </c:pt>
                <c:pt idx="9">
                  <c:v>-0.35373250000000001</c:v>
                </c:pt>
                <c:pt idx="10">
                  <c:v>-0.39425094999999999</c:v>
                </c:pt>
                <c:pt idx="11">
                  <c:v>-0.47207209999999999</c:v>
                </c:pt>
                <c:pt idx="12">
                  <c:v>-0.28877435000000001</c:v>
                </c:pt>
                <c:pt idx="13">
                  <c:v>-0.47882517499999999</c:v>
                </c:pt>
                <c:pt idx="14">
                  <c:v>-0.26947984999999997</c:v>
                </c:pt>
                <c:pt idx="15">
                  <c:v>-0.24857747499999999</c:v>
                </c:pt>
                <c:pt idx="16">
                  <c:v>-0.30839042500000002</c:v>
                </c:pt>
                <c:pt idx="17">
                  <c:v>-0.24857747499999999</c:v>
                </c:pt>
                <c:pt idx="18">
                  <c:v>-0.26240520000000001</c:v>
                </c:pt>
                <c:pt idx="19">
                  <c:v>-0.29745687500000001</c:v>
                </c:pt>
                <c:pt idx="20">
                  <c:v>-0.33733217500000001</c:v>
                </c:pt>
                <c:pt idx="21">
                  <c:v>-0.24182439999999999</c:v>
                </c:pt>
                <c:pt idx="22">
                  <c:v>-0.29777844999999997</c:v>
                </c:pt>
                <c:pt idx="23">
                  <c:v>-0.40454135000000002</c:v>
                </c:pt>
                <c:pt idx="24">
                  <c:v>-0.44120090000000001</c:v>
                </c:pt>
                <c:pt idx="25">
                  <c:v>-0.38138794999999998</c:v>
                </c:pt>
                <c:pt idx="26">
                  <c:v>-0.10065297500000001</c:v>
                </c:pt>
                <c:pt idx="27">
                  <c:v>9.3256750000000003E-3</c:v>
                </c:pt>
                <c:pt idx="28">
                  <c:v>-0.29810002499999999</c:v>
                </c:pt>
                <c:pt idx="29">
                  <c:v>-0.229282975</c:v>
                </c:pt>
                <c:pt idx="30">
                  <c:v>-0.24311070000000001</c:v>
                </c:pt>
                <c:pt idx="31">
                  <c:v>-0.2341066</c:v>
                </c:pt>
                <c:pt idx="32">
                  <c:v>-0.34119107500000001</c:v>
                </c:pt>
                <c:pt idx="33">
                  <c:v>-0.43927145000000001</c:v>
                </c:pt>
                <c:pt idx="34">
                  <c:v>-0.42287112500000001</c:v>
                </c:pt>
                <c:pt idx="35">
                  <c:v>-0.38814102500000003</c:v>
                </c:pt>
                <c:pt idx="36">
                  <c:v>-0.44055774999999997</c:v>
                </c:pt>
                <c:pt idx="37">
                  <c:v>-0.35212462499999997</c:v>
                </c:pt>
                <c:pt idx="38">
                  <c:v>-0.18683507500000002</c:v>
                </c:pt>
                <c:pt idx="39">
                  <c:v>-0.41547489999999998</c:v>
                </c:pt>
                <c:pt idx="40">
                  <c:v>-0.35501879999999997</c:v>
                </c:pt>
                <c:pt idx="41">
                  <c:v>-0.463389575</c:v>
                </c:pt>
                <c:pt idx="42">
                  <c:v>-0.48043304999999997</c:v>
                </c:pt>
                <c:pt idx="43">
                  <c:v>-0.41997695000000002</c:v>
                </c:pt>
                <c:pt idx="44">
                  <c:v>-0.39907457499999999</c:v>
                </c:pt>
                <c:pt idx="45">
                  <c:v>-0.21449052499999999</c:v>
                </c:pt>
                <c:pt idx="46">
                  <c:v>-0.21545524999999999</c:v>
                </c:pt>
                <c:pt idx="47">
                  <c:v>-0.38363897500000005</c:v>
                </c:pt>
                <c:pt idx="48">
                  <c:v>-0.28491545000000001</c:v>
                </c:pt>
                <c:pt idx="49">
                  <c:v>-0.191337125</c:v>
                </c:pt>
                <c:pt idx="50">
                  <c:v>-0.263369925</c:v>
                </c:pt>
                <c:pt idx="51">
                  <c:v>-0.40003929999999999</c:v>
                </c:pt>
                <c:pt idx="52">
                  <c:v>-0.47239367500000007</c:v>
                </c:pt>
                <c:pt idx="53">
                  <c:v>-0.52577512500000001</c:v>
                </c:pt>
                <c:pt idx="54">
                  <c:v>-0.39232149999999999</c:v>
                </c:pt>
                <c:pt idx="55">
                  <c:v>-0.29006064999999998</c:v>
                </c:pt>
                <c:pt idx="56">
                  <c:v>-0.48879399999999995</c:v>
                </c:pt>
                <c:pt idx="57">
                  <c:v>-0.50583747500000009</c:v>
                </c:pt>
                <c:pt idx="58">
                  <c:v>-0.51355527500000009</c:v>
                </c:pt>
                <c:pt idx="59">
                  <c:v>-0.47625257499999996</c:v>
                </c:pt>
                <c:pt idx="60">
                  <c:v>-0.51644944999999998</c:v>
                </c:pt>
                <c:pt idx="61">
                  <c:v>-0.43734200000000001</c:v>
                </c:pt>
                <c:pt idx="62">
                  <c:v>-0.417725925</c:v>
                </c:pt>
                <c:pt idx="63">
                  <c:v>-0.23539290000000002</c:v>
                </c:pt>
                <c:pt idx="64">
                  <c:v>-0.16046592500000001</c:v>
                </c:pt>
                <c:pt idx="65">
                  <c:v>-0.38331740000000003</c:v>
                </c:pt>
                <c:pt idx="66">
                  <c:v>-0.50037069999999995</c:v>
                </c:pt>
                <c:pt idx="67">
                  <c:v>-0.36788179999999998</c:v>
                </c:pt>
                <c:pt idx="68">
                  <c:v>-0.31192775</c:v>
                </c:pt>
                <c:pt idx="69">
                  <c:v>-0.26433465</c:v>
                </c:pt>
                <c:pt idx="70">
                  <c:v>-0.18426247499999998</c:v>
                </c:pt>
                <c:pt idx="71">
                  <c:v>-0.29906475000000005</c:v>
                </c:pt>
                <c:pt idx="72">
                  <c:v>-0.28041340000000003</c:v>
                </c:pt>
                <c:pt idx="73">
                  <c:v>-0.29263324999999996</c:v>
                </c:pt>
                <c:pt idx="74">
                  <c:v>-0.23378502500000001</c:v>
                </c:pt>
                <c:pt idx="75">
                  <c:v>-0.10579817499999999</c:v>
                </c:pt>
                <c:pt idx="76">
                  <c:v>-0.201627525</c:v>
                </c:pt>
                <c:pt idx="77">
                  <c:v>-0.19551760000000001</c:v>
                </c:pt>
                <c:pt idx="78">
                  <c:v>-0.34601470000000001</c:v>
                </c:pt>
                <c:pt idx="79">
                  <c:v>-0.12573582500000002</c:v>
                </c:pt>
                <c:pt idx="80">
                  <c:v>-9.1970450000000009E-2</c:v>
                </c:pt>
                <c:pt idx="81">
                  <c:v>-0.1312026</c:v>
                </c:pt>
                <c:pt idx="82">
                  <c:v>-0.26079732500000002</c:v>
                </c:pt>
                <c:pt idx="83">
                  <c:v>-0.12444952500000001</c:v>
                </c:pt>
                <c:pt idx="84">
                  <c:v>-0.17268577499999999</c:v>
                </c:pt>
                <c:pt idx="85">
                  <c:v>-0.13313205</c:v>
                </c:pt>
                <c:pt idx="86">
                  <c:v>-1.8008199999999999E-2</c:v>
                </c:pt>
                <c:pt idx="87">
                  <c:v>-1.6078749999999947E-3</c:v>
                </c:pt>
                <c:pt idx="88">
                  <c:v>-5.2416725000000004E-2</c:v>
                </c:pt>
                <c:pt idx="89">
                  <c:v>-3.5373249999999992E-3</c:v>
                </c:pt>
                <c:pt idx="90">
                  <c:v>2.4439699999999998E-2</c:v>
                </c:pt>
                <c:pt idx="91">
                  <c:v>-5.7883499999999994E-3</c:v>
                </c:pt>
                <c:pt idx="92">
                  <c:v>1.9294500000000001E-3</c:v>
                </c:pt>
                <c:pt idx="93">
                  <c:v>0.132167325</c:v>
                </c:pt>
                <c:pt idx="94">
                  <c:v>4.7593100000000013E-2</c:v>
                </c:pt>
                <c:pt idx="95">
                  <c:v>-3.5694824999999999E-2</c:v>
                </c:pt>
                <c:pt idx="96">
                  <c:v>-3.6659550000000006E-2</c:v>
                </c:pt>
                <c:pt idx="97">
                  <c:v>-2.8620175000000001E-2</c:v>
                </c:pt>
                <c:pt idx="98">
                  <c:v>-7.1389649999999999E-2</c:v>
                </c:pt>
                <c:pt idx="99">
                  <c:v>-0.15371285000000001</c:v>
                </c:pt>
                <c:pt idx="100">
                  <c:v>-2.9584899999999997E-2</c:v>
                </c:pt>
                <c:pt idx="101">
                  <c:v>3.7302699999999994E-2</c:v>
                </c:pt>
                <c:pt idx="102">
                  <c:v>0.1003314</c:v>
                </c:pt>
                <c:pt idx="103">
                  <c:v>-0.11158652500000001</c:v>
                </c:pt>
                <c:pt idx="104">
                  <c:v>-0.16496797499999999</c:v>
                </c:pt>
                <c:pt idx="105">
                  <c:v>-0.24214597500000001</c:v>
                </c:pt>
                <c:pt idx="106">
                  <c:v>1.093355E-2</c:v>
                </c:pt>
                <c:pt idx="107">
                  <c:v>6.9781775000000004E-2</c:v>
                </c:pt>
                <c:pt idx="108">
                  <c:v>3.2479075000000003E-2</c:v>
                </c:pt>
                <c:pt idx="109">
                  <c:v>-2.5725999999999999E-2</c:v>
                </c:pt>
                <c:pt idx="110">
                  <c:v>4.7914674999999997E-2</c:v>
                </c:pt>
                <c:pt idx="111">
                  <c:v>1.6078749999999999E-2</c:v>
                </c:pt>
                <c:pt idx="112">
                  <c:v>4.566365E-2</c:v>
                </c:pt>
                <c:pt idx="113">
                  <c:v>-0.19230185</c:v>
                </c:pt>
                <c:pt idx="114">
                  <c:v>-0.14535189999999998</c:v>
                </c:pt>
                <c:pt idx="115">
                  <c:v>-4.7914674999999997E-2</c:v>
                </c:pt>
                <c:pt idx="116">
                  <c:v>-6.6566025000000001E-2</c:v>
                </c:pt>
                <c:pt idx="117">
                  <c:v>-0.10354715</c:v>
                </c:pt>
                <c:pt idx="118">
                  <c:v>3.2157499999999999E-2</c:v>
                </c:pt>
                <c:pt idx="119">
                  <c:v>-2.6369150000000001E-2</c:v>
                </c:pt>
                <c:pt idx="120">
                  <c:v>-0.18715665000000001</c:v>
                </c:pt>
                <c:pt idx="121">
                  <c:v>-7.3962249999999993E-2</c:v>
                </c:pt>
                <c:pt idx="122">
                  <c:v>5.434617500000001E-2</c:v>
                </c:pt>
                <c:pt idx="123">
                  <c:v>-0.19455287500000001</c:v>
                </c:pt>
                <c:pt idx="124">
                  <c:v>-0.14052827500000001</c:v>
                </c:pt>
                <c:pt idx="125">
                  <c:v>-0.22960454999999999</c:v>
                </c:pt>
                <c:pt idx="126">
                  <c:v>3.0549625E-2</c:v>
                </c:pt>
                <c:pt idx="127">
                  <c:v>-5.6275625000000003E-2</c:v>
                </c:pt>
                <c:pt idx="128">
                  <c:v>5.1773575000000002E-2</c:v>
                </c:pt>
                <c:pt idx="129">
                  <c:v>7.8142724999999996E-2</c:v>
                </c:pt>
                <c:pt idx="130">
                  <c:v>0.11930432499999999</c:v>
                </c:pt>
                <c:pt idx="131">
                  <c:v>7.7177999999999986E-3</c:v>
                </c:pt>
                <c:pt idx="132">
                  <c:v>0.18297617500000002</c:v>
                </c:pt>
                <c:pt idx="133">
                  <c:v>-2.0902375000000001E-2</c:v>
                </c:pt>
                <c:pt idx="134">
                  <c:v>-3.6337975000000002E-2</c:v>
                </c:pt>
                <c:pt idx="135">
                  <c:v>3.0228049999999999E-2</c:v>
                </c:pt>
                <c:pt idx="136">
                  <c:v>0.17429364999999999</c:v>
                </c:pt>
                <c:pt idx="137">
                  <c:v>0.19005082500000001</c:v>
                </c:pt>
                <c:pt idx="138">
                  <c:v>0.12316322500000002</c:v>
                </c:pt>
                <c:pt idx="139">
                  <c:v>0.2855586</c:v>
                </c:pt>
                <c:pt idx="140">
                  <c:v>0.23957337499999998</c:v>
                </c:pt>
                <c:pt idx="141">
                  <c:v>8.7789974999999992E-2</c:v>
                </c:pt>
                <c:pt idx="142">
                  <c:v>0.12316322499999999</c:v>
                </c:pt>
                <c:pt idx="143">
                  <c:v>0.20420012500000001</c:v>
                </c:pt>
                <c:pt idx="144">
                  <c:v>0.31128460000000002</c:v>
                </c:pt>
                <c:pt idx="145">
                  <c:v>0.16303852500000002</c:v>
                </c:pt>
                <c:pt idx="146">
                  <c:v>0.37109755</c:v>
                </c:pt>
                <c:pt idx="147">
                  <c:v>0.53606552499999993</c:v>
                </c:pt>
                <c:pt idx="148">
                  <c:v>0.30710412500000001</c:v>
                </c:pt>
                <c:pt idx="149">
                  <c:v>0.29456269999999996</c:v>
                </c:pt>
                <c:pt idx="150">
                  <c:v>0.43058892500000001</c:v>
                </c:pt>
                <c:pt idx="151">
                  <c:v>0.48686455000000006</c:v>
                </c:pt>
                <c:pt idx="152">
                  <c:v>0.50037069999999995</c:v>
                </c:pt>
                <c:pt idx="153">
                  <c:v>0.44441664999999997</c:v>
                </c:pt>
                <c:pt idx="154">
                  <c:v>0.53381450000000008</c:v>
                </c:pt>
                <c:pt idx="155">
                  <c:v>0.49522549999999999</c:v>
                </c:pt>
                <c:pt idx="156">
                  <c:v>0.48268407499999999</c:v>
                </c:pt>
                <c:pt idx="157">
                  <c:v>0.39007047499999997</c:v>
                </c:pt>
                <c:pt idx="158">
                  <c:v>0.48911557500000002</c:v>
                </c:pt>
                <c:pt idx="159">
                  <c:v>0.550857975</c:v>
                </c:pt>
                <c:pt idx="160">
                  <c:v>0.41000812499999995</c:v>
                </c:pt>
                <c:pt idx="161">
                  <c:v>0.46403272499999998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770576"/>
        <c:axId val="478772144"/>
      </c:scatterChart>
      <c:valAx>
        <c:axId val="478770576"/>
        <c:scaling>
          <c:orientation val="minMax"/>
          <c:max val="2015"/>
          <c:min val="1850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Year</a:t>
                </a:r>
              </a:p>
            </c:rich>
          </c:tx>
          <c:layout>
            <c:manualLayout>
              <c:xMode val="edge"/>
              <c:yMode val="edge"/>
              <c:x val="0.53147533126788948"/>
              <c:y val="0.90757086076153715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478772144"/>
        <c:crosses val="autoZero"/>
        <c:crossBetween val="midCat"/>
      </c:valAx>
      <c:valAx>
        <c:axId val="478772144"/>
        <c:scaling>
          <c:orientation val="minMax"/>
          <c:max val="0.60000000000000009"/>
          <c:min val="-0.60000000000000009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sz="1600"/>
                  <a:t>Temperature Anomaly</a:t>
                </a:r>
              </a:p>
            </c:rich>
          </c:tx>
          <c:layout>
            <c:manualLayout>
              <c:xMode val="edge"/>
              <c:yMode val="edge"/>
              <c:x val="3.3594111096407896E-3"/>
              <c:y val="0.2572650039214808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7877057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9379498568079451"/>
          <c:y val="7.2547000042975041E-2"/>
          <c:w val="0.29279690464504382"/>
          <c:h val="0.24896294553975548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spPr>
    <a:solidFill>
      <a:srgbClr val="99FFCC"/>
    </a:solidFill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47112860892391E-2"/>
          <c:y val="5.1400554097404488E-2"/>
          <c:w val="0.80213910761154861"/>
          <c:h val="0.8971988918051909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main!$B$10:$B$171</c:f>
              <c:numCache>
                <c:formatCode>General</c:formatCode>
                <c:ptCount val="162"/>
                <c:pt idx="0">
                  <c:v>-0.219</c:v>
                </c:pt>
                <c:pt idx="1">
                  <c:v>-0.223</c:v>
                </c:pt>
                <c:pt idx="2">
                  <c:v>-0.26800000000000002</c:v>
                </c:pt>
                <c:pt idx="3">
                  <c:v>-0.24299999999999999</c:v>
                </c:pt>
                <c:pt idx="4">
                  <c:v>-0.26400000000000001</c:v>
                </c:pt>
                <c:pt idx="5">
                  <c:v>-0.35599999999999998</c:v>
                </c:pt>
                <c:pt idx="6">
                  <c:v>-0.45400000000000001</c:v>
                </c:pt>
                <c:pt idx="7">
                  <c:v>-0.46100000000000002</c:v>
                </c:pt>
                <c:pt idx="8">
                  <c:v>-0.28199999999999997</c:v>
                </c:pt>
                <c:pt idx="9">
                  <c:v>-0.33800000000000002</c:v>
                </c:pt>
                <c:pt idx="10">
                  <c:v>-0.39100000000000001</c:v>
                </c:pt>
                <c:pt idx="11">
                  <c:v>-0.503</c:v>
                </c:pt>
                <c:pt idx="12">
                  <c:v>-0.27500000000000002</c:v>
                </c:pt>
                <c:pt idx="13">
                  <c:v>-0.47799999999999998</c:v>
                </c:pt>
                <c:pt idx="14">
                  <c:v>-0.27</c:v>
                </c:pt>
                <c:pt idx="15">
                  <c:v>-0.24099999999999999</c:v>
                </c:pt>
                <c:pt idx="16">
                  <c:v>-0.308</c:v>
                </c:pt>
                <c:pt idx="17">
                  <c:v>-0.23</c:v>
                </c:pt>
                <c:pt idx="18">
                  <c:v>-0.25900000000000001</c:v>
                </c:pt>
                <c:pt idx="19">
                  <c:v>-0.27100000000000002</c:v>
                </c:pt>
                <c:pt idx="20">
                  <c:v>-0.32600000000000001</c:v>
                </c:pt>
                <c:pt idx="21">
                  <c:v>-0.22900000000000001</c:v>
                </c:pt>
                <c:pt idx="22">
                  <c:v>-0.30599999999999999</c:v>
                </c:pt>
                <c:pt idx="23">
                  <c:v>-0.373</c:v>
                </c:pt>
                <c:pt idx="24">
                  <c:v>-0.40799999999999997</c:v>
                </c:pt>
                <c:pt idx="25">
                  <c:v>-0.38400000000000001</c:v>
                </c:pt>
                <c:pt idx="26">
                  <c:v>-7.2999999999999995E-2</c:v>
                </c:pt>
                <c:pt idx="27">
                  <c:v>3.2000000000000001E-2</c:v>
                </c:pt>
                <c:pt idx="28">
                  <c:v>-0.23400000000000001</c:v>
                </c:pt>
                <c:pt idx="29">
                  <c:v>-0.23</c:v>
                </c:pt>
                <c:pt idx="30">
                  <c:v>-0.20699999999999999</c:v>
                </c:pt>
                <c:pt idx="31">
                  <c:v>-0.214</c:v>
                </c:pt>
                <c:pt idx="32">
                  <c:v>-0.29199999999999998</c:v>
                </c:pt>
                <c:pt idx="33">
                  <c:v>-0.40300000000000002</c:v>
                </c:pt>
                <c:pt idx="34">
                  <c:v>-0.38500000000000001</c:v>
                </c:pt>
                <c:pt idx="35">
                  <c:v>-0.36599999999999999</c:v>
                </c:pt>
                <c:pt idx="36">
                  <c:v>-0.41799999999999998</c:v>
                </c:pt>
                <c:pt idx="37">
                  <c:v>-0.309</c:v>
                </c:pt>
                <c:pt idx="38">
                  <c:v>-0.17299999999999999</c:v>
                </c:pt>
                <c:pt idx="39">
                  <c:v>-0.41899999999999998</c:v>
                </c:pt>
                <c:pt idx="40">
                  <c:v>-0.33900000000000002</c:v>
                </c:pt>
                <c:pt idx="41">
                  <c:v>-0.45600000000000002</c:v>
                </c:pt>
                <c:pt idx="42">
                  <c:v>-0.47499999999999998</c:v>
                </c:pt>
                <c:pt idx="43">
                  <c:v>-0.40799999999999997</c:v>
                </c:pt>
                <c:pt idx="44">
                  <c:v>-0.39300000000000002</c:v>
                </c:pt>
                <c:pt idx="45">
                  <c:v>-0.191</c:v>
                </c:pt>
                <c:pt idx="46">
                  <c:v>-0.21</c:v>
                </c:pt>
                <c:pt idx="47">
                  <c:v>-0.40799999999999997</c:v>
                </c:pt>
                <c:pt idx="48">
                  <c:v>-0.28799999999999998</c:v>
                </c:pt>
                <c:pt idx="49">
                  <c:v>-0.19800000000000001</c:v>
                </c:pt>
                <c:pt idx="50">
                  <c:v>-0.26700000000000002</c:v>
                </c:pt>
                <c:pt idx="51">
                  <c:v>-0.41199999999999998</c:v>
                </c:pt>
                <c:pt idx="52">
                  <c:v>-0.48099999999999998</c:v>
                </c:pt>
                <c:pt idx="53">
                  <c:v>-0.52800000000000002</c:v>
                </c:pt>
                <c:pt idx="54">
                  <c:v>-0.38200000000000001</c:v>
                </c:pt>
                <c:pt idx="55">
                  <c:v>-0.29399999999999998</c:v>
                </c:pt>
                <c:pt idx="56">
                  <c:v>-0.47599999999999998</c:v>
                </c:pt>
                <c:pt idx="57">
                  <c:v>-0.52300000000000002</c:v>
                </c:pt>
                <c:pt idx="58">
                  <c:v>-0.53600000000000003</c:v>
                </c:pt>
                <c:pt idx="59">
                  <c:v>-0.496</c:v>
                </c:pt>
                <c:pt idx="60">
                  <c:v>-0.55400000000000005</c:v>
                </c:pt>
                <c:pt idx="61">
                  <c:v>-0.44900000000000001</c:v>
                </c:pt>
                <c:pt idx="62">
                  <c:v>-0.439</c:v>
                </c:pt>
                <c:pt idx="63">
                  <c:v>-0.25800000000000001</c:v>
                </c:pt>
                <c:pt idx="64">
                  <c:v>-0.16400000000000001</c:v>
                </c:pt>
                <c:pt idx="65">
                  <c:v>-0.39800000000000002</c:v>
                </c:pt>
                <c:pt idx="66">
                  <c:v>-0.48099999999999998</c:v>
                </c:pt>
                <c:pt idx="67">
                  <c:v>-0.34300000000000003</c:v>
                </c:pt>
                <c:pt idx="68">
                  <c:v>-0.28399999999999997</c:v>
                </c:pt>
                <c:pt idx="69">
                  <c:v>-0.252</c:v>
                </c:pt>
                <c:pt idx="70">
                  <c:v>-0.19</c:v>
                </c:pt>
                <c:pt idx="71">
                  <c:v>-0.309</c:v>
                </c:pt>
                <c:pt idx="72">
                  <c:v>-0.27500000000000002</c:v>
                </c:pt>
                <c:pt idx="73">
                  <c:v>-0.3</c:v>
                </c:pt>
                <c:pt idx="74">
                  <c:v>-0.219</c:v>
                </c:pt>
                <c:pt idx="75">
                  <c:v>-0.112</c:v>
                </c:pt>
                <c:pt idx="76">
                  <c:v>-0.21299999999999999</c:v>
                </c:pt>
                <c:pt idx="77">
                  <c:v>-0.21099999999999999</c:v>
                </c:pt>
                <c:pt idx="78">
                  <c:v>-0.34899999999999998</c:v>
                </c:pt>
                <c:pt idx="79">
                  <c:v>-0.13800000000000001</c:v>
                </c:pt>
                <c:pt idx="80">
                  <c:v>-8.6999999999999994E-2</c:v>
                </c:pt>
                <c:pt idx="81">
                  <c:v>-0.13500000000000001</c:v>
                </c:pt>
                <c:pt idx="82">
                  <c:v>-0.27300000000000002</c:v>
                </c:pt>
                <c:pt idx="83">
                  <c:v>-0.126</c:v>
                </c:pt>
                <c:pt idx="84">
                  <c:v>-0.17599999999999999</c:v>
                </c:pt>
                <c:pt idx="85">
                  <c:v>-0.14299999999999999</c:v>
                </c:pt>
                <c:pt idx="86">
                  <c:v>-2.5000000000000001E-2</c:v>
                </c:pt>
                <c:pt idx="87">
                  <c:v>-5.0000000000000001E-3</c:v>
                </c:pt>
                <c:pt idx="88">
                  <c:v>-5.5E-2</c:v>
                </c:pt>
                <c:pt idx="89">
                  <c:v>1.7999999999999999E-2</c:v>
                </c:pt>
                <c:pt idx="90">
                  <c:v>1.7999999999999999E-2</c:v>
                </c:pt>
                <c:pt idx="91">
                  <c:v>-2.3E-2</c:v>
                </c:pt>
                <c:pt idx="92">
                  <c:v>-3.0000000000000001E-3</c:v>
                </c:pt>
                <c:pt idx="93">
                  <c:v>0.15</c:v>
                </c:pt>
                <c:pt idx="94">
                  <c:v>3.3000000000000002E-2</c:v>
                </c:pt>
                <c:pt idx="95">
                  <c:v>-6.8000000000000005E-2</c:v>
                </c:pt>
                <c:pt idx="96">
                  <c:v>-3.7999999999999999E-2</c:v>
                </c:pt>
                <c:pt idx="97">
                  <c:v>-3.5000000000000003E-2</c:v>
                </c:pt>
                <c:pt idx="98">
                  <c:v>-7.5999999999999998E-2</c:v>
                </c:pt>
                <c:pt idx="99">
                  <c:v>-0.17399999999999999</c:v>
                </c:pt>
                <c:pt idx="100">
                  <c:v>-4.8000000000000001E-2</c:v>
                </c:pt>
                <c:pt idx="101">
                  <c:v>3.3000000000000002E-2</c:v>
                </c:pt>
                <c:pt idx="102">
                  <c:v>0.10100000000000001</c:v>
                </c:pt>
                <c:pt idx="103">
                  <c:v>-0.128</c:v>
                </c:pt>
                <c:pt idx="104">
                  <c:v>-0.185</c:v>
                </c:pt>
                <c:pt idx="105">
                  <c:v>-0.26200000000000001</c:v>
                </c:pt>
                <c:pt idx="106">
                  <c:v>-1E-3</c:v>
                </c:pt>
                <c:pt idx="107">
                  <c:v>4.9000000000000002E-2</c:v>
                </c:pt>
                <c:pt idx="108">
                  <c:v>1.7000000000000001E-2</c:v>
                </c:pt>
                <c:pt idx="109">
                  <c:v>-0.05</c:v>
                </c:pt>
                <c:pt idx="110">
                  <c:v>3.9E-2</c:v>
                </c:pt>
                <c:pt idx="111">
                  <c:v>1.7999999999999999E-2</c:v>
                </c:pt>
                <c:pt idx="112">
                  <c:v>0.05</c:v>
                </c:pt>
                <c:pt idx="113">
                  <c:v>-0.224</c:v>
                </c:pt>
                <c:pt idx="114">
                  <c:v>-0.14099999999999999</c:v>
                </c:pt>
                <c:pt idx="115">
                  <c:v>-7.2999999999999995E-2</c:v>
                </c:pt>
                <c:pt idx="116">
                  <c:v>-7.5999999999999998E-2</c:v>
                </c:pt>
                <c:pt idx="117">
                  <c:v>-0.113</c:v>
                </c:pt>
                <c:pt idx="118">
                  <c:v>2.9000000000000001E-2</c:v>
                </c:pt>
                <c:pt idx="119">
                  <c:v>-2.9000000000000001E-2</c:v>
                </c:pt>
                <c:pt idx="120">
                  <c:v>-0.184</c:v>
                </c:pt>
                <c:pt idx="121">
                  <c:v>-6.9000000000000006E-2</c:v>
                </c:pt>
                <c:pt idx="122">
                  <c:v>6.3E-2</c:v>
                </c:pt>
                <c:pt idx="123">
                  <c:v>-0.21099999999999999</c:v>
                </c:pt>
                <c:pt idx="124">
                  <c:v>-0.14499999999999999</c:v>
                </c:pt>
                <c:pt idx="125">
                  <c:v>-0.23799999999999999</c:v>
                </c:pt>
                <c:pt idx="126">
                  <c:v>4.5999999999999999E-2</c:v>
                </c:pt>
                <c:pt idx="127">
                  <c:v>-6.2E-2</c:v>
                </c:pt>
                <c:pt idx="128">
                  <c:v>5.8000000000000003E-2</c:v>
                </c:pt>
                <c:pt idx="129">
                  <c:v>9.2999999999999999E-2</c:v>
                </c:pt>
                <c:pt idx="130">
                  <c:v>0.14199999999999999</c:v>
                </c:pt>
                <c:pt idx="131">
                  <c:v>1.2999999999999999E-2</c:v>
                </c:pt>
                <c:pt idx="132">
                  <c:v>0.191</c:v>
                </c:pt>
                <c:pt idx="133">
                  <c:v>-1.4E-2</c:v>
                </c:pt>
                <c:pt idx="134">
                  <c:v>-2.9000000000000001E-2</c:v>
                </c:pt>
                <c:pt idx="135">
                  <c:v>4.7E-2</c:v>
                </c:pt>
                <c:pt idx="136">
                  <c:v>0.186</c:v>
                </c:pt>
                <c:pt idx="137">
                  <c:v>0.20100000000000001</c:v>
                </c:pt>
                <c:pt idx="138">
                  <c:v>0.121</c:v>
                </c:pt>
                <c:pt idx="139">
                  <c:v>0.29099999999999998</c:v>
                </c:pt>
                <c:pt idx="140">
                  <c:v>0.253</c:v>
                </c:pt>
                <c:pt idx="141">
                  <c:v>0.10199999999999999</c:v>
                </c:pt>
                <c:pt idx="142">
                  <c:v>0.14299999999999999</c:v>
                </c:pt>
                <c:pt idx="143">
                  <c:v>0.20300000000000001</c:v>
                </c:pt>
                <c:pt idx="144">
                  <c:v>0.32400000000000001</c:v>
                </c:pt>
                <c:pt idx="145">
                  <c:v>0.17899999999999999</c:v>
                </c:pt>
                <c:pt idx="146">
                  <c:v>0.39200000000000002</c:v>
                </c:pt>
                <c:pt idx="147">
                  <c:v>0.53100000000000003</c:v>
                </c:pt>
                <c:pt idx="148">
                  <c:v>0.30099999999999999</c:v>
                </c:pt>
                <c:pt idx="149">
                  <c:v>0.29399999999999998</c:v>
                </c:pt>
                <c:pt idx="150">
                  <c:v>0.437</c:v>
                </c:pt>
                <c:pt idx="151">
                  <c:v>0.49199999999999999</c:v>
                </c:pt>
                <c:pt idx="152">
                  <c:v>0.503</c:v>
                </c:pt>
                <c:pt idx="153">
                  <c:v>0.44500000000000001</c:v>
                </c:pt>
                <c:pt idx="154">
                  <c:v>0.53900000000000003</c:v>
                </c:pt>
                <c:pt idx="155">
                  <c:v>0.495</c:v>
                </c:pt>
                <c:pt idx="156">
                  <c:v>0.48299999999999998</c:v>
                </c:pt>
                <c:pt idx="157">
                  <c:v>0.38800000000000001</c:v>
                </c:pt>
                <c:pt idx="158">
                  <c:v>0.49399999999999999</c:v>
                </c:pt>
                <c:pt idx="159">
                  <c:v>0.54700000000000004</c:v>
                </c:pt>
                <c:pt idx="160">
                  <c:v>0.40600000000000003</c:v>
                </c:pt>
                <c:pt idx="161">
                  <c:v>0.44800000000000001</c:v>
                </c:pt>
              </c:numCache>
            </c:numRef>
          </c:xVal>
          <c:yVal>
            <c:numRef>
              <c:f>main!$C$10:$C$171</c:f>
              <c:numCache>
                <c:formatCode>General</c:formatCode>
                <c:ptCount val="162"/>
                <c:pt idx="0">
                  <c:v>-5.9491374999999999E-2</c:v>
                </c:pt>
                <c:pt idx="1">
                  <c:v>-4.4377349999999996E-2</c:v>
                </c:pt>
                <c:pt idx="2">
                  <c:v>-0.23185557499999998</c:v>
                </c:pt>
                <c:pt idx="3">
                  <c:v>-0.107084475</c:v>
                </c:pt>
                <c:pt idx="4">
                  <c:v>-0.20516485000000001</c:v>
                </c:pt>
                <c:pt idx="5">
                  <c:v>-0.36337975</c:v>
                </c:pt>
                <c:pt idx="6">
                  <c:v>-0.41547489999999998</c:v>
                </c:pt>
                <c:pt idx="7">
                  <c:v>-0.44570294999999999</c:v>
                </c:pt>
                <c:pt idx="8">
                  <c:v>-0.27430347500000002</c:v>
                </c:pt>
                <c:pt idx="9">
                  <c:v>-0.35373250000000001</c:v>
                </c:pt>
                <c:pt idx="10">
                  <c:v>-0.39425094999999999</c:v>
                </c:pt>
                <c:pt idx="11">
                  <c:v>-0.47207209999999999</c:v>
                </c:pt>
                <c:pt idx="12">
                  <c:v>-0.28877435000000001</c:v>
                </c:pt>
                <c:pt idx="13">
                  <c:v>-0.47882517499999999</c:v>
                </c:pt>
                <c:pt idx="14">
                  <c:v>-0.26947984999999997</c:v>
                </c:pt>
                <c:pt idx="15">
                  <c:v>-0.24857747499999999</c:v>
                </c:pt>
                <c:pt idx="16">
                  <c:v>-0.30839042500000002</c:v>
                </c:pt>
                <c:pt idx="17">
                  <c:v>-0.24857747499999999</c:v>
                </c:pt>
                <c:pt idx="18">
                  <c:v>-0.26240520000000001</c:v>
                </c:pt>
                <c:pt idx="19">
                  <c:v>-0.29745687500000001</c:v>
                </c:pt>
                <c:pt idx="20">
                  <c:v>-0.33733217500000001</c:v>
                </c:pt>
                <c:pt idx="21">
                  <c:v>-0.24182439999999999</c:v>
                </c:pt>
                <c:pt idx="22">
                  <c:v>-0.29777844999999997</c:v>
                </c:pt>
                <c:pt idx="23">
                  <c:v>-0.40454135000000002</c:v>
                </c:pt>
                <c:pt idx="24">
                  <c:v>-0.44120090000000001</c:v>
                </c:pt>
                <c:pt idx="25">
                  <c:v>-0.38138794999999998</c:v>
                </c:pt>
                <c:pt idx="26">
                  <c:v>-0.10065297500000001</c:v>
                </c:pt>
                <c:pt idx="27">
                  <c:v>9.3256750000000003E-3</c:v>
                </c:pt>
                <c:pt idx="28">
                  <c:v>-0.29810002499999999</c:v>
                </c:pt>
                <c:pt idx="29">
                  <c:v>-0.229282975</c:v>
                </c:pt>
                <c:pt idx="30">
                  <c:v>-0.24311070000000001</c:v>
                </c:pt>
                <c:pt idx="31">
                  <c:v>-0.2341066</c:v>
                </c:pt>
                <c:pt idx="32">
                  <c:v>-0.34119107500000001</c:v>
                </c:pt>
                <c:pt idx="33">
                  <c:v>-0.43927145000000001</c:v>
                </c:pt>
                <c:pt idx="34">
                  <c:v>-0.42287112500000001</c:v>
                </c:pt>
                <c:pt idx="35">
                  <c:v>-0.38814102500000003</c:v>
                </c:pt>
                <c:pt idx="36">
                  <c:v>-0.44055774999999997</c:v>
                </c:pt>
                <c:pt idx="37">
                  <c:v>-0.35212462499999997</c:v>
                </c:pt>
                <c:pt idx="38">
                  <c:v>-0.18683507500000002</c:v>
                </c:pt>
                <c:pt idx="39">
                  <c:v>-0.41547489999999998</c:v>
                </c:pt>
                <c:pt idx="40">
                  <c:v>-0.35501879999999997</c:v>
                </c:pt>
                <c:pt idx="41">
                  <c:v>-0.463389575</c:v>
                </c:pt>
                <c:pt idx="42">
                  <c:v>-0.48043304999999997</c:v>
                </c:pt>
                <c:pt idx="43">
                  <c:v>-0.41997695000000002</c:v>
                </c:pt>
                <c:pt idx="44">
                  <c:v>-0.39907457499999999</c:v>
                </c:pt>
                <c:pt idx="45">
                  <c:v>-0.21449052499999999</c:v>
                </c:pt>
                <c:pt idx="46">
                  <c:v>-0.21545524999999999</c:v>
                </c:pt>
                <c:pt idx="47">
                  <c:v>-0.38363897500000005</c:v>
                </c:pt>
                <c:pt idx="48">
                  <c:v>-0.28491545000000001</c:v>
                </c:pt>
                <c:pt idx="49">
                  <c:v>-0.191337125</c:v>
                </c:pt>
                <c:pt idx="50">
                  <c:v>-0.263369925</c:v>
                </c:pt>
                <c:pt idx="51">
                  <c:v>-0.40003929999999999</c:v>
                </c:pt>
                <c:pt idx="52">
                  <c:v>-0.47239367500000007</c:v>
                </c:pt>
                <c:pt idx="53">
                  <c:v>-0.52577512500000001</c:v>
                </c:pt>
                <c:pt idx="54">
                  <c:v>-0.39232149999999999</c:v>
                </c:pt>
                <c:pt idx="55">
                  <c:v>-0.29006064999999998</c:v>
                </c:pt>
                <c:pt idx="56">
                  <c:v>-0.48879399999999995</c:v>
                </c:pt>
                <c:pt idx="57">
                  <c:v>-0.50583747500000009</c:v>
                </c:pt>
                <c:pt idx="58">
                  <c:v>-0.51355527500000009</c:v>
                </c:pt>
                <c:pt idx="59">
                  <c:v>-0.47625257499999996</c:v>
                </c:pt>
                <c:pt idx="60">
                  <c:v>-0.51644944999999998</c:v>
                </c:pt>
                <c:pt idx="61">
                  <c:v>-0.43734200000000001</c:v>
                </c:pt>
                <c:pt idx="62">
                  <c:v>-0.417725925</c:v>
                </c:pt>
                <c:pt idx="63">
                  <c:v>-0.23539290000000002</c:v>
                </c:pt>
                <c:pt idx="64">
                  <c:v>-0.16046592500000001</c:v>
                </c:pt>
                <c:pt idx="65">
                  <c:v>-0.38331740000000003</c:v>
                </c:pt>
                <c:pt idx="66">
                  <c:v>-0.50037069999999995</c:v>
                </c:pt>
                <c:pt idx="67">
                  <c:v>-0.36788179999999998</c:v>
                </c:pt>
                <c:pt idx="68">
                  <c:v>-0.31192775</c:v>
                </c:pt>
                <c:pt idx="69">
                  <c:v>-0.26433465</c:v>
                </c:pt>
                <c:pt idx="70">
                  <c:v>-0.18426247499999998</c:v>
                </c:pt>
                <c:pt idx="71">
                  <c:v>-0.29906475000000005</c:v>
                </c:pt>
                <c:pt idx="72">
                  <c:v>-0.28041340000000003</c:v>
                </c:pt>
                <c:pt idx="73">
                  <c:v>-0.29263324999999996</c:v>
                </c:pt>
                <c:pt idx="74">
                  <c:v>-0.23378502500000001</c:v>
                </c:pt>
                <c:pt idx="75">
                  <c:v>-0.10579817499999999</c:v>
                </c:pt>
                <c:pt idx="76">
                  <c:v>-0.201627525</c:v>
                </c:pt>
                <c:pt idx="77">
                  <c:v>-0.19551760000000001</c:v>
                </c:pt>
                <c:pt idx="78">
                  <c:v>-0.34601470000000001</c:v>
                </c:pt>
                <c:pt idx="79">
                  <c:v>-0.12573582500000002</c:v>
                </c:pt>
                <c:pt idx="80">
                  <c:v>-9.1970450000000009E-2</c:v>
                </c:pt>
                <c:pt idx="81">
                  <c:v>-0.1312026</c:v>
                </c:pt>
                <c:pt idx="82">
                  <c:v>-0.26079732500000002</c:v>
                </c:pt>
                <c:pt idx="83">
                  <c:v>-0.12444952500000001</c:v>
                </c:pt>
                <c:pt idx="84">
                  <c:v>-0.17268577499999999</c:v>
                </c:pt>
                <c:pt idx="85">
                  <c:v>-0.13313205</c:v>
                </c:pt>
                <c:pt idx="86">
                  <c:v>-1.8008199999999999E-2</c:v>
                </c:pt>
                <c:pt idx="87">
                  <c:v>-1.6078749999999947E-3</c:v>
                </c:pt>
                <c:pt idx="88">
                  <c:v>-5.2416725000000004E-2</c:v>
                </c:pt>
                <c:pt idx="89">
                  <c:v>-3.5373249999999992E-3</c:v>
                </c:pt>
                <c:pt idx="90">
                  <c:v>2.4439699999999998E-2</c:v>
                </c:pt>
                <c:pt idx="91">
                  <c:v>-5.7883499999999994E-3</c:v>
                </c:pt>
                <c:pt idx="92">
                  <c:v>1.9294500000000001E-3</c:v>
                </c:pt>
                <c:pt idx="93">
                  <c:v>0.132167325</c:v>
                </c:pt>
                <c:pt idx="94">
                  <c:v>4.7593100000000013E-2</c:v>
                </c:pt>
                <c:pt idx="95">
                  <c:v>-3.5694824999999999E-2</c:v>
                </c:pt>
                <c:pt idx="96">
                  <c:v>-3.6659550000000006E-2</c:v>
                </c:pt>
                <c:pt idx="97">
                  <c:v>-2.8620175000000001E-2</c:v>
                </c:pt>
                <c:pt idx="98">
                  <c:v>-7.1389649999999999E-2</c:v>
                </c:pt>
                <c:pt idx="99">
                  <c:v>-0.15371285000000001</c:v>
                </c:pt>
                <c:pt idx="100">
                  <c:v>-2.9584899999999997E-2</c:v>
                </c:pt>
                <c:pt idx="101">
                  <c:v>3.7302699999999994E-2</c:v>
                </c:pt>
                <c:pt idx="102">
                  <c:v>0.1003314</c:v>
                </c:pt>
                <c:pt idx="103">
                  <c:v>-0.11158652500000001</c:v>
                </c:pt>
                <c:pt idx="104">
                  <c:v>-0.16496797499999999</c:v>
                </c:pt>
                <c:pt idx="105">
                  <c:v>-0.24214597500000001</c:v>
                </c:pt>
                <c:pt idx="106">
                  <c:v>1.093355E-2</c:v>
                </c:pt>
                <c:pt idx="107">
                  <c:v>6.9781775000000004E-2</c:v>
                </c:pt>
                <c:pt idx="108">
                  <c:v>3.2479075000000003E-2</c:v>
                </c:pt>
                <c:pt idx="109">
                  <c:v>-2.5725999999999999E-2</c:v>
                </c:pt>
                <c:pt idx="110">
                  <c:v>4.7914674999999997E-2</c:v>
                </c:pt>
                <c:pt idx="111">
                  <c:v>1.6078749999999999E-2</c:v>
                </c:pt>
                <c:pt idx="112">
                  <c:v>4.566365E-2</c:v>
                </c:pt>
                <c:pt idx="113">
                  <c:v>-0.19230185</c:v>
                </c:pt>
                <c:pt idx="114">
                  <c:v>-0.14535189999999998</c:v>
                </c:pt>
                <c:pt idx="115">
                  <c:v>-4.7914674999999997E-2</c:v>
                </c:pt>
                <c:pt idx="116">
                  <c:v>-6.6566025000000001E-2</c:v>
                </c:pt>
                <c:pt idx="117">
                  <c:v>-0.10354715</c:v>
                </c:pt>
                <c:pt idx="118">
                  <c:v>3.2157499999999999E-2</c:v>
                </c:pt>
                <c:pt idx="119">
                  <c:v>-2.6369150000000001E-2</c:v>
                </c:pt>
                <c:pt idx="120">
                  <c:v>-0.18715665000000001</c:v>
                </c:pt>
                <c:pt idx="121">
                  <c:v>-7.3962249999999993E-2</c:v>
                </c:pt>
                <c:pt idx="122">
                  <c:v>5.434617500000001E-2</c:v>
                </c:pt>
                <c:pt idx="123">
                  <c:v>-0.19455287500000001</c:v>
                </c:pt>
                <c:pt idx="124">
                  <c:v>-0.14052827500000001</c:v>
                </c:pt>
                <c:pt idx="125">
                  <c:v>-0.22960454999999999</c:v>
                </c:pt>
                <c:pt idx="126">
                  <c:v>3.0549625E-2</c:v>
                </c:pt>
                <c:pt idx="127">
                  <c:v>-5.6275625000000003E-2</c:v>
                </c:pt>
                <c:pt idx="128">
                  <c:v>5.1773575000000002E-2</c:v>
                </c:pt>
                <c:pt idx="129">
                  <c:v>7.8142724999999996E-2</c:v>
                </c:pt>
                <c:pt idx="130">
                  <c:v>0.11930432499999999</c:v>
                </c:pt>
                <c:pt idx="131">
                  <c:v>7.7177999999999986E-3</c:v>
                </c:pt>
                <c:pt idx="132">
                  <c:v>0.18297617500000002</c:v>
                </c:pt>
                <c:pt idx="133">
                  <c:v>-2.0902375000000001E-2</c:v>
                </c:pt>
                <c:pt idx="134">
                  <c:v>-3.6337975000000002E-2</c:v>
                </c:pt>
                <c:pt idx="135">
                  <c:v>3.0228049999999999E-2</c:v>
                </c:pt>
                <c:pt idx="136">
                  <c:v>0.17429364999999999</c:v>
                </c:pt>
                <c:pt idx="137">
                  <c:v>0.19005082500000001</c:v>
                </c:pt>
                <c:pt idx="138">
                  <c:v>0.12316322500000002</c:v>
                </c:pt>
                <c:pt idx="139">
                  <c:v>0.2855586</c:v>
                </c:pt>
                <c:pt idx="140">
                  <c:v>0.23957337499999998</c:v>
                </c:pt>
                <c:pt idx="141">
                  <c:v>8.7789974999999992E-2</c:v>
                </c:pt>
                <c:pt idx="142">
                  <c:v>0.12316322499999999</c:v>
                </c:pt>
                <c:pt idx="143">
                  <c:v>0.20420012500000001</c:v>
                </c:pt>
                <c:pt idx="144">
                  <c:v>0.31128460000000002</c:v>
                </c:pt>
                <c:pt idx="145">
                  <c:v>0.16303852500000002</c:v>
                </c:pt>
                <c:pt idx="146">
                  <c:v>0.37109755</c:v>
                </c:pt>
                <c:pt idx="147">
                  <c:v>0.53606552499999993</c:v>
                </c:pt>
                <c:pt idx="148">
                  <c:v>0.30710412500000001</c:v>
                </c:pt>
                <c:pt idx="149">
                  <c:v>0.29456269999999996</c:v>
                </c:pt>
                <c:pt idx="150">
                  <c:v>0.43058892500000001</c:v>
                </c:pt>
                <c:pt idx="151">
                  <c:v>0.48686455000000006</c:v>
                </c:pt>
                <c:pt idx="152">
                  <c:v>0.50037069999999995</c:v>
                </c:pt>
                <c:pt idx="153">
                  <c:v>0.44441664999999997</c:v>
                </c:pt>
                <c:pt idx="154">
                  <c:v>0.53381450000000008</c:v>
                </c:pt>
                <c:pt idx="155">
                  <c:v>0.49522549999999999</c:v>
                </c:pt>
                <c:pt idx="156">
                  <c:v>0.48268407499999999</c:v>
                </c:pt>
                <c:pt idx="157">
                  <c:v>0.39007047499999997</c:v>
                </c:pt>
                <c:pt idx="158">
                  <c:v>0.48911557500000002</c:v>
                </c:pt>
                <c:pt idx="159">
                  <c:v>0.550857975</c:v>
                </c:pt>
                <c:pt idx="160">
                  <c:v>0.41000812499999995</c:v>
                </c:pt>
                <c:pt idx="161">
                  <c:v>0.46403272499999998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848200"/>
        <c:axId val="380847808"/>
      </c:scatterChart>
      <c:valAx>
        <c:axId val="380848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0847808"/>
        <c:crosses val="autoZero"/>
        <c:crossBetween val="midCat"/>
      </c:valAx>
      <c:valAx>
        <c:axId val="380847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08482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20353943635833399"/>
                  <c:y val="-1.0138734583253281E-2"/>
                </c:manualLayout>
              </c:layout>
              <c:numFmt formatCode="General" sourceLinked="0"/>
            </c:trendlineLbl>
          </c:trendline>
          <c:xVal>
            <c:numRef>
              <c:f>main!$B$154:$B$171</c:f>
              <c:numCache>
                <c:formatCode>General</c:formatCode>
                <c:ptCount val="18"/>
                <c:pt idx="0">
                  <c:v>0.32400000000000001</c:v>
                </c:pt>
                <c:pt idx="1">
                  <c:v>0.17899999999999999</c:v>
                </c:pt>
                <c:pt idx="2">
                  <c:v>0.39200000000000002</c:v>
                </c:pt>
                <c:pt idx="3">
                  <c:v>0.53100000000000003</c:v>
                </c:pt>
                <c:pt idx="4">
                  <c:v>0.30099999999999999</c:v>
                </c:pt>
                <c:pt idx="5">
                  <c:v>0.29399999999999998</c:v>
                </c:pt>
                <c:pt idx="6">
                  <c:v>0.437</c:v>
                </c:pt>
                <c:pt idx="7">
                  <c:v>0.49199999999999999</c:v>
                </c:pt>
                <c:pt idx="8">
                  <c:v>0.503</c:v>
                </c:pt>
                <c:pt idx="9">
                  <c:v>0.44500000000000001</c:v>
                </c:pt>
                <c:pt idx="10">
                  <c:v>0.53900000000000003</c:v>
                </c:pt>
                <c:pt idx="11">
                  <c:v>0.495</c:v>
                </c:pt>
                <c:pt idx="12">
                  <c:v>0.48299999999999998</c:v>
                </c:pt>
                <c:pt idx="13">
                  <c:v>0.38800000000000001</c:v>
                </c:pt>
                <c:pt idx="14">
                  <c:v>0.49399999999999999</c:v>
                </c:pt>
                <c:pt idx="15">
                  <c:v>0.54700000000000004</c:v>
                </c:pt>
                <c:pt idx="16">
                  <c:v>0.40600000000000003</c:v>
                </c:pt>
                <c:pt idx="17">
                  <c:v>0.44800000000000001</c:v>
                </c:pt>
              </c:numCache>
            </c:numRef>
          </c:xVal>
          <c:yVal>
            <c:numRef>
              <c:f>main!$C$154:$C$171</c:f>
              <c:numCache>
                <c:formatCode>General</c:formatCode>
                <c:ptCount val="18"/>
                <c:pt idx="0">
                  <c:v>0.31128460000000002</c:v>
                </c:pt>
                <c:pt idx="1">
                  <c:v>0.16303852500000002</c:v>
                </c:pt>
                <c:pt idx="2">
                  <c:v>0.37109755</c:v>
                </c:pt>
                <c:pt idx="3">
                  <c:v>0.53606552499999993</c:v>
                </c:pt>
                <c:pt idx="4">
                  <c:v>0.30710412500000001</c:v>
                </c:pt>
                <c:pt idx="5">
                  <c:v>0.29456269999999996</c:v>
                </c:pt>
                <c:pt idx="6">
                  <c:v>0.43058892500000001</c:v>
                </c:pt>
                <c:pt idx="7">
                  <c:v>0.48686455000000006</c:v>
                </c:pt>
                <c:pt idx="8">
                  <c:v>0.50037069999999995</c:v>
                </c:pt>
                <c:pt idx="9">
                  <c:v>0.44441664999999997</c:v>
                </c:pt>
                <c:pt idx="10">
                  <c:v>0.53381450000000008</c:v>
                </c:pt>
                <c:pt idx="11">
                  <c:v>0.49522549999999999</c:v>
                </c:pt>
                <c:pt idx="12">
                  <c:v>0.48268407499999999</c:v>
                </c:pt>
                <c:pt idx="13">
                  <c:v>0.39007047499999997</c:v>
                </c:pt>
                <c:pt idx="14">
                  <c:v>0.48911557500000002</c:v>
                </c:pt>
                <c:pt idx="15">
                  <c:v>0.550857975</c:v>
                </c:pt>
                <c:pt idx="16">
                  <c:v>0.41000812499999995</c:v>
                </c:pt>
                <c:pt idx="17">
                  <c:v>0.46403272499999998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845848"/>
        <c:axId val="380846240"/>
      </c:scatterChart>
      <c:valAx>
        <c:axId val="380845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0846240"/>
        <c:crosses val="autoZero"/>
        <c:crossBetween val="midCat"/>
      </c:valAx>
      <c:valAx>
        <c:axId val="380846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08458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Absolute error in composing global temperature</a:t>
            </a:r>
          </a:p>
        </c:rich>
      </c:tx>
      <c:layout>
        <c:manualLayout>
          <c:xMode val="edge"/>
          <c:yMode val="edge"/>
          <c:x val="0.22752599004622198"/>
          <c:y val="9.259347916980393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87074500302847"/>
          <c:y val="0.12084499854184894"/>
          <c:w val="0.78052624671916015"/>
          <c:h val="0.7076195683872849"/>
        </c:manualLayout>
      </c:layout>
      <c:scatterChart>
        <c:scatterStyle val="lineMarker"/>
        <c:varyColors val="0"/>
        <c:ser>
          <c:idx val="2"/>
          <c:order val="0"/>
          <c:tx>
            <c:strRef>
              <c:f>main!$F$9</c:f>
              <c:strCache>
                <c:ptCount val="1"/>
                <c:pt idx="0">
                  <c:v>Absolute error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4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solidFill>
                  <a:srgbClr val="002060"/>
                </a:solidFill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main!$A$10:$A$171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main!$F$10:$F$171</c:f>
              <c:numCache>
                <c:formatCode>General</c:formatCode>
                <c:ptCount val="162"/>
                <c:pt idx="0">
                  <c:v>0.15950862500000001</c:v>
                </c:pt>
                <c:pt idx="1">
                  <c:v>0.17862264999999999</c:v>
                </c:pt>
                <c:pt idx="2">
                  <c:v>3.6144425000000036E-2</c:v>
                </c:pt>
                <c:pt idx="3">
                  <c:v>0.13591552499999998</c:v>
                </c:pt>
                <c:pt idx="4">
                  <c:v>5.8835150000000003E-2</c:v>
                </c:pt>
                <c:pt idx="5">
                  <c:v>7.3797500000000182E-3</c:v>
                </c:pt>
                <c:pt idx="6">
                  <c:v>3.8525100000000034E-2</c:v>
                </c:pt>
                <c:pt idx="7">
                  <c:v>1.5297050000000034E-2</c:v>
                </c:pt>
                <c:pt idx="8">
                  <c:v>7.6965249999999541E-3</c:v>
                </c:pt>
                <c:pt idx="9">
                  <c:v>1.5732499999999983E-2</c:v>
                </c:pt>
                <c:pt idx="10">
                  <c:v>3.2509499999999747E-3</c:v>
                </c:pt>
                <c:pt idx="11">
                  <c:v>3.0927900000000008E-2</c:v>
                </c:pt>
                <c:pt idx="12">
                  <c:v>1.3774349999999991E-2</c:v>
                </c:pt>
                <c:pt idx="13">
                  <c:v>8.2517500000001132E-4</c:v>
                </c:pt>
                <c:pt idx="14">
                  <c:v>5.2015000000005251E-4</c:v>
                </c:pt>
                <c:pt idx="15">
                  <c:v>7.5774750000000002E-3</c:v>
                </c:pt>
                <c:pt idx="16">
                  <c:v>3.9042500000002756E-4</c:v>
                </c:pt>
                <c:pt idx="17">
                  <c:v>1.8577474999999982E-2</c:v>
                </c:pt>
                <c:pt idx="18">
                  <c:v>3.4051999999999971E-3</c:v>
                </c:pt>
                <c:pt idx="19">
                  <c:v>2.6456874999999991E-2</c:v>
                </c:pt>
                <c:pt idx="20">
                  <c:v>1.1332175E-2</c:v>
                </c:pt>
                <c:pt idx="21">
                  <c:v>1.2824399999999986E-2</c:v>
                </c:pt>
                <c:pt idx="22">
                  <c:v>8.2215500000000219E-3</c:v>
                </c:pt>
                <c:pt idx="23">
                  <c:v>3.1541350000000024E-2</c:v>
                </c:pt>
                <c:pt idx="24">
                  <c:v>3.3200900000000033E-2</c:v>
                </c:pt>
                <c:pt idx="25">
                  <c:v>2.6120500000000324E-3</c:v>
                </c:pt>
                <c:pt idx="26">
                  <c:v>2.765297500000001E-2</c:v>
                </c:pt>
                <c:pt idx="27">
                  <c:v>2.2674325000000002E-2</c:v>
                </c:pt>
                <c:pt idx="28">
                  <c:v>6.4100024999999977E-2</c:v>
                </c:pt>
                <c:pt idx="29">
                  <c:v>7.1702500000001002E-4</c:v>
                </c:pt>
                <c:pt idx="30">
                  <c:v>3.6110700000000023E-2</c:v>
                </c:pt>
                <c:pt idx="31">
                  <c:v>2.0106600000000002E-2</c:v>
                </c:pt>
                <c:pt idx="32">
                  <c:v>4.9191075000000029E-2</c:v>
                </c:pt>
                <c:pt idx="33">
                  <c:v>3.6271449999999983E-2</c:v>
                </c:pt>
                <c:pt idx="34">
                  <c:v>3.7871125000000005E-2</c:v>
                </c:pt>
                <c:pt idx="35">
                  <c:v>2.2141025000000036E-2</c:v>
                </c:pt>
                <c:pt idx="36">
                  <c:v>2.2557749999999988E-2</c:v>
                </c:pt>
                <c:pt idx="37">
                  <c:v>4.3124624999999972E-2</c:v>
                </c:pt>
                <c:pt idx="38">
                  <c:v>1.383507500000003E-2</c:v>
                </c:pt>
                <c:pt idx="39">
                  <c:v>3.5251000000000032E-3</c:v>
                </c:pt>
                <c:pt idx="40">
                  <c:v>1.6018799999999944E-2</c:v>
                </c:pt>
                <c:pt idx="41">
                  <c:v>7.3895749999999816E-3</c:v>
                </c:pt>
                <c:pt idx="42">
                  <c:v>5.4330499999999948E-3</c:v>
                </c:pt>
                <c:pt idx="43">
                  <c:v>1.1976950000000042E-2</c:v>
                </c:pt>
                <c:pt idx="44">
                  <c:v>6.074574999999971E-3</c:v>
                </c:pt>
                <c:pt idx="45">
                  <c:v>2.3490524999999984E-2</c:v>
                </c:pt>
                <c:pt idx="46">
                  <c:v>5.4552499999999948E-3</c:v>
                </c:pt>
                <c:pt idx="47">
                  <c:v>2.4361024999999925E-2</c:v>
                </c:pt>
                <c:pt idx="48">
                  <c:v>3.0845499999999637E-3</c:v>
                </c:pt>
                <c:pt idx="49">
                  <c:v>6.6628750000000125E-3</c:v>
                </c:pt>
                <c:pt idx="50">
                  <c:v>3.6300750000000104E-3</c:v>
                </c:pt>
                <c:pt idx="51">
                  <c:v>1.1960699999999991E-2</c:v>
                </c:pt>
                <c:pt idx="52">
                  <c:v>8.6063249999999147E-3</c:v>
                </c:pt>
                <c:pt idx="53">
                  <c:v>2.224875000000015E-3</c:v>
                </c:pt>
                <c:pt idx="54">
                  <c:v>1.0321499999999983E-2</c:v>
                </c:pt>
                <c:pt idx="55">
                  <c:v>3.9393500000000081E-3</c:v>
                </c:pt>
                <c:pt idx="56">
                  <c:v>1.2793999999999972E-2</c:v>
                </c:pt>
                <c:pt idx="57">
                  <c:v>1.7162524999999929E-2</c:v>
                </c:pt>
                <c:pt idx="58">
                  <c:v>2.2444724999999943E-2</c:v>
                </c:pt>
                <c:pt idx="59">
                  <c:v>1.9747425000000041E-2</c:v>
                </c:pt>
                <c:pt idx="60">
                  <c:v>3.7550550000000071E-2</c:v>
                </c:pt>
                <c:pt idx="61">
                  <c:v>1.1658000000000002E-2</c:v>
                </c:pt>
                <c:pt idx="62">
                  <c:v>2.1274075000000003E-2</c:v>
                </c:pt>
                <c:pt idx="63">
                  <c:v>2.2607099999999991E-2</c:v>
                </c:pt>
                <c:pt idx="64">
                  <c:v>3.5340749999999976E-3</c:v>
                </c:pt>
                <c:pt idx="65">
                  <c:v>1.468259999999999E-2</c:v>
                </c:pt>
                <c:pt idx="66">
                  <c:v>1.9370699999999963E-2</c:v>
                </c:pt>
                <c:pt idx="67">
                  <c:v>2.4881799999999954E-2</c:v>
                </c:pt>
                <c:pt idx="68">
                  <c:v>2.7927750000000029E-2</c:v>
                </c:pt>
                <c:pt idx="69">
                  <c:v>1.2334650000000003E-2</c:v>
                </c:pt>
                <c:pt idx="70">
                  <c:v>5.7375250000000211E-3</c:v>
                </c:pt>
                <c:pt idx="71">
                  <c:v>9.9352499999999511E-3</c:v>
                </c:pt>
                <c:pt idx="72">
                  <c:v>5.4134000000000126E-3</c:v>
                </c:pt>
                <c:pt idx="73">
                  <c:v>7.366750000000033E-3</c:v>
                </c:pt>
                <c:pt idx="74">
                  <c:v>1.4785025000000007E-2</c:v>
                </c:pt>
                <c:pt idx="75">
                  <c:v>6.201825000000008E-3</c:v>
                </c:pt>
                <c:pt idx="76">
                  <c:v>1.1372474999999993E-2</c:v>
                </c:pt>
                <c:pt idx="77">
                  <c:v>1.548239999999998E-2</c:v>
                </c:pt>
                <c:pt idx="78">
                  <c:v>2.9852999999999685E-3</c:v>
                </c:pt>
                <c:pt idx="79">
                  <c:v>1.2264174999999988E-2</c:v>
                </c:pt>
                <c:pt idx="80">
                  <c:v>4.9704500000000151E-3</c:v>
                </c:pt>
                <c:pt idx="81">
                  <c:v>3.7974000000000063E-3</c:v>
                </c:pt>
                <c:pt idx="82">
                  <c:v>1.2202674999999996E-2</c:v>
                </c:pt>
                <c:pt idx="83">
                  <c:v>1.5504749999999956E-3</c:v>
                </c:pt>
                <c:pt idx="84">
                  <c:v>3.314225000000004E-3</c:v>
                </c:pt>
                <c:pt idx="85">
                  <c:v>9.8679499999999865E-3</c:v>
                </c:pt>
                <c:pt idx="86">
                  <c:v>6.9918000000000029E-3</c:v>
                </c:pt>
                <c:pt idx="87">
                  <c:v>3.3921250000000054E-3</c:v>
                </c:pt>
                <c:pt idx="88">
                  <c:v>2.583274999999996E-3</c:v>
                </c:pt>
                <c:pt idx="89">
                  <c:v>2.1537324999999996E-2</c:v>
                </c:pt>
                <c:pt idx="90">
                  <c:v>6.4396999999999996E-3</c:v>
                </c:pt>
                <c:pt idx="91">
                  <c:v>1.7211650000000002E-2</c:v>
                </c:pt>
                <c:pt idx="92">
                  <c:v>4.9294500000000002E-3</c:v>
                </c:pt>
                <c:pt idx="93">
                  <c:v>1.7832674999999992E-2</c:v>
                </c:pt>
                <c:pt idx="94">
                  <c:v>1.4593100000000012E-2</c:v>
                </c:pt>
                <c:pt idx="95">
                  <c:v>3.2305175000000005E-2</c:v>
                </c:pt>
                <c:pt idx="96">
                  <c:v>1.340449999999993E-3</c:v>
                </c:pt>
                <c:pt idx="97">
                  <c:v>6.3798250000000022E-3</c:v>
                </c:pt>
                <c:pt idx="98">
                  <c:v>4.6103499999999992E-3</c:v>
                </c:pt>
                <c:pt idx="99">
                  <c:v>2.0287149999999976E-2</c:v>
                </c:pt>
                <c:pt idx="100">
                  <c:v>1.8415100000000004E-2</c:v>
                </c:pt>
                <c:pt idx="101">
                  <c:v>4.3026999999999926E-3</c:v>
                </c:pt>
                <c:pt idx="102">
                  <c:v>6.686000000000053E-4</c:v>
                </c:pt>
                <c:pt idx="103">
                  <c:v>1.6413474999999997E-2</c:v>
                </c:pt>
                <c:pt idx="104">
                  <c:v>2.0032025000000009E-2</c:v>
                </c:pt>
                <c:pt idx="105">
                  <c:v>1.9854024999999997E-2</c:v>
                </c:pt>
                <c:pt idx="106">
                  <c:v>1.1933550000000001E-2</c:v>
                </c:pt>
                <c:pt idx="107">
                  <c:v>2.0781775000000002E-2</c:v>
                </c:pt>
                <c:pt idx="108">
                  <c:v>1.5479075000000002E-2</c:v>
                </c:pt>
                <c:pt idx="109">
                  <c:v>2.4274000000000004E-2</c:v>
                </c:pt>
                <c:pt idx="110">
                  <c:v>8.9146749999999969E-3</c:v>
                </c:pt>
                <c:pt idx="111">
                  <c:v>1.9212499999999993E-3</c:v>
                </c:pt>
                <c:pt idx="112">
                  <c:v>4.3363500000000027E-3</c:v>
                </c:pt>
                <c:pt idx="113">
                  <c:v>3.1698150000000008E-2</c:v>
                </c:pt>
                <c:pt idx="114">
                  <c:v>4.3518999999999919E-3</c:v>
                </c:pt>
                <c:pt idx="115">
                  <c:v>2.5085324999999999E-2</c:v>
                </c:pt>
                <c:pt idx="116">
                  <c:v>9.4339749999999972E-3</c:v>
                </c:pt>
                <c:pt idx="117">
                  <c:v>9.4528499999999988E-3</c:v>
                </c:pt>
                <c:pt idx="118">
                  <c:v>3.1574999999999971E-3</c:v>
                </c:pt>
                <c:pt idx="119">
                  <c:v>2.6308500000000005E-3</c:v>
                </c:pt>
                <c:pt idx="120">
                  <c:v>3.1566500000000108E-3</c:v>
                </c:pt>
                <c:pt idx="121">
                  <c:v>4.9622499999999875E-3</c:v>
                </c:pt>
                <c:pt idx="122">
                  <c:v>8.65382499999999E-3</c:v>
                </c:pt>
                <c:pt idx="123">
                  <c:v>1.6447124999999979E-2</c:v>
                </c:pt>
                <c:pt idx="124">
                  <c:v>4.471724999999982E-3</c:v>
                </c:pt>
                <c:pt idx="125">
                  <c:v>8.3954499999999987E-3</c:v>
                </c:pt>
                <c:pt idx="126">
                  <c:v>1.5450374999999999E-2</c:v>
                </c:pt>
                <c:pt idx="127">
                  <c:v>5.7243749999999968E-3</c:v>
                </c:pt>
                <c:pt idx="128">
                  <c:v>6.2264250000000007E-3</c:v>
                </c:pt>
                <c:pt idx="129">
                  <c:v>1.4857275000000003E-2</c:v>
                </c:pt>
                <c:pt idx="130">
                  <c:v>2.2695674999999998E-2</c:v>
                </c:pt>
                <c:pt idx="131">
                  <c:v>5.2822000000000008E-3</c:v>
                </c:pt>
                <c:pt idx="132">
                  <c:v>8.0238249999999844E-3</c:v>
                </c:pt>
                <c:pt idx="133">
                  <c:v>6.9023750000000005E-3</c:v>
                </c:pt>
                <c:pt idx="134">
                  <c:v>7.3379750000000001E-3</c:v>
                </c:pt>
                <c:pt idx="135">
                  <c:v>1.6771950000000001E-2</c:v>
                </c:pt>
                <c:pt idx="136">
                  <c:v>1.1706350000000004E-2</c:v>
                </c:pt>
                <c:pt idx="137">
                  <c:v>1.0949175000000005E-2</c:v>
                </c:pt>
                <c:pt idx="138">
                  <c:v>2.1632250000000186E-3</c:v>
                </c:pt>
                <c:pt idx="139">
                  <c:v>5.4413999999999851E-3</c:v>
                </c:pt>
                <c:pt idx="140">
                  <c:v>1.3426625000000025E-2</c:v>
                </c:pt>
                <c:pt idx="141">
                  <c:v>1.4210025000000001E-2</c:v>
                </c:pt>
                <c:pt idx="142">
                  <c:v>1.9836775000000001E-2</c:v>
                </c:pt>
                <c:pt idx="143">
                  <c:v>1.2001249999999963E-3</c:v>
                </c:pt>
                <c:pt idx="144">
                  <c:v>1.2715399999999988E-2</c:v>
                </c:pt>
                <c:pt idx="145">
                  <c:v>1.5961474999999975E-2</c:v>
                </c:pt>
                <c:pt idx="146">
                  <c:v>2.0902450000000017E-2</c:v>
                </c:pt>
                <c:pt idx="147">
                  <c:v>5.0655249999999041E-3</c:v>
                </c:pt>
                <c:pt idx="148">
                  <c:v>6.1041250000000158E-3</c:v>
                </c:pt>
                <c:pt idx="149">
                  <c:v>5.6269999999997156E-4</c:v>
                </c:pt>
                <c:pt idx="150">
                  <c:v>6.4110749999999883E-3</c:v>
                </c:pt>
                <c:pt idx="151">
                  <c:v>5.1354499999999303E-3</c:v>
                </c:pt>
                <c:pt idx="152">
                  <c:v>2.6293000000000566E-3</c:v>
                </c:pt>
                <c:pt idx="153">
                  <c:v>5.83350000000038E-4</c:v>
                </c:pt>
                <c:pt idx="154">
                  <c:v>5.185499999999954E-3</c:v>
                </c:pt>
                <c:pt idx="155">
                  <c:v>2.254999999999896E-4</c:v>
                </c:pt>
                <c:pt idx="156">
                  <c:v>3.1592499999999468E-4</c:v>
                </c:pt>
                <c:pt idx="157">
                  <c:v>2.0704749999999605E-3</c:v>
                </c:pt>
                <c:pt idx="158">
                  <c:v>4.88442499999997E-3</c:v>
                </c:pt>
                <c:pt idx="159">
                  <c:v>3.857974999999958E-3</c:v>
                </c:pt>
                <c:pt idx="160">
                  <c:v>4.008124999999918E-3</c:v>
                </c:pt>
                <c:pt idx="161">
                  <c:v>1.603272499999997E-2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372264"/>
        <c:axId val="477371872"/>
      </c:scatterChart>
      <c:valAx>
        <c:axId val="477372264"/>
        <c:scaling>
          <c:orientation val="minMax"/>
          <c:max val="2015"/>
          <c:min val="19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77371872"/>
        <c:crosses val="autoZero"/>
        <c:crossBetween val="midCat"/>
      </c:valAx>
      <c:valAx>
        <c:axId val="477371872"/>
        <c:scaling>
          <c:orientation val="minMax"/>
          <c:max val="4.0000000000000008E-2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Error between global and composed</a:t>
                </a:r>
              </a:p>
            </c:rich>
          </c:tx>
          <c:layout>
            <c:manualLayout>
              <c:xMode val="edge"/>
              <c:yMode val="edge"/>
              <c:x val="2.3277407750680431E-2"/>
              <c:y val="0.1214422965954108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773722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7329891082499818"/>
          <c:y val="0.16368519833139406"/>
          <c:w val="0.36469351907934583"/>
          <c:h val="0.15431321084864391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</a:ln>
      </c:spPr>
    </c:legend>
    <c:plotVisOnly val="1"/>
    <c:dispBlanksAs val="gap"/>
    <c:showDLblsOverMax val="0"/>
  </c:chart>
  <c:txPr>
    <a:bodyPr/>
    <a:lstStyle/>
    <a:p>
      <a:pPr>
        <a:defRPr sz="11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Increased rate of ocean heat sinking </a:t>
            </a:r>
          </a:p>
        </c:rich>
      </c:tx>
      <c:layout>
        <c:manualLayout>
          <c:xMode val="edge"/>
          <c:yMode val="edge"/>
          <c:x val="0.39755916909369249"/>
          <c:y val="5.49413915992539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84916472201704E-2"/>
          <c:y val="0.14003360317702765"/>
          <c:w val="0.87326458468234558"/>
          <c:h val="0.59768301102644861"/>
        </c:manualLayout>
      </c:layout>
      <c:scatterChart>
        <c:scatterStyle val="smoothMarker"/>
        <c:varyColors val="0"/>
        <c:ser>
          <c:idx val="0"/>
          <c:order val="0"/>
          <c:tx>
            <c:v>Ratio of Ocean/Land temperature rise</c:v>
          </c:tx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pPr>
              <a:solidFill>
                <a:schemeClr val="accent5">
                  <a:lumMod val="20000"/>
                  <a:lumOff val="80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trendline>
            <c:spPr>
              <a:ln w="38100">
                <a:solidFill>
                  <a:schemeClr val="tx1"/>
                </a:solidFill>
              </a:ln>
            </c:spPr>
            <c:trendlineType val="poly"/>
            <c:order val="5"/>
            <c:dispRSqr val="1"/>
            <c:dispEq val="1"/>
            <c:trendlineLbl>
              <c:layout>
                <c:manualLayout>
                  <c:x val="2.0690265485037853E-2"/>
                  <c:y val="0.45244086921270327"/>
                </c:manualLayout>
              </c:layout>
              <c:numFmt formatCode="0.0000000000E+00" sourceLinked="0"/>
            </c:trendlineLbl>
          </c:trendline>
          <c:xVal>
            <c:numRef>
              <c:f>main!$A$10:$A$171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main!$G$10:$G$171</c:f>
              <c:numCache>
                <c:formatCode>General</c:formatCode>
                <c:ptCount val="162"/>
                <c:pt idx="0">
                  <c:v>0.14451094509678641</c:v>
                </c:pt>
                <c:pt idx="1">
                  <c:v>0.13169193346340671</c:v>
                </c:pt>
                <c:pt idx="2">
                  <c:v>0.72976670137805699</c:v>
                </c:pt>
                <c:pt idx="3">
                  <c:v>0.18740472661054533</c:v>
                </c:pt>
                <c:pt idx="4">
                  <c:v>1</c:v>
                </c:pt>
                <c:pt idx="5">
                  <c:v>0.4670105161908441</c:v>
                </c:pt>
                <c:pt idx="6">
                  <c:v>0.79141988847916922</c:v>
                </c:pt>
                <c:pt idx="7">
                  <c:v>0.94648479977119926</c:v>
                </c:pt>
                <c:pt idx="8">
                  <c:v>0.99177786925174982</c:v>
                </c:pt>
                <c:pt idx="9">
                  <c:v>0.38716080519359219</c:v>
                </c:pt>
                <c:pt idx="10">
                  <c:v>0.69882316158910784</c:v>
                </c:pt>
                <c:pt idx="11">
                  <c:v>0.81347247039037585</c:v>
                </c:pt>
                <c:pt idx="12">
                  <c:v>0.93302969973840122</c:v>
                </c:pt>
                <c:pt idx="13">
                  <c:v>0.46902947017400543</c:v>
                </c:pt>
                <c:pt idx="14">
                  <c:v>0.5565339396837099</c:v>
                </c:pt>
                <c:pt idx="15">
                  <c:v>0.47296481061684648</c:v>
                </c:pt>
                <c:pt idx="16">
                  <c:v>0.49351069396186709</c:v>
                </c:pt>
                <c:pt idx="17">
                  <c:v>0.44396454021961612</c:v>
                </c:pt>
                <c:pt idx="18">
                  <c:v>0.5935953097978699</c:v>
                </c:pt>
                <c:pt idx="19">
                  <c:v>0.37007642162901877</c:v>
                </c:pt>
                <c:pt idx="20">
                  <c:v>0.37857029227587607</c:v>
                </c:pt>
                <c:pt idx="21">
                  <c:v>0.49828737943492046</c:v>
                </c:pt>
                <c:pt idx="22">
                  <c:v>0.811039351526468</c:v>
                </c:pt>
                <c:pt idx="23">
                  <c:v>0.49992023762515553</c:v>
                </c:pt>
                <c:pt idx="24">
                  <c:v>0.31046293577171635</c:v>
                </c:pt>
                <c:pt idx="25">
                  <c:v>0.66485017882980058</c:v>
                </c:pt>
                <c:pt idx="26">
                  <c:v>0.14672865758018735</c:v>
                </c:pt>
                <c:pt idx="27">
                  <c:v>9.0766005631167324E-2</c:v>
                </c:pt>
                <c:pt idx="28">
                  <c:v>0.22323900535147681</c:v>
                </c:pt>
                <c:pt idx="29">
                  <c:v>0.53151760744298426</c:v>
                </c:pt>
                <c:pt idx="30">
                  <c:v>0.2690729876759812</c:v>
                </c:pt>
                <c:pt idx="31">
                  <c:v>0.40653423686210571</c:v>
                </c:pt>
                <c:pt idx="32">
                  <c:v>0.29288659678940121</c:v>
                </c:pt>
                <c:pt idx="33">
                  <c:v>0.37191544754560013</c:v>
                </c:pt>
                <c:pt idx="34">
                  <c:v>0.3653061027283751</c:v>
                </c:pt>
                <c:pt idx="35">
                  <c:v>0.44248048763114239</c:v>
                </c:pt>
                <c:pt idx="36">
                  <c:v>0.47456583979282596</c:v>
                </c:pt>
                <c:pt idx="37">
                  <c:v>0.30334103630048409</c:v>
                </c:pt>
                <c:pt idx="38">
                  <c:v>0.39515067836052603</c:v>
                </c:pt>
                <c:pt idx="39">
                  <c:v>0.81790791233346782</c:v>
                </c:pt>
                <c:pt idx="40">
                  <c:v>0.40224377606658751</c:v>
                </c:pt>
                <c:pt idx="41">
                  <c:v>0.4953037971136332</c:v>
                </c:pt>
                <c:pt idx="42">
                  <c:v>0.46663373966652655</c:v>
                </c:pt>
                <c:pt idx="43">
                  <c:v>0.57106120635942759</c:v>
                </c:pt>
                <c:pt idx="44">
                  <c:v>0.46462679708241589</c:v>
                </c:pt>
                <c:pt idx="45">
                  <c:v>0.29366148038001338</c:v>
                </c:pt>
                <c:pt idx="46">
                  <c:v>0.44798300644264138</c:v>
                </c:pt>
                <c:pt idx="47">
                  <c:v>0.7559339743861283</c:v>
                </c:pt>
                <c:pt idx="48">
                  <c:v>0.76553261230378389</c:v>
                </c:pt>
                <c:pt idx="49">
                  <c:v>0.70931009581703142</c:v>
                </c:pt>
                <c:pt idx="50">
                  <c:v>1</c:v>
                </c:pt>
                <c:pt idx="51">
                  <c:v>0.94921466133542198</c:v>
                </c:pt>
                <c:pt idx="52">
                  <c:v>0.76103258500276483</c:v>
                </c:pt>
                <c:pt idx="53">
                  <c:v>0.7819277853163924</c:v>
                </c:pt>
                <c:pt idx="54">
                  <c:v>0.58736687448193503</c:v>
                </c:pt>
                <c:pt idx="55">
                  <c:v>0.92884906189112826</c:v>
                </c:pt>
                <c:pt idx="56">
                  <c:v>0.49224481358664712</c:v>
                </c:pt>
                <c:pt idx="57">
                  <c:v>0.73538693647983289</c:v>
                </c:pt>
                <c:pt idx="58">
                  <c:v>0.78380096313632719</c:v>
                </c:pt>
                <c:pt idx="59">
                  <c:v>0.99064255878225971</c:v>
                </c:pt>
                <c:pt idx="60">
                  <c:v>0.87848861287494684</c:v>
                </c:pt>
                <c:pt idx="61">
                  <c:v>0.89061958206643432</c:v>
                </c:pt>
                <c:pt idx="62">
                  <c:v>0.86274313564573946</c:v>
                </c:pt>
                <c:pt idx="63">
                  <c:v>1</c:v>
                </c:pt>
                <c:pt idx="64">
                  <c:v>0.94718985807678524</c:v>
                </c:pt>
                <c:pt idx="65">
                  <c:v>0.71521342372540342</c:v>
                </c:pt>
                <c:pt idx="66">
                  <c:v>0.44409677708574208</c:v>
                </c:pt>
                <c:pt idx="67">
                  <c:v>0.48185683371475724</c:v>
                </c:pt>
                <c:pt idx="68">
                  <c:v>0.54128090730601619</c:v>
                </c:pt>
                <c:pt idx="69">
                  <c:v>0.58032313115459699</c:v>
                </c:pt>
                <c:pt idx="70">
                  <c:v>1</c:v>
                </c:pt>
                <c:pt idx="71">
                  <c:v>0.77048676317458009</c:v>
                </c:pt>
                <c:pt idx="72">
                  <c:v>0.78270425608247285</c:v>
                </c:pt>
                <c:pt idx="73">
                  <c:v>0.82070588273701217</c:v>
                </c:pt>
                <c:pt idx="74">
                  <c:v>0.58634234578792377</c:v>
                </c:pt>
                <c:pt idx="75">
                  <c:v>1</c:v>
                </c:pt>
                <c:pt idx="76">
                  <c:v>0.9208693406547358</c:v>
                </c:pt>
                <c:pt idx="77">
                  <c:v>0.94719069637102404</c:v>
                </c:pt>
                <c:pt idx="78">
                  <c:v>0.59919955623466137</c:v>
                </c:pt>
                <c:pt idx="79">
                  <c:v>0.88080425949278407</c:v>
                </c:pt>
                <c:pt idx="80">
                  <c:v>0.58559529452448877</c:v>
                </c:pt>
                <c:pt idx="81">
                  <c:v>1</c:v>
                </c:pt>
                <c:pt idx="82">
                  <c:v>0.82777685623193553</c:v>
                </c:pt>
                <c:pt idx="83">
                  <c:v>1</c:v>
                </c:pt>
                <c:pt idx="84">
                  <c:v>0.72219327633090258</c:v>
                </c:pt>
                <c:pt idx="85">
                  <c:v>0.91428533897796183</c:v>
                </c:pt>
                <c:pt idx="86">
                  <c:v>0.60281299086303408</c:v>
                </c:pt>
                <c:pt idx="87">
                  <c:v>0.46971651572578355</c:v>
                </c:pt>
                <c:pt idx="88">
                  <c:v>1</c:v>
                </c:pt>
                <c:pt idx="89">
                  <c:v>0.11346003802131792</c:v>
                </c:pt>
                <c:pt idx="90">
                  <c:v>0.63990412595244328</c:v>
                </c:pt>
                <c:pt idx="91">
                  <c:v>0.65217391304347827</c:v>
                </c:pt>
                <c:pt idx="92">
                  <c:v>0.10484106207708634</c:v>
                </c:pt>
                <c:pt idx="93">
                  <c:v>0.96756519833442911</c:v>
                </c:pt>
                <c:pt idx="94">
                  <c:v>0.64230038476391182</c:v>
                </c:pt>
                <c:pt idx="95">
                  <c:v>0.92641420510272987</c:v>
                </c:pt>
                <c:pt idx="96">
                  <c:v>1</c:v>
                </c:pt>
                <c:pt idx="97">
                  <c:v>0.34803867971576447</c:v>
                </c:pt>
                <c:pt idx="98">
                  <c:v>0.72521162435727626</c:v>
                </c:pt>
                <c:pt idx="99">
                  <c:v>0.75109587504173247</c:v>
                </c:pt>
                <c:pt idx="100">
                  <c:v>0.49197702115734904</c:v>
                </c:pt>
                <c:pt idx="101">
                  <c:v>0.56654085246610564</c:v>
                </c:pt>
                <c:pt idx="102">
                  <c:v>0.62023948424045716</c:v>
                </c:pt>
                <c:pt idx="103">
                  <c:v>0.65463510143677295</c:v>
                </c:pt>
                <c:pt idx="104">
                  <c:v>0.74234909662960669</c:v>
                </c:pt>
                <c:pt idx="105">
                  <c:v>0.72548598176949453</c:v>
                </c:pt>
                <c:pt idx="106">
                  <c:v>0.77718069703224413</c:v>
                </c:pt>
                <c:pt idx="107">
                  <c:v>0.33190196353166462</c:v>
                </c:pt>
                <c:pt idx="109">
                  <c:v>0.70807614875777092</c:v>
                </c:pt>
                <c:pt idx="110">
                  <c:v>0.45395596482138623</c:v>
                </c:pt>
                <c:pt idx="111">
                  <c:v>0.7741755294711441</c:v>
                </c:pt>
                <c:pt idx="112">
                  <c:v>1</c:v>
                </c:pt>
                <c:pt idx="113">
                  <c:v>0.99415890110191019</c:v>
                </c:pt>
                <c:pt idx="114">
                  <c:v>0.41080160090248347</c:v>
                </c:pt>
                <c:pt idx="115">
                  <c:v>0.98088356548412159</c:v>
                </c:pt>
                <c:pt idx="116">
                  <c:v>0.62560784053450125</c:v>
                </c:pt>
                <c:pt idx="117">
                  <c:v>0.67330911373693114</c:v>
                </c:pt>
                <c:pt idx="118">
                  <c:v>0.52941976630060228</c:v>
                </c:pt>
                <c:pt idx="119">
                  <c:v>0.64854969545705543</c:v>
                </c:pt>
                <c:pt idx="120">
                  <c:v>0.60542258513367087</c:v>
                </c:pt>
                <c:pt idx="121">
                  <c:v>0.44416089389675084</c:v>
                </c:pt>
                <c:pt idx="122">
                  <c:v>0.6991240645072051</c:v>
                </c:pt>
                <c:pt idx="123">
                  <c:v>0.85655948049632191</c:v>
                </c:pt>
                <c:pt idx="124">
                  <c:v>1</c:v>
                </c:pt>
                <c:pt idx="125">
                  <c:v>0.66994207810619533</c:v>
                </c:pt>
                <c:pt idx="126">
                  <c:v>0.52828260349957545</c:v>
                </c:pt>
                <c:pt idx="127">
                  <c:v>0.89493992917329468</c:v>
                </c:pt>
                <c:pt idx="128">
                  <c:v>1</c:v>
                </c:pt>
                <c:pt idx="129">
                  <c:v>0.96263507814464033</c:v>
                </c:pt>
                <c:pt idx="130">
                  <c:v>0.72161740222205606</c:v>
                </c:pt>
                <c:pt idx="131">
                  <c:v>0.21151466263202789</c:v>
                </c:pt>
                <c:pt idx="132">
                  <c:v>0.62598015234761573</c:v>
                </c:pt>
                <c:pt idx="133">
                  <c:v>0.12422742204162969</c:v>
                </c:pt>
                <c:pt idx="134">
                  <c:v>0.42467762959566235</c:v>
                </c:pt>
                <c:pt idx="135">
                  <c:v>0.85554643747142245</c:v>
                </c:pt>
                <c:pt idx="136">
                  <c:v>0.80513085164411136</c:v>
                </c:pt>
                <c:pt idx="137">
                  <c:v>0.62929486837917026</c:v>
                </c:pt>
                <c:pt idx="138">
                  <c:v>0.45034172756787633</c:v>
                </c:pt>
                <c:pt idx="139">
                  <c:v>0.57127753620058297</c:v>
                </c:pt>
                <c:pt idx="140">
                  <c:v>0.69253432910437585</c:v>
                </c:pt>
                <c:pt idx="141">
                  <c:v>0.85229856224039191</c:v>
                </c:pt>
                <c:pt idx="142">
                  <c:v>0.64722152164775126</c:v>
                </c:pt>
                <c:pt idx="143">
                  <c:v>0.46252773948497927</c:v>
                </c:pt>
                <c:pt idx="144">
                  <c:v>0.60409190503687826</c:v>
                </c:pt>
                <c:pt idx="145">
                  <c:v>0.92413873722415063</c:v>
                </c:pt>
                <c:pt idx="146">
                  <c:v>0.79637764157800972</c:v>
                </c:pt>
                <c:pt idx="147">
                  <c:v>0.44135377836172973</c:v>
                </c:pt>
                <c:pt idx="148">
                  <c:v>0.39060287300160462</c:v>
                </c:pt>
                <c:pt idx="149">
                  <c:v>0.48774793719793424</c:v>
                </c:pt>
                <c:pt idx="150">
                  <c:v>0.57963063786638547</c:v>
                </c:pt>
                <c:pt idx="151">
                  <c:v>0.55785407417482102</c:v>
                </c:pt>
                <c:pt idx="152">
                  <c:v>0.53966756596731824</c:v>
                </c:pt>
                <c:pt idx="153">
                  <c:v>0.51351831527965075</c:v>
                </c:pt>
                <c:pt idx="154">
                  <c:v>0.54670411347798376</c:v>
                </c:pt>
                <c:pt idx="155">
                  <c:v>0.49714003663219802</c:v>
                </c:pt>
                <c:pt idx="156">
                  <c:v>0.50203072341646882</c:v>
                </c:pt>
                <c:pt idx="157">
                  <c:v>0.47768379247451231</c:v>
                </c:pt>
                <c:pt idx="158">
                  <c:v>0.57578604228448238</c:v>
                </c:pt>
                <c:pt idx="159">
                  <c:v>0.4247623450785693</c:v>
                </c:pt>
                <c:pt idx="160">
                  <c:v>0.42134585618420145</c:v>
                </c:pt>
                <c:pt idx="161">
                  <c:v>0.40490452503942714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012440"/>
        <c:axId val="477012832"/>
      </c:scatterChart>
      <c:valAx>
        <c:axId val="477012440"/>
        <c:scaling>
          <c:orientation val="minMax"/>
          <c:max val="2015"/>
          <c:min val="18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77012832"/>
        <c:crosses val="autoZero"/>
        <c:crossBetween val="midCat"/>
      </c:valAx>
      <c:valAx>
        <c:axId val="477012832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f</a:t>
                </a:r>
              </a:p>
            </c:rich>
          </c:tx>
          <c:layout>
            <c:manualLayout>
              <c:xMode val="edge"/>
              <c:yMode val="edge"/>
              <c:x val="2.1254593175853018E-2"/>
              <c:y val="0.3952042782401946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77012440"/>
        <c:crosses val="autoZero"/>
        <c:crossBetween val="midCat"/>
      </c:valAx>
      <c:spPr>
        <a:gradFill flip="none" rotWithShape="1">
          <a:gsLst>
            <a:gs pos="0">
              <a:srgbClr val="FFF200"/>
            </a:gs>
            <a:gs pos="39000">
              <a:srgbClr val="FF7A00"/>
            </a:gs>
            <a:gs pos="70000">
              <a:srgbClr val="FF0300"/>
            </a:gs>
            <a:gs pos="100000">
              <a:srgbClr val="4D0808"/>
            </a:gs>
          </a:gsLst>
          <a:lin ang="16200000" scaled="0"/>
          <a:tileRect/>
        </a:gradFill>
        <a:ln w="25400">
          <a:noFill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27279021099258949"/>
          <c:y val="0.6611363100570512"/>
          <c:w val="0.26524773176554184"/>
          <c:h val="8.1691944195598318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70220673163471E-2"/>
          <c:y val="3.9874372058246302E-2"/>
          <c:w val="0.87777496620443063"/>
          <c:h val="0.78036659016174625"/>
        </c:manualLayout>
      </c:layout>
      <c:scatterChart>
        <c:scatterStyle val="lineMarker"/>
        <c:varyColors val="0"/>
        <c:ser>
          <c:idx val="2"/>
          <c:order val="0"/>
          <c:tx>
            <c:strRef>
              <c:f>main!$W$9</c:f>
              <c:strCache>
                <c:ptCount val="1"/>
                <c:pt idx="0">
                  <c:v>Equivalent global temperature anomaly if ocean heat uptake treated as an effective temperature </c:v>
                </c:pt>
              </c:strCache>
            </c:strRef>
          </c:tx>
          <c:marker>
            <c:symbol val="none"/>
          </c:marker>
          <c:xVal>
            <c:numRef>
              <c:f>main!$A$10:$A$171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main!$W$10:$W$171</c:f>
              <c:numCache>
                <c:formatCode>General</c:formatCode>
                <c:ptCount val="162"/>
                <c:pt idx="0">
                  <c:v>-0.14429398145680278</c:v>
                </c:pt>
                <c:pt idx="1">
                  <c:v>-0.13599517077728013</c:v>
                </c:pt>
                <c:pt idx="2">
                  <c:v>-0.32895123697540979</c:v>
                </c:pt>
                <c:pt idx="3">
                  <c:v>-0.2453050037806612</c:v>
                </c:pt>
                <c:pt idx="4">
                  <c:v>-0.32083753065386916</c:v>
                </c:pt>
                <c:pt idx="5">
                  <c:v>-0.53435705926036936</c:v>
                </c:pt>
                <c:pt idx="6">
                  <c:v>-0.68643963785893558</c:v>
                </c:pt>
                <c:pt idx="7">
                  <c:v>-0.74307673870911672</c:v>
                </c:pt>
                <c:pt idx="8">
                  <c:v>-0.50781926113090914</c:v>
                </c:pt>
                <c:pt idx="9">
                  <c:v>-0.52757696125008291</c:v>
                </c:pt>
                <c:pt idx="10">
                  <c:v>-0.6983094895830394</c:v>
                </c:pt>
                <c:pt idx="11">
                  <c:v>-0.77365640955925452</c:v>
                </c:pt>
                <c:pt idx="12">
                  <c:v>-0.58229878674100466</c:v>
                </c:pt>
                <c:pt idx="13">
                  <c:v>-0.7881428223775967</c:v>
                </c:pt>
                <c:pt idx="14">
                  <c:v>-0.46266132829079798</c:v>
                </c:pt>
                <c:pt idx="15">
                  <c:v>-0.42790085518865656</c:v>
                </c:pt>
                <c:pt idx="16">
                  <c:v>-0.48508369101768622</c:v>
                </c:pt>
                <c:pt idx="17">
                  <c:v>-0.43799578769452391</c:v>
                </c:pt>
                <c:pt idx="18">
                  <c:v>-0.48894975557659759</c:v>
                </c:pt>
                <c:pt idx="19">
                  <c:v>-0.4899194062005755</c:v>
                </c:pt>
                <c:pt idx="20">
                  <c:v>-0.52281167168335907</c:v>
                </c:pt>
                <c:pt idx="21">
                  <c:v>-0.43557083455665274</c:v>
                </c:pt>
                <c:pt idx="22">
                  <c:v>-0.53824829816706321</c:v>
                </c:pt>
                <c:pt idx="23">
                  <c:v>-0.73768911993501396</c:v>
                </c:pt>
                <c:pt idx="24">
                  <c:v>-0.62515777358304048</c:v>
                </c:pt>
                <c:pt idx="25">
                  <c:v>-0.66838485355932042</c:v>
                </c:pt>
                <c:pt idx="26">
                  <c:v>-0.1196127199724232</c:v>
                </c:pt>
                <c:pt idx="27">
                  <c:v>2.349080776867838E-2</c:v>
                </c:pt>
                <c:pt idx="28">
                  <c:v>-0.42936283156489335</c:v>
                </c:pt>
                <c:pt idx="29">
                  <c:v>-0.36313479837877205</c:v>
                </c:pt>
                <c:pt idx="30">
                  <c:v>-0.3410003176081195</c:v>
                </c:pt>
                <c:pt idx="31">
                  <c:v>-0.37227467277918092</c:v>
                </c:pt>
                <c:pt idx="32">
                  <c:v>-0.49291143369549012</c:v>
                </c:pt>
                <c:pt idx="33">
                  <c:v>-0.65607050841858106</c:v>
                </c:pt>
                <c:pt idx="34">
                  <c:v>-0.62523320354474188</c:v>
                </c:pt>
                <c:pt idx="35">
                  <c:v>-0.59657821717782256</c:v>
                </c:pt>
                <c:pt idx="36">
                  <c:v>-0.68391996055093418</c:v>
                </c:pt>
                <c:pt idx="37">
                  <c:v>-0.48035906260688394</c:v>
                </c:pt>
                <c:pt idx="38">
                  <c:v>-0.27065723236386213</c:v>
                </c:pt>
                <c:pt idx="39">
                  <c:v>-0.65677943410208817</c:v>
                </c:pt>
                <c:pt idx="40">
                  <c:v>-0.49465114626074147</c:v>
                </c:pt>
                <c:pt idx="41">
                  <c:v>-0.67573847342518789</c:v>
                </c:pt>
                <c:pt idx="42">
                  <c:v>-0.67752526115465339</c:v>
                </c:pt>
                <c:pt idx="43">
                  <c:v>-0.63050558490897335</c:v>
                </c:pt>
                <c:pt idx="44">
                  <c:v>-0.55359086051209416</c:v>
                </c:pt>
                <c:pt idx="45">
                  <c:v>-0.26523364007105082</c:v>
                </c:pt>
                <c:pt idx="46">
                  <c:v>-0.29233628135322198</c:v>
                </c:pt>
                <c:pt idx="47">
                  <c:v>-0.56641276145083541</c:v>
                </c:pt>
                <c:pt idx="48">
                  <c:v>-0.40636246275814908</c:v>
                </c:pt>
                <c:pt idx="49">
                  <c:v>-0.27701123480783607</c:v>
                </c:pt>
                <c:pt idx="50">
                  <c:v>-0.40198260642703892</c:v>
                </c:pt>
                <c:pt idx="51">
                  <c:v>-0.56612083952168379</c:v>
                </c:pt>
                <c:pt idx="52">
                  <c:v>-0.68030308490705493</c:v>
                </c:pt>
                <c:pt idx="53">
                  <c:v>-0.72956175086523767</c:v>
                </c:pt>
                <c:pt idx="54">
                  <c:v>-0.53982946131146592</c:v>
                </c:pt>
                <c:pt idx="55">
                  <c:v>-0.42118675666730887</c:v>
                </c:pt>
                <c:pt idx="56">
                  <c:v>-0.63744972350244844</c:v>
                </c:pt>
                <c:pt idx="57">
                  <c:v>-0.69615839292690673</c:v>
                </c:pt>
                <c:pt idx="58">
                  <c:v>-0.70800831072731718</c:v>
                </c:pt>
                <c:pt idx="59">
                  <c:v>-0.67488975378643934</c:v>
                </c:pt>
                <c:pt idx="60">
                  <c:v>-0.71090547987750452</c:v>
                </c:pt>
                <c:pt idx="61">
                  <c:v>-0.57819059647957471</c:v>
                </c:pt>
                <c:pt idx="62">
                  <c:v>-0.57138099487884397</c:v>
                </c:pt>
                <c:pt idx="63">
                  <c:v>-0.34175856880204902</c:v>
                </c:pt>
                <c:pt idx="64">
                  <c:v>-0.2218449777215287</c:v>
                </c:pt>
                <c:pt idx="65">
                  <c:v>-0.50532333628596549</c:v>
                </c:pt>
                <c:pt idx="66">
                  <c:v>-0.61440669100166556</c:v>
                </c:pt>
                <c:pt idx="67">
                  <c:v>-0.46682994564622804</c:v>
                </c:pt>
                <c:pt idx="68">
                  <c:v>-0.40791178906257425</c:v>
                </c:pt>
                <c:pt idx="69">
                  <c:v>-0.34284358133525528</c:v>
                </c:pt>
                <c:pt idx="70">
                  <c:v>-0.25671589570836928</c:v>
                </c:pt>
                <c:pt idx="71">
                  <c:v>-0.39352881186947231</c:v>
                </c:pt>
                <c:pt idx="72">
                  <c:v>-0.36852415407429551</c:v>
                </c:pt>
                <c:pt idx="73">
                  <c:v>-0.37039713462948665</c:v>
                </c:pt>
                <c:pt idx="74">
                  <c:v>-0.30336538358147663</c:v>
                </c:pt>
                <c:pt idx="75">
                  <c:v>-0.14340894680675914</c:v>
                </c:pt>
                <c:pt idx="76">
                  <c:v>-0.2531918834075384</c:v>
                </c:pt>
                <c:pt idx="77">
                  <c:v>-0.25992736986446485</c:v>
                </c:pt>
                <c:pt idx="78">
                  <c:v>-0.42183497157794203</c:v>
                </c:pt>
                <c:pt idx="79">
                  <c:v>-0.164815789599595</c:v>
                </c:pt>
                <c:pt idx="80">
                  <c:v>-0.11869092496935971</c:v>
                </c:pt>
                <c:pt idx="81">
                  <c:v>-0.18054752739799831</c:v>
                </c:pt>
                <c:pt idx="82">
                  <c:v>-0.32375154953870466</c:v>
                </c:pt>
                <c:pt idx="83">
                  <c:v>-0.18369336098930625</c:v>
                </c:pt>
                <c:pt idx="84">
                  <c:v>-0.22531422284111258</c:v>
                </c:pt>
                <c:pt idx="85">
                  <c:v>-0.17715411606823195</c:v>
                </c:pt>
                <c:pt idx="86">
                  <c:v>-1.9541183131714879E-2</c:v>
                </c:pt>
                <c:pt idx="87">
                  <c:v>-3.5106453569344269E-2</c:v>
                </c:pt>
                <c:pt idx="88">
                  <c:v>-7.7752473066142122E-2</c:v>
                </c:pt>
                <c:pt idx="89">
                  <c:v>3.1797875800736956E-3</c:v>
                </c:pt>
                <c:pt idx="90">
                  <c:v>4.682012141787148E-2</c:v>
                </c:pt>
                <c:pt idx="91">
                  <c:v>4.4899435350008107E-4</c:v>
                </c:pt>
                <c:pt idx="92">
                  <c:v>5.0977448507293641E-4</c:v>
                </c:pt>
                <c:pt idx="93">
                  <c:v>0.17724862218444673</c:v>
                </c:pt>
                <c:pt idx="94">
                  <c:v>9.7049809245082358E-2</c:v>
                </c:pt>
                <c:pt idx="95">
                  <c:v>-3.8764295255777056E-2</c:v>
                </c:pt>
                <c:pt idx="96">
                  <c:v>-5.5811949013869058E-2</c:v>
                </c:pt>
                <c:pt idx="97">
                  <c:v>-4.5488798201853343E-2</c:v>
                </c:pt>
                <c:pt idx="98">
                  <c:v>-8.5814774460525545E-2</c:v>
                </c:pt>
                <c:pt idx="99">
                  <c:v>-0.17154435398694307</c:v>
                </c:pt>
                <c:pt idx="100">
                  <c:v>-2.4634412116537725E-2</c:v>
                </c:pt>
                <c:pt idx="101">
                  <c:v>7.0582098890960648E-2</c:v>
                </c:pt>
                <c:pt idx="102">
                  <c:v>0.12828213387509438</c:v>
                </c:pt>
                <c:pt idx="103">
                  <c:v>-0.14165496933082111</c:v>
                </c:pt>
                <c:pt idx="104">
                  <c:v>-0.21807370565716061</c:v>
                </c:pt>
                <c:pt idx="105">
                  <c:v>-0.28777212180709966</c:v>
                </c:pt>
                <c:pt idx="106">
                  <c:v>3.2492023419266269E-2</c:v>
                </c:pt>
                <c:pt idx="107">
                  <c:v>9.9442903939132063E-2</c:v>
                </c:pt>
                <c:pt idx="108">
                  <c:v>4.7486606365437944E-2</c:v>
                </c:pt>
                <c:pt idx="109">
                  <c:v>-2.3816529304428527E-2</c:v>
                </c:pt>
                <c:pt idx="110">
                  <c:v>6.701609601263428E-2</c:v>
                </c:pt>
                <c:pt idx="111">
                  <c:v>1.8943561582593152E-2</c:v>
                </c:pt>
                <c:pt idx="112">
                  <c:v>6.8155005009189376E-2</c:v>
                </c:pt>
                <c:pt idx="113">
                  <c:v>-0.24113721479850872</c:v>
                </c:pt>
                <c:pt idx="114">
                  <c:v>-0.18091131268229305</c:v>
                </c:pt>
                <c:pt idx="115">
                  <c:v>-4.3134357901835743E-2</c:v>
                </c:pt>
                <c:pt idx="116">
                  <c:v>-8.6075095962655557E-2</c:v>
                </c:pt>
                <c:pt idx="117">
                  <c:v>-0.11772621938219494</c:v>
                </c:pt>
                <c:pt idx="118">
                  <c:v>8.3906588128147858E-2</c:v>
                </c:pt>
                <c:pt idx="119">
                  <c:v>-2.835552868316173E-2</c:v>
                </c:pt>
                <c:pt idx="120">
                  <c:v>-0.25989348013649333</c:v>
                </c:pt>
                <c:pt idx="121">
                  <c:v>-6.3379774338549258E-2</c:v>
                </c:pt>
                <c:pt idx="122">
                  <c:v>5.5836719095344593E-2</c:v>
                </c:pt>
                <c:pt idx="123">
                  <c:v>-0.25417202298130204</c:v>
                </c:pt>
                <c:pt idx="124">
                  <c:v>-0.22063019493116764</c:v>
                </c:pt>
                <c:pt idx="125">
                  <c:v>-0.29544601222335781</c:v>
                </c:pt>
                <c:pt idx="126">
                  <c:v>2.9742184018587504E-2</c:v>
                </c:pt>
                <c:pt idx="127">
                  <c:v>-8.1835264077724679E-2</c:v>
                </c:pt>
                <c:pt idx="128">
                  <c:v>7.8537725150469667E-2</c:v>
                </c:pt>
                <c:pt idx="129">
                  <c:v>9.7555147985052146E-2</c:v>
                </c:pt>
                <c:pt idx="130">
                  <c:v>0.1203004412468086</c:v>
                </c:pt>
                <c:pt idx="131">
                  <c:v>1.369768471592729E-2</c:v>
                </c:pt>
                <c:pt idx="132">
                  <c:v>0.22583246093518694</c:v>
                </c:pt>
                <c:pt idx="133">
                  <c:v>-2.3936511132984947E-2</c:v>
                </c:pt>
                <c:pt idx="134">
                  <c:v>-5.3825427203879034E-2</c:v>
                </c:pt>
                <c:pt idx="135">
                  <c:v>1.9875898158491841E-2</c:v>
                </c:pt>
                <c:pt idx="136">
                  <c:v>0.23434322382218678</c:v>
                </c:pt>
                <c:pt idx="137">
                  <c:v>0.22872139569836553</c:v>
                </c:pt>
                <c:pt idx="138">
                  <c:v>0.14805921804790573</c:v>
                </c:pt>
                <c:pt idx="139">
                  <c:v>0.36563023776078868</c:v>
                </c:pt>
                <c:pt idx="140">
                  <c:v>0.31232215481582121</c:v>
                </c:pt>
                <c:pt idx="141">
                  <c:v>0.13002288059052164</c:v>
                </c:pt>
                <c:pt idx="142">
                  <c:v>0.17039461292045099</c:v>
                </c:pt>
                <c:pt idx="143">
                  <c:v>0.26832177120896566</c:v>
                </c:pt>
                <c:pt idx="144">
                  <c:v>0.39031754091590021</c:v>
                </c:pt>
                <c:pt idx="145">
                  <c:v>0.23088637562470868</c:v>
                </c:pt>
                <c:pt idx="146">
                  <c:v>0.52875760536413174</c:v>
                </c:pt>
                <c:pt idx="147">
                  <c:v>0.74201170122999793</c:v>
                </c:pt>
                <c:pt idx="148">
                  <c:v>0.4015418236940882</c:v>
                </c:pt>
                <c:pt idx="149">
                  <c:v>0.40607666049834024</c:v>
                </c:pt>
                <c:pt idx="150">
                  <c:v>0.60807747402359824</c:v>
                </c:pt>
                <c:pt idx="151">
                  <c:v>0.69185264461942453</c:v>
                </c:pt>
                <c:pt idx="152">
                  <c:v>0.72980323327060326</c:v>
                </c:pt>
                <c:pt idx="153">
                  <c:v>0.66019563970508532</c:v>
                </c:pt>
                <c:pt idx="154">
                  <c:v>0.77630659137781099</c:v>
                </c:pt>
                <c:pt idx="155">
                  <c:v>0.73429927121599792</c:v>
                </c:pt>
                <c:pt idx="156">
                  <c:v>0.67764880032043173</c:v>
                </c:pt>
                <c:pt idx="157">
                  <c:v>0.57407957791981989</c:v>
                </c:pt>
                <c:pt idx="158">
                  <c:v>0.79845236690703048</c:v>
                </c:pt>
                <c:pt idx="159">
                  <c:v>0.88359066191196289</c:v>
                </c:pt>
                <c:pt idx="160">
                  <c:v>0.66230509721902042</c:v>
                </c:pt>
                <c:pt idx="161">
                  <c:v>0.79047486248657695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main!$X$9</c:f>
              <c:strCache>
                <c:ptCount val="1"/>
                <c:pt idx="0">
                  <c:v>ECS 3C CO2 model</c:v>
                </c:pt>
              </c:strCache>
            </c:strRef>
          </c:tx>
          <c:marker>
            <c:symbol val="none"/>
          </c:marker>
          <c:xVal>
            <c:numRef>
              <c:f>main!$A$10:$A$171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main!$X$10:$X$171</c:f>
              <c:numCache>
                <c:formatCode>General</c:formatCode>
                <c:ptCount val="162"/>
                <c:pt idx="0">
                  <c:v>-0.50603151698803661</c:v>
                </c:pt>
                <c:pt idx="1">
                  <c:v>-0.51593497734755367</c:v>
                </c:pt>
                <c:pt idx="2">
                  <c:v>-0.52774993066807852</c:v>
                </c:pt>
                <c:pt idx="3">
                  <c:v>-0.49461735296234444</c:v>
                </c:pt>
                <c:pt idx="4">
                  <c:v>-0.49258198593832392</c:v>
                </c:pt>
                <c:pt idx="5">
                  <c:v>-0.53337075727969319</c:v>
                </c:pt>
                <c:pt idx="6">
                  <c:v>-0.55175893586952685</c:v>
                </c:pt>
                <c:pt idx="7">
                  <c:v>-0.5069596849046244</c:v>
                </c:pt>
                <c:pt idx="8">
                  <c:v>-0.50055668720888791</c:v>
                </c:pt>
                <c:pt idx="9">
                  <c:v>-0.56295223459329902</c:v>
                </c:pt>
                <c:pt idx="10">
                  <c:v>-0.54326489648126097</c:v>
                </c:pt>
                <c:pt idx="11">
                  <c:v>-0.59404690608130206</c:v>
                </c:pt>
                <c:pt idx="12">
                  <c:v>-0.49633715288056862</c:v>
                </c:pt>
                <c:pt idx="13">
                  <c:v>-0.52905049571307772</c:v>
                </c:pt>
                <c:pt idx="14">
                  <c:v>-0.50239393801633614</c:v>
                </c:pt>
                <c:pt idx="15">
                  <c:v>-0.49607541316655412</c:v>
                </c:pt>
                <c:pt idx="16">
                  <c:v>-0.47849527426009369</c:v>
                </c:pt>
                <c:pt idx="17">
                  <c:v>-0.49927560860419673</c:v>
                </c:pt>
                <c:pt idx="18">
                  <c:v>-0.47431898675828033</c:v>
                </c:pt>
                <c:pt idx="19">
                  <c:v>-0.50714168130126092</c:v>
                </c:pt>
                <c:pt idx="20">
                  <c:v>-0.52176478581286967</c:v>
                </c:pt>
                <c:pt idx="21">
                  <c:v>-0.51215727693299262</c:v>
                </c:pt>
                <c:pt idx="22">
                  <c:v>-0.49018587205016706</c:v>
                </c:pt>
                <c:pt idx="23">
                  <c:v>-0.47446126685880941</c:v>
                </c:pt>
                <c:pt idx="24">
                  <c:v>-0.5361879657191988</c:v>
                </c:pt>
                <c:pt idx="25">
                  <c:v>-0.52342392452086639</c:v>
                </c:pt>
                <c:pt idx="26">
                  <c:v>-0.47260505986157941</c:v>
                </c:pt>
                <c:pt idx="27">
                  <c:v>-0.43533151596495429</c:v>
                </c:pt>
                <c:pt idx="28">
                  <c:v>-0.50159440613136363</c:v>
                </c:pt>
                <c:pt idx="29">
                  <c:v>-0.5102140098701462</c:v>
                </c:pt>
                <c:pt idx="30">
                  <c:v>-0.48835223447172221</c:v>
                </c:pt>
                <c:pt idx="31">
                  <c:v>-0.50130969339069964</c:v>
                </c:pt>
                <c:pt idx="32">
                  <c:v>-0.50992971578031143</c:v>
                </c:pt>
                <c:pt idx="33">
                  <c:v>-0.53385403646122231</c:v>
                </c:pt>
                <c:pt idx="34">
                  <c:v>-0.50964544652168198</c:v>
                </c:pt>
                <c:pt idx="35">
                  <c:v>-0.50614904156815355</c:v>
                </c:pt>
                <c:pt idx="36">
                  <c:v>-0.51396893898336671</c:v>
                </c:pt>
                <c:pt idx="37">
                  <c:v>-0.4885480321756957</c:v>
                </c:pt>
                <c:pt idx="38">
                  <c:v>-0.46115586385744811</c:v>
                </c:pt>
                <c:pt idx="39">
                  <c:v>-0.50188845063215926</c:v>
                </c:pt>
                <c:pt idx="40">
                  <c:v>-0.49500258932118113</c:v>
                </c:pt>
                <c:pt idx="41">
                  <c:v>-0.49085517514769722</c:v>
                </c:pt>
                <c:pt idx="42">
                  <c:v>-0.49769927046276646</c:v>
                </c:pt>
                <c:pt idx="43">
                  <c:v>-0.4722884710656467</c:v>
                </c:pt>
                <c:pt idx="44">
                  <c:v>-0.47917099042215078</c:v>
                </c:pt>
                <c:pt idx="45">
                  <c:v>-0.4666331133130181</c:v>
                </c:pt>
                <c:pt idx="46">
                  <c:v>-0.45518552790300681</c:v>
                </c:pt>
                <c:pt idx="47">
                  <c:v>-0.46477888798045841</c:v>
                </c:pt>
                <c:pt idx="48">
                  <c:v>-0.43986780948475918</c:v>
                </c:pt>
                <c:pt idx="49">
                  <c:v>-0.43117006766656163</c:v>
                </c:pt>
                <c:pt idx="50">
                  <c:v>-0.42573480345990011</c:v>
                </c:pt>
                <c:pt idx="51">
                  <c:v>-0.45710331375414293</c:v>
                </c:pt>
                <c:pt idx="52">
                  <c:v>-0.45751193464917611</c:v>
                </c:pt>
                <c:pt idx="53">
                  <c:v>-0.46993131085770712</c:v>
                </c:pt>
                <c:pt idx="54">
                  <c:v>-0.4520729798002065</c:v>
                </c:pt>
                <c:pt idx="55">
                  <c:v>-0.42499040391667198</c:v>
                </c:pt>
                <c:pt idx="56">
                  <c:v>-0.48498925699964968</c:v>
                </c:pt>
                <c:pt idx="57">
                  <c:v>-0.45071891850561802</c:v>
                </c:pt>
                <c:pt idx="58">
                  <c:v>-0.44870423337490878</c:v>
                </c:pt>
                <c:pt idx="59">
                  <c:v>-0.4451243074797967</c:v>
                </c:pt>
                <c:pt idx="60">
                  <c:v>-0.4494442018028279</c:v>
                </c:pt>
                <c:pt idx="61">
                  <c:v>-0.44402224431812609</c:v>
                </c:pt>
                <c:pt idx="62">
                  <c:v>-0.42296912024122318</c:v>
                </c:pt>
                <c:pt idx="63">
                  <c:v>-0.38251718091815601</c:v>
                </c:pt>
                <c:pt idx="64">
                  <c:v>-0.38183748254445898</c:v>
                </c:pt>
                <c:pt idx="65">
                  <c:v>-0.4239697589021883</c:v>
                </c:pt>
                <c:pt idx="66">
                  <c:v>-0.44655965594904939</c:v>
                </c:pt>
                <c:pt idx="67">
                  <c:v>-0.43139886398325367</c:v>
                </c:pt>
                <c:pt idx="68">
                  <c:v>-0.40602768060956018</c:v>
                </c:pt>
                <c:pt idx="69">
                  <c:v>-0.395272480467382</c:v>
                </c:pt>
                <c:pt idx="70">
                  <c:v>-0.362301058478111</c:v>
                </c:pt>
                <c:pt idx="71">
                  <c:v>-0.38666402567547498</c:v>
                </c:pt>
                <c:pt idx="72">
                  <c:v>-0.37958910533968299</c:v>
                </c:pt>
                <c:pt idx="73">
                  <c:v>-0.362682722991159</c:v>
                </c:pt>
                <c:pt idx="74">
                  <c:v>-0.36363192000760802</c:v>
                </c:pt>
                <c:pt idx="75">
                  <c:v>-0.33866225393340099</c:v>
                </c:pt>
                <c:pt idx="76">
                  <c:v>-0.36010301065150296</c:v>
                </c:pt>
                <c:pt idx="77">
                  <c:v>-0.33687051143817304</c:v>
                </c:pt>
                <c:pt idx="78">
                  <c:v>-0.38741846307038297</c:v>
                </c:pt>
                <c:pt idx="79">
                  <c:v>-0.33389391199138596</c:v>
                </c:pt>
                <c:pt idx="80">
                  <c:v>-0.32313941341074603</c:v>
                </c:pt>
                <c:pt idx="81">
                  <c:v>-0.32041504838235702</c:v>
                </c:pt>
                <c:pt idx="82">
                  <c:v>-0.36837399607061699</c:v>
                </c:pt>
                <c:pt idx="83">
                  <c:v>-0.32221763942225301</c:v>
                </c:pt>
                <c:pt idx="84">
                  <c:v>-0.33512976250100801</c:v>
                </c:pt>
                <c:pt idx="85">
                  <c:v>-0.33106488135991796</c:v>
                </c:pt>
                <c:pt idx="86">
                  <c:v>-0.30874775540356403</c:v>
                </c:pt>
                <c:pt idx="87">
                  <c:v>-0.277537826971608</c:v>
                </c:pt>
                <c:pt idx="88">
                  <c:v>-0.28907925762875497</c:v>
                </c:pt>
                <c:pt idx="89">
                  <c:v>-0.28557064335307403</c:v>
                </c:pt>
                <c:pt idx="90">
                  <c:v>-0.290868642848229</c:v>
                </c:pt>
                <c:pt idx="91">
                  <c:v>-0.28677343872864602</c:v>
                </c:pt>
                <c:pt idx="92">
                  <c:v>-0.27260411364773901</c:v>
                </c:pt>
                <c:pt idx="93">
                  <c:v>-0.25629011927150203</c:v>
                </c:pt>
                <c:pt idx="94">
                  <c:v>-0.29043820532974196</c:v>
                </c:pt>
                <c:pt idx="95">
                  <c:v>-0.27877164456166703</c:v>
                </c:pt>
                <c:pt idx="96">
                  <c:v>-0.25626860749149999</c:v>
                </c:pt>
                <c:pt idx="97">
                  <c:v>-0.25919023196313501</c:v>
                </c:pt>
                <c:pt idx="98">
                  <c:v>-0.27318015730463596</c:v>
                </c:pt>
                <c:pt idx="99">
                  <c:v>-0.29590290166177102</c:v>
                </c:pt>
                <c:pt idx="100">
                  <c:v>-0.25676155611001</c:v>
                </c:pt>
                <c:pt idx="101">
                  <c:v>-0.250575422506566</c:v>
                </c:pt>
                <c:pt idx="102">
                  <c:v>-0.21243072146800501</c:v>
                </c:pt>
                <c:pt idx="103">
                  <c:v>-0.24797719395909501</c:v>
                </c:pt>
                <c:pt idx="104">
                  <c:v>-0.23089254542153298</c:v>
                </c:pt>
                <c:pt idx="105">
                  <c:v>-0.27004392174505099</c:v>
                </c:pt>
                <c:pt idx="106">
                  <c:v>-0.20729024415282199</c:v>
                </c:pt>
                <c:pt idx="107">
                  <c:v>-0.19634656888110802</c:v>
                </c:pt>
                <c:pt idx="108">
                  <c:v>-0.18371469156629799</c:v>
                </c:pt>
                <c:pt idx="109">
                  <c:v>-0.20211075387052302</c:v>
                </c:pt>
                <c:pt idx="110">
                  <c:v>-0.15616340507113102</c:v>
                </c:pt>
                <c:pt idx="111">
                  <c:v>-0.168833856052097</c:v>
                </c:pt>
                <c:pt idx="112">
                  <c:v>-0.13247393411721398</c:v>
                </c:pt>
                <c:pt idx="113">
                  <c:v>-0.18478657518355002</c:v>
                </c:pt>
                <c:pt idx="114">
                  <c:v>-0.15011188578410101</c:v>
                </c:pt>
                <c:pt idx="115">
                  <c:v>-0.13148478978093597</c:v>
                </c:pt>
                <c:pt idx="116">
                  <c:v>-0.10405663048996799</c:v>
                </c:pt>
                <c:pt idx="117">
                  <c:v>-0.11740308429359197</c:v>
                </c:pt>
                <c:pt idx="118">
                  <c:v>-9.6711278899433983E-2</c:v>
                </c:pt>
                <c:pt idx="119">
                  <c:v>-6.5932586912830993E-2</c:v>
                </c:pt>
                <c:pt idx="120">
                  <c:v>-6.4472826067501987E-2</c:v>
                </c:pt>
                <c:pt idx="121">
                  <c:v>-6.0197291891745996E-2</c:v>
                </c:pt>
                <c:pt idx="122">
                  <c:v>1.7840579678051971E-2</c:v>
                </c:pt>
                <c:pt idx="123">
                  <c:v>-2.7159713015963982E-2</c:v>
                </c:pt>
                <c:pt idx="124">
                  <c:v>2.2789824078841003E-2</c:v>
                </c:pt>
                <c:pt idx="125">
                  <c:v>-5.0467372764099738E-3</c:v>
                </c:pt>
                <c:pt idx="126">
                  <c:v>6.8620632446191987E-2</c:v>
                </c:pt>
                <c:pt idx="127">
                  <c:v>6.547330568617904E-2</c:v>
                </c:pt>
                <c:pt idx="128">
                  <c:v>7.4038083215329009E-2</c:v>
                </c:pt>
                <c:pt idx="129">
                  <c:v>0.13897487637411798</c:v>
                </c:pt>
                <c:pt idx="130">
                  <c:v>0.16978943079805198</c:v>
                </c:pt>
                <c:pt idx="131">
                  <c:v>0.124775057019747</c:v>
                </c:pt>
                <c:pt idx="132">
                  <c:v>0.18317437869775899</c:v>
                </c:pt>
                <c:pt idx="133">
                  <c:v>0.16544867621009096</c:v>
                </c:pt>
                <c:pt idx="134">
                  <c:v>0.172984077670994</c:v>
                </c:pt>
                <c:pt idx="135">
                  <c:v>0.21123929043022005</c:v>
                </c:pt>
                <c:pt idx="136">
                  <c:v>0.24425030625556499</c:v>
                </c:pt>
                <c:pt idx="137">
                  <c:v>0.29018731742680604</c:v>
                </c:pt>
                <c:pt idx="138">
                  <c:v>0.28009276132059502</c:v>
                </c:pt>
                <c:pt idx="139">
                  <c:v>0.32790104429118905</c:v>
                </c:pt>
                <c:pt idx="140">
                  <c:v>0.34222175090468099</c:v>
                </c:pt>
                <c:pt idx="141">
                  <c:v>0.31538855437126101</c:v>
                </c:pt>
                <c:pt idx="142">
                  <c:v>0.33645206007288597</c:v>
                </c:pt>
                <c:pt idx="143">
                  <c:v>0.37580857910444398</c:v>
                </c:pt>
                <c:pt idx="144">
                  <c:v>0.42840649273982201</c:v>
                </c:pt>
                <c:pt idx="145">
                  <c:v>0.41509594721117304</c:v>
                </c:pt>
                <c:pt idx="146">
                  <c:v>0.44321353188775903</c:v>
                </c:pt>
                <c:pt idx="147">
                  <c:v>0.49555536365403996</c:v>
                </c:pt>
                <c:pt idx="148">
                  <c:v>0.48608408586000196</c:v>
                </c:pt>
                <c:pt idx="149">
                  <c:v>0.49724644729627698</c:v>
                </c:pt>
                <c:pt idx="150">
                  <c:v>0.53779946244363996</c:v>
                </c:pt>
                <c:pt idx="151">
                  <c:v>0.57343852123087991</c:v>
                </c:pt>
                <c:pt idx="152">
                  <c:v>0.58561649761847989</c:v>
                </c:pt>
                <c:pt idx="153">
                  <c:v>0.58190207127636007</c:v>
                </c:pt>
                <c:pt idx="154">
                  <c:v>0.64931345678763996</c:v>
                </c:pt>
                <c:pt idx="155">
                  <c:v>0.65564387961774995</c:v>
                </c:pt>
                <c:pt idx="156">
                  <c:v>0.70513621271864002</c:v>
                </c:pt>
                <c:pt idx="157">
                  <c:v>0.69304345325791994</c:v>
                </c:pt>
                <c:pt idx="158">
                  <c:v>0.72025462562749998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841808"/>
        <c:axId val="477841416"/>
      </c:scatterChart>
      <c:valAx>
        <c:axId val="477841808"/>
        <c:scaling>
          <c:orientation val="minMax"/>
          <c:max val="2015"/>
          <c:min val="1850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Year</a:t>
                </a:r>
              </a:p>
            </c:rich>
          </c:tx>
          <c:layout>
            <c:manualLayout>
              <c:xMode val="edge"/>
              <c:yMode val="edge"/>
              <c:x val="0.53147533126788948"/>
              <c:y val="0.90757086076153715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477841416"/>
        <c:crosses val="autoZero"/>
        <c:crossBetween val="midCat"/>
      </c:valAx>
      <c:valAx>
        <c:axId val="477841416"/>
        <c:scaling>
          <c:orientation val="minMax"/>
          <c:max val="1"/>
          <c:min val="-1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sz="1600"/>
                  <a:t>Temperature Anomaly</a:t>
                </a:r>
              </a:p>
            </c:rich>
          </c:tx>
          <c:layout>
            <c:manualLayout>
              <c:xMode val="edge"/>
              <c:yMode val="edge"/>
              <c:x val="3.3594111096407896E-3"/>
              <c:y val="0.2572650039214808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77841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3128962419240336"/>
          <c:y val="7.2547000042975041E-2"/>
          <c:w val="0.63692275265195553"/>
          <c:h val="0.25397093105297325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spPr>
    <a:solidFill>
      <a:srgbClr val="99FFCC"/>
    </a:solidFill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02405949256346E-2"/>
          <c:y val="5.1400554097404488E-2"/>
          <c:w val="0.88483693768083416"/>
          <c:h val="0.89719889180519097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noFill/>
              <a:prstDash val="solid"/>
            </a:ln>
          </c:spPr>
          <c:marker>
            <c:symbol val="dot"/>
            <c:size val="3"/>
            <c:spPr>
              <a:solidFill>
                <a:schemeClr val="bg1"/>
              </a:solidFill>
            </c:spPr>
          </c:marker>
          <c:xVal>
            <c:numRef>
              <c:f>wft!$A$378:$A$539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wft!$B$378:$B$539</c:f>
              <c:numCache>
                <c:formatCode>General</c:formatCode>
                <c:ptCount val="162"/>
                <c:pt idx="0">
                  <c:v>0.19550000000000001</c:v>
                </c:pt>
                <c:pt idx="1">
                  <c:v>0.22950000000000001</c:v>
                </c:pt>
                <c:pt idx="2">
                  <c:v>-0.27158300000000002</c:v>
                </c:pt>
                <c:pt idx="3">
                  <c:v>0.128917</c:v>
                </c:pt>
                <c:pt idx="4">
                  <c:v>-0.23150000000000001</c:v>
                </c:pt>
                <c:pt idx="5">
                  <c:v>-0.503583</c:v>
                </c:pt>
                <c:pt idx="6">
                  <c:v>-0.41908299999999998</c:v>
                </c:pt>
                <c:pt idx="7">
                  <c:v>-0.47783300000000001</c:v>
                </c:pt>
                <c:pt idx="8">
                  <c:v>-0.20558299999999999</c:v>
                </c:pt>
                <c:pt idx="9">
                  <c:v>-0.58391700000000002</c:v>
                </c:pt>
                <c:pt idx="10">
                  <c:v>-0.42758299999999999</c:v>
                </c:pt>
                <c:pt idx="11">
                  <c:v>-0.66333299999999995</c:v>
                </c:pt>
                <c:pt idx="12">
                  <c:v>-0.192167</c:v>
                </c:pt>
                <c:pt idx="13">
                  <c:v>-0.69433299999999998</c:v>
                </c:pt>
                <c:pt idx="14">
                  <c:v>-0.37524999999999997</c:v>
                </c:pt>
                <c:pt idx="15">
                  <c:v>-0.34875</c:v>
                </c:pt>
                <c:pt idx="16">
                  <c:v>-0.51741700000000002</c:v>
                </c:pt>
                <c:pt idx="17">
                  <c:v>-0.33116699999999999</c:v>
                </c:pt>
                <c:pt idx="18">
                  <c:v>-0.30425000000000002</c:v>
                </c:pt>
                <c:pt idx="19">
                  <c:v>-0.46124999999999999</c:v>
                </c:pt>
                <c:pt idx="20">
                  <c:v>-0.58299999999999996</c:v>
                </c:pt>
                <c:pt idx="21">
                  <c:v>-0.310083</c:v>
                </c:pt>
                <c:pt idx="22">
                  <c:v>-0.372583</c:v>
                </c:pt>
                <c:pt idx="23">
                  <c:v>-0.45658300000000002</c:v>
                </c:pt>
                <c:pt idx="24">
                  <c:v>-0.84499999999999997</c:v>
                </c:pt>
                <c:pt idx="25">
                  <c:v>-0.46800000000000003</c:v>
                </c:pt>
                <c:pt idx="26">
                  <c:v>-0.26258300000000001</c:v>
                </c:pt>
                <c:pt idx="27">
                  <c:v>-3.4500000000000003E-2</c:v>
                </c:pt>
                <c:pt idx="28">
                  <c:v>-0.53591699999999998</c:v>
                </c:pt>
                <c:pt idx="29">
                  <c:v>-0.34608299999999997</c:v>
                </c:pt>
                <c:pt idx="30">
                  <c:v>-0.46550000000000002</c:v>
                </c:pt>
                <c:pt idx="31">
                  <c:v>-0.34341699999999997</c:v>
                </c:pt>
                <c:pt idx="32">
                  <c:v>-0.59391700000000003</c:v>
                </c:pt>
                <c:pt idx="33">
                  <c:v>-0.67600000000000005</c:v>
                </c:pt>
                <c:pt idx="34">
                  <c:v>-0.66533299999999995</c:v>
                </c:pt>
                <c:pt idx="35">
                  <c:v>-0.54049999999999998</c:v>
                </c:pt>
                <c:pt idx="36">
                  <c:v>-0.56841699999999995</c:v>
                </c:pt>
                <c:pt idx="37">
                  <c:v>-0.62575000000000003</c:v>
                </c:pt>
                <c:pt idx="38">
                  <c:v>-0.30325000000000002</c:v>
                </c:pt>
                <c:pt idx="39">
                  <c:v>-0.44933299999999998</c:v>
                </c:pt>
                <c:pt idx="40">
                  <c:v>-0.55933299999999997</c:v>
                </c:pt>
                <c:pt idx="41">
                  <c:v>-0.62666699999999997</c:v>
                </c:pt>
                <c:pt idx="42">
                  <c:v>-0.69633299999999998</c:v>
                </c:pt>
                <c:pt idx="43">
                  <c:v>-0.46825</c:v>
                </c:pt>
                <c:pt idx="44">
                  <c:v>-0.57974999999999999</c:v>
                </c:pt>
                <c:pt idx="45">
                  <c:v>-0.41775000000000001</c:v>
                </c:pt>
                <c:pt idx="46">
                  <c:v>-0.32824999999999999</c:v>
                </c:pt>
                <c:pt idx="47">
                  <c:v>-0.38033299999999998</c:v>
                </c:pt>
                <c:pt idx="48">
                  <c:v>-0.32616699999999998</c:v>
                </c:pt>
                <c:pt idx="49">
                  <c:v>-0.20449999999999999</c:v>
                </c:pt>
                <c:pt idx="50">
                  <c:v>-0.190417</c:v>
                </c:pt>
                <c:pt idx="51">
                  <c:v>-0.42241699999999999</c:v>
                </c:pt>
                <c:pt idx="52">
                  <c:v>-0.42341699999999999</c:v>
                </c:pt>
                <c:pt idx="53">
                  <c:v>-0.55483300000000002</c:v>
                </c:pt>
                <c:pt idx="54">
                  <c:v>-0.43416700000000003</c:v>
                </c:pt>
                <c:pt idx="55">
                  <c:v>-0.23166700000000001</c:v>
                </c:pt>
                <c:pt idx="56">
                  <c:v>-0.63300000000000001</c:v>
                </c:pt>
                <c:pt idx="57">
                  <c:v>-0.49399999999999999</c:v>
                </c:pt>
                <c:pt idx="58">
                  <c:v>-0.48249999999999998</c:v>
                </c:pt>
                <c:pt idx="59">
                  <c:v>-0.34699999999999998</c:v>
                </c:pt>
                <c:pt idx="60">
                  <c:v>-0.44716699999999998</c:v>
                </c:pt>
                <c:pt idx="61">
                  <c:v>-0.47733300000000001</c:v>
                </c:pt>
                <c:pt idx="62">
                  <c:v>-0.35016700000000001</c:v>
                </c:pt>
                <c:pt idx="63">
                  <c:v>-0.112417</c:v>
                </c:pt>
                <c:pt idx="64">
                  <c:v>-0.13991700000000001</c:v>
                </c:pt>
                <c:pt idx="65">
                  <c:v>-0.39</c:v>
                </c:pt>
                <c:pt idx="66">
                  <c:v>-0.69916699999999998</c:v>
                </c:pt>
                <c:pt idx="67">
                  <c:v>-0.43924999999999997</c:v>
                </c:pt>
                <c:pt idx="68">
                  <c:v>-0.32641700000000001</c:v>
                </c:pt>
                <c:pt idx="69">
                  <c:v>-0.283167</c:v>
                </c:pt>
                <c:pt idx="70">
                  <c:v>-0.10324999999999999</c:v>
                </c:pt>
                <c:pt idx="71">
                  <c:v>-0.27925</c:v>
                </c:pt>
                <c:pt idx="72">
                  <c:v>-0.25858300000000001</c:v>
                </c:pt>
                <c:pt idx="73">
                  <c:v>-0.34</c:v>
                </c:pt>
                <c:pt idx="74">
                  <c:v>-0.22650000000000001</c:v>
                </c:pt>
                <c:pt idx="75">
                  <c:v>-8.69167E-2</c:v>
                </c:pt>
                <c:pt idx="76">
                  <c:v>-0.247</c:v>
                </c:pt>
                <c:pt idx="77">
                  <c:v>-0.16508300000000001</c:v>
                </c:pt>
                <c:pt idx="78">
                  <c:v>-0.47008299999999997</c:v>
                </c:pt>
                <c:pt idx="79">
                  <c:v>-0.11724999999999999</c:v>
                </c:pt>
                <c:pt idx="80">
                  <c:v>-0.10166699999999999</c:v>
                </c:pt>
                <c:pt idx="81">
                  <c:v>-8.4416699999999997E-2</c:v>
                </c:pt>
                <c:pt idx="82">
                  <c:v>-0.32450000000000001</c:v>
                </c:pt>
                <c:pt idx="83">
                  <c:v>-1.14167E-2</c:v>
                </c:pt>
                <c:pt idx="84">
                  <c:v>-0.16383300000000001</c:v>
                </c:pt>
                <c:pt idx="85">
                  <c:v>-0.110167</c:v>
                </c:pt>
                <c:pt idx="86">
                  <c:v>-4.1666700000000001E-2</c:v>
                </c:pt>
                <c:pt idx="87">
                  <c:v>0.16</c:v>
                </c:pt>
                <c:pt idx="88">
                  <c:v>1.9166700000000001E-3</c:v>
                </c:pt>
                <c:pt idx="89">
                  <c:v>-4.55833E-2</c:v>
                </c:pt>
                <c:pt idx="90">
                  <c:v>-5.4416699999999998E-2</c:v>
                </c:pt>
                <c:pt idx="91">
                  <c:v>-4.84167E-2</c:v>
                </c:pt>
                <c:pt idx="92">
                  <c:v>1.6750000000000001E-2</c:v>
                </c:pt>
                <c:pt idx="93">
                  <c:v>0.111417</c:v>
                </c:pt>
                <c:pt idx="94">
                  <c:v>-0.11700000000000001</c:v>
                </c:pt>
                <c:pt idx="95">
                  <c:v>-7.2583300000000003E-2</c:v>
                </c:pt>
                <c:pt idx="96">
                  <c:v>-1.175E-2</c:v>
                </c:pt>
                <c:pt idx="97">
                  <c:v>2.1666699999999999E-3</c:v>
                </c:pt>
                <c:pt idx="98">
                  <c:v>-0.112417</c:v>
                </c:pt>
                <c:pt idx="99">
                  <c:v>-0.29958299999999999</c:v>
                </c:pt>
                <c:pt idx="100">
                  <c:v>-0.10066700000000001</c:v>
                </c:pt>
                <c:pt idx="101">
                  <c:v>-6.5000000000000002E-2</c:v>
                </c:pt>
                <c:pt idx="102">
                  <c:v>0.11749999999999999</c:v>
                </c:pt>
                <c:pt idx="103">
                  <c:v>-0.151</c:v>
                </c:pt>
                <c:pt idx="104">
                  <c:v>-0.184</c:v>
                </c:pt>
                <c:pt idx="105">
                  <c:v>-0.41108299999999998</c:v>
                </c:pt>
                <c:pt idx="106">
                  <c:v>-7.0749999999999993E-2</c:v>
                </c:pt>
                <c:pt idx="107">
                  <c:v>4.0750000000000001E-2</c:v>
                </c:pt>
                <c:pt idx="108">
                  <c:v>1.55E-2</c:v>
                </c:pt>
                <c:pt idx="109">
                  <c:v>-7.2666700000000001E-2</c:v>
                </c:pt>
                <c:pt idx="110">
                  <c:v>4.2250000000000003E-2</c:v>
                </c:pt>
                <c:pt idx="111">
                  <c:v>2.54167E-2</c:v>
                </c:pt>
                <c:pt idx="112">
                  <c:v>1.7500000000000002E-2</c:v>
                </c:pt>
                <c:pt idx="113">
                  <c:v>-0.28925000000000001</c:v>
                </c:pt>
                <c:pt idx="114">
                  <c:v>-0.22916700000000001</c:v>
                </c:pt>
                <c:pt idx="115">
                  <c:v>-0.15024999999999999</c:v>
                </c:pt>
                <c:pt idx="116">
                  <c:v>-9.5833299999999996E-2</c:v>
                </c:pt>
                <c:pt idx="117">
                  <c:v>-0.21066699999999999</c:v>
                </c:pt>
                <c:pt idx="118">
                  <c:v>-0.13783300000000001</c:v>
                </c:pt>
                <c:pt idx="119">
                  <c:v>-6.6500000000000004E-2</c:v>
                </c:pt>
                <c:pt idx="120">
                  <c:v>-0.19375000000000001</c:v>
                </c:pt>
                <c:pt idx="121">
                  <c:v>-0.23408300000000001</c:v>
                </c:pt>
                <c:pt idx="122">
                  <c:v>0.122417</c:v>
                </c:pt>
                <c:pt idx="123">
                  <c:v>-0.27274999999999999</c:v>
                </c:pt>
                <c:pt idx="124">
                  <c:v>-5.3833300000000001E-2</c:v>
                </c:pt>
                <c:pt idx="125">
                  <c:v>-0.341333</c:v>
                </c:pt>
                <c:pt idx="126">
                  <c:v>7.5499999999999998E-2</c:v>
                </c:pt>
                <c:pt idx="127">
                  <c:v>-4.9000000000000002E-2</c:v>
                </c:pt>
                <c:pt idx="128">
                  <c:v>3.5999999999999997E-2</c:v>
                </c:pt>
                <c:pt idx="129">
                  <c:v>0.1305</c:v>
                </c:pt>
                <c:pt idx="130">
                  <c:v>0.31</c:v>
                </c:pt>
                <c:pt idx="131">
                  <c:v>6.3333299999999999E-3</c:v>
                </c:pt>
                <c:pt idx="132">
                  <c:v>0.32183299999999998</c:v>
                </c:pt>
                <c:pt idx="133">
                  <c:v>-3.80833E-2</c:v>
                </c:pt>
                <c:pt idx="134">
                  <c:v>-2.8000000000000001E-2</c:v>
                </c:pt>
                <c:pt idx="135">
                  <c:v>0.1255</c:v>
                </c:pt>
                <c:pt idx="136">
                  <c:v>0.246583</c:v>
                </c:pt>
                <c:pt idx="137">
                  <c:v>0.36883300000000002</c:v>
                </c:pt>
                <c:pt idx="138">
                  <c:v>0.251583</c:v>
                </c:pt>
                <c:pt idx="139">
                  <c:v>0.48341699999999999</c:v>
                </c:pt>
                <c:pt idx="140">
                  <c:v>0.38974999999999999</c:v>
                </c:pt>
                <c:pt idx="141">
                  <c:v>0.111167</c:v>
                </c:pt>
                <c:pt idx="142">
                  <c:v>0.183917</c:v>
                </c:pt>
                <c:pt idx="143">
                  <c:v>0.341667</c:v>
                </c:pt>
                <c:pt idx="144">
                  <c:v>0.58216699999999999</c:v>
                </c:pt>
                <c:pt idx="145">
                  <c:v>0.23908299999999999</c:v>
                </c:pt>
                <c:pt idx="146">
                  <c:v>0.52058300000000002</c:v>
                </c:pt>
                <c:pt idx="147">
                  <c:v>0.81241699999999994</c:v>
                </c:pt>
                <c:pt idx="148">
                  <c:v>0.56799999999999995</c:v>
                </c:pt>
                <c:pt idx="149">
                  <c:v>0.49733300000000003</c:v>
                </c:pt>
                <c:pt idx="150">
                  <c:v>0.68116699999999997</c:v>
                </c:pt>
                <c:pt idx="151">
                  <c:v>0.77258300000000002</c:v>
                </c:pt>
                <c:pt idx="152">
                  <c:v>0.76649999999999996</c:v>
                </c:pt>
                <c:pt idx="153">
                  <c:v>0.68225000000000002</c:v>
                </c:pt>
                <c:pt idx="154">
                  <c:v>0.87516700000000003</c:v>
                </c:pt>
                <c:pt idx="155">
                  <c:v>0.80833299999999997</c:v>
                </c:pt>
                <c:pt idx="156">
                  <c:v>0.90749999999999997</c:v>
                </c:pt>
                <c:pt idx="157">
                  <c:v>0.70574999999999999</c:v>
                </c:pt>
                <c:pt idx="158">
                  <c:v>0.73158299999999998</c:v>
                </c:pt>
                <c:pt idx="159">
                  <c:v>0.88758300000000001</c:v>
                </c:pt>
                <c:pt idx="160">
                  <c:v>0.70058299999999996</c:v>
                </c:pt>
                <c:pt idx="161">
                  <c:v>0.75416700000000003</c:v>
                </c:pt>
              </c:numCache>
            </c:numRef>
          </c:yVal>
          <c:smooth val="0"/>
        </c:ser>
        <c:ser>
          <c:idx val="1"/>
          <c:order val="1"/>
          <c:spPr>
            <a:ln w="12700"/>
          </c:spPr>
          <c:marker>
            <c:symbol val="square"/>
            <c:size val="3"/>
            <c:spPr>
              <a:solidFill>
                <a:schemeClr val="bg1"/>
              </a:solidFill>
            </c:spPr>
          </c:marker>
          <c:xVal>
            <c:numRef>
              <c:f>wft!$A$197:$A$358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wft!$E$197:$E$358</c:f>
              <c:numCache>
                <c:formatCode>General</c:formatCode>
                <c:ptCount val="162"/>
                <c:pt idx="0">
                  <c:v>-0.25872795249965019</c:v>
                </c:pt>
                <c:pt idx="1">
                  <c:v>-0.24374997322354788</c:v>
                </c:pt>
                <c:pt idx="2">
                  <c:v>-0.43136468121873278</c:v>
                </c:pt>
                <c:pt idx="3">
                  <c:v>-0.3549026129410574</c:v>
                </c:pt>
                <c:pt idx="4">
                  <c:v>-0.42353223947733132</c:v>
                </c:pt>
                <c:pt idx="5">
                  <c:v>-0.63551744078978212</c:v>
                </c:pt>
                <c:pt idx="6">
                  <c:v>-0.77487775950565962</c:v>
                </c:pt>
                <c:pt idx="7">
                  <c:v>-0.84239041034042639</c:v>
                </c:pt>
                <c:pt idx="8">
                  <c:v>-0.61750225188158703</c:v>
                </c:pt>
                <c:pt idx="9">
                  <c:v>-0.61186075967587572</c:v>
                </c:pt>
                <c:pt idx="10">
                  <c:v>-0.72053352702495232</c:v>
                </c:pt>
                <c:pt idx="11">
                  <c:v>-0.90621871060766335</c:v>
                </c:pt>
                <c:pt idx="12">
                  <c:v>-0.71527889374847109</c:v>
                </c:pt>
                <c:pt idx="13">
                  <c:v>-0.80959997869681699</c:v>
                </c:pt>
                <c:pt idx="14">
                  <c:v>-0.49664768679277049</c:v>
                </c:pt>
                <c:pt idx="15">
                  <c:v>-0.50664028213495471</c:v>
                </c:pt>
                <c:pt idx="16">
                  <c:v>-0.49794368659331079</c:v>
                </c:pt>
                <c:pt idx="17">
                  <c:v>-0.39202881762150255</c:v>
                </c:pt>
                <c:pt idx="18">
                  <c:v>-0.52149400489983211</c:v>
                </c:pt>
                <c:pt idx="19">
                  <c:v>-0.49786460676488065</c:v>
                </c:pt>
                <c:pt idx="20">
                  <c:v>-0.58331522568827809</c:v>
                </c:pt>
                <c:pt idx="21">
                  <c:v>-0.52044289932488952</c:v>
                </c:pt>
                <c:pt idx="22">
                  <c:v>-0.61064888573929244</c:v>
                </c:pt>
                <c:pt idx="23">
                  <c:v>-0.76016175532991126</c:v>
                </c:pt>
                <c:pt idx="24">
                  <c:v>-0.68554414775456929</c:v>
                </c:pt>
                <c:pt idx="25">
                  <c:v>-0.7223248480530271</c:v>
                </c:pt>
                <c:pt idx="26">
                  <c:v>-0.16102882183398534</c:v>
                </c:pt>
                <c:pt idx="27">
                  <c:v>-9.640395525476974E-3</c:v>
                </c:pt>
                <c:pt idx="28">
                  <c:v>-0.50988055774026608</c:v>
                </c:pt>
                <c:pt idx="29">
                  <c:v>-0.45260900239000007</c:v>
                </c:pt>
                <c:pt idx="30">
                  <c:v>-0.43993477816884541</c:v>
                </c:pt>
                <c:pt idx="31">
                  <c:v>-0.47547191942609224</c:v>
                </c:pt>
                <c:pt idx="32">
                  <c:v>-0.53092248008096332</c:v>
                </c:pt>
                <c:pt idx="33">
                  <c:v>-0.62953684868049353</c:v>
                </c:pt>
                <c:pt idx="34">
                  <c:v>-0.59174211887694073</c:v>
                </c:pt>
                <c:pt idx="35">
                  <c:v>-0.44605442305360909</c:v>
                </c:pt>
                <c:pt idx="36">
                  <c:v>-0.61659106382289219</c:v>
                </c:pt>
                <c:pt idx="37">
                  <c:v>-0.50537780637221741</c:v>
                </c:pt>
                <c:pt idx="38">
                  <c:v>-0.29366719456815626</c:v>
                </c:pt>
                <c:pt idx="39">
                  <c:v>-0.68496151512734438</c:v>
                </c:pt>
                <c:pt idx="40">
                  <c:v>-0.54265915042655144</c:v>
                </c:pt>
                <c:pt idx="41">
                  <c:v>-0.72017265725304125</c:v>
                </c:pt>
                <c:pt idx="42">
                  <c:v>-0.70696617963894237</c:v>
                </c:pt>
                <c:pt idx="43">
                  <c:v>-0.68198527407145548</c:v>
                </c:pt>
                <c:pt idx="44">
                  <c:v>-0.57229823971086269</c:v>
                </c:pt>
                <c:pt idx="45">
                  <c:v>-0.30115165255725773</c:v>
                </c:pt>
                <c:pt idx="46">
                  <c:v>-0.331091897891441</c:v>
                </c:pt>
                <c:pt idx="47">
                  <c:v>-0.59063527353756751</c:v>
                </c:pt>
                <c:pt idx="48">
                  <c:v>-0.44278798615524628</c:v>
                </c:pt>
                <c:pt idx="49">
                  <c:v>-0.30886220703455769</c:v>
                </c:pt>
                <c:pt idx="50">
                  <c:v>-0.43818599217153104</c:v>
                </c:pt>
                <c:pt idx="51">
                  <c:v>-0.59010501167188623</c:v>
                </c:pt>
                <c:pt idx="52">
                  <c:v>-0.69620442230183177</c:v>
                </c:pt>
                <c:pt idx="53">
                  <c:v>-0.75546896319464385</c:v>
                </c:pt>
                <c:pt idx="54">
                  <c:v>-0.56707075564658271</c:v>
                </c:pt>
                <c:pt idx="55">
                  <c:v>-0.45439154390969899</c:v>
                </c:pt>
                <c:pt idx="56">
                  <c:v>-0.66194122662707655</c:v>
                </c:pt>
                <c:pt idx="57">
                  <c:v>-0.73354052612820841</c:v>
                </c:pt>
                <c:pt idx="58">
                  <c:v>-0.73670607234400665</c:v>
                </c:pt>
                <c:pt idx="59">
                  <c:v>-0.7209317146826637</c:v>
                </c:pt>
                <c:pt idx="60">
                  <c:v>-0.72261573951888869</c:v>
                </c:pt>
                <c:pt idx="61">
                  <c:v>-0.6123683241748421</c:v>
                </c:pt>
                <c:pt idx="62">
                  <c:v>-0.61932217896194242</c:v>
                </c:pt>
                <c:pt idx="63">
                  <c:v>-0.38435835511325589</c:v>
                </c:pt>
                <c:pt idx="64">
                  <c:v>-0.28590792260256054</c:v>
                </c:pt>
                <c:pt idx="65">
                  <c:v>-0.54696437795618313</c:v>
                </c:pt>
                <c:pt idx="66">
                  <c:v>-0.63509008978245785</c:v>
                </c:pt>
                <c:pt idx="67">
                  <c:v>-0.48260110476851026</c:v>
                </c:pt>
                <c:pt idx="68">
                  <c:v>-0.43958954842756737</c:v>
                </c:pt>
                <c:pt idx="69">
                  <c:v>-0.39110417947596998</c:v>
                </c:pt>
                <c:pt idx="70">
                  <c:v>-0.33722199207722409</c:v>
                </c:pt>
                <c:pt idx="71">
                  <c:v>-0.47799637779765553</c:v>
                </c:pt>
                <c:pt idx="72">
                  <c:v>-0.43622895052307187</c:v>
                </c:pt>
                <c:pt idx="73">
                  <c:v>-0.43433536344375068</c:v>
                </c:pt>
                <c:pt idx="74">
                  <c:v>-0.36632795936362433</c:v>
                </c:pt>
                <c:pt idx="75">
                  <c:v>-0.20389111379206168</c:v>
                </c:pt>
                <c:pt idx="76">
                  <c:v>-0.30234481086089593</c:v>
                </c:pt>
                <c:pt idx="77">
                  <c:v>-0.30232796829644437</c:v>
                </c:pt>
                <c:pt idx="78">
                  <c:v>-0.44832236167764294</c:v>
                </c:pt>
                <c:pt idx="79">
                  <c:v>-0.19706113583016738</c:v>
                </c:pt>
                <c:pt idx="80">
                  <c:v>-0.16120691500569198</c:v>
                </c:pt>
                <c:pt idx="81">
                  <c:v>-0.20235097773757724</c:v>
                </c:pt>
                <c:pt idx="82">
                  <c:v>-0.35481146159831345</c:v>
                </c:pt>
                <c:pt idx="83">
                  <c:v>-0.19945667983783913</c:v>
                </c:pt>
                <c:pt idx="84">
                  <c:v>-0.22711636862109508</c:v>
                </c:pt>
                <c:pt idx="85">
                  <c:v>-0.1801082499969836</c:v>
                </c:pt>
                <c:pt idx="86">
                  <c:v>-2.7880953167365656E-2</c:v>
                </c:pt>
                <c:pt idx="87">
                  <c:v>-2.9972927075586006E-3</c:v>
                </c:pt>
                <c:pt idx="88">
                  <c:v>-4.1694780309625076E-3</c:v>
                </c:pt>
                <c:pt idx="89">
                  <c:v>7.3279841832624114E-3</c:v>
                </c:pt>
                <c:pt idx="90">
                  <c:v>0.11550919981532347</c:v>
                </c:pt>
                <c:pt idx="91">
                  <c:v>-2.4927782280067839E-2</c:v>
                </c:pt>
                <c:pt idx="92">
                  <c:v>-2.0287377356089979E-2</c:v>
                </c:pt>
                <c:pt idx="93">
                  <c:v>0.12505419817328522</c:v>
                </c:pt>
                <c:pt idx="94">
                  <c:v>2.2733539788328976E-2</c:v>
                </c:pt>
                <c:pt idx="95">
                  <c:v>-0.27820061585400624</c:v>
                </c:pt>
                <c:pt idx="96">
                  <c:v>-0.29174673776352739</c:v>
                </c:pt>
                <c:pt idx="97">
                  <c:v>-0.29162881994705114</c:v>
                </c:pt>
                <c:pt idx="98">
                  <c:v>-0.27121864988457167</c:v>
                </c:pt>
                <c:pt idx="99">
                  <c:v>-0.35753945917120084</c:v>
                </c:pt>
                <c:pt idx="100">
                  <c:v>-0.20267977608922905</c:v>
                </c:pt>
                <c:pt idx="101">
                  <c:v>-9.3206547054998673E-2</c:v>
                </c:pt>
                <c:pt idx="102">
                  <c:v>-4.2526516807104231E-2</c:v>
                </c:pt>
                <c:pt idx="103">
                  <c:v>-0.30387553278378321</c:v>
                </c:pt>
                <c:pt idx="104">
                  <c:v>-0.36272088387066048</c:v>
                </c:pt>
                <c:pt idx="105">
                  <c:v>-0.3956746796694518</c:v>
                </c:pt>
                <c:pt idx="106">
                  <c:v>-7.5671543657774107E-2</c:v>
                </c:pt>
                <c:pt idx="107">
                  <c:v>-1.1570940560493787E-2</c:v>
                </c:pt>
                <c:pt idx="108">
                  <c:v>-6.8450563710975673E-2</c:v>
                </c:pt>
                <c:pt idx="109">
                  <c:v>-0.12982348619940243</c:v>
                </c:pt>
                <c:pt idx="110">
                  <c:v>-2.4199697437706953E-2</c:v>
                </c:pt>
                <c:pt idx="111">
                  <c:v>-4.2159191828422864E-2</c:v>
                </c:pt>
                <c:pt idx="112">
                  <c:v>-2.3771985879340325E-2</c:v>
                </c:pt>
                <c:pt idx="113">
                  <c:v>-0.35337926044777257</c:v>
                </c:pt>
                <c:pt idx="114">
                  <c:v>-0.29189818379512306</c:v>
                </c:pt>
                <c:pt idx="115">
                  <c:v>-0.17010140004545321</c:v>
                </c:pt>
                <c:pt idx="116">
                  <c:v>-0.18711936646859517</c:v>
                </c:pt>
                <c:pt idx="117">
                  <c:v>-0.19282690561114343</c:v>
                </c:pt>
                <c:pt idx="118">
                  <c:v>1.8326803829153276E-2</c:v>
                </c:pt>
                <c:pt idx="119">
                  <c:v>-9.0760911725064758E-2</c:v>
                </c:pt>
                <c:pt idx="120">
                  <c:v>-0.27024872787155557</c:v>
                </c:pt>
                <c:pt idx="121">
                  <c:v>-5.4887843941300897E-2</c:v>
                </c:pt>
                <c:pt idx="122">
                  <c:v>7.3179242297959413E-2</c:v>
                </c:pt>
                <c:pt idx="123">
                  <c:v>-0.25387404476021247</c:v>
                </c:pt>
                <c:pt idx="124">
                  <c:v>-0.23553341653892099</c:v>
                </c:pt>
                <c:pt idx="125">
                  <c:v>-0.31496047309715691</c:v>
                </c:pt>
                <c:pt idx="126">
                  <c:v>1.6354375759121652E-3</c:v>
                </c:pt>
                <c:pt idx="127">
                  <c:v>-7.857824957513157E-2</c:v>
                </c:pt>
                <c:pt idx="128">
                  <c:v>6.5348289580440366E-2</c:v>
                </c:pt>
                <c:pt idx="129">
                  <c:v>8.7762897944249907E-2</c:v>
                </c:pt>
                <c:pt idx="130">
                  <c:v>0.11901804984094427</c:v>
                </c:pt>
                <c:pt idx="131">
                  <c:v>2.6225151515933805E-2</c:v>
                </c:pt>
                <c:pt idx="132">
                  <c:v>0.22006729524484298</c:v>
                </c:pt>
                <c:pt idx="133">
                  <c:v>-1.7824848219846635E-2</c:v>
                </c:pt>
                <c:pt idx="134">
                  <c:v>-5.7234052543315039E-2</c:v>
                </c:pt>
                <c:pt idx="135">
                  <c:v>1.414110719731107E-2</c:v>
                </c:pt>
                <c:pt idx="136">
                  <c:v>0.2272075120172054</c:v>
                </c:pt>
                <c:pt idx="137">
                  <c:v>0.22554835781392865</c:v>
                </c:pt>
                <c:pt idx="138">
                  <c:v>0.14036062078435474</c:v>
                </c:pt>
                <c:pt idx="139">
                  <c:v>0.34619810596428729</c:v>
                </c:pt>
                <c:pt idx="140">
                  <c:v>0.28983581958927207</c:v>
                </c:pt>
                <c:pt idx="141">
                  <c:v>9.5764549405797192E-2</c:v>
                </c:pt>
                <c:pt idx="142">
                  <c:v>0.13973117053211959</c:v>
                </c:pt>
                <c:pt idx="143">
                  <c:v>0.24311038921770711</c:v>
                </c:pt>
                <c:pt idx="144">
                  <c:v>0.38072097258727422</c:v>
                </c:pt>
                <c:pt idx="145">
                  <c:v>0.20273874698283792</c:v>
                </c:pt>
                <c:pt idx="146">
                  <c:v>0.51110167739455692</c:v>
                </c:pt>
                <c:pt idx="147">
                  <c:v>0.77834162443122756</c:v>
                </c:pt>
                <c:pt idx="148">
                  <c:v>0.41838987913884346</c:v>
                </c:pt>
                <c:pt idx="149">
                  <c:v>0.41424907525741056</c:v>
                </c:pt>
                <c:pt idx="150">
                  <c:v>0.61631104850420337</c:v>
                </c:pt>
                <c:pt idx="151">
                  <c:v>0.7008735253170616</c:v>
                </c:pt>
                <c:pt idx="152">
                  <c:v>0.74618742766380075</c:v>
                </c:pt>
                <c:pt idx="153">
                  <c:v>0.7004088776953562</c:v>
                </c:pt>
                <c:pt idx="154">
                  <c:v>0.76728188445898393</c:v>
                </c:pt>
                <c:pt idx="155">
                  <c:v>0.70054697794762699</c:v>
                </c:pt>
                <c:pt idx="156">
                  <c:v>0.65351292036387132</c:v>
                </c:pt>
                <c:pt idx="157">
                  <c:v>0.56257641220672094</c:v>
                </c:pt>
                <c:pt idx="158">
                  <c:v>0.77069774215420439</c:v>
                </c:pt>
                <c:pt idx="159">
                  <c:v>0.85743450172957436</c:v>
                </c:pt>
                <c:pt idx="160">
                  <c:v>0.63707394811918816</c:v>
                </c:pt>
                <c:pt idx="161">
                  <c:v>0.78415673473389613</c:v>
                </c:pt>
              </c:numCache>
            </c:numRef>
          </c:yVal>
          <c:smooth val="0"/>
        </c:ser>
        <c:ser>
          <c:idx val="2"/>
          <c:order val="2"/>
          <c:spPr>
            <a:ln w="28575"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wft!$A$16:$A$177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wft!$C$16:$C$174</c:f>
              <c:numCache>
                <c:formatCode>General</c:formatCode>
                <c:ptCount val="159"/>
                <c:pt idx="0">
                  <c:v>-0.50603151698803661</c:v>
                </c:pt>
                <c:pt idx="1">
                  <c:v>-0.51593497734755367</c:v>
                </c:pt>
                <c:pt idx="2">
                  <c:v>-0.52774993066807852</c:v>
                </c:pt>
                <c:pt idx="3">
                  <c:v>-0.49461735296234444</c:v>
                </c:pt>
                <c:pt idx="4">
                  <c:v>-0.49258198593832392</c:v>
                </c:pt>
                <c:pt idx="5">
                  <c:v>-0.53337075727969319</c:v>
                </c:pt>
                <c:pt idx="6">
                  <c:v>-0.55175893586952685</c:v>
                </c:pt>
                <c:pt idx="7">
                  <c:v>-0.5069596849046244</c:v>
                </c:pt>
                <c:pt idx="8">
                  <c:v>-0.50055668720888791</c:v>
                </c:pt>
                <c:pt idx="9">
                  <c:v>-0.56295223459329902</c:v>
                </c:pt>
                <c:pt idx="10">
                  <c:v>-0.54326489648126097</c:v>
                </c:pt>
                <c:pt idx="11">
                  <c:v>-0.59404690608130206</c:v>
                </c:pt>
                <c:pt idx="12">
                  <c:v>-0.49633715288056862</c:v>
                </c:pt>
                <c:pt idx="13">
                  <c:v>-0.52905049571307772</c:v>
                </c:pt>
                <c:pt idx="14">
                  <c:v>-0.50239393801633614</c:v>
                </c:pt>
                <c:pt idx="15">
                  <c:v>-0.49607541316655412</c:v>
                </c:pt>
                <c:pt idx="16">
                  <c:v>-0.47849527426009369</c:v>
                </c:pt>
                <c:pt idx="17">
                  <c:v>-0.49927560860419673</c:v>
                </c:pt>
                <c:pt idx="18">
                  <c:v>-0.47431898675828033</c:v>
                </c:pt>
                <c:pt idx="19">
                  <c:v>-0.50714168130126092</c:v>
                </c:pt>
                <c:pt idx="20">
                  <c:v>-0.52176478581286967</c:v>
                </c:pt>
                <c:pt idx="21">
                  <c:v>-0.51215727693299262</c:v>
                </c:pt>
                <c:pt idx="22">
                  <c:v>-0.49018587205016706</c:v>
                </c:pt>
                <c:pt idx="23">
                  <c:v>-0.47446126685880941</c:v>
                </c:pt>
                <c:pt idx="24">
                  <c:v>-0.5361879657191988</c:v>
                </c:pt>
                <c:pt idx="25">
                  <c:v>-0.52342392452086639</c:v>
                </c:pt>
                <c:pt idx="26">
                  <c:v>-0.47260505986157941</c:v>
                </c:pt>
                <c:pt idx="27">
                  <c:v>-0.43533151596495429</c:v>
                </c:pt>
                <c:pt idx="28">
                  <c:v>-0.50159440613136363</c:v>
                </c:pt>
                <c:pt idx="29">
                  <c:v>-0.5102140098701462</c:v>
                </c:pt>
                <c:pt idx="30">
                  <c:v>-0.48835223447172221</c:v>
                </c:pt>
                <c:pt idx="31">
                  <c:v>-0.50130969339069964</c:v>
                </c:pt>
                <c:pt idx="32">
                  <c:v>-0.50992971578031143</c:v>
                </c:pt>
                <c:pt idx="33">
                  <c:v>-0.53385403646122231</c:v>
                </c:pt>
                <c:pt idx="34">
                  <c:v>-0.50964544652168198</c:v>
                </c:pt>
                <c:pt idx="35">
                  <c:v>-0.50614904156815355</c:v>
                </c:pt>
                <c:pt idx="36">
                  <c:v>-0.51396893898336671</c:v>
                </c:pt>
                <c:pt idx="37">
                  <c:v>-0.4885480321756957</c:v>
                </c:pt>
                <c:pt idx="38">
                  <c:v>-0.46115586385744811</c:v>
                </c:pt>
                <c:pt idx="39">
                  <c:v>-0.50188845063215926</c:v>
                </c:pt>
                <c:pt idx="40">
                  <c:v>-0.49500258932118113</c:v>
                </c:pt>
                <c:pt idx="41">
                  <c:v>-0.49085517514769722</c:v>
                </c:pt>
                <c:pt idx="42">
                  <c:v>-0.49769927046276646</c:v>
                </c:pt>
                <c:pt idx="43">
                  <c:v>-0.4722884710656467</c:v>
                </c:pt>
                <c:pt idx="44">
                  <c:v>-0.47917099042215078</c:v>
                </c:pt>
                <c:pt idx="45">
                  <c:v>-0.4666331133130181</c:v>
                </c:pt>
                <c:pt idx="46">
                  <c:v>-0.45518552790300681</c:v>
                </c:pt>
                <c:pt idx="47">
                  <c:v>-0.46477888798045841</c:v>
                </c:pt>
                <c:pt idx="48">
                  <c:v>-0.43986780948475918</c:v>
                </c:pt>
                <c:pt idx="49">
                  <c:v>-0.43117006766656163</c:v>
                </c:pt>
                <c:pt idx="50">
                  <c:v>-0.42573480345990011</c:v>
                </c:pt>
                <c:pt idx="51">
                  <c:v>-0.45710331375414293</c:v>
                </c:pt>
                <c:pt idx="52">
                  <c:v>-0.45751193464917611</c:v>
                </c:pt>
                <c:pt idx="53">
                  <c:v>-0.46993131085770712</c:v>
                </c:pt>
                <c:pt idx="54">
                  <c:v>-0.4520729798002065</c:v>
                </c:pt>
                <c:pt idx="55">
                  <c:v>-0.42499040391667198</c:v>
                </c:pt>
                <c:pt idx="56">
                  <c:v>-0.48498925699964968</c:v>
                </c:pt>
                <c:pt idx="57">
                  <c:v>-0.45071891850561802</c:v>
                </c:pt>
                <c:pt idx="58">
                  <c:v>-0.44870423337490878</c:v>
                </c:pt>
                <c:pt idx="59">
                  <c:v>-0.4451243074797967</c:v>
                </c:pt>
                <c:pt idx="60">
                  <c:v>-0.4494442018028279</c:v>
                </c:pt>
                <c:pt idx="61">
                  <c:v>-0.44402224431812609</c:v>
                </c:pt>
                <c:pt idx="62">
                  <c:v>-0.42296912024122318</c:v>
                </c:pt>
                <c:pt idx="63">
                  <c:v>-0.38251718091815601</c:v>
                </c:pt>
                <c:pt idx="64">
                  <c:v>-0.38183748254445898</c:v>
                </c:pt>
                <c:pt idx="65">
                  <c:v>-0.4239697589021883</c:v>
                </c:pt>
                <c:pt idx="66">
                  <c:v>-0.44655965594904939</c:v>
                </c:pt>
                <c:pt idx="67">
                  <c:v>-0.43139886398325367</c:v>
                </c:pt>
                <c:pt idx="68">
                  <c:v>-0.40602768060956018</c:v>
                </c:pt>
                <c:pt idx="69">
                  <c:v>-0.395272480467382</c:v>
                </c:pt>
                <c:pt idx="70">
                  <c:v>-0.362301058478111</c:v>
                </c:pt>
                <c:pt idx="71">
                  <c:v>-0.38666402567547498</c:v>
                </c:pt>
                <c:pt idx="72">
                  <c:v>-0.37958910533968299</c:v>
                </c:pt>
                <c:pt idx="73">
                  <c:v>-0.362682722991159</c:v>
                </c:pt>
                <c:pt idx="74">
                  <c:v>-0.36363192000760802</c:v>
                </c:pt>
                <c:pt idx="75">
                  <c:v>-0.33866225393340099</c:v>
                </c:pt>
                <c:pt idx="76">
                  <c:v>-0.36010301065150296</c:v>
                </c:pt>
                <c:pt idx="77">
                  <c:v>-0.33687051143817304</c:v>
                </c:pt>
                <c:pt idx="78">
                  <c:v>-0.38741846307038297</c:v>
                </c:pt>
                <c:pt idx="79">
                  <c:v>-0.33389391199138596</c:v>
                </c:pt>
                <c:pt idx="80">
                  <c:v>-0.32313941341074603</c:v>
                </c:pt>
                <c:pt idx="81">
                  <c:v>-0.32041504838235702</c:v>
                </c:pt>
                <c:pt idx="82">
                  <c:v>-0.36837399607061699</c:v>
                </c:pt>
                <c:pt idx="83">
                  <c:v>-0.32221763942225301</c:v>
                </c:pt>
                <c:pt idx="84">
                  <c:v>-0.33512976250100801</c:v>
                </c:pt>
                <c:pt idx="85">
                  <c:v>-0.33106488135991796</c:v>
                </c:pt>
                <c:pt idx="86">
                  <c:v>-0.30874775540356403</c:v>
                </c:pt>
                <c:pt idx="87">
                  <c:v>-0.277537826971608</c:v>
                </c:pt>
                <c:pt idx="88">
                  <c:v>-0.28907925762875497</c:v>
                </c:pt>
                <c:pt idx="89">
                  <c:v>-0.28557064335307403</c:v>
                </c:pt>
                <c:pt idx="90">
                  <c:v>-0.290868642848229</c:v>
                </c:pt>
                <c:pt idx="91">
                  <c:v>-0.28677343872864602</c:v>
                </c:pt>
                <c:pt idx="92">
                  <c:v>-0.27260411364773901</c:v>
                </c:pt>
                <c:pt idx="93">
                  <c:v>-0.25629011927150203</c:v>
                </c:pt>
                <c:pt idx="94">
                  <c:v>-0.29043820532974196</c:v>
                </c:pt>
                <c:pt idx="95">
                  <c:v>-0.27877164456166703</c:v>
                </c:pt>
                <c:pt idx="96">
                  <c:v>-0.25626860749149999</c:v>
                </c:pt>
                <c:pt idx="97">
                  <c:v>-0.25919023196313501</c:v>
                </c:pt>
                <c:pt idx="98">
                  <c:v>-0.27318015730463596</c:v>
                </c:pt>
                <c:pt idx="99">
                  <c:v>-0.29590290166177102</c:v>
                </c:pt>
                <c:pt idx="100">
                  <c:v>-0.25676155611001</c:v>
                </c:pt>
                <c:pt idx="101">
                  <c:v>-0.250575422506566</c:v>
                </c:pt>
                <c:pt idx="102">
                  <c:v>-0.21243072146800501</c:v>
                </c:pt>
                <c:pt idx="103">
                  <c:v>-0.24797719395909501</c:v>
                </c:pt>
                <c:pt idx="104">
                  <c:v>-0.23089254542153298</c:v>
                </c:pt>
                <c:pt idx="105">
                  <c:v>-0.27004392174505099</c:v>
                </c:pt>
                <c:pt idx="106">
                  <c:v>-0.20729024415282199</c:v>
                </c:pt>
                <c:pt idx="107">
                  <c:v>-0.19634656888110802</c:v>
                </c:pt>
                <c:pt idx="108">
                  <c:v>-0.18371469156629799</c:v>
                </c:pt>
                <c:pt idx="109">
                  <c:v>-0.20211075387052302</c:v>
                </c:pt>
                <c:pt idx="110">
                  <c:v>-0.15616340507113102</c:v>
                </c:pt>
                <c:pt idx="111">
                  <c:v>-0.168833856052097</c:v>
                </c:pt>
                <c:pt idx="112">
                  <c:v>-0.13247393411721398</c:v>
                </c:pt>
                <c:pt idx="113">
                  <c:v>-0.18478657518355002</c:v>
                </c:pt>
                <c:pt idx="114">
                  <c:v>-0.15011188578410101</c:v>
                </c:pt>
                <c:pt idx="115">
                  <c:v>-0.13148478978093597</c:v>
                </c:pt>
                <c:pt idx="116">
                  <c:v>-0.10405663048996799</c:v>
                </c:pt>
                <c:pt idx="117">
                  <c:v>-0.11740308429359197</c:v>
                </c:pt>
                <c:pt idx="118">
                  <c:v>-9.6711278899433983E-2</c:v>
                </c:pt>
                <c:pt idx="119">
                  <c:v>-6.5932586912830993E-2</c:v>
                </c:pt>
                <c:pt idx="120">
                  <c:v>-6.4472826067501987E-2</c:v>
                </c:pt>
                <c:pt idx="121">
                  <c:v>-6.0197291891745996E-2</c:v>
                </c:pt>
                <c:pt idx="122">
                  <c:v>1.7840579678051971E-2</c:v>
                </c:pt>
                <c:pt idx="123">
                  <c:v>-2.7159713015963982E-2</c:v>
                </c:pt>
                <c:pt idx="124">
                  <c:v>2.2789824078841003E-2</c:v>
                </c:pt>
                <c:pt idx="125">
                  <c:v>-5.0467372764099738E-3</c:v>
                </c:pt>
                <c:pt idx="126">
                  <c:v>6.8620632446191987E-2</c:v>
                </c:pt>
                <c:pt idx="127">
                  <c:v>6.547330568617904E-2</c:v>
                </c:pt>
                <c:pt idx="128">
                  <c:v>7.4038083215329009E-2</c:v>
                </c:pt>
                <c:pt idx="129">
                  <c:v>0.13897487637411798</c:v>
                </c:pt>
                <c:pt idx="130">
                  <c:v>0.16978943079805198</c:v>
                </c:pt>
                <c:pt idx="131">
                  <c:v>0.124775057019747</c:v>
                </c:pt>
                <c:pt idx="132">
                  <c:v>0.18317437869775899</c:v>
                </c:pt>
                <c:pt idx="133">
                  <c:v>0.16544867621009096</c:v>
                </c:pt>
                <c:pt idx="134">
                  <c:v>0.172984077670994</c:v>
                </c:pt>
                <c:pt idx="135">
                  <c:v>0.21123929043022005</c:v>
                </c:pt>
                <c:pt idx="136">
                  <c:v>0.24425030625556499</c:v>
                </c:pt>
                <c:pt idx="137">
                  <c:v>0.29018731742680604</c:v>
                </c:pt>
                <c:pt idx="138">
                  <c:v>0.28009276132059502</c:v>
                </c:pt>
                <c:pt idx="139">
                  <c:v>0.32790104429118905</c:v>
                </c:pt>
                <c:pt idx="140">
                  <c:v>0.34222175090468099</c:v>
                </c:pt>
                <c:pt idx="141">
                  <c:v>0.31538855437126101</c:v>
                </c:pt>
                <c:pt idx="142">
                  <c:v>0.33645206007288597</c:v>
                </c:pt>
                <c:pt idx="143">
                  <c:v>0.37580857910444398</c:v>
                </c:pt>
                <c:pt idx="144">
                  <c:v>0.42840649273982201</c:v>
                </c:pt>
                <c:pt idx="145">
                  <c:v>0.41509594721117304</c:v>
                </c:pt>
                <c:pt idx="146">
                  <c:v>0.44321353188775903</c:v>
                </c:pt>
                <c:pt idx="147">
                  <c:v>0.49555536365403996</c:v>
                </c:pt>
                <c:pt idx="148">
                  <c:v>0.48608408586000196</c:v>
                </c:pt>
                <c:pt idx="149">
                  <c:v>0.49724644729627698</c:v>
                </c:pt>
                <c:pt idx="150">
                  <c:v>0.53779946244363996</c:v>
                </c:pt>
                <c:pt idx="151">
                  <c:v>0.57343852123087991</c:v>
                </c:pt>
                <c:pt idx="152">
                  <c:v>0.58561649761847989</c:v>
                </c:pt>
                <c:pt idx="153">
                  <c:v>0.58190207127636007</c:v>
                </c:pt>
                <c:pt idx="154">
                  <c:v>0.64931345678763996</c:v>
                </c:pt>
                <c:pt idx="155">
                  <c:v>0.65564387961774995</c:v>
                </c:pt>
                <c:pt idx="156">
                  <c:v>0.70513621271864002</c:v>
                </c:pt>
                <c:pt idx="157">
                  <c:v>0.69304345325791994</c:v>
                </c:pt>
                <c:pt idx="158">
                  <c:v>0.72025462562749998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013616"/>
        <c:axId val="477014008"/>
      </c:scatterChart>
      <c:valAx>
        <c:axId val="477013616"/>
        <c:scaling>
          <c:orientation val="minMax"/>
          <c:max val="2015"/>
          <c:min val="1900"/>
        </c:scaling>
        <c:delete val="0"/>
        <c:axPos val="b"/>
        <c:numFmt formatCode="General" sourceLinked="1"/>
        <c:majorTickMark val="out"/>
        <c:minorTickMark val="none"/>
        <c:tickLblPos val="low"/>
        <c:crossAx val="477014008"/>
        <c:crosses val="autoZero"/>
        <c:crossBetween val="midCat"/>
      </c:valAx>
      <c:valAx>
        <c:axId val="477014008"/>
        <c:scaling>
          <c:orientation val="minMax"/>
          <c:max val="1"/>
          <c:min val="-1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  <a:prstDash val="sysDot"/>
            </a:ln>
          </c:spPr>
        </c:majorGridlines>
        <c:numFmt formatCode="General" sourceLinked="1"/>
        <c:majorTickMark val="out"/>
        <c:minorTickMark val="none"/>
        <c:tickLblPos val="nextTo"/>
        <c:crossAx val="4770136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5193000874890636"/>
          <c:y val="0.12943751822688832"/>
          <c:w val="0.10163702631244072"/>
          <c:h val="0.17019212598425196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Increased</a:t>
            </a:r>
            <a:r>
              <a:rPr lang="en-US" sz="1400" baseline="0"/>
              <a:t> rate of ocean heat sinking </a:t>
            </a:r>
            <a:endParaRPr lang="en-US" sz="1400"/>
          </a:p>
        </c:rich>
      </c:tx>
      <c:layout>
        <c:manualLayout>
          <c:xMode val="edge"/>
          <c:yMode val="edge"/>
          <c:x val="0.24617300962379701"/>
          <c:y val="3.04831974913553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094451766861077"/>
          <c:y val="0.14003360317702765"/>
          <c:w val="0.81209421395696657"/>
          <c:h val="0.65149125599695257"/>
        </c:manualLayout>
      </c:layout>
      <c:scatterChart>
        <c:scatterStyle val="lineMarker"/>
        <c:varyColors val="0"/>
        <c:ser>
          <c:idx val="0"/>
          <c:order val="0"/>
          <c:tx>
            <c:v>Ratio of Ocean/Land temperature rise</c:v>
          </c:tx>
          <c:spPr>
            <a:ln w="285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pPr>
              <a:solidFill>
                <a:schemeClr val="accent5">
                  <a:lumMod val="20000"/>
                  <a:lumOff val="80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xVal>
            <c:numRef>
              <c:f>triple!$A$10:$A$171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triple!$G$10:$G$171</c:f>
              <c:numCache>
                <c:formatCode>General</c:formatCode>
                <c:ptCount val="162"/>
                <c:pt idx="0">
                  <c:v>0.14451094509678641</c:v>
                </c:pt>
                <c:pt idx="1">
                  <c:v>0.16111458575203624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0.88780828513467291</c:v>
                </c:pt>
                <c:pt idx="7">
                  <c:v>0.82645148204598617</c:v>
                </c:pt>
                <c:pt idx="8">
                  <c:v>0.6696758431574803</c:v>
                </c:pt>
                <c:pt idx="9">
                  <c:v>0.93996638959301115</c:v>
                </c:pt>
                <c:pt idx="10">
                  <c:v>0.7223005791552024</c:v>
                </c:pt>
                <c:pt idx="11">
                  <c:v>0.6660486173465392</c:v>
                </c:pt>
                <c:pt idx="12">
                  <c:v>0.6043941318651781</c:v>
                </c:pt>
                <c:pt idx="13">
                  <c:v>0.51630697564971184</c:v>
                </c:pt>
                <c:pt idx="14">
                  <c:v>0.50838480416340193</c:v>
                </c:pt>
                <c:pt idx="15">
                  <c:v>0.49344102716427624</c:v>
                </c:pt>
                <c:pt idx="16">
                  <c:v>0.49695826138443322</c:v>
                </c:pt>
                <c:pt idx="17">
                  <c:v>0.47514451584901524</c:v>
                </c:pt>
                <c:pt idx="18">
                  <c:v>0.47437392044218452</c:v>
                </c:pt>
                <c:pt idx="19">
                  <c:v>0.43652722061358601</c:v>
                </c:pt>
                <c:pt idx="20">
                  <c:v>0.41681816939025451</c:v>
                </c:pt>
                <c:pt idx="21">
                  <c:v>0.39561174257202281</c:v>
                </c:pt>
                <c:pt idx="22">
                  <c:v>0.42028243776279384</c:v>
                </c:pt>
                <c:pt idx="23">
                  <c:v>0.37676907015944311</c:v>
                </c:pt>
                <c:pt idx="24">
                  <c:v>0.40059199752668295</c:v>
                </c:pt>
                <c:pt idx="25">
                  <c:v>0.37686268513103599</c:v>
                </c:pt>
                <c:pt idx="26">
                  <c:v>0.38480406108441384</c:v>
                </c:pt>
                <c:pt idx="27">
                  <c:v>0.36356161195132253</c:v>
                </c:pt>
                <c:pt idx="28">
                  <c:v>0.37696956180409036</c:v>
                </c:pt>
                <c:pt idx="29">
                  <c:v>0.36397224795176308</c:v>
                </c:pt>
                <c:pt idx="30">
                  <c:v>0.35695882718455502</c:v>
                </c:pt>
                <c:pt idx="31">
                  <c:v>0.35752953961724621</c:v>
                </c:pt>
                <c:pt idx="32">
                  <c:v>0.36385170815438128</c:v>
                </c:pt>
                <c:pt idx="33">
                  <c:v>0.36940201746707785</c:v>
                </c:pt>
                <c:pt idx="34">
                  <c:v>0.38383988122195895</c:v>
                </c:pt>
                <c:pt idx="35">
                  <c:v>0.42043447718786281</c:v>
                </c:pt>
                <c:pt idx="36">
                  <c:v>0.41874838122651326</c:v>
                </c:pt>
                <c:pt idx="37">
                  <c:v>0.41728603356618349</c:v>
                </c:pt>
                <c:pt idx="38">
                  <c:v>0.4257569512555851</c:v>
                </c:pt>
                <c:pt idx="39">
                  <c:v>0.42996115393125134</c:v>
                </c:pt>
                <c:pt idx="40">
                  <c:v>0.45794256810164968</c:v>
                </c:pt>
                <c:pt idx="41">
                  <c:v>0.46791290897751858</c:v>
                </c:pt>
                <c:pt idx="42">
                  <c:v>0.48666915817628126</c:v>
                </c:pt>
                <c:pt idx="43">
                  <c:v>0.51578898032646636</c:v>
                </c:pt>
                <c:pt idx="44">
                  <c:v>0.53951261341372447</c:v>
                </c:pt>
                <c:pt idx="45">
                  <c:v>0.54360356466534832</c:v>
                </c:pt>
                <c:pt idx="46">
                  <c:v>0.55513080384034574</c:v>
                </c:pt>
                <c:pt idx="47">
                  <c:v>0.60172625828199844</c:v>
                </c:pt>
                <c:pt idx="48">
                  <c:v>0.66376228390075087</c:v>
                </c:pt>
                <c:pt idx="49">
                  <c:v>0.65852558108529191</c:v>
                </c:pt>
                <c:pt idx="50">
                  <c:v>0.72422314082090966</c:v>
                </c:pt>
                <c:pt idx="51">
                  <c:v>0.83695051963881451</c:v>
                </c:pt>
                <c:pt idx="52">
                  <c:v>0.97015270659437824</c:v>
                </c:pt>
                <c:pt idx="53">
                  <c:v>0.71537164023247712</c:v>
                </c:pt>
                <c:pt idx="54">
                  <c:v>0.74403009469960535</c:v>
                </c:pt>
                <c:pt idx="55">
                  <c:v>0.7301537231656039</c:v>
                </c:pt>
                <c:pt idx="56">
                  <c:v>0.74801563239636037</c:v>
                </c:pt>
                <c:pt idx="57">
                  <c:v>0.7308734260359393</c:v>
                </c:pt>
                <c:pt idx="58">
                  <c:v>0.73841421674345542</c:v>
                </c:pt>
                <c:pt idx="59">
                  <c:v>0.99766661916049382</c:v>
                </c:pt>
                <c:pt idx="60">
                  <c:v>0.93227069420967357</c:v>
                </c:pt>
                <c:pt idx="61">
                  <c:v>0.90217906480898502</c:v>
                </c:pt>
                <c:pt idx="62">
                  <c:v>0.90465046249088965</c:v>
                </c:pt>
                <c:pt idx="63">
                  <c:v>0.99235448967583417</c:v>
                </c:pt>
                <c:pt idx="64">
                  <c:v>0.77231180883796613</c:v>
                </c:pt>
                <c:pt idx="65">
                  <c:v>0.74075692496827406</c:v>
                </c:pt>
                <c:pt idx="66">
                  <c:v>0.94898026767562382</c:v>
                </c:pt>
                <c:pt idx="67">
                  <c:v>0.84120014649230856</c:v>
                </c:pt>
                <c:pt idx="68">
                  <c:v>0.78892447456440506</c:v>
                </c:pt>
                <c:pt idx="69">
                  <c:v>0.72926445211302393</c:v>
                </c:pt>
                <c:pt idx="70">
                  <c:v>0.71545744053376636</c:v>
                </c:pt>
                <c:pt idx="71">
                  <c:v>0.61091011337776635</c:v>
                </c:pt>
                <c:pt idx="72">
                  <c:v>0.68293958160253121</c:v>
                </c:pt>
                <c:pt idx="73">
                  <c:v>0.71881422476411183</c:v>
                </c:pt>
                <c:pt idx="74">
                  <c:v>0.86666743713000483</c:v>
                </c:pt>
                <c:pt idx="75">
                  <c:v>0.88299400334428613</c:v>
                </c:pt>
                <c:pt idx="76">
                  <c:v>0.76586514180092558</c:v>
                </c:pt>
                <c:pt idx="77">
                  <c:v>0.94506685074387597</c:v>
                </c:pt>
                <c:pt idx="78">
                  <c:v>0.98874056583733938</c:v>
                </c:pt>
                <c:pt idx="79">
                  <c:v>0.96330326261124177</c:v>
                </c:pt>
                <c:pt idx="80">
                  <c:v>0.81644558935880951</c:v>
                </c:pt>
                <c:pt idx="81">
                  <c:v>0.77952262459371324</c:v>
                </c:pt>
                <c:pt idx="82">
                  <c:v>0.78085042032201035</c:v>
                </c:pt>
                <c:pt idx="83">
                  <c:v>0.7584688598879934</c:v>
                </c:pt>
                <c:pt idx="84">
                  <c:v>0.74989629755360576</c:v>
                </c:pt>
                <c:pt idx="85">
                  <c:v>0.75306095153870289</c:v>
                </c:pt>
                <c:pt idx="86">
                  <c:v>0.82825437630370202</c:v>
                </c:pt>
                <c:pt idx="87">
                  <c:v>0.84939024622546977</c:v>
                </c:pt>
                <c:pt idx="88">
                  <c:v>0.79363233339142991</c:v>
                </c:pt>
                <c:pt idx="89">
                  <c:v>0.96450979711620377</c:v>
                </c:pt>
                <c:pt idx="90">
                  <c:v>0.77639295658754559</c:v>
                </c:pt>
                <c:pt idx="91">
                  <c:v>0.80595478363179807</c:v>
                </c:pt>
                <c:pt idx="92">
                  <c:v>0.69185611067054376</c:v>
                </c:pt>
                <c:pt idx="93">
                  <c:v>0.86560013860324403</c:v>
                </c:pt>
                <c:pt idx="94">
                  <c:v>0.7636213939906592</c:v>
                </c:pt>
                <c:pt idx="95">
                  <c:v>0.72632262272086201</c:v>
                </c:pt>
                <c:pt idx="96">
                  <c:v>0.90372108788780481</c:v>
                </c:pt>
                <c:pt idx="97">
                  <c:v>0.51128007596920888</c:v>
                </c:pt>
                <c:pt idx="98">
                  <c:v>0.86171876926194568</c:v>
                </c:pt>
                <c:pt idx="99">
                  <c:v>0.88279705138838516</c:v>
                </c:pt>
                <c:pt idx="100">
                  <c:v>0.91650327816578347</c:v>
                </c:pt>
                <c:pt idx="101">
                  <c:v>0.54381197660891001</c:v>
                </c:pt>
                <c:pt idx="102">
                  <c:v>0.96512993019304383</c:v>
                </c:pt>
                <c:pt idx="103">
                  <c:v>0.55882481785916027</c:v>
                </c:pt>
                <c:pt idx="104">
                  <c:v>0.97793776924779241</c:v>
                </c:pt>
                <c:pt idx="105">
                  <c:v>0.91244426365074582</c:v>
                </c:pt>
                <c:pt idx="106">
                  <c:v>0.98511747052874621</c:v>
                </c:pt>
                <c:pt idx="107">
                  <c:v>0.90830005006617631</c:v>
                </c:pt>
                <c:pt idx="108">
                  <c:v>0.96594200983914946</c:v>
                </c:pt>
                <c:pt idx="109">
                  <c:v>0.96507705527223164</c:v>
                </c:pt>
                <c:pt idx="110">
                  <c:v>0.93854922321205947</c:v>
                </c:pt>
                <c:pt idx="111">
                  <c:v>0.80863481497052392</c:v>
                </c:pt>
                <c:pt idx="112">
                  <c:v>0.91900956882105111</c:v>
                </c:pt>
                <c:pt idx="113">
                  <c:v>0.83244404753404588</c:v>
                </c:pt>
                <c:pt idx="114">
                  <c:v>0.73145146625861968</c:v>
                </c:pt>
                <c:pt idx="115">
                  <c:v>0.72713383492705064</c:v>
                </c:pt>
                <c:pt idx="116">
                  <c:v>0.73722332832462711</c:v>
                </c:pt>
                <c:pt idx="117">
                  <c:v>0.72048721424333328</c:v>
                </c:pt>
                <c:pt idx="118">
                  <c:v>0.71602720744099935</c:v>
                </c:pt>
                <c:pt idx="119">
                  <c:v>0.76459760854721537</c:v>
                </c:pt>
                <c:pt idx="120">
                  <c:v>0.6728726107655647</c:v>
                </c:pt>
                <c:pt idx="121">
                  <c:v>0.63677887277892087</c:v>
                </c:pt>
                <c:pt idx="122">
                  <c:v>0.51049462502439136</c:v>
                </c:pt>
                <c:pt idx="123">
                  <c:v>0.45197095839120432</c:v>
                </c:pt>
                <c:pt idx="124">
                  <c:v>0.47202263779068471</c:v>
                </c:pt>
                <c:pt idx="125">
                  <c:v>0.84308074929134258</c:v>
                </c:pt>
                <c:pt idx="126">
                  <c:v>0.89911821026575156</c:v>
                </c:pt>
                <c:pt idx="127">
                  <c:v>0.81732924844526267</c:v>
                </c:pt>
                <c:pt idx="128">
                  <c:v>0.92626897710551004</c:v>
                </c:pt>
                <c:pt idx="129">
                  <c:v>0.80061941332559738</c:v>
                </c:pt>
                <c:pt idx="130">
                  <c:v>0.82653669421119935</c:v>
                </c:pt>
                <c:pt idx="131">
                  <c:v>0.75590661220481237</c:v>
                </c:pt>
                <c:pt idx="132">
                  <c:v>0.71895444124757724</c:v>
                </c:pt>
                <c:pt idx="133">
                  <c:v>0.70069378827007389</c:v>
                </c:pt>
                <c:pt idx="134">
                  <c:v>0.73753831462977626</c:v>
                </c:pt>
                <c:pt idx="135">
                  <c:v>0.76853563858650742</c:v>
                </c:pt>
                <c:pt idx="136">
                  <c:v>0.73836836138831008</c:v>
                </c:pt>
                <c:pt idx="137">
                  <c:v>0.71467973519416306</c:v>
                </c:pt>
                <c:pt idx="138">
                  <c:v>0.70289474324197354</c:v>
                </c:pt>
                <c:pt idx="139">
                  <c:v>0.70281721011730358</c:v>
                </c:pt>
                <c:pt idx="140">
                  <c:v>0.66120799717209766</c:v>
                </c:pt>
                <c:pt idx="141">
                  <c:v>0.65803477725539039</c:v>
                </c:pt>
                <c:pt idx="142">
                  <c:v>0.63278470623092653</c:v>
                </c:pt>
                <c:pt idx="143">
                  <c:v>0.6037498554281967</c:v>
                </c:pt>
                <c:pt idx="144">
                  <c:v>0.59343664375310756</c:v>
                </c:pt>
                <c:pt idx="145">
                  <c:v>0.62503099088254588</c:v>
                </c:pt>
                <c:pt idx="146">
                  <c:v>0.62269999715788205</c:v>
                </c:pt>
                <c:pt idx="147">
                  <c:v>0.60047972798516691</c:v>
                </c:pt>
                <c:pt idx="148">
                  <c:v>0.57439261856548696</c:v>
                </c:pt>
                <c:pt idx="149">
                  <c:v>0.5510343007219668</c:v>
                </c:pt>
                <c:pt idx="150">
                  <c:v>0.54899829463116434</c:v>
                </c:pt>
                <c:pt idx="151">
                  <c:v>0.54604181553064379</c:v>
                </c:pt>
                <c:pt idx="152">
                  <c:v>0.52350925189795461</c:v>
                </c:pt>
                <c:pt idx="153">
                  <c:v>0.50356509995387089</c:v>
                </c:pt>
                <c:pt idx="154">
                  <c:v>0.49049459350948726</c:v>
                </c:pt>
                <c:pt idx="155">
                  <c:v>0.50053061632925655</c:v>
                </c:pt>
                <c:pt idx="156">
                  <c:v>0.48364617485946637</c:v>
                </c:pt>
                <c:pt idx="157">
                  <c:v>0.48070154545338406</c:v>
                </c:pt>
                <c:pt idx="158">
                  <c:v>0.46008523575192256</c:v>
                </c:pt>
                <c:pt idx="159">
                  <c:v>0.48169626832283274</c:v>
                </c:pt>
                <c:pt idx="160">
                  <c:v>0.41383101164684916</c:v>
                </c:pt>
                <c:pt idx="161">
                  <c:v>0.40490452503942714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274640"/>
        <c:axId val="568055072"/>
      </c:scatterChart>
      <c:valAx>
        <c:axId val="566274640"/>
        <c:scaling>
          <c:orientation val="minMax"/>
          <c:max val="2015"/>
          <c:min val="1995"/>
        </c:scaling>
        <c:delete val="0"/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68055072"/>
        <c:crosses val="autoZero"/>
        <c:crossBetween val="midCat"/>
      </c:valAx>
      <c:valAx>
        <c:axId val="568055072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>
                  <a:defRPr sz="1800"/>
                </a:pPr>
                <a:r>
                  <a:rPr lang="en-US" sz="1800"/>
                  <a:t>f</a:t>
                </a:r>
              </a:p>
            </c:rich>
          </c:tx>
          <c:layout>
            <c:manualLayout>
              <c:xMode val="edge"/>
              <c:yMode val="edge"/>
              <c:x val="2.1254593175853018E-2"/>
              <c:y val="0.3952042782401946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66274640"/>
        <c:crosses val="autoZero"/>
        <c:crossBetween val="midCat"/>
      </c:valAx>
      <c:spPr>
        <a:gradFill flip="none" rotWithShape="1">
          <a:gsLst>
            <a:gs pos="0">
              <a:srgbClr val="FFF200"/>
            </a:gs>
            <a:gs pos="39000">
              <a:srgbClr val="FF7A00"/>
            </a:gs>
            <a:gs pos="70000">
              <a:srgbClr val="FF0300"/>
            </a:gs>
            <a:gs pos="100000">
              <a:srgbClr val="4D0808"/>
            </a:gs>
          </a:gsLst>
          <a:lin ang="16200000" scaled="0"/>
          <a:tileRect/>
        </a:gradFill>
        <a:ln w="25400">
          <a:noFill/>
        </a:ln>
      </c:spPr>
    </c:plotArea>
    <c:legend>
      <c:legendPos val="r"/>
      <c:layout>
        <c:manualLayout>
          <c:xMode val="edge"/>
          <c:yMode val="edge"/>
          <c:x val="0.36500218722659666"/>
          <c:y val="0.61065364252182086"/>
          <c:w val="0.55987401574803153"/>
          <c:h val="0.16685502547475684"/>
        </c:manualLayout>
      </c:layout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70220673163471E-2"/>
          <c:y val="3.9874372058246302E-2"/>
          <c:w val="0.87777496620443063"/>
          <c:h val="0.78036659016174625"/>
        </c:manualLayout>
      </c:layout>
      <c:scatterChart>
        <c:scatterStyle val="lineMarker"/>
        <c:varyColors val="0"/>
        <c:ser>
          <c:idx val="0"/>
          <c:order val="0"/>
          <c:tx>
            <c:strRef>
              <c:f>triple!$B$9</c:f>
              <c:strCache>
                <c:ptCount val="1"/>
                <c:pt idx="0">
                  <c:v>Global (HadCRUT4)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triple!$A$10:$A$171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triple!$B$10:$B$171</c:f>
              <c:numCache>
                <c:formatCode>General</c:formatCode>
                <c:ptCount val="162"/>
                <c:pt idx="0">
                  <c:v>-0.219</c:v>
                </c:pt>
                <c:pt idx="1">
                  <c:v>-0.23666666666666666</c:v>
                </c:pt>
                <c:pt idx="2">
                  <c:v>-0.26179999999999998</c:v>
                </c:pt>
                <c:pt idx="3">
                  <c:v>-0.3045714285714286</c:v>
                </c:pt>
                <c:pt idx="4">
                  <c:v>-0.29488888888888887</c:v>
                </c:pt>
                <c:pt idx="5">
                  <c:v>-0.32190909090909092</c:v>
                </c:pt>
                <c:pt idx="6">
                  <c:v>-0.34407692307692306</c:v>
                </c:pt>
                <c:pt idx="7">
                  <c:v>-0.34369230769230769</c:v>
                </c:pt>
                <c:pt idx="8">
                  <c:v>-0.34099999999999997</c:v>
                </c:pt>
                <c:pt idx="9">
                  <c:v>-0.33546153846153842</c:v>
                </c:pt>
                <c:pt idx="10">
                  <c:v>-0.35200000000000004</c:v>
                </c:pt>
                <c:pt idx="11">
                  <c:v>-0.33600000000000002</c:v>
                </c:pt>
                <c:pt idx="12">
                  <c:v>-0.34546153846153849</c:v>
                </c:pt>
                <c:pt idx="13">
                  <c:v>-0.3378461538461538</c:v>
                </c:pt>
                <c:pt idx="14">
                  <c:v>-0.31484615384615383</c:v>
                </c:pt>
                <c:pt idx="15">
                  <c:v>-0.32269230769230767</c:v>
                </c:pt>
                <c:pt idx="16">
                  <c:v>-0.32315384615384612</c:v>
                </c:pt>
                <c:pt idx="17">
                  <c:v>-0.32353846153846155</c:v>
                </c:pt>
                <c:pt idx="18">
                  <c:v>-0.31015384615384617</c:v>
                </c:pt>
                <c:pt idx="19">
                  <c:v>-0.30207692307692308</c:v>
                </c:pt>
                <c:pt idx="20">
                  <c:v>-0.25692307692307687</c:v>
                </c:pt>
                <c:pt idx="21">
                  <c:v>-0.24899999999999997</c:v>
                </c:pt>
                <c:pt idx="22">
                  <c:v>-0.24546153846153848</c:v>
                </c:pt>
                <c:pt idx="23">
                  <c:v>-0.23953846153846153</c:v>
                </c:pt>
                <c:pt idx="24">
                  <c:v>-0.26223076923076921</c:v>
                </c:pt>
                <c:pt idx="25">
                  <c:v>-0.27284615384615379</c:v>
                </c:pt>
                <c:pt idx="26">
                  <c:v>-0.2625384615384615</c:v>
                </c:pt>
                <c:pt idx="27">
                  <c:v>-0.26738461538461539</c:v>
                </c:pt>
                <c:pt idx="28">
                  <c:v>-0.27969230769230768</c:v>
                </c:pt>
                <c:pt idx="29">
                  <c:v>-0.28776923076923078</c:v>
                </c:pt>
                <c:pt idx="30">
                  <c:v>-0.27684615384615391</c:v>
                </c:pt>
                <c:pt idx="31">
                  <c:v>-0.25023076923076926</c:v>
                </c:pt>
                <c:pt idx="32">
                  <c:v>-0.25430769230769235</c:v>
                </c:pt>
                <c:pt idx="33">
                  <c:v>-0.27623076923076922</c:v>
                </c:pt>
                <c:pt idx="34">
                  <c:v>-0.3097692307692308</c:v>
                </c:pt>
                <c:pt idx="35">
                  <c:v>-0.33669230769230768</c:v>
                </c:pt>
                <c:pt idx="36">
                  <c:v>-0.36084615384615393</c:v>
                </c:pt>
                <c:pt idx="37">
                  <c:v>-0.35623076923076924</c:v>
                </c:pt>
                <c:pt idx="38">
                  <c:v>-0.36061538461538462</c:v>
                </c:pt>
                <c:pt idx="39">
                  <c:v>-0.34530769230769232</c:v>
                </c:pt>
                <c:pt idx="40">
                  <c:v>-0.34423076923076923</c:v>
                </c:pt>
                <c:pt idx="41">
                  <c:v>-0.34192307692307694</c:v>
                </c:pt>
                <c:pt idx="42">
                  <c:v>-0.33015384615384613</c:v>
                </c:pt>
                <c:pt idx="43">
                  <c:v>-0.33407692307692305</c:v>
                </c:pt>
                <c:pt idx="44">
                  <c:v>-0.34053846153846151</c:v>
                </c:pt>
                <c:pt idx="45">
                  <c:v>-0.34899999999999998</c:v>
                </c:pt>
                <c:pt idx="46">
                  <c:v>-0.36661538461538462</c:v>
                </c:pt>
                <c:pt idx="47">
                  <c:v>-0.37684615384615378</c:v>
                </c:pt>
                <c:pt idx="48">
                  <c:v>-0.35907692307692302</c:v>
                </c:pt>
                <c:pt idx="49">
                  <c:v>-0.34799999999999998</c:v>
                </c:pt>
                <c:pt idx="50">
                  <c:v>-0.35153846153846158</c:v>
                </c:pt>
                <c:pt idx="51">
                  <c:v>-0.35892307692307696</c:v>
                </c:pt>
                <c:pt idx="52">
                  <c:v>-0.3936153846153847</c:v>
                </c:pt>
                <c:pt idx="53">
                  <c:v>-0.42684615384615393</c:v>
                </c:pt>
                <c:pt idx="54">
                  <c:v>-0.41600000000000004</c:v>
                </c:pt>
                <c:pt idx="55">
                  <c:v>-0.42400000000000004</c:v>
                </c:pt>
                <c:pt idx="56">
                  <c:v>-0.42761538461538462</c:v>
                </c:pt>
                <c:pt idx="57">
                  <c:v>-0.42276923076923073</c:v>
                </c:pt>
                <c:pt idx="58">
                  <c:v>-0.41723076923076918</c:v>
                </c:pt>
                <c:pt idx="59">
                  <c:v>-0.42530769230769222</c:v>
                </c:pt>
                <c:pt idx="60">
                  <c:v>-0.41184615384615381</c:v>
                </c:pt>
                <c:pt idx="61">
                  <c:v>-0.41823076923076924</c:v>
                </c:pt>
                <c:pt idx="62">
                  <c:v>-0.42223076923076913</c:v>
                </c:pt>
                <c:pt idx="63">
                  <c:v>-0.38223076923076926</c:v>
                </c:pt>
                <c:pt idx="64">
                  <c:v>-0.35938461538461541</c:v>
                </c:pt>
                <c:pt idx="65">
                  <c:v>-0.34992307692307695</c:v>
                </c:pt>
                <c:pt idx="66">
                  <c:v>-0.3393846153846154</c:v>
                </c:pt>
                <c:pt idx="67">
                  <c:v>-0.31607692307692303</c:v>
                </c:pt>
                <c:pt idx="68">
                  <c:v>-0.2949230769230769</c:v>
                </c:pt>
                <c:pt idx="69">
                  <c:v>-0.26838461538461539</c:v>
                </c:pt>
                <c:pt idx="70">
                  <c:v>-0.26738461538461539</c:v>
                </c:pt>
                <c:pt idx="71">
                  <c:v>-0.27969230769230768</c:v>
                </c:pt>
                <c:pt idx="72">
                  <c:v>-0.26592307692307693</c:v>
                </c:pt>
                <c:pt idx="73">
                  <c:v>-0.24384615384615388</c:v>
                </c:pt>
                <c:pt idx="74">
                  <c:v>-0.22007692307692311</c:v>
                </c:pt>
                <c:pt idx="75">
                  <c:v>-0.21938461538461546</c:v>
                </c:pt>
                <c:pt idx="76">
                  <c:v>-0.19907692307692315</c:v>
                </c:pt>
                <c:pt idx="77">
                  <c:v>-0.21423076923076931</c:v>
                </c:pt>
                <c:pt idx="78">
                  <c:v>-0.20538461538461539</c:v>
                </c:pt>
                <c:pt idx="79">
                  <c:v>-0.18246153846153843</c:v>
                </c:pt>
                <c:pt idx="80">
                  <c:v>-0.14915384615384614</c:v>
                </c:pt>
                <c:pt idx="81">
                  <c:v>-0.14784615384615385</c:v>
                </c:pt>
                <c:pt idx="82">
                  <c:v>-0.13399999999999998</c:v>
                </c:pt>
                <c:pt idx="83">
                  <c:v>-0.11876923076923074</c:v>
                </c:pt>
                <c:pt idx="84">
                  <c:v>-0.11338461538461536</c:v>
                </c:pt>
                <c:pt idx="85">
                  <c:v>-8.8307692307692282E-2</c:v>
                </c:pt>
                <c:pt idx="86">
                  <c:v>-6.23076923076923E-2</c:v>
                </c:pt>
                <c:pt idx="87">
                  <c:v>-5.8692307692307696E-2</c:v>
                </c:pt>
                <c:pt idx="88">
                  <c:v>-5.3538461538461535E-2</c:v>
                </c:pt>
                <c:pt idx="89">
                  <c:v>-3.2307692307692301E-2</c:v>
                </c:pt>
                <c:pt idx="90">
                  <c:v>-2.6846153846153846E-2</c:v>
                </c:pt>
                <c:pt idx="91">
                  <c:v>-3.0923076923076921E-2</c:v>
                </c:pt>
                <c:pt idx="92">
                  <c:v>-2.4307692307692308E-2</c:v>
                </c:pt>
                <c:pt idx="93">
                  <c:v>-1.8307692307692306E-2</c:v>
                </c:pt>
                <c:pt idx="94">
                  <c:v>-1.7692307692307695E-2</c:v>
                </c:pt>
                <c:pt idx="95">
                  <c:v>-5.9230769230769198E-3</c:v>
                </c:pt>
                <c:pt idx="96">
                  <c:v>-1.4E-2</c:v>
                </c:pt>
                <c:pt idx="97">
                  <c:v>-2.2076923076923081E-2</c:v>
                </c:pt>
                <c:pt idx="98">
                  <c:v>-5.0153846153846153E-2</c:v>
                </c:pt>
                <c:pt idx="99">
                  <c:v>-5.623076923076923E-2</c:v>
                </c:pt>
                <c:pt idx="100">
                  <c:v>-6.9230769230769221E-2</c:v>
                </c:pt>
                <c:pt idx="101">
                  <c:v>-5.2846153846153841E-2</c:v>
                </c:pt>
                <c:pt idx="102">
                  <c:v>-4.7076923076923079E-2</c:v>
                </c:pt>
                <c:pt idx="103">
                  <c:v>-3.5230769230769232E-2</c:v>
                </c:pt>
                <c:pt idx="104">
                  <c:v>-5.1230769230769233E-2</c:v>
                </c:pt>
                <c:pt idx="105">
                  <c:v>-4.5384615384615384E-2</c:v>
                </c:pt>
                <c:pt idx="106">
                  <c:v>-4.6769230769230771E-2</c:v>
                </c:pt>
                <c:pt idx="107">
                  <c:v>-4.8769230769230773E-2</c:v>
                </c:pt>
                <c:pt idx="108">
                  <c:v>-6.3769230769230772E-2</c:v>
                </c:pt>
                <c:pt idx="109">
                  <c:v>-7.5769230769230755E-2</c:v>
                </c:pt>
                <c:pt idx="110">
                  <c:v>-7.7076923076923071E-2</c:v>
                </c:pt>
                <c:pt idx="111">
                  <c:v>-3.9538461538461536E-2</c:v>
                </c:pt>
                <c:pt idx="112">
                  <c:v>-2.8000000000000001E-2</c:v>
                </c:pt>
                <c:pt idx="113">
                  <c:v>-4.7307692307692308E-2</c:v>
                </c:pt>
                <c:pt idx="114">
                  <c:v>-5.6153846153846151E-2</c:v>
                </c:pt>
                <c:pt idx="115">
                  <c:v>-4.9769230769230774E-2</c:v>
                </c:pt>
                <c:pt idx="116">
                  <c:v>-7.3076923076923081E-2</c:v>
                </c:pt>
                <c:pt idx="117">
                  <c:v>-8.2769230769230762E-2</c:v>
                </c:pt>
                <c:pt idx="118">
                  <c:v>-9.053846153846154E-2</c:v>
                </c:pt>
                <c:pt idx="119">
                  <c:v>-9.9692307692307677E-2</c:v>
                </c:pt>
                <c:pt idx="120">
                  <c:v>-9.7384615384615375E-2</c:v>
                </c:pt>
                <c:pt idx="121">
                  <c:v>-6.0999999999999992E-2</c:v>
                </c:pt>
                <c:pt idx="122">
                  <c:v>-5.3307692307692292E-2</c:v>
                </c:pt>
                <c:pt idx="123">
                  <c:v>-2.9384615384615384E-2</c:v>
                </c:pt>
                <c:pt idx="124">
                  <c:v>-4.1538461538461538E-2</c:v>
                </c:pt>
                <c:pt idx="125">
                  <c:v>-2.0769230769230766E-2</c:v>
                </c:pt>
                <c:pt idx="126">
                  <c:v>-2.8846153846153851E-2</c:v>
                </c:pt>
                <c:pt idx="127">
                  <c:v>-1.9615384615384604E-2</c:v>
                </c:pt>
                <c:pt idx="128">
                  <c:v>-1.4461538461538453E-2</c:v>
                </c:pt>
                <c:pt idx="129">
                  <c:v>4.9230769230769345E-3</c:v>
                </c:pt>
                <c:pt idx="130">
                  <c:v>2.2923076923076921E-2</c:v>
                </c:pt>
                <c:pt idx="131">
                  <c:v>5.9153846153846154E-2</c:v>
                </c:pt>
                <c:pt idx="132">
                  <c:v>0.10099999999999999</c:v>
                </c:pt>
                <c:pt idx="133">
                  <c:v>0.11107692307692307</c:v>
                </c:pt>
                <c:pt idx="134">
                  <c:v>0.113</c:v>
                </c:pt>
                <c:pt idx="135">
                  <c:v>0.11838461538461539</c:v>
                </c:pt>
                <c:pt idx="136">
                  <c:v>0.13299999999999998</c:v>
                </c:pt>
                <c:pt idx="137">
                  <c:v>0.13392307692307692</c:v>
                </c:pt>
                <c:pt idx="138">
                  <c:v>0.14961538461538465</c:v>
                </c:pt>
                <c:pt idx="139">
                  <c:v>0.1766923076923077</c:v>
                </c:pt>
                <c:pt idx="140">
                  <c:v>0.21546153846153848</c:v>
                </c:pt>
                <c:pt idx="141">
                  <c:v>0.23623076923076924</c:v>
                </c:pt>
                <c:pt idx="142">
                  <c:v>0.24592307692307697</c:v>
                </c:pt>
                <c:pt idx="143">
                  <c:v>0.2763846153846154</c:v>
                </c:pt>
                <c:pt idx="144">
                  <c:v>0.2823846153846154</c:v>
                </c:pt>
                <c:pt idx="145">
                  <c:v>0.30107692307692308</c:v>
                </c:pt>
                <c:pt idx="146">
                  <c:v>0.33061538461538464</c:v>
                </c:pt>
                <c:pt idx="147">
                  <c:v>0.35315384615384615</c:v>
                </c:pt>
                <c:pt idx="148">
                  <c:v>0.37238461538461542</c:v>
                </c:pt>
                <c:pt idx="149">
                  <c:v>0.39430769230769225</c:v>
                </c:pt>
                <c:pt idx="150">
                  <c:v>0.40769230769230763</c:v>
                </c:pt>
                <c:pt idx="151">
                  <c:v>0.42523076923076919</c:v>
                </c:pt>
                <c:pt idx="152">
                  <c:v>0.44630769230769229</c:v>
                </c:pt>
                <c:pt idx="153">
                  <c:v>0.4507692307692307</c:v>
                </c:pt>
                <c:pt idx="154">
                  <c:v>0.44530769230769229</c:v>
                </c:pt>
                <c:pt idx="155">
                  <c:v>0.42946153846153845</c:v>
                </c:pt>
                <c:pt idx="156">
                  <c:v>0.43145454545454548</c:v>
                </c:pt>
                <c:pt idx="157">
                  <c:v>0.41088888888888891</c:v>
                </c:pt>
                <c:pt idx="158">
                  <c:v>0.40785714285714286</c:v>
                </c:pt>
                <c:pt idx="159">
                  <c:v>0.36699999999999999</c:v>
                </c:pt>
                <c:pt idx="160">
                  <c:v>0.46700000000000003</c:v>
                </c:pt>
                <c:pt idx="161">
                  <c:v>0.44800000000000001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triple!$C$9</c:f>
              <c:strCache>
                <c:ptCount val="1"/>
                <c:pt idx="0">
                  <c:v>Fractionally Composed (CRUTEM4 + HadSST3)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triple!$A$10:$A$171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triple!$C$10:$C$171</c:f>
              <c:numCache>
                <c:formatCode>General</c:formatCode>
                <c:ptCount val="162"/>
                <c:pt idx="0">
                  <c:v>-5.9491374999999999E-2</c:v>
                </c:pt>
                <c:pt idx="1">
                  <c:v>-0.11190809999999998</c:v>
                </c:pt>
                <c:pt idx="2">
                  <c:v>-0.16123770500000001</c:v>
                </c:pt>
                <c:pt idx="3">
                  <c:v>-0.21559306785714286</c:v>
                </c:pt>
                <c:pt idx="4">
                  <c:v>-0.23167692222222219</c:v>
                </c:pt>
                <c:pt idx="5">
                  <c:v>-0.26556248181818176</c:v>
                </c:pt>
                <c:pt idx="6">
                  <c:v>-0.29693740769230775</c:v>
                </c:pt>
                <c:pt idx="7">
                  <c:v>-0.30698044230769228</c:v>
                </c:pt>
                <c:pt idx="8">
                  <c:v>-0.31957134038461538</c:v>
                </c:pt>
                <c:pt idx="9">
                  <c:v>-0.31947239423076923</c:v>
                </c:pt>
                <c:pt idx="10">
                  <c:v>-0.34445629807692313</c:v>
                </c:pt>
                <c:pt idx="11">
                  <c:v>-0.33424010769230766</c:v>
                </c:pt>
                <c:pt idx="12">
                  <c:v>-0.34527260384615388</c:v>
                </c:pt>
                <c:pt idx="13">
                  <c:v>-0.34086950000000005</c:v>
                </c:pt>
                <c:pt idx="14">
                  <c:v>-0.32058553846153848</c:v>
                </c:pt>
                <c:pt idx="15">
                  <c:v>-0.32699230192307693</c:v>
                </c:pt>
                <c:pt idx="16">
                  <c:v>-0.32983700384615389</c:v>
                </c:pt>
                <c:pt idx="17">
                  <c:v>-0.33075225576923079</c:v>
                </c:pt>
                <c:pt idx="18">
                  <c:v>-0.32070922115384615</c:v>
                </c:pt>
                <c:pt idx="19">
                  <c:v>-0.31358509807692309</c:v>
                </c:pt>
                <c:pt idx="20">
                  <c:v>-0.27173087499999998</c:v>
                </c:pt>
                <c:pt idx="21">
                  <c:v>-0.26571989615384611</c:v>
                </c:pt>
                <c:pt idx="22">
                  <c:v>-0.26141573846153843</c:v>
                </c:pt>
                <c:pt idx="23">
                  <c:v>-0.26099521730769232</c:v>
                </c:pt>
                <c:pt idx="24">
                  <c:v>-0.28147707115384613</c:v>
                </c:pt>
                <c:pt idx="25">
                  <c:v>-0.29599741923076922</c:v>
                </c:pt>
                <c:pt idx="26">
                  <c:v>-0.28325810192307693</c:v>
                </c:pt>
                <c:pt idx="27">
                  <c:v>-0.29513164038461537</c:v>
                </c:pt>
                <c:pt idx="28">
                  <c:v>-0.3053230942307692</c:v>
                </c:pt>
                <c:pt idx="29">
                  <c:v>-0.3169987403846154</c:v>
                </c:pt>
                <c:pt idx="30">
                  <c:v>-0.30472941730769226</c:v>
                </c:pt>
                <c:pt idx="31">
                  <c:v>-0.27761817115384613</c:v>
                </c:pt>
                <c:pt idx="32">
                  <c:v>-0.2815018076923077</c:v>
                </c:pt>
                <c:pt idx="33">
                  <c:v>-0.30373995576923074</c:v>
                </c:pt>
                <c:pt idx="34">
                  <c:v>-0.33607061153846152</c:v>
                </c:pt>
                <c:pt idx="35">
                  <c:v>-0.35689877692307692</c:v>
                </c:pt>
                <c:pt idx="36">
                  <c:v>-0.38428212500000003</c:v>
                </c:pt>
                <c:pt idx="37">
                  <c:v>-0.37869166730769233</c:v>
                </c:pt>
                <c:pt idx="38">
                  <c:v>-0.38183320769230772</c:v>
                </c:pt>
                <c:pt idx="39">
                  <c:v>-0.36382500769230769</c:v>
                </c:pt>
                <c:pt idx="40">
                  <c:v>-0.35823455000000004</c:v>
                </c:pt>
                <c:pt idx="41">
                  <c:v>-0.35227304423076922</c:v>
                </c:pt>
                <c:pt idx="42">
                  <c:v>-0.33874215769230764</c:v>
                </c:pt>
                <c:pt idx="43">
                  <c:v>-0.33931109807692306</c:v>
                </c:pt>
                <c:pt idx="44">
                  <c:v>-0.34292263269230766</c:v>
                </c:pt>
                <c:pt idx="45">
                  <c:v>-0.35195146923076925</c:v>
                </c:pt>
                <c:pt idx="46">
                  <c:v>-0.36803021923076917</c:v>
                </c:pt>
                <c:pt idx="47">
                  <c:v>-0.37809799038461545</c:v>
                </c:pt>
                <c:pt idx="48">
                  <c:v>-0.35922401153846151</c:v>
                </c:pt>
                <c:pt idx="49">
                  <c:v>-0.3493541326923077</c:v>
                </c:pt>
                <c:pt idx="50">
                  <c:v>-0.35039306730769226</c:v>
                </c:pt>
                <c:pt idx="51">
                  <c:v>-0.35509300961538459</c:v>
                </c:pt>
                <c:pt idx="52">
                  <c:v>-0.38549421538461537</c:v>
                </c:pt>
                <c:pt idx="53">
                  <c:v>-0.41651383461538455</c:v>
                </c:pt>
                <c:pt idx="54">
                  <c:v>-0.40535765576923077</c:v>
                </c:pt>
                <c:pt idx="55">
                  <c:v>-0.41426280961538464</c:v>
                </c:pt>
                <c:pt idx="56">
                  <c:v>-0.41705803846153844</c:v>
                </c:pt>
                <c:pt idx="57">
                  <c:v>-0.41201178461538457</c:v>
                </c:pt>
                <c:pt idx="58">
                  <c:v>-0.40763341730769226</c:v>
                </c:pt>
                <c:pt idx="59">
                  <c:v>-0.41587068461538462</c:v>
                </c:pt>
                <c:pt idx="60">
                  <c:v>-0.4052339730769231</c:v>
                </c:pt>
                <c:pt idx="61">
                  <c:v>-0.41307545576923077</c:v>
                </c:pt>
                <c:pt idx="62">
                  <c:v>-0.4168601461538462</c:v>
                </c:pt>
                <c:pt idx="63">
                  <c:v>-0.376292223076923</c:v>
                </c:pt>
                <c:pt idx="64">
                  <c:v>-0.35138252884615384</c:v>
                </c:pt>
                <c:pt idx="65">
                  <c:v>-0.34363999230769227</c:v>
                </c:pt>
                <c:pt idx="66">
                  <c:v>-0.33381958653846144</c:v>
                </c:pt>
                <c:pt idx="67">
                  <c:v>-0.3157371769230769</c:v>
                </c:pt>
                <c:pt idx="68">
                  <c:v>-0.29639320384615381</c:v>
                </c:pt>
                <c:pt idx="69">
                  <c:v>-0.27093930576923075</c:v>
                </c:pt>
                <c:pt idx="70">
                  <c:v>-0.26930669423076925</c:v>
                </c:pt>
                <c:pt idx="71">
                  <c:v>-0.28263968846153853</c:v>
                </c:pt>
                <c:pt idx="72">
                  <c:v>-0.26735250769230767</c:v>
                </c:pt>
                <c:pt idx="73">
                  <c:v>-0.24578224615384617</c:v>
                </c:pt>
                <c:pt idx="74">
                  <c:v>-0.22020466538461542</c:v>
                </c:pt>
                <c:pt idx="75">
                  <c:v>-0.21674155000000003</c:v>
                </c:pt>
                <c:pt idx="76">
                  <c:v>-0.19440445576923077</c:v>
                </c:pt>
                <c:pt idx="77">
                  <c:v>-0.21045846923076922</c:v>
                </c:pt>
                <c:pt idx="78">
                  <c:v>-0.20029175192307691</c:v>
                </c:pt>
                <c:pt idx="79">
                  <c:v>-0.17708887884615385</c:v>
                </c:pt>
                <c:pt idx="80">
                  <c:v>-0.14473348653846152</c:v>
                </c:pt>
                <c:pt idx="81">
                  <c:v>-0.14127037115384616</c:v>
                </c:pt>
                <c:pt idx="82">
                  <c:v>-0.12969367115384614</c:v>
                </c:pt>
                <c:pt idx="83">
                  <c:v>-0.11534647884615384</c:v>
                </c:pt>
                <c:pt idx="84">
                  <c:v>-0.10960760192307693</c:v>
                </c:pt>
                <c:pt idx="85">
                  <c:v>-8.4104230769230764E-2</c:v>
                </c:pt>
                <c:pt idx="86">
                  <c:v>-6.0357153846153852E-2</c:v>
                </c:pt>
                <c:pt idx="87">
                  <c:v>-5.3381449999999997E-2</c:v>
                </c:pt>
                <c:pt idx="88">
                  <c:v>-4.8186776923076921E-2</c:v>
                </c:pt>
                <c:pt idx="89">
                  <c:v>-2.8620174999999998E-2</c:v>
                </c:pt>
                <c:pt idx="90">
                  <c:v>-2.1842363461538457E-2</c:v>
                </c:pt>
                <c:pt idx="91">
                  <c:v>-2.406865192307692E-2</c:v>
                </c:pt>
                <c:pt idx="92">
                  <c:v>-1.9146080769230772E-2</c:v>
                </c:pt>
                <c:pt idx="93">
                  <c:v>-1.362983269230769E-2</c:v>
                </c:pt>
                <c:pt idx="94">
                  <c:v>-1.0562501923076921E-2</c:v>
                </c:pt>
                <c:pt idx="95">
                  <c:v>5.689403846153851E-4</c:v>
                </c:pt>
                <c:pt idx="96">
                  <c:v>-4.4525769230769237E-3</c:v>
                </c:pt>
                <c:pt idx="97">
                  <c:v>-1.2689844230769229E-2</c:v>
                </c:pt>
                <c:pt idx="98">
                  <c:v>-4.0419503846153851E-2</c:v>
                </c:pt>
                <c:pt idx="99">
                  <c:v>-4.4872080769230771E-2</c:v>
                </c:pt>
                <c:pt idx="100">
                  <c:v>-5.4519330769230781E-2</c:v>
                </c:pt>
                <c:pt idx="101">
                  <c:v>-3.9380569230769241E-2</c:v>
                </c:pt>
                <c:pt idx="102">
                  <c:v>-3.4507471153846163E-2</c:v>
                </c:pt>
                <c:pt idx="103">
                  <c:v>-2.2064992307692308E-2</c:v>
                </c:pt>
                <c:pt idx="104">
                  <c:v>-3.8094269230769237E-2</c:v>
                </c:pt>
                <c:pt idx="105">
                  <c:v>-3.361695576923078E-2</c:v>
                </c:pt>
                <c:pt idx="106">
                  <c:v>-3.371590192307692E-2</c:v>
                </c:pt>
                <c:pt idx="107">
                  <c:v>-3.8143742307692304E-2</c:v>
                </c:pt>
                <c:pt idx="108">
                  <c:v>-5.0363592307692301E-2</c:v>
                </c:pt>
                <c:pt idx="109">
                  <c:v>-6.0752938461538453E-2</c:v>
                </c:pt>
                <c:pt idx="110">
                  <c:v>-6.2410286538461535E-2</c:v>
                </c:pt>
                <c:pt idx="111">
                  <c:v>-2.8941750000000006E-2</c:v>
                </c:pt>
                <c:pt idx="112">
                  <c:v>-1.5955067307692306E-2</c:v>
                </c:pt>
                <c:pt idx="113">
                  <c:v>-3.8687946153846152E-2</c:v>
                </c:pt>
                <c:pt idx="114">
                  <c:v>-4.8310459615384618E-2</c:v>
                </c:pt>
                <c:pt idx="115">
                  <c:v>-4.3783673076923081E-2</c:v>
                </c:pt>
                <c:pt idx="116">
                  <c:v>-6.7209174999999996E-2</c:v>
                </c:pt>
                <c:pt idx="117">
                  <c:v>-7.7202736538461533E-2</c:v>
                </c:pt>
                <c:pt idx="118">
                  <c:v>-8.3733182692307687E-2</c:v>
                </c:pt>
                <c:pt idx="119">
                  <c:v>-9.3603061538461541E-2</c:v>
                </c:pt>
                <c:pt idx="120">
                  <c:v>-9.3009384615384605E-2</c:v>
                </c:pt>
                <c:pt idx="121">
                  <c:v>-5.8699805769230756E-2</c:v>
                </c:pt>
                <c:pt idx="122">
                  <c:v>-5.3158821153846153E-2</c:v>
                </c:pt>
                <c:pt idx="123">
                  <c:v>-3.2009080769230765E-2</c:v>
                </c:pt>
                <c:pt idx="124">
                  <c:v>-4.3462098076923077E-2</c:v>
                </c:pt>
                <c:pt idx="125">
                  <c:v>-2.5181796153846144E-2</c:v>
                </c:pt>
                <c:pt idx="126">
                  <c:v>-3.3072751923076918E-2</c:v>
                </c:pt>
                <c:pt idx="127">
                  <c:v>-2.3499711538461535E-2</c:v>
                </c:pt>
                <c:pt idx="128">
                  <c:v>-1.8651350000000004E-2</c:v>
                </c:pt>
                <c:pt idx="129">
                  <c:v>-8.4104230769230758E-4</c:v>
                </c:pt>
                <c:pt idx="130">
                  <c:v>1.5262444230769234E-2</c:v>
                </c:pt>
                <c:pt idx="131">
                  <c:v>5.1229371153846161E-2</c:v>
                </c:pt>
                <c:pt idx="132">
                  <c:v>9.2044659615384605E-2</c:v>
                </c:pt>
                <c:pt idx="133">
                  <c:v>0.10300294615384616</c:v>
                </c:pt>
                <c:pt idx="134">
                  <c:v>0.10300294615384614</c:v>
                </c:pt>
                <c:pt idx="135">
                  <c:v>0.10728236730769228</c:v>
                </c:pt>
                <c:pt idx="136">
                  <c:v>0.12212429038461536</c:v>
                </c:pt>
                <c:pt idx="137">
                  <c:v>0.12440005192307692</c:v>
                </c:pt>
                <c:pt idx="138">
                  <c:v>0.139885125</c:v>
                </c:pt>
                <c:pt idx="139">
                  <c:v>0.16603164615384619</c:v>
                </c:pt>
                <c:pt idx="140">
                  <c:v>0.20615431153846156</c:v>
                </c:pt>
                <c:pt idx="141">
                  <c:v>0.2263393269230769</c:v>
                </c:pt>
                <c:pt idx="142">
                  <c:v>0.23843549423076926</c:v>
                </c:pt>
                <c:pt idx="143">
                  <c:v>0.26955405961538464</c:v>
                </c:pt>
                <c:pt idx="144">
                  <c:v>0.27638134423076921</c:v>
                </c:pt>
                <c:pt idx="145">
                  <c:v>0.29270745961538458</c:v>
                </c:pt>
                <c:pt idx="146">
                  <c:v>0.32253972500000005</c:v>
                </c:pt>
                <c:pt idx="147">
                  <c:v>0.34613838269230773</c:v>
                </c:pt>
                <c:pt idx="148">
                  <c:v>0.36701602115384613</c:v>
                </c:pt>
                <c:pt idx="149">
                  <c:v>0.39034257692307689</c:v>
                </c:pt>
                <c:pt idx="150">
                  <c:v>0.40360136153846149</c:v>
                </c:pt>
                <c:pt idx="151">
                  <c:v>0.42158482499999994</c:v>
                </c:pt>
                <c:pt idx="152">
                  <c:v>0.44454033269230775</c:v>
                </c:pt>
                <c:pt idx="153">
                  <c:v>0.45050183846153846</c:v>
                </c:pt>
                <c:pt idx="154">
                  <c:v>0.4459255788461538</c:v>
                </c:pt>
                <c:pt idx="155">
                  <c:v>0.42942630769230766</c:v>
                </c:pt>
                <c:pt idx="156">
                  <c:v>0.43257684318181822</c:v>
                </c:pt>
                <c:pt idx="157">
                  <c:v>0.4121519583333334</c:v>
                </c:pt>
                <c:pt idx="158">
                  <c:v>0.41028376071428574</c:v>
                </c:pt>
                <c:pt idx="159">
                  <c:v>0.36801043</c:v>
                </c:pt>
                <c:pt idx="160">
                  <c:v>0.47496627499999999</c:v>
                </c:pt>
                <c:pt idx="161">
                  <c:v>0.46403272499999998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055856"/>
        <c:axId val="568056248"/>
      </c:scatterChart>
      <c:valAx>
        <c:axId val="568055856"/>
        <c:scaling>
          <c:orientation val="minMax"/>
          <c:max val="2015"/>
          <c:min val="1850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Year</a:t>
                </a:r>
              </a:p>
            </c:rich>
          </c:tx>
          <c:layout>
            <c:manualLayout>
              <c:xMode val="edge"/>
              <c:yMode val="edge"/>
              <c:x val="0.53147533126788948"/>
              <c:y val="0.90757086076153715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568056248"/>
        <c:crosses val="autoZero"/>
        <c:crossBetween val="midCat"/>
      </c:valAx>
      <c:valAx>
        <c:axId val="568056248"/>
        <c:scaling>
          <c:orientation val="minMax"/>
          <c:max val="0.60000000000000009"/>
          <c:min val="-0.60000000000000009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sz="1600"/>
                  <a:t>Temperature Anomaly</a:t>
                </a:r>
              </a:p>
            </c:rich>
          </c:tx>
          <c:layout>
            <c:manualLayout>
              <c:xMode val="edge"/>
              <c:yMode val="edge"/>
              <c:x val="3.3594111096407896E-3"/>
              <c:y val="0.2572650039214808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6805585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9379498568079451"/>
          <c:y val="7.2547000042975041E-2"/>
          <c:w val="0.28994161594705831"/>
          <c:h val="0.24896294553975548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spPr>
    <a:solidFill>
      <a:srgbClr val="99FFCC"/>
    </a:solidFill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47112860892391E-2"/>
          <c:y val="5.1400554097404488E-2"/>
          <c:w val="0.80213910761154861"/>
          <c:h val="0.8971988918051909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triple!$B$10:$B$171</c:f>
              <c:numCache>
                <c:formatCode>General</c:formatCode>
                <c:ptCount val="162"/>
                <c:pt idx="0">
                  <c:v>-0.219</c:v>
                </c:pt>
                <c:pt idx="1">
                  <c:v>-0.23666666666666666</c:v>
                </c:pt>
                <c:pt idx="2">
                  <c:v>-0.26179999999999998</c:v>
                </c:pt>
                <c:pt idx="3">
                  <c:v>-0.3045714285714286</c:v>
                </c:pt>
                <c:pt idx="4">
                  <c:v>-0.29488888888888887</c:v>
                </c:pt>
                <c:pt idx="5">
                  <c:v>-0.32190909090909092</c:v>
                </c:pt>
                <c:pt idx="6">
                  <c:v>-0.34407692307692306</c:v>
                </c:pt>
                <c:pt idx="7">
                  <c:v>-0.34369230769230769</c:v>
                </c:pt>
                <c:pt idx="8">
                  <c:v>-0.34099999999999997</c:v>
                </c:pt>
                <c:pt idx="9">
                  <c:v>-0.33546153846153842</c:v>
                </c:pt>
                <c:pt idx="10">
                  <c:v>-0.35200000000000004</c:v>
                </c:pt>
                <c:pt idx="11">
                  <c:v>-0.33600000000000002</c:v>
                </c:pt>
                <c:pt idx="12">
                  <c:v>-0.34546153846153849</c:v>
                </c:pt>
                <c:pt idx="13">
                  <c:v>-0.3378461538461538</c:v>
                </c:pt>
                <c:pt idx="14">
                  <c:v>-0.31484615384615383</c:v>
                </c:pt>
                <c:pt idx="15">
                  <c:v>-0.32269230769230767</c:v>
                </c:pt>
                <c:pt idx="16">
                  <c:v>-0.32315384615384612</c:v>
                </c:pt>
                <c:pt idx="17">
                  <c:v>-0.32353846153846155</c:v>
                </c:pt>
                <c:pt idx="18">
                  <c:v>-0.31015384615384617</c:v>
                </c:pt>
                <c:pt idx="19">
                  <c:v>-0.30207692307692308</c:v>
                </c:pt>
                <c:pt idx="20">
                  <c:v>-0.25692307692307687</c:v>
                </c:pt>
                <c:pt idx="21">
                  <c:v>-0.24899999999999997</c:v>
                </c:pt>
                <c:pt idx="22">
                  <c:v>-0.24546153846153848</c:v>
                </c:pt>
                <c:pt idx="23">
                  <c:v>-0.23953846153846153</c:v>
                </c:pt>
                <c:pt idx="24">
                  <c:v>-0.26223076923076921</c:v>
                </c:pt>
                <c:pt idx="25">
                  <c:v>-0.27284615384615379</c:v>
                </c:pt>
                <c:pt idx="26">
                  <c:v>-0.2625384615384615</c:v>
                </c:pt>
                <c:pt idx="27">
                  <c:v>-0.26738461538461539</c:v>
                </c:pt>
                <c:pt idx="28">
                  <c:v>-0.27969230769230768</c:v>
                </c:pt>
                <c:pt idx="29">
                  <c:v>-0.28776923076923078</c:v>
                </c:pt>
                <c:pt idx="30">
                  <c:v>-0.27684615384615391</c:v>
                </c:pt>
                <c:pt idx="31">
                  <c:v>-0.25023076923076926</c:v>
                </c:pt>
                <c:pt idx="32">
                  <c:v>-0.25430769230769235</c:v>
                </c:pt>
                <c:pt idx="33">
                  <c:v>-0.27623076923076922</c:v>
                </c:pt>
                <c:pt idx="34">
                  <c:v>-0.3097692307692308</c:v>
                </c:pt>
                <c:pt idx="35">
                  <c:v>-0.33669230769230768</c:v>
                </c:pt>
                <c:pt idx="36">
                  <c:v>-0.36084615384615393</c:v>
                </c:pt>
                <c:pt idx="37">
                  <c:v>-0.35623076923076924</c:v>
                </c:pt>
                <c:pt idx="38">
                  <c:v>-0.36061538461538462</c:v>
                </c:pt>
                <c:pt idx="39">
                  <c:v>-0.34530769230769232</c:v>
                </c:pt>
                <c:pt idx="40">
                  <c:v>-0.34423076923076923</c:v>
                </c:pt>
                <c:pt idx="41">
                  <c:v>-0.34192307692307694</c:v>
                </c:pt>
                <c:pt idx="42">
                  <c:v>-0.33015384615384613</c:v>
                </c:pt>
                <c:pt idx="43">
                  <c:v>-0.33407692307692305</c:v>
                </c:pt>
                <c:pt idx="44">
                  <c:v>-0.34053846153846151</c:v>
                </c:pt>
                <c:pt idx="45">
                  <c:v>-0.34899999999999998</c:v>
                </c:pt>
                <c:pt idx="46">
                  <c:v>-0.36661538461538462</c:v>
                </c:pt>
                <c:pt idx="47">
                  <c:v>-0.37684615384615378</c:v>
                </c:pt>
                <c:pt idx="48">
                  <c:v>-0.35907692307692302</c:v>
                </c:pt>
                <c:pt idx="49">
                  <c:v>-0.34799999999999998</c:v>
                </c:pt>
                <c:pt idx="50">
                  <c:v>-0.35153846153846158</c:v>
                </c:pt>
                <c:pt idx="51">
                  <c:v>-0.35892307692307696</c:v>
                </c:pt>
                <c:pt idx="52">
                  <c:v>-0.3936153846153847</c:v>
                </c:pt>
                <c:pt idx="53">
                  <c:v>-0.42684615384615393</c:v>
                </c:pt>
                <c:pt idx="54">
                  <c:v>-0.41600000000000004</c:v>
                </c:pt>
                <c:pt idx="55">
                  <c:v>-0.42400000000000004</c:v>
                </c:pt>
                <c:pt idx="56">
                  <c:v>-0.42761538461538462</c:v>
                </c:pt>
                <c:pt idx="57">
                  <c:v>-0.42276923076923073</c:v>
                </c:pt>
                <c:pt idx="58">
                  <c:v>-0.41723076923076918</c:v>
                </c:pt>
                <c:pt idx="59">
                  <c:v>-0.42530769230769222</c:v>
                </c:pt>
                <c:pt idx="60">
                  <c:v>-0.41184615384615381</c:v>
                </c:pt>
                <c:pt idx="61">
                  <c:v>-0.41823076923076924</c:v>
                </c:pt>
                <c:pt idx="62">
                  <c:v>-0.42223076923076913</c:v>
                </c:pt>
                <c:pt idx="63">
                  <c:v>-0.38223076923076926</c:v>
                </c:pt>
                <c:pt idx="64">
                  <c:v>-0.35938461538461541</c:v>
                </c:pt>
                <c:pt idx="65">
                  <c:v>-0.34992307692307695</c:v>
                </c:pt>
                <c:pt idx="66">
                  <c:v>-0.3393846153846154</c:v>
                </c:pt>
                <c:pt idx="67">
                  <c:v>-0.31607692307692303</c:v>
                </c:pt>
                <c:pt idx="68">
                  <c:v>-0.2949230769230769</c:v>
                </c:pt>
                <c:pt idx="69">
                  <c:v>-0.26838461538461539</c:v>
                </c:pt>
                <c:pt idx="70">
                  <c:v>-0.26738461538461539</c:v>
                </c:pt>
                <c:pt idx="71">
                  <c:v>-0.27969230769230768</c:v>
                </c:pt>
                <c:pt idx="72">
                  <c:v>-0.26592307692307693</c:v>
                </c:pt>
                <c:pt idx="73">
                  <c:v>-0.24384615384615388</c:v>
                </c:pt>
                <c:pt idx="74">
                  <c:v>-0.22007692307692311</c:v>
                </c:pt>
                <c:pt idx="75">
                  <c:v>-0.21938461538461546</c:v>
                </c:pt>
                <c:pt idx="76">
                  <c:v>-0.19907692307692315</c:v>
                </c:pt>
                <c:pt idx="77">
                  <c:v>-0.21423076923076931</c:v>
                </c:pt>
                <c:pt idx="78">
                  <c:v>-0.20538461538461539</c:v>
                </c:pt>
                <c:pt idx="79">
                  <c:v>-0.18246153846153843</c:v>
                </c:pt>
                <c:pt idx="80">
                  <c:v>-0.14915384615384614</c:v>
                </c:pt>
                <c:pt idx="81">
                  <c:v>-0.14784615384615385</c:v>
                </c:pt>
                <c:pt idx="82">
                  <c:v>-0.13399999999999998</c:v>
                </c:pt>
                <c:pt idx="83">
                  <c:v>-0.11876923076923074</c:v>
                </c:pt>
                <c:pt idx="84">
                  <c:v>-0.11338461538461536</c:v>
                </c:pt>
                <c:pt idx="85">
                  <c:v>-8.8307692307692282E-2</c:v>
                </c:pt>
                <c:pt idx="86">
                  <c:v>-6.23076923076923E-2</c:v>
                </c:pt>
                <c:pt idx="87">
                  <c:v>-5.8692307692307696E-2</c:v>
                </c:pt>
                <c:pt idx="88">
                  <c:v>-5.3538461538461535E-2</c:v>
                </c:pt>
                <c:pt idx="89">
                  <c:v>-3.2307692307692301E-2</c:v>
                </c:pt>
                <c:pt idx="90">
                  <c:v>-2.6846153846153846E-2</c:v>
                </c:pt>
                <c:pt idx="91">
                  <c:v>-3.0923076923076921E-2</c:v>
                </c:pt>
                <c:pt idx="92">
                  <c:v>-2.4307692307692308E-2</c:v>
                </c:pt>
                <c:pt idx="93">
                  <c:v>-1.8307692307692306E-2</c:v>
                </c:pt>
                <c:pt idx="94">
                  <c:v>-1.7692307692307695E-2</c:v>
                </c:pt>
                <c:pt idx="95">
                  <c:v>-5.9230769230769198E-3</c:v>
                </c:pt>
                <c:pt idx="96">
                  <c:v>-1.4E-2</c:v>
                </c:pt>
                <c:pt idx="97">
                  <c:v>-2.2076923076923081E-2</c:v>
                </c:pt>
                <c:pt idx="98">
                  <c:v>-5.0153846153846153E-2</c:v>
                </c:pt>
                <c:pt idx="99">
                  <c:v>-5.623076923076923E-2</c:v>
                </c:pt>
                <c:pt idx="100">
                  <c:v>-6.9230769230769221E-2</c:v>
                </c:pt>
                <c:pt idx="101">
                  <c:v>-5.2846153846153841E-2</c:v>
                </c:pt>
                <c:pt idx="102">
                  <c:v>-4.7076923076923079E-2</c:v>
                </c:pt>
                <c:pt idx="103">
                  <c:v>-3.5230769230769232E-2</c:v>
                </c:pt>
                <c:pt idx="104">
                  <c:v>-5.1230769230769233E-2</c:v>
                </c:pt>
                <c:pt idx="105">
                  <c:v>-4.5384615384615384E-2</c:v>
                </c:pt>
                <c:pt idx="106">
                  <c:v>-4.6769230769230771E-2</c:v>
                </c:pt>
                <c:pt idx="107">
                  <c:v>-4.8769230769230773E-2</c:v>
                </c:pt>
                <c:pt idx="108">
                  <c:v>-6.3769230769230772E-2</c:v>
                </c:pt>
                <c:pt idx="109">
                  <c:v>-7.5769230769230755E-2</c:v>
                </c:pt>
                <c:pt idx="110">
                  <c:v>-7.7076923076923071E-2</c:v>
                </c:pt>
                <c:pt idx="111">
                  <c:v>-3.9538461538461536E-2</c:v>
                </c:pt>
                <c:pt idx="112">
                  <c:v>-2.8000000000000001E-2</c:v>
                </c:pt>
                <c:pt idx="113">
                  <c:v>-4.7307692307692308E-2</c:v>
                </c:pt>
                <c:pt idx="114">
                  <c:v>-5.6153846153846151E-2</c:v>
                </c:pt>
                <c:pt idx="115">
                  <c:v>-4.9769230769230774E-2</c:v>
                </c:pt>
                <c:pt idx="116">
                  <c:v>-7.3076923076923081E-2</c:v>
                </c:pt>
                <c:pt idx="117">
                  <c:v>-8.2769230769230762E-2</c:v>
                </c:pt>
                <c:pt idx="118">
                  <c:v>-9.053846153846154E-2</c:v>
                </c:pt>
                <c:pt idx="119">
                  <c:v>-9.9692307692307677E-2</c:v>
                </c:pt>
                <c:pt idx="120">
                  <c:v>-9.7384615384615375E-2</c:v>
                </c:pt>
                <c:pt idx="121">
                  <c:v>-6.0999999999999992E-2</c:v>
                </c:pt>
                <c:pt idx="122">
                  <c:v>-5.3307692307692292E-2</c:v>
                </c:pt>
                <c:pt idx="123">
                  <c:v>-2.9384615384615384E-2</c:v>
                </c:pt>
                <c:pt idx="124">
                  <c:v>-4.1538461538461538E-2</c:v>
                </c:pt>
                <c:pt idx="125">
                  <c:v>-2.0769230769230766E-2</c:v>
                </c:pt>
                <c:pt idx="126">
                  <c:v>-2.8846153846153851E-2</c:v>
                </c:pt>
                <c:pt idx="127">
                  <c:v>-1.9615384615384604E-2</c:v>
                </c:pt>
                <c:pt idx="128">
                  <c:v>-1.4461538461538453E-2</c:v>
                </c:pt>
                <c:pt idx="129">
                  <c:v>4.9230769230769345E-3</c:v>
                </c:pt>
                <c:pt idx="130">
                  <c:v>2.2923076923076921E-2</c:v>
                </c:pt>
                <c:pt idx="131">
                  <c:v>5.9153846153846154E-2</c:v>
                </c:pt>
                <c:pt idx="132">
                  <c:v>0.10099999999999999</c:v>
                </c:pt>
                <c:pt idx="133">
                  <c:v>0.11107692307692307</c:v>
                </c:pt>
                <c:pt idx="134">
                  <c:v>0.113</c:v>
                </c:pt>
                <c:pt idx="135">
                  <c:v>0.11838461538461539</c:v>
                </c:pt>
                <c:pt idx="136">
                  <c:v>0.13299999999999998</c:v>
                </c:pt>
                <c:pt idx="137">
                  <c:v>0.13392307692307692</c:v>
                </c:pt>
                <c:pt idx="138">
                  <c:v>0.14961538461538465</c:v>
                </c:pt>
                <c:pt idx="139">
                  <c:v>0.1766923076923077</c:v>
                </c:pt>
                <c:pt idx="140">
                  <c:v>0.21546153846153848</c:v>
                </c:pt>
                <c:pt idx="141">
                  <c:v>0.23623076923076924</c:v>
                </c:pt>
                <c:pt idx="142">
                  <c:v>0.24592307692307697</c:v>
                </c:pt>
                <c:pt idx="143">
                  <c:v>0.2763846153846154</c:v>
                </c:pt>
                <c:pt idx="144">
                  <c:v>0.2823846153846154</c:v>
                </c:pt>
                <c:pt idx="145">
                  <c:v>0.30107692307692308</c:v>
                </c:pt>
                <c:pt idx="146">
                  <c:v>0.33061538461538464</c:v>
                </c:pt>
                <c:pt idx="147">
                  <c:v>0.35315384615384615</c:v>
                </c:pt>
                <c:pt idx="148">
                  <c:v>0.37238461538461542</c:v>
                </c:pt>
                <c:pt idx="149">
                  <c:v>0.39430769230769225</c:v>
                </c:pt>
                <c:pt idx="150">
                  <c:v>0.40769230769230763</c:v>
                </c:pt>
                <c:pt idx="151">
                  <c:v>0.42523076923076919</c:v>
                </c:pt>
                <c:pt idx="152">
                  <c:v>0.44630769230769229</c:v>
                </c:pt>
                <c:pt idx="153">
                  <c:v>0.4507692307692307</c:v>
                </c:pt>
                <c:pt idx="154">
                  <c:v>0.44530769230769229</c:v>
                </c:pt>
                <c:pt idx="155">
                  <c:v>0.42946153846153845</c:v>
                </c:pt>
                <c:pt idx="156">
                  <c:v>0.43145454545454548</c:v>
                </c:pt>
                <c:pt idx="157">
                  <c:v>0.41088888888888891</c:v>
                </c:pt>
                <c:pt idx="158">
                  <c:v>0.40785714285714286</c:v>
                </c:pt>
                <c:pt idx="159">
                  <c:v>0.36699999999999999</c:v>
                </c:pt>
                <c:pt idx="160">
                  <c:v>0.46700000000000003</c:v>
                </c:pt>
                <c:pt idx="161">
                  <c:v>0.44800000000000001</c:v>
                </c:pt>
              </c:numCache>
            </c:numRef>
          </c:xVal>
          <c:yVal>
            <c:numRef>
              <c:f>triple!$C$10:$C$171</c:f>
              <c:numCache>
                <c:formatCode>General</c:formatCode>
                <c:ptCount val="162"/>
                <c:pt idx="0">
                  <c:v>-5.9491374999999999E-2</c:v>
                </c:pt>
                <c:pt idx="1">
                  <c:v>-0.11190809999999998</c:v>
                </c:pt>
                <c:pt idx="2">
                  <c:v>-0.16123770500000001</c:v>
                </c:pt>
                <c:pt idx="3">
                  <c:v>-0.21559306785714286</c:v>
                </c:pt>
                <c:pt idx="4">
                  <c:v>-0.23167692222222219</c:v>
                </c:pt>
                <c:pt idx="5">
                  <c:v>-0.26556248181818176</c:v>
                </c:pt>
                <c:pt idx="6">
                  <c:v>-0.29693740769230775</c:v>
                </c:pt>
                <c:pt idx="7">
                  <c:v>-0.30698044230769228</c:v>
                </c:pt>
                <c:pt idx="8">
                  <c:v>-0.31957134038461538</c:v>
                </c:pt>
                <c:pt idx="9">
                  <c:v>-0.31947239423076923</c:v>
                </c:pt>
                <c:pt idx="10">
                  <c:v>-0.34445629807692313</c:v>
                </c:pt>
                <c:pt idx="11">
                  <c:v>-0.33424010769230766</c:v>
                </c:pt>
                <c:pt idx="12">
                  <c:v>-0.34527260384615388</c:v>
                </c:pt>
                <c:pt idx="13">
                  <c:v>-0.34086950000000005</c:v>
                </c:pt>
                <c:pt idx="14">
                  <c:v>-0.32058553846153848</c:v>
                </c:pt>
                <c:pt idx="15">
                  <c:v>-0.32699230192307693</c:v>
                </c:pt>
                <c:pt idx="16">
                  <c:v>-0.32983700384615389</c:v>
                </c:pt>
                <c:pt idx="17">
                  <c:v>-0.33075225576923079</c:v>
                </c:pt>
                <c:pt idx="18">
                  <c:v>-0.32070922115384615</c:v>
                </c:pt>
                <c:pt idx="19">
                  <c:v>-0.31358509807692309</c:v>
                </c:pt>
                <c:pt idx="20">
                  <c:v>-0.27173087499999998</c:v>
                </c:pt>
                <c:pt idx="21">
                  <c:v>-0.26571989615384611</c:v>
                </c:pt>
                <c:pt idx="22">
                  <c:v>-0.26141573846153843</c:v>
                </c:pt>
                <c:pt idx="23">
                  <c:v>-0.26099521730769232</c:v>
                </c:pt>
                <c:pt idx="24">
                  <c:v>-0.28147707115384613</c:v>
                </c:pt>
                <c:pt idx="25">
                  <c:v>-0.29599741923076922</c:v>
                </c:pt>
                <c:pt idx="26">
                  <c:v>-0.28325810192307693</c:v>
                </c:pt>
                <c:pt idx="27">
                  <c:v>-0.29513164038461537</c:v>
                </c:pt>
                <c:pt idx="28">
                  <c:v>-0.3053230942307692</c:v>
                </c:pt>
                <c:pt idx="29">
                  <c:v>-0.3169987403846154</c:v>
                </c:pt>
                <c:pt idx="30">
                  <c:v>-0.30472941730769226</c:v>
                </c:pt>
                <c:pt idx="31">
                  <c:v>-0.27761817115384613</c:v>
                </c:pt>
                <c:pt idx="32">
                  <c:v>-0.2815018076923077</c:v>
                </c:pt>
                <c:pt idx="33">
                  <c:v>-0.30373995576923074</c:v>
                </c:pt>
                <c:pt idx="34">
                  <c:v>-0.33607061153846152</c:v>
                </c:pt>
                <c:pt idx="35">
                  <c:v>-0.35689877692307692</c:v>
                </c:pt>
                <c:pt idx="36">
                  <c:v>-0.38428212500000003</c:v>
                </c:pt>
                <c:pt idx="37">
                  <c:v>-0.37869166730769233</c:v>
                </c:pt>
                <c:pt idx="38">
                  <c:v>-0.38183320769230772</c:v>
                </c:pt>
                <c:pt idx="39">
                  <c:v>-0.36382500769230769</c:v>
                </c:pt>
                <c:pt idx="40">
                  <c:v>-0.35823455000000004</c:v>
                </c:pt>
                <c:pt idx="41">
                  <c:v>-0.35227304423076922</c:v>
                </c:pt>
                <c:pt idx="42">
                  <c:v>-0.33874215769230764</c:v>
                </c:pt>
                <c:pt idx="43">
                  <c:v>-0.33931109807692306</c:v>
                </c:pt>
                <c:pt idx="44">
                  <c:v>-0.34292263269230766</c:v>
                </c:pt>
                <c:pt idx="45">
                  <c:v>-0.35195146923076925</c:v>
                </c:pt>
                <c:pt idx="46">
                  <c:v>-0.36803021923076917</c:v>
                </c:pt>
                <c:pt idx="47">
                  <c:v>-0.37809799038461545</c:v>
                </c:pt>
                <c:pt idx="48">
                  <c:v>-0.35922401153846151</c:v>
                </c:pt>
                <c:pt idx="49">
                  <c:v>-0.3493541326923077</c:v>
                </c:pt>
                <c:pt idx="50">
                  <c:v>-0.35039306730769226</c:v>
                </c:pt>
                <c:pt idx="51">
                  <c:v>-0.35509300961538459</c:v>
                </c:pt>
                <c:pt idx="52">
                  <c:v>-0.38549421538461537</c:v>
                </c:pt>
                <c:pt idx="53">
                  <c:v>-0.41651383461538455</c:v>
                </c:pt>
                <c:pt idx="54">
                  <c:v>-0.40535765576923077</c:v>
                </c:pt>
                <c:pt idx="55">
                  <c:v>-0.41426280961538464</c:v>
                </c:pt>
                <c:pt idx="56">
                  <c:v>-0.41705803846153844</c:v>
                </c:pt>
                <c:pt idx="57">
                  <c:v>-0.41201178461538457</c:v>
                </c:pt>
                <c:pt idx="58">
                  <c:v>-0.40763341730769226</c:v>
                </c:pt>
                <c:pt idx="59">
                  <c:v>-0.41587068461538462</c:v>
                </c:pt>
                <c:pt idx="60">
                  <c:v>-0.4052339730769231</c:v>
                </c:pt>
                <c:pt idx="61">
                  <c:v>-0.41307545576923077</c:v>
                </c:pt>
                <c:pt idx="62">
                  <c:v>-0.4168601461538462</c:v>
                </c:pt>
                <c:pt idx="63">
                  <c:v>-0.376292223076923</c:v>
                </c:pt>
                <c:pt idx="64">
                  <c:v>-0.35138252884615384</c:v>
                </c:pt>
                <c:pt idx="65">
                  <c:v>-0.34363999230769227</c:v>
                </c:pt>
                <c:pt idx="66">
                  <c:v>-0.33381958653846144</c:v>
                </c:pt>
                <c:pt idx="67">
                  <c:v>-0.3157371769230769</c:v>
                </c:pt>
                <c:pt idx="68">
                  <c:v>-0.29639320384615381</c:v>
                </c:pt>
                <c:pt idx="69">
                  <c:v>-0.27093930576923075</c:v>
                </c:pt>
                <c:pt idx="70">
                  <c:v>-0.26930669423076925</c:v>
                </c:pt>
                <c:pt idx="71">
                  <c:v>-0.28263968846153853</c:v>
                </c:pt>
                <c:pt idx="72">
                  <c:v>-0.26735250769230767</c:v>
                </c:pt>
                <c:pt idx="73">
                  <c:v>-0.24578224615384617</c:v>
                </c:pt>
                <c:pt idx="74">
                  <c:v>-0.22020466538461542</c:v>
                </c:pt>
                <c:pt idx="75">
                  <c:v>-0.21674155000000003</c:v>
                </c:pt>
                <c:pt idx="76">
                  <c:v>-0.19440445576923077</c:v>
                </c:pt>
                <c:pt idx="77">
                  <c:v>-0.21045846923076922</c:v>
                </c:pt>
                <c:pt idx="78">
                  <c:v>-0.20029175192307691</c:v>
                </c:pt>
                <c:pt idx="79">
                  <c:v>-0.17708887884615385</c:v>
                </c:pt>
                <c:pt idx="80">
                  <c:v>-0.14473348653846152</c:v>
                </c:pt>
                <c:pt idx="81">
                  <c:v>-0.14127037115384616</c:v>
                </c:pt>
                <c:pt idx="82">
                  <c:v>-0.12969367115384614</c:v>
                </c:pt>
                <c:pt idx="83">
                  <c:v>-0.11534647884615384</c:v>
                </c:pt>
                <c:pt idx="84">
                  <c:v>-0.10960760192307693</c:v>
                </c:pt>
                <c:pt idx="85">
                  <c:v>-8.4104230769230764E-2</c:v>
                </c:pt>
                <c:pt idx="86">
                  <c:v>-6.0357153846153852E-2</c:v>
                </c:pt>
                <c:pt idx="87">
                  <c:v>-5.3381449999999997E-2</c:v>
                </c:pt>
                <c:pt idx="88">
                  <c:v>-4.8186776923076921E-2</c:v>
                </c:pt>
                <c:pt idx="89">
                  <c:v>-2.8620174999999998E-2</c:v>
                </c:pt>
                <c:pt idx="90">
                  <c:v>-2.1842363461538457E-2</c:v>
                </c:pt>
                <c:pt idx="91">
                  <c:v>-2.406865192307692E-2</c:v>
                </c:pt>
                <c:pt idx="92">
                  <c:v>-1.9146080769230772E-2</c:v>
                </c:pt>
                <c:pt idx="93">
                  <c:v>-1.362983269230769E-2</c:v>
                </c:pt>
                <c:pt idx="94">
                  <c:v>-1.0562501923076921E-2</c:v>
                </c:pt>
                <c:pt idx="95">
                  <c:v>5.689403846153851E-4</c:v>
                </c:pt>
                <c:pt idx="96">
                  <c:v>-4.4525769230769237E-3</c:v>
                </c:pt>
                <c:pt idx="97">
                  <c:v>-1.2689844230769229E-2</c:v>
                </c:pt>
                <c:pt idx="98">
                  <c:v>-4.0419503846153851E-2</c:v>
                </c:pt>
                <c:pt idx="99">
                  <c:v>-4.4872080769230771E-2</c:v>
                </c:pt>
                <c:pt idx="100">
                  <c:v>-5.4519330769230781E-2</c:v>
                </c:pt>
                <c:pt idx="101">
                  <c:v>-3.9380569230769241E-2</c:v>
                </c:pt>
                <c:pt idx="102">
                  <c:v>-3.4507471153846163E-2</c:v>
                </c:pt>
                <c:pt idx="103">
                  <c:v>-2.2064992307692308E-2</c:v>
                </c:pt>
                <c:pt idx="104">
                  <c:v>-3.8094269230769237E-2</c:v>
                </c:pt>
                <c:pt idx="105">
                  <c:v>-3.361695576923078E-2</c:v>
                </c:pt>
                <c:pt idx="106">
                  <c:v>-3.371590192307692E-2</c:v>
                </c:pt>
                <c:pt idx="107">
                  <c:v>-3.8143742307692304E-2</c:v>
                </c:pt>
                <c:pt idx="108">
                  <c:v>-5.0363592307692301E-2</c:v>
                </c:pt>
                <c:pt idx="109">
                  <c:v>-6.0752938461538453E-2</c:v>
                </c:pt>
                <c:pt idx="110">
                  <c:v>-6.2410286538461535E-2</c:v>
                </c:pt>
                <c:pt idx="111">
                  <c:v>-2.8941750000000006E-2</c:v>
                </c:pt>
                <c:pt idx="112">
                  <c:v>-1.5955067307692306E-2</c:v>
                </c:pt>
                <c:pt idx="113">
                  <c:v>-3.8687946153846152E-2</c:v>
                </c:pt>
                <c:pt idx="114">
                  <c:v>-4.8310459615384618E-2</c:v>
                </c:pt>
                <c:pt idx="115">
                  <c:v>-4.3783673076923081E-2</c:v>
                </c:pt>
                <c:pt idx="116">
                  <c:v>-6.7209174999999996E-2</c:v>
                </c:pt>
                <c:pt idx="117">
                  <c:v>-7.7202736538461533E-2</c:v>
                </c:pt>
                <c:pt idx="118">
                  <c:v>-8.3733182692307687E-2</c:v>
                </c:pt>
                <c:pt idx="119">
                  <c:v>-9.3603061538461541E-2</c:v>
                </c:pt>
                <c:pt idx="120">
                  <c:v>-9.3009384615384605E-2</c:v>
                </c:pt>
                <c:pt idx="121">
                  <c:v>-5.8699805769230756E-2</c:v>
                </c:pt>
                <c:pt idx="122">
                  <c:v>-5.3158821153846153E-2</c:v>
                </c:pt>
                <c:pt idx="123">
                  <c:v>-3.2009080769230765E-2</c:v>
                </c:pt>
                <c:pt idx="124">
                  <c:v>-4.3462098076923077E-2</c:v>
                </c:pt>
                <c:pt idx="125">
                  <c:v>-2.5181796153846144E-2</c:v>
                </c:pt>
                <c:pt idx="126">
                  <c:v>-3.3072751923076918E-2</c:v>
                </c:pt>
                <c:pt idx="127">
                  <c:v>-2.3499711538461535E-2</c:v>
                </c:pt>
                <c:pt idx="128">
                  <c:v>-1.8651350000000004E-2</c:v>
                </c:pt>
                <c:pt idx="129">
                  <c:v>-8.4104230769230758E-4</c:v>
                </c:pt>
                <c:pt idx="130">
                  <c:v>1.5262444230769234E-2</c:v>
                </c:pt>
                <c:pt idx="131">
                  <c:v>5.1229371153846161E-2</c:v>
                </c:pt>
                <c:pt idx="132">
                  <c:v>9.2044659615384605E-2</c:v>
                </c:pt>
                <c:pt idx="133">
                  <c:v>0.10300294615384616</c:v>
                </c:pt>
                <c:pt idx="134">
                  <c:v>0.10300294615384614</c:v>
                </c:pt>
                <c:pt idx="135">
                  <c:v>0.10728236730769228</c:v>
                </c:pt>
                <c:pt idx="136">
                  <c:v>0.12212429038461536</c:v>
                </c:pt>
                <c:pt idx="137">
                  <c:v>0.12440005192307692</c:v>
                </c:pt>
                <c:pt idx="138">
                  <c:v>0.139885125</c:v>
                </c:pt>
                <c:pt idx="139">
                  <c:v>0.16603164615384619</c:v>
                </c:pt>
                <c:pt idx="140">
                  <c:v>0.20615431153846156</c:v>
                </c:pt>
                <c:pt idx="141">
                  <c:v>0.2263393269230769</c:v>
                </c:pt>
                <c:pt idx="142">
                  <c:v>0.23843549423076926</c:v>
                </c:pt>
                <c:pt idx="143">
                  <c:v>0.26955405961538464</c:v>
                </c:pt>
                <c:pt idx="144">
                  <c:v>0.27638134423076921</c:v>
                </c:pt>
                <c:pt idx="145">
                  <c:v>0.29270745961538458</c:v>
                </c:pt>
                <c:pt idx="146">
                  <c:v>0.32253972500000005</c:v>
                </c:pt>
                <c:pt idx="147">
                  <c:v>0.34613838269230773</c:v>
                </c:pt>
                <c:pt idx="148">
                  <c:v>0.36701602115384613</c:v>
                </c:pt>
                <c:pt idx="149">
                  <c:v>0.39034257692307689</c:v>
                </c:pt>
                <c:pt idx="150">
                  <c:v>0.40360136153846149</c:v>
                </c:pt>
                <c:pt idx="151">
                  <c:v>0.42158482499999994</c:v>
                </c:pt>
                <c:pt idx="152">
                  <c:v>0.44454033269230775</c:v>
                </c:pt>
                <c:pt idx="153">
                  <c:v>0.45050183846153846</c:v>
                </c:pt>
                <c:pt idx="154">
                  <c:v>0.4459255788461538</c:v>
                </c:pt>
                <c:pt idx="155">
                  <c:v>0.42942630769230766</c:v>
                </c:pt>
                <c:pt idx="156">
                  <c:v>0.43257684318181822</c:v>
                </c:pt>
                <c:pt idx="157">
                  <c:v>0.4121519583333334</c:v>
                </c:pt>
                <c:pt idx="158">
                  <c:v>0.41028376071428574</c:v>
                </c:pt>
                <c:pt idx="159">
                  <c:v>0.36801043</c:v>
                </c:pt>
                <c:pt idx="160">
                  <c:v>0.47496627499999999</c:v>
                </c:pt>
                <c:pt idx="161">
                  <c:v>0.46403272499999998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861280"/>
        <c:axId val="567861672"/>
      </c:scatterChart>
      <c:valAx>
        <c:axId val="56786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7861672"/>
        <c:crosses val="autoZero"/>
        <c:crossBetween val="midCat"/>
      </c:valAx>
      <c:valAx>
        <c:axId val="567861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678612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20353943635833399"/>
                  <c:y val="-1.0138734583253281E-2"/>
                </c:manualLayout>
              </c:layout>
              <c:numFmt formatCode="General" sourceLinked="0"/>
            </c:trendlineLbl>
          </c:trendline>
          <c:xVal>
            <c:numRef>
              <c:f>triple!$B$154:$B$171</c:f>
              <c:numCache>
                <c:formatCode>General</c:formatCode>
                <c:ptCount val="18"/>
                <c:pt idx="0">
                  <c:v>0.2823846153846154</c:v>
                </c:pt>
                <c:pt idx="1">
                  <c:v>0.30107692307692308</c:v>
                </c:pt>
                <c:pt idx="2">
                  <c:v>0.33061538461538464</c:v>
                </c:pt>
                <c:pt idx="3">
                  <c:v>0.35315384615384615</c:v>
                </c:pt>
                <c:pt idx="4">
                  <c:v>0.37238461538461542</c:v>
                </c:pt>
                <c:pt idx="5">
                  <c:v>0.39430769230769225</c:v>
                </c:pt>
                <c:pt idx="6">
                  <c:v>0.40769230769230763</c:v>
                </c:pt>
                <c:pt idx="7">
                  <c:v>0.42523076923076919</c:v>
                </c:pt>
                <c:pt idx="8">
                  <c:v>0.44630769230769229</c:v>
                </c:pt>
                <c:pt idx="9">
                  <c:v>0.4507692307692307</c:v>
                </c:pt>
                <c:pt idx="10">
                  <c:v>0.44530769230769229</c:v>
                </c:pt>
                <c:pt idx="11">
                  <c:v>0.42946153846153845</c:v>
                </c:pt>
                <c:pt idx="12">
                  <c:v>0.43145454545454548</c:v>
                </c:pt>
                <c:pt idx="13">
                  <c:v>0.41088888888888891</c:v>
                </c:pt>
                <c:pt idx="14">
                  <c:v>0.40785714285714286</c:v>
                </c:pt>
                <c:pt idx="15">
                  <c:v>0.36699999999999999</c:v>
                </c:pt>
                <c:pt idx="16">
                  <c:v>0.46700000000000003</c:v>
                </c:pt>
                <c:pt idx="17">
                  <c:v>0.44800000000000001</c:v>
                </c:pt>
              </c:numCache>
            </c:numRef>
          </c:xVal>
          <c:yVal>
            <c:numRef>
              <c:f>triple!$C$154:$C$171</c:f>
              <c:numCache>
                <c:formatCode>General</c:formatCode>
                <c:ptCount val="18"/>
                <c:pt idx="0">
                  <c:v>0.27638134423076921</c:v>
                </c:pt>
                <c:pt idx="1">
                  <c:v>0.29270745961538458</c:v>
                </c:pt>
                <c:pt idx="2">
                  <c:v>0.32253972500000005</c:v>
                </c:pt>
                <c:pt idx="3">
                  <c:v>0.34613838269230773</c:v>
                </c:pt>
                <c:pt idx="4">
                  <c:v>0.36701602115384613</c:v>
                </c:pt>
                <c:pt idx="5">
                  <c:v>0.39034257692307689</c:v>
                </c:pt>
                <c:pt idx="6">
                  <c:v>0.40360136153846149</c:v>
                </c:pt>
                <c:pt idx="7">
                  <c:v>0.42158482499999994</c:v>
                </c:pt>
                <c:pt idx="8">
                  <c:v>0.44454033269230775</c:v>
                </c:pt>
                <c:pt idx="9">
                  <c:v>0.45050183846153846</c:v>
                </c:pt>
                <c:pt idx="10">
                  <c:v>0.4459255788461538</c:v>
                </c:pt>
                <c:pt idx="11">
                  <c:v>0.42942630769230766</c:v>
                </c:pt>
                <c:pt idx="12">
                  <c:v>0.43257684318181822</c:v>
                </c:pt>
                <c:pt idx="13">
                  <c:v>0.4121519583333334</c:v>
                </c:pt>
                <c:pt idx="14">
                  <c:v>0.41028376071428574</c:v>
                </c:pt>
                <c:pt idx="15">
                  <c:v>0.36801043</c:v>
                </c:pt>
                <c:pt idx="16">
                  <c:v>0.47496627499999999</c:v>
                </c:pt>
                <c:pt idx="17">
                  <c:v>0.46403272499999998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862456"/>
        <c:axId val="567862848"/>
      </c:scatterChart>
      <c:valAx>
        <c:axId val="567862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7862848"/>
        <c:crosses val="autoZero"/>
        <c:crossBetween val="midCat"/>
      </c:valAx>
      <c:valAx>
        <c:axId val="567862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6786245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Absolute error in composing global temperature</a:t>
            </a:r>
          </a:p>
        </c:rich>
      </c:tx>
      <c:layout>
        <c:manualLayout>
          <c:xMode val="edge"/>
          <c:yMode val="edge"/>
          <c:x val="0.22752599004622198"/>
          <c:y val="9.259347916980393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87074500302847"/>
          <c:y val="0.12084499854184894"/>
          <c:w val="0.78052624671916015"/>
          <c:h val="0.7076195683872849"/>
        </c:manualLayout>
      </c:layout>
      <c:scatterChart>
        <c:scatterStyle val="lineMarker"/>
        <c:varyColors val="0"/>
        <c:ser>
          <c:idx val="2"/>
          <c:order val="0"/>
          <c:tx>
            <c:strRef>
              <c:f>triple!$F$9</c:f>
              <c:strCache>
                <c:ptCount val="1"/>
                <c:pt idx="0">
                  <c:v>Absolute error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4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solidFill>
                  <a:srgbClr val="002060"/>
                </a:solidFill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triple!$A$10:$A$171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triple!$F$10:$F$171</c:f>
              <c:numCache>
                <c:formatCode>General</c:formatCode>
                <c:ptCount val="162"/>
                <c:pt idx="0">
                  <c:v>0.15950862500000001</c:v>
                </c:pt>
                <c:pt idx="1">
                  <c:v>0.12475856666666668</c:v>
                </c:pt>
                <c:pt idx="2">
                  <c:v>0.10056229499999997</c:v>
                </c:pt>
                <c:pt idx="3">
                  <c:v>8.8978360714285748E-2</c:v>
                </c:pt>
                <c:pt idx="4">
                  <c:v>6.3211966666666675E-2</c:v>
                </c:pt>
                <c:pt idx="5">
                  <c:v>5.6346609090909161E-2</c:v>
                </c:pt>
                <c:pt idx="6">
                  <c:v>4.7139515384615305E-2</c:v>
                </c:pt>
                <c:pt idx="7">
                  <c:v>3.6711865384615405E-2</c:v>
                </c:pt>
                <c:pt idx="8">
                  <c:v>2.1428659615384593E-2</c:v>
                </c:pt>
                <c:pt idx="9">
                  <c:v>1.5989144230769192E-2</c:v>
                </c:pt>
                <c:pt idx="10">
                  <c:v>7.5437019230769065E-3</c:v>
                </c:pt>
                <c:pt idx="11">
                  <c:v>1.7598923076923567E-3</c:v>
                </c:pt>
                <c:pt idx="12">
                  <c:v>1.889346153846061E-4</c:v>
                </c:pt>
                <c:pt idx="13">
                  <c:v>3.0233461538462514E-3</c:v>
                </c:pt>
                <c:pt idx="14">
                  <c:v>5.7393846153846462E-3</c:v>
                </c:pt>
                <c:pt idx="15">
                  <c:v>4.2999942307692662E-3</c:v>
                </c:pt>
                <c:pt idx="16">
                  <c:v>6.6831576923077618E-3</c:v>
                </c:pt>
                <c:pt idx="17">
                  <c:v>7.2137942307692327E-3</c:v>
                </c:pt>
                <c:pt idx="18">
                  <c:v>1.0555374999999978E-2</c:v>
                </c:pt>
                <c:pt idx="19">
                  <c:v>1.1508175000000009E-2</c:v>
                </c:pt>
                <c:pt idx="20">
                  <c:v>1.4807798076923118E-2</c:v>
                </c:pt>
                <c:pt idx="21">
                  <c:v>1.6719896153846142E-2</c:v>
                </c:pt>
                <c:pt idx="22">
                  <c:v>1.5954199999999946E-2</c:v>
                </c:pt>
                <c:pt idx="23">
                  <c:v>2.1456755769230784E-2</c:v>
                </c:pt>
                <c:pt idx="24">
                  <c:v>1.9246301923076914E-2</c:v>
                </c:pt>
                <c:pt idx="25">
                  <c:v>2.3151265384615427E-2</c:v>
                </c:pt>
                <c:pt idx="26">
                  <c:v>2.0719640384615434E-2</c:v>
                </c:pt>
                <c:pt idx="27">
                  <c:v>2.7747024999999981E-2</c:v>
                </c:pt>
                <c:pt idx="28">
                  <c:v>2.5630786538461514E-2</c:v>
                </c:pt>
                <c:pt idx="29">
                  <c:v>2.9229509615384619E-2</c:v>
                </c:pt>
                <c:pt idx="30">
                  <c:v>2.7883263461538355E-2</c:v>
                </c:pt>
                <c:pt idx="31">
                  <c:v>2.7387401923076871E-2</c:v>
                </c:pt>
                <c:pt idx="32">
                  <c:v>2.7194115384615358E-2</c:v>
                </c:pt>
                <c:pt idx="33">
                  <c:v>2.7509186538461516E-2</c:v>
                </c:pt>
                <c:pt idx="34">
                  <c:v>2.630138076923072E-2</c:v>
                </c:pt>
                <c:pt idx="35">
                  <c:v>2.0206469230769242E-2</c:v>
                </c:pt>
                <c:pt idx="36">
                  <c:v>2.3435971153846102E-2</c:v>
                </c:pt>
                <c:pt idx="37">
                  <c:v>2.2460898076923086E-2</c:v>
                </c:pt>
                <c:pt idx="38">
                  <c:v>2.1217823076923104E-2</c:v>
                </c:pt>
                <c:pt idx="39">
                  <c:v>1.8517315384615374E-2</c:v>
                </c:pt>
                <c:pt idx="40">
                  <c:v>1.4003780769230811E-2</c:v>
                </c:pt>
                <c:pt idx="41">
                  <c:v>1.0349967307692276E-2</c:v>
                </c:pt>
                <c:pt idx="42">
                  <c:v>8.5883115384615127E-3</c:v>
                </c:pt>
                <c:pt idx="43">
                  <c:v>5.2341750000000076E-3</c:v>
                </c:pt>
                <c:pt idx="44">
                  <c:v>2.3841711538461485E-3</c:v>
                </c:pt>
                <c:pt idx="45">
                  <c:v>2.9514692307692769E-3</c:v>
                </c:pt>
                <c:pt idx="46">
                  <c:v>1.4148346153845526E-3</c:v>
                </c:pt>
                <c:pt idx="47">
                  <c:v>1.2518365384616703E-3</c:v>
                </c:pt>
                <c:pt idx="48">
                  <c:v>1.4708846153849153E-4</c:v>
                </c:pt>
                <c:pt idx="49">
                  <c:v>1.354132692307719E-3</c:v>
                </c:pt>
                <c:pt idx="50">
                  <c:v>1.1453942307693143E-3</c:v>
                </c:pt>
                <c:pt idx="51">
                  <c:v>3.8300673076923641E-3</c:v>
                </c:pt>
                <c:pt idx="52">
                  <c:v>8.1211692307693317E-3</c:v>
                </c:pt>
                <c:pt idx="53">
                  <c:v>1.0332319230769382E-2</c:v>
                </c:pt>
                <c:pt idx="54">
                  <c:v>1.0642344230769263E-2</c:v>
                </c:pt>
                <c:pt idx="55">
                  <c:v>9.7371903846154018E-3</c:v>
                </c:pt>
                <c:pt idx="56">
                  <c:v>1.0557346153846181E-2</c:v>
                </c:pt>
                <c:pt idx="57">
                  <c:v>1.0757446153846162E-2</c:v>
                </c:pt>
                <c:pt idx="58">
                  <c:v>9.5973519230769244E-3</c:v>
                </c:pt>
                <c:pt idx="59">
                  <c:v>9.4370076923075974E-3</c:v>
                </c:pt>
                <c:pt idx="60">
                  <c:v>6.6121807692307022E-3</c:v>
                </c:pt>
                <c:pt idx="61">
                  <c:v>5.1553134615384688E-3</c:v>
                </c:pt>
                <c:pt idx="62">
                  <c:v>5.3706230769229313E-3</c:v>
                </c:pt>
                <c:pt idx="63">
                  <c:v>5.9385461538462581E-3</c:v>
                </c:pt>
                <c:pt idx="64">
                  <c:v>8.0020865384615725E-3</c:v>
                </c:pt>
                <c:pt idx="65">
                  <c:v>6.283084615384682E-3</c:v>
                </c:pt>
                <c:pt idx="66">
                  <c:v>5.5650288461539521E-3</c:v>
                </c:pt>
                <c:pt idx="67">
                  <c:v>3.3974615384613216E-4</c:v>
                </c:pt>
                <c:pt idx="68">
                  <c:v>1.4701269230769087E-3</c:v>
                </c:pt>
                <c:pt idx="69">
                  <c:v>2.5546903846153657E-3</c:v>
                </c:pt>
                <c:pt idx="70">
                  <c:v>1.9220788461538629E-3</c:v>
                </c:pt>
                <c:pt idx="71">
                  <c:v>2.9473807692308451E-3</c:v>
                </c:pt>
                <c:pt idx="72">
                  <c:v>1.429430769230744E-3</c:v>
                </c:pt>
                <c:pt idx="73">
                  <c:v>1.9360923076922887E-3</c:v>
                </c:pt>
                <c:pt idx="74">
                  <c:v>1.2774230769230233E-4</c:v>
                </c:pt>
                <c:pt idx="75">
                  <c:v>2.6430653846154228E-3</c:v>
                </c:pt>
                <c:pt idx="76">
                  <c:v>4.6724673076923851E-3</c:v>
                </c:pt>
                <c:pt idx="77">
                  <c:v>3.7723000000000895E-3</c:v>
                </c:pt>
                <c:pt idx="78">
                  <c:v>5.0928634615384771E-3</c:v>
                </c:pt>
                <c:pt idx="79">
                  <c:v>5.3726596153845785E-3</c:v>
                </c:pt>
                <c:pt idx="80">
                  <c:v>4.420359615384617E-3</c:v>
                </c:pt>
                <c:pt idx="81">
                  <c:v>6.5757826923076856E-3</c:v>
                </c:pt>
                <c:pt idx="82">
                  <c:v>4.3063288461538396E-3</c:v>
                </c:pt>
                <c:pt idx="83">
                  <c:v>3.4227519230768944E-3</c:v>
                </c:pt>
                <c:pt idx="84">
                  <c:v>3.7770134615384282E-3</c:v>
                </c:pt>
                <c:pt idx="85">
                  <c:v>4.203461538461517E-3</c:v>
                </c:pt>
                <c:pt idx="86">
                  <c:v>1.950538461538448E-3</c:v>
                </c:pt>
                <c:pt idx="87">
                  <c:v>5.3108576923076994E-3</c:v>
                </c:pt>
                <c:pt idx="88">
                  <c:v>5.3516846153846137E-3</c:v>
                </c:pt>
                <c:pt idx="89">
                  <c:v>3.6875173076923035E-3</c:v>
                </c:pt>
                <c:pt idx="90">
                  <c:v>5.0037903846153892E-3</c:v>
                </c:pt>
                <c:pt idx="91">
                  <c:v>6.8544250000000008E-3</c:v>
                </c:pt>
                <c:pt idx="92">
                  <c:v>5.1616115384615358E-3</c:v>
                </c:pt>
                <c:pt idx="93">
                  <c:v>4.677859615384616E-3</c:v>
                </c:pt>
                <c:pt idx="94">
                  <c:v>7.129805769230774E-3</c:v>
                </c:pt>
                <c:pt idx="95">
                  <c:v>6.4920173076923049E-3</c:v>
                </c:pt>
                <c:pt idx="96">
                  <c:v>9.5474230769230766E-3</c:v>
                </c:pt>
                <c:pt idx="97">
                  <c:v>9.3870788461538519E-3</c:v>
                </c:pt>
                <c:pt idx="98">
                  <c:v>9.7343423076923022E-3</c:v>
                </c:pt>
                <c:pt idx="99">
                  <c:v>1.1358688461538459E-2</c:v>
                </c:pt>
                <c:pt idx="100">
                  <c:v>1.471143846153844E-2</c:v>
                </c:pt>
                <c:pt idx="101">
                  <c:v>1.34655846153846E-2</c:v>
                </c:pt>
                <c:pt idx="102">
                  <c:v>1.2569451923076916E-2</c:v>
                </c:pt>
                <c:pt idx="103">
                  <c:v>1.3165776923076924E-2</c:v>
                </c:pt>
                <c:pt idx="104">
                  <c:v>1.3136499999999995E-2</c:v>
                </c:pt>
                <c:pt idx="105">
                  <c:v>1.1767659615384604E-2</c:v>
                </c:pt>
                <c:pt idx="106">
                  <c:v>1.3053328846153851E-2</c:v>
                </c:pt>
                <c:pt idx="107">
                  <c:v>1.062548846153847E-2</c:v>
                </c:pt>
                <c:pt idx="108">
                  <c:v>1.3405638461538472E-2</c:v>
                </c:pt>
                <c:pt idx="109">
                  <c:v>1.5016292307692303E-2</c:v>
                </c:pt>
                <c:pt idx="110">
                  <c:v>1.4666636538461536E-2</c:v>
                </c:pt>
                <c:pt idx="111">
                  <c:v>1.0596711538461531E-2</c:v>
                </c:pt>
                <c:pt idx="112">
                  <c:v>1.2044932692307695E-2</c:v>
                </c:pt>
                <c:pt idx="113">
                  <c:v>8.6197461538461556E-3</c:v>
                </c:pt>
                <c:pt idx="114">
                  <c:v>7.8433865384615331E-3</c:v>
                </c:pt>
                <c:pt idx="115">
                  <c:v>5.9855576923076928E-3</c:v>
                </c:pt>
                <c:pt idx="116">
                  <c:v>5.867748076923085E-3</c:v>
                </c:pt>
                <c:pt idx="117">
                  <c:v>5.5664942307692283E-3</c:v>
                </c:pt>
                <c:pt idx="118">
                  <c:v>6.8052788461538533E-3</c:v>
                </c:pt>
                <c:pt idx="119">
                  <c:v>6.0892461538461368E-3</c:v>
                </c:pt>
                <c:pt idx="120">
                  <c:v>4.3752307692307701E-3</c:v>
                </c:pt>
                <c:pt idx="121">
                  <c:v>2.3001942307692355E-3</c:v>
                </c:pt>
                <c:pt idx="122">
                  <c:v>1.4887115384613903E-4</c:v>
                </c:pt>
                <c:pt idx="123">
                  <c:v>2.6244653846153806E-3</c:v>
                </c:pt>
                <c:pt idx="124">
                  <c:v>1.9236365384615386E-3</c:v>
                </c:pt>
                <c:pt idx="125">
                  <c:v>4.412565384615378E-3</c:v>
                </c:pt>
                <c:pt idx="126">
                  <c:v>4.2265980769230667E-3</c:v>
                </c:pt>
                <c:pt idx="127">
                  <c:v>3.8843269230769313E-3</c:v>
                </c:pt>
                <c:pt idx="128">
                  <c:v>4.1898115384615513E-3</c:v>
                </c:pt>
                <c:pt idx="129">
                  <c:v>5.7641192307692421E-3</c:v>
                </c:pt>
                <c:pt idx="130">
                  <c:v>7.6606326923076874E-3</c:v>
                </c:pt>
                <c:pt idx="131">
                  <c:v>7.9244749999999933E-3</c:v>
                </c:pt>
                <c:pt idx="132">
                  <c:v>8.9553403846153873E-3</c:v>
                </c:pt>
                <c:pt idx="133">
                  <c:v>8.0739769230769171E-3</c:v>
                </c:pt>
                <c:pt idx="134">
                  <c:v>9.9970538461538611E-3</c:v>
                </c:pt>
                <c:pt idx="135">
                  <c:v>1.1102248076923116E-2</c:v>
                </c:pt>
                <c:pt idx="136">
                  <c:v>1.0875709615384616E-2</c:v>
                </c:pt>
                <c:pt idx="137">
                  <c:v>9.5230250000000044E-3</c:v>
                </c:pt>
                <c:pt idx="138">
                  <c:v>9.730259615384651E-3</c:v>
                </c:pt>
                <c:pt idx="139">
                  <c:v>1.0660661538461513E-2</c:v>
                </c:pt>
                <c:pt idx="140">
                  <c:v>9.3072269230769222E-3</c:v>
                </c:pt>
                <c:pt idx="141">
                  <c:v>9.8914423076923441E-3</c:v>
                </c:pt>
                <c:pt idx="142">
                  <c:v>7.4875826923077038E-3</c:v>
                </c:pt>
                <c:pt idx="143">
                  <c:v>6.8305557692307506E-3</c:v>
                </c:pt>
                <c:pt idx="144">
                  <c:v>6.0032711538461903E-3</c:v>
                </c:pt>
                <c:pt idx="145">
                  <c:v>8.3694634615384955E-3</c:v>
                </c:pt>
                <c:pt idx="146">
                  <c:v>8.0756596153845894E-3</c:v>
                </c:pt>
                <c:pt idx="147">
                  <c:v>7.0154634615384182E-3</c:v>
                </c:pt>
                <c:pt idx="148">
                  <c:v>5.3685942307692969E-3</c:v>
                </c:pt>
                <c:pt idx="149">
                  <c:v>3.9651153846153586E-3</c:v>
                </c:pt>
                <c:pt idx="150">
                  <c:v>4.0909461538461422E-3</c:v>
                </c:pt>
                <c:pt idx="151">
                  <c:v>3.6459442307692491E-3</c:v>
                </c:pt>
                <c:pt idx="152">
                  <c:v>1.767359615384545E-3</c:v>
                </c:pt>
                <c:pt idx="153">
                  <c:v>2.6739230769223798E-4</c:v>
                </c:pt>
                <c:pt idx="154">
                  <c:v>6.1788653846150954E-4</c:v>
                </c:pt>
                <c:pt idx="155">
                  <c:v>3.5230769230787384E-5</c:v>
                </c:pt>
                <c:pt idx="156">
                  <c:v>1.1222977272727364E-3</c:v>
                </c:pt>
                <c:pt idx="157">
                  <c:v>1.2630694444444868E-3</c:v>
                </c:pt>
                <c:pt idx="158">
                  <c:v>2.4266178571428765E-3</c:v>
                </c:pt>
                <c:pt idx="159">
                  <c:v>1.0104300000000066E-3</c:v>
                </c:pt>
                <c:pt idx="160">
                  <c:v>7.9662749999999671E-3</c:v>
                </c:pt>
                <c:pt idx="161">
                  <c:v>1.603272499999997E-2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364920"/>
        <c:axId val="479365312"/>
      </c:scatterChart>
      <c:valAx>
        <c:axId val="479364920"/>
        <c:scaling>
          <c:orientation val="minMax"/>
          <c:max val="2015"/>
          <c:min val="19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79365312"/>
        <c:crosses val="autoZero"/>
        <c:crossBetween val="midCat"/>
      </c:valAx>
      <c:valAx>
        <c:axId val="479365312"/>
        <c:scaling>
          <c:orientation val="minMax"/>
          <c:max val="4.0000000000000008E-2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Error between global and composed</a:t>
                </a:r>
              </a:p>
            </c:rich>
          </c:tx>
          <c:layout>
            <c:manualLayout>
              <c:xMode val="edge"/>
              <c:yMode val="edge"/>
              <c:x val="2.3277407750680431E-2"/>
              <c:y val="0.1214422965954108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793649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7329891082499818"/>
          <c:y val="0.16368519833139406"/>
          <c:w val="0.36469351907934583"/>
          <c:h val="0.15431321084864391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</a:ln>
      </c:spPr>
    </c:legend>
    <c:plotVisOnly val="1"/>
    <c:dispBlanksAs val="gap"/>
    <c:showDLblsOverMax val="0"/>
  </c:chart>
  <c:txPr>
    <a:bodyPr/>
    <a:lstStyle/>
    <a:p>
      <a:pPr>
        <a:defRPr sz="11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Increased rate of ocean heat sinking </a:t>
            </a:r>
          </a:p>
        </c:rich>
      </c:tx>
      <c:layout>
        <c:manualLayout>
          <c:xMode val="edge"/>
          <c:yMode val="edge"/>
          <c:x val="0.39755916909369249"/>
          <c:y val="5.49413915992539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84916472201704E-2"/>
          <c:y val="0.14003360317702765"/>
          <c:w val="0.87326458468234558"/>
          <c:h val="0.59768301102644861"/>
        </c:manualLayout>
      </c:layout>
      <c:scatterChart>
        <c:scatterStyle val="smoothMarker"/>
        <c:varyColors val="0"/>
        <c:ser>
          <c:idx val="0"/>
          <c:order val="0"/>
          <c:tx>
            <c:v>Ratio of Ocean/Land temperature rise</c:v>
          </c:tx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pPr>
              <a:solidFill>
                <a:schemeClr val="accent5">
                  <a:lumMod val="20000"/>
                  <a:lumOff val="80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trendline>
            <c:spPr>
              <a:ln w="38100">
                <a:solidFill>
                  <a:schemeClr val="tx1"/>
                </a:solidFill>
              </a:ln>
            </c:spPr>
            <c:trendlineType val="poly"/>
            <c:order val="5"/>
            <c:dispRSqr val="1"/>
            <c:dispEq val="1"/>
            <c:trendlineLbl>
              <c:layout>
                <c:manualLayout>
                  <c:x val="2.0690265485037853E-2"/>
                  <c:y val="0.45244086921270327"/>
                </c:manualLayout>
              </c:layout>
              <c:numFmt formatCode="0.0000000000E+00" sourceLinked="0"/>
            </c:trendlineLbl>
          </c:trendline>
          <c:xVal>
            <c:numRef>
              <c:f>triple!$A$10:$A$171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triple!$G$10:$G$171</c:f>
              <c:numCache>
                <c:formatCode>General</c:formatCode>
                <c:ptCount val="162"/>
                <c:pt idx="0">
                  <c:v>0.14451094509678641</c:v>
                </c:pt>
                <c:pt idx="1">
                  <c:v>0.16111458575203624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0.88780828513467291</c:v>
                </c:pt>
                <c:pt idx="7">
                  <c:v>0.82645148204598617</c:v>
                </c:pt>
                <c:pt idx="8">
                  <c:v>0.6696758431574803</c:v>
                </c:pt>
                <c:pt idx="9">
                  <c:v>0.93996638959301115</c:v>
                </c:pt>
                <c:pt idx="10">
                  <c:v>0.7223005791552024</c:v>
                </c:pt>
                <c:pt idx="11">
                  <c:v>0.6660486173465392</c:v>
                </c:pt>
                <c:pt idx="12">
                  <c:v>0.6043941318651781</c:v>
                </c:pt>
                <c:pt idx="13">
                  <c:v>0.51630697564971184</c:v>
                </c:pt>
                <c:pt idx="14">
                  <c:v>0.50838480416340193</c:v>
                </c:pt>
                <c:pt idx="15">
                  <c:v>0.49344102716427624</c:v>
                </c:pt>
                <c:pt idx="16">
                  <c:v>0.49695826138443322</c:v>
                </c:pt>
                <c:pt idx="17">
                  <c:v>0.47514451584901524</c:v>
                </c:pt>
                <c:pt idx="18">
                  <c:v>0.47437392044218452</c:v>
                </c:pt>
                <c:pt idx="19">
                  <c:v>0.43652722061358601</c:v>
                </c:pt>
                <c:pt idx="20">
                  <c:v>0.41681816939025451</c:v>
                </c:pt>
                <c:pt idx="21">
                  <c:v>0.39561174257202281</c:v>
                </c:pt>
                <c:pt idx="22">
                  <c:v>0.42028243776279384</c:v>
                </c:pt>
                <c:pt idx="23">
                  <c:v>0.37676907015944311</c:v>
                </c:pt>
                <c:pt idx="24">
                  <c:v>0.40059199752668295</c:v>
                </c:pt>
                <c:pt idx="25">
                  <c:v>0.37686268513103599</c:v>
                </c:pt>
                <c:pt idx="26">
                  <c:v>0.38480406108441384</c:v>
                </c:pt>
                <c:pt idx="27">
                  <c:v>0.36356161195132253</c:v>
                </c:pt>
                <c:pt idx="28">
                  <c:v>0.37696956180409036</c:v>
                </c:pt>
                <c:pt idx="29">
                  <c:v>0.36397224795176308</c:v>
                </c:pt>
                <c:pt idx="30">
                  <c:v>0.35695882718455502</c:v>
                </c:pt>
                <c:pt idx="31">
                  <c:v>0.35752953961724621</c:v>
                </c:pt>
                <c:pt idx="32">
                  <c:v>0.36385170815438128</c:v>
                </c:pt>
                <c:pt idx="33">
                  <c:v>0.36940201746707785</c:v>
                </c:pt>
                <c:pt idx="34">
                  <c:v>0.38383988122195895</c:v>
                </c:pt>
                <c:pt idx="35">
                  <c:v>0.42043447718786281</c:v>
                </c:pt>
                <c:pt idx="36">
                  <c:v>0.41874838122651326</c:v>
                </c:pt>
                <c:pt idx="37">
                  <c:v>0.41728603356618349</c:v>
                </c:pt>
                <c:pt idx="38">
                  <c:v>0.4257569512555851</c:v>
                </c:pt>
                <c:pt idx="39">
                  <c:v>0.42996115393125134</c:v>
                </c:pt>
                <c:pt idx="40">
                  <c:v>0.45794256810164968</c:v>
                </c:pt>
                <c:pt idx="41">
                  <c:v>0.46791290897751858</c:v>
                </c:pt>
                <c:pt idx="42">
                  <c:v>0.48666915817628126</c:v>
                </c:pt>
                <c:pt idx="43">
                  <c:v>0.51578898032646636</c:v>
                </c:pt>
                <c:pt idx="44">
                  <c:v>0.53951261341372447</c:v>
                </c:pt>
                <c:pt idx="45">
                  <c:v>0.54360356466534832</c:v>
                </c:pt>
                <c:pt idx="46">
                  <c:v>0.55513080384034574</c:v>
                </c:pt>
                <c:pt idx="47">
                  <c:v>0.60172625828199844</c:v>
                </c:pt>
                <c:pt idx="48">
                  <c:v>0.66376228390075087</c:v>
                </c:pt>
                <c:pt idx="49">
                  <c:v>0.65852558108529191</c:v>
                </c:pt>
                <c:pt idx="50">
                  <c:v>0.72422314082090966</c:v>
                </c:pt>
                <c:pt idx="51">
                  <c:v>0.83695051963881451</c:v>
                </c:pt>
                <c:pt idx="52">
                  <c:v>0.97015270659437824</c:v>
                </c:pt>
                <c:pt idx="53">
                  <c:v>0.71537164023247712</c:v>
                </c:pt>
                <c:pt idx="54">
                  <c:v>0.74403009469960535</c:v>
                </c:pt>
                <c:pt idx="55">
                  <c:v>0.7301537231656039</c:v>
                </c:pt>
                <c:pt idx="56">
                  <c:v>0.74801563239636037</c:v>
                </c:pt>
                <c:pt idx="57">
                  <c:v>0.7308734260359393</c:v>
                </c:pt>
                <c:pt idx="58">
                  <c:v>0.73841421674345542</c:v>
                </c:pt>
                <c:pt idx="59">
                  <c:v>0.99766661916049382</c:v>
                </c:pt>
                <c:pt idx="60">
                  <c:v>0.93227069420967357</c:v>
                </c:pt>
                <c:pt idx="61">
                  <c:v>0.90217906480898502</c:v>
                </c:pt>
                <c:pt idx="62">
                  <c:v>0.90465046249088965</c:v>
                </c:pt>
                <c:pt idx="63">
                  <c:v>0.99235448967583417</c:v>
                </c:pt>
                <c:pt idx="64">
                  <c:v>0.77231180883796613</c:v>
                </c:pt>
                <c:pt idx="65">
                  <c:v>0.74075692496827406</c:v>
                </c:pt>
                <c:pt idx="66">
                  <c:v>0.94898026767562382</c:v>
                </c:pt>
                <c:pt idx="67">
                  <c:v>0.84120014649230856</c:v>
                </c:pt>
                <c:pt idx="68">
                  <c:v>0.78892447456440506</c:v>
                </c:pt>
                <c:pt idx="69">
                  <c:v>0.72926445211302393</c:v>
                </c:pt>
                <c:pt idx="70">
                  <c:v>0.71545744053376636</c:v>
                </c:pt>
                <c:pt idx="71">
                  <c:v>0.61091011337776635</c:v>
                </c:pt>
                <c:pt idx="72">
                  <c:v>0.68293958160253121</c:v>
                </c:pt>
                <c:pt idx="73">
                  <c:v>0.71881422476411183</c:v>
                </c:pt>
                <c:pt idx="74">
                  <c:v>0.86666743713000483</c:v>
                </c:pt>
                <c:pt idx="75">
                  <c:v>0.88299400334428613</c:v>
                </c:pt>
                <c:pt idx="76">
                  <c:v>0.76586514180092558</c:v>
                </c:pt>
                <c:pt idx="77">
                  <c:v>0.94506685074387597</c:v>
                </c:pt>
                <c:pt idx="78">
                  <c:v>0.98874056583733938</c:v>
                </c:pt>
                <c:pt idx="79">
                  <c:v>0.96330326261124177</c:v>
                </c:pt>
                <c:pt idx="80">
                  <c:v>0.81644558935880951</c:v>
                </c:pt>
                <c:pt idx="81">
                  <c:v>0.77952262459371324</c:v>
                </c:pt>
                <c:pt idx="82">
                  <c:v>0.78085042032201035</c:v>
                </c:pt>
                <c:pt idx="83">
                  <c:v>0.7584688598879934</c:v>
                </c:pt>
                <c:pt idx="84">
                  <c:v>0.74989629755360576</c:v>
                </c:pt>
                <c:pt idx="85">
                  <c:v>0.75306095153870289</c:v>
                </c:pt>
                <c:pt idx="86">
                  <c:v>0.82825437630370202</c:v>
                </c:pt>
                <c:pt idx="87">
                  <c:v>0.84939024622546977</c:v>
                </c:pt>
                <c:pt idx="88">
                  <c:v>0.79363233339142991</c:v>
                </c:pt>
                <c:pt idx="89">
                  <c:v>0.96450979711620377</c:v>
                </c:pt>
                <c:pt idx="90">
                  <c:v>0.77639295658754559</c:v>
                </c:pt>
                <c:pt idx="91">
                  <c:v>0.80595478363179807</c:v>
                </c:pt>
                <c:pt idx="92">
                  <c:v>0.69185611067054376</c:v>
                </c:pt>
                <c:pt idx="93">
                  <c:v>0.86560013860324403</c:v>
                </c:pt>
                <c:pt idx="94">
                  <c:v>0.7636213939906592</c:v>
                </c:pt>
                <c:pt idx="95">
                  <c:v>0.72632262272086201</c:v>
                </c:pt>
                <c:pt idx="96">
                  <c:v>0.90372108788780481</c:v>
                </c:pt>
                <c:pt idx="97">
                  <c:v>0.51128007596920888</c:v>
                </c:pt>
                <c:pt idx="98">
                  <c:v>0.86171876926194568</c:v>
                </c:pt>
                <c:pt idx="99">
                  <c:v>0.88279705138838516</c:v>
                </c:pt>
                <c:pt idx="100">
                  <c:v>0.91650327816578347</c:v>
                </c:pt>
                <c:pt idx="101">
                  <c:v>0.54381197660891001</c:v>
                </c:pt>
                <c:pt idx="102">
                  <c:v>0.96512993019304383</c:v>
                </c:pt>
                <c:pt idx="103">
                  <c:v>0.55882481785916027</c:v>
                </c:pt>
                <c:pt idx="104">
                  <c:v>0.97793776924779241</c:v>
                </c:pt>
                <c:pt idx="105">
                  <c:v>0.91244426365074582</c:v>
                </c:pt>
                <c:pt idx="106">
                  <c:v>0.98511747052874621</c:v>
                </c:pt>
                <c:pt idx="107">
                  <c:v>0.90830005006617631</c:v>
                </c:pt>
                <c:pt idx="108">
                  <c:v>0.96594200983914946</c:v>
                </c:pt>
                <c:pt idx="109">
                  <c:v>0.96507705527223164</c:v>
                </c:pt>
                <c:pt idx="110">
                  <c:v>0.93854922321205947</c:v>
                </c:pt>
                <c:pt idx="111">
                  <c:v>0.80863481497052392</c:v>
                </c:pt>
                <c:pt idx="112">
                  <c:v>0.91900956882105111</c:v>
                </c:pt>
                <c:pt idx="113">
                  <c:v>0.83244404753404588</c:v>
                </c:pt>
                <c:pt idx="114">
                  <c:v>0.73145146625861968</c:v>
                </c:pt>
                <c:pt idx="115">
                  <c:v>0.72713383492705064</c:v>
                </c:pt>
                <c:pt idx="116">
                  <c:v>0.73722332832462711</c:v>
                </c:pt>
                <c:pt idx="117">
                  <c:v>0.72048721424333328</c:v>
                </c:pt>
                <c:pt idx="118">
                  <c:v>0.71602720744099935</c:v>
                </c:pt>
                <c:pt idx="119">
                  <c:v>0.76459760854721537</c:v>
                </c:pt>
                <c:pt idx="120">
                  <c:v>0.6728726107655647</c:v>
                </c:pt>
                <c:pt idx="121">
                  <c:v>0.63677887277892087</c:v>
                </c:pt>
                <c:pt idx="122">
                  <c:v>0.51049462502439136</c:v>
                </c:pt>
                <c:pt idx="123">
                  <c:v>0.45197095839120432</c:v>
                </c:pt>
                <c:pt idx="124">
                  <c:v>0.47202263779068471</c:v>
                </c:pt>
                <c:pt idx="125">
                  <c:v>0.84308074929134258</c:v>
                </c:pt>
                <c:pt idx="126">
                  <c:v>0.89911821026575156</c:v>
                </c:pt>
                <c:pt idx="127">
                  <c:v>0.81732924844526267</c:v>
                </c:pt>
                <c:pt idx="128">
                  <c:v>0.92626897710551004</c:v>
                </c:pt>
                <c:pt idx="129">
                  <c:v>0.80061941332559738</c:v>
                </c:pt>
                <c:pt idx="130">
                  <c:v>0.82653669421119935</c:v>
                </c:pt>
                <c:pt idx="131">
                  <c:v>0.75590661220481237</c:v>
                </c:pt>
                <c:pt idx="132">
                  <c:v>0.71895444124757724</c:v>
                </c:pt>
                <c:pt idx="133">
                  <c:v>0.70069378827007389</c:v>
                </c:pt>
                <c:pt idx="134">
                  <c:v>0.73753831462977626</c:v>
                </c:pt>
                <c:pt idx="135">
                  <c:v>0.76853563858650742</c:v>
                </c:pt>
                <c:pt idx="136">
                  <c:v>0.73836836138831008</c:v>
                </c:pt>
                <c:pt idx="137">
                  <c:v>0.71467973519416306</c:v>
                </c:pt>
                <c:pt idx="138">
                  <c:v>0.70289474324197354</c:v>
                </c:pt>
                <c:pt idx="139">
                  <c:v>0.70281721011730358</c:v>
                </c:pt>
                <c:pt idx="140">
                  <c:v>0.66120799717209766</c:v>
                </c:pt>
                <c:pt idx="141">
                  <c:v>0.65803477725539039</c:v>
                </c:pt>
                <c:pt idx="142">
                  <c:v>0.63278470623092653</c:v>
                </c:pt>
                <c:pt idx="143">
                  <c:v>0.6037498554281967</c:v>
                </c:pt>
                <c:pt idx="144">
                  <c:v>0.59343664375310756</c:v>
                </c:pt>
                <c:pt idx="145">
                  <c:v>0.62503099088254588</c:v>
                </c:pt>
                <c:pt idx="146">
                  <c:v>0.62269999715788205</c:v>
                </c:pt>
                <c:pt idx="147">
                  <c:v>0.60047972798516691</c:v>
                </c:pt>
                <c:pt idx="148">
                  <c:v>0.57439261856548696</c:v>
                </c:pt>
                <c:pt idx="149">
                  <c:v>0.5510343007219668</c:v>
                </c:pt>
                <c:pt idx="150">
                  <c:v>0.54899829463116434</c:v>
                </c:pt>
                <c:pt idx="151">
                  <c:v>0.54604181553064379</c:v>
                </c:pt>
                <c:pt idx="152">
                  <c:v>0.52350925189795461</c:v>
                </c:pt>
                <c:pt idx="153">
                  <c:v>0.50356509995387089</c:v>
                </c:pt>
                <c:pt idx="154">
                  <c:v>0.49049459350948726</c:v>
                </c:pt>
                <c:pt idx="155">
                  <c:v>0.50053061632925655</c:v>
                </c:pt>
                <c:pt idx="156">
                  <c:v>0.48364617485946637</c:v>
                </c:pt>
                <c:pt idx="157">
                  <c:v>0.48070154545338406</c:v>
                </c:pt>
                <c:pt idx="158">
                  <c:v>0.46008523575192256</c:v>
                </c:pt>
                <c:pt idx="159">
                  <c:v>0.48169626832283274</c:v>
                </c:pt>
                <c:pt idx="160">
                  <c:v>0.41383101164684916</c:v>
                </c:pt>
                <c:pt idx="161">
                  <c:v>0.40490452503942714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365704"/>
        <c:axId val="377798688"/>
      </c:scatterChart>
      <c:valAx>
        <c:axId val="479365704"/>
        <c:scaling>
          <c:orientation val="minMax"/>
          <c:max val="2015"/>
          <c:min val="18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77798688"/>
        <c:crosses val="autoZero"/>
        <c:crossBetween val="midCat"/>
      </c:valAx>
      <c:valAx>
        <c:axId val="377798688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f</a:t>
                </a:r>
              </a:p>
            </c:rich>
          </c:tx>
          <c:layout>
            <c:manualLayout>
              <c:xMode val="edge"/>
              <c:yMode val="edge"/>
              <c:x val="2.1254593175853018E-2"/>
              <c:y val="0.3952042782401946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79365704"/>
        <c:crosses val="autoZero"/>
        <c:crossBetween val="midCat"/>
      </c:valAx>
      <c:spPr>
        <a:gradFill flip="none" rotWithShape="1">
          <a:gsLst>
            <a:gs pos="0">
              <a:srgbClr val="FFF200"/>
            </a:gs>
            <a:gs pos="39000">
              <a:srgbClr val="FF7A00"/>
            </a:gs>
            <a:gs pos="70000">
              <a:srgbClr val="FF0300"/>
            </a:gs>
            <a:gs pos="100000">
              <a:srgbClr val="4D0808"/>
            </a:gs>
          </a:gsLst>
          <a:lin ang="16200000" scaled="0"/>
          <a:tileRect/>
        </a:gradFill>
        <a:ln w="25400">
          <a:noFill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27279021099258949"/>
          <c:y val="0.6611363100570512"/>
          <c:w val="0.26524773176554184"/>
          <c:h val="8.1691944195598318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70220673163471E-2"/>
          <c:y val="3.9874372058246302E-2"/>
          <c:w val="0.87777496620443063"/>
          <c:h val="0.78036659016174625"/>
        </c:manualLayout>
      </c:layout>
      <c:scatterChart>
        <c:scatterStyle val="lineMarker"/>
        <c:varyColors val="0"/>
        <c:ser>
          <c:idx val="2"/>
          <c:order val="0"/>
          <c:tx>
            <c:strRef>
              <c:f>triple!$Z$9</c:f>
              <c:strCache>
                <c:ptCount val="1"/>
                <c:pt idx="0">
                  <c:v>Equivalent global temperature anomaly if ocean heat uptake treated as an effective temperature </c:v>
                </c:pt>
              </c:strCache>
            </c:strRef>
          </c:tx>
          <c:marker>
            <c:symbol val="none"/>
          </c:marker>
          <c:xVal>
            <c:numRef>
              <c:f>triple!$A$10:$A$171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triple!$Z$10:$Z$171</c:f>
              <c:numCache>
                <c:formatCode>General</c:formatCode>
                <c:ptCount val="162"/>
                <c:pt idx="0">
                  <c:v>-0.14429398145680278</c:v>
                </c:pt>
                <c:pt idx="1">
                  <c:v>-0.20272440373140019</c:v>
                </c:pt>
                <c:pt idx="2">
                  <c:v>-0.27296848062103191</c:v>
                </c:pt>
                <c:pt idx="3">
                  <c:v>-0.36029890441773477</c:v>
                </c:pt>
                <c:pt idx="4">
                  <c:v>-0.379112048465299</c:v>
                </c:pt>
                <c:pt idx="5">
                  <c:v>-0.43580712947883404</c:v>
                </c:pt>
                <c:pt idx="6">
                  <c:v>-0.49128867824582234</c:v>
                </c:pt>
                <c:pt idx="7">
                  <c:v>-0.51867293058807007</c:v>
                </c:pt>
                <c:pt idx="8">
                  <c:v>-0.53374301765663579</c:v>
                </c:pt>
                <c:pt idx="9">
                  <c:v>-0.54397490042002306</c:v>
                </c:pt>
                <c:pt idx="10">
                  <c:v>-0.57640857155544889</c:v>
                </c:pt>
                <c:pt idx="11">
                  <c:v>-0.57661868547420592</c:v>
                </c:pt>
                <c:pt idx="12">
                  <c:v>-0.59912904659297272</c:v>
                </c:pt>
                <c:pt idx="13">
                  <c:v>-0.58816995782332016</c:v>
                </c:pt>
                <c:pt idx="14">
                  <c:v>-0.55854656526400981</c:v>
                </c:pt>
                <c:pt idx="15">
                  <c:v>-0.56422334788471984</c:v>
                </c:pt>
                <c:pt idx="16">
                  <c:v>-0.57705069560073152</c:v>
                </c:pt>
                <c:pt idx="17">
                  <c:v>-0.5702797804390457</c:v>
                </c:pt>
                <c:pt idx="18">
                  <c:v>-0.55907451200792846</c:v>
                </c:pt>
                <c:pt idx="19">
                  <c:v>-0.52841418122441353</c:v>
                </c:pt>
                <c:pt idx="20">
                  <c:v>-0.45573733338464562</c:v>
                </c:pt>
                <c:pt idx="21">
                  <c:v>-0.43715133227678998</c:v>
                </c:pt>
                <c:pt idx="22">
                  <c:v>-0.44048428065716166</c:v>
                </c:pt>
                <c:pt idx="23">
                  <c:v>-0.42499451836653207</c:v>
                </c:pt>
                <c:pt idx="24">
                  <c:v>-0.46241477225823696</c:v>
                </c:pt>
                <c:pt idx="25">
                  <c:v>-0.47398697697552011</c:v>
                </c:pt>
                <c:pt idx="26">
                  <c:v>-0.45247144825412605</c:v>
                </c:pt>
                <c:pt idx="27">
                  <c:v>-0.46625048508170436</c:v>
                </c:pt>
                <c:pt idx="28">
                  <c:v>-0.48125259144754989</c:v>
                </c:pt>
                <c:pt idx="29">
                  <c:v>-0.491673207718898</c:v>
                </c:pt>
                <c:pt idx="30">
                  <c:v>-0.46344714545784749</c:v>
                </c:pt>
                <c:pt idx="31">
                  <c:v>-0.42247694400957586</c:v>
                </c:pt>
                <c:pt idx="32">
                  <c:v>-0.42695356031579579</c:v>
                </c:pt>
                <c:pt idx="33">
                  <c:v>-0.45635219780386171</c:v>
                </c:pt>
                <c:pt idx="34">
                  <c:v>-0.50206682333242836</c:v>
                </c:pt>
                <c:pt idx="35">
                  <c:v>-0.53735028253674022</c:v>
                </c:pt>
                <c:pt idx="36">
                  <c:v>-0.57420876608708415</c:v>
                </c:pt>
                <c:pt idx="37">
                  <c:v>-0.55858984189480287</c:v>
                </c:pt>
                <c:pt idx="38">
                  <c:v>-0.56024417819199201</c:v>
                </c:pt>
                <c:pt idx="39">
                  <c:v>-0.52847184919336021</c:v>
                </c:pt>
                <c:pt idx="40">
                  <c:v>-0.52234179918816082</c:v>
                </c:pt>
                <c:pt idx="41">
                  <c:v>-0.50878290506811163</c:v>
                </c:pt>
                <c:pt idx="42">
                  <c:v>-0.48961851307611481</c:v>
                </c:pt>
                <c:pt idx="43">
                  <c:v>-0.49149314373755837</c:v>
                </c:pt>
                <c:pt idx="44">
                  <c:v>-0.49604096255160524</c:v>
                </c:pt>
                <c:pt idx="45">
                  <c:v>-0.50592850747678297</c:v>
                </c:pt>
                <c:pt idx="46">
                  <c:v>-0.52596614791452967</c:v>
                </c:pt>
                <c:pt idx="47">
                  <c:v>-0.53920421312234079</c:v>
                </c:pt>
                <c:pt idx="48">
                  <c:v>-0.51010764128323183</c:v>
                </c:pt>
                <c:pt idx="49">
                  <c:v>-0.49502513292813255</c:v>
                </c:pt>
                <c:pt idx="50">
                  <c:v>-0.49250518873923338</c:v>
                </c:pt>
                <c:pt idx="51">
                  <c:v>-0.5013085290896826</c:v>
                </c:pt>
                <c:pt idx="52">
                  <c:v>-0.54684823491304579</c:v>
                </c:pt>
                <c:pt idx="53">
                  <c:v>-0.58749515697332866</c:v>
                </c:pt>
                <c:pt idx="54">
                  <c:v>-0.57142269921127009</c:v>
                </c:pt>
                <c:pt idx="55">
                  <c:v>-0.5786678379956246</c:v>
                </c:pt>
                <c:pt idx="56">
                  <c:v>-0.58086294149724371</c:v>
                </c:pt>
                <c:pt idx="57">
                  <c:v>-0.56793240889823826</c:v>
                </c:pt>
                <c:pt idx="58">
                  <c:v>-0.56011081552165809</c:v>
                </c:pt>
                <c:pt idx="59">
                  <c:v>-0.56558051470994586</c:v>
                </c:pt>
                <c:pt idx="60">
                  <c:v>-0.54597437852051134</c:v>
                </c:pt>
                <c:pt idx="61">
                  <c:v>-0.55321884178710667</c:v>
                </c:pt>
                <c:pt idx="62">
                  <c:v>-0.55585219035816524</c:v>
                </c:pt>
                <c:pt idx="63">
                  <c:v>-0.50427099939113385</c:v>
                </c:pt>
                <c:pt idx="64">
                  <c:v>-0.47286793585058823</c:v>
                </c:pt>
                <c:pt idx="65">
                  <c:v>-0.4585117270505199</c:v>
                </c:pt>
                <c:pt idx="66">
                  <c:v>-0.44004354009438013</c:v>
                </c:pt>
                <c:pt idx="67">
                  <c:v>-0.41416740221449722</c:v>
                </c:pt>
                <c:pt idx="68">
                  <c:v>-0.38740433321321144</c:v>
                </c:pt>
                <c:pt idx="69">
                  <c:v>-0.35261532590847711</c:v>
                </c:pt>
                <c:pt idx="70">
                  <c:v>-0.34825815129871662</c:v>
                </c:pt>
                <c:pt idx="71">
                  <c:v>-0.36334962221671474</c:v>
                </c:pt>
                <c:pt idx="72">
                  <c:v>-0.34243308655997695</c:v>
                </c:pt>
                <c:pt idx="73">
                  <c:v>-0.31678248710733214</c:v>
                </c:pt>
                <c:pt idx="74">
                  <c:v>-0.28641113711390831</c:v>
                </c:pt>
                <c:pt idx="75">
                  <c:v>-0.27950871091140461</c:v>
                </c:pt>
                <c:pt idx="76">
                  <c:v>-0.25484960995147493</c:v>
                </c:pt>
                <c:pt idx="77">
                  <c:v>-0.2722268574415968</c:v>
                </c:pt>
                <c:pt idx="78">
                  <c:v>-0.25921067280016857</c:v>
                </c:pt>
                <c:pt idx="79">
                  <c:v>-0.22774725466434606</c:v>
                </c:pt>
                <c:pt idx="80">
                  <c:v>-0.19103141044504027</c:v>
                </c:pt>
                <c:pt idx="81">
                  <c:v>-0.18451945792151003</c:v>
                </c:pt>
                <c:pt idx="82">
                  <c:v>-0.17018535022529568</c:v>
                </c:pt>
                <c:pt idx="83">
                  <c:v>-0.15099376434293471</c:v>
                </c:pt>
                <c:pt idx="84">
                  <c:v>-0.14317550548548211</c:v>
                </c:pt>
                <c:pt idx="85">
                  <c:v>-0.10955227129659566</c:v>
                </c:pt>
                <c:pt idx="86">
                  <c:v>-8.0214105173540509E-2</c:v>
                </c:pt>
                <c:pt idx="87">
                  <c:v>-7.00560909390604E-2</c:v>
                </c:pt>
                <c:pt idx="88">
                  <c:v>-6.2454293866336705E-2</c:v>
                </c:pt>
                <c:pt idx="89">
                  <c:v>-3.8108446854473954E-2</c:v>
                </c:pt>
                <c:pt idx="90">
                  <c:v>-2.7310552264216074E-2</c:v>
                </c:pt>
                <c:pt idx="91">
                  <c:v>-2.9893610149519349E-2</c:v>
                </c:pt>
                <c:pt idx="92">
                  <c:v>-2.3024039086690342E-2</c:v>
                </c:pt>
                <c:pt idx="93">
                  <c:v>-1.3038849525561984E-2</c:v>
                </c:pt>
                <c:pt idx="94">
                  <c:v>-3.6599009805682713E-3</c:v>
                </c:pt>
                <c:pt idx="95">
                  <c:v>1.1379102570078316E-2</c:v>
                </c:pt>
                <c:pt idx="96">
                  <c:v>3.5482153396608467E-3</c:v>
                </c:pt>
                <c:pt idx="97">
                  <c:v>-1.0015268063983757E-2</c:v>
                </c:pt>
                <c:pt idx="98">
                  <c:v>-4.318908491247779E-2</c:v>
                </c:pt>
                <c:pt idx="99">
                  <c:v>-4.8151197753010924E-2</c:v>
                </c:pt>
                <c:pt idx="100">
                  <c:v>-5.8999533362008978E-2</c:v>
                </c:pt>
                <c:pt idx="101">
                  <c:v>-4.2495346994222957E-2</c:v>
                </c:pt>
                <c:pt idx="102">
                  <c:v>-3.555013881358008E-2</c:v>
                </c:pt>
                <c:pt idx="103">
                  <c:v>-2.0818898990149673E-2</c:v>
                </c:pt>
                <c:pt idx="104">
                  <c:v>-4.037306214649463E-2</c:v>
                </c:pt>
                <c:pt idx="105">
                  <c:v>-3.3710811571773518E-2</c:v>
                </c:pt>
                <c:pt idx="106">
                  <c:v>-3.4685725316772567E-2</c:v>
                </c:pt>
                <c:pt idx="107">
                  <c:v>-4.1083825219148475E-2</c:v>
                </c:pt>
                <c:pt idx="108">
                  <c:v>-5.6998528558232342E-2</c:v>
                </c:pt>
                <c:pt idx="109">
                  <c:v>-6.9952647907757459E-2</c:v>
                </c:pt>
                <c:pt idx="110">
                  <c:v>-7.1719999532327813E-2</c:v>
                </c:pt>
                <c:pt idx="111">
                  <c:v>-2.4805683363615272E-2</c:v>
                </c:pt>
                <c:pt idx="112">
                  <c:v>-9.1852539748546094E-3</c:v>
                </c:pt>
                <c:pt idx="113">
                  <c:v>-4.1989436289565474E-2</c:v>
                </c:pt>
                <c:pt idx="114">
                  <c:v>-5.1443575470918837E-2</c:v>
                </c:pt>
                <c:pt idx="115">
                  <c:v>-4.8530593259933058E-2</c:v>
                </c:pt>
                <c:pt idx="116">
                  <c:v>-8.1491735200606402E-2</c:v>
                </c:pt>
                <c:pt idx="117">
                  <c:v>-9.4938808132382896E-2</c:v>
                </c:pt>
                <c:pt idx="118">
                  <c:v>-0.10129124202960998</c:v>
                </c:pt>
                <c:pt idx="119">
                  <c:v>-0.1195895162148787</c:v>
                </c:pt>
                <c:pt idx="120">
                  <c:v>-0.11637529410580669</c:v>
                </c:pt>
                <c:pt idx="121">
                  <c:v>-7.2774328572052238E-2</c:v>
                </c:pt>
                <c:pt idx="122">
                  <c:v>-6.4792067828576799E-2</c:v>
                </c:pt>
                <c:pt idx="123">
                  <c:v>-4.3259894218812892E-2</c:v>
                </c:pt>
                <c:pt idx="124">
                  <c:v>-5.8146003137804582E-2</c:v>
                </c:pt>
                <c:pt idx="125">
                  <c:v>-3.9185726097550076E-2</c:v>
                </c:pt>
                <c:pt idx="126">
                  <c:v>-5.1203135605148456E-2</c:v>
                </c:pt>
                <c:pt idx="127">
                  <c:v>-3.6552081065579022E-2</c:v>
                </c:pt>
                <c:pt idx="128">
                  <c:v>-3.1975423148207859E-2</c:v>
                </c:pt>
                <c:pt idx="129">
                  <c:v>-1.0475503288251743E-2</c:v>
                </c:pt>
                <c:pt idx="130">
                  <c:v>1.0378405698733089E-2</c:v>
                </c:pt>
                <c:pt idx="131">
                  <c:v>5.8050959718968079E-2</c:v>
                </c:pt>
                <c:pt idx="132">
                  <c:v>0.11107280577220027</c:v>
                </c:pt>
                <c:pt idx="133">
                  <c:v>0.12686236578539295</c:v>
                </c:pt>
                <c:pt idx="134">
                  <c:v>0.12688764072635564</c:v>
                </c:pt>
                <c:pt idx="135">
                  <c:v>0.13423456220474903</c:v>
                </c:pt>
                <c:pt idx="136">
                  <c:v>0.15328915616728919</c:v>
                </c:pt>
                <c:pt idx="137">
                  <c:v>0.1570882978620467</c:v>
                </c:pt>
                <c:pt idx="138">
                  <c:v>0.17780411165172211</c:v>
                </c:pt>
                <c:pt idx="139">
                  <c:v>0.21390336948746091</c:v>
                </c:pt>
                <c:pt idx="140">
                  <c:v>0.26842828138279279</c:v>
                </c:pt>
                <c:pt idx="141">
                  <c:v>0.29610568425655831</c:v>
                </c:pt>
                <c:pt idx="142">
                  <c:v>0.31655670746180975</c:v>
                </c:pt>
                <c:pt idx="143">
                  <c:v>0.35636524025104821</c:v>
                </c:pt>
                <c:pt idx="144">
                  <c:v>0.36808799407258469</c:v>
                </c:pt>
                <c:pt idx="145">
                  <c:v>0.39536832228697333</c:v>
                </c:pt>
                <c:pt idx="146">
                  <c:v>0.44243633680656269</c:v>
                </c:pt>
                <c:pt idx="147">
                  <c:v>0.47618308539596022</c:v>
                </c:pt>
                <c:pt idx="148">
                  <c:v>0.50656209842114519</c:v>
                </c:pt>
                <c:pt idx="149">
                  <c:v>0.5394456279513109</c:v>
                </c:pt>
                <c:pt idx="150">
                  <c:v>0.56082677030173</c:v>
                </c:pt>
                <c:pt idx="151">
                  <c:v>0.5957631562901069</c:v>
                </c:pt>
                <c:pt idx="152">
                  <c:v>0.63574338366859295</c:v>
                </c:pt>
                <c:pt idx="153">
                  <c:v>0.64871380822457803</c:v>
                </c:pt>
                <c:pt idx="154">
                  <c:v>0.6534103009618808</c:v>
                </c:pt>
                <c:pt idx="155">
                  <c:v>0.63874179214599436</c:v>
                </c:pt>
                <c:pt idx="156">
                  <c:v>0.64902749745412058</c:v>
                </c:pt>
                <c:pt idx="157">
                  <c:v>0.62905740189446391</c:v>
                </c:pt>
                <c:pt idx="158">
                  <c:v>0.6366343080639536</c:v>
                </c:pt>
                <c:pt idx="159">
                  <c:v>0.58910198038480288</c:v>
                </c:pt>
                <c:pt idx="160">
                  <c:v>0.77890883138186129</c:v>
                </c:pt>
                <c:pt idx="161">
                  <c:v>0.79047486248657695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triple!$AA$9</c:f>
              <c:strCache>
                <c:ptCount val="1"/>
                <c:pt idx="0">
                  <c:v>ECS 3C CO2 model</c:v>
                </c:pt>
              </c:strCache>
            </c:strRef>
          </c:tx>
          <c:marker>
            <c:symbol val="none"/>
          </c:marker>
          <c:xVal>
            <c:numRef>
              <c:f>triple!$A$10:$A$171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triple!$AA$10:$AA$171</c:f>
              <c:numCache>
                <c:formatCode>General</c:formatCode>
                <c:ptCount val="162"/>
                <c:pt idx="0">
                  <c:v>-0.50603151698803661</c:v>
                </c:pt>
                <c:pt idx="1">
                  <c:v>-0.51593497734755367</c:v>
                </c:pt>
                <c:pt idx="2">
                  <c:v>-0.52774993066807852</c:v>
                </c:pt>
                <c:pt idx="3">
                  <c:v>-0.49461735296234444</c:v>
                </c:pt>
                <c:pt idx="4">
                  <c:v>-0.49258198593832392</c:v>
                </c:pt>
                <c:pt idx="5">
                  <c:v>-0.53337075727969319</c:v>
                </c:pt>
                <c:pt idx="6">
                  <c:v>-0.55175893586952685</c:v>
                </c:pt>
                <c:pt idx="7">
                  <c:v>-0.5069596849046244</c:v>
                </c:pt>
                <c:pt idx="8">
                  <c:v>-0.50055668720888791</c:v>
                </c:pt>
                <c:pt idx="9">
                  <c:v>-0.56295223459329902</c:v>
                </c:pt>
                <c:pt idx="10">
                  <c:v>-0.54326489648126097</c:v>
                </c:pt>
                <c:pt idx="11">
                  <c:v>-0.59404690608130206</c:v>
                </c:pt>
                <c:pt idx="12">
                  <c:v>-0.49633715288056862</c:v>
                </c:pt>
                <c:pt idx="13">
                  <c:v>-0.52905049571307772</c:v>
                </c:pt>
                <c:pt idx="14">
                  <c:v>-0.50239393801633614</c:v>
                </c:pt>
                <c:pt idx="15">
                  <c:v>-0.49607541316655412</c:v>
                </c:pt>
                <c:pt idx="16">
                  <c:v>-0.47849527426009369</c:v>
                </c:pt>
                <c:pt idx="17">
                  <c:v>-0.49927560860419673</c:v>
                </c:pt>
                <c:pt idx="18">
                  <c:v>-0.47431898675828033</c:v>
                </c:pt>
                <c:pt idx="19">
                  <c:v>-0.50714168130126092</c:v>
                </c:pt>
                <c:pt idx="20">
                  <c:v>-0.52176478581286967</c:v>
                </c:pt>
                <c:pt idx="21">
                  <c:v>-0.51215727693299262</c:v>
                </c:pt>
                <c:pt idx="22">
                  <c:v>-0.49018587205016706</c:v>
                </c:pt>
                <c:pt idx="23">
                  <c:v>-0.47446126685880941</c:v>
                </c:pt>
                <c:pt idx="24">
                  <c:v>-0.5361879657191988</c:v>
                </c:pt>
                <c:pt idx="25">
                  <c:v>-0.52342392452086639</c:v>
                </c:pt>
                <c:pt idx="26">
                  <c:v>-0.47260505986157941</c:v>
                </c:pt>
                <c:pt idx="27">
                  <c:v>-0.43533151596495429</c:v>
                </c:pt>
                <c:pt idx="28">
                  <c:v>-0.50159440613136363</c:v>
                </c:pt>
                <c:pt idx="29">
                  <c:v>-0.5102140098701462</c:v>
                </c:pt>
                <c:pt idx="30">
                  <c:v>-0.48835223447172221</c:v>
                </c:pt>
                <c:pt idx="31">
                  <c:v>-0.50130969339069964</c:v>
                </c:pt>
                <c:pt idx="32">
                  <c:v>-0.50992971578031143</c:v>
                </c:pt>
                <c:pt idx="33">
                  <c:v>-0.53385403646122231</c:v>
                </c:pt>
                <c:pt idx="34">
                  <c:v>-0.50964544652168198</c:v>
                </c:pt>
                <c:pt idx="35">
                  <c:v>-0.50614904156815355</c:v>
                </c:pt>
                <c:pt idx="36">
                  <c:v>-0.51396893898336671</c:v>
                </c:pt>
                <c:pt idx="37">
                  <c:v>-0.4885480321756957</c:v>
                </c:pt>
                <c:pt idx="38">
                  <c:v>-0.46115586385744811</c:v>
                </c:pt>
                <c:pt idx="39">
                  <c:v>-0.50188845063215926</c:v>
                </c:pt>
                <c:pt idx="40">
                  <c:v>-0.49500258932118113</c:v>
                </c:pt>
                <c:pt idx="41">
                  <c:v>-0.49085517514769722</c:v>
                </c:pt>
                <c:pt idx="42">
                  <c:v>-0.49769927046276646</c:v>
                </c:pt>
                <c:pt idx="43">
                  <c:v>-0.4722884710656467</c:v>
                </c:pt>
                <c:pt idx="44">
                  <c:v>-0.47917099042215078</c:v>
                </c:pt>
                <c:pt idx="45">
                  <c:v>-0.4666331133130181</c:v>
                </c:pt>
                <c:pt idx="46">
                  <c:v>-0.45518552790300681</c:v>
                </c:pt>
                <c:pt idx="47">
                  <c:v>-0.46477888798045841</c:v>
                </c:pt>
                <c:pt idx="48">
                  <c:v>-0.43986780948475918</c:v>
                </c:pt>
                <c:pt idx="49">
                  <c:v>-0.43117006766656163</c:v>
                </c:pt>
                <c:pt idx="50">
                  <c:v>-0.42573480345990011</c:v>
                </c:pt>
                <c:pt idx="51">
                  <c:v>-0.45710331375414293</c:v>
                </c:pt>
                <c:pt idx="52">
                  <c:v>-0.45751193464917611</c:v>
                </c:pt>
                <c:pt idx="53">
                  <c:v>-0.46993131085770712</c:v>
                </c:pt>
                <c:pt idx="54">
                  <c:v>-0.4520729798002065</c:v>
                </c:pt>
                <c:pt idx="55">
                  <c:v>-0.42499040391667198</c:v>
                </c:pt>
                <c:pt idx="56">
                  <c:v>-0.48498925699964968</c:v>
                </c:pt>
                <c:pt idx="57">
                  <c:v>-0.45071891850561802</c:v>
                </c:pt>
                <c:pt idx="58">
                  <c:v>-0.44870423337490878</c:v>
                </c:pt>
                <c:pt idx="59">
                  <c:v>-0.4451243074797967</c:v>
                </c:pt>
                <c:pt idx="60">
                  <c:v>-0.4494442018028279</c:v>
                </c:pt>
                <c:pt idx="61">
                  <c:v>-0.44402224431812609</c:v>
                </c:pt>
                <c:pt idx="62">
                  <c:v>-0.42296912024122318</c:v>
                </c:pt>
                <c:pt idx="63">
                  <c:v>-0.38251718091815601</c:v>
                </c:pt>
                <c:pt idx="64">
                  <c:v>-0.38183748254445898</c:v>
                </c:pt>
                <c:pt idx="65">
                  <c:v>-0.4239697589021883</c:v>
                </c:pt>
                <c:pt idx="66">
                  <c:v>-0.44655965594904939</c:v>
                </c:pt>
                <c:pt idx="67">
                  <c:v>-0.43139886398325367</c:v>
                </c:pt>
                <c:pt idx="68">
                  <c:v>-0.40602768060956018</c:v>
                </c:pt>
                <c:pt idx="69">
                  <c:v>-0.395272480467382</c:v>
                </c:pt>
                <c:pt idx="70">
                  <c:v>-0.362301058478111</c:v>
                </c:pt>
                <c:pt idx="71">
                  <c:v>-0.38666402567547498</c:v>
                </c:pt>
                <c:pt idx="72">
                  <c:v>-0.37958910533968299</c:v>
                </c:pt>
                <c:pt idx="73">
                  <c:v>-0.362682722991159</c:v>
                </c:pt>
                <c:pt idx="74">
                  <c:v>-0.36363192000760802</c:v>
                </c:pt>
                <c:pt idx="75">
                  <c:v>-0.33866225393340099</c:v>
                </c:pt>
                <c:pt idx="76">
                  <c:v>-0.36010301065150296</c:v>
                </c:pt>
                <c:pt idx="77">
                  <c:v>-0.33687051143817304</c:v>
                </c:pt>
                <c:pt idx="78">
                  <c:v>-0.38741846307038297</c:v>
                </c:pt>
                <c:pt idx="79">
                  <c:v>-0.33389391199138596</c:v>
                </c:pt>
                <c:pt idx="80">
                  <c:v>-0.32313941341074603</c:v>
                </c:pt>
                <c:pt idx="81">
                  <c:v>-0.32041504838235702</c:v>
                </c:pt>
                <c:pt idx="82">
                  <c:v>-0.36837399607061699</c:v>
                </c:pt>
                <c:pt idx="83">
                  <c:v>-0.32221763942225301</c:v>
                </c:pt>
                <c:pt idx="84">
                  <c:v>-0.33512976250100801</c:v>
                </c:pt>
                <c:pt idx="85">
                  <c:v>-0.33106488135991796</c:v>
                </c:pt>
                <c:pt idx="86">
                  <c:v>-0.30874775540356403</c:v>
                </c:pt>
                <c:pt idx="87">
                  <c:v>-0.277537826971608</c:v>
                </c:pt>
                <c:pt idx="88">
                  <c:v>-0.28907925762875497</c:v>
                </c:pt>
                <c:pt idx="89">
                  <c:v>-0.28557064335307403</c:v>
                </c:pt>
                <c:pt idx="90">
                  <c:v>-0.290868642848229</c:v>
                </c:pt>
                <c:pt idx="91">
                  <c:v>-0.28677343872864602</c:v>
                </c:pt>
                <c:pt idx="92">
                  <c:v>-0.27260411364773901</c:v>
                </c:pt>
                <c:pt idx="93">
                  <c:v>-0.25629011927150203</c:v>
                </c:pt>
                <c:pt idx="94">
                  <c:v>-0.29043820532974196</c:v>
                </c:pt>
                <c:pt idx="95">
                  <c:v>-0.27877164456166703</c:v>
                </c:pt>
                <c:pt idx="96">
                  <c:v>-0.25626860749149999</c:v>
                </c:pt>
                <c:pt idx="97">
                  <c:v>-0.25919023196313501</c:v>
                </c:pt>
                <c:pt idx="98">
                  <c:v>-0.27318015730463596</c:v>
                </c:pt>
                <c:pt idx="99">
                  <c:v>-0.29590290166177102</c:v>
                </c:pt>
                <c:pt idx="100">
                  <c:v>-0.25676155611001</c:v>
                </c:pt>
                <c:pt idx="101">
                  <c:v>-0.250575422506566</c:v>
                </c:pt>
                <c:pt idx="102">
                  <c:v>-0.21243072146800501</c:v>
                </c:pt>
                <c:pt idx="103">
                  <c:v>-0.24797719395909501</c:v>
                </c:pt>
                <c:pt idx="104">
                  <c:v>-0.23089254542153298</c:v>
                </c:pt>
                <c:pt idx="105">
                  <c:v>-0.27004392174505099</c:v>
                </c:pt>
                <c:pt idx="106">
                  <c:v>-0.20729024415282199</c:v>
                </c:pt>
                <c:pt idx="107">
                  <c:v>-0.19634656888110802</c:v>
                </c:pt>
                <c:pt idx="108">
                  <c:v>-0.18371469156629799</c:v>
                </c:pt>
                <c:pt idx="109">
                  <c:v>-0.20211075387052302</c:v>
                </c:pt>
                <c:pt idx="110">
                  <c:v>-0.15616340507113102</c:v>
                </c:pt>
                <c:pt idx="111">
                  <c:v>-0.168833856052097</c:v>
                </c:pt>
                <c:pt idx="112">
                  <c:v>-0.13247393411721398</c:v>
                </c:pt>
                <c:pt idx="113">
                  <c:v>-0.18478657518355002</c:v>
                </c:pt>
                <c:pt idx="114">
                  <c:v>-0.15011188578410101</c:v>
                </c:pt>
                <c:pt idx="115">
                  <c:v>-0.13148478978093597</c:v>
                </c:pt>
                <c:pt idx="116">
                  <c:v>-0.10405663048996799</c:v>
                </c:pt>
                <c:pt idx="117">
                  <c:v>-0.11740308429359197</c:v>
                </c:pt>
                <c:pt idx="118">
                  <c:v>-9.6711278899433983E-2</c:v>
                </c:pt>
                <c:pt idx="119">
                  <c:v>-6.5932586912830993E-2</c:v>
                </c:pt>
                <c:pt idx="120">
                  <c:v>-6.4472826067501987E-2</c:v>
                </c:pt>
                <c:pt idx="121">
                  <c:v>-6.0197291891745996E-2</c:v>
                </c:pt>
                <c:pt idx="122">
                  <c:v>1.7840579678051971E-2</c:v>
                </c:pt>
                <c:pt idx="123">
                  <c:v>-2.7159713015963982E-2</c:v>
                </c:pt>
                <c:pt idx="124">
                  <c:v>2.2789824078841003E-2</c:v>
                </c:pt>
                <c:pt idx="125">
                  <c:v>-5.0467372764099738E-3</c:v>
                </c:pt>
                <c:pt idx="126">
                  <c:v>6.8620632446191987E-2</c:v>
                </c:pt>
                <c:pt idx="127">
                  <c:v>6.547330568617904E-2</c:v>
                </c:pt>
                <c:pt idx="128">
                  <c:v>7.4038083215329009E-2</c:v>
                </c:pt>
                <c:pt idx="129">
                  <c:v>0.13897487637411798</c:v>
                </c:pt>
                <c:pt idx="130">
                  <c:v>0.16978943079805198</c:v>
                </c:pt>
                <c:pt idx="131">
                  <c:v>0.124775057019747</c:v>
                </c:pt>
                <c:pt idx="132">
                  <c:v>0.18317437869775899</c:v>
                </c:pt>
                <c:pt idx="133">
                  <c:v>0.16544867621009096</c:v>
                </c:pt>
                <c:pt idx="134">
                  <c:v>0.172984077670994</c:v>
                </c:pt>
                <c:pt idx="135">
                  <c:v>0.21123929043022005</c:v>
                </c:pt>
                <c:pt idx="136">
                  <c:v>0.24425030625556499</c:v>
                </c:pt>
                <c:pt idx="137">
                  <c:v>0.29018731742680604</c:v>
                </c:pt>
                <c:pt idx="138">
                  <c:v>0.28009276132059502</c:v>
                </c:pt>
                <c:pt idx="139">
                  <c:v>0.32790104429118905</c:v>
                </c:pt>
                <c:pt idx="140">
                  <c:v>0.34222175090468099</c:v>
                </c:pt>
                <c:pt idx="141">
                  <c:v>0.31538855437126101</c:v>
                </c:pt>
                <c:pt idx="142">
                  <c:v>0.33645206007288597</c:v>
                </c:pt>
                <c:pt idx="143">
                  <c:v>0.37580857910444398</c:v>
                </c:pt>
                <c:pt idx="144">
                  <c:v>0.42840649273982201</c:v>
                </c:pt>
                <c:pt idx="145">
                  <c:v>0.41509594721117304</c:v>
                </c:pt>
                <c:pt idx="146">
                  <c:v>0.44321353188775903</c:v>
                </c:pt>
                <c:pt idx="147">
                  <c:v>0.49555536365403996</c:v>
                </c:pt>
                <c:pt idx="148">
                  <c:v>0.48608408586000196</c:v>
                </c:pt>
                <c:pt idx="149">
                  <c:v>0.49724644729627698</c:v>
                </c:pt>
                <c:pt idx="150">
                  <c:v>0.53779946244363996</c:v>
                </c:pt>
                <c:pt idx="151">
                  <c:v>0.57343852123087991</c:v>
                </c:pt>
                <c:pt idx="152">
                  <c:v>0.58561649761847989</c:v>
                </c:pt>
                <c:pt idx="153">
                  <c:v>0.58190207127636007</c:v>
                </c:pt>
                <c:pt idx="154">
                  <c:v>0.64931345678763996</c:v>
                </c:pt>
                <c:pt idx="155">
                  <c:v>0.65564387961774995</c:v>
                </c:pt>
                <c:pt idx="156">
                  <c:v>0.70513621271864002</c:v>
                </c:pt>
                <c:pt idx="157">
                  <c:v>0.69304345325791994</c:v>
                </c:pt>
                <c:pt idx="158">
                  <c:v>0.72025462562749998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799472"/>
        <c:axId val="377799864"/>
      </c:scatterChart>
      <c:valAx>
        <c:axId val="377799472"/>
        <c:scaling>
          <c:orientation val="minMax"/>
          <c:max val="2015"/>
          <c:min val="1850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Year</a:t>
                </a:r>
              </a:p>
            </c:rich>
          </c:tx>
          <c:layout>
            <c:manualLayout>
              <c:xMode val="edge"/>
              <c:yMode val="edge"/>
              <c:x val="0.53147533126788948"/>
              <c:y val="0.90757086076153715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377799864"/>
        <c:crosses val="autoZero"/>
        <c:crossBetween val="midCat"/>
      </c:valAx>
      <c:valAx>
        <c:axId val="377799864"/>
        <c:scaling>
          <c:orientation val="minMax"/>
          <c:max val="1"/>
          <c:min val="-1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sz="1600"/>
                  <a:t>Temperature Anomaly</a:t>
                </a:r>
              </a:p>
            </c:rich>
          </c:tx>
          <c:layout>
            <c:manualLayout>
              <c:xMode val="edge"/>
              <c:yMode val="edge"/>
              <c:x val="3.3594111096407896E-3"/>
              <c:y val="0.2572650039214808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7779947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3128962419240336"/>
          <c:y val="7.2547000042975041E-2"/>
          <c:w val="0.63692275265195553"/>
          <c:h val="0.25397093105297325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spPr>
    <a:solidFill>
      <a:srgbClr val="99FFCC"/>
    </a:solidFill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Increased</a:t>
            </a:r>
            <a:r>
              <a:rPr lang="en-US" sz="1400" baseline="0"/>
              <a:t> rate of ocean heat sinking </a:t>
            </a:r>
            <a:endParaRPr lang="en-US" sz="1400"/>
          </a:p>
        </c:rich>
      </c:tx>
      <c:layout>
        <c:manualLayout>
          <c:xMode val="edge"/>
          <c:yMode val="edge"/>
          <c:x val="0.24617300962379701"/>
          <c:y val="3.04831974913553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094451766861077"/>
          <c:y val="0.14003360317702765"/>
          <c:w val="0.81209421395696657"/>
          <c:h val="0.65149125599695257"/>
        </c:manualLayout>
      </c:layout>
      <c:scatterChart>
        <c:scatterStyle val="lineMarker"/>
        <c:varyColors val="0"/>
        <c:ser>
          <c:idx val="0"/>
          <c:order val="0"/>
          <c:tx>
            <c:v>Ratio of Ocean/Land temperature rise</c:v>
          </c:tx>
          <c:spPr>
            <a:ln w="285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pPr>
              <a:solidFill>
                <a:schemeClr val="accent5">
                  <a:lumMod val="20000"/>
                  <a:lumOff val="80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xVal>
            <c:numRef>
              <c:f>'main (2)'!$A$10:$A$171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'main (2)'!$G$10:$G$171</c:f>
              <c:numCache>
                <c:formatCode>General</c:formatCode>
                <c:ptCount val="162"/>
                <c:pt idx="0">
                  <c:v>0.21892528172133932</c:v>
                </c:pt>
                <c:pt idx="1">
                  <c:v>0.20600348541141042</c:v>
                </c:pt>
                <c:pt idx="2">
                  <c:v>0.30111802947140326</c:v>
                </c:pt>
                <c:pt idx="3">
                  <c:v>0.2592350394010256</c:v>
                </c:pt>
                <c:pt idx="4">
                  <c:v>0.27402887735108322</c:v>
                </c:pt>
                <c:pt idx="5">
                  <c:v>0.48147589131195684</c:v>
                </c:pt>
                <c:pt idx="6">
                  <c:v>0.36056380147567602</c:v>
                </c:pt>
                <c:pt idx="7">
                  <c:v>0.40056794134356777</c:v>
                </c:pt>
                <c:pt idx="8">
                  <c:v>0.42203029027535383</c:v>
                </c:pt>
                <c:pt idx="9">
                  <c:v>0.40271117554489927</c:v>
                </c:pt>
                <c:pt idx="10">
                  <c:v>0.45103387030540065</c:v>
                </c:pt>
                <c:pt idx="11">
                  <c:v>0.33170103283398839</c:v>
                </c:pt>
                <c:pt idx="12">
                  <c:v>0.48282013195688367</c:v>
                </c:pt>
                <c:pt idx="13">
                  <c:v>0.52156995769844927</c:v>
                </c:pt>
                <c:pt idx="14">
                  <c:v>0.42497112847560814</c:v>
                </c:pt>
                <c:pt idx="15">
                  <c:v>0.49512741210255745</c:v>
                </c:pt>
                <c:pt idx="16">
                  <c:v>0.46743116871054075</c:v>
                </c:pt>
                <c:pt idx="17">
                  <c:v>0.49275880227903085</c:v>
                </c:pt>
                <c:pt idx="18">
                  <c:v>0.45952686285735184</c:v>
                </c:pt>
                <c:pt idx="19">
                  <c:v>0.41005546794591868</c:v>
                </c:pt>
                <c:pt idx="20">
                  <c:v>0.38644209402302104</c:v>
                </c:pt>
                <c:pt idx="21">
                  <c:v>0.54199849281816492</c:v>
                </c:pt>
                <c:pt idx="22">
                  <c:v>0.39852445578866225</c:v>
                </c:pt>
                <c:pt idx="23">
                  <c:v>0.56561531971368029</c:v>
                </c:pt>
                <c:pt idx="24">
                  <c:v>0.32629495912675793</c:v>
                </c:pt>
                <c:pt idx="25">
                  <c:v>0.42321867856978829</c:v>
                </c:pt>
                <c:pt idx="26">
                  <c:v>0.20705237403983007</c:v>
                </c:pt>
                <c:pt idx="27">
                  <c:v>0.14960110074305025</c:v>
                </c:pt>
                <c:pt idx="28">
                  <c:v>0.29644561705155187</c:v>
                </c:pt>
                <c:pt idx="29">
                  <c:v>0.53552637409158632</c:v>
                </c:pt>
                <c:pt idx="30">
                  <c:v>0.31525851197982341</c:v>
                </c:pt>
                <c:pt idx="31">
                  <c:v>0.45431192972176571</c:v>
                </c:pt>
                <c:pt idx="32">
                  <c:v>0.34613831734577344</c:v>
                </c:pt>
                <c:pt idx="33">
                  <c:v>0.40799351421923208</c:v>
                </c:pt>
                <c:pt idx="34">
                  <c:v>0.40437956725714491</c:v>
                </c:pt>
                <c:pt idx="35">
                  <c:v>0.47748651100606399</c:v>
                </c:pt>
                <c:pt idx="36">
                  <c:v>0.51195826731766203</c:v>
                </c:pt>
                <c:pt idx="37">
                  <c:v>0.3452591890900778</c:v>
                </c:pt>
                <c:pt idx="38">
                  <c:v>0.43131453200877379</c:v>
                </c:pt>
                <c:pt idx="39">
                  <c:v>0.42856192021344031</c:v>
                </c:pt>
                <c:pt idx="40">
                  <c:v>0.42108997463026071</c:v>
                </c:pt>
                <c:pt idx="41">
                  <c:v>0.51113913408995382</c:v>
                </c:pt>
                <c:pt idx="42">
                  <c:v>0.47538981965211474</c:v>
                </c:pt>
                <c:pt idx="43">
                  <c:v>0.49374686451775929</c:v>
                </c:pt>
                <c:pt idx="44">
                  <c:v>0.47551945963565778</c:v>
                </c:pt>
                <c:pt idx="45">
                  <c:v>0.32399448904033512</c:v>
                </c:pt>
                <c:pt idx="46">
                  <c:v>0.4626435186286717</c:v>
                </c:pt>
                <c:pt idx="47">
                  <c:v>0.38112477997399774</c:v>
                </c:pt>
                <c:pt idx="48">
                  <c:v>0.42267919980227198</c:v>
                </c:pt>
                <c:pt idx="49">
                  <c:v>0.40380153024517335</c:v>
                </c:pt>
                <c:pt idx="50">
                  <c:v>0.43284665324221394</c:v>
                </c:pt>
                <c:pt idx="51">
                  <c:v>0.40625595318573593</c:v>
                </c:pt>
                <c:pt idx="52">
                  <c:v>0.42375317550279112</c:v>
                </c:pt>
                <c:pt idx="53">
                  <c:v>0.43363785155213536</c:v>
                </c:pt>
                <c:pt idx="54">
                  <c:v>0.48450467220467469</c:v>
                </c:pt>
                <c:pt idx="55">
                  <c:v>0.43201551010897782</c:v>
                </c:pt>
                <c:pt idx="56">
                  <c:v>0.51461951886967061</c:v>
                </c:pt>
                <c:pt idx="57">
                  <c:v>0.4068956416849811</c:v>
                </c:pt>
                <c:pt idx="58">
                  <c:v>0.40129611096087203</c:v>
                </c:pt>
                <c:pt idx="59">
                  <c:v>0.41221112253167608</c:v>
                </c:pt>
                <c:pt idx="60">
                  <c:v>0.38408910230646748</c:v>
                </c:pt>
                <c:pt idx="61">
                  <c:v>0.40686116646555082</c:v>
                </c:pt>
                <c:pt idx="62">
                  <c:v>0.40005887248896865</c:v>
                </c:pt>
                <c:pt idx="63">
                  <c:v>0.39349450723180479</c:v>
                </c:pt>
                <c:pt idx="64">
                  <c:v>0.42571007972170771</c:v>
                </c:pt>
                <c:pt idx="65">
                  <c:v>0.40080627669778796</c:v>
                </c:pt>
                <c:pt idx="66">
                  <c:v>0.4667262057934598</c:v>
                </c:pt>
                <c:pt idx="67">
                  <c:v>0.53399343016829359</c:v>
                </c:pt>
                <c:pt idx="68">
                  <c:v>0.62963022083171483</c:v>
                </c:pt>
                <c:pt idx="69">
                  <c:v>0.53112328098373951</c:v>
                </c:pt>
                <c:pt idx="70">
                  <c:v>0.42373403549347682</c:v>
                </c:pt>
                <c:pt idx="71">
                  <c:v>0.40997461321589845</c:v>
                </c:pt>
                <c:pt idx="72">
                  <c:v>0.46359713861299567</c:v>
                </c:pt>
                <c:pt idx="73">
                  <c:v>0.40349313918448543</c:v>
                </c:pt>
                <c:pt idx="74">
                  <c:v>0.56713752227038328</c:v>
                </c:pt>
                <c:pt idx="75">
                  <c:v>0.40259909213148598</c:v>
                </c:pt>
                <c:pt idx="76">
                  <c:v>0.36884570885120954</c:v>
                </c:pt>
                <c:pt idx="77">
                  <c:v>0.38355813534241778</c:v>
                </c:pt>
                <c:pt idx="78">
                  <c:v>0.40659374431512174</c:v>
                </c:pt>
                <c:pt idx="79">
                  <c:v>0.36594745820260038</c:v>
                </c:pt>
                <c:pt idx="80">
                  <c:v>0.54475190991042388</c:v>
                </c:pt>
                <c:pt idx="81">
                  <c:v>0.42441656113487852</c:v>
                </c:pt>
                <c:pt idx="82">
                  <c:v>0.36855580992995135</c:v>
                </c:pt>
                <c:pt idx="83">
                  <c:v>0.43928751438830599</c:v>
                </c:pt>
                <c:pt idx="84">
                  <c:v>0.42092706893351139</c:v>
                </c:pt>
                <c:pt idx="85">
                  <c:v>0.38530182403081326</c:v>
                </c:pt>
                <c:pt idx="86">
                  <c:v>0.80357578279792219</c:v>
                </c:pt>
                <c:pt idx="87">
                  <c:v>0.4340188452670633</c:v>
                </c:pt>
                <c:pt idx="88">
                  <c:v>0.42283086602545439</c:v>
                </c:pt>
                <c:pt idx="89">
                  <c:v>0.19178094545977614</c:v>
                </c:pt>
                <c:pt idx="90">
                  <c:v>0.50215115709209557</c:v>
                </c:pt>
                <c:pt idx="91">
                  <c:v>0.84504976023824352</c:v>
                </c:pt>
                <c:pt idx="92">
                  <c:v>0.18674382658249841</c:v>
                </c:pt>
                <c:pt idx="93">
                  <c:v>0.34798514638068317</c:v>
                </c:pt>
                <c:pt idx="94">
                  <c:v>0.50380935574945762</c:v>
                </c:pt>
                <c:pt idx="95">
                  <c:v>7.6277025834231821E-2</c:v>
                </c:pt>
                <c:pt idx="96">
                  <c:v>0.42882325545580846</c:v>
                </c:pt>
                <c:pt idx="97">
                  <c:v>0.37280182356181396</c:v>
                </c:pt>
                <c:pt idx="98">
                  <c:v>0.62451062970441196</c:v>
                </c:pt>
                <c:pt idx="99">
                  <c:v>0.60258375851743795</c:v>
                </c:pt>
                <c:pt idx="100">
                  <c:v>0.69561866743955614</c:v>
                </c:pt>
                <c:pt idx="101">
                  <c:v>0.47352545010906527</c:v>
                </c:pt>
                <c:pt idx="102">
                  <c:v>0.41842647744609884</c:v>
                </c:pt>
                <c:pt idx="103">
                  <c:v>0.28745154892830954</c:v>
                </c:pt>
                <c:pt idx="104">
                  <c:v>0.33020891964006938</c:v>
                </c:pt>
                <c:pt idx="105">
                  <c:v>0.60776067899800723</c:v>
                </c:pt>
                <c:pt idx="106">
                  <c:v>0.55890793344296563</c:v>
                </c:pt>
                <c:pt idx="107">
                  <c:v>0.67310096239700878</c:v>
                </c:pt>
                <c:pt idx="108">
                  <c:v>0.62682978990140337</c:v>
                </c:pt>
                <c:pt idx="109">
                  <c:v>0.91021059294742068</c:v>
                </c:pt>
                <c:pt idx="110">
                  <c:v>0.63540475282755116</c:v>
                </c:pt>
                <c:pt idx="111">
                  <c:v>0.62764479884653734</c:v>
                </c:pt>
                <c:pt idx="112">
                  <c:v>0.38991786455906063</c:v>
                </c:pt>
                <c:pt idx="113">
                  <c:v>0.25034717865085265</c:v>
                </c:pt>
                <c:pt idx="114">
                  <c:v>0.42214102743737036</c:v>
                </c:pt>
                <c:pt idx="115">
                  <c:v>0.69186438191675215</c:v>
                </c:pt>
                <c:pt idx="116">
                  <c:v>0.28180532432807243</c:v>
                </c:pt>
                <c:pt idx="117">
                  <c:v>0.55596476437269826</c:v>
                </c:pt>
                <c:pt idx="118">
                  <c:v>0.45971490029246859</c:v>
                </c:pt>
                <c:pt idx="119">
                  <c:v>0.53427465532731033</c:v>
                </c:pt>
                <c:pt idx="120">
                  <c:v>0.46519231904708747</c:v>
                </c:pt>
                <c:pt idx="121">
                  <c:v>0.42260588464807713</c:v>
                </c:pt>
                <c:pt idx="122">
                  <c:v>0.55738831354278062</c:v>
                </c:pt>
                <c:pt idx="123">
                  <c:v>0.31282750780534252</c:v>
                </c:pt>
                <c:pt idx="124">
                  <c:v>0.42608707021797593</c:v>
                </c:pt>
                <c:pt idx="125">
                  <c:v>0.60470216258536202</c:v>
                </c:pt>
                <c:pt idx="126">
                  <c:v>0.72575512235945228</c:v>
                </c:pt>
                <c:pt idx="127">
                  <c:v>0.36414880848823766</c:v>
                </c:pt>
                <c:pt idx="128">
                  <c:v>0.36991379856432</c:v>
                </c:pt>
                <c:pt idx="129">
                  <c:v>0.75180290001148842</c:v>
                </c:pt>
                <c:pt idx="130">
                  <c:v>0.56742994707539673</c:v>
                </c:pt>
                <c:pt idx="131">
                  <c:v>0.27782490290139594</c:v>
                </c:pt>
                <c:pt idx="132">
                  <c:v>0.54284331470041769</c:v>
                </c:pt>
                <c:pt idx="133">
                  <c:v>0.21795650210950759</c:v>
                </c:pt>
                <c:pt idx="134">
                  <c:v>0.61565635336127134</c:v>
                </c:pt>
                <c:pt idx="135">
                  <c:v>0.61899083997671367</c:v>
                </c:pt>
                <c:pt idx="136">
                  <c:v>0.32587628672215235</c:v>
                </c:pt>
                <c:pt idx="137">
                  <c:v>0.53511775332381428</c:v>
                </c:pt>
                <c:pt idx="138">
                  <c:v>0.42808319141499201</c:v>
                </c:pt>
                <c:pt idx="139">
                  <c:v>0.51565422528451299</c:v>
                </c:pt>
                <c:pt idx="140">
                  <c:v>0.59979063193588367</c:v>
                </c:pt>
                <c:pt idx="141">
                  <c:v>0.3187200489961704</c:v>
                </c:pt>
                <c:pt idx="142">
                  <c:v>0.27359795277410548</c:v>
                </c:pt>
                <c:pt idx="143">
                  <c:v>0.44872896897551007</c:v>
                </c:pt>
                <c:pt idx="144">
                  <c:v>0.52349724781587714</c:v>
                </c:pt>
                <c:pt idx="145">
                  <c:v>0.31206023032910191</c:v>
                </c:pt>
                <c:pt idx="146">
                  <c:v>0.34359228332208369</c:v>
                </c:pt>
                <c:pt idx="147">
                  <c:v>0.44551502291759482</c:v>
                </c:pt>
                <c:pt idx="148">
                  <c:v>0.39649171249945508</c:v>
                </c:pt>
                <c:pt idx="149">
                  <c:v>0.47107911039887196</c:v>
                </c:pt>
                <c:pt idx="150">
                  <c:v>0.54069167919115713</c:v>
                </c:pt>
                <c:pt idx="151">
                  <c:v>0.52387661347991754</c:v>
                </c:pt>
                <c:pt idx="152">
                  <c:v>0.52620044839292135</c:v>
                </c:pt>
                <c:pt idx="153">
                  <c:v>0.51960534814893777</c:v>
                </c:pt>
                <c:pt idx="154">
                  <c:v>0.50794325337354818</c:v>
                </c:pt>
                <c:pt idx="155">
                  <c:v>0.47842456703244191</c:v>
                </c:pt>
                <c:pt idx="156">
                  <c:v>0.4613856122788354</c:v>
                </c:pt>
                <c:pt idx="157">
                  <c:v>0.45006751169294068</c:v>
                </c:pt>
                <c:pt idx="158">
                  <c:v>0.55935287758130436</c:v>
                </c:pt>
                <c:pt idx="159">
                  <c:v>0.43698585411215074</c:v>
                </c:pt>
                <c:pt idx="160">
                  <c:v>0.41950122257789363</c:v>
                </c:pt>
                <c:pt idx="161">
                  <c:v>0.41791925837242466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844448"/>
        <c:axId val="484844840"/>
      </c:scatterChart>
      <c:valAx>
        <c:axId val="484844448"/>
        <c:scaling>
          <c:orientation val="minMax"/>
          <c:max val="2015"/>
          <c:min val="1995"/>
        </c:scaling>
        <c:delete val="0"/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484844840"/>
        <c:crosses val="autoZero"/>
        <c:crossBetween val="midCat"/>
      </c:valAx>
      <c:valAx>
        <c:axId val="484844840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>
                  <a:defRPr sz="1800"/>
                </a:pPr>
                <a:r>
                  <a:rPr lang="en-US" sz="1800"/>
                  <a:t>f</a:t>
                </a:r>
              </a:p>
            </c:rich>
          </c:tx>
          <c:layout>
            <c:manualLayout>
              <c:xMode val="edge"/>
              <c:yMode val="edge"/>
              <c:x val="2.1254593175853018E-2"/>
              <c:y val="0.3952042782401946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484844448"/>
        <c:crosses val="autoZero"/>
        <c:crossBetween val="midCat"/>
      </c:valAx>
      <c:spPr>
        <a:gradFill flip="none" rotWithShape="1">
          <a:gsLst>
            <a:gs pos="0">
              <a:srgbClr val="FFF200"/>
            </a:gs>
            <a:gs pos="39000">
              <a:srgbClr val="FF7A00"/>
            </a:gs>
            <a:gs pos="70000">
              <a:srgbClr val="FF0300"/>
            </a:gs>
            <a:gs pos="100000">
              <a:srgbClr val="4D0808"/>
            </a:gs>
          </a:gsLst>
          <a:lin ang="16200000" scaled="0"/>
          <a:tileRect/>
        </a:gradFill>
        <a:ln w="25400">
          <a:noFill/>
        </a:ln>
      </c:spPr>
    </c:plotArea>
    <c:legend>
      <c:legendPos val="r"/>
      <c:layout>
        <c:manualLayout>
          <c:xMode val="edge"/>
          <c:yMode val="edge"/>
          <c:x val="0.36500218722659666"/>
          <c:y val="0.61065364252182086"/>
          <c:w val="0.55987401574803153"/>
          <c:h val="0.16685502547475684"/>
        </c:manualLayout>
      </c:layout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70220673163471E-2"/>
          <c:y val="3.9874372058246302E-2"/>
          <c:w val="0.87777496620443063"/>
          <c:h val="0.78036659016174625"/>
        </c:manualLayout>
      </c:layout>
      <c:scatterChart>
        <c:scatterStyle val="lineMarker"/>
        <c:varyColors val="0"/>
        <c:ser>
          <c:idx val="0"/>
          <c:order val="0"/>
          <c:tx>
            <c:strRef>
              <c:f>'main (2)'!$B$9</c:f>
              <c:strCache>
                <c:ptCount val="1"/>
                <c:pt idx="0">
                  <c:v>Global (HadCRUT4)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'main (2)'!$A$10:$A$171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'main (2)'!$B$10:$B$171</c:f>
              <c:numCache>
                <c:formatCode>General</c:formatCode>
                <c:ptCount val="162"/>
                <c:pt idx="0">
                  <c:v>-0.219</c:v>
                </c:pt>
                <c:pt idx="1">
                  <c:v>-0.223</c:v>
                </c:pt>
                <c:pt idx="2">
                  <c:v>-0.26800000000000002</c:v>
                </c:pt>
                <c:pt idx="3">
                  <c:v>-0.24299999999999999</c:v>
                </c:pt>
                <c:pt idx="4">
                  <c:v>-0.26400000000000001</c:v>
                </c:pt>
                <c:pt idx="5">
                  <c:v>-0.35599999999999998</c:v>
                </c:pt>
                <c:pt idx="6">
                  <c:v>-0.45400000000000001</c:v>
                </c:pt>
                <c:pt idx="7">
                  <c:v>-0.46100000000000002</c:v>
                </c:pt>
                <c:pt idx="8">
                  <c:v>-0.28199999999999997</c:v>
                </c:pt>
                <c:pt idx="9">
                  <c:v>-0.33800000000000002</c:v>
                </c:pt>
                <c:pt idx="10">
                  <c:v>-0.39100000000000001</c:v>
                </c:pt>
                <c:pt idx="11">
                  <c:v>-0.503</c:v>
                </c:pt>
                <c:pt idx="12">
                  <c:v>-0.27500000000000002</c:v>
                </c:pt>
                <c:pt idx="13">
                  <c:v>-0.47799999999999998</c:v>
                </c:pt>
                <c:pt idx="14">
                  <c:v>-0.27</c:v>
                </c:pt>
                <c:pt idx="15">
                  <c:v>-0.24099999999999999</c:v>
                </c:pt>
                <c:pt idx="16">
                  <c:v>-0.308</c:v>
                </c:pt>
                <c:pt idx="17">
                  <c:v>-0.23</c:v>
                </c:pt>
                <c:pt idx="18">
                  <c:v>-0.25900000000000001</c:v>
                </c:pt>
                <c:pt idx="19">
                  <c:v>-0.27100000000000002</c:v>
                </c:pt>
                <c:pt idx="20">
                  <c:v>-0.32600000000000001</c:v>
                </c:pt>
                <c:pt idx="21">
                  <c:v>-0.22900000000000001</c:v>
                </c:pt>
                <c:pt idx="22">
                  <c:v>-0.30599999999999999</c:v>
                </c:pt>
                <c:pt idx="23">
                  <c:v>-0.373</c:v>
                </c:pt>
                <c:pt idx="24">
                  <c:v>-0.40799999999999997</c:v>
                </c:pt>
                <c:pt idx="25">
                  <c:v>-0.38400000000000001</c:v>
                </c:pt>
                <c:pt idx="26">
                  <c:v>-7.2999999999999995E-2</c:v>
                </c:pt>
                <c:pt idx="27">
                  <c:v>3.2000000000000001E-2</c:v>
                </c:pt>
                <c:pt idx="28">
                  <c:v>-0.23400000000000001</c:v>
                </c:pt>
                <c:pt idx="29">
                  <c:v>-0.23</c:v>
                </c:pt>
                <c:pt idx="30">
                  <c:v>-0.20699999999999999</c:v>
                </c:pt>
                <c:pt idx="31">
                  <c:v>-0.214</c:v>
                </c:pt>
                <c:pt idx="32">
                  <c:v>-0.29199999999999998</c:v>
                </c:pt>
                <c:pt idx="33">
                  <c:v>-0.40300000000000002</c:v>
                </c:pt>
                <c:pt idx="34">
                  <c:v>-0.38500000000000001</c:v>
                </c:pt>
                <c:pt idx="35">
                  <c:v>-0.36599999999999999</c:v>
                </c:pt>
                <c:pt idx="36">
                  <c:v>-0.41799999999999998</c:v>
                </c:pt>
                <c:pt idx="37">
                  <c:v>-0.309</c:v>
                </c:pt>
                <c:pt idx="38">
                  <c:v>-0.17299999999999999</c:v>
                </c:pt>
                <c:pt idx="39">
                  <c:v>-0.41899999999999998</c:v>
                </c:pt>
                <c:pt idx="40">
                  <c:v>-0.33900000000000002</c:v>
                </c:pt>
                <c:pt idx="41">
                  <c:v>-0.45600000000000002</c:v>
                </c:pt>
                <c:pt idx="42">
                  <c:v>-0.47499999999999998</c:v>
                </c:pt>
                <c:pt idx="43">
                  <c:v>-0.40799999999999997</c:v>
                </c:pt>
                <c:pt idx="44">
                  <c:v>-0.39300000000000002</c:v>
                </c:pt>
                <c:pt idx="45">
                  <c:v>-0.191</c:v>
                </c:pt>
                <c:pt idx="46">
                  <c:v>-0.21</c:v>
                </c:pt>
                <c:pt idx="47">
                  <c:v>-0.40799999999999997</c:v>
                </c:pt>
                <c:pt idx="48">
                  <c:v>-0.28799999999999998</c:v>
                </c:pt>
                <c:pt idx="49">
                  <c:v>-0.19800000000000001</c:v>
                </c:pt>
                <c:pt idx="50">
                  <c:v>-0.26700000000000002</c:v>
                </c:pt>
                <c:pt idx="51">
                  <c:v>-0.41199999999999998</c:v>
                </c:pt>
                <c:pt idx="52">
                  <c:v>-0.48099999999999998</c:v>
                </c:pt>
                <c:pt idx="53">
                  <c:v>-0.52800000000000002</c:v>
                </c:pt>
                <c:pt idx="54">
                  <c:v>-0.38200000000000001</c:v>
                </c:pt>
                <c:pt idx="55">
                  <c:v>-0.29399999999999998</c:v>
                </c:pt>
                <c:pt idx="56">
                  <c:v>-0.47599999999999998</c:v>
                </c:pt>
                <c:pt idx="57">
                  <c:v>-0.52300000000000002</c:v>
                </c:pt>
                <c:pt idx="58">
                  <c:v>-0.53600000000000003</c:v>
                </c:pt>
                <c:pt idx="59">
                  <c:v>-0.496</c:v>
                </c:pt>
                <c:pt idx="60">
                  <c:v>-0.55400000000000005</c:v>
                </c:pt>
                <c:pt idx="61">
                  <c:v>-0.44900000000000001</c:v>
                </c:pt>
                <c:pt idx="62">
                  <c:v>-0.439</c:v>
                </c:pt>
                <c:pt idx="63">
                  <c:v>-0.25800000000000001</c:v>
                </c:pt>
                <c:pt idx="64">
                  <c:v>-0.16400000000000001</c:v>
                </c:pt>
                <c:pt idx="65">
                  <c:v>-0.39800000000000002</c:v>
                </c:pt>
                <c:pt idx="66">
                  <c:v>-0.48099999999999998</c:v>
                </c:pt>
                <c:pt idx="67">
                  <c:v>-0.34300000000000003</c:v>
                </c:pt>
                <c:pt idx="68">
                  <c:v>-0.28399999999999997</c:v>
                </c:pt>
                <c:pt idx="69">
                  <c:v>-0.252</c:v>
                </c:pt>
                <c:pt idx="70">
                  <c:v>-0.19</c:v>
                </c:pt>
                <c:pt idx="71">
                  <c:v>-0.309</c:v>
                </c:pt>
                <c:pt idx="72">
                  <c:v>-0.27500000000000002</c:v>
                </c:pt>
                <c:pt idx="73">
                  <c:v>-0.3</c:v>
                </c:pt>
                <c:pt idx="74">
                  <c:v>-0.219</c:v>
                </c:pt>
                <c:pt idx="75">
                  <c:v>-0.112</c:v>
                </c:pt>
                <c:pt idx="76">
                  <c:v>-0.21299999999999999</c:v>
                </c:pt>
                <c:pt idx="77">
                  <c:v>-0.21099999999999999</c:v>
                </c:pt>
                <c:pt idx="78">
                  <c:v>-0.34899999999999998</c:v>
                </c:pt>
                <c:pt idx="79">
                  <c:v>-0.13800000000000001</c:v>
                </c:pt>
                <c:pt idx="80">
                  <c:v>-8.6999999999999994E-2</c:v>
                </c:pt>
                <c:pt idx="81">
                  <c:v>-0.13500000000000001</c:v>
                </c:pt>
                <c:pt idx="82">
                  <c:v>-0.27300000000000002</c:v>
                </c:pt>
                <c:pt idx="83">
                  <c:v>-0.126</c:v>
                </c:pt>
                <c:pt idx="84">
                  <c:v>-0.17599999999999999</c:v>
                </c:pt>
                <c:pt idx="85">
                  <c:v>-0.14299999999999999</c:v>
                </c:pt>
                <c:pt idx="86">
                  <c:v>-2.5000000000000001E-2</c:v>
                </c:pt>
                <c:pt idx="87">
                  <c:v>-5.0000000000000001E-3</c:v>
                </c:pt>
                <c:pt idx="88">
                  <c:v>-5.5E-2</c:v>
                </c:pt>
                <c:pt idx="89">
                  <c:v>1.7999999999999999E-2</c:v>
                </c:pt>
                <c:pt idx="90">
                  <c:v>1.7999999999999999E-2</c:v>
                </c:pt>
                <c:pt idx="91">
                  <c:v>-2.3E-2</c:v>
                </c:pt>
                <c:pt idx="92">
                  <c:v>-3.0000000000000001E-3</c:v>
                </c:pt>
                <c:pt idx="93">
                  <c:v>0.15</c:v>
                </c:pt>
                <c:pt idx="94">
                  <c:v>3.3000000000000002E-2</c:v>
                </c:pt>
                <c:pt idx="95">
                  <c:v>-6.8000000000000005E-2</c:v>
                </c:pt>
                <c:pt idx="96">
                  <c:v>-3.7999999999999999E-2</c:v>
                </c:pt>
                <c:pt idx="97">
                  <c:v>-3.5000000000000003E-2</c:v>
                </c:pt>
                <c:pt idx="98">
                  <c:v>-7.5999999999999998E-2</c:v>
                </c:pt>
                <c:pt idx="99">
                  <c:v>-0.17399999999999999</c:v>
                </c:pt>
                <c:pt idx="100">
                  <c:v>-4.8000000000000001E-2</c:v>
                </c:pt>
                <c:pt idx="101">
                  <c:v>3.3000000000000002E-2</c:v>
                </c:pt>
                <c:pt idx="102">
                  <c:v>0.10100000000000001</c:v>
                </c:pt>
                <c:pt idx="103">
                  <c:v>-0.128</c:v>
                </c:pt>
                <c:pt idx="104">
                  <c:v>-0.185</c:v>
                </c:pt>
                <c:pt idx="105">
                  <c:v>-0.26200000000000001</c:v>
                </c:pt>
                <c:pt idx="106">
                  <c:v>-1E-3</c:v>
                </c:pt>
                <c:pt idx="107">
                  <c:v>4.9000000000000002E-2</c:v>
                </c:pt>
                <c:pt idx="108">
                  <c:v>1.7000000000000001E-2</c:v>
                </c:pt>
                <c:pt idx="109">
                  <c:v>-0.05</c:v>
                </c:pt>
                <c:pt idx="110">
                  <c:v>3.9E-2</c:v>
                </c:pt>
                <c:pt idx="111">
                  <c:v>1.7999999999999999E-2</c:v>
                </c:pt>
                <c:pt idx="112">
                  <c:v>0.05</c:v>
                </c:pt>
                <c:pt idx="113">
                  <c:v>-0.224</c:v>
                </c:pt>
                <c:pt idx="114">
                  <c:v>-0.14099999999999999</c:v>
                </c:pt>
                <c:pt idx="115">
                  <c:v>-7.2999999999999995E-2</c:v>
                </c:pt>
                <c:pt idx="116">
                  <c:v>-7.5999999999999998E-2</c:v>
                </c:pt>
                <c:pt idx="117">
                  <c:v>-0.113</c:v>
                </c:pt>
                <c:pt idx="118">
                  <c:v>2.9000000000000001E-2</c:v>
                </c:pt>
                <c:pt idx="119">
                  <c:v>-2.9000000000000001E-2</c:v>
                </c:pt>
                <c:pt idx="120">
                  <c:v>-0.184</c:v>
                </c:pt>
                <c:pt idx="121">
                  <c:v>-6.9000000000000006E-2</c:v>
                </c:pt>
                <c:pt idx="122">
                  <c:v>6.3E-2</c:v>
                </c:pt>
                <c:pt idx="123">
                  <c:v>-0.21099999999999999</c:v>
                </c:pt>
                <c:pt idx="124">
                  <c:v>-0.14499999999999999</c:v>
                </c:pt>
                <c:pt idx="125">
                  <c:v>-0.23799999999999999</c:v>
                </c:pt>
                <c:pt idx="126">
                  <c:v>4.5999999999999999E-2</c:v>
                </c:pt>
                <c:pt idx="127">
                  <c:v>-6.2E-2</c:v>
                </c:pt>
                <c:pt idx="128">
                  <c:v>5.8000000000000003E-2</c:v>
                </c:pt>
                <c:pt idx="129">
                  <c:v>9.2999999999999999E-2</c:v>
                </c:pt>
                <c:pt idx="130">
                  <c:v>0.14199999999999999</c:v>
                </c:pt>
                <c:pt idx="131">
                  <c:v>1.2999999999999999E-2</c:v>
                </c:pt>
                <c:pt idx="132">
                  <c:v>0.191</c:v>
                </c:pt>
                <c:pt idx="133">
                  <c:v>-1.4E-2</c:v>
                </c:pt>
                <c:pt idx="134">
                  <c:v>-2.9000000000000001E-2</c:v>
                </c:pt>
                <c:pt idx="135">
                  <c:v>4.7E-2</c:v>
                </c:pt>
                <c:pt idx="136">
                  <c:v>0.186</c:v>
                </c:pt>
                <c:pt idx="137">
                  <c:v>0.20100000000000001</c:v>
                </c:pt>
                <c:pt idx="138">
                  <c:v>0.121</c:v>
                </c:pt>
                <c:pt idx="139">
                  <c:v>0.29099999999999998</c:v>
                </c:pt>
                <c:pt idx="140">
                  <c:v>0.253</c:v>
                </c:pt>
                <c:pt idx="141">
                  <c:v>0.10199999999999999</c:v>
                </c:pt>
                <c:pt idx="142">
                  <c:v>0.14299999999999999</c:v>
                </c:pt>
                <c:pt idx="143">
                  <c:v>0.20300000000000001</c:v>
                </c:pt>
                <c:pt idx="144">
                  <c:v>0.32400000000000001</c:v>
                </c:pt>
                <c:pt idx="145">
                  <c:v>0.17899999999999999</c:v>
                </c:pt>
                <c:pt idx="146">
                  <c:v>0.39200000000000002</c:v>
                </c:pt>
                <c:pt idx="147">
                  <c:v>0.53100000000000003</c:v>
                </c:pt>
                <c:pt idx="148">
                  <c:v>0.30099999999999999</c:v>
                </c:pt>
                <c:pt idx="149">
                  <c:v>0.29399999999999998</c:v>
                </c:pt>
                <c:pt idx="150">
                  <c:v>0.437</c:v>
                </c:pt>
                <c:pt idx="151">
                  <c:v>0.49199999999999999</c:v>
                </c:pt>
                <c:pt idx="152">
                  <c:v>0.503</c:v>
                </c:pt>
                <c:pt idx="153">
                  <c:v>0.44500000000000001</c:v>
                </c:pt>
                <c:pt idx="154">
                  <c:v>0.53900000000000003</c:v>
                </c:pt>
                <c:pt idx="155">
                  <c:v>0.495</c:v>
                </c:pt>
                <c:pt idx="156">
                  <c:v>0.48299999999999998</c:v>
                </c:pt>
                <c:pt idx="157">
                  <c:v>0.38800000000000001</c:v>
                </c:pt>
                <c:pt idx="158">
                  <c:v>0.49399999999999999</c:v>
                </c:pt>
                <c:pt idx="159">
                  <c:v>0.54700000000000004</c:v>
                </c:pt>
                <c:pt idx="160">
                  <c:v>0.40600000000000003</c:v>
                </c:pt>
                <c:pt idx="161">
                  <c:v>0.44800000000000001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'main (2)'!$C$9</c:f>
              <c:strCache>
                <c:ptCount val="1"/>
                <c:pt idx="0">
                  <c:v>Fractionally Composed (CRUTEM4 + HadSST3)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'main (2)'!$A$10:$A$171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'main (2)'!$C$10:$C$171</c:f>
              <c:numCache>
                <c:formatCode>General</c:formatCode>
                <c:ptCount val="162"/>
                <c:pt idx="0">
                  <c:v>-3.9067150000000009E-2</c:v>
                </c:pt>
                <c:pt idx="1">
                  <c:v>-2.314179999999999E-2</c:v>
                </c:pt>
                <c:pt idx="2">
                  <c:v>-0.22667014999999999</c:v>
                </c:pt>
                <c:pt idx="3">
                  <c:v>-8.3979350000000008E-2</c:v>
                </c:pt>
                <c:pt idx="4">
                  <c:v>-0.19761600000000001</c:v>
                </c:pt>
                <c:pt idx="5">
                  <c:v>-0.36006389999999999</c:v>
                </c:pt>
                <c:pt idx="6">
                  <c:v>-0.39967169999999996</c:v>
                </c:pt>
                <c:pt idx="7">
                  <c:v>-0.4306758</c:v>
                </c:pt>
                <c:pt idx="8">
                  <c:v>-0.25783005000000003</c:v>
                </c:pt>
                <c:pt idx="9">
                  <c:v>-0.35641339999999999</c:v>
                </c:pt>
                <c:pt idx="10">
                  <c:v>-0.38049370000000005</c:v>
                </c:pt>
                <c:pt idx="11">
                  <c:v>-0.46755690000000005</c:v>
                </c:pt>
                <c:pt idx="12">
                  <c:v>-0.2699375</c:v>
                </c:pt>
                <c:pt idx="13">
                  <c:v>-0.47632065000000001</c:v>
                </c:pt>
                <c:pt idx="14">
                  <c:v>-0.2657407</c:v>
                </c:pt>
                <c:pt idx="15">
                  <c:v>-0.24536745000000001</c:v>
                </c:pt>
                <c:pt idx="16">
                  <c:v>-0.31145935000000002</c:v>
                </c:pt>
                <c:pt idx="17">
                  <c:v>-0.24437975000000001</c:v>
                </c:pt>
                <c:pt idx="18">
                  <c:v>-0.25422139999999999</c:v>
                </c:pt>
                <c:pt idx="19">
                  <c:v>-0.29749215000000001</c:v>
                </c:pt>
                <c:pt idx="20">
                  <c:v>-0.34202374999999996</c:v>
                </c:pt>
                <c:pt idx="21">
                  <c:v>-0.23618039999999998</c:v>
                </c:pt>
                <c:pt idx="22">
                  <c:v>-0.29022959999999998</c:v>
                </c:pt>
                <c:pt idx="23">
                  <c:v>-0.39275950000000004</c:v>
                </c:pt>
                <c:pt idx="24">
                  <c:v>-0.45460539999999999</c:v>
                </c:pt>
                <c:pt idx="25">
                  <c:v>-0.37299249999999995</c:v>
                </c:pt>
                <c:pt idx="26">
                  <c:v>-0.10703775</c:v>
                </c:pt>
                <c:pt idx="27">
                  <c:v>7.9499500000000008E-3</c:v>
                </c:pt>
                <c:pt idx="28">
                  <c:v>-0.30441425</c:v>
                </c:pt>
                <c:pt idx="29">
                  <c:v>-0.22833055000000002</c:v>
                </c:pt>
                <c:pt idx="30">
                  <c:v>-0.2488958</c:v>
                </c:pt>
                <c:pt idx="31">
                  <c:v>-0.23170790000000002</c:v>
                </c:pt>
                <c:pt idx="32">
                  <c:v>-0.34545934999999994</c:v>
                </c:pt>
                <c:pt idx="33">
                  <c:v>-0.43990639999999998</c:v>
                </c:pt>
                <c:pt idx="34">
                  <c:v>-0.42354135000000004</c:v>
                </c:pt>
                <c:pt idx="35">
                  <c:v>-0.38344945000000002</c:v>
                </c:pt>
                <c:pt idx="36">
                  <c:v>-0.43258560000000001</c:v>
                </c:pt>
                <c:pt idx="37">
                  <c:v>-0.35773335000000001</c:v>
                </c:pt>
                <c:pt idx="38">
                  <c:v>-0.18616484999999999</c:v>
                </c:pt>
                <c:pt idx="39">
                  <c:v>-0.40136490000000002</c:v>
                </c:pt>
                <c:pt idx="40">
                  <c:v>-0.3558654</c:v>
                </c:pt>
                <c:pt idx="41">
                  <c:v>-0.45665204999999998</c:v>
                </c:pt>
                <c:pt idx="42">
                  <c:v>-0.47711720000000002</c:v>
                </c:pt>
                <c:pt idx="43">
                  <c:v>-0.40706629999999999</c:v>
                </c:pt>
                <c:pt idx="44">
                  <c:v>-0.39614674999999999</c:v>
                </c:pt>
                <c:pt idx="45">
                  <c:v>-0.22009924999999997</c:v>
                </c:pt>
                <c:pt idx="46">
                  <c:v>-0.2142559</c:v>
                </c:pt>
                <c:pt idx="47">
                  <c:v>-0.36885875000000001</c:v>
                </c:pt>
                <c:pt idx="48">
                  <c:v>-0.27666110000000005</c:v>
                </c:pt>
                <c:pt idx="49">
                  <c:v>-0.18410575000000001</c:v>
                </c:pt>
                <c:pt idx="50">
                  <c:v>-0.24696705000000002</c:v>
                </c:pt>
                <c:pt idx="51">
                  <c:v>-0.38592929999999998</c:v>
                </c:pt>
                <c:pt idx="52">
                  <c:v>-0.45098174999999996</c:v>
                </c:pt>
                <c:pt idx="53">
                  <c:v>-0.50824345000000004</c:v>
                </c:pt>
                <c:pt idx="54">
                  <c:v>-0.37948140000000002</c:v>
                </c:pt>
                <c:pt idx="55">
                  <c:v>-0.27319919999999998</c:v>
                </c:pt>
                <c:pt idx="56">
                  <c:v>-0.4808924</c:v>
                </c:pt>
                <c:pt idx="57">
                  <c:v>-0.48527215000000001</c:v>
                </c:pt>
                <c:pt idx="58">
                  <c:v>-0.49101455000000005</c:v>
                </c:pt>
                <c:pt idx="59">
                  <c:v>-0.44835005</c:v>
                </c:pt>
                <c:pt idx="60">
                  <c:v>-0.49168639999999997</c:v>
                </c:pt>
                <c:pt idx="61">
                  <c:v>-0.423232</c:v>
                </c:pt>
                <c:pt idx="62">
                  <c:v>-0.39709004999999997</c:v>
                </c:pt>
                <c:pt idx="63">
                  <c:v>-0.2166266</c:v>
                </c:pt>
                <c:pt idx="64">
                  <c:v>-0.15111805</c:v>
                </c:pt>
                <c:pt idx="65">
                  <c:v>-0.3687841</c:v>
                </c:pt>
                <c:pt idx="66">
                  <c:v>-0.49641989999999997</c:v>
                </c:pt>
                <c:pt idx="67">
                  <c:v>-0.3592747</c:v>
                </c:pt>
                <c:pt idx="68">
                  <c:v>-0.30000480000000002</c:v>
                </c:pt>
                <c:pt idx="69">
                  <c:v>-0.2549515</c:v>
                </c:pt>
                <c:pt idx="70">
                  <c:v>-0.17117545000000001</c:v>
                </c:pt>
                <c:pt idx="71">
                  <c:v>-0.28587190000000001</c:v>
                </c:pt>
                <c:pt idx="72">
                  <c:v>-0.26799660000000003</c:v>
                </c:pt>
                <c:pt idx="73">
                  <c:v>-0.2846611</c:v>
                </c:pt>
                <c:pt idx="74">
                  <c:v>-0.22457825000000001</c:v>
                </c:pt>
                <c:pt idx="75">
                  <c:v>-9.934285000000001E-2</c:v>
                </c:pt>
                <c:pt idx="76">
                  <c:v>-0.19665375000000002</c:v>
                </c:pt>
                <c:pt idx="77">
                  <c:v>-0.18535840000000001</c:v>
                </c:pt>
                <c:pt idx="78">
                  <c:v>-0.34206389999999998</c:v>
                </c:pt>
                <c:pt idx="79">
                  <c:v>-0.12005655000000001</c:v>
                </c:pt>
                <c:pt idx="80">
                  <c:v>-8.8513499999999995E-2</c:v>
                </c:pt>
                <c:pt idx="81">
                  <c:v>-0.12217219999999999</c:v>
                </c:pt>
                <c:pt idx="82">
                  <c:v>-0.25582355000000001</c:v>
                </c:pt>
                <c:pt idx="83">
                  <c:v>-0.11143304999999999</c:v>
                </c:pt>
                <c:pt idx="84">
                  <c:v>-0.16552495</c:v>
                </c:pt>
                <c:pt idx="85">
                  <c:v>-0.12642980000000001</c:v>
                </c:pt>
                <c:pt idx="86">
                  <c:v>-1.87137E-2</c:v>
                </c:pt>
                <c:pt idx="87">
                  <c:v>1.0350350000000008E-2</c:v>
                </c:pt>
                <c:pt idx="88">
                  <c:v>-4.7019650000000003E-2</c:v>
                </c:pt>
                <c:pt idx="89">
                  <c:v>-6.1829499999999978E-3</c:v>
                </c:pt>
                <c:pt idx="90">
                  <c:v>1.8231300000000002E-2</c:v>
                </c:pt>
                <c:pt idx="91">
                  <c:v>-8.3986999999999985E-3</c:v>
                </c:pt>
                <c:pt idx="92">
                  <c:v>2.5643999999999997E-3</c:v>
                </c:pt>
                <c:pt idx="93">
                  <c:v>0.12592365</c:v>
                </c:pt>
                <c:pt idx="94">
                  <c:v>3.3906400000000003E-2</c:v>
                </c:pt>
                <c:pt idx="95">
                  <c:v>-3.7211649999999999E-2</c:v>
                </c:pt>
                <c:pt idx="96">
                  <c:v>-3.2779299999999997E-2</c:v>
                </c:pt>
                <c:pt idx="97">
                  <c:v>-2.4986850000000001E-2</c:v>
                </c:pt>
                <c:pt idx="98">
                  <c:v>-7.1742399999999998E-2</c:v>
                </c:pt>
                <c:pt idx="99">
                  <c:v>-0.15900409999999998</c:v>
                </c:pt>
                <c:pt idx="100">
                  <c:v>-3.3394600000000003E-2</c:v>
                </c:pt>
                <c:pt idx="101">
                  <c:v>2.9118899999999996E-2</c:v>
                </c:pt>
                <c:pt idx="102">
                  <c:v>9.8638199999999995E-2</c:v>
                </c:pt>
                <c:pt idx="103">
                  <c:v>-0.11014025</c:v>
                </c:pt>
                <c:pt idx="104">
                  <c:v>-0.16020584999999998</c:v>
                </c:pt>
                <c:pt idx="105">
                  <c:v>-0.24570875000000003</c:v>
                </c:pt>
                <c:pt idx="106">
                  <c:v>4.9367999999999981E-3</c:v>
                </c:pt>
                <c:pt idx="107">
                  <c:v>6.5725149999999996E-2</c:v>
                </c:pt>
                <c:pt idx="108">
                  <c:v>3.0256749999999999E-2</c:v>
                </c:pt>
                <c:pt idx="109">
                  <c:v>-2.8265799999999997E-2</c:v>
                </c:pt>
                <c:pt idx="110">
                  <c:v>4.5692349999999993E-2</c:v>
                </c:pt>
                <c:pt idx="111">
                  <c:v>1.6431500000000002E-2</c:v>
                </c:pt>
                <c:pt idx="112">
                  <c:v>4.2347799999999998E-2</c:v>
                </c:pt>
                <c:pt idx="113">
                  <c:v>-0.1923724</c:v>
                </c:pt>
                <c:pt idx="114">
                  <c:v>-0.1459163</c:v>
                </c:pt>
                <c:pt idx="115">
                  <c:v>-5.3029549999999995E-2</c:v>
                </c:pt>
                <c:pt idx="116">
                  <c:v>-6.5966350000000007E-2</c:v>
                </c:pt>
                <c:pt idx="117">
                  <c:v>-0.10742739999999999</c:v>
                </c:pt>
                <c:pt idx="118">
                  <c:v>1.9599599999999995E-2</c:v>
                </c:pt>
                <c:pt idx="119">
                  <c:v>-2.7850699999999999E-2</c:v>
                </c:pt>
                <c:pt idx="120">
                  <c:v>-0.1808777</c:v>
                </c:pt>
                <c:pt idx="121">
                  <c:v>-8.2780999999999993E-2</c:v>
                </c:pt>
                <c:pt idx="122">
                  <c:v>5.8191150000000004E-2</c:v>
                </c:pt>
                <c:pt idx="123">
                  <c:v>-0.19303605000000001</c:v>
                </c:pt>
                <c:pt idx="124">
                  <c:v>-0.12913445000000001</c:v>
                </c:pt>
                <c:pt idx="125">
                  <c:v>-0.22939289999999998</c:v>
                </c:pt>
                <c:pt idx="126">
                  <c:v>3.3195250000000003E-2</c:v>
                </c:pt>
                <c:pt idx="127">
                  <c:v>-5.370055E-2</c:v>
                </c:pt>
                <c:pt idx="128">
                  <c:v>4.8563550000000004E-2</c:v>
                </c:pt>
                <c:pt idx="129">
                  <c:v>7.9095150000000003E-2</c:v>
                </c:pt>
                <c:pt idx="130">
                  <c:v>0.12858164999999999</c:v>
                </c:pt>
                <c:pt idx="131">
                  <c:v>6.7300999999999993E-3</c:v>
                </c:pt>
                <c:pt idx="132">
                  <c:v>0.18625675000000003</c:v>
                </c:pt>
                <c:pt idx="133">
                  <c:v>-2.1784249999999998E-2</c:v>
                </c:pt>
                <c:pt idx="134">
                  <c:v>-3.4680050000000004E-2</c:v>
                </c:pt>
                <c:pt idx="135">
                  <c:v>3.5378199999999999E-2</c:v>
                </c:pt>
                <c:pt idx="136">
                  <c:v>0.17295319999999997</c:v>
                </c:pt>
                <c:pt idx="137">
                  <c:v>0.19565954999999999</c:v>
                </c:pt>
                <c:pt idx="138">
                  <c:v>0.12693765000000001</c:v>
                </c:pt>
                <c:pt idx="139">
                  <c:v>0.28894500000000001</c:v>
                </c:pt>
                <c:pt idx="140">
                  <c:v>0.24130184999999998</c:v>
                </c:pt>
                <c:pt idx="141">
                  <c:v>8.4721049999999992E-2</c:v>
                </c:pt>
                <c:pt idx="142">
                  <c:v>0.12199915</c:v>
                </c:pt>
                <c:pt idx="143">
                  <c:v>0.20599915000000002</c:v>
                </c:pt>
                <c:pt idx="144">
                  <c:v>0.31890399999999997</c:v>
                </c:pt>
                <c:pt idx="145">
                  <c:v>0.16116895000000003</c:v>
                </c:pt>
                <c:pt idx="146">
                  <c:v>0.36693509999999996</c:v>
                </c:pt>
                <c:pt idx="147">
                  <c:v>0.53617134999999994</c:v>
                </c:pt>
                <c:pt idx="148">
                  <c:v>0.31299505000000005</c:v>
                </c:pt>
                <c:pt idx="149">
                  <c:v>0.29639700000000002</c:v>
                </c:pt>
                <c:pt idx="150">
                  <c:v>0.43140025000000004</c:v>
                </c:pt>
                <c:pt idx="151">
                  <c:v>0.48834610000000001</c:v>
                </c:pt>
                <c:pt idx="152">
                  <c:v>0.49980630000000004</c:v>
                </c:pt>
                <c:pt idx="153">
                  <c:v>0.44321729999999998</c:v>
                </c:pt>
                <c:pt idx="154">
                  <c:v>0.53748309999999999</c:v>
                </c:pt>
                <c:pt idx="155">
                  <c:v>0.49804750000000003</c:v>
                </c:pt>
                <c:pt idx="156">
                  <c:v>0.49386624999999995</c:v>
                </c:pt>
                <c:pt idx="157">
                  <c:v>0.39631414999999998</c:v>
                </c:pt>
                <c:pt idx="158">
                  <c:v>0.48703435</c:v>
                </c:pt>
                <c:pt idx="159">
                  <c:v>0.55399745</c:v>
                </c:pt>
                <c:pt idx="160">
                  <c:v>0.41406474999999998</c:v>
                </c:pt>
                <c:pt idx="161">
                  <c:v>0.46611395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110264"/>
        <c:axId val="381110656"/>
      </c:scatterChart>
      <c:valAx>
        <c:axId val="381110264"/>
        <c:scaling>
          <c:orientation val="minMax"/>
          <c:max val="2015"/>
          <c:min val="1850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Year</a:t>
                </a:r>
              </a:p>
            </c:rich>
          </c:tx>
          <c:layout>
            <c:manualLayout>
              <c:xMode val="edge"/>
              <c:yMode val="edge"/>
              <c:x val="0.53147533126788948"/>
              <c:y val="0.90757086076153715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381110656"/>
        <c:crosses val="autoZero"/>
        <c:crossBetween val="midCat"/>
      </c:valAx>
      <c:valAx>
        <c:axId val="381110656"/>
        <c:scaling>
          <c:orientation val="minMax"/>
          <c:max val="0.60000000000000009"/>
          <c:min val="-0.60000000000000009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sz="1600"/>
                  <a:t>Temperature Anomaly</a:t>
                </a:r>
              </a:p>
            </c:rich>
          </c:tx>
          <c:layout>
            <c:manualLayout>
              <c:xMode val="edge"/>
              <c:yMode val="edge"/>
              <c:x val="3.3594111096407896E-3"/>
              <c:y val="0.2572650039214808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811102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9379498568079451"/>
          <c:y val="7.2547000042975041E-2"/>
          <c:w val="0.29279690464504382"/>
          <c:h val="0.24896294553975548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spPr>
    <a:solidFill>
      <a:srgbClr val="99FFCC"/>
    </a:solidFill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47112860892391E-2"/>
          <c:y val="5.1400554097404488E-2"/>
          <c:w val="0.80213910761154861"/>
          <c:h val="0.8971988918051909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'main (2)'!$B$10:$B$171</c:f>
              <c:numCache>
                <c:formatCode>General</c:formatCode>
                <c:ptCount val="162"/>
                <c:pt idx="0">
                  <c:v>-0.219</c:v>
                </c:pt>
                <c:pt idx="1">
                  <c:v>-0.223</c:v>
                </c:pt>
                <c:pt idx="2">
                  <c:v>-0.26800000000000002</c:v>
                </c:pt>
                <c:pt idx="3">
                  <c:v>-0.24299999999999999</c:v>
                </c:pt>
                <c:pt idx="4">
                  <c:v>-0.26400000000000001</c:v>
                </c:pt>
                <c:pt idx="5">
                  <c:v>-0.35599999999999998</c:v>
                </c:pt>
                <c:pt idx="6">
                  <c:v>-0.45400000000000001</c:v>
                </c:pt>
                <c:pt idx="7">
                  <c:v>-0.46100000000000002</c:v>
                </c:pt>
                <c:pt idx="8">
                  <c:v>-0.28199999999999997</c:v>
                </c:pt>
                <c:pt idx="9">
                  <c:v>-0.33800000000000002</c:v>
                </c:pt>
                <c:pt idx="10">
                  <c:v>-0.39100000000000001</c:v>
                </c:pt>
                <c:pt idx="11">
                  <c:v>-0.503</c:v>
                </c:pt>
                <c:pt idx="12">
                  <c:v>-0.27500000000000002</c:v>
                </c:pt>
                <c:pt idx="13">
                  <c:v>-0.47799999999999998</c:v>
                </c:pt>
                <c:pt idx="14">
                  <c:v>-0.27</c:v>
                </c:pt>
                <c:pt idx="15">
                  <c:v>-0.24099999999999999</c:v>
                </c:pt>
                <c:pt idx="16">
                  <c:v>-0.308</c:v>
                </c:pt>
                <c:pt idx="17">
                  <c:v>-0.23</c:v>
                </c:pt>
                <c:pt idx="18">
                  <c:v>-0.25900000000000001</c:v>
                </c:pt>
                <c:pt idx="19">
                  <c:v>-0.27100000000000002</c:v>
                </c:pt>
                <c:pt idx="20">
                  <c:v>-0.32600000000000001</c:v>
                </c:pt>
                <c:pt idx="21">
                  <c:v>-0.22900000000000001</c:v>
                </c:pt>
                <c:pt idx="22">
                  <c:v>-0.30599999999999999</c:v>
                </c:pt>
                <c:pt idx="23">
                  <c:v>-0.373</c:v>
                </c:pt>
                <c:pt idx="24">
                  <c:v>-0.40799999999999997</c:v>
                </c:pt>
                <c:pt idx="25">
                  <c:v>-0.38400000000000001</c:v>
                </c:pt>
                <c:pt idx="26">
                  <c:v>-7.2999999999999995E-2</c:v>
                </c:pt>
                <c:pt idx="27">
                  <c:v>3.2000000000000001E-2</c:v>
                </c:pt>
                <c:pt idx="28">
                  <c:v>-0.23400000000000001</c:v>
                </c:pt>
                <c:pt idx="29">
                  <c:v>-0.23</c:v>
                </c:pt>
                <c:pt idx="30">
                  <c:v>-0.20699999999999999</c:v>
                </c:pt>
                <c:pt idx="31">
                  <c:v>-0.214</c:v>
                </c:pt>
                <c:pt idx="32">
                  <c:v>-0.29199999999999998</c:v>
                </c:pt>
                <c:pt idx="33">
                  <c:v>-0.40300000000000002</c:v>
                </c:pt>
                <c:pt idx="34">
                  <c:v>-0.38500000000000001</c:v>
                </c:pt>
                <c:pt idx="35">
                  <c:v>-0.36599999999999999</c:v>
                </c:pt>
                <c:pt idx="36">
                  <c:v>-0.41799999999999998</c:v>
                </c:pt>
                <c:pt idx="37">
                  <c:v>-0.309</c:v>
                </c:pt>
                <c:pt idx="38">
                  <c:v>-0.17299999999999999</c:v>
                </c:pt>
                <c:pt idx="39">
                  <c:v>-0.41899999999999998</c:v>
                </c:pt>
                <c:pt idx="40">
                  <c:v>-0.33900000000000002</c:v>
                </c:pt>
                <c:pt idx="41">
                  <c:v>-0.45600000000000002</c:v>
                </c:pt>
                <c:pt idx="42">
                  <c:v>-0.47499999999999998</c:v>
                </c:pt>
                <c:pt idx="43">
                  <c:v>-0.40799999999999997</c:v>
                </c:pt>
                <c:pt idx="44">
                  <c:v>-0.39300000000000002</c:v>
                </c:pt>
                <c:pt idx="45">
                  <c:v>-0.191</c:v>
                </c:pt>
                <c:pt idx="46">
                  <c:v>-0.21</c:v>
                </c:pt>
                <c:pt idx="47">
                  <c:v>-0.40799999999999997</c:v>
                </c:pt>
                <c:pt idx="48">
                  <c:v>-0.28799999999999998</c:v>
                </c:pt>
                <c:pt idx="49">
                  <c:v>-0.19800000000000001</c:v>
                </c:pt>
                <c:pt idx="50">
                  <c:v>-0.26700000000000002</c:v>
                </c:pt>
                <c:pt idx="51">
                  <c:v>-0.41199999999999998</c:v>
                </c:pt>
                <c:pt idx="52">
                  <c:v>-0.48099999999999998</c:v>
                </c:pt>
                <c:pt idx="53">
                  <c:v>-0.52800000000000002</c:v>
                </c:pt>
                <c:pt idx="54">
                  <c:v>-0.38200000000000001</c:v>
                </c:pt>
                <c:pt idx="55">
                  <c:v>-0.29399999999999998</c:v>
                </c:pt>
                <c:pt idx="56">
                  <c:v>-0.47599999999999998</c:v>
                </c:pt>
                <c:pt idx="57">
                  <c:v>-0.52300000000000002</c:v>
                </c:pt>
                <c:pt idx="58">
                  <c:v>-0.53600000000000003</c:v>
                </c:pt>
                <c:pt idx="59">
                  <c:v>-0.496</c:v>
                </c:pt>
                <c:pt idx="60">
                  <c:v>-0.55400000000000005</c:v>
                </c:pt>
                <c:pt idx="61">
                  <c:v>-0.44900000000000001</c:v>
                </c:pt>
                <c:pt idx="62">
                  <c:v>-0.439</c:v>
                </c:pt>
                <c:pt idx="63">
                  <c:v>-0.25800000000000001</c:v>
                </c:pt>
                <c:pt idx="64">
                  <c:v>-0.16400000000000001</c:v>
                </c:pt>
                <c:pt idx="65">
                  <c:v>-0.39800000000000002</c:v>
                </c:pt>
                <c:pt idx="66">
                  <c:v>-0.48099999999999998</c:v>
                </c:pt>
                <c:pt idx="67">
                  <c:v>-0.34300000000000003</c:v>
                </c:pt>
                <c:pt idx="68">
                  <c:v>-0.28399999999999997</c:v>
                </c:pt>
                <c:pt idx="69">
                  <c:v>-0.252</c:v>
                </c:pt>
                <c:pt idx="70">
                  <c:v>-0.19</c:v>
                </c:pt>
                <c:pt idx="71">
                  <c:v>-0.309</c:v>
                </c:pt>
                <c:pt idx="72">
                  <c:v>-0.27500000000000002</c:v>
                </c:pt>
                <c:pt idx="73">
                  <c:v>-0.3</c:v>
                </c:pt>
                <c:pt idx="74">
                  <c:v>-0.219</c:v>
                </c:pt>
                <c:pt idx="75">
                  <c:v>-0.112</c:v>
                </c:pt>
                <c:pt idx="76">
                  <c:v>-0.21299999999999999</c:v>
                </c:pt>
                <c:pt idx="77">
                  <c:v>-0.21099999999999999</c:v>
                </c:pt>
                <c:pt idx="78">
                  <c:v>-0.34899999999999998</c:v>
                </c:pt>
                <c:pt idx="79">
                  <c:v>-0.13800000000000001</c:v>
                </c:pt>
                <c:pt idx="80">
                  <c:v>-8.6999999999999994E-2</c:v>
                </c:pt>
                <c:pt idx="81">
                  <c:v>-0.13500000000000001</c:v>
                </c:pt>
                <c:pt idx="82">
                  <c:v>-0.27300000000000002</c:v>
                </c:pt>
                <c:pt idx="83">
                  <c:v>-0.126</c:v>
                </c:pt>
                <c:pt idx="84">
                  <c:v>-0.17599999999999999</c:v>
                </c:pt>
                <c:pt idx="85">
                  <c:v>-0.14299999999999999</c:v>
                </c:pt>
                <c:pt idx="86">
                  <c:v>-2.5000000000000001E-2</c:v>
                </c:pt>
                <c:pt idx="87">
                  <c:v>-5.0000000000000001E-3</c:v>
                </c:pt>
                <c:pt idx="88">
                  <c:v>-5.5E-2</c:v>
                </c:pt>
                <c:pt idx="89">
                  <c:v>1.7999999999999999E-2</c:v>
                </c:pt>
                <c:pt idx="90">
                  <c:v>1.7999999999999999E-2</c:v>
                </c:pt>
                <c:pt idx="91">
                  <c:v>-2.3E-2</c:v>
                </c:pt>
                <c:pt idx="92">
                  <c:v>-3.0000000000000001E-3</c:v>
                </c:pt>
                <c:pt idx="93">
                  <c:v>0.15</c:v>
                </c:pt>
                <c:pt idx="94">
                  <c:v>3.3000000000000002E-2</c:v>
                </c:pt>
                <c:pt idx="95">
                  <c:v>-6.8000000000000005E-2</c:v>
                </c:pt>
                <c:pt idx="96">
                  <c:v>-3.7999999999999999E-2</c:v>
                </c:pt>
                <c:pt idx="97">
                  <c:v>-3.5000000000000003E-2</c:v>
                </c:pt>
                <c:pt idx="98">
                  <c:v>-7.5999999999999998E-2</c:v>
                </c:pt>
                <c:pt idx="99">
                  <c:v>-0.17399999999999999</c:v>
                </c:pt>
                <c:pt idx="100">
                  <c:v>-4.8000000000000001E-2</c:v>
                </c:pt>
                <c:pt idx="101">
                  <c:v>3.3000000000000002E-2</c:v>
                </c:pt>
                <c:pt idx="102">
                  <c:v>0.10100000000000001</c:v>
                </c:pt>
                <c:pt idx="103">
                  <c:v>-0.128</c:v>
                </c:pt>
                <c:pt idx="104">
                  <c:v>-0.185</c:v>
                </c:pt>
                <c:pt idx="105">
                  <c:v>-0.26200000000000001</c:v>
                </c:pt>
                <c:pt idx="106">
                  <c:v>-1E-3</c:v>
                </c:pt>
                <c:pt idx="107">
                  <c:v>4.9000000000000002E-2</c:v>
                </c:pt>
                <c:pt idx="108">
                  <c:v>1.7000000000000001E-2</c:v>
                </c:pt>
                <c:pt idx="109">
                  <c:v>-0.05</c:v>
                </c:pt>
                <c:pt idx="110">
                  <c:v>3.9E-2</c:v>
                </c:pt>
                <c:pt idx="111">
                  <c:v>1.7999999999999999E-2</c:v>
                </c:pt>
                <c:pt idx="112">
                  <c:v>0.05</c:v>
                </c:pt>
                <c:pt idx="113">
                  <c:v>-0.224</c:v>
                </c:pt>
                <c:pt idx="114">
                  <c:v>-0.14099999999999999</c:v>
                </c:pt>
                <c:pt idx="115">
                  <c:v>-7.2999999999999995E-2</c:v>
                </c:pt>
                <c:pt idx="116">
                  <c:v>-7.5999999999999998E-2</c:v>
                </c:pt>
                <c:pt idx="117">
                  <c:v>-0.113</c:v>
                </c:pt>
                <c:pt idx="118">
                  <c:v>2.9000000000000001E-2</c:v>
                </c:pt>
                <c:pt idx="119">
                  <c:v>-2.9000000000000001E-2</c:v>
                </c:pt>
                <c:pt idx="120">
                  <c:v>-0.184</c:v>
                </c:pt>
                <c:pt idx="121">
                  <c:v>-6.9000000000000006E-2</c:v>
                </c:pt>
                <c:pt idx="122">
                  <c:v>6.3E-2</c:v>
                </c:pt>
                <c:pt idx="123">
                  <c:v>-0.21099999999999999</c:v>
                </c:pt>
                <c:pt idx="124">
                  <c:v>-0.14499999999999999</c:v>
                </c:pt>
                <c:pt idx="125">
                  <c:v>-0.23799999999999999</c:v>
                </c:pt>
                <c:pt idx="126">
                  <c:v>4.5999999999999999E-2</c:v>
                </c:pt>
                <c:pt idx="127">
                  <c:v>-6.2E-2</c:v>
                </c:pt>
                <c:pt idx="128">
                  <c:v>5.8000000000000003E-2</c:v>
                </c:pt>
                <c:pt idx="129">
                  <c:v>9.2999999999999999E-2</c:v>
                </c:pt>
                <c:pt idx="130">
                  <c:v>0.14199999999999999</c:v>
                </c:pt>
                <c:pt idx="131">
                  <c:v>1.2999999999999999E-2</c:v>
                </c:pt>
                <c:pt idx="132">
                  <c:v>0.191</c:v>
                </c:pt>
                <c:pt idx="133">
                  <c:v>-1.4E-2</c:v>
                </c:pt>
                <c:pt idx="134">
                  <c:v>-2.9000000000000001E-2</c:v>
                </c:pt>
                <c:pt idx="135">
                  <c:v>4.7E-2</c:v>
                </c:pt>
                <c:pt idx="136">
                  <c:v>0.186</c:v>
                </c:pt>
                <c:pt idx="137">
                  <c:v>0.20100000000000001</c:v>
                </c:pt>
                <c:pt idx="138">
                  <c:v>0.121</c:v>
                </c:pt>
                <c:pt idx="139">
                  <c:v>0.29099999999999998</c:v>
                </c:pt>
                <c:pt idx="140">
                  <c:v>0.253</c:v>
                </c:pt>
                <c:pt idx="141">
                  <c:v>0.10199999999999999</c:v>
                </c:pt>
                <c:pt idx="142">
                  <c:v>0.14299999999999999</c:v>
                </c:pt>
                <c:pt idx="143">
                  <c:v>0.20300000000000001</c:v>
                </c:pt>
                <c:pt idx="144">
                  <c:v>0.32400000000000001</c:v>
                </c:pt>
                <c:pt idx="145">
                  <c:v>0.17899999999999999</c:v>
                </c:pt>
                <c:pt idx="146">
                  <c:v>0.39200000000000002</c:v>
                </c:pt>
                <c:pt idx="147">
                  <c:v>0.53100000000000003</c:v>
                </c:pt>
                <c:pt idx="148">
                  <c:v>0.30099999999999999</c:v>
                </c:pt>
                <c:pt idx="149">
                  <c:v>0.29399999999999998</c:v>
                </c:pt>
                <c:pt idx="150">
                  <c:v>0.437</c:v>
                </c:pt>
                <c:pt idx="151">
                  <c:v>0.49199999999999999</c:v>
                </c:pt>
                <c:pt idx="152">
                  <c:v>0.503</c:v>
                </c:pt>
                <c:pt idx="153">
                  <c:v>0.44500000000000001</c:v>
                </c:pt>
                <c:pt idx="154">
                  <c:v>0.53900000000000003</c:v>
                </c:pt>
                <c:pt idx="155">
                  <c:v>0.495</c:v>
                </c:pt>
                <c:pt idx="156">
                  <c:v>0.48299999999999998</c:v>
                </c:pt>
                <c:pt idx="157">
                  <c:v>0.38800000000000001</c:v>
                </c:pt>
                <c:pt idx="158">
                  <c:v>0.49399999999999999</c:v>
                </c:pt>
                <c:pt idx="159">
                  <c:v>0.54700000000000004</c:v>
                </c:pt>
                <c:pt idx="160">
                  <c:v>0.40600000000000003</c:v>
                </c:pt>
                <c:pt idx="161">
                  <c:v>0.44800000000000001</c:v>
                </c:pt>
              </c:numCache>
            </c:numRef>
          </c:xVal>
          <c:yVal>
            <c:numRef>
              <c:f>'main (2)'!$C$10:$C$171</c:f>
              <c:numCache>
                <c:formatCode>General</c:formatCode>
                <c:ptCount val="162"/>
                <c:pt idx="0">
                  <c:v>-3.9067150000000009E-2</c:v>
                </c:pt>
                <c:pt idx="1">
                  <c:v>-2.314179999999999E-2</c:v>
                </c:pt>
                <c:pt idx="2">
                  <c:v>-0.22667014999999999</c:v>
                </c:pt>
                <c:pt idx="3">
                  <c:v>-8.3979350000000008E-2</c:v>
                </c:pt>
                <c:pt idx="4">
                  <c:v>-0.19761600000000001</c:v>
                </c:pt>
                <c:pt idx="5">
                  <c:v>-0.36006389999999999</c:v>
                </c:pt>
                <c:pt idx="6">
                  <c:v>-0.39967169999999996</c:v>
                </c:pt>
                <c:pt idx="7">
                  <c:v>-0.4306758</c:v>
                </c:pt>
                <c:pt idx="8">
                  <c:v>-0.25783005000000003</c:v>
                </c:pt>
                <c:pt idx="9">
                  <c:v>-0.35641339999999999</c:v>
                </c:pt>
                <c:pt idx="10">
                  <c:v>-0.38049370000000005</c:v>
                </c:pt>
                <c:pt idx="11">
                  <c:v>-0.46755690000000005</c:v>
                </c:pt>
                <c:pt idx="12">
                  <c:v>-0.2699375</c:v>
                </c:pt>
                <c:pt idx="13">
                  <c:v>-0.47632065000000001</c:v>
                </c:pt>
                <c:pt idx="14">
                  <c:v>-0.2657407</c:v>
                </c:pt>
                <c:pt idx="15">
                  <c:v>-0.24536745000000001</c:v>
                </c:pt>
                <c:pt idx="16">
                  <c:v>-0.31145935000000002</c:v>
                </c:pt>
                <c:pt idx="17">
                  <c:v>-0.24437975000000001</c:v>
                </c:pt>
                <c:pt idx="18">
                  <c:v>-0.25422139999999999</c:v>
                </c:pt>
                <c:pt idx="19">
                  <c:v>-0.29749215000000001</c:v>
                </c:pt>
                <c:pt idx="20">
                  <c:v>-0.34202374999999996</c:v>
                </c:pt>
                <c:pt idx="21">
                  <c:v>-0.23618039999999998</c:v>
                </c:pt>
                <c:pt idx="22">
                  <c:v>-0.29022959999999998</c:v>
                </c:pt>
                <c:pt idx="23">
                  <c:v>-0.39275950000000004</c:v>
                </c:pt>
                <c:pt idx="24">
                  <c:v>-0.45460539999999999</c:v>
                </c:pt>
                <c:pt idx="25">
                  <c:v>-0.37299249999999995</c:v>
                </c:pt>
                <c:pt idx="26">
                  <c:v>-0.10703775</c:v>
                </c:pt>
                <c:pt idx="27">
                  <c:v>7.9499500000000008E-3</c:v>
                </c:pt>
                <c:pt idx="28">
                  <c:v>-0.30441425</c:v>
                </c:pt>
                <c:pt idx="29">
                  <c:v>-0.22833055000000002</c:v>
                </c:pt>
                <c:pt idx="30">
                  <c:v>-0.2488958</c:v>
                </c:pt>
                <c:pt idx="31">
                  <c:v>-0.23170790000000002</c:v>
                </c:pt>
                <c:pt idx="32">
                  <c:v>-0.34545934999999994</c:v>
                </c:pt>
                <c:pt idx="33">
                  <c:v>-0.43990639999999998</c:v>
                </c:pt>
                <c:pt idx="34">
                  <c:v>-0.42354135000000004</c:v>
                </c:pt>
                <c:pt idx="35">
                  <c:v>-0.38344945000000002</c:v>
                </c:pt>
                <c:pt idx="36">
                  <c:v>-0.43258560000000001</c:v>
                </c:pt>
                <c:pt idx="37">
                  <c:v>-0.35773335000000001</c:v>
                </c:pt>
                <c:pt idx="38">
                  <c:v>-0.18616484999999999</c:v>
                </c:pt>
                <c:pt idx="39">
                  <c:v>-0.40136490000000002</c:v>
                </c:pt>
                <c:pt idx="40">
                  <c:v>-0.3558654</c:v>
                </c:pt>
                <c:pt idx="41">
                  <c:v>-0.45665204999999998</c:v>
                </c:pt>
                <c:pt idx="42">
                  <c:v>-0.47711720000000002</c:v>
                </c:pt>
                <c:pt idx="43">
                  <c:v>-0.40706629999999999</c:v>
                </c:pt>
                <c:pt idx="44">
                  <c:v>-0.39614674999999999</c:v>
                </c:pt>
                <c:pt idx="45">
                  <c:v>-0.22009924999999997</c:v>
                </c:pt>
                <c:pt idx="46">
                  <c:v>-0.2142559</c:v>
                </c:pt>
                <c:pt idx="47">
                  <c:v>-0.36885875000000001</c:v>
                </c:pt>
                <c:pt idx="48">
                  <c:v>-0.27666110000000005</c:v>
                </c:pt>
                <c:pt idx="49">
                  <c:v>-0.18410575000000001</c:v>
                </c:pt>
                <c:pt idx="50">
                  <c:v>-0.24696705000000002</c:v>
                </c:pt>
                <c:pt idx="51">
                  <c:v>-0.38592929999999998</c:v>
                </c:pt>
                <c:pt idx="52">
                  <c:v>-0.45098174999999996</c:v>
                </c:pt>
                <c:pt idx="53">
                  <c:v>-0.50824345000000004</c:v>
                </c:pt>
                <c:pt idx="54">
                  <c:v>-0.37948140000000002</c:v>
                </c:pt>
                <c:pt idx="55">
                  <c:v>-0.27319919999999998</c:v>
                </c:pt>
                <c:pt idx="56">
                  <c:v>-0.4808924</c:v>
                </c:pt>
                <c:pt idx="57">
                  <c:v>-0.48527215000000001</c:v>
                </c:pt>
                <c:pt idx="58">
                  <c:v>-0.49101455000000005</c:v>
                </c:pt>
                <c:pt idx="59">
                  <c:v>-0.44835005</c:v>
                </c:pt>
                <c:pt idx="60">
                  <c:v>-0.49168639999999997</c:v>
                </c:pt>
                <c:pt idx="61">
                  <c:v>-0.423232</c:v>
                </c:pt>
                <c:pt idx="62">
                  <c:v>-0.39709004999999997</c:v>
                </c:pt>
                <c:pt idx="63">
                  <c:v>-0.2166266</c:v>
                </c:pt>
                <c:pt idx="64">
                  <c:v>-0.15111805</c:v>
                </c:pt>
                <c:pt idx="65">
                  <c:v>-0.3687841</c:v>
                </c:pt>
                <c:pt idx="66">
                  <c:v>-0.49641989999999997</c:v>
                </c:pt>
                <c:pt idx="67">
                  <c:v>-0.3592747</c:v>
                </c:pt>
                <c:pt idx="68">
                  <c:v>-0.30000480000000002</c:v>
                </c:pt>
                <c:pt idx="69">
                  <c:v>-0.2549515</c:v>
                </c:pt>
                <c:pt idx="70">
                  <c:v>-0.17117545000000001</c:v>
                </c:pt>
                <c:pt idx="71">
                  <c:v>-0.28587190000000001</c:v>
                </c:pt>
                <c:pt idx="72">
                  <c:v>-0.26799660000000003</c:v>
                </c:pt>
                <c:pt idx="73">
                  <c:v>-0.2846611</c:v>
                </c:pt>
                <c:pt idx="74">
                  <c:v>-0.22457825000000001</c:v>
                </c:pt>
                <c:pt idx="75">
                  <c:v>-9.934285000000001E-2</c:v>
                </c:pt>
                <c:pt idx="76">
                  <c:v>-0.19665375000000002</c:v>
                </c:pt>
                <c:pt idx="77">
                  <c:v>-0.18535840000000001</c:v>
                </c:pt>
                <c:pt idx="78">
                  <c:v>-0.34206389999999998</c:v>
                </c:pt>
                <c:pt idx="79">
                  <c:v>-0.12005655000000001</c:v>
                </c:pt>
                <c:pt idx="80">
                  <c:v>-8.8513499999999995E-2</c:v>
                </c:pt>
                <c:pt idx="81">
                  <c:v>-0.12217219999999999</c:v>
                </c:pt>
                <c:pt idx="82">
                  <c:v>-0.25582355000000001</c:v>
                </c:pt>
                <c:pt idx="83">
                  <c:v>-0.11143304999999999</c:v>
                </c:pt>
                <c:pt idx="84">
                  <c:v>-0.16552495</c:v>
                </c:pt>
                <c:pt idx="85">
                  <c:v>-0.12642980000000001</c:v>
                </c:pt>
                <c:pt idx="86">
                  <c:v>-1.87137E-2</c:v>
                </c:pt>
                <c:pt idx="87">
                  <c:v>1.0350350000000008E-2</c:v>
                </c:pt>
                <c:pt idx="88">
                  <c:v>-4.7019650000000003E-2</c:v>
                </c:pt>
                <c:pt idx="89">
                  <c:v>-6.1829499999999978E-3</c:v>
                </c:pt>
                <c:pt idx="90">
                  <c:v>1.8231300000000002E-2</c:v>
                </c:pt>
                <c:pt idx="91">
                  <c:v>-8.3986999999999985E-3</c:v>
                </c:pt>
                <c:pt idx="92">
                  <c:v>2.5643999999999997E-3</c:v>
                </c:pt>
                <c:pt idx="93">
                  <c:v>0.12592365</c:v>
                </c:pt>
                <c:pt idx="94">
                  <c:v>3.3906400000000003E-2</c:v>
                </c:pt>
                <c:pt idx="95">
                  <c:v>-3.7211649999999999E-2</c:v>
                </c:pt>
                <c:pt idx="96">
                  <c:v>-3.2779299999999997E-2</c:v>
                </c:pt>
                <c:pt idx="97">
                  <c:v>-2.4986850000000001E-2</c:v>
                </c:pt>
                <c:pt idx="98">
                  <c:v>-7.1742399999999998E-2</c:v>
                </c:pt>
                <c:pt idx="99">
                  <c:v>-0.15900409999999998</c:v>
                </c:pt>
                <c:pt idx="100">
                  <c:v>-3.3394600000000003E-2</c:v>
                </c:pt>
                <c:pt idx="101">
                  <c:v>2.9118899999999996E-2</c:v>
                </c:pt>
                <c:pt idx="102">
                  <c:v>9.8638199999999995E-2</c:v>
                </c:pt>
                <c:pt idx="103">
                  <c:v>-0.11014025</c:v>
                </c:pt>
                <c:pt idx="104">
                  <c:v>-0.16020584999999998</c:v>
                </c:pt>
                <c:pt idx="105">
                  <c:v>-0.24570875000000003</c:v>
                </c:pt>
                <c:pt idx="106">
                  <c:v>4.9367999999999981E-3</c:v>
                </c:pt>
                <c:pt idx="107">
                  <c:v>6.5725149999999996E-2</c:v>
                </c:pt>
                <c:pt idx="108">
                  <c:v>3.0256749999999999E-2</c:v>
                </c:pt>
                <c:pt idx="109">
                  <c:v>-2.8265799999999997E-2</c:v>
                </c:pt>
                <c:pt idx="110">
                  <c:v>4.5692349999999993E-2</c:v>
                </c:pt>
                <c:pt idx="111">
                  <c:v>1.6431500000000002E-2</c:v>
                </c:pt>
                <c:pt idx="112">
                  <c:v>4.2347799999999998E-2</c:v>
                </c:pt>
                <c:pt idx="113">
                  <c:v>-0.1923724</c:v>
                </c:pt>
                <c:pt idx="114">
                  <c:v>-0.1459163</c:v>
                </c:pt>
                <c:pt idx="115">
                  <c:v>-5.3029549999999995E-2</c:v>
                </c:pt>
                <c:pt idx="116">
                  <c:v>-6.5966350000000007E-2</c:v>
                </c:pt>
                <c:pt idx="117">
                  <c:v>-0.10742739999999999</c:v>
                </c:pt>
                <c:pt idx="118">
                  <c:v>1.9599599999999995E-2</c:v>
                </c:pt>
                <c:pt idx="119">
                  <c:v>-2.7850699999999999E-2</c:v>
                </c:pt>
                <c:pt idx="120">
                  <c:v>-0.1808777</c:v>
                </c:pt>
                <c:pt idx="121">
                  <c:v>-8.2780999999999993E-2</c:v>
                </c:pt>
                <c:pt idx="122">
                  <c:v>5.8191150000000004E-2</c:v>
                </c:pt>
                <c:pt idx="123">
                  <c:v>-0.19303605000000001</c:v>
                </c:pt>
                <c:pt idx="124">
                  <c:v>-0.12913445000000001</c:v>
                </c:pt>
                <c:pt idx="125">
                  <c:v>-0.22939289999999998</c:v>
                </c:pt>
                <c:pt idx="126">
                  <c:v>3.3195250000000003E-2</c:v>
                </c:pt>
                <c:pt idx="127">
                  <c:v>-5.370055E-2</c:v>
                </c:pt>
                <c:pt idx="128">
                  <c:v>4.8563550000000004E-2</c:v>
                </c:pt>
                <c:pt idx="129">
                  <c:v>7.9095150000000003E-2</c:v>
                </c:pt>
                <c:pt idx="130">
                  <c:v>0.12858164999999999</c:v>
                </c:pt>
                <c:pt idx="131">
                  <c:v>6.7300999999999993E-3</c:v>
                </c:pt>
                <c:pt idx="132">
                  <c:v>0.18625675000000003</c:v>
                </c:pt>
                <c:pt idx="133">
                  <c:v>-2.1784249999999998E-2</c:v>
                </c:pt>
                <c:pt idx="134">
                  <c:v>-3.4680050000000004E-2</c:v>
                </c:pt>
                <c:pt idx="135">
                  <c:v>3.5378199999999999E-2</c:v>
                </c:pt>
                <c:pt idx="136">
                  <c:v>0.17295319999999997</c:v>
                </c:pt>
                <c:pt idx="137">
                  <c:v>0.19565954999999999</c:v>
                </c:pt>
                <c:pt idx="138">
                  <c:v>0.12693765000000001</c:v>
                </c:pt>
                <c:pt idx="139">
                  <c:v>0.28894500000000001</c:v>
                </c:pt>
                <c:pt idx="140">
                  <c:v>0.24130184999999998</c:v>
                </c:pt>
                <c:pt idx="141">
                  <c:v>8.4721049999999992E-2</c:v>
                </c:pt>
                <c:pt idx="142">
                  <c:v>0.12199915</c:v>
                </c:pt>
                <c:pt idx="143">
                  <c:v>0.20599915000000002</c:v>
                </c:pt>
                <c:pt idx="144">
                  <c:v>0.31890399999999997</c:v>
                </c:pt>
                <c:pt idx="145">
                  <c:v>0.16116895000000003</c:v>
                </c:pt>
                <c:pt idx="146">
                  <c:v>0.36693509999999996</c:v>
                </c:pt>
                <c:pt idx="147">
                  <c:v>0.53617134999999994</c:v>
                </c:pt>
                <c:pt idx="148">
                  <c:v>0.31299505000000005</c:v>
                </c:pt>
                <c:pt idx="149">
                  <c:v>0.29639700000000002</c:v>
                </c:pt>
                <c:pt idx="150">
                  <c:v>0.43140025000000004</c:v>
                </c:pt>
                <c:pt idx="151">
                  <c:v>0.48834610000000001</c:v>
                </c:pt>
                <c:pt idx="152">
                  <c:v>0.49980630000000004</c:v>
                </c:pt>
                <c:pt idx="153">
                  <c:v>0.44321729999999998</c:v>
                </c:pt>
                <c:pt idx="154">
                  <c:v>0.53748309999999999</c:v>
                </c:pt>
                <c:pt idx="155">
                  <c:v>0.49804750000000003</c:v>
                </c:pt>
                <c:pt idx="156">
                  <c:v>0.49386624999999995</c:v>
                </c:pt>
                <c:pt idx="157">
                  <c:v>0.39631414999999998</c:v>
                </c:pt>
                <c:pt idx="158">
                  <c:v>0.48703435</c:v>
                </c:pt>
                <c:pt idx="159">
                  <c:v>0.55399745</c:v>
                </c:pt>
                <c:pt idx="160">
                  <c:v>0.41406474999999998</c:v>
                </c:pt>
                <c:pt idx="161">
                  <c:v>0.46611395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111440"/>
        <c:axId val="381111832"/>
      </c:scatterChart>
      <c:valAx>
        <c:axId val="381111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1111832"/>
        <c:crosses val="autoZero"/>
        <c:crossBetween val="midCat"/>
      </c:valAx>
      <c:valAx>
        <c:axId val="381111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11114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20353943635833399"/>
                  <c:y val="-1.0138734583253281E-2"/>
                </c:manualLayout>
              </c:layout>
              <c:numFmt formatCode="General" sourceLinked="0"/>
            </c:trendlineLbl>
          </c:trendline>
          <c:xVal>
            <c:numRef>
              <c:f>'main (2)'!$B$154:$B$171</c:f>
              <c:numCache>
                <c:formatCode>General</c:formatCode>
                <c:ptCount val="18"/>
                <c:pt idx="0">
                  <c:v>0.32400000000000001</c:v>
                </c:pt>
                <c:pt idx="1">
                  <c:v>0.17899999999999999</c:v>
                </c:pt>
                <c:pt idx="2">
                  <c:v>0.39200000000000002</c:v>
                </c:pt>
                <c:pt idx="3">
                  <c:v>0.53100000000000003</c:v>
                </c:pt>
                <c:pt idx="4">
                  <c:v>0.30099999999999999</c:v>
                </c:pt>
                <c:pt idx="5">
                  <c:v>0.29399999999999998</c:v>
                </c:pt>
                <c:pt idx="6">
                  <c:v>0.437</c:v>
                </c:pt>
                <c:pt idx="7">
                  <c:v>0.49199999999999999</c:v>
                </c:pt>
                <c:pt idx="8">
                  <c:v>0.503</c:v>
                </c:pt>
                <c:pt idx="9">
                  <c:v>0.44500000000000001</c:v>
                </c:pt>
                <c:pt idx="10">
                  <c:v>0.53900000000000003</c:v>
                </c:pt>
                <c:pt idx="11">
                  <c:v>0.495</c:v>
                </c:pt>
                <c:pt idx="12">
                  <c:v>0.48299999999999998</c:v>
                </c:pt>
                <c:pt idx="13">
                  <c:v>0.38800000000000001</c:v>
                </c:pt>
                <c:pt idx="14">
                  <c:v>0.49399999999999999</c:v>
                </c:pt>
                <c:pt idx="15">
                  <c:v>0.54700000000000004</c:v>
                </c:pt>
                <c:pt idx="16">
                  <c:v>0.40600000000000003</c:v>
                </c:pt>
                <c:pt idx="17">
                  <c:v>0.44800000000000001</c:v>
                </c:pt>
              </c:numCache>
            </c:numRef>
          </c:xVal>
          <c:yVal>
            <c:numRef>
              <c:f>'main (2)'!$C$154:$C$171</c:f>
              <c:numCache>
                <c:formatCode>General</c:formatCode>
                <c:ptCount val="18"/>
                <c:pt idx="0">
                  <c:v>0.31890399999999997</c:v>
                </c:pt>
                <c:pt idx="1">
                  <c:v>0.16116895000000003</c:v>
                </c:pt>
                <c:pt idx="2">
                  <c:v>0.36693509999999996</c:v>
                </c:pt>
                <c:pt idx="3">
                  <c:v>0.53617134999999994</c:v>
                </c:pt>
                <c:pt idx="4">
                  <c:v>0.31299505000000005</c:v>
                </c:pt>
                <c:pt idx="5">
                  <c:v>0.29639700000000002</c:v>
                </c:pt>
                <c:pt idx="6">
                  <c:v>0.43140025000000004</c:v>
                </c:pt>
                <c:pt idx="7">
                  <c:v>0.48834610000000001</c:v>
                </c:pt>
                <c:pt idx="8">
                  <c:v>0.49980630000000004</c:v>
                </c:pt>
                <c:pt idx="9">
                  <c:v>0.44321729999999998</c:v>
                </c:pt>
                <c:pt idx="10">
                  <c:v>0.53748309999999999</c:v>
                </c:pt>
                <c:pt idx="11">
                  <c:v>0.49804750000000003</c:v>
                </c:pt>
                <c:pt idx="12">
                  <c:v>0.49386624999999995</c:v>
                </c:pt>
                <c:pt idx="13">
                  <c:v>0.39631414999999998</c:v>
                </c:pt>
                <c:pt idx="14">
                  <c:v>0.48703435</c:v>
                </c:pt>
                <c:pt idx="15">
                  <c:v>0.55399745</c:v>
                </c:pt>
                <c:pt idx="16">
                  <c:v>0.41406474999999998</c:v>
                </c:pt>
                <c:pt idx="17">
                  <c:v>0.46611395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008672"/>
        <c:axId val="565009064"/>
      </c:scatterChart>
      <c:valAx>
        <c:axId val="56500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5009064"/>
        <c:crosses val="autoZero"/>
        <c:crossBetween val="midCat"/>
      </c:valAx>
      <c:valAx>
        <c:axId val="565009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650086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Absolute error in composing global temperature</a:t>
            </a:r>
          </a:p>
        </c:rich>
      </c:tx>
      <c:layout>
        <c:manualLayout>
          <c:xMode val="edge"/>
          <c:yMode val="edge"/>
          <c:x val="0.22752599004622198"/>
          <c:y val="9.259347916980393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87074500302847"/>
          <c:y val="0.12084499854184894"/>
          <c:w val="0.78052624671916015"/>
          <c:h val="0.7076195683872849"/>
        </c:manualLayout>
      </c:layout>
      <c:scatterChart>
        <c:scatterStyle val="lineMarker"/>
        <c:varyColors val="0"/>
        <c:ser>
          <c:idx val="2"/>
          <c:order val="0"/>
          <c:tx>
            <c:strRef>
              <c:f>'main (2)'!$F$9</c:f>
              <c:strCache>
                <c:ptCount val="1"/>
                <c:pt idx="0">
                  <c:v>Absolute error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4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solidFill>
                  <a:srgbClr val="002060"/>
                </a:solidFill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'main (2)'!$A$10:$A$171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'main (2)'!$F$10:$F$171</c:f>
              <c:numCache>
                <c:formatCode>General</c:formatCode>
                <c:ptCount val="162"/>
                <c:pt idx="0">
                  <c:v>0.17993284999999998</c:v>
                </c:pt>
                <c:pt idx="1">
                  <c:v>0.19985820000000001</c:v>
                </c:pt>
                <c:pt idx="2">
                  <c:v>4.1329850000000029E-2</c:v>
                </c:pt>
                <c:pt idx="3">
                  <c:v>0.15902064999999999</c:v>
                </c:pt>
                <c:pt idx="4">
                  <c:v>6.6383999999999999E-2</c:v>
                </c:pt>
                <c:pt idx="5">
                  <c:v>4.0639000000000092E-3</c:v>
                </c:pt>
                <c:pt idx="6">
                  <c:v>5.4328300000000052E-2</c:v>
                </c:pt>
                <c:pt idx="7">
                  <c:v>3.0324200000000023E-2</c:v>
                </c:pt>
                <c:pt idx="8">
                  <c:v>2.416994999999994E-2</c:v>
                </c:pt>
                <c:pt idx="9">
                  <c:v>1.8413399999999969E-2</c:v>
                </c:pt>
                <c:pt idx="10">
                  <c:v>1.0506299999999968E-2</c:v>
                </c:pt>
                <c:pt idx="11">
                  <c:v>3.544309999999995E-2</c:v>
                </c:pt>
                <c:pt idx="12">
                  <c:v>5.0625000000000253E-3</c:v>
                </c:pt>
                <c:pt idx="13">
                  <c:v>1.6793499999999684E-3</c:v>
                </c:pt>
                <c:pt idx="14">
                  <c:v>4.2593000000000214E-3</c:v>
                </c:pt>
                <c:pt idx="15">
                  <c:v>4.3674500000000227E-3</c:v>
                </c:pt>
                <c:pt idx="16">
                  <c:v>3.4593500000000277E-3</c:v>
                </c:pt>
                <c:pt idx="17">
                  <c:v>1.4379749999999997E-2</c:v>
                </c:pt>
                <c:pt idx="18">
                  <c:v>4.7786000000000217E-3</c:v>
                </c:pt>
                <c:pt idx="19">
                  <c:v>2.6492149999999992E-2</c:v>
                </c:pt>
                <c:pt idx="20">
                  <c:v>1.6023749999999948E-2</c:v>
                </c:pt>
                <c:pt idx="21">
                  <c:v>7.1803999999999757E-3</c:v>
                </c:pt>
                <c:pt idx="22">
                  <c:v>1.5770400000000018E-2</c:v>
                </c:pt>
                <c:pt idx="23">
                  <c:v>1.9759500000000041E-2</c:v>
                </c:pt>
                <c:pt idx="24">
                  <c:v>4.6605400000000019E-2</c:v>
                </c:pt>
                <c:pt idx="25">
                  <c:v>1.1007500000000059E-2</c:v>
                </c:pt>
                <c:pt idx="26">
                  <c:v>3.4037750000000006E-2</c:v>
                </c:pt>
                <c:pt idx="27">
                  <c:v>2.405005E-2</c:v>
                </c:pt>
                <c:pt idx="28">
                  <c:v>7.0414249999999984E-2</c:v>
                </c:pt>
                <c:pt idx="29">
                  <c:v>1.669449999999989E-3</c:v>
                </c:pt>
                <c:pt idx="30">
                  <c:v>4.1895800000000011E-2</c:v>
                </c:pt>
                <c:pt idx="31">
                  <c:v>1.7707900000000026E-2</c:v>
                </c:pt>
                <c:pt idx="32">
                  <c:v>5.3459349999999961E-2</c:v>
                </c:pt>
                <c:pt idx="33">
                  <c:v>3.690639999999995E-2</c:v>
                </c:pt>
                <c:pt idx="34">
                  <c:v>3.854135000000003E-2</c:v>
                </c:pt>
                <c:pt idx="35">
                  <c:v>1.7449450000000033E-2</c:v>
                </c:pt>
                <c:pt idx="36">
                  <c:v>1.4585600000000032E-2</c:v>
                </c:pt>
                <c:pt idx="37">
                  <c:v>4.8733350000000009E-2</c:v>
                </c:pt>
                <c:pt idx="38">
                  <c:v>1.3164850000000006E-2</c:v>
                </c:pt>
                <c:pt idx="39">
                  <c:v>1.7635099999999959E-2</c:v>
                </c:pt>
                <c:pt idx="40">
                  <c:v>1.6865399999999975E-2</c:v>
                </c:pt>
                <c:pt idx="41">
                  <c:v>6.5204999999995961E-4</c:v>
                </c:pt>
                <c:pt idx="42">
                  <c:v>2.1172000000000413E-3</c:v>
                </c:pt>
                <c:pt idx="43">
                  <c:v>9.3369999999998177E-4</c:v>
                </c:pt>
                <c:pt idx="44">
                  <c:v>3.146749999999976E-3</c:v>
                </c:pt>
                <c:pt idx="45">
                  <c:v>2.9099249999999965E-2</c:v>
                </c:pt>
                <c:pt idx="46">
                  <c:v>4.2559000000000069E-3</c:v>
                </c:pt>
                <c:pt idx="47">
                  <c:v>3.9141249999999961E-2</c:v>
                </c:pt>
                <c:pt idx="48">
                  <c:v>1.133889999999993E-2</c:v>
                </c:pt>
                <c:pt idx="49">
                  <c:v>1.3894249999999997E-2</c:v>
                </c:pt>
                <c:pt idx="50">
                  <c:v>2.0032949999999994E-2</c:v>
                </c:pt>
                <c:pt idx="51">
                  <c:v>2.6070700000000002E-2</c:v>
                </c:pt>
                <c:pt idx="52">
                  <c:v>3.0018250000000024E-2</c:v>
                </c:pt>
                <c:pt idx="53">
                  <c:v>1.9756549999999984E-2</c:v>
                </c:pt>
                <c:pt idx="54">
                  <c:v>2.518599999999982E-3</c:v>
                </c:pt>
                <c:pt idx="55">
                  <c:v>2.0800800000000008E-2</c:v>
                </c:pt>
                <c:pt idx="56">
                  <c:v>4.892400000000019E-3</c:v>
                </c:pt>
                <c:pt idx="57">
                  <c:v>3.7727850000000007E-2</c:v>
                </c:pt>
                <c:pt idx="58">
                  <c:v>4.4985449999999982E-2</c:v>
                </c:pt>
                <c:pt idx="59">
                  <c:v>4.7649949999999996E-2</c:v>
                </c:pt>
                <c:pt idx="60">
                  <c:v>6.231360000000008E-2</c:v>
                </c:pt>
                <c:pt idx="61">
                  <c:v>2.5768000000000013E-2</c:v>
                </c:pt>
                <c:pt idx="62">
                  <c:v>4.1909950000000029E-2</c:v>
                </c:pt>
                <c:pt idx="63">
                  <c:v>4.1373400000000005E-2</c:v>
                </c:pt>
                <c:pt idx="64">
                  <c:v>1.2881950000000003E-2</c:v>
                </c:pt>
                <c:pt idx="65">
                  <c:v>2.9215900000000017E-2</c:v>
                </c:pt>
                <c:pt idx="66">
                  <c:v>1.5419899999999986E-2</c:v>
                </c:pt>
                <c:pt idx="67">
                  <c:v>1.6274699999999975E-2</c:v>
                </c:pt>
                <c:pt idx="68">
                  <c:v>1.6004800000000041E-2</c:v>
                </c:pt>
                <c:pt idx="69">
                  <c:v>2.9514999999999958E-3</c:v>
                </c:pt>
                <c:pt idx="70">
                  <c:v>1.8824549999999995E-2</c:v>
                </c:pt>
                <c:pt idx="71">
                  <c:v>2.3128099999999985E-2</c:v>
                </c:pt>
                <c:pt idx="72">
                  <c:v>7.003399999999993E-3</c:v>
                </c:pt>
                <c:pt idx="73">
                  <c:v>1.5338899999999989E-2</c:v>
                </c:pt>
                <c:pt idx="74">
                  <c:v>5.5782500000000068E-3</c:v>
                </c:pt>
                <c:pt idx="75">
                  <c:v>1.2657149999999992E-2</c:v>
                </c:pt>
                <c:pt idx="76">
                  <c:v>1.6346249999999979E-2</c:v>
                </c:pt>
                <c:pt idx="77">
                  <c:v>2.5641599999999987E-2</c:v>
                </c:pt>
                <c:pt idx="78">
                  <c:v>6.9361000000000006E-3</c:v>
                </c:pt>
                <c:pt idx="79">
                  <c:v>1.794345E-2</c:v>
                </c:pt>
                <c:pt idx="80">
                  <c:v>1.513500000000001E-3</c:v>
                </c:pt>
                <c:pt idx="81">
                  <c:v>1.2827800000000014E-2</c:v>
                </c:pt>
                <c:pt idx="82">
                  <c:v>1.717645000000001E-2</c:v>
                </c:pt>
                <c:pt idx="83">
                  <c:v>1.4566950000000009E-2</c:v>
                </c:pt>
                <c:pt idx="84">
                  <c:v>1.0475049999999986E-2</c:v>
                </c:pt>
                <c:pt idx="85">
                  <c:v>1.6570199999999979E-2</c:v>
                </c:pt>
                <c:pt idx="86">
                  <c:v>6.2863000000000016E-3</c:v>
                </c:pt>
                <c:pt idx="87">
                  <c:v>1.5350350000000009E-2</c:v>
                </c:pt>
                <c:pt idx="88">
                  <c:v>7.9803499999999972E-3</c:v>
                </c:pt>
                <c:pt idx="89">
                  <c:v>2.4182949999999995E-2</c:v>
                </c:pt>
                <c:pt idx="90">
                  <c:v>2.3130000000000372E-4</c:v>
                </c:pt>
                <c:pt idx="91">
                  <c:v>1.4601300000000001E-2</c:v>
                </c:pt>
                <c:pt idx="92">
                  <c:v>5.5643999999999997E-3</c:v>
                </c:pt>
                <c:pt idx="93">
                  <c:v>2.4076349999999996E-2</c:v>
                </c:pt>
                <c:pt idx="94">
                  <c:v>9.0640000000000165E-4</c:v>
                </c:pt>
                <c:pt idx="95">
                  <c:v>3.0788350000000006E-2</c:v>
                </c:pt>
                <c:pt idx="96">
                  <c:v>5.2207000000000017E-3</c:v>
                </c:pt>
                <c:pt idx="97">
                  <c:v>1.0013150000000002E-2</c:v>
                </c:pt>
                <c:pt idx="98">
                  <c:v>4.2576000000000003E-3</c:v>
                </c:pt>
                <c:pt idx="99">
                  <c:v>1.4995900000000006E-2</c:v>
                </c:pt>
                <c:pt idx="100">
                  <c:v>1.4605399999999998E-2</c:v>
                </c:pt>
                <c:pt idx="101">
                  <c:v>3.8811000000000054E-3</c:v>
                </c:pt>
                <c:pt idx="102">
                  <c:v>2.3618000000000111E-3</c:v>
                </c:pt>
                <c:pt idx="103">
                  <c:v>1.7859750000000008E-2</c:v>
                </c:pt>
                <c:pt idx="104">
                  <c:v>2.4794150000000015E-2</c:v>
                </c:pt>
                <c:pt idx="105">
                  <c:v>1.6291249999999979E-2</c:v>
                </c:pt>
                <c:pt idx="106">
                  <c:v>5.9367999999999982E-3</c:v>
                </c:pt>
                <c:pt idx="107">
                  <c:v>1.6725149999999994E-2</c:v>
                </c:pt>
                <c:pt idx="108">
                  <c:v>1.3256749999999998E-2</c:v>
                </c:pt>
                <c:pt idx="109">
                  <c:v>2.1734200000000006E-2</c:v>
                </c:pt>
                <c:pt idx="110">
                  <c:v>6.6923499999999927E-3</c:v>
                </c:pt>
                <c:pt idx="111">
                  <c:v>1.568499999999997E-3</c:v>
                </c:pt>
                <c:pt idx="112">
                  <c:v>7.6522000000000048E-3</c:v>
                </c:pt>
                <c:pt idx="113">
                  <c:v>3.1627600000000006E-2</c:v>
                </c:pt>
                <c:pt idx="114">
                  <c:v>4.9163000000000123E-3</c:v>
                </c:pt>
                <c:pt idx="115">
                  <c:v>1.9970450000000001E-2</c:v>
                </c:pt>
                <c:pt idx="116">
                  <c:v>1.0033649999999991E-2</c:v>
                </c:pt>
                <c:pt idx="117">
                  <c:v>5.5726000000000109E-3</c:v>
                </c:pt>
                <c:pt idx="118">
                  <c:v>9.4004000000000067E-3</c:v>
                </c:pt>
                <c:pt idx="119">
                  <c:v>1.1493000000000024E-3</c:v>
                </c:pt>
                <c:pt idx="120">
                  <c:v>3.1222999999999945E-3</c:v>
                </c:pt>
                <c:pt idx="121">
                  <c:v>1.3780999999999988E-2</c:v>
                </c:pt>
                <c:pt idx="122">
                  <c:v>4.8088499999999965E-3</c:v>
                </c:pt>
                <c:pt idx="123">
                  <c:v>1.7963949999999979E-2</c:v>
                </c:pt>
                <c:pt idx="124">
                  <c:v>1.5865549999999978E-2</c:v>
                </c:pt>
                <c:pt idx="125">
                  <c:v>8.6071000000000064E-3</c:v>
                </c:pt>
                <c:pt idx="126">
                  <c:v>1.2804749999999997E-2</c:v>
                </c:pt>
                <c:pt idx="127">
                  <c:v>8.2994499999999999E-3</c:v>
                </c:pt>
                <c:pt idx="128">
                  <c:v>9.436449999999999E-3</c:v>
                </c:pt>
                <c:pt idx="129">
                  <c:v>1.3904849999999996E-2</c:v>
                </c:pt>
                <c:pt idx="130">
                  <c:v>1.3418349999999996E-2</c:v>
                </c:pt>
                <c:pt idx="131">
                  <c:v>6.2699000000000001E-3</c:v>
                </c:pt>
                <c:pt idx="132">
                  <c:v>4.7432499999999767E-3</c:v>
                </c:pt>
                <c:pt idx="133">
                  <c:v>7.7842499999999978E-3</c:v>
                </c:pt>
                <c:pt idx="134">
                  <c:v>5.6800500000000025E-3</c:v>
                </c:pt>
                <c:pt idx="135">
                  <c:v>1.1621800000000002E-2</c:v>
                </c:pt>
                <c:pt idx="136">
                  <c:v>1.3046800000000025E-2</c:v>
                </c:pt>
                <c:pt idx="137">
                  <c:v>5.3404500000000243E-3</c:v>
                </c:pt>
                <c:pt idx="138">
                  <c:v>5.9376500000000165E-3</c:v>
                </c:pt>
                <c:pt idx="139">
                  <c:v>2.0549999999999735E-3</c:v>
                </c:pt>
                <c:pt idx="140">
                  <c:v>1.1698150000000018E-2</c:v>
                </c:pt>
                <c:pt idx="141">
                  <c:v>1.7278950000000001E-2</c:v>
                </c:pt>
                <c:pt idx="142">
                  <c:v>2.1000849999999988E-2</c:v>
                </c:pt>
                <c:pt idx="143">
                  <c:v>2.999150000000006E-3</c:v>
                </c:pt>
                <c:pt idx="144">
                  <c:v>5.0960000000000449E-3</c:v>
                </c:pt>
                <c:pt idx="145">
                  <c:v>1.7831049999999959E-2</c:v>
                </c:pt>
                <c:pt idx="146">
                  <c:v>2.5064900000000057E-2</c:v>
                </c:pt>
                <c:pt idx="147">
                  <c:v>5.171349999999908E-3</c:v>
                </c:pt>
                <c:pt idx="148">
                  <c:v>1.1995050000000063E-2</c:v>
                </c:pt>
                <c:pt idx="149">
                  <c:v>2.397000000000038E-3</c:v>
                </c:pt>
                <c:pt idx="150">
                  <c:v>5.5997499999999589E-3</c:v>
                </c:pt>
                <c:pt idx="151">
                  <c:v>3.6538999999999877E-3</c:v>
                </c:pt>
                <c:pt idx="152">
                  <c:v>3.193699999999966E-3</c:v>
                </c:pt>
                <c:pt idx="153">
                  <c:v>1.7827000000000259E-3</c:v>
                </c:pt>
                <c:pt idx="154">
                  <c:v>1.5169000000000432E-3</c:v>
                </c:pt>
                <c:pt idx="155">
                  <c:v>3.0475000000000363E-3</c:v>
                </c:pt>
                <c:pt idx="156">
                  <c:v>1.0866249999999966E-2</c:v>
                </c:pt>
                <c:pt idx="157">
                  <c:v>8.3141499999999646E-3</c:v>
                </c:pt>
                <c:pt idx="158">
                  <c:v>6.9656499999999899E-3</c:v>
                </c:pt>
                <c:pt idx="159">
                  <c:v>6.9974499999999606E-3</c:v>
                </c:pt>
                <c:pt idx="160">
                  <c:v>8.0647499999999539E-3</c:v>
                </c:pt>
                <c:pt idx="161">
                  <c:v>1.811394999999999E-2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009848"/>
        <c:axId val="568536136"/>
      </c:scatterChart>
      <c:valAx>
        <c:axId val="565009848"/>
        <c:scaling>
          <c:orientation val="minMax"/>
          <c:max val="2015"/>
          <c:min val="19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68536136"/>
        <c:crosses val="autoZero"/>
        <c:crossBetween val="midCat"/>
      </c:valAx>
      <c:valAx>
        <c:axId val="568536136"/>
        <c:scaling>
          <c:orientation val="minMax"/>
          <c:max val="4.0000000000000008E-2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Error between global and composed</a:t>
                </a:r>
              </a:p>
            </c:rich>
          </c:tx>
          <c:layout>
            <c:manualLayout>
              <c:xMode val="edge"/>
              <c:yMode val="edge"/>
              <c:x val="2.3277407750680431E-2"/>
              <c:y val="0.1214422965954108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6500984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7329891082499818"/>
          <c:y val="0.16368519833139406"/>
          <c:w val="0.36469351907934583"/>
          <c:h val="0.15431321084864391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</a:ln>
      </c:spPr>
    </c:legend>
    <c:plotVisOnly val="1"/>
    <c:dispBlanksAs val="gap"/>
    <c:showDLblsOverMax val="0"/>
  </c:chart>
  <c:txPr>
    <a:bodyPr/>
    <a:lstStyle/>
    <a:p>
      <a:pPr>
        <a:defRPr sz="11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Increased rate of ocean heat sinking </a:t>
            </a:r>
          </a:p>
        </c:rich>
      </c:tx>
      <c:layout>
        <c:manualLayout>
          <c:xMode val="edge"/>
          <c:yMode val="edge"/>
          <c:x val="0.39755916909369249"/>
          <c:y val="5.49413915992539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84916472201704E-2"/>
          <c:y val="0.14003360317702765"/>
          <c:w val="0.87326458468234558"/>
          <c:h val="0.59768301102644861"/>
        </c:manualLayout>
      </c:layout>
      <c:scatterChart>
        <c:scatterStyle val="smoothMarker"/>
        <c:varyColors val="0"/>
        <c:ser>
          <c:idx val="0"/>
          <c:order val="0"/>
          <c:tx>
            <c:v>Ratio of Ocean/Land temperature rise</c:v>
          </c:tx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pPr>
              <a:solidFill>
                <a:schemeClr val="accent5">
                  <a:lumMod val="20000"/>
                  <a:lumOff val="80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trendline>
            <c:spPr>
              <a:ln w="38100">
                <a:solidFill>
                  <a:schemeClr val="tx1"/>
                </a:solidFill>
              </a:ln>
            </c:spPr>
            <c:trendlineType val="poly"/>
            <c:order val="5"/>
            <c:dispRSqr val="1"/>
            <c:dispEq val="1"/>
            <c:trendlineLbl>
              <c:layout>
                <c:manualLayout>
                  <c:x val="2.0690265485037853E-2"/>
                  <c:y val="0.45244086921270327"/>
                </c:manualLayout>
              </c:layout>
              <c:numFmt formatCode="0.0000000000E+00" sourceLinked="0"/>
            </c:trendlineLbl>
          </c:trendline>
          <c:xVal>
            <c:numRef>
              <c:f>'main (2)'!$A$10:$A$171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'main (2)'!$G$10:$G$171</c:f>
              <c:numCache>
                <c:formatCode>General</c:formatCode>
                <c:ptCount val="162"/>
                <c:pt idx="0">
                  <c:v>0.21892528172133932</c:v>
                </c:pt>
                <c:pt idx="1">
                  <c:v>0.20600348541141042</c:v>
                </c:pt>
                <c:pt idx="2">
                  <c:v>0.30111802947140326</c:v>
                </c:pt>
                <c:pt idx="3">
                  <c:v>0.2592350394010256</c:v>
                </c:pt>
                <c:pt idx="4">
                  <c:v>0.27402887735108322</c:v>
                </c:pt>
                <c:pt idx="5">
                  <c:v>0.48147589131195684</c:v>
                </c:pt>
                <c:pt idx="6">
                  <c:v>0.36056380147567602</c:v>
                </c:pt>
                <c:pt idx="7">
                  <c:v>0.40056794134356777</c:v>
                </c:pt>
                <c:pt idx="8">
                  <c:v>0.42203029027535383</c:v>
                </c:pt>
                <c:pt idx="9">
                  <c:v>0.40271117554489927</c:v>
                </c:pt>
                <c:pt idx="10">
                  <c:v>0.45103387030540065</c:v>
                </c:pt>
                <c:pt idx="11">
                  <c:v>0.33170103283398839</c:v>
                </c:pt>
                <c:pt idx="12">
                  <c:v>0.48282013195688367</c:v>
                </c:pt>
                <c:pt idx="13">
                  <c:v>0.52156995769844927</c:v>
                </c:pt>
                <c:pt idx="14">
                  <c:v>0.42497112847560814</c:v>
                </c:pt>
                <c:pt idx="15">
                  <c:v>0.49512741210255745</c:v>
                </c:pt>
                <c:pt idx="16">
                  <c:v>0.46743116871054075</c:v>
                </c:pt>
                <c:pt idx="17">
                  <c:v>0.49275880227903085</c:v>
                </c:pt>
                <c:pt idx="18">
                  <c:v>0.45952686285735184</c:v>
                </c:pt>
                <c:pt idx="19">
                  <c:v>0.41005546794591868</c:v>
                </c:pt>
                <c:pt idx="20">
                  <c:v>0.38644209402302104</c:v>
                </c:pt>
                <c:pt idx="21">
                  <c:v>0.54199849281816492</c:v>
                </c:pt>
                <c:pt idx="22">
                  <c:v>0.39852445578866225</c:v>
                </c:pt>
                <c:pt idx="23">
                  <c:v>0.56561531971368029</c:v>
                </c:pt>
                <c:pt idx="24">
                  <c:v>0.32629495912675793</c:v>
                </c:pt>
                <c:pt idx="25">
                  <c:v>0.42321867856978829</c:v>
                </c:pt>
                <c:pt idx="26">
                  <c:v>0.20705237403983007</c:v>
                </c:pt>
                <c:pt idx="27">
                  <c:v>0.14960110074305025</c:v>
                </c:pt>
                <c:pt idx="28">
                  <c:v>0.29644561705155187</c:v>
                </c:pt>
                <c:pt idx="29">
                  <c:v>0.53552637409158632</c:v>
                </c:pt>
                <c:pt idx="30">
                  <c:v>0.31525851197982341</c:v>
                </c:pt>
                <c:pt idx="31">
                  <c:v>0.45431192972176571</c:v>
                </c:pt>
                <c:pt idx="32">
                  <c:v>0.34613831734577344</c:v>
                </c:pt>
                <c:pt idx="33">
                  <c:v>0.40799351421923208</c:v>
                </c:pt>
                <c:pt idx="34">
                  <c:v>0.40437956725714491</c:v>
                </c:pt>
                <c:pt idx="35">
                  <c:v>0.47748651100606399</c:v>
                </c:pt>
                <c:pt idx="36">
                  <c:v>0.51195826731766203</c:v>
                </c:pt>
                <c:pt idx="37">
                  <c:v>0.3452591890900778</c:v>
                </c:pt>
                <c:pt idx="38">
                  <c:v>0.43131453200877379</c:v>
                </c:pt>
                <c:pt idx="39">
                  <c:v>0.42856192021344031</c:v>
                </c:pt>
                <c:pt idx="40">
                  <c:v>0.42108997463026071</c:v>
                </c:pt>
                <c:pt idx="41">
                  <c:v>0.51113913408995382</c:v>
                </c:pt>
                <c:pt idx="42">
                  <c:v>0.47538981965211474</c:v>
                </c:pt>
                <c:pt idx="43">
                  <c:v>0.49374686451775929</c:v>
                </c:pt>
                <c:pt idx="44">
                  <c:v>0.47551945963565778</c:v>
                </c:pt>
                <c:pt idx="45">
                  <c:v>0.32399448904033512</c:v>
                </c:pt>
                <c:pt idx="46">
                  <c:v>0.4626435186286717</c:v>
                </c:pt>
                <c:pt idx="47">
                  <c:v>0.38112477997399774</c:v>
                </c:pt>
                <c:pt idx="48">
                  <c:v>0.42267919980227198</c:v>
                </c:pt>
                <c:pt idx="49">
                  <c:v>0.40380153024517335</c:v>
                </c:pt>
                <c:pt idx="50">
                  <c:v>0.43284665324221394</c:v>
                </c:pt>
                <c:pt idx="51">
                  <c:v>0.40625595318573593</c:v>
                </c:pt>
                <c:pt idx="52">
                  <c:v>0.42375317550279112</c:v>
                </c:pt>
                <c:pt idx="53">
                  <c:v>0.43363785155213536</c:v>
                </c:pt>
                <c:pt idx="54">
                  <c:v>0.48450467220467469</c:v>
                </c:pt>
                <c:pt idx="55">
                  <c:v>0.43201551010897782</c:v>
                </c:pt>
                <c:pt idx="56">
                  <c:v>0.51461951886967061</c:v>
                </c:pt>
                <c:pt idx="57">
                  <c:v>0.4068956416849811</c:v>
                </c:pt>
                <c:pt idx="58">
                  <c:v>0.40129611096087203</c:v>
                </c:pt>
                <c:pt idx="59">
                  <c:v>0.41221112253167608</c:v>
                </c:pt>
                <c:pt idx="60">
                  <c:v>0.38408910230646748</c:v>
                </c:pt>
                <c:pt idx="61">
                  <c:v>0.40686116646555082</c:v>
                </c:pt>
                <c:pt idx="62">
                  <c:v>0.40005887248896865</c:v>
                </c:pt>
                <c:pt idx="63">
                  <c:v>0.39349450723180479</c:v>
                </c:pt>
                <c:pt idx="64">
                  <c:v>0.42571007972170771</c:v>
                </c:pt>
                <c:pt idx="65">
                  <c:v>0.40080627669778796</c:v>
                </c:pt>
                <c:pt idx="66">
                  <c:v>0.4667262057934598</c:v>
                </c:pt>
                <c:pt idx="67">
                  <c:v>0.53399343016829359</c:v>
                </c:pt>
                <c:pt idx="68">
                  <c:v>0.62963022083171483</c:v>
                </c:pt>
                <c:pt idx="69">
                  <c:v>0.53112328098373951</c:v>
                </c:pt>
                <c:pt idx="70">
                  <c:v>0.42373403549347682</c:v>
                </c:pt>
                <c:pt idx="71">
                  <c:v>0.40997461321589845</c:v>
                </c:pt>
                <c:pt idx="72">
                  <c:v>0.46359713861299567</c:v>
                </c:pt>
                <c:pt idx="73">
                  <c:v>0.40349313918448543</c:v>
                </c:pt>
                <c:pt idx="74">
                  <c:v>0.56713752227038328</c:v>
                </c:pt>
                <c:pt idx="75">
                  <c:v>0.40259909213148598</c:v>
                </c:pt>
                <c:pt idx="76">
                  <c:v>0.36884570885120954</c:v>
                </c:pt>
                <c:pt idx="77">
                  <c:v>0.38355813534241778</c:v>
                </c:pt>
                <c:pt idx="78">
                  <c:v>0.40659374431512174</c:v>
                </c:pt>
                <c:pt idx="79">
                  <c:v>0.36594745820260038</c:v>
                </c:pt>
                <c:pt idx="80">
                  <c:v>0.54475190991042388</c:v>
                </c:pt>
                <c:pt idx="81">
                  <c:v>0.42441656113487852</c:v>
                </c:pt>
                <c:pt idx="82">
                  <c:v>0.36855580992995135</c:v>
                </c:pt>
                <c:pt idx="83">
                  <c:v>0.43928751438830599</c:v>
                </c:pt>
                <c:pt idx="84">
                  <c:v>0.42092706893351139</c:v>
                </c:pt>
                <c:pt idx="85">
                  <c:v>0.38530182403081326</c:v>
                </c:pt>
                <c:pt idx="86">
                  <c:v>0.80357578279792219</c:v>
                </c:pt>
                <c:pt idx="87">
                  <c:v>0.4340188452670633</c:v>
                </c:pt>
                <c:pt idx="88">
                  <c:v>0.42283086602545439</c:v>
                </c:pt>
                <c:pt idx="89">
                  <c:v>0.19178094545977614</c:v>
                </c:pt>
                <c:pt idx="90">
                  <c:v>0.50215115709209557</c:v>
                </c:pt>
                <c:pt idx="91">
                  <c:v>0.84504976023824352</c:v>
                </c:pt>
                <c:pt idx="92">
                  <c:v>0.18674382658249841</c:v>
                </c:pt>
                <c:pt idx="93">
                  <c:v>0.34798514638068317</c:v>
                </c:pt>
                <c:pt idx="94">
                  <c:v>0.50380935574945762</c:v>
                </c:pt>
                <c:pt idx="95">
                  <c:v>7.6277025834231821E-2</c:v>
                </c:pt>
                <c:pt idx="96">
                  <c:v>0.42882325545580846</c:v>
                </c:pt>
                <c:pt idx="97">
                  <c:v>0.37280182356181396</c:v>
                </c:pt>
                <c:pt idx="98">
                  <c:v>0.62451062970441196</c:v>
                </c:pt>
                <c:pt idx="99">
                  <c:v>0.60258375851743795</c:v>
                </c:pt>
                <c:pt idx="100">
                  <c:v>0.69561866743955614</c:v>
                </c:pt>
                <c:pt idx="101">
                  <c:v>0.47352545010906527</c:v>
                </c:pt>
                <c:pt idx="102">
                  <c:v>0.41842647744609884</c:v>
                </c:pt>
                <c:pt idx="103">
                  <c:v>0.28745154892830954</c:v>
                </c:pt>
                <c:pt idx="104">
                  <c:v>0.33020891964006938</c:v>
                </c:pt>
                <c:pt idx="105">
                  <c:v>0.60776067899800723</c:v>
                </c:pt>
                <c:pt idx="106">
                  <c:v>0.55890793344296563</c:v>
                </c:pt>
                <c:pt idx="107">
                  <c:v>0.67310096239700878</c:v>
                </c:pt>
                <c:pt idx="108">
                  <c:v>0.62682978990140337</c:v>
                </c:pt>
                <c:pt idx="109">
                  <c:v>0.91021059294742068</c:v>
                </c:pt>
                <c:pt idx="110">
                  <c:v>0.63540475282755116</c:v>
                </c:pt>
                <c:pt idx="111">
                  <c:v>0.62764479884653734</c:v>
                </c:pt>
                <c:pt idx="112">
                  <c:v>0.38991786455906063</c:v>
                </c:pt>
                <c:pt idx="113">
                  <c:v>0.25034717865085265</c:v>
                </c:pt>
                <c:pt idx="114">
                  <c:v>0.42214102743737036</c:v>
                </c:pt>
                <c:pt idx="115">
                  <c:v>0.69186438191675215</c:v>
                </c:pt>
                <c:pt idx="116">
                  <c:v>0.28180532432807243</c:v>
                </c:pt>
                <c:pt idx="117">
                  <c:v>0.55596476437269826</c:v>
                </c:pt>
                <c:pt idx="118">
                  <c:v>0.45971490029246859</c:v>
                </c:pt>
                <c:pt idx="119">
                  <c:v>0.53427465532731033</c:v>
                </c:pt>
                <c:pt idx="120">
                  <c:v>0.46519231904708747</c:v>
                </c:pt>
                <c:pt idx="121">
                  <c:v>0.42260588464807713</c:v>
                </c:pt>
                <c:pt idx="122">
                  <c:v>0.55738831354278062</c:v>
                </c:pt>
                <c:pt idx="123">
                  <c:v>0.31282750780534252</c:v>
                </c:pt>
                <c:pt idx="124">
                  <c:v>0.42608707021797593</c:v>
                </c:pt>
                <c:pt idx="125">
                  <c:v>0.60470216258536202</c:v>
                </c:pt>
                <c:pt idx="126">
                  <c:v>0.72575512235945228</c:v>
                </c:pt>
                <c:pt idx="127">
                  <c:v>0.36414880848823766</c:v>
                </c:pt>
                <c:pt idx="128">
                  <c:v>0.36991379856432</c:v>
                </c:pt>
                <c:pt idx="129">
                  <c:v>0.75180290001148842</c:v>
                </c:pt>
                <c:pt idx="130">
                  <c:v>0.56742994707539673</c:v>
                </c:pt>
                <c:pt idx="131">
                  <c:v>0.27782490290139594</c:v>
                </c:pt>
                <c:pt idx="132">
                  <c:v>0.54284331470041769</c:v>
                </c:pt>
                <c:pt idx="133">
                  <c:v>0.21795650210950759</c:v>
                </c:pt>
                <c:pt idx="134">
                  <c:v>0.61565635336127134</c:v>
                </c:pt>
                <c:pt idx="135">
                  <c:v>0.61899083997671367</c:v>
                </c:pt>
                <c:pt idx="136">
                  <c:v>0.32587628672215235</c:v>
                </c:pt>
                <c:pt idx="137">
                  <c:v>0.53511775332381428</c:v>
                </c:pt>
                <c:pt idx="138">
                  <c:v>0.42808319141499201</c:v>
                </c:pt>
                <c:pt idx="139">
                  <c:v>0.51565422528451299</c:v>
                </c:pt>
                <c:pt idx="140">
                  <c:v>0.59979063193588367</c:v>
                </c:pt>
                <c:pt idx="141">
                  <c:v>0.3187200489961704</c:v>
                </c:pt>
                <c:pt idx="142">
                  <c:v>0.27359795277410548</c:v>
                </c:pt>
                <c:pt idx="143">
                  <c:v>0.44872896897551007</c:v>
                </c:pt>
                <c:pt idx="144">
                  <c:v>0.52349724781587714</c:v>
                </c:pt>
                <c:pt idx="145">
                  <c:v>0.31206023032910191</c:v>
                </c:pt>
                <c:pt idx="146">
                  <c:v>0.34359228332208369</c:v>
                </c:pt>
                <c:pt idx="147">
                  <c:v>0.44551502291759482</c:v>
                </c:pt>
                <c:pt idx="148">
                  <c:v>0.39649171249945508</c:v>
                </c:pt>
                <c:pt idx="149">
                  <c:v>0.47107911039887196</c:v>
                </c:pt>
                <c:pt idx="150">
                  <c:v>0.54069167919115713</c:v>
                </c:pt>
                <c:pt idx="151">
                  <c:v>0.52387661347991754</c:v>
                </c:pt>
                <c:pt idx="152">
                  <c:v>0.52620044839292135</c:v>
                </c:pt>
                <c:pt idx="153">
                  <c:v>0.51960534814893777</c:v>
                </c:pt>
                <c:pt idx="154">
                  <c:v>0.50794325337354818</c:v>
                </c:pt>
                <c:pt idx="155">
                  <c:v>0.47842456703244191</c:v>
                </c:pt>
                <c:pt idx="156">
                  <c:v>0.4613856122788354</c:v>
                </c:pt>
                <c:pt idx="157">
                  <c:v>0.45006751169294068</c:v>
                </c:pt>
                <c:pt idx="158">
                  <c:v>0.55935287758130436</c:v>
                </c:pt>
                <c:pt idx="159">
                  <c:v>0.43698585411215074</c:v>
                </c:pt>
                <c:pt idx="160">
                  <c:v>0.41950122257789363</c:v>
                </c:pt>
                <c:pt idx="161">
                  <c:v>0.41791925837242466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536920"/>
        <c:axId val="568537312"/>
      </c:scatterChart>
      <c:valAx>
        <c:axId val="568536920"/>
        <c:scaling>
          <c:orientation val="minMax"/>
          <c:max val="2015"/>
          <c:min val="18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68537312"/>
        <c:crosses val="autoZero"/>
        <c:crossBetween val="midCat"/>
      </c:valAx>
      <c:valAx>
        <c:axId val="568537312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f</a:t>
                </a:r>
              </a:p>
            </c:rich>
          </c:tx>
          <c:layout>
            <c:manualLayout>
              <c:xMode val="edge"/>
              <c:yMode val="edge"/>
              <c:x val="2.1254593175853018E-2"/>
              <c:y val="0.3952042782401946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68536920"/>
        <c:crosses val="autoZero"/>
        <c:crossBetween val="midCat"/>
      </c:valAx>
      <c:spPr>
        <a:gradFill flip="none" rotWithShape="1">
          <a:gsLst>
            <a:gs pos="0">
              <a:srgbClr val="FFF200"/>
            </a:gs>
            <a:gs pos="39000">
              <a:srgbClr val="FF7A00"/>
            </a:gs>
            <a:gs pos="70000">
              <a:srgbClr val="FF0300"/>
            </a:gs>
            <a:gs pos="100000">
              <a:srgbClr val="4D0808"/>
            </a:gs>
          </a:gsLst>
          <a:lin ang="16200000" scaled="0"/>
          <a:tileRect/>
        </a:gradFill>
        <a:ln w="25400">
          <a:noFill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27279021099258949"/>
          <c:y val="0.6611363100570512"/>
          <c:w val="0.26524773176554184"/>
          <c:h val="8.1691944195598318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70220673163471E-2"/>
          <c:y val="3.9874372058246302E-2"/>
          <c:w val="0.87777496620443063"/>
          <c:h val="0.78036659016174625"/>
        </c:manualLayout>
      </c:layout>
      <c:scatterChart>
        <c:scatterStyle val="lineMarker"/>
        <c:varyColors val="0"/>
        <c:ser>
          <c:idx val="2"/>
          <c:order val="0"/>
          <c:tx>
            <c:strRef>
              <c:f>'main (2)'!$AA$9</c:f>
              <c:strCache>
                <c:ptCount val="1"/>
                <c:pt idx="0">
                  <c:v>Equivalent global temperature anomaly if ocean heat uptake treated as an effective temperature </c:v>
                </c:pt>
              </c:strCache>
            </c:strRef>
          </c:tx>
          <c:marker>
            <c:symbol val="none"/>
          </c:marker>
          <c:xVal>
            <c:numRef>
              <c:f>'main (2)'!$A$10:$A$171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'main (2)'!$AA$10:$AA$171</c:f>
              <c:numCache>
                <c:formatCode>General</c:formatCode>
                <c:ptCount val="162"/>
                <c:pt idx="0">
                  <c:v>-0.14429398145680278</c:v>
                </c:pt>
                <c:pt idx="1">
                  <c:v>-0.13599517077728013</c:v>
                </c:pt>
                <c:pt idx="2">
                  <c:v>-0.32895123697540979</c:v>
                </c:pt>
                <c:pt idx="3">
                  <c:v>-0.2453050037806612</c:v>
                </c:pt>
                <c:pt idx="4">
                  <c:v>-0.32083753065386916</c:v>
                </c:pt>
                <c:pt idx="5">
                  <c:v>-0.53435705926036936</c:v>
                </c:pt>
                <c:pt idx="6">
                  <c:v>-0.68643963785893558</c:v>
                </c:pt>
                <c:pt idx="7">
                  <c:v>-0.74307673870911672</c:v>
                </c:pt>
                <c:pt idx="8">
                  <c:v>-0.50781926113090914</c:v>
                </c:pt>
                <c:pt idx="9">
                  <c:v>-0.52757696125008291</c:v>
                </c:pt>
                <c:pt idx="10">
                  <c:v>-0.6983094895830394</c:v>
                </c:pt>
                <c:pt idx="11">
                  <c:v>-0.77365640955925452</c:v>
                </c:pt>
                <c:pt idx="12">
                  <c:v>-0.58229878674100466</c:v>
                </c:pt>
                <c:pt idx="13">
                  <c:v>-0.7881428223775967</c:v>
                </c:pt>
                <c:pt idx="14">
                  <c:v>-0.46266132829079798</c:v>
                </c:pt>
                <c:pt idx="15">
                  <c:v>-0.42790085518865656</c:v>
                </c:pt>
                <c:pt idx="16">
                  <c:v>-0.48508369101768622</c:v>
                </c:pt>
                <c:pt idx="17">
                  <c:v>-0.43799578769452391</c:v>
                </c:pt>
                <c:pt idx="18">
                  <c:v>-0.48894975557659759</c:v>
                </c:pt>
                <c:pt idx="19">
                  <c:v>-0.4899194062005755</c:v>
                </c:pt>
                <c:pt idx="20">
                  <c:v>-0.52281167168335907</c:v>
                </c:pt>
                <c:pt idx="21">
                  <c:v>-0.43557083455665274</c:v>
                </c:pt>
                <c:pt idx="22">
                  <c:v>-0.53824829816706321</c:v>
                </c:pt>
                <c:pt idx="23">
                  <c:v>-0.73768911993501396</c:v>
                </c:pt>
                <c:pt idx="24">
                  <c:v>-0.62515777358304048</c:v>
                </c:pt>
                <c:pt idx="25">
                  <c:v>-0.66838485355932042</c:v>
                </c:pt>
                <c:pt idx="26">
                  <c:v>-0.1196127199724232</c:v>
                </c:pt>
                <c:pt idx="27">
                  <c:v>2.349080776867838E-2</c:v>
                </c:pt>
                <c:pt idx="28">
                  <c:v>-0.42936283156489335</c:v>
                </c:pt>
                <c:pt idx="29">
                  <c:v>-0.36313479837877205</c:v>
                </c:pt>
                <c:pt idx="30">
                  <c:v>-0.3410003176081195</c:v>
                </c:pt>
                <c:pt idx="31">
                  <c:v>-0.37227467277918092</c:v>
                </c:pt>
                <c:pt idx="32">
                  <c:v>-0.49291143369549012</c:v>
                </c:pt>
                <c:pt idx="33">
                  <c:v>-0.65607050841858106</c:v>
                </c:pt>
                <c:pt idx="34">
                  <c:v>-0.62523320354474188</c:v>
                </c:pt>
                <c:pt idx="35">
                  <c:v>-0.59657821717782256</c:v>
                </c:pt>
                <c:pt idx="36">
                  <c:v>-0.68391996055093418</c:v>
                </c:pt>
                <c:pt idx="37">
                  <c:v>-0.48035906260688394</c:v>
                </c:pt>
                <c:pt idx="38">
                  <c:v>-0.27065723236386213</c:v>
                </c:pt>
                <c:pt idx="39">
                  <c:v>-0.65677943410208817</c:v>
                </c:pt>
                <c:pt idx="40">
                  <c:v>-0.49465114626074147</c:v>
                </c:pt>
                <c:pt idx="41">
                  <c:v>-0.67573847342518789</c:v>
                </c:pt>
                <c:pt idx="42">
                  <c:v>-0.67752526115465339</c:v>
                </c:pt>
                <c:pt idx="43">
                  <c:v>-0.63050558490897335</c:v>
                </c:pt>
                <c:pt idx="44">
                  <c:v>-0.55359086051209416</c:v>
                </c:pt>
                <c:pt idx="45">
                  <c:v>-0.26523364007105082</c:v>
                </c:pt>
                <c:pt idx="46">
                  <c:v>-0.29233628135322198</c:v>
                </c:pt>
                <c:pt idx="47">
                  <c:v>-0.56641276145083541</c:v>
                </c:pt>
                <c:pt idx="48">
                  <c:v>-0.40636246275814908</c:v>
                </c:pt>
                <c:pt idx="49">
                  <c:v>-0.27701123480783607</c:v>
                </c:pt>
                <c:pt idx="50">
                  <c:v>-0.40198260642703892</c:v>
                </c:pt>
                <c:pt idx="51">
                  <c:v>-0.56612083952168379</c:v>
                </c:pt>
                <c:pt idx="52">
                  <c:v>-0.68030308490705493</c:v>
                </c:pt>
                <c:pt idx="53">
                  <c:v>-0.72956175086523767</c:v>
                </c:pt>
                <c:pt idx="54">
                  <c:v>-0.53982946131146592</c:v>
                </c:pt>
                <c:pt idx="55">
                  <c:v>-0.42118675666730887</c:v>
                </c:pt>
                <c:pt idx="56">
                  <c:v>-0.63744972350244844</c:v>
                </c:pt>
                <c:pt idx="57">
                  <c:v>-0.69615839292690673</c:v>
                </c:pt>
                <c:pt idx="58">
                  <c:v>-0.70800831072731718</c:v>
                </c:pt>
                <c:pt idx="59">
                  <c:v>-0.67488975378643934</c:v>
                </c:pt>
                <c:pt idx="60">
                  <c:v>-0.71090547987750452</c:v>
                </c:pt>
                <c:pt idx="61">
                  <c:v>-0.57819059647957471</c:v>
                </c:pt>
                <c:pt idx="62">
                  <c:v>-0.57138099487884397</c:v>
                </c:pt>
                <c:pt idx="63">
                  <c:v>-0.34175856880204902</c:v>
                </c:pt>
                <c:pt idx="64">
                  <c:v>-0.2218449777215287</c:v>
                </c:pt>
                <c:pt idx="65">
                  <c:v>-0.50532333628596549</c:v>
                </c:pt>
                <c:pt idx="66">
                  <c:v>-0.61440669100166556</c:v>
                </c:pt>
                <c:pt idx="67">
                  <c:v>-0.46682994564622804</c:v>
                </c:pt>
                <c:pt idx="68">
                  <c:v>-0.40791178906257425</c:v>
                </c:pt>
                <c:pt idx="69">
                  <c:v>-0.34284358133525528</c:v>
                </c:pt>
                <c:pt idx="70">
                  <c:v>-0.25671589570836928</c:v>
                </c:pt>
                <c:pt idx="71">
                  <c:v>-0.39352881186947231</c:v>
                </c:pt>
                <c:pt idx="72">
                  <c:v>-0.36852415407429551</c:v>
                </c:pt>
                <c:pt idx="73">
                  <c:v>-0.37039713462948665</c:v>
                </c:pt>
                <c:pt idx="74">
                  <c:v>-0.30336538358147663</c:v>
                </c:pt>
                <c:pt idx="75">
                  <c:v>-0.14340894680675914</c:v>
                </c:pt>
                <c:pt idx="76">
                  <c:v>-0.2531918834075384</c:v>
                </c:pt>
                <c:pt idx="77">
                  <c:v>-0.25992736986446485</c:v>
                </c:pt>
                <c:pt idx="78">
                  <c:v>-0.42183497157794203</c:v>
                </c:pt>
                <c:pt idx="79">
                  <c:v>-0.164815789599595</c:v>
                </c:pt>
                <c:pt idx="80">
                  <c:v>-0.11869092496935971</c:v>
                </c:pt>
                <c:pt idx="81">
                  <c:v>-0.18054752739799831</c:v>
                </c:pt>
                <c:pt idx="82">
                  <c:v>-0.32375154953870466</c:v>
                </c:pt>
                <c:pt idx="83">
                  <c:v>-0.18369336098930625</c:v>
                </c:pt>
                <c:pt idx="84">
                  <c:v>-0.22531422284111258</c:v>
                </c:pt>
                <c:pt idx="85">
                  <c:v>-0.17715411606823195</c:v>
                </c:pt>
                <c:pt idx="86">
                  <c:v>-1.9541183131714879E-2</c:v>
                </c:pt>
                <c:pt idx="87">
                  <c:v>-3.5106453569344269E-2</c:v>
                </c:pt>
                <c:pt idx="88">
                  <c:v>-7.7752473066142122E-2</c:v>
                </c:pt>
                <c:pt idx="89">
                  <c:v>3.1797875800736956E-3</c:v>
                </c:pt>
                <c:pt idx="90">
                  <c:v>4.682012141787148E-2</c:v>
                </c:pt>
                <c:pt idx="91">
                  <c:v>4.4899435350008107E-4</c:v>
                </c:pt>
                <c:pt idx="92">
                  <c:v>5.0977448507293641E-4</c:v>
                </c:pt>
                <c:pt idx="93">
                  <c:v>0.17724862218444673</c:v>
                </c:pt>
                <c:pt idx="94">
                  <c:v>9.7049809245082358E-2</c:v>
                </c:pt>
                <c:pt idx="95">
                  <c:v>-3.8764295255777056E-2</c:v>
                </c:pt>
                <c:pt idx="96">
                  <c:v>-5.5811949013869058E-2</c:v>
                </c:pt>
                <c:pt idx="97">
                  <c:v>-4.5488798201853343E-2</c:v>
                </c:pt>
                <c:pt idx="98">
                  <c:v>-8.5814774460525545E-2</c:v>
                </c:pt>
                <c:pt idx="99">
                  <c:v>-0.17154435398694307</c:v>
                </c:pt>
                <c:pt idx="100">
                  <c:v>-2.4634412116537725E-2</c:v>
                </c:pt>
                <c:pt idx="101">
                  <c:v>7.0582098890960648E-2</c:v>
                </c:pt>
                <c:pt idx="102">
                  <c:v>0.12828213387509438</c:v>
                </c:pt>
                <c:pt idx="103">
                  <c:v>-0.14165496933082111</c:v>
                </c:pt>
                <c:pt idx="104">
                  <c:v>-0.21807370565716061</c:v>
                </c:pt>
                <c:pt idx="105">
                  <c:v>-0.28777212180709966</c:v>
                </c:pt>
                <c:pt idx="106">
                  <c:v>3.2492023419266269E-2</c:v>
                </c:pt>
                <c:pt idx="107">
                  <c:v>9.9442903939132063E-2</c:v>
                </c:pt>
                <c:pt idx="108">
                  <c:v>4.7486606365437944E-2</c:v>
                </c:pt>
                <c:pt idx="109">
                  <c:v>-2.3816529304428527E-2</c:v>
                </c:pt>
                <c:pt idx="110">
                  <c:v>6.701609601263428E-2</c:v>
                </c:pt>
                <c:pt idx="111">
                  <c:v>1.8943561582593152E-2</c:v>
                </c:pt>
                <c:pt idx="112">
                  <c:v>6.8155005009189376E-2</c:v>
                </c:pt>
                <c:pt idx="113">
                  <c:v>-0.24113721479850872</c:v>
                </c:pt>
                <c:pt idx="114">
                  <c:v>-0.18091131268229305</c:v>
                </c:pt>
                <c:pt idx="115">
                  <c:v>-4.3134357901835743E-2</c:v>
                </c:pt>
                <c:pt idx="116">
                  <c:v>-8.6075095962655557E-2</c:v>
                </c:pt>
                <c:pt idx="117">
                  <c:v>-0.11772621938219494</c:v>
                </c:pt>
                <c:pt idx="118">
                  <c:v>8.3906588128147858E-2</c:v>
                </c:pt>
                <c:pt idx="119">
                  <c:v>-2.835552868316173E-2</c:v>
                </c:pt>
                <c:pt idx="120">
                  <c:v>-0.25989348013649333</c:v>
                </c:pt>
                <c:pt idx="121">
                  <c:v>-6.3379774338549258E-2</c:v>
                </c:pt>
                <c:pt idx="122">
                  <c:v>5.5836719095344593E-2</c:v>
                </c:pt>
                <c:pt idx="123">
                  <c:v>-0.25417202298130204</c:v>
                </c:pt>
                <c:pt idx="124">
                  <c:v>-0.22063019493116764</c:v>
                </c:pt>
                <c:pt idx="125">
                  <c:v>-0.29544601222335781</c:v>
                </c:pt>
                <c:pt idx="126">
                  <c:v>2.9742184018587504E-2</c:v>
                </c:pt>
                <c:pt idx="127">
                  <c:v>-8.1835264077724679E-2</c:v>
                </c:pt>
                <c:pt idx="128">
                  <c:v>7.8537725150469667E-2</c:v>
                </c:pt>
                <c:pt idx="129">
                  <c:v>9.7555147985052146E-2</c:v>
                </c:pt>
                <c:pt idx="130">
                  <c:v>0.1203004412468086</c:v>
                </c:pt>
                <c:pt idx="131">
                  <c:v>1.369768471592729E-2</c:v>
                </c:pt>
                <c:pt idx="132">
                  <c:v>0.22583246093518694</c:v>
                </c:pt>
                <c:pt idx="133">
                  <c:v>-2.3936511132984947E-2</c:v>
                </c:pt>
                <c:pt idx="134">
                  <c:v>-5.3825427203879034E-2</c:v>
                </c:pt>
                <c:pt idx="135">
                  <c:v>1.9875898158491841E-2</c:v>
                </c:pt>
                <c:pt idx="136">
                  <c:v>0.23434322382218678</c:v>
                </c:pt>
                <c:pt idx="137">
                  <c:v>0.22872139569836553</c:v>
                </c:pt>
                <c:pt idx="138">
                  <c:v>0.14805921804790573</c:v>
                </c:pt>
                <c:pt idx="139">
                  <c:v>0.36563023776078868</c:v>
                </c:pt>
                <c:pt idx="140">
                  <c:v>0.31232215481582121</c:v>
                </c:pt>
                <c:pt idx="141">
                  <c:v>0.13002288059052164</c:v>
                </c:pt>
                <c:pt idx="142">
                  <c:v>0.17039461292045099</c:v>
                </c:pt>
                <c:pt idx="143">
                  <c:v>0.26832177120896566</c:v>
                </c:pt>
                <c:pt idx="144">
                  <c:v>0.39031754091590021</c:v>
                </c:pt>
                <c:pt idx="145">
                  <c:v>0.23088637562470868</c:v>
                </c:pt>
                <c:pt idx="146">
                  <c:v>0.52875760536413174</c:v>
                </c:pt>
                <c:pt idx="147">
                  <c:v>0.74201170122999793</c:v>
                </c:pt>
                <c:pt idx="148">
                  <c:v>0.4015418236940882</c:v>
                </c:pt>
                <c:pt idx="149">
                  <c:v>0.40607666049834024</c:v>
                </c:pt>
                <c:pt idx="150">
                  <c:v>0.60807747402359824</c:v>
                </c:pt>
                <c:pt idx="151">
                  <c:v>0.69185264461942453</c:v>
                </c:pt>
                <c:pt idx="152">
                  <c:v>0.72980323327060326</c:v>
                </c:pt>
                <c:pt idx="153">
                  <c:v>0.66019563970508532</c:v>
                </c:pt>
                <c:pt idx="154">
                  <c:v>0.77630659137781099</c:v>
                </c:pt>
                <c:pt idx="155">
                  <c:v>0.73429927121599792</c:v>
                </c:pt>
                <c:pt idx="156">
                  <c:v>0.67764880032043173</c:v>
                </c:pt>
                <c:pt idx="157">
                  <c:v>0.57407957791981989</c:v>
                </c:pt>
                <c:pt idx="158">
                  <c:v>0.79845236690703048</c:v>
                </c:pt>
                <c:pt idx="159">
                  <c:v>0.88359066191196289</c:v>
                </c:pt>
                <c:pt idx="160">
                  <c:v>0.66230509721902042</c:v>
                </c:pt>
                <c:pt idx="161">
                  <c:v>0.79047486248657695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'main (2)'!$AB$9</c:f>
              <c:strCache>
                <c:ptCount val="1"/>
                <c:pt idx="0">
                  <c:v>ECS 3C CO2 model</c:v>
                </c:pt>
              </c:strCache>
            </c:strRef>
          </c:tx>
          <c:marker>
            <c:symbol val="none"/>
          </c:marker>
          <c:xVal>
            <c:numRef>
              <c:f>'main (2)'!$A$10:$A$171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'main (2)'!$AB$10:$AB$171</c:f>
              <c:numCache>
                <c:formatCode>General</c:formatCode>
                <c:ptCount val="162"/>
                <c:pt idx="0">
                  <c:v>-0.50603151698803661</c:v>
                </c:pt>
                <c:pt idx="1">
                  <c:v>-0.51593497734755367</c:v>
                </c:pt>
                <c:pt idx="2">
                  <c:v>-0.52774993066807852</c:v>
                </c:pt>
                <c:pt idx="3">
                  <c:v>-0.49461735296234444</c:v>
                </c:pt>
                <c:pt idx="4">
                  <c:v>-0.49258198593832392</c:v>
                </c:pt>
                <c:pt idx="5">
                  <c:v>-0.53337075727969319</c:v>
                </c:pt>
                <c:pt idx="6">
                  <c:v>-0.55175893586952685</c:v>
                </c:pt>
                <c:pt idx="7">
                  <c:v>-0.5069596849046244</c:v>
                </c:pt>
                <c:pt idx="8">
                  <c:v>-0.50055668720888791</c:v>
                </c:pt>
                <c:pt idx="9">
                  <c:v>-0.56295223459329902</c:v>
                </c:pt>
                <c:pt idx="10">
                  <c:v>-0.54326489648126097</c:v>
                </c:pt>
                <c:pt idx="11">
                  <c:v>-0.59404690608130206</c:v>
                </c:pt>
                <c:pt idx="12">
                  <c:v>-0.49633715288056862</c:v>
                </c:pt>
                <c:pt idx="13">
                  <c:v>-0.52905049571307772</c:v>
                </c:pt>
                <c:pt idx="14">
                  <c:v>-0.50239393801633614</c:v>
                </c:pt>
                <c:pt idx="15">
                  <c:v>-0.49607541316655412</c:v>
                </c:pt>
                <c:pt idx="16">
                  <c:v>-0.47849527426009369</c:v>
                </c:pt>
                <c:pt idx="17">
                  <c:v>-0.49927560860419673</c:v>
                </c:pt>
                <c:pt idx="18">
                  <c:v>-0.47431898675828033</c:v>
                </c:pt>
                <c:pt idx="19">
                  <c:v>-0.50714168130126092</c:v>
                </c:pt>
                <c:pt idx="20">
                  <c:v>-0.52176478581286967</c:v>
                </c:pt>
                <c:pt idx="21">
                  <c:v>-0.51215727693299262</c:v>
                </c:pt>
                <c:pt idx="22">
                  <c:v>-0.49018587205016706</c:v>
                </c:pt>
                <c:pt idx="23">
                  <c:v>-0.47446126685880941</c:v>
                </c:pt>
                <c:pt idx="24">
                  <c:v>-0.5361879657191988</c:v>
                </c:pt>
                <c:pt idx="25">
                  <c:v>-0.52342392452086639</c:v>
                </c:pt>
                <c:pt idx="26">
                  <c:v>-0.47260505986157941</c:v>
                </c:pt>
                <c:pt idx="27">
                  <c:v>-0.43533151596495429</c:v>
                </c:pt>
                <c:pt idx="28">
                  <c:v>-0.50159440613136363</c:v>
                </c:pt>
                <c:pt idx="29">
                  <c:v>-0.5102140098701462</c:v>
                </c:pt>
                <c:pt idx="30">
                  <c:v>-0.48835223447172221</c:v>
                </c:pt>
                <c:pt idx="31">
                  <c:v>-0.50130969339069964</c:v>
                </c:pt>
                <c:pt idx="32">
                  <c:v>-0.50992971578031143</c:v>
                </c:pt>
                <c:pt idx="33">
                  <c:v>-0.53385403646122231</c:v>
                </c:pt>
                <c:pt idx="34">
                  <c:v>-0.50964544652168198</c:v>
                </c:pt>
                <c:pt idx="35">
                  <c:v>-0.50614904156815355</c:v>
                </c:pt>
                <c:pt idx="36">
                  <c:v>-0.51396893898336671</c:v>
                </c:pt>
                <c:pt idx="37">
                  <c:v>-0.4885480321756957</c:v>
                </c:pt>
                <c:pt idx="38">
                  <c:v>-0.46115586385744811</c:v>
                </c:pt>
                <c:pt idx="39">
                  <c:v>-0.50188845063215926</c:v>
                </c:pt>
                <c:pt idx="40">
                  <c:v>-0.49500258932118113</c:v>
                </c:pt>
                <c:pt idx="41">
                  <c:v>-0.49085517514769722</c:v>
                </c:pt>
                <c:pt idx="42">
                  <c:v>-0.49769927046276646</c:v>
                </c:pt>
                <c:pt idx="43">
                  <c:v>-0.4722884710656467</c:v>
                </c:pt>
                <c:pt idx="44">
                  <c:v>-0.47917099042215078</c:v>
                </c:pt>
                <c:pt idx="45">
                  <c:v>-0.4666331133130181</c:v>
                </c:pt>
                <c:pt idx="46">
                  <c:v>-0.45518552790300681</c:v>
                </c:pt>
                <c:pt idx="47">
                  <c:v>-0.46477888798045841</c:v>
                </c:pt>
                <c:pt idx="48">
                  <c:v>-0.43986780948475918</c:v>
                </c:pt>
                <c:pt idx="49">
                  <c:v>-0.43117006766656163</c:v>
                </c:pt>
                <c:pt idx="50">
                  <c:v>-0.42573480345990011</c:v>
                </c:pt>
                <c:pt idx="51">
                  <c:v>-0.45710331375414293</c:v>
                </c:pt>
                <c:pt idx="52">
                  <c:v>-0.45751193464917611</c:v>
                </c:pt>
                <c:pt idx="53">
                  <c:v>-0.46993131085770712</c:v>
                </c:pt>
                <c:pt idx="54">
                  <c:v>-0.4520729798002065</c:v>
                </c:pt>
                <c:pt idx="55">
                  <c:v>-0.42499040391667198</c:v>
                </c:pt>
                <c:pt idx="56">
                  <c:v>-0.48498925699964968</c:v>
                </c:pt>
                <c:pt idx="57">
                  <c:v>-0.45071891850561802</c:v>
                </c:pt>
                <c:pt idx="58">
                  <c:v>-0.44870423337490878</c:v>
                </c:pt>
                <c:pt idx="59">
                  <c:v>-0.4451243074797967</c:v>
                </c:pt>
                <c:pt idx="60">
                  <c:v>-0.4494442018028279</c:v>
                </c:pt>
                <c:pt idx="61">
                  <c:v>-0.44402224431812609</c:v>
                </c:pt>
                <c:pt idx="62">
                  <c:v>-0.42296912024122318</c:v>
                </c:pt>
                <c:pt idx="63">
                  <c:v>-0.38251718091815601</c:v>
                </c:pt>
                <c:pt idx="64">
                  <c:v>-0.38183748254445898</c:v>
                </c:pt>
                <c:pt idx="65">
                  <c:v>-0.4239697589021883</c:v>
                </c:pt>
                <c:pt idx="66">
                  <c:v>-0.44655965594904939</c:v>
                </c:pt>
                <c:pt idx="67">
                  <c:v>-0.43139886398325367</c:v>
                </c:pt>
                <c:pt idx="68">
                  <c:v>-0.40602768060956018</c:v>
                </c:pt>
                <c:pt idx="69">
                  <c:v>-0.395272480467382</c:v>
                </c:pt>
                <c:pt idx="70">
                  <c:v>-0.362301058478111</c:v>
                </c:pt>
                <c:pt idx="71">
                  <c:v>-0.38666402567547498</c:v>
                </c:pt>
                <c:pt idx="72">
                  <c:v>-0.37958910533968299</c:v>
                </c:pt>
                <c:pt idx="73">
                  <c:v>-0.362682722991159</c:v>
                </c:pt>
                <c:pt idx="74">
                  <c:v>-0.36363192000760802</c:v>
                </c:pt>
                <c:pt idx="75">
                  <c:v>-0.33866225393340099</c:v>
                </c:pt>
                <c:pt idx="76">
                  <c:v>-0.36010301065150296</c:v>
                </c:pt>
                <c:pt idx="77">
                  <c:v>-0.33687051143817304</c:v>
                </c:pt>
                <c:pt idx="78">
                  <c:v>-0.38741846307038297</c:v>
                </c:pt>
                <c:pt idx="79">
                  <c:v>-0.33389391199138596</c:v>
                </c:pt>
                <c:pt idx="80">
                  <c:v>-0.32313941341074603</c:v>
                </c:pt>
                <c:pt idx="81">
                  <c:v>-0.32041504838235702</c:v>
                </c:pt>
                <c:pt idx="82">
                  <c:v>-0.36837399607061699</c:v>
                </c:pt>
                <c:pt idx="83">
                  <c:v>-0.32221763942225301</c:v>
                </c:pt>
                <c:pt idx="84">
                  <c:v>-0.33512976250100801</c:v>
                </c:pt>
                <c:pt idx="85">
                  <c:v>-0.33106488135991796</c:v>
                </c:pt>
                <c:pt idx="86">
                  <c:v>-0.30874775540356403</c:v>
                </c:pt>
                <c:pt idx="87">
                  <c:v>-0.277537826971608</c:v>
                </c:pt>
                <c:pt idx="88">
                  <c:v>-0.28907925762875497</c:v>
                </c:pt>
                <c:pt idx="89">
                  <c:v>-0.28557064335307403</c:v>
                </c:pt>
                <c:pt idx="90">
                  <c:v>-0.290868642848229</c:v>
                </c:pt>
                <c:pt idx="91">
                  <c:v>-0.28677343872864602</c:v>
                </c:pt>
                <c:pt idx="92">
                  <c:v>-0.27260411364773901</c:v>
                </c:pt>
                <c:pt idx="93">
                  <c:v>-0.25629011927150203</c:v>
                </c:pt>
                <c:pt idx="94">
                  <c:v>-0.29043820532974196</c:v>
                </c:pt>
                <c:pt idx="95">
                  <c:v>-0.27877164456166703</c:v>
                </c:pt>
                <c:pt idx="96">
                  <c:v>-0.25626860749149999</c:v>
                </c:pt>
                <c:pt idx="97">
                  <c:v>-0.25919023196313501</c:v>
                </c:pt>
                <c:pt idx="98">
                  <c:v>-0.27318015730463596</c:v>
                </c:pt>
                <c:pt idx="99">
                  <c:v>-0.29590290166177102</c:v>
                </c:pt>
                <c:pt idx="100">
                  <c:v>-0.25676155611001</c:v>
                </c:pt>
                <c:pt idx="101">
                  <c:v>-0.250575422506566</c:v>
                </c:pt>
                <c:pt idx="102">
                  <c:v>-0.21243072146800501</c:v>
                </c:pt>
                <c:pt idx="103">
                  <c:v>-0.24797719395909501</c:v>
                </c:pt>
                <c:pt idx="104">
                  <c:v>-0.23089254542153298</c:v>
                </c:pt>
                <c:pt idx="105">
                  <c:v>-0.27004392174505099</c:v>
                </c:pt>
                <c:pt idx="106">
                  <c:v>-0.20729024415282199</c:v>
                </c:pt>
                <c:pt idx="107">
                  <c:v>-0.19634656888110802</c:v>
                </c:pt>
                <c:pt idx="108">
                  <c:v>-0.18371469156629799</c:v>
                </c:pt>
                <c:pt idx="109">
                  <c:v>-0.20211075387052302</c:v>
                </c:pt>
                <c:pt idx="110">
                  <c:v>-0.15616340507113102</c:v>
                </c:pt>
                <c:pt idx="111">
                  <c:v>-0.168833856052097</c:v>
                </c:pt>
                <c:pt idx="112">
                  <c:v>-0.13247393411721398</c:v>
                </c:pt>
                <c:pt idx="113">
                  <c:v>-0.18478657518355002</c:v>
                </c:pt>
                <c:pt idx="114">
                  <c:v>-0.15011188578410101</c:v>
                </c:pt>
                <c:pt idx="115">
                  <c:v>-0.13148478978093597</c:v>
                </c:pt>
                <c:pt idx="116">
                  <c:v>-0.10405663048996799</c:v>
                </c:pt>
                <c:pt idx="117">
                  <c:v>-0.11740308429359197</c:v>
                </c:pt>
                <c:pt idx="118">
                  <c:v>-9.6711278899433983E-2</c:v>
                </c:pt>
                <c:pt idx="119">
                  <c:v>-6.5932586912830993E-2</c:v>
                </c:pt>
                <c:pt idx="120">
                  <c:v>-6.4472826067501987E-2</c:v>
                </c:pt>
                <c:pt idx="121">
                  <c:v>-6.0197291891745996E-2</c:v>
                </c:pt>
                <c:pt idx="122">
                  <c:v>1.7840579678051971E-2</c:v>
                </c:pt>
                <c:pt idx="123">
                  <c:v>-2.7159713015963982E-2</c:v>
                </c:pt>
                <c:pt idx="124">
                  <c:v>2.2789824078841003E-2</c:v>
                </c:pt>
                <c:pt idx="125">
                  <c:v>-5.0467372764099738E-3</c:v>
                </c:pt>
                <c:pt idx="126">
                  <c:v>6.8620632446191987E-2</c:v>
                </c:pt>
                <c:pt idx="127">
                  <c:v>6.547330568617904E-2</c:v>
                </c:pt>
                <c:pt idx="128">
                  <c:v>7.4038083215329009E-2</c:v>
                </c:pt>
                <c:pt idx="129">
                  <c:v>0.13897487637411798</c:v>
                </c:pt>
                <c:pt idx="130">
                  <c:v>0.16978943079805198</c:v>
                </c:pt>
                <c:pt idx="131">
                  <c:v>0.124775057019747</c:v>
                </c:pt>
                <c:pt idx="132">
                  <c:v>0.18317437869775899</c:v>
                </c:pt>
                <c:pt idx="133">
                  <c:v>0.16544867621009096</c:v>
                </c:pt>
                <c:pt idx="134">
                  <c:v>0.172984077670994</c:v>
                </c:pt>
                <c:pt idx="135">
                  <c:v>0.21123929043022005</c:v>
                </c:pt>
                <c:pt idx="136">
                  <c:v>0.24425030625556499</c:v>
                </c:pt>
                <c:pt idx="137">
                  <c:v>0.29018731742680604</c:v>
                </c:pt>
                <c:pt idx="138">
                  <c:v>0.28009276132059502</c:v>
                </c:pt>
                <c:pt idx="139">
                  <c:v>0.32790104429118905</c:v>
                </c:pt>
                <c:pt idx="140">
                  <c:v>0.34222175090468099</c:v>
                </c:pt>
                <c:pt idx="141">
                  <c:v>0.31538855437126101</c:v>
                </c:pt>
                <c:pt idx="142">
                  <c:v>0.33645206007288597</c:v>
                </c:pt>
                <c:pt idx="143">
                  <c:v>0.37580857910444398</c:v>
                </c:pt>
                <c:pt idx="144">
                  <c:v>0.42840649273982201</c:v>
                </c:pt>
                <c:pt idx="145">
                  <c:v>0.41509594721117304</c:v>
                </c:pt>
                <c:pt idx="146">
                  <c:v>0.44321353188775903</c:v>
                </c:pt>
                <c:pt idx="147">
                  <c:v>0.49555536365403996</c:v>
                </c:pt>
                <c:pt idx="148">
                  <c:v>0.48608408586000196</c:v>
                </c:pt>
                <c:pt idx="149">
                  <c:v>0.49724644729627698</c:v>
                </c:pt>
                <c:pt idx="150">
                  <c:v>0.53779946244363996</c:v>
                </c:pt>
                <c:pt idx="151">
                  <c:v>0.57343852123087991</c:v>
                </c:pt>
                <c:pt idx="152">
                  <c:v>0.58561649761847989</c:v>
                </c:pt>
                <c:pt idx="153">
                  <c:v>0.58190207127636007</c:v>
                </c:pt>
                <c:pt idx="154">
                  <c:v>0.64931345678763996</c:v>
                </c:pt>
                <c:pt idx="155">
                  <c:v>0.65564387961774995</c:v>
                </c:pt>
                <c:pt idx="156">
                  <c:v>0.70513621271864002</c:v>
                </c:pt>
                <c:pt idx="157">
                  <c:v>0.69304345325791994</c:v>
                </c:pt>
                <c:pt idx="158">
                  <c:v>0.72025462562749998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508288"/>
        <c:axId val="563508680"/>
      </c:scatterChart>
      <c:valAx>
        <c:axId val="563508288"/>
        <c:scaling>
          <c:orientation val="minMax"/>
          <c:max val="2015"/>
          <c:min val="1850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Year</a:t>
                </a:r>
              </a:p>
            </c:rich>
          </c:tx>
          <c:layout>
            <c:manualLayout>
              <c:xMode val="edge"/>
              <c:yMode val="edge"/>
              <c:x val="0.53147533126788948"/>
              <c:y val="0.90757086076153715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563508680"/>
        <c:crosses val="autoZero"/>
        <c:crossBetween val="midCat"/>
      </c:valAx>
      <c:valAx>
        <c:axId val="563508680"/>
        <c:scaling>
          <c:orientation val="minMax"/>
          <c:max val="1"/>
          <c:min val="-1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sz="1600"/>
                  <a:t>Temperature Anomaly</a:t>
                </a:r>
              </a:p>
            </c:rich>
          </c:tx>
          <c:layout>
            <c:manualLayout>
              <c:xMode val="edge"/>
              <c:yMode val="edge"/>
              <c:x val="3.3594111096407896E-3"/>
              <c:y val="0.2572650039214808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635082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3128962419240336"/>
          <c:y val="7.2547000042975041E-2"/>
          <c:w val="0.63692275265195553"/>
          <c:h val="0.25397093105297325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spPr>
    <a:solidFill>
      <a:srgbClr val="99FFCC"/>
    </a:solidFill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Increased</a:t>
            </a:r>
            <a:r>
              <a:rPr lang="en-US" sz="1400" baseline="0"/>
              <a:t> rate of ocean heat sinking </a:t>
            </a:r>
            <a:endParaRPr lang="en-US" sz="1400"/>
          </a:p>
        </c:rich>
      </c:tx>
      <c:layout>
        <c:manualLayout>
          <c:xMode val="edge"/>
          <c:yMode val="edge"/>
          <c:x val="0.24617300962379701"/>
          <c:y val="3.04831974913553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094451766861077"/>
          <c:y val="0.14003360317702765"/>
          <c:w val="0.81209421395696657"/>
          <c:h val="0.65149125599695257"/>
        </c:manualLayout>
      </c:layout>
      <c:scatterChart>
        <c:scatterStyle val="lineMarker"/>
        <c:varyColors val="0"/>
        <c:ser>
          <c:idx val="0"/>
          <c:order val="0"/>
          <c:tx>
            <c:v>Ratio of Ocean/Land temperature rise</c:v>
          </c:tx>
          <c:spPr>
            <a:ln w="285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pPr>
              <a:solidFill>
                <a:schemeClr val="accent5">
                  <a:lumMod val="20000"/>
                  <a:lumOff val="80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xVal>
            <c:numRef>
              <c:f>'main (3)'!$A$10:$A$171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'main (3)'!$G$10:$G$171</c:f>
              <c:numCache>
                <c:formatCode>General</c:formatCode>
                <c:ptCount val="162"/>
                <c:pt idx="0">
                  <c:v>0.77881121402799025</c:v>
                </c:pt>
                <c:pt idx="1">
                  <c:v>0.67339701313697919</c:v>
                </c:pt>
                <c:pt idx="2">
                  <c:v>0.65419497646606817</c:v>
                </c:pt>
                <c:pt idx="3">
                  <c:v>1.0573887979447494</c:v>
                </c:pt>
                <c:pt idx="4">
                  <c:v>0.87241349227120957</c:v>
                </c:pt>
                <c:pt idx="5">
                  <c:v>0.48147589131195684</c:v>
                </c:pt>
                <c:pt idx="6">
                  <c:v>0.75369860157366964</c:v>
                </c:pt>
                <c:pt idx="7">
                  <c:v>0.67284339825323436</c:v>
                </c:pt>
                <c:pt idx="8">
                  <c:v>1.0236373100553851</c:v>
                </c:pt>
                <c:pt idx="9">
                  <c:v>0.40271117554489927</c:v>
                </c:pt>
                <c:pt idx="10">
                  <c:v>0.65532205307873992</c:v>
                </c:pt>
                <c:pt idx="11">
                  <c:v>0.52595367006915816</c:v>
                </c:pt>
                <c:pt idx="12">
                  <c:v>1.0585603271605795</c:v>
                </c:pt>
                <c:pt idx="13">
                  <c:v>0.47231960108558407</c:v>
                </c:pt>
                <c:pt idx="14">
                  <c:v>0.51681723275380897</c:v>
                </c:pt>
                <c:pt idx="15">
                  <c:v>0.49512741210255745</c:v>
                </c:pt>
                <c:pt idx="16">
                  <c:v>0.41257540552277722</c:v>
                </c:pt>
                <c:pt idx="17">
                  <c:v>0.49275880227903085</c:v>
                </c:pt>
                <c:pt idx="18">
                  <c:v>0.62139995892522293</c:v>
                </c:pt>
                <c:pt idx="19">
                  <c:v>0.41005546794591868</c:v>
                </c:pt>
                <c:pt idx="20">
                  <c:v>0.38644209402302104</c:v>
                </c:pt>
                <c:pt idx="21">
                  <c:v>0.54199849281816492</c:v>
                </c:pt>
                <c:pt idx="22">
                  <c:v>0.60217918018617966</c:v>
                </c:pt>
                <c:pt idx="23">
                  <c:v>0.56561531971368029</c:v>
                </c:pt>
                <c:pt idx="24">
                  <c:v>0.32629495912675793</c:v>
                </c:pt>
                <c:pt idx="25">
                  <c:v>0.56755400187647542</c:v>
                </c:pt>
                <c:pt idx="26">
                  <c:v>0.20705237403983007</c:v>
                </c:pt>
                <c:pt idx="27">
                  <c:v>4.483676614824156</c:v>
                </c:pt>
                <c:pt idx="28">
                  <c:v>0.29644561705155187</c:v>
                </c:pt>
                <c:pt idx="29">
                  <c:v>0.46977296893656878</c:v>
                </c:pt>
                <c:pt idx="30">
                  <c:v>0.31525851197982341</c:v>
                </c:pt>
                <c:pt idx="31">
                  <c:v>0.45431192972176571</c:v>
                </c:pt>
                <c:pt idx="32">
                  <c:v>0.34613831734577344</c:v>
                </c:pt>
                <c:pt idx="33">
                  <c:v>0.40799351421923208</c:v>
                </c:pt>
                <c:pt idx="34">
                  <c:v>0.40437956725714491</c:v>
                </c:pt>
                <c:pt idx="35">
                  <c:v>0.47748651100606399</c:v>
                </c:pt>
                <c:pt idx="36">
                  <c:v>0.51195826731766203</c:v>
                </c:pt>
                <c:pt idx="37">
                  <c:v>0.3452591890900778</c:v>
                </c:pt>
                <c:pt idx="38">
                  <c:v>0.43131453200877379</c:v>
                </c:pt>
                <c:pt idx="39">
                  <c:v>0.65816301205553573</c:v>
                </c:pt>
                <c:pt idx="40">
                  <c:v>0.42108997463026071</c:v>
                </c:pt>
                <c:pt idx="41">
                  <c:v>0.51113913408995382</c:v>
                </c:pt>
                <c:pt idx="42">
                  <c:v>0.47538981965211474</c:v>
                </c:pt>
                <c:pt idx="43">
                  <c:v>0.60815826424476582</c:v>
                </c:pt>
                <c:pt idx="44">
                  <c:v>0.47551945963565778</c:v>
                </c:pt>
                <c:pt idx="45">
                  <c:v>0.32399448904033512</c:v>
                </c:pt>
                <c:pt idx="46">
                  <c:v>0.4626435186286717</c:v>
                </c:pt>
                <c:pt idx="47">
                  <c:v>0.73859014003886281</c:v>
                </c:pt>
                <c:pt idx="48">
                  <c:v>0.61891241615670856</c:v>
                </c:pt>
                <c:pt idx="49">
                  <c:v>0.71135253985190927</c:v>
                </c:pt>
                <c:pt idx="50">
                  <c:v>1.056798778388109</c:v>
                </c:pt>
                <c:pt idx="51">
                  <c:v>0.68397318028271337</c:v>
                </c:pt>
                <c:pt idx="52">
                  <c:v>0.78184761156120175</c:v>
                </c:pt>
                <c:pt idx="53">
                  <c:v>0.65009370953074319</c:v>
                </c:pt>
                <c:pt idx="54">
                  <c:v>0.62527908398905796</c:v>
                </c:pt>
                <c:pt idx="55">
                  <c:v>0.97155138912021066</c:v>
                </c:pt>
                <c:pt idx="56">
                  <c:v>0.51461951886967061</c:v>
                </c:pt>
                <c:pt idx="57">
                  <c:v>0.74020292599527582</c:v>
                </c:pt>
                <c:pt idx="58">
                  <c:v>0.78394137054597723</c:v>
                </c:pt>
                <c:pt idx="59">
                  <c:v>1.0072027178228176</c:v>
                </c:pt>
                <c:pt idx="60">
                  <c:v>0.85866871011220347</c:v>
                </c:pt>
                <c:pt idx="61">
                  <c:v>0.65532903647657759</c:v>
                </c:pt>
                <c:pt idx="62">
                  <c:v>0.86149073612911609</c:v>
                </c:pt>
                <c:pt idx="63">
                  <c:v>1.8074821353509878</c:v>
                </c:pt>
                <c:pt idx="64">
                  <c:v>0.98200182269118796</c:v>
                </c:pt>
                <c:pt idx="65">
                  <c:v>0.71494522944712102</c:v>
                </c:pt>
                <c:pt idx="66">
                  <c:v>0.4667262057934598</c:v>
                </c:pt>
                <c:pt idx="67">
                  <c:v>0.53399343016829359</c:v>
                </c:pt>
                <c:pt idx="68">
                  <c:v>0.62963022083171483</c:v>
                </c:pt>
                <c:pt idx="69">
                  <c:v>0.6350531176571983</c:v>
                </c:pt>
                <c:pt idx="70">
                  <c:v>1.3179123713127932</c:v>
                </c:pt>
                <c:pt idx="71">
                  <c:v>0.77869608474632646</c:v>
                </c:pt>
                <c:pt idx="72">
                  <c:v>0.74099222901240569</c:v>
                </c:pt>
                <c:pt idx="73">
                  <c:v>0.61453900970725817</c:v>
                </c:pt>
                <c:pt idx="74">
                  <c:v>0.6584798676545669</c:v>
                </c:pt>
                <c:pt idx="75">
                  <c:v>1.0748539830057908</c:v>
                </c:pt>
                <c:pt idx="76">
                  <c:v>0.61408379562599358</c:v>
                </c:pt>
                <c:pt idx="77">
                  <c:v>0.92388258371864929</c:v>
                </c:pt>
                <c:pt idx="78">
                  <c:v>0.50726242822018619</c:v>
                </c:pt>
                <c:pt idx="79">
                  <c:v>0.8406893652795292</c:v>
                </c:pt>
                <c:pt idx="80">
                  <c:v>0.6484040317315517</c:v>
                </c:pt>
                <c:pt idx="81">
                  <c:v>1.244441494657198</c:v>
                </c:pt>
                <c:pt idx="82">
                  <c:v>0.57091591224206839</c:v>
                </c:pt>
                <c:pt idx="83">
                  <c:v>9.8080425949278425</c:v>
                </c:pt>
                <c:pt idx="84">
                  <c:v>0.73832998148301954</c:v>
                </c:pt>
                <c:pt idx="85">
                  <c:v>0.89448347645068949</c:v>
                </c:pt>
                <c:pt idx="86">
                  <c:v>0.46090425728044371</c:v>
                </c:pt>
                <c:pt idx="87">
                  <c:v>2.0975283564858511E-2</c:v>
                </c:pt>
                <c:pt idx="88">
                  <c:v>7.7063191817290182</c:v>
                </c:pt>
                <c:pt idx="89">
                  <c:v>0.29326373207425438</c:v>
                </c:pt>
                <c:pt idx="90">
                  <c:v>0.25220680958385872</c:v>
                </c:pt>
                <c:pt idx="91">
                  <c:v>0.35028723553313718</c:v>
                </c:pt>
                <c:pt idx="92">
                  <c:v>0.17514361776656859</c:v>
                </c:pt>
                <c:pt idx="93">
                  <c:v>0.89817239880291577</c:v>
                </c:pt>
                <c:pt idx="94">
                  <c:v>0.19265797954322547</c:v>
                </c:pt>
                <c:pt idx="95">
                  <c:v>0.61868914327930724</c:v>
                </c:pt>
                <c:pt idx="96">
                  <c:v>13.310914950259212</c:v>
                </c:pt>
                <c:pt idx="97">
                  <c:v>3.5028723553313719</c:v>
                </c:pt>
                <c:pt idx="98">
                  <c:v>0.45899706725031764</c:v>
                </c:pt>
                <c:pt idx="99">
                  <c:v>0.38821642664182077</c:v>
                </c:pt>
                <c:pt idx="100">
                  <c:v>0.33627574611181166</c:v>
                </c:pt>
                <c:pt idx="101">
                  <c:v>0.39860271629632849</c:v>
                </c:pt>
                <c:pt idx="102">
                  <c:v>0.53604561801283113</c:v>
                </c:pt>
                <c:pt idx="103">
                  <c:v>0.58610151827766743</c:v>
                </c:pt>
                <c:pt idx="104">
                  <c:v>0.68574749813365476</c:v>
                </c:pt>
                <c:pt idx="105">
                  <c:v>0.42986068248094583</c:v>
                </c:pt>
                <c:pt idx="106">
                  <c:v>1.0302565750974622E-2</c:v>
                </c:pt>
                <c:pt idx="107">
                  <c:v>0.67310096239700878</c:v>
                </c:pt>
                <c:pt idx="108">
                  <c:v>0.62682978990140337</c:v>
                </c:pt>
                <c:pt idx="109">
                  <c:v>0.46090425728044371</c:v>
                </c:pt>
                <c:pt idx="110">
                  <c:v>0.63540475282755116</c:v>
                </c:pt>
                <c:pt idx="111">
                  <c:v>0.42034468263976454</c:v>
                </c:pt>
                <c:pt idx="112">
                  <c:v>1.4595301480547382</c:v>
                </c:pt>
                <c:pt idx="113">
                  <c:v>0.52309560506281816</c:v>
                </c:pt>
                <c:pt idx="114">
                  <c:v>0.42214102743737036</c:v>
                </c:pt>
                <c:pt idx="115">
                  <c:v>0.34790432916896619</c:v>
                </c:pt>
                <c:pt idx="116">
                  <c:v>0.56045957685301939</c:v>
                </c:pt>
                <c:pt idx="117">
                  <c:v>0.36650423717818986</c:v>
                </c:pt>
                <c:pt idx="118">
                  <c:v>0.15872390360095279</c:v>
                </c:pt>
                <c:pt idx="119">
                  <c:v>0.32768805904712833</c:v>
                </c:pt>
                <c:pt idx="120">
                  <c:v>0.63814704295145774</c:v>
                </c:pt>
                <c:pt idx="121">
                  <c:v>0.20141516043155389</c:v>
                </c:pt>
                <c:pt idx="122">
                  <c:v>0.31752655882859915</c:v>
                </c:pt>
                <c:pt idx="123">
                  <c:v>0.52605414019567209</c:v>
                </c:pt>
                <c:pt idx="124">
                  <c:v>1.7821631281510486</c:v>
                </c:pt>
                <c:pt idx="125">
                  <c:v>0.47100769523664776</c:v>
                </c:pt>
                <c:pt idx="126">
                  <c:v>0.37913441963586608</c:v>
                </c:pt>
                <c:pt idx="127">
                  <c:v>0.85167876874723547</c:v>
                </c:pt>
                <c:pt idx="128">
                  <c:v>1.1609519806241118</c:v>
                </c:pt>
                <c:pt idx="129">
                  <c:v>0.48261796895676673</c:v>
                </c:pt>
                <c:pt idx="130">
                  <c:v>0.31382200281202194</c:v>
                </c:pt>
                <c:pt idx="131">
                  <c:v>4.5537340619307827</c:v>
                </c:pt>
                <c:pt idx="132">
                  <c:v>0.40425898481467792</c:v>
                </c:pt>
                <c:pt idx="133">
                  <c:v>0.21795650210950759</c:v>
                </c:pt>
                <c:pt idx="134">
                  <c:v>0.61565635336127134</c:v>
                </c:pt>
                <c:pt idx="135">
                  <c:v>0.27439166783429081</c:v>
                </c:pt>
                <c:pt idx="136">
                  <c:v>0.51709068102510725</c:v>
                </c:pt>
                <c:pt idx="137">
                  <c:v>0.3755079164915231</c:v>
                </c:pt>
                <c:pt idx="138">
                  <c:v>0.34599800407762937</c:v>
                </c:pt>
                <c:pt idx="139">
                  <c:v>0.41436416886236954</c:v>
                </c:pt>
                <c:pt idx="140">
                  <c:v>0.44646181657372147</c:v>
                </c:pt>
                <c:pt idx="141">
                  <c:v>0.76837200052430088</c:v>
                </c:pt>
                <c:pt idx="142">
                  <c:v>0.57246942492844133</c:v>
                </c:pt>
                <c:pt idx="143">
                  <c:v>0.41462570736575421</c:v>
                </c:pt>
                <c:pt idx="144">
                  <c:v>0.38342251457005561</c:v>
                </c:pt>
                <c:pt idx="145">
                  <c:v>0.55243537586283309</c:v>
                </c:pt>
                <c:pt idx="146">
                  <c:v>0.53016446459069411</c:v>
                </c:pt>
                <c:pt idx="147">
                  <c:v>0.44551502291759482</c:v>
                </c:pt>
                <c:pt idx="148">
                  <c:v>0.37588755042949834</c:v>
                </c:pt>
                <c:pt idx="149">
                  <c:v>0.42555556713529891</c:v>
                </c:pt>
                <c:pt idx="150">
                  <c:v>0.44956100419377659</c:v>
                </c:pt>
                <c:pt idx="151">
                  <c:v>0.44303681203676987</c:v>
                </c:pt>
                <c:pt idx="152">
                  <c:v>0.45764799863160516</c:v>
                </c:pt>
                <c:pt idx="153">
                  <c:v>0.46254545938351943</c:v>
                </c:pt>
                <c:pt idx="154">
                  <c:v>0.42812884342938989</c:v>
                </c:pt>
                <c:pt idx="155">
                  <c:v>0.42812884342938984</c:v>
                </c:pt>
                <c:pt idx="156">
                  <c:v>0.3722524417216837</c:v>
                </c:pt>
                <c:pt idx="157">
                  <c:v>0.39111207881109999</c:v>
                </c:pt>
                <c:pt idx="158">
                  <c:v>0.47343883544013615</c:v>
                </c:pt>
                <c:pt idx="159">
                  <c:v>0.42532101628551838</c:v>
                </c:pt>
                <c:pt idx="160">
                  <c:v>0.40925645360130569</c:v>
                </c:pt>
                <c:pt idx="161">
                  <c:v>0.41791925837242466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162384"/>
        <c:axId val="571162776"/>
      </c:scatterChart>
      <c:valAx>
        <c:axId val="571162384"/>
        <c:scaling>
          <c:orientation val="minMax"/>
          <c:max val="2015"/>
          <c:min val="1995"/>
        </c:scaling>
        <c:delete val="0"/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71162776"/>
        <c:crosses val="autoZero"/>
        <c:crossBetween val="midCat"/>
      </c:valAx>
      <c:valAx>
        <c:axId val="571162776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>
                  <a:defRPr sz="1800"/>
                </a:pPr>
                <a:r>
                  <a:rPr lang="en-US" sz="1800"/>
                  <a:t>f</a:t>
                </a:r>
              </a:p>
            </c:rich>
          </c:tx>
          <c:layout>
            <c:manualLayout>
              <c:xMode val="edge"/>
              <c:yMode val="edge"/>
              <c:x val="2.1254593175853018E-2"/>
              <c:y val="0.3952042782401946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71162384"/>
        <c:crosses val="autoZero"/>
        <c:crossBetween val="midCat"/>
      </c:valAx>
      <c:spPr>
        <a:gradFill flip="none" rotWithShape="1">
          <a:gsLst>
            <a:gs pos="0">
              <a:srgbClr val="FFF200"/>
            </a:gs>
            <a:gs pos="39000">
              <a:srgbClr val="FF7A00"/>
            </a:gs>
            <a:gs pos="70000">
              <a:srgbClr val="FF0300"/>
            </a:gs>
            <a:gs pos="100000">
              <a:srgbClr val="4D0808"/>
            </a:gs>
          </a:gsLst>
          <a:lin ang="16200000" scaled="0"/>
          <a:tileRect/>
        </a:gradFill>
        <a:ln w="25400">
          <a:noFill/>
        </a:ln>
      </c:spPr>
    </c:plotArea>
    <c:legend>
      <c:legendPos val="r"/>
      <c:layout>
        <c:manualLayout>
          <c:xMode val="edge"/>
          <c:yMode val="edge"/>
          <c:x val="0.36500218722659666"/>
          <c:y val="0.61065364252182086"/>
          <c:w val="0.55987401574803153"/>
          <c:h val="0.16685502547475684"/>
        </c:manualLayout>
      </c:layout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70220673163471E-2"/>
          <c:y val="3.9874372058246302E-2"/>
          <c:w val="0.87777496620443063"/>
          <c:h val="0.78036659016174625"/>
        </c:manualLayout>
      </c:layout>
      <c:scatterChart>
        <c:scatterStyle val="lineMarker"/>
        <c:varyColors val="0"/>
        <c:ser>
          <c:idx val="0"/>
          <c:order val="0"/>
          <c:tx>
            <c:strRef>
              <c:f>'main (3)'!$B$9</c:f>
              <c:strCache>
                <c:ptCount val="1"/>
                <c:pt idx="0">
                  <c:v>Global (HadCRUT4)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'main (3)'!$A$10:$A$171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'main (3)'!$B$10:$B$171</c:f>
              <c:numCache>
                <c:formatCode>General</c:formatCode>
                <c:ptCount val="162"/>
                <c:pt idx="0">
                  <c:v>-0.219</c:v>
                </c:pt>
                <c:pt idx="1">
                  <c:v>-0.223</c:v>
                </c:pt>
                <c:pt idx="2">
                  <c:v>-0.26800000000000002</c:v>
                </c:pt>
                <c:pt idx="3">
                  <c:v>-0.24299999999999999</c:v>
                </c:pt>
                <c:pt idx="4">
                  <c:v>-0.26400000000000001</c:v>
                </c:pt>
                <c:pt idx="5">
                  <c:v>-0.35599999999999998</c:v>
                </c:pt>
                <c:pt idx="6">
                  <c:v>-0.45400000000000001</c:v>
                </c:pt>
                <c:pt idx="7">
                  <c:v>-0.46100000000000002</c:v>
                </c:pt>
                <c:pt idx="8">
                  <c:v>-0.28199999999999997</c:v>
                </c:pt>
                <c:pt idx="9">
                  <c:v>-0.33800000000000002</c:v>
                </c:pt>
                <c:pt idx="10">
                  <c:v>-0.39100000000000001</c:v>
                </c:pt>
                <c:pt idx="11">
                  <c:v>-0.503</c:v>
                </c:pt>
                <c:pt idx="12">
                  <c:v>-0.27500000000000002</c:v>
                </c:pt>
                <c:pt idx="13">
                  <c:v>-0.47799999999999998</c:v>
                </c:pt>
                <c:pt idx="14">
                  <c:v>-0.27</c:v>
                </c:pt>
                <c:pt idx="15">
                  <c:v>-0.24099999999999999</c:v>
                </c:pt>
                <c:pt idx="16">
                  <c:v>-0.308</c:v>
                </c:pt>
                <c:pt idx="17">
                  <c:v>-0.23</c:v>
                </c:pt>
                <c:pt idx="18">
                  <c:v>-0.25900000000000001</c:v>
                </c:pt>
                <c:pt idx="19">
                  <c:v>-0.27100000000000002</c:v>
                </c:pt>
                <c:pt idx="20">
                  <c:v>-0.32600000000000001</c:v>
                </c:pt>
                <c:pt idx="21">
                  <c:v>-0.22900000000000001</c:v>
                </c:pt>
                <c:pt idx="22">
                  <c:v>-0.30599999999999999</c:v>
                </c:pt>
                <c:pt idx="23">
                  <c:v>-0.373</c:v>
                </c:pt>
                <c:pt idx="24">
                  <c:v>-0.40799999999999997</c:v>
                </c:pt>
                <c:pt idx="25">
                  <c:v>-0.38400000000000001</c:v>
                </c:pt>
                <c:pt idx="26">
                  <c:v>-7.2999999999999995E-2</c:v>
                </c:pt>
                <c:pt idx="27">
                  <c:v>3.2000000000000001E-2</c:v>
                </c:pt>
                <c:pt idx="28">
                  <c:v>-0.23400000000000001</c:v>
                </c:pt>
                <c:pt idx="29">
                  <c:v>-0.23</c:v>
                </c:pt>
                <c:pt idx="30">
                  <c:v>-0.20699999999999999</c:v>
                </c:pt>
                <c:pt idx="31">
                  <c:v>-0.214</c:v>
                </c:pt>
                <c:pt idx="32">
                  <c:v>-0.29199999999999998</c:v>
                </c:pt>
                <c:pt idx="33">
                  <c:v>-0.40300000000000002</c:v>
                </c:pt>
                <c:pt idx="34">
                  <c:v>-0.38500000000000001</c:v>
                </c:pt>
                <c:pt idx="35">
                  <c:v>-0.36599999999999999</c:v>
                </c:pt>
                <c:pt idx="36">
                  <c:v>-0.41799999999999998</c:v>
                </c:pt>
                <c:pt idx="37">
                  <c:v>-0.309</c:v>
                </c:pt>
                <c:pt idx="38">
                  <c:v>-0.17299999999999999</c:v>
                </c:pt>
                <c:pt idx="39">
                  <c:v>-0.41899999999999998</c:v>
                </c:pt>
                <c:pt idx="40">
                  <c:v>-0.33900000000000002</c:v>
                </c:pt>
                <c:pt idx="41">
                  <c:v>-0.45600000000000002</c:v>
                </c:pt>
                <c:pt idx="42">
                  <c:v>-0.47499999999999998</c:v>
                </c:pt>
                <c:pt idx="43">
                  <c:v>-0.40799999999999997</c:v>
                </c:pt>
                <c:pt idx="44">
                  <c:v>-0.39300000000000002</c:v>
                </c:pt>
                <c:pt idx="45">
                  <c:v>-0.191</c:v>
                </c:pt>
                <c:pt idx="46">
                  <c:v>-0.21</c:v>
                </c:pt>
                <c:pt idx="47">
                  <c:v>-0.40799999999999997</c:v>
                </c:pt>
                <c:pt idx="48">
                  <c:v>-0.28799999999999998</c:v>
                </c:pt>
                <c:pt idx="49">
                  <c:v>-0.19800000000000001</c:v>
                </c:pt>
                <c:pt idx="50">
                  <c:v>-0.26700000000000002</c:v>
                </c:pt>
                <c:pt idx="51">
                  <c:v>-0.41199999999999998</c:v>
                </c:pt>
                <c:pt idx="52">
                  <c:v>-0.48099999999999998</c:v>
                </c:pt>
                <c:pt idx="53">
                  <c:v>-0.52800000000000002</c:v>
                </c:pt>
                <c:pt idx="54">
                  <c:v>-0.38200000000000001</c:v>
                </c:pt>
                <c:pt idx="55">
                  <c:v>-0.29399999999999998</c:v>
                </c:pt>
                <c:pt idx="56">
                  <c:v>-0.47599999999999998</c:v>
                </c:pt>
                <c:pt idx="57">
                  <c:v>-0.52300000000000002</c:v>
                </c:pt>
                <c:pt idx="58">
                  <c:v>-0.53600000000000003</c:v>
                </c:pt>
                <c:pt idx="59">
                  <c:v>-0.496</c:v>
                </c:pt>
                <c:pt idx="60">
                  <c:v>-0.55400000000000005</c:v>
                </c:pt>
                <c:pt idx="61">
                  <c:v>-0.44900000000000001</c:v>
                </c:pt>
                <c:pt idx="62">
                  <c:v>-0.439</c:v>
                </c:pt>
                <c:pt idx="63">
                  <c:v>-0.25800000000000001</c:v>
                </c:pt>
                <c:pt idx="64">
                  <c:v>-0.16400000000000001</c:v>
                </c:pt>
                <c:pt idx="65">
                  <c:v>-0.39800000000000002</c:v>
                </c:pt>
                <c:pt idx="66">
                  <c:v>-0.48099999999999998</c:v>
                </c:pt>
                <c:pt idx="67">
                  <c:v>-0.34300000000000003</c:v>
                </c:pt>
                <c:pt idx="68">
                  <c:v>-0.28399999999999997</c:v>
                </c:pt>
                <c:pt idx="69">
                  <c:v>-0.252</c:v>
                </c:pt>
                <c:pt idx="70">
                  <c:v>-0.19</c:v>
                </c:pt>
                <c:pt idx="71">
                  <c:v>-0.309</c:v>
                </c:pt>
                <c:pt idx="72">
                  <c:v>-0.27500000000000002</c:v>
                </c:pt>
                <c:pt idx="73">
                  <c:v>-0.3</c:v>
                </c:pt>
                <c:pt idx="74">
                  <c:v>-0.219</c:v>
                </c:pt>
                <c:pt idx="75">
                  <c:v>-0.112</c:v>
                </c:pt>
                <c:pt idx="76">
                  <c:v>-0.21299999999999999</c:v>
                </c:pt>
                <c:pt idx="77">
                  <c:v>-0.21099999999999999</c:v>
                </c:pt>
                <c:pt idx="78">
                  <c:v>-0.34899999999999998</c:v>
                </c:pt>
                <c:pt idx="79">
                  <c:v>-0.13800000000000001</c:v>
                </c:pt>
                <c:pt idx="80">
                  <c:v>-8.6999999999999994E-2</c:v>
                </c:pt>
                <c:pt idx="81">
                  <c:v>-0.13500000000000001</c:v>
                </c:pt>
                <c:pt idx="82">
                  <c:v>-0.27300000000000002</c:v>
                </c:pt>
                <c:pt idx="83">
                  <c:v>-0.126</c:v>
                </c:pt>
                <c:pt idx="84">
                  <c:v>-0.17599999999999999</c:v>
                </c:pt>
                <c:pt idx="85">
                  <c:v>-0.14299999999999999</c:v>
                </c:pt>
                <c:pt idx="86">
                  <c:v>-2.5000000000000001E-2</c:v>
                </c:pt>
                <c:pt idx="87">
                  <c:v>-5.0000000000000001E-3</c:v>
                </c:pt>
                <c:pt idx="88">
                  <c:v>-5.5E-2</c:v>
                </c:pt>
                <c:pt idx="89">
                  <c:v>1.7999999999999999E-2</c:v>
                </c:pt>
                <c:pt idx="90">
                  <c:v>1.7999999999999999E-2</c:v>
                </c:pt>
                <c:pt idx="91">
                  <c:v>-2.3E-2</c:v>
                </c:pt>
                <c:pt idx="92">
                  <c:v>-3.0000000000000001E-3</c:v>
                </c:pt>
                <c:pt idx="93">
                  <c:v>0.15</c:v>
                </c:pt>
                <c:pt idx="94">
                  <c:v>3.3000000000000002E-2</c:v>
                </c:pt>
                <c:pt idx="95">
                  <c:v>-6.8000000000000005E-2</c:v>
                </c:pt>
                <c:pt idx="96">
                  <c:v>-3.7999999999999999E-2</c:v>
                </c:pt>
                <c:pt idx="97">
                  <c:v>-3.5000000000000003E-2</c:v>
                </c:pt>
                <c:pt idx="98">
                  <c:v>-7.5999999999999998E-2</c:v>
                </c:pt>
                <c:pt idx="99">
                  <c:v>-0.17399999999999999</c:v>
                </c:pt>
                <c:pt idx="100">
                  <c:v>-4.8000000000000001E-2</c:v>
                </c:pt>
                <c:pt idx="101">
                  <c:v>3.3000000000000002E-2</c:v>
                </c:pt>
                <c:pt idx="102">
                  <c:v>0.10100000000000001</c:v>
                </c:pt>
                <c:pt idx="103">
                  <c:v>-0.128</c:v>
                </c:pt>
                <c:pt idx="104">
                  <c:v>-0.185</c:v>
                </c:pt>
                <c:pt idx="105">
                  <c:v>-0.26200000000000001</c:v>
                </c:pt>
                <c:pt idx="106">
                  <c:v>-1E-3</c:v>
                </c:pt>
                <c:pt idx="107">
                  <c:v>4.9000000000000002E-2</c:v>
                </c:pt>
                <c:pt idx="108">
                  <c:v>1.7000000000000001E-2</c:v>
                </c:pt>
                <c:pt idx="109">
                  <c:v>-0.05</c:v>
                </c:pt>
                <c:pt idx="110">
                  <c:v>3.9E-2</c:v>
                </c:pt>
                <c:pt idx="111">
                  <c:v>1.7999999999999999E-2</c:v>
                </c:pt>
                <c:pt idx="112">
                  <c:v>0.05</c:v>
                </c:pt>
                <c:pt idx="113">
                  <c:v>-0.224</c:v>
                </c:pt>
                <c:pt idx="114">
                  <c:v>-0.14099999999999999</c:v>
                </c:pt>
                <c:pt idx="115">
                  <c:v>-7.2999999999999995E-2</c:v>
                </c:pt>
                <c:pt idx="116">
                  <c:v>-7.5999999999999998E-2</c:v>
                </c:pt>
                <c:pt idx="117">
                  <c:v>-0.113</c:v>
                </c:pt>
                <c:pt idx="118">
                  <c:v>2.9000000000000001E-2</c:v>
                </c:pt>
                <c:pt idx="119">
                  <c:v>-2.9000000000000001E-2</c:v>
                </c:pt>
                <c:pt idx="120">
                  <c:v>-0.184</c:v>
                </c:pt>
                <c:pt idx="121">
                  <c:v>-6.9000000000000006E-2</c:v>
                </c:pt>
                <c:pt idx="122">
                  <c:v>6.3E-2</c:v>
                </c:pt>
                <c:pt idx="123">
                  <c:v>-0.21099999999999999</c:v>
                </c:pt>
                <c:pt idx="124">
                  <c:v>-0.14499999999999999</c:v>
                </c:pt>
                <c:pt idx="125">
                  <c:v>-0.23799999999999999</c:v>
                </c:pt>
                <c:pt idx="126">
                  <c:v>4.5999999999999999E-2</c:v>
                </c:pt>
                <c:pt idx="127">
                  <c:v>-6.2E-2</c:v>
                </c:pt>
                <c:pt idx="128">
                  <c:v>5.8000000000000003E-2</c:v>
                </c:pt>
                <c:pt idx="129">
                  <c:v>9.2999999999999999E-2</c:v>
                </c:pt>
                <c:pt idx="130">
                  <c:v>0.14199999999999999</c:v>
                </c:pt>
                <c:pt idx="131">
                  <c:v>1.2999999999999999E-2</c:v>
                </c:pt>
                <c:pt idx="132">
                  <c:v>0.191</c:v>
                </c:pt>
                <c:pt idx="133">
                  <c:v>-1.4E-2</c:v>
                </c:pt>
                <c:pt idx="134">
                  <c:v>-2.9000000000000001E-2</c:v>
                </c:pt>
                <c:pt idx="135">
                  <c:v>4.7E-2</c:v>
                </c:pt>
                <c:pt idx="136">
                  <c:v>0.186</c:v>
                </c:pt>
                <c:pt idx="137">
                  <c:v>0.20100000000000001</c:v>
                </c:pt>
                <c:pt idx="138">
                  <c:v>0.121</c:v>
                </c:pt>
                <c:pt idx="139">
                  <c:v>0.29099999999999998</c:v>
                </c:pt>
                <c:pt idx="140">
                  <c:v>0.253</c:v>
                </c:pt>
                <c:pt idx="141">
                  <c:v>0.10199999999999999</c:v>
                </c:pt>
                <c:pt idx="142">
                  <c:v>0.14299999999999999</c:v>
                </c:pt>
                <c:pt idx="143">
                  <c:v>0.20300000000000001</c:v>
                </c:pt>
                <c:pt idx="144">
                  <c:v>0.32400000000000001</c:v>
                </c:pt>
                <c:pt idx="145">
                  <c:v>0.17899999999999999</c:v>
                </c:pt>
                <c:pt idx="146">
                  <c:v>0.39200000000000002</c:v>
                </c:pt>
                <c:pt idx="147">
                  <c:v>0.53100000000000003</c:v>
                </c:pt>
                <c:pt idx="148">
                  <c:v>0.30099999999999999</c:v>
                </c:pt>
                <c:pt idx="149">
                  <c:v>0.29399999999999998</c:v>
                </c:pt>
                <c:pt idx="150">
                  <c:v>0.437</c:v>
                </c:pt>
                <c:pt idx="151">
                  <c:v>0.49199999999999999</c:v>
                </c:pt>
                <c:pt idx="152">
                  <c:v>0.503</c:v>
                </c:pt>
                <c:pt idx="153">
                  <c:v>0.44500000000000001</c:v>
                </c:pt>
                <c:pt idx="154">
                  <c:v>0.53900000000000003</c:v>
                </c:pt>
                <c:pt idx="155">
                  <c:v>0.495</c:v>
                </c:pt>
                <c:pt idx="156">
                  <c:v>0.48299999999999998</c:v>
                </c:pt>
                <c:pt idx="157">
                  <c:v>0.38800000000000001</c:v>
                </c:pt>
                <c:pt idx="158">
                  <c:v>0.49399999999999999</c:v>
                </c:pt>
                <c:pt idx="159">
                  <c:v>0.54700000000000004</c:v>
                </c:pt>
                <c:pt idx="160">
                  <c:v>0.40600000000000003</c:v>
                </c:pt>
                <c:pt idx="161">
                  <c:v>0.44800000000000001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'main (3)'!$C$9</c:f>
              <c:strCache>
                <c:ptCount val="1"/>
                <c:pt idx="0">
                  <c:v>Fractionally Composed (CRUTEM4 + HadSST3)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'main (3)'!$A$10:$A$171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'main (3)'!$C$10:$C$171</c:f>
              <c:numCache>
                <c:formatCode>General</c:formatCode>
                <c:ptCount val="162"/>
                <c:pt idx="0">
                  <c:v>-3.9067150000000009E-2</c:v>
                </c:pt>
                <c:pt idx="1">
                  <c:v>-2.314179999999999E-2</c:v>
                </c:pt>
                <c:pt idx="2">
                  <c:v>-0.22667014999999999</c:v>
                </c:pt>
                <c:pt idx="3">
                  <c:v>-8.3979350000000008E-2</c:v>
                </c:pt>
                <c:pt idx="4">
                  <c:v>-0.19761600000000001</c:v>
                </c:pt>
                <c:pt idx="5">
                  <c:v>-0.36006389999999999</c:v>
                </c:pt>
                <c:pt idx="6">
                  <c:v>-0.39967169999999996</c:v>
                </c:pt>
                <c:pt idx="7">
                  <c:v>-0.4306758</c:v>
                </c:pt>
                <c:pt idx="8">
                  <c:v>-0.25783005000000003</c:v>
                </c:pt>
                <c:pt idx="9">
                  <c:v>-0.35641339999999999</c:v>
                </c:pt>
                <c:pt idx="10">
                  <c:v>-0.38049370000000005</c:v>
                </c:pt>
                <c:pt idx="11">
                  <c:v>-0.46755690000000005</c:v>
                </c:pt>
                <c:pt idx="12">
                  <c:v>-0.2699375</c:v>
                </c:pt>
                <c:pt idx="13">
                  <c:v>-0.47632065000000001</c:v>
                </c:pt>
                <c:pt idx="14">
                  <c:v>-0.2657407</c:v>
                </c:pt>
                <c:pt idx="15">
                  <c:v>-0.24536745000000001</c:v>
                </c:pt>
                <c:pt idx="16">
                  <c:v>-0.31145935000000002</c:v>
                </c:pt>
                <c:pt idx="17">
                  <c:v>-0.24437975000000001</c:v>
                </c:pt>
                <c:pt idx="18">
                  <c:v>-0.25422139999999999</c:v>
                </c:pt>
                <c:pt idx="19">
                  <c:v>-0.29749215000000001</c:v>
                </c:pt>
                <c:pt idx="20">
                  <c:v>-0.34202374999999996</c:v>
                </c:pt>
                <c:pt idx="21">
                  <c:v>-0.23618039999999998</c:v>
                </c:pt>
                <c:pt idx="22">
                  <c:v>-0.29022959999999998</c:v>
                </c:pt>
                <c:pt idx="23">
                  <c:v>-0.39275950000000004</c:v>
                </c:pt>
                <c:pt idx="24">
                  <c:v>-0.45460539999999999</c:v>
                </c:pt>
                <c:pt idx="25">
                  <c:v>-0.37299249999999995</c:v>
                </c:pt>
                <c:pt idx="26">
                  <c:v>-0.10703775</c:v>
                </c:pt>
                <c:pt idx="27">
                  <c:v>7.9499500000000008E-3</c:v>
                </c:pt>
                <c:pt idx="28">
                  <c:v>-0.30441425</c:v>
                </c:pt>
                <c:pt idx="29">
                  <c:v>-0.22833055000000002</c:v>
                </c:pt>
                <c:pt idx="30">
                  <c:v>-0.2488958</c:v>
                </c:pt>
                <c:pt idx="31">
                  <c:v>-0.23170790000000002</c:v>
                </c:pt>
                <c:pt idx="32">
                  <c:v>-0.34545934999999994</c:v>
                </c:pt>
                <c:pt idx="33">
                  <c:v>-0.43990639999999998</c:v>
                </c:pt>
                <c:pt idx="34">
                  <c:v>-0.42354135000000004</c:v>
                </c:pt>
                <c:pt idx="35">
                  <c:v>-0.38344945000000002</c:v>
                </c:pt>
                <c:pt idx="36">
                  <c:v>-0.43258560000000001</c:v>
                </c:pt>
                <c:pt idx="37">
                  <c:v>-0.35773335000000001</c:v>
                </c:pt>
                <c:pt idx="38">
                  <c:v>-0.18616484999999999</c:v>
                </c:pt>
                <c:pt idx="39">
                  <c:v>-0.40136490000000002</c:v>
                </c:pt>
                <c:pt idx="40">
                  <c:v>-0.3558654</c:v>
                </c:pt>
                <c:pt idx="41">
                  <c:v>-0.45665204999999998</c:v>
                </c:pt>
                <c:pt idx="42">
                  <c:v>-0.47711720000000002</c:v>
                </c:pt>
                <c:pt idx="43">
                  <c:v>-0.40706629999999999</c:v>
                </c:pt>
                <c:pt idx="44">
                  <c:v>-0.39614674999999999</c:v>
                </c:pt>
                <c:pt idx="45">
                  <c:v>-0.22009924999999997</c:v>
                </c:pt>
                <c:pt idx="46">
                  <c:v>-0.2142559</c:v>
                </c:pt>
                <c:pt idx="47">
                  <c:v>-0.36885875000000001</c:v>
                </c:pt>
                <c:pt idx="48">
                  <c:v>-0.27666110000000005</c:v>
                </c:pt>
                <c:pt idx="49">
                  <c:v>-0.18410575000000001</c:v>
                </c:pt>
                <c:pt idx="50">
                  <c:v>-0.24696705000000002</c:v>
                </c:pt>
                <c:pt idx="51">
                  <c:v>-0.38592929999999998</c:v>
                </c:pt>
                <c:pt idx="52">
                  <c:v>-0.45098174999999996</c:v>
                </c:pt>
                <c:pt idx="53">
                  <c:v>-0.50824345000000004</c:v>
                </c:pt>
                <c:pt idx="54">
                  <c:v>-0.37948140000000002</c:v>
                </c:pt>
                <c:pt idx="55">
                  <c:v>-0.27319919999999998</c:v>
                </c:pt>
                <c:pt idx="56">
                  <c:v>-0.4808924</c:v>
                </c:pt>
                <c:pt idx="57">
                  <c:v>-0.48527215000000001</c:v>
                </c:pt>
                <c:pt idx="58">
                  <c:v>-0.49101455000000005</c:v>
                </c:pt>
                <c:pt idx="59">
                  <c:v>-0.44835005</c:v>
                </c:pt>
                <c:pt idx="60">
                  <c:v>-0.49168639999999997</c:v>
                </c:pt>
                <c:pt idx="61">
                  <c:v>-0.423232</c:v>
                </c:pt>
                <c:pt idx="62">
                  <c:v>-0.39709004999999997</c:v>
                </c:pt>
                <c:pt idx="63">
                  <c:v>-0.2166266</c:v>
                </c:pt>
                <c:pt idx="64">
                  <c:v>-0.15111805</c:v>
                </c:pt>
                <c:pt idx="65">
                  <c:v>-0.3687841</c:v>
                </c:pt>
                <c:pt idx="66">
                  <c:v>-0.49641989999999997</c:v>
                </c:pt>
                <c:pt idx="67">
                  <c:v>-0.3592747</c:v>
                </c:pt>
                <c:pt idx="68">
                  <c:v>-0.30000480000000002</c:v>
                </c:pt>
                <c:pt idx="69">
                  <c:v>-0.2549515</c:v>
                </c:pt>
                <c:pt idx="70">
                  <c:v>-0.17117545000000001</c:v>
                </c:pt>
                <c:pt idx="71">
                  <c:v>-0.28587190000000001</c:v>
                </c:pt>
                <c:pt idx="72">
                  <c:v>-0.26799660000000003</c:v>
                </c:pt>
                <c:pt idx="73">
                  <c:v>-0.2846611</c:v>
                </c:pt>
                <c:pt idx="74">
                  <c:v>-0.22457825000000001</c:v>
                </c:pt>
                <c:pt idx="75">
                  <c:v>-9.934285000000001E-2</c:v>
                </c:pt>
                <c:pt idx="76">
                  <c:v>-0.19665375000000002</c:v>
                </c:pt>
                <c:pt idx="77">
                  <c:v>-0.18535840000000001</c:v>
                </c:pt>
                <c:pt idx="78">
                  <c:v>-0.34206389999999998</c:v>
                </c:pt>
                <c:pt idx="79">
                  <c:v>-0.12005655000000001</c:v>
                </c:pt>
                <c:pt idx="80">
                  <c:v>-8.8513499999999995E-2</c:v>
                </c:pt>
                <c:pt idx="81">
                  <c:v>-0.12217219999999999</c:v>
                </c:pt>
                <c:pt idx="82">
                  <c:v>-0.25582355000000001</c:v>
                </c:pt>
                <c:pt idx="83">
                  <c:v>-0.11143304999999999</c:v>
                </c:pt>
                <c:pt idx="84">
                  <c:v>-0.16552495</c:v>
                </c:pt>
                <c:pt idx="85">
                  <c:v>-0.12642980000000001</c:v>
                </c:pt>
                <c:pt idx="86">
                  <c:v>-1.87137E-2</c:v>
                </c:pt>
                <c:pt idx="87">
                  <c:v>1.0350350000000008E-2</c:v>
                </c:pt>
                <c:pt idx="88">
                  <c:v>-4.7019650000000003E-2</c:v>
                </c:pt>
                <c:pt idx="89">
                  <c:v>-6.1829499999999978E-3</c:v>
                </c:pt>
                <c:pt idx="90">
                  <c:v>1.8231300000000002E-2</c:v>
                </c:pt>
                <c:pt idx="91">
                  <c:v>-8.3986999999999985E-3</c:v>
                </c:pt>
                <c:pt idx="92">
                  <c:v>2.5643999999999997E-3</c:v>
                </c:pt>
                <c:pt idx="93">
                  <c:v>0.12592365</c:v>
                </c:pt>
                <c:pt idx="94">
                  <c:v>3.3906400000000003E-2</c:v>
                </c:pt>
                <c:pt idx="95">
                  <c:v>-3.7211649999999999E-2</c:v>
                </c:pt>
                <c:pt idx="96">
                  <c:v>-3.2779299999999997E-2</c:v>
                </c:pt>
                <c:pt idx="97">
                  <c:v>-2.4986850000000001E-2</c:v>
                </c:pt>
                <c:pt idx="98">
                  <c:v>-7.1742399999999998E-2</c:v>
                </c:pt>
                <c:pt idx="99">
                  <c:v>-0.15900409999999998</c:v>
                </c:pt>
                <c:pt idx="100">
                  <c:v>-3.3394600000000003E-2</c:v>
                </c:pt>
                <c:pt idx="101">
                  <c:v>2.9118899999999996E-2</c:v>
                </c:pt>
                <c:pt idx="102">
                  <c:v>9.8638199999999995E-2</c:v>
                </c:pt>
                <c:pt idx="103">
                  <c:v>-0.11014025</c:v>
                </c:pt>
                <c:pt idx="104">
                  <c:v>-0.16020584999999998</c:v>
                </c:pt>
                <c:pt idx="105">
                  <c:v>-0.24570875000000003</c:v>
                </c:pt>
                <c:pt idx="106">
                  <c:v>4.9367999999999981E-3</c:v>
                </c:pt>
                <c:pt idx="107">
                  <c:v>6.5725149999999996E-2</c:v>
                </c:pt>
                <c:pt idx="108">
                  <c:v>3.0256749999999999E-2</c:v>
                </c:pt>
                <c:pt idx="109">
                  <c:v>-2.8265799999999997E-2</c:v>
                </c:pt>
                <c:pt idx="110">
                  <c:v>4.5692349999999993E-2</c:v>
                </c:pt>
                <c:pt idx="111">
                  <c:v>1.6431500000000002E-2</c:v>
                </c:pt>
                <c:pt idx="112">
                  <c:v>4.2347799999999998E-2</c:v>
                </c:pt>
                <c:pt idx="113">
                  <c:v>-0.1923724</c:v>
                </c:pt>
                <c:pt idx="114">
                  <c:v>-0.1459163</c:v>
                </c:pt>
                <c:pt idx="115">
                  <c:v>-5.3029549999999995E-2</c:v>
                </c:pt>
                <c:pt idx="116">
                  <c:v>-6.5966350000000007E-2</c:v>
                </c:pt>
                <c:pt idx="117">
                  <c:v>-0.10742739999999999</c:v>
                </c:pt>
                <c:pt idx="118">
                  <c:v>1.9599599999999995E-2</c:v>
                </c:pt>
                <c:pt idx="119">
                  <c:v>-2.7850699999999999E-2</c:v>
                </c:pt>
                <c:pt idx="120">
                  <c:v>-0.1808777</c:v>
                </c:pt>
                <c:pt idx="121">
                  <c:v>-8.2780999999999993E-2</c:v>
                </c:pt>
                <c:pt idx="122">
                  <c:v>5.8191150000000004E-2</c:v>
                </c:pt>
                <c:pt idx="123">
                  <c:v>-0.19303605000000001</c:v>
                </c:pt>
                <c:pt idx="124">
                  <c:v>-0.12913445000000001</c:v>
                </c:pt>
                <c:pt idx="125">
                  <c:v>-0.22939289999999998</c:v>
                </c:pt>
                <c:pt idx="126">
                  <c:v>3.3195250000000003E-2</c:v>
                </c:pt>
                <c:pt idx="127">
                  <c:v>-5.370055E-2</c:v>
                </c:pt>
                <c:pt idx="128">
                  <c:v>4.8563550000000004E-2</c:v>
                </c:pt>
                <c:pt idx="129">
                  <c:v>7.9095150000000003E-2</c:v>
                </c:pt>
                <c:pt idx="130">
                  <c:v>0.12858164999999999</c:v>
                </c:pt>
                <c:pt idx="131">
                  <c:v>6.7300999999999993E-3</c:v>
                </c:pt>
                <c:pt idx="132">
                  <c:v>0.18625675000000003</c:v>
                </c:pt>
                <c:pt idx="133">
                  <c:v>-2.1784249999999998E-2</c:v>
                </c:pt>
                <c:pt idx="134">
                  <c:v>-3.4680050000000004E-2</c:v>
                </c:pt>
                <c:pt idx="135">
                  <c:v>3.5378199999999999E-2</c:v>
                </c:pt>
                <c:pt idx="136">
                  <c:v>0.17295319999999997</c:v>
                </c:pt>
                <c:pt idx="137">
                  <c:v>0.19565954999999999</c:v>
                </c:pt>
                <c:pt idx="138">
                  <c:v>0.12693765000000001</c:v>
                </c:pt>
                <c:pt idx="139">
                  <c:v>0.28894500000000001</c:v>
                </c:pt>
                <c:pt idx="140">
                  <c:v>0.24130184999999998</c:v>
                </c:pt>
                <c:pt idx="141">
                  <c:v>8.4721049999999992E-2</c:v>
                </c:pt>
                <c:pt idx="142">
                  <c:v>0.12199915</c:v>
                </c:pt>
                <c:pt idx="143">
                  <c:v>0.20599915000000002</c:v>
                </c:pt>
                <c:pt idx="144">
                  <c:v>0.31890399999999997</c:v>
                </c:pt>
                <c:pt idx="145">
                  <c:v>0.16116895000000003</c:v>
                </c:pt>
                <c:pt idx="146">
                  <c:v>0.36693509999999996</c:v>
                </c:pt>
                <c:pt idx="147">
                  <c:v>0.53617134999999994</c:v>
                </c:pt>
                <c:pt idx="148">
                  <c:v>0.31299505000000005</c:v>
                </c:pt>
                <c:pt idx="149">
                  <c:v>0.29639700000000002</c:v>
                </c:pt>
                <c:pt idx="150">
                  <c:v>0.43140025000000004</c:v>
                </c:pt>
                <c:pt idx="151">
                  <c:v>0.48834610000000001</c:v>
                </c:pt>
                <c:pt idx="152">
                  <c:v>0.49980630000000004</c:v>
                </c:pt>
                <c:pt idx="153">
                  <c:v>0.44321729999999998</c:v>
                </c:pt>
                <c:pt idx="154">
                  <c:v>0.53748309999999999</c:v>
                </c:pt>
                <c:pt idx="155">
                  <c:v>0.49804750000000003</c:v>
                </c:pt>
                <c:pt idx="156">
                  <c:v>0.49386624999999995</c:v>
                </c:pt>
                <c:pt idx="157">
                  <c:v>0.39631414999999998</c:v>
                </c:pt>
                <c:pt idx="158">
                  <c:v>0.48703435</c:v>
                </c:pt>
                <c:pt idx="159">
                  <c:v>0.55399745</c:v>
                </c:pt>
                <c:pt idx="160">
                  <c:v>0.41406474999999998</c:v>
                </c:pt>
                <c:pt idx="161">
                  <c:v>0.46611395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163560"/>
        <c:axId val="571163952"/>
      </c:scatterChart>
      <c:valAx>
        <c:axId val="571163560"/>
        <c:scaling>
          <c:orientation val="minMax"/>
          <c:max val="2015"/>
          <c:min val="1850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Year</a:t>
                </a:r>
              </a:p>
            </c:rich>
          </c:tx>
          <c:layout>
            <c:manualLayout>
              <c:xMode val="edge"/>
              <c:yMode val="edge"/>
              <c:x val="0.53147533126788948"/>
              <c:y val="0.90757086076153715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571163952"/>
        <c:crosses val="autoZero"/>
        <c:crossBetween val="midCat"/>
      </c:valAx>
      <c:valAx>
        <c:axId val="571163952"/>
        <c:scaling>
          <c:orientation val="minMax"/>
          <c:max val="0.60000000000000009"/>
          <c:min val="-0.60000000000000009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sz="1600"/>
                  <a:t>Temperature Anomaly</a:t>
                </a:r>
              </a:p>
            </c:rich>
          </c:tx>
          <c:layout>
            <c:manualLayout>
              <c:xMode val="edge"/>
              <c:yMode val="edge"/>
              <c:x val="3.3594111096407896E-3"/>
              <c:y val="0.2572650039214808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711635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9379498568079451"/>
          <c:y val="7.2547000042975041E-2"/>
          <c:w val="0.29279690464504382"/>
          <c:h val="0.24896294553975548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spPr>
    <a:solidFill>
      <a:srgbClr val="99FFCC"/>
    </a:solidFill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47112860892391E-2"/>
          <c:y val="5.1400554097404488E-2"/>
          <c:w val="0.80213910761154861"/>
          <c:h val="0.8971988918051909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'main (3)'!$B$10:$B$171</c:f>
              <c:numCache>
                <c:formatCode>General</c:formatCode>
                <c:ptCount val="162"/>
                <c:pt idx="0">
                  <c:v>-0.219</c:v>
                </c:pt>
                <c:pt idx="1">
                  <c:v>-0.223</c:v>
                </c:pt>
                <c:pt idx="2">
                  <c:v>-0.26800000000000002</c:v>
                </c:pt>
                <c:pt idx="3">
                  <c:v>-0.24299999999999999</c:v>
                </c:pt>
                <c:pt idx="4">
                  <c:v>-0.26400000000000001</c:v>
                </c:pt>
                <c:pt idx="5">
                  <c:v>-0.35599999999999998</c:v>
                </c:pt>
                <c:pt idx="6">
                  <c:v>-0.45400000000000001</c:v>
                </c:pt>
                <c:pt idx="7">
                  <c:v>-0.46100000000000002</c:v>
                </c:pt>
                <c:pt idx="8">
                  <c:v>-0.28199999999999997</c:v>
                </c:pt>
                <c:pt idx="9">
                  <c:v>-0.33800000000000002</c:v>
                </c:pt>
                <c:pt idx="10">
                  <c:v>-0.39100000000000001</c:v>
                </c:pt>
                <c:pt idx="11">
                  <c:v>-0.503</c:v>
                </c:pt>
                <c:pt idx="12">
                  <c:v>-0.27500000000000002</c:v>
                </c:pt>
                <c:pt idx="13">
                  <c:v>-0.47799999999999998</c:v>
                </c:pt>
                <c:pt idx="14">
                  <c:v>-0.27</c:v>
                </c:pt>
                <c:pt idx="15">
                  <c:v>-0.24099999999999999</c:v>
                </c:pt>
                <c:pt idx="16">
                  <c:v>-0.308</c:v>
                </c:pt>
                <c:pt idx="17">
                  <c:v>-0.23</c:v>
                </c:pt>
                <c:pt idx="18">
                  <c:v>-0.25900000000000001</c:v>
                </c:pt>
                <c:pt idx="19">
                  <c:v>-0.27100000000000002</c:v>
                </c:pt>
                <c:pt idx="20">
                  <c:v>-0.32600000000000001</c:v>
                </c:pt>
                <c:pt idx="21">
                  <c:v>-0.22900000000000001</c:v>
                </c:pt>
                <c:pt idx="22">
                  <c:v>-0.30599999999999999</c:v>
                </c:pt>
                <c:pt idx="23">
                  <c:v>-0.373</c:v>
                </c:pt>
                <c:pt idx="24">
                  <c:v>-0.40799999999999997</c:v>
                </c:pt>
                <c:pt idx="25">
                  <c:v>-0.38400000000000001</c:v>
                </c:pt>
                <c:pt idx="26">
                  <c:v>-7.2999999999999995E-2</c:v>
                </c:pt>
                <c:pt idx="27">
                  <c:v>3.2000000000000001E-2</c:v>
                </c:pt>
                <c:pt idx="28">
                  <c:v>-0.23400000000000001</c:v>
                </c:pt>
                <c:pt idx="29">
                  <c:v>-0.23</c:v>
                </c:pt>
                <c:pt idx="30">
                  <c:v>-0.20699999999999999</c:v>
                </c:pt>
                <c:pt idx="31">
                  <c:v>-0.214</c:v>
                </c:pt>
                <c:pt idx="32">
                  <c:v>-0.29199999999999998</c:v>
                </c:pt>
                <c:pt idx="33">
                  <c:v>-0.40300000000000002</c:v>
                </c:pt>
                <c:pt idx="34">
                  <c:v>-0.38500000000000001</c:v>
                </c:pt>
                <c:pt idx="35">
                  <c:v>-0.36599999999999999</c:v>
                </c:pt>
                <c:pt idx="36">
                  <c:v>-0.41799999999999998</c:v>
                </c:pt>
                <c:pt idx="37">
                  <c:v>-0.309</c:v>
                </c:pt>
                <c:pt idx="38">
                  <c:v>-0.17299999999999999</c:v>
                </c:pt>
                <c:pt idx="39">
                  <c:v>-0.41899999999999998</c:v>
                </c:pt>
                <c:pt idx="40">
                  <c:v>-0.33900000000000002</c:v>
                </c:pt>
                <c:pt idx="41">
                  <c:v>-0.45600000000000002</c:v>
                </c:pt>
                <c:pt idx="42">
                  <c:v>-0.47499999999999998</c:v>
                </c:pt>
                <c:pt idx="43">
                  <c:v>-0.40799999999999997</c:v>
                </c:pt>
                <c:pt idx="44">
                  <c:v>-0.39300000000000002</c:v>
                </c:pt>
                <c:pt idx="45">
                  <c:v>-0.191</c:v>
                </c:pt>
                <c:pt idx="46">
                  <c:v>-0.21</c:v>
                </c:pt>
                <c:pt idx="47">
                  <c:v>-0.40799999999999997</c:v>
                </c:pt>
                <c:pt idx="48">
                  <c:v>-0.28799999999999998</c:v>
                </c:pt>
                <c:pt idx="49">
                  <c:v>-0.19800000000000001</c:v>
                </c:pt>
                <c:pt idx="50">
                  <c:v>-0.26700000000000002</c:v>
                </c:pt>
                <c:pt idx="51">
                  <c:v>-0.41199999999999998</c:v>
                </c:pt>
                <c:pt idx="52">
                  <c:v>-0.48099999999999998</c:v>
                </c:pt>
                <c:pt idx="53">
                  <c:v>-0.52800000000000002</c:v>
                </c:pt>
                <c:pt idx="54">
                  <c:v>-0.38200000000000001</c:v>
                </c:pt>
                <c:pt idx="55">
                  <c:v>-0.29399999999999998</c:v>
                </c:pt>
                <c:pt idx="56">
                  <c:v>-0.47599999999999998</c:v>
                </c:pt>
                <c:pt idx="57">
                  <c:v>-0.52300000000000002</c:v>
                </c:pt>
                <c:pt idx="58">
                  <c:v>-0.53600000000000003</c:v>
                </c:pt>
                <c:pt idx="59">
                  <c:v>-0.496</c:v>
                </c:pt>
                <c:pt idx="60">
                  <c:v>-0.55400000000000005</c:v>
                </c:pt>
                <c:pt idx="61">
                  <c:v>-0.44900000000000001</c:v>
                </c:pt>
                <c:pt idx="62">
                  <c:v>-0.439</c:v>
                </c:pt>
                <c:pt idx="63">
                  <c:v>-0.25800000000000001</c:v>
                </c:pt>
                <c:pt idx="64">
                  <c:v>-0.16400000000000001</c:v>
                </c:pt>
                <c:pt idx="65">
                  <c:v>-0.39800000000000002</c:v>
                </c:pt>
                <c:pt idx="66">
                  <c:v>-0.48099999999999998</c:v>
                </c:pt>
                <c:pt idx="67">
                  <c:v>-0.34300000000000003</c:v>
                </c:pt>
                <c:pt idx="68">
                  <c:v>-0.28399999999999997</c:v>
                </c:pt>
                <c:pt idx="69">
                  <c:v>-0.252</c:v>
                </c:pt>
                <c:pt idx="70">
                  <c:v>-0.19</c:v>
                </c:pt>
                <c:pt idx="71">
                  <c:v>-0.309</c:v>
                </c:pt>
                <c:pt idx="72">
                  <c:v>-0.27500000000000002</c:v>
                </c:pt>
                <c:pt idx="73">
                  <c:v>-0.3</c:v>
                </c:pt>
                <c:pt idx="74">
                  <c:v>-0.219</c:v>
                </c:pt>
                <c:pt idx="75">
                  <c:v>-0.112</c:v>
                </c:pt>
                <c:pt idx="76">
                  <c:v>-0.21299999999999999</c:v>
                </c:pt>
                <c:pt idx="77">
                  <c:v>-0.21099999999999999</c:v>
                </c:pt>
                <c:pt idx="78">
                  <c:v>-0.34899999999999998</c:v>
                </c:pt>
                <c:pt idx="79">
                  <c:v>-0.13800000000000001</c:v>
                </c:pt>
                <c:pt idx="80">
                  <c:v>-8.6999999999999994E-2</c:v>
                </c:pt>
                <c:pt idx="81">
                  <c:v>-0.13500000000000001</c:v>
                </c:pt>
                <c:pt idx="82">
                  <c:v>-0.27300000000000002</c:v>
                </c:pt>
                <c:pt idx="83">
                  <c:v>-0.126</c:v>
                </c:pt>
                <c:pt idx="84">
                  <c:v>-0.17599999999999999</c:v>
                </c:pt>
                <c:pt idx="85">
                  <c:v>-0.14299999999999999</c:v>
                </c:pt>
                <c:pt idx="86">
                  <c:v>-2.5000000000000001E-2</c:v>
                </c:pt>
                <c:pt idx="87">
                  <c:v>-5.0000000000000001E-3</c:v>
                </c:pt>
                <c:pt idx="88">
                  <c:v>-5.5E-2</c:v>
                </c:pt>
                <c:pt idx="89">
                  <c:v>1.7999999999999999E-2</c:v>
                </c:pt>
                <c:pt idx="90">
                  <c:v>1.7999999999999999E-2</c:v>
                </c:pt>
                <c:pt idx="91">
                  <c:v>-2.3E-2</c:v>
                </c:pt>
                <c:pt idx="92">
                  <c:v>-3.0000000000000001E-3</c:v>
                </c:pt>
                <c:pt idx="93">
                  <c:v>0.15</c:v>
                </c:pt>
                <c:pt idx="94">
                  <c:v>3.3000000000000002E-2</c:v>
                </c:pt>
                <c:pt idx="95">
                  <c:v>-6.8000000000000005E-2</c:v>
                </c:pt>
                <c:pt idx="96">
                  <c:v>-3.7999999999999999E-2</c:v>
                </c:pt>
                <c:pt idx="97">
                  <c:v>-3.5000000000000003E-2</c:v>
                </c:pt>
                <c:pt idx="98">
                  <c:v>-7.5999999999999998E-2</c:v>
                </c:pt>
                <c:pt idx="99">
                  <c:v>-0.17399999999999999</c:v>
                </c:pt>
                <c:pt idx="100">
                  <c:v>-4.8000000000000001E-2</c:v>
                </c:pt>
                <c:pt idx="101">
                  <c:v>3.3000000000000002E-2</c:v>
                </c:pt>
                <c:pt idx="102">
                  <c:v>0.10100000000000001</c:v>
                </c:pt>
                <c:pt idx="103">
                  <c:v>-0.128</c:v>
                </c:pt>
                <c:pt idx="104">
                  <c:v>-0.185</c:v>
                </c:pt>
                <c:pt idx="105">
                  <c:v>-0.26200000000000001</c:v>
                </c:pt>
                <c:pt idx="106">
                  <c:v>-1E-3</c:v>
                </c:pt>
                <c:pt idx="107">
                  <c:v>4.9000000000000002E-2</c:v>
                </c:pt>
                <c:pt idx="108">
                  <c:v>1.7000000000000001E-2</c:v>
                </c:pt>
                <c:pt idx="109">
                  <c:v>-0.05</c:v>
                </c:pt>
                <c:pt idx="110">
                  <c:v>3.9E-2</c:v>
                </c:pt>
                <c:pt idx="111">
                  <c:v>1.7999999999999999E-2</c:v>
                </c:pt>
                <c:pt idx="112">
                  <c:v>0.05</c:v>
                </c:pt>
                <c:pt idx="113">
                  <c:v>-0.224</c:v>
                </c:pt>
                <c:pt idx="114">
                  <c:v>-0.14099999999999999</c:v>
                </c:pt>
                <c:pt idx="115">
                  <c:v>-7.2999999999999995E-2</c:v>
                </c:pt>
                <c:pt idx="116">
                  <c:v>-7.5999999999999998E-2</c:v>
                </c:pt>
                <c:pt idx="117">
                  <c:v>-0.113</c:v>
                </c:pt>
                <c:pt idx="118">
                  <c:v>2.9000000000000001E-2</c:v>
                </c:pt>
                <c:pt idx="119">
                  <c:v>-2.9000000000000001E-2</c:v>
                </c:pt>
                <c:pt idx="120">
                  <c:v>-0.184</c:v>
                </c:pt>
                <c:pt idx="121">
                  <c:v>-6.9000000000000006E-2</c:v>
                </c:pt>
                <c:pt idx="122">
                  <c:v>6.3E-2</c:v>
                </c:pt>
                <c:pt idx="123">
                  <c:v>-0.21099999999999999</c:v>
                </c:pt>
                <c:pt idx="124">
                  <c:v>-0.14499999999999999</c:v>
                </c:pt>
                <c:pt idx="125">
                  <c:v>-0.23799999999999999</c:v>
                </c:pt>
                <c:pt idx="126">
                  <c:v>4.5999999999999999E-2</c:v>
                </c:pt>
                <c:pt idx="127">
                  <c:v>-6.2E-2</c:v>
                </c:pt>
                <c:pt idx="128">
                  <c:v>5.8000000000000003E-2</c:v>
                </c:pt>
                <c:pt idx="129">
                  <c:v>9.2999999999999999E-2</c:v>
                </c:pt>
                <c:pt idx="130">
                  <c:v>0.14199999999999999</c:v>
                </c:pt>
                <c:pt idx="131">
                  <c:v>1.2999999999999999E-2</c:v>
                </c:pt>
                <c:pt idx="132">
                  <c:v>0.191</c:v>
                </c:pt>
                <c:pt idx="133">
                  <c:v>-1.4E-2</c:v>
                </c:pt>
                <c:pt idx="134">
                  <c:v>-2.9000000000000001E-2</c:v>
                </c:pt>
                <c:pt idx="135">
                  <c:v>4.7E-2</c:v>
                </c:pt>
                <c:pt idx="136">
                  <c:v>0.186</c:v>
                </c:pt>
                <c:pt idx="137">
                  <c:v>0.20100000000000001</c:v>
                </c:pt>
                <c:pt idx="138">
                  <c:v>0.121</c:v>
                </c:pt>
                <c:pt idx="139">
                  <c:v>0.29099999999999998</c:v>
                </c:pt>
                <c:pt idx="140">
                  <c:v>0.253</c:v>
                </c:pt>
                <c:pt idx="141">
                  <c:v>0.10199999999999999</c:v>
                </c:pt>
                <c:pt idx="142">
                  <c:v>0.14299999999999999</c:v>
                </c:pt>
                <c:pt idx="143">
                  <c:v>0.20300000000000001</c:v>
                </c:pt>
                <c:pt idx="144">
                  <c:v>0.32400000000000001</c:v>
                </c:pt>
                <c:pt idx="145">
                  <c:v>0.17899999999999999</c:v>
                </c:pt>
                <c:pt idx="146">
                  <c:v>0.39200000000000002</c:v>
                </c:pt>
                <c:pt idx="147">
                  <c:v>0.53100000000000003</c:v>
                </c:pt>
                <c:pt idx="148">
                  <c:v>0.30099999999999999</c:v>
                </c:pt>
                <c:pt idx="149">
                  <c:v>0.29399999999999998</c:v>
                </c:pt>
                <c:pt idx="150">
                  <c:v>0.437</c:v>
                </c:pt>
                <c:pt idx="151">
                  <c:v>0.49199999999999999</c:v>
                </c:pt>
                <c:pt idx="152">
                  <c:v>0.503</c:v>
                </c:pt>
                <c:pt idx="153">
                  <c:v>0.44500000000000001</c:v>
                </c:pt>
                <c:pt idx="154">
                  <c:v>0.53900000000000003</c:v>
                </c:pt>
                <c:pt idx="155">
                  <c:v>0.495</c:v>
                </c:pt>
                <c:pt idx="156">
                  <c:v>0.48299999999999998</c:v>
                </c:pt>
                <c:pt idx="157">
                  <c:v>0.38800000000000001</c:v>
                </c:pt>
                <c:pt idx="158">
                  <c:v>0.49399999999999999</c:v>
                </c:pt>
                <c:pt idx="159">
                  <c:v>0.54700000000000004</c:v>
                </c:pt>
                <c:pt idx="160">
                  <c:v>0.40600000000000003</c:v>
                </c:pt>
                <c:pt idx="161">
                  <c:v>0.44800000000000001</c:v>
                </c:pt>
              </c:numCache>
            </c:numRef>
          </c:xVal>
          <c:yVal>
            <c:numRef>
              <c:f>'main (3)'!$C$10:$C$171</c:f>
              <c:numCache>
                <c:formatCode>General</c:formatCode>
                <c:ptCount val="162"/>
                <c:pt idx="0">
                  <c:v>-3.9067150000000009E-2</c:v>
                </c:pt>
                <c:pt idx="1">
                  <c:v>-2.314179999999999E-2</c:v>
                </c:pt>
                <c:pt idx="2">
                  <c:v>-0.22667014999999999</c:v>
                </c:pt>
                <c:pt idx="3">
                  <c:v>-8.3979350000000008E-2</c:v>
                </c:pt>
                <c:pt idx="4">
                  <c:v>-0.19761600000000001</c:v>
                </c:pt>
                <c:pt idx="5">
                  <c:v>-0.36006389999999999</c:v>
                </c:pt>
                <c:pt idx="6">
                  <c:v>-0.39967169999999996</c:v>
                </c:pt>
                <c:pt idx="7">
                  <c:v>-0.4306758</c:v>
                </c:pt>
                <c:pt idx="8">
                  <c:v>-0.25783005000000003</c:v>
                </c:pt>
                <c:pt idx="9">
                  <c:v>-0.35641339999999999</c:v>
                </c:pt>
                <c:pt idx="10">
                  <c:v>-0.38049370000000005</c:v>
                </c:pt>
                <c:pt idx="11">
                  <c:v>-0.46755690000000005</c:v>
                </c:pt>
                <c:pt idx="12">
                  <c:v>-0.2699375</c:v>
                </c:pt>
                <c:pt idx="13">
                  <c:v>-0.47632065000000001</c:v>
                </c:pt>
                <c:pt idx="14">
                  <c:v>-0.2657407</c:v>
                </c:pt>
                <c:pt idx="15">
                  <c:v>-0.24536745000000001</c:v>
                </c:pt>
                <c:pt idx="16">
                  <c:v>-0.31145935000000002</c:v>
                </c:pt>
                <c:pt idx="17">
                  <c:v>-0.24437975000000001</c:v>
                </c:pt>
                <c:pt idx="18">
                  <c:v>-0.25422139999999999</c:v>
                </c:pt>
                <c:pt idx="19">
                  <c:v>-0.29749215000000001</c:v>
                </c:pt>
                <c:pt idx="20">
                  <c:v>-0.34202374999999996</c:v>
                </c:pt>
                <c:pt idx="21">
                  <c:v>-0.23618039999999998</c:v>
                </c:pt>
                <c:pt idx="22">
                  <c:v>-0.29022959999999998</c:v>
                </c:pt>
                <c:pt idx="23">
                  <c:v>-0.39275950000000004</c:v>
                </c:pt>
                <c:pt idx="24">
                  <c:v>-0.45460539999999999</c:v>
                </c:pt>
                <c:pt idx="25">
                  <c:v>-0.37299249999999995</c:v>
                </c:pt>
                <c:pt idx="26">
                  <c:v>-0.10703775</c:v>
                </c:pt>
                <c:pt idx="27">
                  <c:v>7.9499500000000008E-3</c:v>
                </c:pt>
                <c:pt idx="28">
                  <c:v>-0.30441425</c:v>
                </c:pt>
                <c:pt idx="29">
                  <c:v>-0.22833055000000002</c:v>
                </c:pt>
                <c:pt idx="30">
                  <c:v>-0.2488958</c:v>
                </c:pt>
                <c:pt idx="31">
                  <c:v>-0.23170790000000002</c:v>
                </c:pt>
                <c:pt idx="32">
                  <c:v>-0.34545934999999994</c:v>
                </c:pt>
                <c:pt idx="33">
                  <c:v>-0.43990639999999998</c:v>
                </c:pt>
                <c:pt idx="34">
                  <c:v>-0.42354135000000004</c:v>
                </c:pt>
                <c:pt idx="35">
                  <c:v>-0.38344945000000002</c:v>
                </c:pt>
                <c:pt idx="36">
                  <c:v>-0.43258560000000001</c:v>
                </c:pt>
                <c:pt idx="37">
                  <c:v>-0.35773335000000001</c:v>
                </c:pt>
                <c:pt idx="38">
                  <c:v>-0.18616484999999999</c:v>
                </c:pt>
                <c:pt idx="39">
                  <c:v>-0.40136490000000002</c:v>
                </c:pt>
                <c:pt idx="40">
                  <c:v>-0.3558654</c:v>
                </c:pt>
                <c:pt idx="41">
                  <c:v>-0.45665204999999998</c:v>
                </c:pt>
                <c:pt idx="42">
                  <c:v>-0.47711720000000002</c:v>
                </c:pt>
                <c:pt idx="43">
                  <c:v>-0.40706629999999999</c:v>
                </c:pt>
                <c:pt idx="44">
                  <c:v>-0.39614674999999999</c:v>
                </c:pt>
                <c:pt idx="45">
                  <c:v>-0.22009924999999997</c:v>
                </c:pt>
                <c:pt idx="46">
                  <c:v>-0.2142559</c:v>
                </c:pt>
                <c:pt idx="47">
                  <c:v>-0.36885875000000001</c:v>
                </c:pt>
                <c:pt idx="48">
                  <c:v>-0.27666110000000005</c:v>
                </c:pt>
                <c:pt idx="49">
                  <c:v>-0.18410575000000001</c:v>
                </c:pt>
                <c:pt idx="50">
                  <c:v>-0.24696705000000002</c:v>
                </c:pt>
                <c:pt idx="51">
                  <c:v>-0.38592929999999998</c:v>
                </c:pt>
                <c:pt idx="52">
                  <c:v>-0.45098174999999996</c:v>
                </c:pt>
                <c:pt idx="53">
                  <c:v>-0.50824345000000004</c:v>
                </c:pt>
                <c:pt idx="54">
                  <c:v>-0.37948140000000002</c:v>
                </c:pt>
                <c:pt idx="55">
                  <c:v>-0.27319919999999998</c:v>
                </c:pt>
                <c:pt idx="56">
                  <c:v>-0.4808924</c:v>
                </c:pt>
                <c:pt idx="57">
                  <c:v>-0.48527215000000001</c:v>
                </c:pt>
                <c:pt idx="58">
                  <c:v>-0.49101455000000005</c:v>
                </c:pt>
                <c:pt idx="59">
                  <c:v>-0.44835005</c:v>
                </c:pt>
                <c:pt idx="60">
                  <c:v>-0.49168639999999997</c:v>
                </c:pt>
                <c:pt idx="61">
                  <c:v>-0.423232</c:v>
                </c:pt>
                <c:pt idx="62">
                  <c:v>-0.39709004999999997</c:v>
                </c:pt>
                <c:pt idx="63">
                  <c:v>-0.2166266</c:v>
                </c:pt>
                <c:pt idx="64">
                  <c:v>-0.15111805</c:v>
                </c:pt>
                <c:pt idx="65">
                  <c:v>-0.3687841</c:v>
                </c:pt>
                <c:pt idx="66">
                  <c:v>-0.49641989999999997</c:v>
                </c:pt>
                <c:pt idx="67">
                  <c:v>-0.3592747</c:v>
                </c:pt>
                <c:pt idx="68">
                  <c:v>-0.30000480000000002</c:v>
                </c:pt>
                <c:pt idx="69">
                  <c:v>-0.2549515</c:v>
                </c:pt>
                <c:pt idx="70">
                  <c:v>-0.17117545000000001</c:v>
                </c:pt>
                <c:pt idx="71">
                  <c:v>-0.28587190000000001</c:v>
                </c:pt>
                <c:pt idx="72">
                  <c:v>-0.26799660000000003</c:v>
                </c:pt>
                <c:pt idx="73">
                  <c:v>-0.2846611</c:v>
                </c:pt>
                <c:pt idx="74">
                  <c:v>-0.22457825000000001</c:v>
                </c:pt>
                <c:pt idx="75">
                  <c:v>-9.934285000000001E-2</c:v>
                </c:pt>
                <c:pt idx="76">
                  <c:v>-0.19665375000000002</c:v>
                </c:pt>
                <c:pt idx="77">
                  <c:v>-0.18535840000000001</c:v>
                </c:pt>
                <c:pt idx="78">
                  <c:v>-0.34206389999999998</c:v>
                </c:pt>
                <c:pt idx="79">
                  <c:v>-0.12005655000000001</c:v>
                </c:pt>
                <c:pt idx="80">
                  <c:v>-8.8513499999999995E-2</c:v>
                </c:pt>
                <c:pt idx="81">
                  <c:v>-0.12217219999999999</c:v>
                </c:pt>
                <c:pt idx="82">
                  <c:v>-0.25582355000000001</c:v>
                </c:pt>
                <c:pt idx="83">
                  <c:v>-0.11143304999999999</c:v>
                </c:pt>
                <c:pt idx="84">
                  <c:v>-0.16552495</c:v>
                </c:pt>
                <c:pt idx="85">
                  <c:v>-0.12642980000000001</c:v>
                </c:pt>
                <c:pt idx="86">
                  <c:v>-1.87137E-2</c:v>
                </c:pt>
                <c:pt idx="87">
                  <c:v>1.0350350000000008E-2</c:v>
                </c:pt>
                <c:pt idx="88">
                  <c:v>-4.7019650000000003E-2</c:v>
                </c:pt>
                <c:pt idx="89">
                  <c:v>-6.1829499999999978E-3</c:v>
                </c:pt>
                <c:pt idx="90">
                  <c:v>1.8231300000000002E-2</c:v>
                </c:pt>
                <c:pt idx="91">
                  <c:v>-8.3986999999999985E-3</c:v>
                </c:pt>
                <c:pt idx="92">
                  <c:v>2.5643999999999997E-3</c:v>
                </c:pt>
                <c:pt idx="93">
                  <c:v>0.12592365</c:v>
                </c:pt>
                <c:pt idx="94">
                  <c:v>3.3906400000000003E-2</c:v>
                </c:pt>
                <c:pt idx="95">
                  <c:v>-3.7211649999999999E-2</c:v>
                </c:pt>
                <c:pt idx="96">
                  <c:v>-3.2779299999999997E-2</c:v>
                </c:pt>
                <c:pt idx="97">
                  <c:v>-2.4986850000000001E-2</c:v>
                </c:pt>
                <c:pt idx="98">
                  <c:v>-7.1742399999999998E-2</c:v>
                </c:pt>
                <c:pt idx="99">
                  <c:v>-0.15900409999999998</c:v>
                </c:pt>
                <c:pt idx="100">
                  <c:v>-3.3394600000000003E-2</c:v>
                </c:pt>
                <c:pt idx="101">
                  <c:v>2.9118899999999996E-2</c:v>
                </c:pt>
                <c:pt idx="102">
                  <c:v>9.8638199999999995E-2</c:v>
                </c:pt>
                <c:pt idx="103">
                  <c:v>-0.11014025</c:v>
                </c:pt>
                <c:pt idx="104">
                  <c:v>-0.16020584999999998</c:v>
                </c:pt>
                <c:pt idx="105">
                  <c:v>-0.24570875000000003</c:v>
                </c:pt>
                <c:pt idx="106">
                  <c:v>4.9367999999999981E-3</c:v>
                </c:pt>
                <c:pt idx="107">
                  <c:v>6.5725149999999996E-2</c:v>
                </c:pt>
                <c:pt idx="108">
                  <c:v>3.0256749999999999E-2</c:v>
                </c:pt>
                <c:pt idx="109">
                  <c:v>-2.8265799999999997E-2</c:v>
                </c:pt>
                <c:pt idx="110">
                  <c:v>4.5692349999999993E-2</c:v>
                </c:pt>
                <c:pt idx="111">
                  <c:v>1.6431500000000002E-2</c:v>
                </c:pt>
                <c:pt idx="112">
                  <c:v>4.2347799999999998E-2</c:v>
                </c:pt>
                <c:pt idx="113">
                  <c:v>-0.1923724</c:v>
                </c:pt>
                <c:pt idx="114">
                  <c:v>-0.1459163</c:v>
                </c:pt>
                <c:pt idx="115">
                  <c:v>-5.3029549999999995E-2</c:v>
                </c:pt>
                <c:pt idx="116">
                  <c:v>-6.5966350000000007E-2</c:v>
                </c:pt>
                <c:pt idx="117">
                  <c:v>-0.10742739999999999</c:v>
                </c:pt>
                <c:pt idx="118">
                  <c:v>1.9599599999999995E-2</c:v>
                </c:pt>
                <c:pt idx="119">
                  <c:v>-2.7850699999999999E-2</c:v>
                </c:pt>
                <c:pt idx="120">
                  <c:v>-0.1808777</c:v>
                </c:pt>
                <c:pt idx="121">
                  <c:v>-8.2780999999999993E-2</c:v>
                </c:pt>
                <c:pt idx="122">
                  <c:v>5.8191150000000004E-2</c:v>
                </c:pt>
                <c:pt idx="123">
                  <c:v>-0.19303605000000001</c:v>
                </c:pt>
                <c:pt idx="124">
                  <c:v>-0.12913445000000001</c:v>
                </c:pt>
                <c:pt idx="125">
                  <c:v>-0.22939289999999998</c:v>
                </c:pt>
                <c:pt idx="126">
                  <c:v>3.3195250000000003E-2</c:v>
                </c:pt>
                <c:pt idx="127">
                  <c:v>-5.370055E-2</c:v>
                </c:pt>
                <c:pt idx="128">
                  <c:v>4.8563550000000004E-2</c:v>
                </c:pt>
                <c:pt idx="129">
                  <c:v>7.9095150000000003E-2</c:v>
                </c:pt>
                <c:pt idx="130">
                  <c:v>0.12858164999999999</c:v>
                </c:pt>
                <c:pt idx="131">
                  <c:v>6.7300999999999993E-3</c:v>
                </c:pt>
                <c:pt idx="132">
                  <c:v>0.18625675000000003</c:v>
                </c:pt>
                <c:pt idx="133">
                  <c:v>-2.1784249999999998E-2</c:v>
                </c:pt>
                <c:pt idx="134">
                  <c:v>-3.4680050000000004E-2</c:v>
                </c:pt>
                <c:pt idx="135">
                  <c:v>3.5378199999999999E-2</c:v>
                </c:pt>
                <c:pt idx="136">
                  <c:v>0.17295319999999997</c:v>
                </c:pt>
                <c:pt idx="137">
                  <c:v>0.19565954999999999</c:v>
                </c:pt>
                <c:pt idx="138">
                  <c:v>0.12693765000000001</c:v>
                </c:pt>
                <c:pt idx="139">
                  <c:v>0.28894500000000001</c:v>
                </c:pt>
                <c:pt idx="140">
                  <c:v>0.24130184999999998</c:v>
                </c:pt>
                <c:pt idx="141">
                  <c:v>8.4721049999999992E-2</c:v>
                </c:pt>
                <c:pt idx="142">
                  <c:v>0.12199915</c:v>
                </c:pt>
                <c:pt idx="143">
                  <c:v>0.20599915000000002</c:v>
                </c:pt>
                <c:pt idx="144">
                  <c:v>0.31890399999999997</c:v>
                </c:pt>
                <c:pt idx="145">
                  <c:v>0.16116895000000003</c:v>
                </c:pt>
                <c:pt idx="146">
                  <c:v>0.36693509999999996</c:v>
                </c:pt>
                <c:pt idx="147">
                  <c:v>0.53617134999999994</c:v>
                </c:pt>
                <c:pt idx="148">
                  <c:v>0.31299505000000005</c:v>
                </c:pt>
                <c:pt idx="149">
                  <c:v>0.29639700000000002</c:v>
                </c:pt>
                <c:pt idx="150">
                  <c:v>0.43140025000000004</c:v>
                </c:pt>
                <c:pt idx="151">
                  <c:v>0.48834610000000001</c:v>
                </c:pt>
                <c:pt idx="152">
                  <c:v>0.49980630000000004</c:v>
                </c:pt>
                <c:pt idx="153">
                  <c:v>0.44321729999999998</c:v>
                </c:pt>
                <c:pt idx="154">
                  <c:v>0.53748309999999999</c:v>
                </c:pt>
                <c:pt idx="155">
                  <c:v>0.49804750000000003</c:v>
                </c:pt>
                <c:pt idx="156">
                  <c:v>0.49386624999999995</c:v>
                </c:pt>
                <c:pt idx="157">
                  <c:v>0.39631414999999998</c:v>
                </c:pt>
                <c:pt idx="158">
                  <c:v>0.48703435</c:v>
                </c:pt>
                <c:pt idx="159">
                  <c:v>0.55399745</c:v>
                </c:pt>
                <c:pt idx="160">
                  <c:v>0.41406474999999998</c:v>
                </c:pt>
                <c:pt idx="161">
                  <c:v>0.46611395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164736"/>
        <c:axId val="571165128"/>
      </c:scatterChart>
      <c:valAx>
        <c:axId val="571164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71165128"/>
        <c:crosses val="autoZero"/>
        <c:crossBetween val="midCat"/>
      </c:valAx>
      <c:valAx>
        <c:axId val="571165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116473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20353943635833399"/>
                  <c:y val="-1.0138734583253281E-2"/>
                </c:manualLayout>
              </c:layout>
              <c:numFmt formatCode="General" sourceLinked="0"/>
            </c:trendlineLbl>
          </c:trendline>
          <c:xVal>
            <c:numRef>
              <c:f>'main (3)'!$B$154:$B$171</c:f>
              <c:numCache>
                <c:formatCode>General</c:formatCode>
                <c:ptCount val="18"/>
                <c:pt idx="0">
                  <c:v>0.32400000000000001</c:v>
                </c:pt>
                <c:pt idx="1">
                  <c:v>0.17899999999999999</c:v>
                </c:pt>
                <c:pt idx="2">
                  <c:v>0.39200000000000002</c:v>
                </c:pt>
                <c:pt idx="3">
                  <c:v>0.53100000000000003</c:v>
                </c:pt>
                <c:pt idx="4">
                  <c:v>0.30099999999999999</c:v>
                </c:pt>
                <c:pt idx="5">
                  <c:v>0.29399999999999998</c:v>
                </c:pt>
                <c:pt idx="6">
                  <c:v>0.437</c:v>
                </c:pt>
                <c:pt idx="7">
                  <c:v>0.49199999999999999</c:v>
                </c:pt>
                <c:pt idx="8">
                  <c:v>0.503</c:v>
                </c:pt>
                <c:pt idx="9">
                  <c:v>0.44500000000000001</c:v>
                </c:pt>
                <c:pt idx="10">
                  <c:v>0.53900000000000003</c:v>
                </c:pt>
                <c:pt idx="11">
                  <c:v>0.495</c:v>
                </c:pt>
                <c:pt idx="12">
                  <c:v>0.48299999999999998</c:v>
                </c:pt>
                <c:pt idx="13">
                  <c:v>0.38800000000000001</c:v>
                </c:pt>
                <c:pt idx="14">
                  <c:v>0.49399999999999999</c:v>
                </c:pt>
                <c:pt idx="15">
                  <c:v>0.54700000000000004</c:v>
                </c:pt>
                <c:pt idx="16">
                  <c:v>0.40600000000000003</c:v>
                </c:pt>
                <c:pt idx="17">
                  <c:v>0.44800000000000001</c:v>
                </c:pt>
              </c:numCache>
            </c:numRef>
          </c:xVal>
          <c:yVal>
            <c:numRef>
              <c:f>'main (3)'!$C$154:$C$171</c:f>
              <c:numCache>
                <c:formatCode>General</c:formatCode>
                <c:ptCount val="18"/>
                <c:pt idx="0">
                  <c:v>0.31890399999999997</c:v>
                </c:pt>
                <c:pt idx="1">
                  <c:v>0.16116895000000003</c:v>
                </c:pt>
                <c:pt idx="2">
                  <c:v>0.36693509999999996</c:v>
                </c:pt>
                <c:pt idx="3">
                  <c:v>0.53617134999999994</c:v>
                </c:pt>
                <c:pt idx="4">
                  <c:v>0.31299505000000005</c:v>
                </c:pt>
                <c:pt idx="5">
                  <c:v>0.29639700000000002</c:v>
                </c:pt>
                <c:pt idx="6">
                  <c:v>0.43140025000000004</c:v>
                </c:pt>
                <c:pt idx="7">
                  <c:v>0.48834610000000001</c:v>
                </c:pt>
                <c:pt idx="8">
                  <c:v>0.49980630000000004</c:v>
                </c:pt>
                <c:pt idx="9">
                  <c:v>0.44321729999999998</c:v>
                </c:pt>
                <c:pt idx="10">
                  <c:v>0.53748309999999999</c:v>
                </c:pt>
                <c:pt idx="11">
                  <c:v>0.49804750000000003</c:v>
                </c:pt>
                <c:pt idx="12">
                  <c:v>0.49386624999999995</c:v>
                </c:pt>
                <c:pt idx="13">
                  <c:v>0.39631414999999998</c:v>
                </c:pt>
                <c:pt idx="14">
                  <c:v>0.48703435</c:v>
                </c:pt>
                <c:pt idx="15">
                  <c:v>0.55399745</c:v>
                </c:pt>
                <c:pt idx="16">
                  <c:v>0.41406474999999998</c:v>
                </c:pt>
                <c:pt idx="17">
                  <c:v>0.46611395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553008"/>
        <c:axId val="565553400"/>
      </c:scatterChart>
      <c:valAx>
        <c:axId val="565553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5553400"/>
        <c:crosses val="autoZero"/>
        <c:crossBetween val="midCat"/>
      </c:valAx>
      <c:valAx>
        <c:axId val="565553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655530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Absolute error in composing global temperature</a:t>
            </a:r>
          </a:p>
        </c:rich>
      </c:tx>
      <c:layout>
        <c:manualLayout>
          <c:xMode val="edge"/>
          <c:yMode val="edge"/>
          <c:x val="0.22752599004622198"/>
          <c:y val="9.259347916980393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87074500302847"/>
          <c:y val="0.12084499854184894"/>
          <c:w val="0.78052624671916015"/>
          <c:h val="0.7076195683872849"/>
        </c:manualLayout>
      </c:layout>
      <c:scatterChart>
        <c:scatterStyle val="lineMarker"/>
        <c:varyColors val="0"/>
        <c:ser>
          <c:idx val="2"/>
          <c:order val="0"/>
          <c:tx>
            <c:strRef>
              <c:f>'main (3)'!$F$9</c:f>
              <c:strCache>
                <c:ptCount val="1"/>
                <c:pt idx="0">
                  <c:v>Absolute error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4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solidFill>
                  <a:srgbClr val="002060"/>
                </a:solidFill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'main (3)'!$A$10:$A$171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'main (3)'!$F$10:$F$171</c:f>
              <c:numCache>
                <c:formatCode>General</c:formatCode>
                <c:ptCount val="162"/>
                <c:pt idx="0">
                  <c:v>0.17993284999999998</c:v>
                </c:pt>
                <c:pt idx="1">
                  <c:v>0.19985820000000001</c:v>
                </c:pt>
                <c:pt idx="2">
                  <c:v>4.1329850000000029E-2</c:v>
                </c:pt>
                <c:pt idx="3">
                  <c:v>0.15902064999999999</c:v>
                </c:pt>
                <c:pt idx="4">
                  <c:v>6.6383999999999999E-2</c:v>
                </c:pt>
                <c:pt idx="5">
                  <c:v>4.0639000000000092E-3</c:v>
                </c:pt>
                <c:pt idx="6">
                  <c:v>5.4328300000000052E-2</c:v>
                </c:pt>
                <c:pt idx="7">
                  <c:v>3.0324200000000023E-2</c:v>
                </c:pt>
                <c:pt idx="8">
                  <c:v>2.416994999999994E-2</c:v>
                </c:pt>
                <c:pt idx="9">
                  <c:v>1.8413399999999969E-2</c:v>
                </c:pt>
                <c:pt idx="10">
                  <c:v>1.0506299999999968E-2</c:v>
                </c:pt>
                <c:pt idx="11">
                  <c:v>3.544309999999995E-2</c:v>
                </c:pt>
                <c:pt idx="12">
                  <c:v>5.0625000000000253E-3</c:v>
                </c:pt>
                <c:pt idx="13">
                  <c:v>1.6793499999999684E-3</c:v>
                </c:pt>
                <c:pt idx="14">
                  <c:v>4.2593000000000214E-3</c:v>
                </c:pt>
                <c:pt idx="15">
                  <c:v>4.3674500000000227E-3</c:v>
                </c:pt>
                <c:pt idx="16">
                  <c:v>3.4593500000000277E-3</c:v>
                </c:pt>
                <c:pt idx="17">
                  <c:v>1.4379749999999997E-2</c:v>
                </c:pt>
                <c:pt idx="18">
                  <c:v>4.7786000000000217E-3</c:v>
                </c:pt>
                <c:pt idx="19">
                  <c:v>2.6492149999999992E-2</c:v>
                </c:pt>
                <c:pt idx="20">
                  <c:v>1.6023749999999948E-2</c:v>
                </c:pt>
                <c:pt idx="21">
                  <c:v>7.1803999999999757E-3</c:v>
                </c:pt>
                <c:pt idx="22">
                  <c:v>1.5770400000000018E-2</c:v>
                </c:pt>
                <c:pt idx="23">
                  <c:v>1.9759500000000041E-2</c:v>
                </c:pt>
                <c:pt idx="24">
                  <c:v>4.6605400000000019E-2</c:v>
                </c:pt>
                <c:pt idx="25">
                  <c:v>1.1007500000000059E-2</c:v>
                </c:pt>
                <c:pt idx="26">
                  <c:v>3.4037750000000006E-2</c:v>
                </c:pt>
                <c:pt idx="27">
                  <c:v>2.405005E-2</c:v>
                </c:pt>
                <c:pt idx="28">
                  <c:v>7.0414249999999984E-2</c:v>
                </c:pt>
                <c:pt idx="29">
                  <c:v>1.669449999999989E-3</c:v>
                </c:pt>
                <c:pt idx="30">
                  <c:v>4.1895800000000011E-2</c:v>
                </c:pt>
                <c:pt idx="31">
                  <c:v>1.7707900000000026E-2</c:v>
                </c:pt>
                <c:pt idx="32">
                  <c:v>5.3459349999999961E-2</c:v>
                </c:pt>
                <c:pt idx="33">
                  <c:v>3.690639999999995E-2</c:v>
                </c:pt>
                <c:pt idx="34">
                  <c:v>3.854135000000003E-2</c:v>
                </c:pt>
                <c:pt idx="35">
                  <c:v>1.7449450000000033E-2</c:v>
                </c:pt>
                <c:pt idx="36">
                  <c:v>1.4585600000000032E-2</c:v>
                </c:pt>
                <c:pt idx="37">
                  <c:v>4.8733350000000009E-2</c:v>
                </c:pt>
                <c:pt idx="38">
                  <c:v>1.3164850000000006E-2</c:v>
                </c:pt>
                <c:pt idx="39">
                  <c:v>1.7635099999999959E-2</c:v>
                </c:pt>
                <c:pt idx="40">
                  <c:v>1.6865399999999975E-2</c:v>
                </c:pt>
                <c:pt idx="41">
                  <c:v>6.5204999999995961E-4</c:v>
                </c:pt>
                <c:pt idx="42">
                  <c:v>2.1172000000000413E-3</c:v>
                </c:pt>
                <c:pt idx="43">
                  <c:v>9.3369999999998177E-4</c:v>
                </c:pt>
                <c:pt idx="44">
                  <c:v>3.146749999999976E-3</c:v>
                </c:pt>
                <c:pt idx="45">
                  <c:v>2.9099249999999965E-2</c:v>
                </c:pt>
                <c:pt idx="46">
                  <c:v>4.2559000000000069E-3</c:v>
                </c:pt>
                <c:pt idx="47">
                  <c:v>3.9141249999999961E-2</c:v>
                </c:pt>
                <c:pt idx="48">
                  <c:v>1.133889999999993E-2</c:v>
                </c:pt>
                <c:pt idx="49">
                  <c:v>1.3894249999999997E-2</c:v>
                </c:pt>
                <c:pt idx="50">
                  <c:v>2.0032949999999994E-2</c:v>
                </c:pt>
                <c:pt idx="51">
                  <c:v>2.6070700000000002E-2</c:v>
                </c:pt>
                <c:pt idx="52">
                  <c:v>3.0018250000000024E-2</c:v>
                </c:pt>
                <c:pt idx="53">
                  <c:v>1.9756549999999984E-2</c:v>
                </c:pt>
                <c:pt idx="54">
                  <c:v>2.518599999999982E-3</c:v>
                </c:pt>
                <c:pt idx="55">
                  <c:v>2.0800800000000008E-2</c:v>
                </c:pt>
                <c:pt idx="56">
                  <c:v>4.892400000000019E-3</c:v>
                </c:pt>
                <c:pt idx="57">
                  <c:v>3.7727850000000007E-2</c:v>
                </c:pt>
                <c:pt idx="58">
                  <c:v>4.4985449999999982E-2</c:v>
                </c:pt>
                <c:pt idx="59">
                  <c:v>4.7649949999999996E-2</c:v>
                </c:pt>
                <c:pt idx="60">
                  <c:v>6.231360000000008E-2</c:v>
                </c:pt>
                <c:pt idx="61">
                  <c:v>2.5768000000000013E-2</c:v>
                </c:pt>
                <c:pt idx="62">
                  <c:v>4.1909950000000029E-2</c:v>
                </c:pt>
                <c:pt idx="63">
                  <c:v>4.1373400000000005E-2</c:v>
                </c:pt>
                <c:pt idx="64">
                  <c:v>1.2881950000000003E-2</c:v>
                </c:pt>
                <c:pt idx="65">
                  <c:v>2.9215900000000017E-2</c:v>
                </c:pt>
                <c:pt idx="66">
                  <c:v>1.5419899999999986E-2</c:v>
                </c:pt>
                <c:pt idx="67">
                  <c:v>1.6274699999999975E-2</c:v>
                </c:pt>
                <c:pt idx="68">
                  <c:v>1.6004800000000041E-2</c:v>
                </c:pt>
                <c:pt idx="69">
                  <c:v>2.9514999999999958E-3</c:v>
                </c:pt>
                <c:pt idx="70">
                  <c:v>1.8824549999999995E-2</c:v>
                </c:pt>
                <c:pt idx="71">
                  <c:v>2.3128099999999985E-2</c:v>
                </c:pt>
                <c:pt idx="72">
                  <c:v>7.003399999999993E-3</c:v>
                </c:pt>
                <c:pt idx="73">
                  <c:v>1.5338899999999989E-2</c:v>
                </c:pt>
                <c:pt idx="74">
                  <c:v>5.5782500000000068E-3</c:v>
                </c:pt>
                <c:pt idx="75">
                  <c:v>1.2657149999999992E-2</c:v>
                </c:pt>
                <c:pt idx="76">
                  <c:v>1.6346249999999979E-2</c:v>
                </c:pt>
                <c:pt idx="77">
                  <c:v>2.5641599999999987E-2</c:v>
                </c:pt>
                <c:pt idx="78">
                  <c:v>6.9361000000000006E-3</c:v>
                </c:pt>
                <c:pt idx="79">
                  <c:v>1.794345E-2</c:v>
                </c:pt>
                <c:pt idx="80">
                  <c:v>1.513500000000001E-3</c:v>
                </c:pt>
                <c:pt idx="81">
                  <c:v>1.2827800000000014E-2</c:v>
                </c:pt>
                <c:pt idx="82">
                  <c:v>1.717645000000001E-2</c:v>
                </c:pt>
                <c:pt idx="83">
                  <c:v>1.4566950000000009E-2</c:v>
                </c:pt>
                <c:pt idx="84">
                  <c:v>1.0475049999999986E-2</c:v>
                </c:pt>
                <c:pt idx="85">
                  <c:v>1.6570199999999979E-2</c:v>
                </c:pt>
                <c:pt idx="86">
                  <c:v>6.2863000000000016E-3</c:v>
                </c:pt>
                <c:pt idx="87">
                  <c:v>1.5350350000000009E-2</c:v>
                </c:pt>
                <c:pt idx="88">
                  <c:v>7.9803499999999972E-3</c:v>
                </c:pt>
                <c:pt idx="89">
                  <c:v>2.4182949999999995E-2</c:v>
                </c:pt>
                <c:pt idx="90">
                  <c:v>2.3130000000000372E-4</c:v>
                </c:pt>
                <c:pt idx="91">
                  <c:v>1.4601300000000001E-2</c:v>
                </c:pt>
                <c:pt idx="92">
                  <c:v>5.5643999999999997E-3</c:v>
                </c:pt>
                <c:pt idx="93">
                  <c:v>2.4076349999999996E-2</c:v>
                </c:pt>
                <c:pt idx="94">
                  <c:v>9.0640000000000165E-4</c:v>
                </c:pt>
                <c:pt idx="95">
                  <c:v>3.0788350000000006E-2</c:v>
                </c:pt>
                <c:pt idx="96">
                  <c:v>5.2207000000000017E-3</c:v>
                </c:pt>
                <c:pt idx="97">
                  <c:v>1.0013150000000002E-2</c:v>
                </c:pt>
                <c:pt idx="98">
                  <c:v>4.2576000000000003E-3</c:v>
                </c:pt>
                <c:pt idx="99">
                  <c:v>1.4995900000000006E-2</c:v>
                </c:pt>
                <c:pt idx="100">
                  <c:v>1.4605399999999998E-2</c:v>
                </c:pt>
                <c:pt idx="101">
                  <c:v>3.8811000000000054E-3</c:v>
                </c:pt>
                <c:pt idx="102">
                  <c:v>2.3618000000000111E-3</c:v>
                </c:pt>
                <c:pt idx="103">
                  <c:v>1.7859750000000008E-2</c:v>
                </c:pt>
                <c:pt idx="104">
                  <c:v>2.4794150000000015E-2</c:v>
                </c:pt>
                <c:pt idx="105">
                  <c:v>1.6291249999999979E-2</c:v>
                </c:pt>
                <c:pt idx="106">
                  <c:v>5.9367999999999982E-3</c:v>
                </c:pt>
                <c:pt idx="107">
                  <c:v>1.6725149999999994E-2</c:v>
                </c:pt>
                <c:pt idx="108">
                  <c:v>1.3256749999999998E-2</c:v>
                </c:pt>
                <c:pt idx="109">
                  <c:v>2.1734200000000006E-2</c:v>
                </c:pt>
                <c:pt idx="110">
                  <c:v>6.6923499999999927E-3</c:v>
                </c:pt>
                <c:pt idx="111">
                  <c:v>1.568499999999997E-3</c:v>
                </c:pt>
                <c:pt idx="112">
                  <c:v>7.6522000000000048E-3</c:v>
                </c:pt>
                <c:pt idx="113">
                  <c:v>3.1627600000000006E-2</c:v>
                </c:pt>
                <c:pt idx="114">
                  <c:v>4.9163000000000123E-3</c:v>
                </c:pt>
                <c:pt idx="115">
                  <c:v>1.9970450000000001E-2</c:v>
                </c:pt>
                <c:pt idx="116">
                  <c:v>1.0033649999999991E-2</c:v>
                </c:pt>
                <c:pt idx="117">
                  <c:v>5.5726000000000109E-3</c:v>
                </c:pt>
                <c:pt idx="118">
                  <c:v>9.4004000000000067E-3</c:v>
                </c:pt>
                <c:pt idx="119">
                  <c:v>1.1493000000000024E-3</c:v>
                </c:pt>
                <c:pt idx="120">
                  <c:v>3.1222999999999945E-3</c:v>
                </c:pt>
                <c:pt idx="121">
                  <c:v>1.3780999999999988E-2</c:v>
                </c:pt>
                <c:pt idx="122">
                  <c:v>4.8088499999999965E-3</c:v>
                </c:pt>
                <c:pt idx="123">
                  <c:v>1.7963949999999979E-2</c:v>
                </c:pt>
                <c:pt idx="124">
                  <c:v>1.5865549999999978E-2</c:v>
                </c:pt>
                <c:pt idx="125">
                  <c:v>8.6071000000000064E-3</c:v>
                </c:pt>
                <c:pt idx="126">
                  <c:v>1.2804749999999997E-2</c:v>
                </c:pt>
                <c:pt idx="127">
                  <c:v>8.2994499999999999E-3</c:v>
                </c:pt>
                <c:pt idx="128">
                  <c:v>9.436449999999999E-3</c:v>
                </c:pt>
                <c:pt idx="129">
                  <c:v>1.3904849999999996E-2</c:v>
                </c:pt>
                <c:pt idx="130">
                  <c:v>1.3418349999999996E-2</c:v>
                </c:pt>
                <c:pt idx="131">
                  <c:v>6.2699000000000001E-3</c:v>
                </c:pt>
                <c:pt idx="132">
                  <c:v>4.7432499999999767E-3</c:v>
                </c:pt>
                <c:pt idx="133">
                  <c:v>7.7842499999999978E-3</c:v>
                </c:pt>
                <c:pt idx="134">
                  <c:v>5.6800500000000025E-3</c:v>
                </c:pt>
                <c:pt idx="135">
                  <c:v>1.1621800000000002E-2</c:v>
                </c:pt>
                <c:pt idx="136">
                  <c:v>1.3046800000000025E-2</c:v>
                </c:pt>
                <c:pt idx="137">
                  <c:v>5.3404500000000243E-3</c:v>
                </c:pt>
                <c:pt idx="138">
                  <c:v>5.9376500000000165E-3</c:v>
                </c:pt>
                <c:pt idx="139">
                  <c:v>2.0549999999999735E-3</c:v>
                </c:pt>
                <c:pt idx="140">
                  <c:v>1.1698150000000018E-2</c:v>
                </c:pt>
                <c:pt idx="141">
                  <c:v>1.7278950000000001E-2</c:v>
                </c:pt>
                <c:pt idx="142">
                  <c:v>2.1000849999999988E-2</c:v>
                </c:pt>
                <c:pt idx="143">
                  <c:v>2.999150000000006E-3</c:v>
                </c:pt>
                <c:pt idx="144">
                  <c:v>5.0960000000000449E-3</c:v>
                </c:pt>
                <c:pt idx="145">
                  <c:v>1.7831049999999959E-2</c:v>
                </c:pt>
                <c:pt idx="146">
                  <c:v>2.5064900000000057E-2</c:v>
                </c:pt>
                <c:pt idx="147">
                  <c:v>5.171349999999908E-3</c:v>
                </c:pt>
                <c:pt idx="148">
                  <c:v>1.1995050000000063E-2</c:v>
                </c:pt>
                <c:pt idx="149">
                  <c:v>2.397000000000038E-3</c:v>
                </c:pt>
                <c:pt idx="150">
                  <c:v>5.5997499999999589E-3</c:v>
                </c:pt>
                <c:pt idx="151">
                  <c:v>3.6538999999999877E-3</c:v>
                </c:pt>
                <c:pt idx="152">
                  <c:v>3.193699999999966E-3</c:v>
                </c:pt>
                <c:pt idx="153">
                  <c:v>1.7827000000000259E-3</c:v>
                </c:pt>
                <c:pt idx="154">
                  <c:v>1.5169000000000432E-3</c:v>
                </c:pt>
                <c:pt idx="155">
                  <c:v>3.0475000000000363E-3</c:v>
                </c:pt>
                <c:pt idx="156">
                  <c:v>1.0866249999999966E-2</c:v>
                </c:pt>
                <c:pt idx="157">
                  <c:v>8.3141499999999646E-3</c:v>
                </c:pt>
                <c:pt idx="158">
                  <c:v>6.9656499999999899E-3</c:v>
                </c:pt>
                <c:pt idx="159">
                  <c:v>6.9974499999999606E-3</c:v>
                </c:pt>
                <c:pt idx="160">
                  <c:v>8.0647499999999539E-3</c:v>
                </c:pt>
                <c:pt idx="161">
                  <c:v>1.811394999999999E-2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554184"/>
        <c:axId val="565554576"/>
      </c:scatterChart>
      <c:valAx>
        <c:axId val="565554184"/>
        <c:scaling>
          <c:orientation val="minMax"/>
          <c:max val="2015"/>
          <c:min val="19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65554576"/>
        <c:crosses val="autoZero"/>
        <c:crossBetween val="midCat"/>
      </c:valAx>
      <c:valAx>
        <c:axId val="565554576"/>
        <c:scaling>
          <c:orientation val="minMax"/>
          <c:max val="4.0000000000000008E-2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Error between global and composed</a:t>
                </a:r>
              </a:p>
            </c:rich>
          </c:tx>
          <c:layout>
            <c:manualLayout>
              <c:xMode val="edge"/>
              <c:yMode val="edge"/>
              <c:x val="2.3277407750680431E-2"/>
              <c:y val="0.1214422965954108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6555418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7329891082499818"/>
          <c:y val="0.16368519833139406"/>
          <c:w val="0.36469351907934583"/>
          <c:h val="0.15431321084864391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</a:ln>
      </c:spPr>
    </c:legend>
    <c:plotVisOnly val="1"/>
    <c:dispBlanksAs val="gap"/>
    <c:showDLblsOverMax val="0"/>
  </c:chart>
  <c:txPr>
    <a:bodyPr/>
    <a:lstStyle/>
    <a:p>
      <a:pPr>
        <a:defRPr sz="11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Increased rate of ocean heat sinking </a:t>
            </a:r>
          </a:p>
        </c:rich>
      </c:tx>
      <c:layout>
        <c:manualLayout>
          <c:xMode val="edge"/>
          <c:yMode val="edge"/>
          <c:x val="0.39755916909369249"/>
          <c:y val="5.49413915992539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84916472201704E-2"/>
          <c:y val="0.14003360317702765"/>
          <c:w val="0.87326458468234558"/>
          <c:h val="0.59768301102644861"/>
        </c:manualLayout>
      </c:layout>
      <c:scatterChart>
        <c:scatterStyle val="smoothMarker"/>
        <c:varyColors val="0"/>
        <c:ser>
          <c:idx val="0"/>
          <c:order val="0"/>
          <c:tx>
            <c:v>Ratio of Ocean/Land temperature rise</c:v>
          </c:tx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pPr>
              <a:solidFill>
                <a:schemeClr val="accent5">
                  <a:lumMod val="20000"/>
                  <a:lumOff val="80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trendline>
            <c:spPr>
              <a:ln w="38100">
                <a:solidFill>
                  <a:schemeClr val="tx1"/>
                </a:solidFill>
              </a:ln>
            </c:spPr>
            <c:trendlineType val="poly"/>
            <c:order val="5"/>
            <c:dispRSqr val="1"/>
            <c:dispEq val="1"/>
            <c:trendlineLbl>
              <c:layout>
                <c:manualLayout>
                  <c:x val="2.0690265485037853E-2"/>
                  <c:y val="0.45244086921270327"/>
                </c:manualLayout>
              </c:layout>
              <c:numFmt formatCode="0.0000000000E+00" sourceLinked="0"/>
            </c:trendlineLbl>
          </c:trendline>
          <c:xVal>
            <c:numRef>
              <c:f>'main (3)'!$A$10:$A$171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'main (3)'!$G$10:$G$171</c:f>
              <c:numCache>
                <c:formatCode>General</c:formatCode>
                <c:ptCount val="162"/>
                <c:pt idx="0">
                  <c:v>0.77881121402799025</c:v>
                </c:pt>
                <c:pt idx="1">
                  <c:v>0.67339701313697919</c:v>
                </c:pt>
                <c:pt idx="2">
                  <c:v>0.65419497646606817</c:v>
                </c:pt>
                <c:pt idx="3">
                  <c:v>1.0573887979447494</c:v>
                </c:pt>
                <c:pt idx="4">
                  <c:v>0.87241349227120957</c:v>
                </c:pt>
                <c:pt idx="5">
                  <c:v>0.48147589131195684</c:v>
                </c:pt>
                <c:pt idx="6">
                  <c:v>0.75369860157366964</c:v>
                </c:pt>
                <c:pt idx="7">
                  <c:v>0.67284339825323436</c:v>
                </c:pt>
                <c:pt idx="8">
                  <c:v>1.0236373100553851</c:v>
                </c:pt>
                <c:pt idx="9">
                  <c:v>0.40271117554489927</c:v>
                </c:pt>
                <c:pt idx="10">
                  <c:v>0.65532205307873992</c:v>
                </c:pt>
                <c:pt idx="11">
                  <c:v>0.52595367006915816</c:v>
                </c:pt>
                <c:pt idx="12">
                  <c:v>1.0585603271605795</c:v>
                </c:pt>
                <c:pt idx="13">
                  <c:v>0.47231960108558407</c:v>
                </c:pt>
                <c:pt idx="14">
                  <c:v>0.51681723275380897</c:v>
                </c:pt>
                <c:pt idx="15">
                  <c:v>0.49512741210255745</c:v>
                </c:pt>
                <c:pt idx="16">
                  <c:v>0.41257540552277722</c:v>
                </c:pt>
                <c:pt idx="17">
                  <c:v>0.49275880227903085</c:v>
                </c:pt>
                <c:pt idx="18">
                  <c:v>0.62139995892522293</c:v>
                </c:pt>
                <c:pt idx="19">
                  <c:v>0.41005546794591868</c:v>
                </c:pt>
                <c:pt idx="20">
                  <c:v>0.38644209402302104</c:v>
                </c:pt>
                <c:pt idx="21">
                  <c:v>0.54199849281816492</c:v>
                </c:pt>
                <c:pt idx="22">
                  <c:v>0.60217918018617966</c:v>
                </c:pt>
                <c:pt idx="23">
                  <c:v>0.56561531971368029</c:v>
                </c:pt>
                <c:pt idx="24">
                  <c:v>0.32629495912675793</c:v>
                </c:pt>
                <c:pt idx="25">
                  <c:v>0.56755400187647542</c:v>
                </c:pt>
                <c:pt idx="26">
                  <c:v>0.20705237403983007</c:v>
                </c:pt>
                <c:pt idx="27">
                  <c:v>4.483676614824156</c:v>
                </c:pt>
                <c:pt idx="28">
                  <c:v>0.29644561705155187</c:v>
                </c:pt>
                <c:pt idx="29">
                  <c:v>0.46977296893656878</c:v>
                </c:pt>
                <c:pt idx="30">
                  <c:v>0.31525851197982341</c:v>
                </c:pt>
                <c:pt idx="31">
                  <c:v>0.45431192972176571</c:v>
                </c:pt>
                <c:pt idx="32">
                  <c:v>0.34613831734577344</c:v>
                </c:pt>
                <c:pt idx="33">
                  <c:v>0.40799351421923208</c:v>
                </c:pt>
                <c:pt idx="34">
                  <c:v>0.40437956725714491</c:v>
                </c:pt>
                <c:pt idx="35">
                  <c:v>0.47748651100606399</c:v>
                </c:pt>
                <c:pt idx="36">
                  <c:v>0.51195826731766203</c:v>
                </c:pt>
                <c:pt idx="37">
                  <c:v>0.3452591890900778</c:v>
                </c:pt>
                <c:pt idx="38">
                  <c:v>0.43131453200877379</c:v>
                </c:pt>
                <c:pt idx="39">
                  <c:v>0.65816301205553573</c:v>
                </c:pt>
                <c:pt idx="40">
                  <c:v>0.42108997463026071</c:v>
                </c:pt>
                <c:pt idx="41">
                  <c:v>0.51113913408995382</c:v>
                </c:pt>
                <c:pt idx="42">
                  <c:v>0.47538981965211474</c:v>
                </c:pt>
                <c:pt idx="43">
                  <c:v>0.60815826424476582</c:v>
                </c:pt>
                <c:pt idx="44">
                  <c:v>0.47551945963565778</c:v>
                </c:pt>
                <c:pt idx="45">
                  <c:v>0.32399448904033512</c:v>
                </c:pt>
                <c:pt idx="46">
                  <c:v>0.4626435186286717</c:v>
                </c:pt>
                <c:pt idx="47">
                  <c:v>0.73859014003886281</c:v>
                </c:pt>
                <c:pt idx="48">
                  <c:v>0.61891241615670856</c:v>
                </c:pt>
                <c:pt idx="49">
                  <c:v>0.71135253985190927</c:v>
                </c:pt>
                <c:pt idx="50">
                  <c:v>1.056798778388109</c:v>
                </c:pt>
                <c:pt idx="51">
                  <c:v>0.68397318028271337</c:v>
                </c:pt>
                <c:pt idx="52">
                  <c:v>0.78184761156120175</c:v>
                </c:pt>
                <c:pt idx="53">
                  <c:v>0.65009370953074319</c:v>
                </c:pt>
                <c:pt idx="54">
                  <c:v>0.62527908398905796</c:v>
                </c:pt>
                <c:pt idx="55">
                  <c:v>0.97155138912021066</c:v>
                </c:pt>
                <c:pt idx="56">
                  <c:v>0.51461951886967061</c:v>
                </c:pt>
                <c:pt idx="57">
                  <c:v>0.74020292599527582</c:v>
                </c:pt>
                <c:pt idx="58">
                  <c:v>0.78394137054597723</c:v>
                </c:pt>
                <c:pt idx="59">
                  <c:v>1.0072027178228176</c:v>
                </c:pt>
                <c:pt idx="60">
                  <c:v>0.85866871011220347</c:v>
                </c:pt>
                <c:pt idx="61">
                  <c:v>0.65532903647657759</c:v>
                </c:pt>
                <c:pt idx="62">
                  <c:v>0.86149073612911609</c:v>
                </c:pt>
                <c:pt idx="63">
                  <c:v>1.8074821353509878</c:v>
                </c:pt>
                <c:pt idx="64">
                  <c:v>0.98200182269118796</c:v>
                </c:pt>
                <c:pt idx="65">
                  <c:v>0.71494522944712102</c:v>
                </c:pt>
                <c:pt idx="66">
                  <c:v>0.4667262057934598</c:v>
                </c:pt>
                <c:pt idx="67">
                  <c:v>0.53399343016829359</c:v>
                </c:pt>
                <c:pt idx="68">
                  <c:v>0.62963022083171483</c:v>
                </c:pt>
                <c:pt idx="69">
                  <c:v>0.6350531176571983</c:v>
                </c:pt>
                <c:pt idx="70">
                  <c:v>1.3179123713127932</c:v>
                </c:pt>
                <c:pt idx="71">
                  <c:v>0.77869608474632646</c:v>
                </c:pt>
                <c:pt idx="72">
                  <c:v>0.74099222901240569</c:v>
                </c:pt>
                <c:pt idx="73">
                  <c:v>0.61453900970725817</c:v>
                </c:pt>
                <c:pt idx="74">
                  <c:v>0.6584798676545669</c:v>
                </c:pt>
                <c:pt idx="75">
                  <c:v>1.0748539830057908</c:v>
                </c:pt>
                <c:pt idx="76">
                  <c:v>0.61408379562599358</c:v>
                </c:pt>
                <c:pt idx="77">
                  <c:v>0.92388258371864929</c:v>
                </c:pt>
                <c:pt idx="78">
                  <c:v>0.50726242822018619</c:v>
                </c:pt>
                <c:pt idx="79">
                  <c:v>0.8406893652795292</c:v>
                </c:pt>
                <c:pt idx="80">
                  <c:v>0.6484040317315517</c:v>
                </c:pt>
                <c:pt idx="81">
                  <c:v>1.244441494657198</c:v>
                </c:pt>
                <c:pt idx="82">
                  <c:v>0.57091591224206839</c:v>
                </c:pt>
                <c:pt idx="83">
                  <c:v>9.8080425949278425</c:v>
                </c:pt>
                <c:pt idx="84">
                  <c:v>0.73832998148301954</c:v>
                </c:pt>
                <c:pt idx="85">
                  <c:v>0.89448347645068949</c:v>
                </c:pt>
                <c:pt idx="86">
                  <c:v>0.46090425728044371</c:v>
                </c:pt>
                <c:pt idx="87">
                  <c:v>2.0975283564858511E-2</c:v>
                </c:pt>
                <c:pt idx="88">
                  <c:v>7.7063191817290182</c:v>
                </c:pt>
                <c:pt idx="89">
                  <c:v>0.29326373207425438</c:v>
                </c:pt>
                <c:pt idx="90">
                  <c:v>0.25220680958385872</c:v>
                </c:pt>
                <c:pt idx="91">
                  <c:v>0.35028723553313718</c:v>
                </c:pt>
                <c:pt idx="92">
                  <c:v>0.17514361776656859</c:v>
                </c:pt>
                <c:pt idx="93">
                  <c:v>0.89817239880291577</c:v>
                </c:pt>
                <c:pt idx="94">
                  <c:v>0.19265797954322547</c:v>
                </c:pt>
                <c:pt idx="95">
                  <c:v>0.61868914327930724</c:v>
                </c:pt>
                <c:pt idx="96">
                  <c:v>13.310914950259212</c:v>
                </c:pt>
                <c:pt idx="97">
                  <c:v>3.5028723553313719</c:v>
                </c:pt>
                <c:pt idx="98">
                  <c:v>0.45899706725031764</c:v>
                </c:pt>
                <c:pt idx="99">
                  <c:v>0.38821642664182077</c:v>
                </c:pt>
                <c:pt idx="100">
                  <c:v>0.33627574611181166</c:v>
                </c:pt>
                <c:pt idx="101">
                  <c:v>0.39860271629632849</c:v>
                </c:pt>
                <c:pt idx="102">
                  <c:v>0.53604561801283113</c:v>
                </c:pt>
                <c:pt idx="103">
                  <c:v>0.58610151827766743</c:v>
                </c:pt>
                <c:pt idx="104">
                  <c:v>0.68574749813365476</c:v>
                </c:pt>
                <c:pt idx="105">
                  <c:v>0.42986068248094583</c:v>
                </c:pt>
                <c:pt idx="106">
                  <c:v>1.0302565750974622E-2</c:v>
                </c:pt>
                <c:pt idx="107">
                  <c:v>0.67310096239700878</c:v>
                </c:pt>
                <c:pt idx="108">
                  <c:v>0.62682978990140337</c:v>
                </c:pt>
                <c:pt idx="109">
                  <c:v>0.46090425728044371</c:v>
                </c:pt>
                <c:pt idx="110">
                  <c:v>0.63540475282755116</c:v>
                </c:pt>
                <c:pt idx="111">
                  <c:v>0.42034468263976454</c:v>
                </c:pt>
                <c:pt idx="112">
                  <c:v>1.4595301480547382</c:v>
                </c:pt>
                <c:pt idx="113">
                  <c:v>0.52309560506281816</c:v>
                </c:pt>
                <c:pt idx="114">
                  <c:v>0.42214102743737036</c:v>
                </c:pt>
                <c:pt idx="115">
                  <c:v>0.34790432916896619</c:v>
                </c:pt>
                <c:pt idx="116">
                  <c:v>0.56045957685301939</c:v>
                </c:pt>
                <c:pt idx="117">
                  <c:v>0.36650423717818986</c:v>
                </c:pt>
                <c:pt idx="118">
                  <c:v>0.15872390360095279</c:v>
                </c:pt>
                <c:pt idx="119">
                  <c:v>0.32768805904712833</c:v>
                </c:pt>
                <c:pt idx="120">
                  <c:v>0.63814704295145774</c:v>
                </c:pt>
                <c:pt idx="121">
                  <c:v>0.20141516043155389</c:v>
                </c:pt>
                <c:pt idx="122">
                  <c:v>0.31752655882859915</c:v>
                </c:pt>
                <c:pt idx="123">
                  <c:v>0.52605414019567209</c:v>
                </c:pt>
                <c:pt idx="124">
                  <c:v>1.7821631281510486</c:v>
                </c:pt>
                <c:pt idx="125">
                  <c:v>0.47100769523664776</c:v>
                </c:pt>
                <c:pt idx="126">
                  <c:v>0.37913441963586608</c:v>
                </c:pt>
                <c:pt idx="127">
                  <c:v>0.85167876874723547</c:v>
                </c:pt>
                <c:pt idx="128">
                  <c:v>1.1609519806241118</c:v>
                </c:pt>
                <c:pt idx="129">
                  <c:v>0.48261796895676673</c:v>
                </c:pt>
                <c:pt idx="130">
                  <c:v>0.31382200281202194</c:v>
                </c:pt>
                <c:pt idx="131">
                  <c:v>4.5537340619307827</c:v>
                </c:pt>
                <c:pt idx="132">
                  <c:v>0.40425898481467792</c:v>
                </c:pt>
                <c:pt idx="133">
                  <c:v>0.21795650210950759</c:v>
                </c:pt>
                <c:pt idx="134">
                  <c:v>0.61565635336127134</c:v>
                </c:pt>
                <c:pt idx="135">
                  <c:v>0.27439166783429081</c:v>
                </c:pt>
                <c:pt idx="136">
                  <c:v>0.51709068102510725</c:v>
                </c:pt>
                <c:pt idx="137">
                  <c:v>0.3755079164915231</c:v>
                </c:pt>
                <c:pt idx="138">
                  <c:v>0.34599800407762937</c:v>
                </c:pt>
                <c:pt idx="139">
                  <c:v>0.41436416886236954</c:v>
                </c:pt>
                <c:pt idx="140">
                  <c:v>0.44646181657372147</c:v>
                </c:pt>
                <c:pt idx="141">
                  <c:v>0.76837200052430088</c:v>
                </c:pt>
                <c:pt idx="142">
                  <c:v>0.57246942492844133</c:v>
                </c:pt>
                <c:pt idx="143">
                  <c:v>0.41462570736575421</c:v>
                </c:pt>
                <c:pt idx="144">
                  <c:v>0.38342251457005561</c:v>
                </c:pt>
                <c:pt idx="145">
                  <c:v>0.55243537586283309</c:v>
                </c:pt>
                <c:pt idx="146">
                  <c:v>0.53016446459069411</c:v>
                </c:pt>
                <c:pt idx="147">
                  <c:v>0.44551502291759482</c:v>
                </c:pt>
                <c:pt idx="148">
                  <c:v>0.37588755042949834</c:v>
                </c:pt>
                <c:pt idx="149">
                  <c:v>0.42555556713529891</c:v>
                </c:pt>
                <c:pt idx="150">
                  <c:v>0.44956100419377659</c:v>
                </c:pt>
                <c:pt idx="151">
                  <c:v>0.44303681203676987</c:v>
                </c:pt>
                <c:pt idx="152">
                  <c:v>0.45764799863160516</c:v>
                </c:pt>
                <c:pt idx="153">
                  <c:v>0.46254545938351943</c:v>
                </c:pt>
                <c:pt idx="154">
                  <c:v>0.42812884342938989</c:v>
                </c:pt>
                <c:pt idx="155">
                  <c:v>0.42812884342938984</c:v>
                </c:pt>
                <c:pt idx="156">
                  <c:v>0.3722524417216837</c:v>
                </c:pt>
                <c:pt idx="157">
                  <c:v>0.39111207881109999</c:v>
                </c:pt>
                <c:pt idx="158">
                  <c:v>0.47343883544013615</c:v>
                </c:pt>
                <c:pt idx="159">
                  <c:v>0.42532101628551838</c:v>
                </c:pt>
                <c:pt idx="160">
                  <c:v>0.40925645360130569</c:v>
                </c:pt>
                <c:pt idx="161">
                  <c:v>0.41791925837242466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555752"/>
        <c:axId val="565556144"/>
      </c:scatterChart>
      <c:valAx>
        <c:axId val="565555752"/>
        <c:scaling>
          <c:orientation val="minMax"/>
          <c:max val="2015"/>
          <c:min val="18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65556144"/>
        <c:crosses val="autoZero"/>
        <c:crossBetween val="midCat"/>
      </c:valAx>
      <c:valAx>
        <c:axId val="565556144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f</a:t>
                </a:r>
              </a:p>
            </c:rich>
          </c:tx>
          <c:layout>
            <c:manualLayout>
              <c:xMode val="edge"/>
              <c:yMode val="edge"/>
              <c:x val="2.1254593175853018E-2"/>
              <c:y val="0.3952042782401946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65555752"/>
        <c:crosses val="autoZero"/>
        <c:crossBetween val="midCat"/>
      </c:valAx>
      <c:spPr>
        <a:gradFill flip="none" rotWithShape="1">
          <a:gsLst>
            <a:gs pos="0">
              <a:srgbClr val="FFF200"/>
            </a:gs>
            <a:gs pos="39000">
              <a:srgbClr val="FF7A00"/>
            </a:gs>
            <a:gs pos="70000">
              <a:srgbClr val="FF0300"/>
            </a:gs>
            <a:gs pos="100000">
              <a:srgbClr val="4D0808"/>
            </a:gs>
          </a:gsLst>
          <a:lin ang="16200000" scaled="0"/>
          <a:tileRect/>
        </a:gradFill>
        <a:ln w="25400">
          <a:noFill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27279021099258949"/>
          <c:y val="0.6611363100570512"/>
          <c:w val="0.26524773176554184"/>
          <c:h val="8.1691944195598318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70220673163471E-2"/>
          <c:y val="3.9874372058246302E-2"/>
          <c:w val="0.87777496620443063"/>
          <c:h val="0.78036659016174625"/>
        </c:manualLayout>
      </c:layout>
      <c:scatterChart>
        <c:scatterStyle val="lineMarker"/>
        <c:varyColors val="0"/>
        <c:ser>
          <c:idx val="2"/>
          <c:order val="0"/>
          <c:tx>
            <c:strRef>
              <c:f>'main (3)'!$X$9</c:f>
              <c:strCache>
                <c:ptCount val="1"/>
                <c:pt idx="0">
                  <c:v>Equivalent global temperature anomaly if ocean heat uptake treated as an effective temperature </c:v>
                </c:pt>
              </c:strCache>
            </c:strRef>
          </c:tx>
          <c:marker>
            <c:symbol val="none"/>
          </c:marker>
          <c:xVal>
            <c:numRef>
              <c:f>'main (3)'!$A$10:$A$171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'main (3)'!$X$10:$X$171</c:f>
              <c:numCache>
                <c:formatCode>General</c:formatCode>
                <c:ptCount val="162"/>
                <c:pt idx="0">
                  <c:v>-0.14429398145680278</c:v>
                </c:pt>
                <c:pt idx="1">
                  <c:v>-0.13599517077728013</c:v>
                </c:pt>
                <c:pt idx="2">
                  <c:v>-0.32895123697540979</c:v>
                </c:pt>
                <c:pt idx="3">
                  <c:v>-0.2453050037806612</c:v>
                </c:pt>
                <c:pt idx="4">
                  <c:v>-0.32083753065386916</c:v>
                </c:pt>
                <c:pt idx="5">
                  <c:v>-0.53435705926036936</c:v>
                </c:pt>
                <c:pt idx="6">
                  <c:v>-0.68643963785893558</c:v>
                </c:pt>
                <c:pt idx="7">
                  <c:v>-0.74307673870911672</c:v>
                </c:pt>
                <c:pt idx="8">
                  <c:v>-0.50781926113090914</c:v>
                </c:pt>
                <c:pt idx="9">
                  <c:v>-0.52757696125008291</c:v>
                </c:pt>
                <c:pt idx="10">
                  <c:v>-0.6983094895830394</c:v>
                </c:pt>
                <c:pt idx="11">
                  <c:v>-0.77365640955925452</c:v>
                </c:pt>
                <c:pt idx="12">
                  <c:v>-0.58229878674100466</c:v>
                </c:pt>
                <c:pt idx="13">
                  <c:v>-0.7881428223775967</c:v>
                </c:pt>
                <c:pt idx="14">
                  <c:v>-0.46266132829079798</c:v>
                </c:pt>
                <c:pt idx="15">
                  <c:v>-0.42790085518865656</c:v>
                </c:pt>
                <c:pt idx="16">
                  <c:v>-0.48508369101768622</c:v>
                </c:pt>
                <c:pt idx="17">
                  <c:v>-0.43799578769452391</c:v>
                </c:pt>
                <c:pt idx="18">
                  <c:v>-0.48894975557659759</c:v>
                </c:pt>
                <c:pt idx="19">
                  <c:v>-0.4899194062005755</c:v>
                </c:pt>
                <c:pt idx="20">
                  <c:v>-0.52281167168335907</c:v>
                </c:pt>
                <c:pt idx="21">
                  <c:v>-0.43557083455665274</c:v>
                </c:pt>
                <c:pt idx="22">
                  <c:v>-0.53824829816706321</c:v>
                </c:pt>
                <c:pt idx="23">
                  <c:v>-0.73768911993501396</c:v>
                </c:pt>
                <c:pt idx="24">
                  <c:v>-0.62515777358304048</c:v>
                </c:pt>
                <c:pt idx="25">
                  <c:v>-0.66838485355932042</c:v>
                </c:pt>
                <c:pt idx="26">
                  <c:v>-0.1196127199724232</c:v>
                </c:pt>
                <c:pt idx="27">
                  <c:v>2.349080776867838E-2</c:v>
                </c:pt>
                <c:pt idx="28">
                  <c:v>-0.42936283156489335</c:v>
                </c:pt>
                <c:pt idx="29">
                  <c:v>-0.36313479837877205</c:v>
                </c:pt>
                <c:pt idx="30">
                  <c:v>-0.3410003176081195</c:v>
                </c:pt>
                <c:pt idx="31">
                  <c:v>-0.37227467277918092</c:v>
                </c:pt>
                <c:pt idx="32">
                  <c:v>-0.49291143369549012</c:v>
                </c:pt>
                <c:pt idx="33">
                  <c:v>-0.65607050841858106</c:v>
                </c:pt>
                <c:pt idx="34">
                  <c:v>-0.62523320354474188</c:v>
                </c:pt>
                <c:pt idx="35">
                  <c:v>-0.59657821717782256</c:v>
                </c:pt>
                <c:pt idx="36">
                  <c:v>-0.68391996055093418</c:v>
                </c:pt>
                <c:pt idx="37">
                  <c:v>-0.48035906260688394</c:v>
                </c:pt>
                <c:pt idx="38">
                  <c:v>-0.27065723236386213</c:v>
                </c:pt>
                <c:pt idx="39">
                  <c:v>-0.65677943410208817</c:v>
                </c:pt>
                <c:pt idx="40">
                  <c:v>-0.49465114626074147</c:v>
                </c:pt>
                <c:pt idx="41">
                  <c:v>-0.67573847342518789</c:v>
                </c:pt>
                <c:pt idx="42">
                  <c:v>-0.67752526115465339</c:v>
                </c:pt>
                <c:pt idx="43">
                  <c:v>-0.63050558490897335</c:v>
                </c:pt>
                <c:pt idx="44">
                  <c:v>-0.55359086051209416</c:v>
                </c:pt>
                <c:pt idx="45">
                  <c:v>-0.26523364007105082</c:v>
                </c:pt>
                <c:pt idx="46">
                  <c:v>-0.29233628135322198</c:v>
                </c:pt>
                <c:pt idx="47">
                  <c:v>-0.56641276145083541</c:v>
                </c:pt>
                <c:pt idx="48">
                  <c:v>-0.40636246275814908</c:v>
                </c:pt>
                <c:pt idx="49">
                  <c:v>-0.27701123480783607</c:v>
                </c:pt>
                <c:pt idx="50">
                  <c:v>-0.40198260642703892</c:v>
                </c:pt>
                <c:pt idx="51">
                  <c:v>-0.56612083952168379</c:v>
                </c:pt>
                <c:pt idx="52">
                  <c:v>-0.68030308490705493</c:v>
                </c:pt>
                <c:pt idx="53">
                  <c:v>-0.72956175086523767</c:v>
                </c:pt>
                <c:pt idx="54">
                  <c:v>-0.53982946131146592</c:v>
                </c:pt>
                <c:pt idx="55">
                  <c:v>-0.42118675666730887</c:v>
                </c:pt>
                <c:pt idx="56">
                  <c:v>-0.63744972350244844</c:v>
                </c:pt>
                <c:pt idx="57">
                  <c:v>-0.69615839292690673</c:v>
                </c:pt>
                <c:pt idx="58">
                  <c:v>-0.70800831072731718</c:v>
                </c:pt>
                <c:pt idx="59">
                  <c:v>-0.67488975378643934</c:v>
                </c:pt>
                <c:pt idx="60">
                  <c:v>-0.71090547987750452</c:v>
                </c:pt>
                <c:pt idx="61">
                  <c:v>-0.57819059647957471</c:v>
                </c:pt>
                <c:pt idx="62">
                  <c:v>-0.57138099487884397</c:v>
                </c:pt>
                <c:pt idx="63">
                  <c:v>-0.34175856880204902</c:v>
                </c:pt>
                <c:pt idx="64">
                  <c:v>-0.2218449777215287</c:v>
                </c:pt>
                <c:pt idx="65">
                  <c:v>-0.50532333628596549</c:v>
                </c:pt>
                <c:pt idx="66">
                  <c:v>-0.61440669100166556</c:v>
                </c:pt>
                <c:pt idx="67">
                  <c:v>-0.46682994564622804</c:v>
                </c:pt>
                <c:pt idx="68">
                  <c:v>-0.40791178906257425</c:v>
                </c:pt>
                <c:pt idx="69">
                  <c:v>-0.34284358133525528</c:v>
                </c:pt>
                <c:pt idx="70">
                  <c:v>-0.25671589570836928</c:v>
                </c:pt>
                <c:pt idx="71">
                  <c:v>-0.39352881186947231</c:v>
                </c:pt>
                <c:pt idx="72">
                  <c:v>-0.36852415407429551</c:v>
                </c:pt>
                <c:pt idx="73">
                  <c:v>-0.37039713462948665</c:v>
                </c:pt>
                <c:pt idx="74">
                  <c:v>-0.30336538358147663</c:v>
                </c:pt>
                <c:pt idx="75">
                  <c:v>-0.14340894680675914</c:v>
                </c:pt>
                <c:pt idx="76">
                  <c:v>-0.2531918834075384</c:v>
                </c:pt>
                <c:pt idx="77">
                  <c:v>-0.25992736986446485</c:v>
                </c:pt>
                <c:pt idx="78">
                  <c:v>-0.42183497157794203</c:v>
                </c:pt>
                <c:pt idx="79">
                  <c:v>-0.164815789599595</c:v>
                </c:pt>
                <c:pt idx="80">
                  <c:v>-0.11869092496935971</c:v>
                </c:pt>
                <c:pt idx="81">
                  <c:v>-0.18054752739799831</c:v>
                </c:pt>
                <c:pt idx="82">
                  <c:v>-0.32375154953870466</c:v>
                </c:pt>
                <c:pt idx="83">
                  <c:v>-0.18369336098930625</c:v>
                </c:pt>
                <c:pt idx="84">
                  <c:v>-0.22531422284111258</c:v>
                </c:pt>
                <c:pt idx="85">
                  <c:v>-0.17715411606823195</c:v>
                </c:pt>
                <c:pt idx="86">
                  <c:v>-1.9541183131714879E-2</c:v>
                </c:pt>
                <c:pt idx="87">
                  <c:v>-3.5106453569344269E-2</c:v>
                </c:pt>
                <c:pt idx="88">
                  <c:v>-7.7752473066142122E-2</c:v>
                </c:pt>
                <c:pt idx="89">
                  <c:v>3.1797875800736956E-3</c:v>
                </c:pt>
                <c:pt idx="90">
                  <c:v>4.682012141787148E-2</c:v>
                </c:pt>
                <c:pt idx="91">
                  <c:v>4.4899435350008107E-4</c:v>
                </c:pt>
                <c:pt idx="92">
                  <c:v>5.0977448507293641E-4</c:v>
                </c:pt>
                <c:pt idx="93">
                  <c:v>0.17724862218444673</c:v>
                </c:pt>
                <c:pt idx="94">
                  <c:v>9.7049809245082358E-2</c:v>
                </c:pt>
                <c:pt idx="95">
                  <c:v>-3.8764295255777056E-2</c:v>
                </c:pt>
                <c:pt idx="96">
                  <c:v>-5.5811949013869058E-2</c:v>
                </c:pt>
                <c:pt idx="97">
                  <c:v>-4.5488798201853343E-2</c:v>
                </c:pt>
                <c:pt idx="98">
                  <c:v>-8.5814774460525545E-2</c:v>
                </c:pt>
                <c:pt idx="99">
                  <c:v>-0.17154435398694307</c:v>
                </c:pt>
                <c:pt idx="100">
                  <c:v>-2.4634412116537725E-2</c:v>
                </c:pt>
                <c:pt idx="101">
                  <c:v>7.0582098890960648E-2</c:v>
                </c:pt>
                <c:pt idx="102">
                  <c:v>0.12828213387509438</c:v>
                </c:pt>
                <c:pt idx="103">
                  <c:v>-0.14165496933082111</c:v>
                </c:pt>
                <c:pt idx="104">
                  <c:v>-0.21807370565716061</c:v>
                </c:pt>
                <c:pt idx="105">
                  <c:v>-0.28777212180709966</c:v>
                </c:pt>
                <c:pt idx="106">
                  <c:v>3.2492023419266269E-2</c:v>
                </c:pt>
                <c:pt idx="107">
                  <c:v>9.9442903939132063E-2</c:v>
                </c:pt>
                <c:pt idx="108">
                  <c:v>4.7486606365437944E-2</c:v>
                </c:pt>
                <c:pt idx="109">
                  <c:v>-2.3816529304428527E-2</c:v>
                </c:pt>
                <c:pt idx="110">
                  <c:v>6.701609601263428E-2</c:v>
                </c:pt>
                <c:pt idx="111">
                  <c:v>1.8943561582593152E-2</c:v>
                </c:pt>
                <c:pt idx="112">
                  <c:v>6.8155005009189376E-2</c:v>
                </c:pt>
                <c:pt idx="113">
                  <c:v>-0.24113721479850872</c:v>
                </c:pt>
                <c:pt idx="114">
                  <c:v>-0.18091131268229305</c:v>
                </c:pt>
                <c:pt idx="115">
                  <c:v>-4.3134357901835743E-2</c:v>
                </c:pt>
                <c:pt idx="116">
                  <c:v>-8.6075095962655557E-2</c:v>
                </c:pt>
                <c:pt idx="117">
                  <c:v>-0.11772621938219494</c:v>
                </c:pt>
                <c:pt idx="118">
                  <c:v>8.3906588128147858E-2</c:v>
                </c:pt>
                <c:pt idx="119">
                  <c:v>-2.835552868316173E-2</c:v>
                </c:pt>
                <c:pt idx="120">
                  <c:v>-0.25989348013649333</c:v>
                </c:pt>
                <c:pt idx="121">
                  <c:v>-6.3379774338549258E-2</c:v>
                </c:pt>
                <c:pt idx="122">
                  <c:v>5.5836719095344593E-2</c:v>
                </c:pt>
                <c:pt idx="123">
                  <c:v>-0.25417202298130204</c:v>
                </c:pt>
                <c:pt idx="124">
                  <c:v>-0.22063019493116764</c:v>
                </c:pt>
                <c:pt idx="125">
                  <c:v>-0.29544601222335781</c:v>
                </c:pt>
                <c:pt idx="126">
                  <c:v>2.9742184018587504E-2</c:v>
                </c:pt>
                <c:pt idx="127">
                  <c:v>-8.1835264077724679E-2</c:v>
                </c:pt>
                <c:pt idx="128">
                  <c:v>7.8537725150469667E-2</c:v>
                </c:pt>
                <c:pt idx="129">
                  <c:v>9.7555147985052146E-2</c:v>
                </c:pt>
                <c:pt idx="130">
                  <c:v>0.1203004412468086</c:v>
                </c:pt>
                <c:pt idx="131">
                  <c:v>1.369768471592729E-2</c:v>
                </c:pt>
                <c:pt idx="132">
                  <c:v>0.22583246093518694</c:v>
                </c:pt>
                <c:pt idx="133">
                  <c:v>-2.3936511132984947E-2</c:v>
                </c:pt>
                <c:pt idx="134">
                  <c:v>-5.3825427203879034E-2</c:v>
                </c:pt>
                <c:pt idx="135">
                  <c:v>1.9875898158491841E-2</c:v>
                </c:pt>
                <c:pt idx="136">
                  <c:v>0.23434322382218678</c:v>
                </c:pt>
                <c:pt idx="137">
                  <c:v>0.22872139569836553</c:v>
                </c:pt>
                <c:pt idx="138">
                  <c:v>0.14805921804790573</c:v>
                </c:pt>
                <c:pt idx="139">
                  <c:v>0.36563023776078868</c:v>
                </c:pt>
                <c:pt idx="140">
                  <c:v>0.31232215481582121</c:v>
                </c:pt>
                <c:pt idx="141">
                  <c:v>0.13002288059052164</c:v>
                </c:pt>
                <c:pt idx="142">
                  <c:v>0.17039461292045099</c:v>
                </c:pt>
                <c:pt idx="143">
                  <c:v>0.26832177120896566</c:v>
                </c:pt>
                <c:pt idx="144">
                  <c:v>0.39031754091590021</c:v>
                </c:pt>
                <c:pt idx="145">
                  <c:v>0.23088637562470868</c:v>
                </c:pt>
                <c:pt idx="146">
                  <c:v>0.52875760536413174</c:v>
                </c:pt>
                <c:pt idx="147">
                  <c:v>0.74201170122999793</c:v>
                </c:pt>
                <c:pt idx="148">
                  <c:v>0.4015418236940882</c:v>
                </c:pt>
                <c:pt idx="149">
                  <c:v>0.40607666049834024</c:v>
                </c:pt>
                <c:pt idx="150">
                  <c:v>0.60807747402359824</c:v>
                </c:pt>
                <c:pt idx="151">
                  <c:v>0.69185264461942453</c:v>
                </c:pt>
                <c:pt idx="152">
                  <c:v>0.72980323327060326</c:v>
                </c:pt>
                <c:pt idx="153">
                  <c:v>0.66019563970508532</c:v>
                </c:pt>
                <c:pt idx="154">
                  <c:v>0.77630659137781099</c:v>
                </c:pt>
                <c:pt idx="155">
                  <c:v>0.73429927121599792</c:v>
                </c:pt>
                <c:pt idx="156">
                  <c:v>0.67764880032043173</c:v>
                </c:pt>
                <c:pt idx="157">
                  <c:v>0.57407957791981989</c:v>
                </c:pt>
                <c:pt idx="158">
                  <c:v>0.79845236690703048</c:v>
                </c:pt>
                <c:pt idx="159">
                  <c:v>0.88359066191196289</c:v>
                </c:pt>
                <c:pt idx="160">
                  <c:v>0.66230509721902042</c:v>
                </c:pt>
                <c:pt idx="161">
                  <c:v>0.79047486248657695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'main (3)'!$Y$9</c:f>
              <c:strCache>
                <c:ptCount val="1"/>
                <c:pt idx="0">
                  <c:v>ECS 3C CO2 model</c:v>
                </c:pt>
              </c:strCache>
            </c:strRef>
          </c:tx>
          <c:marker>
            <c:symbol val="none"/>
          </c:marker>
          <c:xVal>
            <c:numRef>
              <c:f>'main (3)'!$A$10:$A$171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'main (3)'!$Y$10:$Y$171</c:f>
              <c:numCache>
                <c:formatCode>General</c:formatCode>
                <c:ptCount val="162"/>
                <c:pt idx="0">
                  <c:v>-0.50603151698803661</c:v>
                </c:pt>
                <c:pt idx="1">
                  <c:v>-0.51593497734755367</c:v>
                </c:pt>
                <c:pt idx="2">
                  <c:v>-0.52774993066807852</c:v>
                </c:pt>
                <c:pt idx="3">
                  <c:v>-0.49461735296234444</c:v>
                </c:pt>
                <c:pt idx="4">
                  <c:v>-0.49258198593832392</c:v>
                </c:pt>
                <c:pt idx="5">
                  <c:v>-0.53337075727969319</c:v>
                </c:pt>
                <c:pt idx="6">
                  <c:v>-0.55175893586952685</c:v>
                </c:pt>
                <c:pt idx="7">
                  <c:v>-0.5069596849046244</c:v>
                </c:pt>
                <c:pt idx="8">
                  <c:v>-0.50055668720888791</c:v>
                </c:pt>
                <c:pt idx="9">
                  <c:v>-0.56295223459329902</c:v>
                </c:pt>
                <c:pt idx="10">
                  <c:v>-0.54326489648126097</c:v>
                </c:pt>
                <c:pt idx="11">
                  <c:v>-0.59404690608130206</c:v>
                </c:pt>
                <c:pt idx="12">
                  <c:v>-0.49633715288056862</c:v>
                </c:pt>
                <c:pt idx="13">
                  <c:v>-0.52905049571307772</c:v>
                </c:pt>
                <c:pt idx="14">
                  <c:v>-0.50239393801633614</c:v>
                </c:pt>
                <c:pt idx="15">
                  <c:v>-0.49607541316655412</c:v>
                </c:pt>
                <c:pt idx="16">
                  <c:v>-0.47849527426009369</c:v>
                </c:pt>
                <c:pt idx="17">
                  <c:v>-0.49927560860419673</c:v>
                </c:pt>
                <c:pt idx="18">
                  <c:v>-0.47431898675828033</c:v>
                </c:pt>
                <c:pt idx="19">
                  <c:v>-0.50714168130126092</c:v>
                </c:pt>
                <c:pt idx="20">
                  <c:v>-0.52176478581286967</c:v>
                </c:pt>
                <c:pt idx="21">
                  <c:v>-0.51215727693299262</c:v>
                </c:pt>
                <c:pt idx="22">
                  <c:v>-0.49018587205016706</c:v>
                </c:pt>
                <c:pt idx="23">
                  <c:v>-0.47446126685880941</c:v>
                </c:pt>
                <c:pt idx="24">
                  <c:v>-0.5361879657191988</c:v>
                </c:pt>
                <c:pt idx="25">
                  <c:v>-0.52342392452086639</c:v>
                </c:pt>
                <c:pt idx="26">
                  <c:v>-0.47260505986157941</c:v>
                </c:pt>
                <c:pt idx="27">
                  <c:v>-0.43533151596495429</c:v>
                </c:pt>
                <c:pt idx="28">
                  <c:v>-0.50159440613136363</c:v>
                </c:pt>
                <c:pt idx="29">
                  <c:v>-0.5102140098701462</c:v>
                </c:pt>
                <c:pt idx="30">
                  <c:v>-0.48835223447172221</c:v>
                </c:pt>
                <c:pt idx="31">
                  <c:v>-0.50130969339069964</c:v>
                </c:pt>
                <c:pt idx="32">
                  <c:v>-0.50992971578031143</c:v>
                </c:pt>
                <c:pt idx="33">
                  <c:v>-0.53385403646122231</c:v>
                </c:pt>
                <c:pt idx="34">
                  <c:v>-0.50964544652168198</c:v>
                </c:pt>
                <c:pt idx="35">
                  <c:v>-0.50614904156815355</c:v>
                </c:pt>
                <c:pt idx="36">
                  <c:v>-0.51396893898336671</c:v>
                </c:pt>
                <c:pt idx="37">
                  <c:v>-0.4885480321756957</c:v>
                </c:pt>
                <c:pt idx="38">
                  <c:v>-0.46115586385744811</c:v>
                </c:pt>
                <c:pt idx="39">
                  <c:v>-0.50188845063215926</c:v>
                </c:pt>
                <c:pt idx="40">
                  <c:v>-0.49500258932118113</c:v>
                </c:pt>
                <c:pt idx="41">
                  <c:v>-0.49085517514769722</c:v>
                </c:pt>
                <c:pt idx="42">
                  <c:v>-0.49769927046276646</c:v>
                </c:pt>
                <c:pt idx="43">
                  <c:v>-0.4722884710656467</c:v>
                </c:pt>
                <c:pt idx="44">
                  <c:v>-0.47917099042215078</c:v>
                </c:pt>
                <c:pt idx="45">
                  <c:v>-0.4666331133130181</c:v>
                </c:pt>
                <c:pt idx="46">
                  <c:v>-0.45518552790300681</c:v>
                </c:pt>
                <c:pt idx="47">
                  <c:v>-0.46477888798045841</c:v>
                </c:pt>
                <c:pt idx="48">
                  <c:v>-0.43986780948475918</c:v>
                </c:pt>
                <c:pt idx="49">
                  <c:v>-0.43117006766656163</c:v>
                </c:pt>
                <c:pt idx="50">
                  <c:v>-0.42573480345990011</c:v>
                </c:pt>
                <c:pt idx="51">
                  <c:v>-0.45710331375414293</c:v>
                </c:pt>
                <c:pt idx="52">
                  <c:v>-0.45751193464917611</c:v>
                </c:pt>
                <c:pt idx="53">
                  <c:v>-0.46993131085770712</c:v>
                </c:pt>
                <c:pt idx="54">
                  <c:v>-0.4520729798002065</c:v>
                </c:pt>
                <c:pt idx="55">
                  <c:v>-0.42499040391667198</c:v>
                </c:pt>
                <c:pt idx="56">
                  <c:v>-0.48498925699964968</c:v>
                </c:pt>
                <c:pt idx="57">
                  <c:v>-0.45071891850561802</c:v>
                </c:pt>
                <c:pt idx="58">
                  <c:v>-0.44870423337490878</c:v>
                </c:pt>
                <c:pt idx="59">
                  <c:v>-0.4451243074797967</c:v>
                </c:pt>
                <c:pt idx="60">
                  <c:v>-0.4494442018028279</c:v>
                </c:pt>
                <c:pt idx="61">
                  <c:v>-0.44402224431812609</c:v>
                </c:pt>
                <c:pt idx="62">
                  <c:v>-0.42296912024122318</c:v>
                </c:pt>
                <c:pt idx="63">
                  <c:v>-0.38251718091815601</c:v>
                </c:pt>
                <c:pt idx="64">
                  <c:v>-0.38183748254445898</c:v>
                </c:pt>
                <c:pt idx="65">
                  <c:v>-0.4239697589021883</c:v>
                </c:pt>
                <c:pt idx="66">
                  <c:v>-0.44655965594904939</c:v>
                </c:pt>
                <c:pt idx="67">
                  <c:v>-0.43139886398325367</c:v>
                </c:pt>
                <c:pt idx="68">
                  <c:v>-0.40602768060956018</c:v>
                </c:pt>
                <c:pt idx="69">
                  <c:v>-0.395272480467382</c:v>
                </c:pt>
                <c:pt idx="70">
                  <c:v>-0.362301058478111</c:v>
                </c:pt>
                <c:pt idx="71">
                  <c:v>-0.38666402567547498</c:v>
                </c:pt>
                <c:pt idx="72">
                  <c:v>-0.37958910533968299</c:v>
                </c:pt>
                <c:pt idx="73">
                  <c:v>-0.362682722991159</c:v>
                </c:pt>
                <c:pt idx="74">
                  <c:v>-0.36363192000760802</c:v>
                </c:pt>
                <c:pt idx="75">
                  <c:v>-0.33866225393340099</c:v>
                </c:pt>
                <c:pt idx="76">
                  <c:v>-0.36010301065150296</c:v>
                </c:pt>
                <c:pt idx="77">
                  <c:v>-0.33687051143817304</c:v>
                </c:pt>
                <c:pt idx="78">
                  <c:v>-0.38741846307038297</c:v>
                </c:pt>
                <c:pt idx="79">
                  <c:v>-0.33389391199138596</c:v>
                </c:pt>
                <c:pt idx="80">
                  <c:v>-0.32313941341074603</c:v>
                </c:pt>
                <c:pt idx="81">
                  <c:v>-0.32041504838235702</c:v>
                </c:pt>
                <c:pt idx="82">
                  <c:v>-0.36837399607061699</c:v>
                </c:pt>
                <c:pt idx="83">
                  <c:v>-0.32221763942225301</c:v>
                </c:pt>
                <c:pt idx="84">
                  <c:v>-0.33512976250100801</c:v>
                </c:pt>
                <c:pt idx="85">
                  <c:v>-0.33106488135991796</c:v>
                </c:pt>
                <c:pt idx="86">
                  <c:v>-0.30874775540356403</c:v>
                </c:pt>
                <c:pt idx="87">
                  <c:v>-0.277537826971608</c:v>
                </c:pt>
                <c:pt idx="88">
                  <c:v>-0.28907925762875497</c:v>
                </c:pt>
                <c:pt idx="89">
                  <c:v>-0.28557064335307403</c:v>
                </c:pt>
                <c:pt idx="90">
                  <c:v>-0.290868642848229</c:v>
                </c:pt>
                <c:pt idx="91">
                  <c:v>-0.28677343872864602</c:v>
                </c:pt>
                <c:pt idx="92">
                  <c:v>-0.27260411364773901</c:v>
                </c:pt>
                <c:pt idx="93">
                  <c:v>-0.25629011927150203</c:v>
                </c:pt>
                <c:pt idx="94">
                  <c:v>-0.29043820532974196</c:v>
                </c:pt>
                <c:pt idx="95">
                  <c:v>-0.27877164456166703</c:v>
                </c:pt>
                <c:pt idx="96">
                  <c:v>-0.25626860749149999</c:v>
                </c:pt>
                <c:pt idx="97">
                  <c:v>-0.25919023196313501</c:v>
                </c:pt>
                <c:pt idx="98">
                  <c:v>-0.27318015730463596</c:v>
                </c:pt>
                <c:pt idx="99">
                  <c:v>-0.29590290166177102</c:v>
                </c:pt>
                <c:pt idx="100">
                  <c:v>-0.25676155611001</c:v>
                </c:pt>
                <c:pt idx="101">
                  <c:v>-0.250575422506566</c:v>
                </c:pt>
                <c:pt idx="102">
                  <c:v>-0.21243072146800501</c:v>
                </c:pt>
                <c:pt idx="103">
                  <c:v>-0.24797719395909501</c:v>
                </c:pt>
                <c:pt idx="104">
                  <c:v>-0.23089254542153298</c:v>
                </c:pt>
                <c:pt idx="105">
                  <c:v>-0.27004392174505099</c:v>
                </c:pt>
                <c:pt idx="106">
                  <c:v>-0.20729024415282199</c:v>
                </c:pt>
                <c:pt idx="107">
                  <c:v>-0.19634656888110802</c:v>
                </c:pt>
                <c:pt idx="108">
                  <c:v>-0.18371469156629799</c:v>
                </c:pt>
                <c:pt idx="109">
                  <c:v>-0.20211075387052302</c:v>
                </c:pt>
                <c:pt idx="110">
                  <c:v>-0.15616340507113102</c:v>
                </c:pt>
                <c:pt idx="111">
                  <c:v>-0.168833856052097</c:v>
                </c:pt>
                <c:pt idx="112">
                  <c:v>-0.13247393411721398</c:v>
                </c:pt>
                <c:pt idx="113">
                  <c:v>-0.18478657518355002</c:v>
                </c:pt>
                <c:pt idx="114">
                  <c:v>-0.15011188578410101</c:v>
                </c:pt>
                <c:pt idx="115">
                  <c:v>-0.13148478978093597</c:v>
                </c:pt>
                <c:pt idx="116">
                  <c:v>-0.10405663048996799</c:v>
                </c:pt>
                <c:pt idx="117">
                  <c:v>-0.11740308429359197</c:v>
                </c:pt>
                <c:pt idx="118">
                  <c:v>-9.6711278899433983E-2</c:v>
                </c:pt>
                <c:pt idx="119">
                  <c:v>-6.5932586912830993E-2</c:v>
                </c:pt>
                <c:pt idx="120">
                  <c:v>-6.4472826067501987E-2</c:v>
                </c:pt>
                <c:pt idx="121">
                  <c:v>-6.0197291891745996E-2</c:v>
                </c:pt>
                <c:pt idx="122">
                  <c:v>1.7840579678051971E-2</c:v>
                </c:pt>
                <c:pt idx="123">
                  <c:v>-2.7159713015963982E-2</c:v>
                </c:pt>
                <c:pt idx="124">
                  <c:v>2.2789824078841003E-2</c:v>
                </c:pt>
                <c:pt idx="125">
                  <c:v>-5.0467372764099738E-3</c:v>
                </c:pt>
                <c:pt idx="126">
                  <c:v>6.8620632446191987E-2</c:v>
                </c:pt>
                <c:pt idx="127">
                  <c:v>6.547330568617904E-2</c:v>
                </c:pt>
                <c:pt idx="128">
                  <c:v>7.4038083215329009E-2</c:v>
                </c:pt>
                <c:pt idx="129">
                  <c:v>0.13897487637411798</c:v>
                </c:pt>
                <c:pt idx="130">
                  <c:v>0.16978943079805198</c:v>
                </c:pt>
                <c:pt idx="131">
                  <c:v>0.124775057019747</c:v>
                </c:pt>
                <c:pt idx="132">
                  <c:v>0.18317437869775899</c:v>
                </c:pt>
                <c:pt idx="133">
                  <c:v>0.16544867621009096</c:v>
                </c:pt>
                <c:pt idx="134">
                  <c:v>0.172984077670994</c:v>
                </c:pt>
                <c:pt idx="135">
                  <c:v>0.21123929043022005</c:v>
                </c:pt>
                <c:pt idx="136">
                  <c:v>0.24425030625556499</c:v>
                </c:pt>
                <c:pt idx="137">
                  <c:v>0.29018731742680604</c:v>
                </c:pt>
                <c:pt idx="138">
                  <c:v>0.28009276132059502</c:v>
                </c:pt>
                <c:pt idx="139">
                  <c:v>0.32790104429118905</c:v>
                </c:pt>
                <c:pt idx="140">
                  <c:v>0.34222175090468099</c:v>
                </c:pt>
                <c:pt idx="141">
                  <c:v>0.31538855437126101</c:v>
                </c:pt>
                <c:pt idx="142">
                  <c:v>0.33645206007288597</c:v>
                </c:pt>
                <c:pt idx="143">
                  <c:v>0.37580857910444398</c:v>
                </c:pt>
                <c:pt idx="144">
                  <c:v>0.42840649273982201</c:v>
                </c:pt>
                <c:pt idx="145">
                  <c:v>0.41509594721117304</c:v>
                </c:pt>
                <c:pt idx="146">
                  <c:v>0.44321353188775903</c:v>
                </c:pt>
                <c:pt idx="147">
                  <c:v>0.49555536365403996</c:v>
                </c:pt>
                <c:pt idx="148">
                  <c:v>0.48608408586000196</c:v>
                </c:pt>
                <c:pt idx="149">
                  <c:v>0.49724644729627698</c:v>
                </c:pt>
                <c:pt idx="150">
                  <c:v>0.53779946244363996</c:v>
                </c:pt>
                <c:pt idx="151">
                  <c:v>0.57343852123087991</c:v>
                </c:pt>
                <c:pt idx="152">
                  <c:v>0.58561649761847989</c:v>
                </c:pt>
                <c:pt idx="153">
                  <c:v>0.58190207127636007</c:v>
                </c:pt>
                <c:pt idx="154">
                  <c:v>0.64931345678763996</c:v>
                </c:pt>
                <c:pt idx="155">
                  <c:v>0.65564387961774995</c:v>
                </c:pt>
                <c:pt idx="156">
                  <c:v>0.70513621271864002</c:v>
                </c:pt>
                <c:pt idx="157">
                  <c:v>0.69304345325791994</c:v>
                </c:pt>
                <c:pt idx="158">
                  <c:v>0.72025462562749998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556536"/>
        <c:axId val="569954336"/>
      </c:scatterChart>
      <c:valAx>
        <c:axId val="565556536"/>
        <c:scaling>
          <c:orientation val="minMax"/>
          <c:max val="2015"/>
          <c:min val="1850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Year</a:t>
                </a:r>
              </a:p>
            </c:rich>
          </c:tx>
          <c:layout>
            <c:manualLayout>
              <c:xMode val="edge"/>
              <c:yMode val="edge"/>
              <c:x val="0.53147533126788948"/>
              <c:y val="0.90757086076153715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569954336"/>
        <c:crosses val="autoZero"/>
        <c:crossBetween val="midCat"/>
      </c:valAx>
      <c:valAx>
        <c:axId val="569954336"/>
        <c:scaling>
          <c:orientation val="minMax"/>
          <c:max val="1"/>
          <c:min val="-1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sz="1600"/>
                  <a:t>Temperature Anomaly</a:t>
                </a:r>
              </a:p>
            </c:rich>
          </c:tx>
          <c:layout>
            <c:manualLayout>
              <c:xMode val="edge"/>
              <c:yMode val="edge"/>
              <c:x val="3.3594111096407896E-3"/>
              <c:y val="0.2572650039214808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6555653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3128962419240336"/>
          <c:y val="7.2547000042975041E-2"/>
          <c:w val="0.63692275265195553"/>
          <c:h val="0.25397093105297325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spPr>
    <a:solidFill>
      <a:srgbClr val="99FFCC"/>
    </a:solidFill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Increased</a:t>
            </a:r>
            <a:r>
              <a:rPr lang="en-US" sz="1400" baseline="0"/>
              <a:t> rate of ocean heat sinking </a:t>
            </a:r>
            <a:endParaRPr lang="en-US" sz="1400"/>
          </a:p>
        </c:rich>
      </c:tx>
      <c:layout>
        <c:manualLayout>
          <c:xMode val="edge"/>
          <c:yMode val="edge"/>
          <c:x val="0.24617300962379701"/>
          <c:y val="3.04831974913553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094451766861077"/>
          <c:y val="0.14003360317702765"/>
          <c:w val="0.81209421395696657"/>
          <c:h val="0.65149125599695257"/>
        </c:manualLayout>
      </c:layout>
      <c:scatterChart>
        <c:scatterStyle val="lineMarker"/>
        <c:varyColors val="0"/>
        <c:ser>
          <c:idx val="0"/>
          <c:order val="0"/>
          <c:tx>
            <c:v>Ratio of Ocean/Land temperature rise</c:v>
          </c:tx>
          <c:spPr>
            <a:ln w="285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pPr>
              <a:solidFill>
                <a:schemeClr val="accent5">
                  <a:lumMod val="20000"/>
                  <a:lumOff val="80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xVal>
            <c:numRef>
              <c:f>'main (4)'!$A$10:$A$171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'main (4)'!$G$10:$G$171</c:f>
              <c:numCache>
                <c:formatCode>General</c:formatCode>
                <c:ptCount val="162"/>
                <c:pt idx="0">
                  <c:v>0.14454212292001092</c:v>
                </c:pt>
                <c:pt idx="1">
                  <c:v>0.1317202117778877</c:v>
                </c:pt>
                <c:pt idx="2">
                  <c:v>0.72984285846525754</c:v>
                </c:pt>
                <c:pt idx="3">
                  <c:v>0.1874442187046296</c:v>
                </c:pt>
                <c:pt idx="4">
                  <c:v>1</c:v>
                </c:pt>
                <c:pt idx="5">
                  <c:v>0.46704339112146342</c:v>
                </c:pt>
                <c:pt idx="6">
                  <c:v>0.79152098045690866</c:v>
                </c:pt>
                <c:pt idx="7">
                  <c:v>0.94646159954302667</c:v>
                </c:pt>
                <c:pt idx="8">
                  <c:v>0.99194660592224215</c:v>
                </c:pt>
                <c:pt idx="9">
                  <c:v>0.38717394225472335</c:v>
                </c:pt>
                <c:pt idx="10">
                  <c:v>0.69838499306552237</c:v>
                </c:pt>
                <c:pt idx="11">
                  <c:v>0.81340910095580177</c:v>
                </c:pt>
                <c:pt idx="12">
                  <c:v>0.93320718786501233</c:v>
                </c:pt>
                <c:pt idx="13">
                  <c:v>0.46906005060435624</c:v>
                </c:pt>
                <c:pt idx="14">
                  <c:v>0.5557999076326664</c:v>
                </c:pt>
                <c:pt idx="15">
                  <c:v>0.47300110652008104</c:v>
                </c:pt>
                <c:pt idx="16">
                  <c:v>0.49313625954037149</c:v>
                </c:pt>
                <c:pt idx="17">
                  <c:v>0.44400024256631837</c:v>
                </c:pt>
                <c:pt idx="18">
                  <c:v>0.59366324869028897</c:v>
                </c:pt>
                <c:pt idx="19">
                  <c:v>0.37009139911683697</c:v>
                </c:pt>
                <c:pt idx="20">
                  <c:v>0.37857935242255836</c:v>
                </c:pt>
                <c:pt idx="21">
                  <c:v>0.49833542089281019</c:v>
                </c:pt>
                <c:pt idx="22">
                  <c:v>0.810947376123624</c:v>
                </c:pt>
                <c:pt idx="23">
                  <c:v>0.49997419728947112</c:v>
                </c:pt>
                <c:pt idx="24">
                  <c:v>0.31045692348035187</c:v>
                </c:pt>
                <c:pt idx="25">
                  <c:v>0.66456878369227157</c:v>
                </c:pt>
                <c:pt idx="26">
                  <c:v>0.14669276395732866</c:v>
                </c:pt>
                <c:pt idx="27">
                  <c:v>9.0790939786195457E-2</c:v>
                </c:pt>
                <c:pt idx="28">
                  <c:v>0.22322551303034963</c:v>
                </c:pt>
                <c:pt idx="29">
                  <c:v>0.53101019941957872</c:v>
                </c:pt>
                <c:pt idx="30">
                  <c:v>0.26906420973058903</c:v>
                </c:pt>
                <c:pt idx="31">
                  <c:v>0.40656030469993704</c:v>
                </c:pt>
                <c:pt idx="32">
                  <c:v>0.29288555710043762</c:v>
                </c:pt>
                <c:pt idx="33">
                  <c:v>0.37192990832269135</c:v>
                </c:pt>
                <c:pt idx="34">
                  <c:v>0.36531965787643206</c:v>
                </c:pt>
                <c:pt idx="35">
                  <c:v>0.44251236285184037</c:v>
                </c:pt>
                <c:pt idx="36">
                  <c:v>0.47460635338694385</c:v>
                </c:pt>
                <c:pt idx="37">
                  <c:v>0.30333977630832265</c:v>
                </c:pt>
                <c:pt idx="38">
                  <c:v>0.39517098321641542</c:v>
                </c:pt>
                <c:pt idx="39">
                  <c:v>0.81779357823838594</c:v>
                </c:pt>
                <c:pt idx="40">
                  <c:v>0.40226151872216753</c:v>
                </c:pt>
                <c:pt idx="41">
                  <c:v>0.49534410543887414</c:v>
                </c:pt>
                <c:pt idx="42">
                  <c:v>0.46666508947149871</c:v>
                </c:pt>
                <c:pt idx="43">
                  <c:v>0.57112582697869774</c:v>
                </c:pt>
                <c:pt idx="44">
                  <c:v>0.46465817937423265</c:v>
                </c:pt>
                <c:pt idx="45">
                  <c:v>0.29365489160744296</c:v>
                </c:pt>
                <c:pt idx="46">
                  <c:v>0.44801116211654091</c:v>
                </c:pt>
                <c:pt idx="47">
                  <c:v>0.75603128029241384</c:v>
                </c:pt>
                <c:pt idx="48">
                  <c:v>0.76538119658640746</c:v>
                </c:pt>
                <c:pt idx="49">
                  <c:v>0.70940057617722774</c:v>
                </c:pt>
                <c:pt idx="50">
                  <c:v>1</c:v>
                </c:pt>
                <c:pt idx="51">
                  <c:v>0.94919189105120205</c:v>
                </c:pt>
                <c:pt idx="52">
                  <c:v>0.76114073091931356</c:v>
                </c:pt>
                <c:pt idx="53">
                  <c:v>0.78177180010964409</c:v>
                </c:pt>
                <c:pt idx="54">
                  <c:v>0.58743578545510744</c:v>
                </c:pt>
                <c:pt idx="55">
                  <c:v>0.92900474620563112</c:v>
                </c:pt>
                <c:pt idx="56">
                  <c:v>0.49228599407120305</c:v>
                </c:pt>
                <c:pt idx="57">
                  <c:v>0.73548464653864276</c:v>
                </c:pt>
                <c:pt idx="58">
                  <c:v>0.78390963373377121</c:v>
                </c:pt>
                <c:pt idx="59">
                  <c:v>0.9908071770625132</c:v>
                </c:pt>
                <c:pt idx="60">
                  <c:v>0.87861600960453268</c:v>
                </c:pt>
                <c:pt idx="61">
                  <c:v>0.89056771389902989</c:v>
                </c:pt>
                <c:pt idx="62">
                  <c:v>0.86287123955468414</c:v>
                </c:pt>
                <c:pt idx="63">
                  <c:v>1</c:v>
                </c:pt>
                <c:pt idx="64">
                  <c:v>0.94734816119454168</c:v>
                </c:pt>
                <c:pt idx="65">
                  <c:v>0.71530480438769128</c:v>
                </c:pt>
                <c:pt idx="66">
                  <c:v>0.44412595585158871</c:v>
                </c:pt>
                <c:pt idx="67">
                  <c:v>0.481902869161703</c:v>
                </c:pt>
                <c:pt idx="68">
                  <c:v>0.54135090864268798</c:v>
                </c:pt>
                <c:pt idx="69">
                  <c:v>0.58039449143008759</c:v>
                </c:pt>
                <c:pt idx="70">
                  <c:v>1</c:v>
                </c:pt>
                <c:pt idx="71">
                  <c:v>0.77059411934124722</c:v>
                </c:pt>
                <c:pt idx="72">
                  <c:v>0.78240622116677794</c:v>
                </c:pt>
                <c:pt idx="73">
                  <c:v>0.82061641613347347</c:v>
                </c:pt>
                <c:pt idx="74">
                  <c:v>0.58641957663794075</c:v>
                </c:pt>
                <c:pt idx="75">
                  <c:v>1</c:v>
                </c:pt>
                <c:pt idx="76">
                  <c:v>0.92083991531552856</c:v>
                </c:pt>
                <c:pt idx="77">
                  <c:v>0.94733443522682115</c:v>
                </c:pt>
                <c:pt idx="78">
                  <c:v>0.59887189428034293</c:v>
                </c:pt>
                <c:pt idx="79">
                  <c:v>0.88092715072827465</c:v>
                </c:pt>
                <c:pt idx="80">
                  <c:v>0.58567000044272022</c:v>
                </c:pt>
                <c:pt idx="81">
                  <c:v>1</c:v>
                </c:pt>
                <c:pt idx="82">
                  <c:v>0.82770817686359088</c:v>
                </c:pt>
                <c:pt idx="83">
                  <c:v>1</c:v>
                </c:pt>
                <c:pt idx="84">
                  <c:v>0.72229051704333103</c:v>
                </c:pt>
                <c:pt idx="85">
                  <c:v>0.91442171062959043</c:v>
                </c:pt>
                <c:pt idx="86">
                  <c:v>0.60284071069058842</c:v>
                </c:pt>
                <c:pt idx="87">
                  <c:v>0.46971982094229747</c:v>
                </c:pt>
                <c:pt idx="88">
                  <c:v>1</c:v>
                </c:pt>
                <c:pt idx="89">
                  <c:v>0.11348013704916698</c:v>
                </c:pt>
                <c:pt idx="90">
                  <c:v>0.63992368948774736</c:v>
                </c:pt>
                <c:pt idx="91">
                  <c:v>0.65217391304347827</c:v>
                </c:pt>
                <c:pt idx="92">
                  <c:v>0.10485639719581724</c:v>
                </c:pt>
                <c:pt idx="93">
                  <c:v>0.96770249440338374</c:v>
                </c:pt>
                <c:pt idx="94">
                  <c:v>0.64231625067802089</c:v>
                </c:pt>
                <c:pt idx="95">
                  <c:v>0.92648146468430637</c:v>
                </c:pt>
                <c:pt idx="96">
                  <c:v>1</c:v>
                </c:pt>
                <c:pt idx="97">
                  <c:v>0.3481031025553562</c:v>
                </c:pt>
                <c:pt idx="98">
                  <c:v>0.72512545763309055</c:v>
                </c:pt>
                <c:pt idx="99">
                  <c:v>0.75104425449523471</c:v>
                </c:pt>
                <c:pt idx="100">
                  <c:v>0.49197350997919215</c:v>
                </c:pt>
                <c:pt idx="101">
                  <c:v>0.56657197308203611</c:v>
                </c:pt>
                <c:pt idx="102">
                  <c:v>0.61989302460783369</c:v>
                </c:pt>
                <c:pt idx="103">
                  <c:v>0.65469419479464197</c:v>
                </c:pt>
                <c:pt idx="104">
                  <c:v>0.74243316055108743</c:v>
                </c:pt>
                <c:pt idx="105">
                  <c:v>0.72541193222197831</c:v>
                </c:pt>
                <c:pt idx="106">
                  <c:v>0.7771800453682407</c:v>
                </c:pt>
                <c:pt idx="107">
                  <c:v>0.33198285832253388</c:v>
                </c:pt>
                <c:pt idx="109">
                  <c:v>0.70810386858532526</c:v>
                </c:pt>
                <c:pt idx="110">
                  <c:v>0.45402741321411333</c:v>
                </c:pt>
                <c:pt idx="111">
                  <c:v>0.77412341997074618</c:v>
                </c:pt>
                <c:pt idx="112">
                  <c:v>1</c:v>
                </c:pt>
                <c:pt idx="113">
                  <c:v>0.99415752635161714</c:v>
                </c:pt>
                <c:pt idx="114">
                  <c:v>0.41081960694431363</c:v>
                </c:pt>
                <c:pt idx="115">
                  <c:v>0.98088114678908578</c:v>
                </c:pt>
                <c:pt idx="116">
                  <c:v>0.62566050820685448</c:v>
                </c:pt>
                <c:pt idx="117">
                  <c:v>0.67323776355099896</c:v>
                </c:pt>
                <c:pt idx="118">
                  <c:v>0.52943744734782694</c:v>
                </c:pt>
                <c:pt idx="119">
                  <c:v>0.64848470630980548</c:v>
                </c:pt>
                <c:pt idx="120">
                  <c:v>0.6054947207245176</c:v>
                </c:pt>
                <c:pt idx="121">
                  <c:v>0.44409721511200179</c:v>
                </c:pt>
                <c:pt idx="122">
                  <c:v>0.69907631571641571</c:v>
                </c:pt>
                <c:pt idx="123">
                  <c:v>0.85651556064050594</c:v>
                </c:pt>
                <c:pt idx="124">
                  <c:v>1</c:v>
                </c:pt>
                <c:pt idx="125">
                  <c:v>0.66980866510134685</c:v>
                </c:pt>
                <c:pt idx="126">
                  <c:v>0.52828983239578087</c:v>
                </c:pt>
                <c:pt idx="127">
                  <c:v>0.89506557427400646</c:v>
                </c:pt>
                <c:pt idx="128">
                  <c:v>1</c:v>
                </c:pt>
                <c:pt idx="129">
                  <c:v>0.96262706249914398</c:v>
                </c:pt>
                <c:pt idx="130">
                  <c:v>0.72157566501254411</c:v>
                </c:pt>
                <c:pt idx="131">
                  <c:v>0.21156419904309176</c:v>
                </c:pt>
                <c:pt idx="132">
                  <c:v>0.62586336356264161</c:v>
                </c:pt>
                <c:pt idx="133">
                  <c:v>0.12419426091459257</c:v>
                </c:pt>
                <c:pt idx="134">
                  <c:v>0.42474412918196691</c:v>
                </c:pt>
                <c:pt idx="135">
                  <c:v>0.85553151611819689</c:v>
                </c:pt>
                <c:pt idx="136">
                  <c:v>0.80506581639303698</c:v>
                </c:pt>
                <c:pt idx="137">
                  <c:v>0.62919925202964655</c:v>
                </c:pt>
                <c:pt idx="138">
                  <c:v>0.45008868731778601</c:v>
                </c:pt>
                <c:pt idx="139">
                  <c:v>0.57109621762565588</c:v>
                </c:pt>
                <c:pt idx="140">
                  <c:v>0.69243498323655128</c:v>
                </c:pt>
                <c:pt idx="141">
                  <c:v>0.85240333126604062</c:v>
                </c:pt>
                <c:pt idx="142">
                  <c:v>0.64727719890138169</c:v>
                </c:pt>
                <c:pt idx="143">
                  <c:v>0.4618823652182249</c:v>
                </c:pt>
                <c:pt idx="144">
                  <c:v>0.60397559279442181</c:v>
                </c:pt>
                <c:pt idx="145">
                  <c:v>0.92411642084093937</c:v>
                </c:pt>
                <c:pt idx="146">
                  <c:v>0.79630375668084652</c:v>
                </c:pt>
                <c:pt idx="147">
                  <c:v>0.44137764175818517</c:v>
                </c:pt>
                <c:pt idx="148">
                  <c:v>0.38857444942694064</c:v>
                </c:pt>
                <c:pt idx="149">
                  <c:v>0.48724905543512076</c:v>
                </c:pt>
                <c:pt idx="150">
                  <c:v>0.5794021673158789</c:v>
                </c:pt>
                <c:pt idx="151">
                  <c:v>0.55759139337024843</c:v>
                </c:pt>
                <c:pt idx="152">
                  <c:v>0.5392886759287312</c:v>
                </c:pt>
                <c:pt idx="153">
                  <c:v>0.5129009168900498</c:v>
                </c:pt>
                <c:pt idx="154">
                  <c:v>0.54645230952759116</c:v>
                </c:pt>
                <c:pt idx="155">
                  <c:v>0.49669119771639753</c:v>
                </c:pt>
                <c:pt idx="156">
                  <c:v>0.50181698494011384</c:v>
                </c:pt>
                <c:pt idx="157">
                  <c:v>0.47734522734641821</c:v>
                </c:pt>
                <c:pt idx="158">
                  <c:v>0.57548786545273334</c:v>
                </c:pt>
                <c:pt idx="159">
                  <c:v>0.42478114800266137</c:v>
                </c:pt>
                <c:pt idx="160">
                  <c:v>0.41847523935798614</c:v>
                </c:pt>
                <c:pt idx="161">
                  <c:v>0.40492147313638949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106168"/>
        <c:axId val="381106560"/>
      </c:scatterChart>
      <c:valAx>
        <c:axId val="381106168"/>
        <c:scaling>
          <c:orientation val="minMax"/>
          <c:max val="2015"/>
          <c:min val="1995"/>
        </c:scaling>
        <c:delete val="0"/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381106560"/>
        <c:crosses val="autoZero"/>
        <c:crossBetween val="midCat"/>
      </c:valAx>
      <c:valAx>
        <c:axId val="381106560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>
                  <a:defRPr sz="1800"/>
                </a:pPr>
                <a:r>
                  <a:rPr lang="en-US" sz="1800"/>
                  <a:t>f</a:t>
                </a:r>
              </a:p>
            </c:rich>
          </c:tx>
          <c:layout>
            <c:manualLayout>
              <c:xMode val="edge"/>
              <c:yMode val="edge"/>
              <c:x val="2.1254593175853018E-2"/>
              <c:y val="0.3952042782401946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381106168"/>
        <c:crosses val="autoZero"/>
        <c:crossBetween val="midCat"/>
      </c:valAx>
      <c:spPr>
        <a:gradFill flip="none" rotWithShape="1">
          <a:gsLst>
            <a:gs pos="0">
              <a:srgbClr val="FFF200"/>
            </a:gs>
            <a:gs pos="39000">
              <a:srgbClr val="FF7A00"/>
            </a:gs>
            <a:gs pos="70000">
              <a:srgbClr val="FF0300"/>
            </a:gs>
            <a:gs pos="100000">
              <a:srgbClr val="4D0808"/>
            </a:gs>
          </a:gsLst>
          <a:lin ang="16200000" scaled="0"/>
          <a:tileRect/>
        </a:gradFill>
        <a:ln w="25400">
          <a:noFill/>
        </a:ln>
      </c:spPr>
    </c:plotArea>
    <c:legend>
      <c:legendPos val="r"/>
      <c:layout>
        <c:manualLayout>
          <c:xMode val="edge"/>
          <c:yMode val="edge"/>
          <c:x val="0.36500218722659666"/>
          <c:y val="0.61065364252182086"/>
          <c:w val="0.55987401574803153"/>
          <c:h val="0.16685502547475684"/>
        </c:manualLayout>
      </c:layout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70220673163471E-2"/>
          <c:y val="3.9874372058246302E-2"/>
          <c:w val="0.87777496620443063"/>
          <c:h val="0.78036659016174625"/>
        </c:manualLayout>
      </c:layout>
      <c:scatterChart>
        <c:scatterStyle val="lineMarker"/>
        <c:varyColors val="0"/>
        <c:ser>
          <c:idx val="0"/>
          <c:order val="0"/>
          <c:tx>
            <c:strRef>
              <c:f>'main (4)'!$B$9</c:f>
              <c:strCache>
                <c:ptCount val="1"/>
                <c:pt idx="0">
                  <c:v>Global (HadCRUT4)</c:v>
                </c:pt>
              </c:strCache>
            </c:strRef>
          </c:tx>
          <c:spPr>
            <a:ln w="2857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'main (4)'!$A$10:$A$171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'main (4)'!$B$10:$B$171</c:f>
              <c:numCache>
                <c:formatCode>General</c:formatCode>
                <c:ptCount val="162"/>
                <c:pt idx="0">
                  <c:v>-0.219</c:v>
                </c:pt>
                <c:pt idx="1">
                  <c:v>-0.223</c:v>
                </c:pt>
                <c:pt idx="2">
                  <c:v>-0.26800000000000002</c:v>
                </c:pt>
                <c:pt idx="3">
                  <c:v>-0.24299999999999999</c:v>
                </c:pt>
                <c:pt idx="4">
                  <c:v>-0.26400000000000001</c:v>
                </c:pt>
                <c:pt idx="5">
                  <c:v>-0.35599999999999998</c:v>
                </c:pt>
                <c:pt idx="6">
                  <c:v>-0.45400000000000001</c:v>
                </c:pt>
                <c:pt idx="7">
                  <c:v>-0.46100000000000002</c:v>
                </c:pt>
                <c:pt idx="8">
                  <c:v>-0.28199999999999997</c:v>
                </c:pt>
                <c:pt idx="9">
                  <c:v>-0.33800000000000002</c:v>
                </c:pt>
                <c:pt idx="10">
                  <c:v>-0.39100000000000001</c:v>
                </c:pt>
                <c:pt idx="11">
                  <c:v>-0.503</c:v>
                </c:pt>
                <c:pt idx="12">
                  <c:v>-0.27500000000000002</c:v>
                </c:pt>
                <c:pt idx="13">
                  <c:v>-0.47799999999999998</c:v>
                </c:pt>
                <c:pt idx="14">
                  <c:v>-0.27</c:v>
                </c:pt>
                <c:pt idx="15">
                  <c:v>-0.24099999999999999</c:v>
                </c:pt>
                <c:pt idx="16">
                  <c:v>-0.308</c:v>
                </c:pt>
                <c:pt idx="17">
                  <c:v>-0.23</c:v>
                </c:pt>
                <c:pt idx="18">
                  <c:v>-0.25900000000000001</c:v>
                </c:pt>
                <c:pt idx="19">
                  <c:v>-0.27100000000000002</c:v>
                </c:pt>
                <c:pt idx="20">
                  <c:v>-0.32600000000000001</c:v>
                </c:pt>
                <c:pt idx="21">
                  <c:v>-0.22900000000000001</c:v>
                </c:pt>
                <c:pt idx="22">
                  <c:v>-0.30599999999999999</c:v>
                </c:pt>
                <c:pt idx="23">
                  <c:v>-0.373</c:v>
                </c:pt>
                <c:pt idx="24">
                  <c:v>-0.40799999999999997</c:v>
                </c:pt>
                <c:pt idx="25">
                  <c:v>-0.38400000000000001</c:v>
                </c:pt>
                <c:pt idx="26">
                  <c:v>-7.2999999999999995E-2</c:v>
                </c:pt>
                <c:pt idx="27">
                  <c:v>3.2000000000000001E-2</c:v>
                </c:pt>
                <c:pt idx="28">
                  <c:v>-0.23400000000000001</c:v>
                </c:pt>
                <c:pt idx="29">
                  <c:v>-0.23</c:v>
                </c:pt>
                <c:pt idx="30">
                  <c:v>-0.20699999999999999</c:v>
                </c:pt>
                <c:pt idx="31">
                  <c:v>-0.214</c:v>
                </c:pt>
                <c:pt idx="32">
                  <c:v>-0.29199999999999998</c:v>
                </c:pt>
                <c:pt idx="33">
                  <c:v>-0.40300000000000002</c:v>
                </c:pt>
                <c:pt idx="34">
                  <c:v>-0.38500000000000001</c:v>
                </c:pt>
                <c:pt idx="35">
                  <c:v>-0.36599999999999999</c:v>
                </c:pt>
                <c:pt idx="36">
                  <c:v>-0.41799999999999998</c:v>
                </c:pt>
                <c:pt idx="37">
                  <c:v>-0.309</c:v>
                </c:pt>
                <c:pt idx="38">
                  <c:v>-0.17299999999999999</c:v>
                </c:pt>
                <c:pt idx="39">
                  <c:v>-0.41899999999999998</c:v>
                </c:pt>
                <c:pt idx="40">
                  <c:v>-0.33900000000000002</c:v>
                </c:pt>
                <c:pt idx="41">
                  <c:v>-0.45600000000000002</c:v>
                </c:pt>
                <c:pt idx="42">
                  <c:v>-0.47499999999999998</c:v>
                </c:pt>
                <c:pt idx="43">
                  <c:v>-0.40799999999999997</c:v>
                </c:pt>
                <c:pt idx="44">
                  <c:v>-0.39300000000000002</c:v>
                </c:pt>
                <c:pt idx="45">
                  <c:v>-0.191</c:v>
                </c:pt>
                <c:pt idx="46">
                  <c:v>-0.21</c:v>
                </c:pt>
                <c:pt idx="47">
                  <c:v>-0.40799999999999997</c:v>
                </c:pt>
                <c:pt idx="48">
                  <c:v>-0.28799999999999998</c:v>
                </c:pt>
                <c:pt idx="49">
                  <c:v>-0.19800000000000001</c:v>
                </c:pt>
                <c:pt idx="50">
                  <c:v>-0.26700000000000002</c:v>
                </c:pt>
                <c:pt idx="51">
                  <c:v>-0.41199999999999998</c:v>
                </c:pt>
                <c:pt idx="52">
                  <c:v>-0.48099999999999998</c:v>
                </c:pt>
                <c:pt idx="53">
                  <c:v>-0.52800000000000002</c:v>
                </c:pt>
                <c:pt idx="54">
                  <c:v>-0.38200000000000001</c:v>
                </c:pt>
                <c:pt idx="55">
                  <c:v>-0.29399999999999998</c:v>
                </c:pt>
                <c:pt idx="56">
                  <c:v>-0.47599999999999998</c:v>
                </c:pt>
                <c:pt idx="57">
                  <c:v>-0.52300000000000002</c:v>
                </c:pt>
                <c:pt idx="58">
                  <c:v>-0.53600000000000003</c:v>
                </c:pt>
                <c:pt idx="59">
                  <c:v>-0.496</c:v>
                </c:pt>
                <c:pt idx="60">
                  <c:v>-0.55400000000000005</c:v>
                </c:pt>
                <c:pt idx="61">
                  <c:v>-0.44900000000000001</c:v>
                </c:pt>
                <c:pt idx="62">
                  <c:v>-0.439</c:v>
                </c:pt>
                <c:pt idx="63">
                  <c:v>-0.25800000000000001</c:v>
                </c:pt>
                <c:pt idx="64">
                  <c:v>-0.16400000000000001</c:v>
                </c:pt>
                <c:pt idx="65">
                  <c:v>-0.39800000000000002</c:v>
                </c:pt>
                <c:pt idx="66">
                  <c:v>-0.48099999999999998</c:v>
                </c:pt>
                <c:pt idx="67">
                  <c:v>-0.34300000000000003</c:v>
                </c:pt>
                <c:pt idx="68">
                  <c:v>-0.28399999999999997</c:v>
                </c:pt>
                <c:pt idx="69">
                  <c:v>-0.252</c:v>
                </c:pt>
                <c:pt idx="70">
                  <c:v>-0.19</c:v>
                </c:pt>
                <c:pt idx="71">
                  <c:v>-0.309</c:v>
                </c:pt>
                <c:pt idx="72">
                  <c:v>-0.27500000000000002</c:v>
                </c:pt>
                <c:pt idx="73">
                  <c:v>-0.3</c:v>
                </c:pt>
                <c:pt idx="74">
                  <c:v>-0.219</c:v>
                </c:pt>
                <c:pt idx="75">
                  <c:v>-0.112</c:v>
                </c:pt>
                <c:pt idx="76">
                  <c:v>-0.21299999999999999</c:v>
                </c:pt>
                <c:pt idx="77">
                  <c:v>-0.21099999999999999</c:v>
                </c:pt>
                <c:pt idx="78">
                  <c:v>-0.34899999999999998</c:v>
                </c:pt>
                <c:pt idx="79">
                  <c:v>-0.13800000000000001</c:v>
                </c:pt>
                <c:pt idx="80">
                  <c:v>-8.6999999999999994E-2</c:v>
                </c:pt>
                <c:pt idx="81">
                  <c:v>-0.13500000000000001</c:v>
                </c:pt>
                <c:pt idx="82">
                  <c:v>-0.27300000000000002</c:v>
                </c:pt>
                <c:pt idx="83">
                  <c:v>-0.126</c:v>
                </c:pt>
                <c:pt idx="84">
                  <c:v>-0.17599999999999999</c:v>
                </c:pt>
                <c:pt idx="85">
                  <c:v>-0.14299999999999999</c:v>
                </c:pt>
                <c:pt idx="86">
                  <c:v>-2.5000000000000001E-2</c:v>
                </c:pt>
                <c:pt idx="87">
                  <c:v>-5.0000000000000001E-3</c:v>
                </c:pt>
                <c:pt idx="88">
                  <c:v>-5.5E-2</c:v>
                </c:pt>
                <c:pt idx="89">
                  <c:v>1.7999999999999999E-2</c:v>
                </c:pt>
                <c:pt idx="90">
                  <c:v>1.7999999999999999E-2</c:v>
                </c:pt>
                <c:pt idx="91">
                  <c:v>-2.3E-2</c:v>
                </c:pt>
                <c:pt idx="92">
                  <c:v>-3.0000000000000001E-3</c:v>
                </c:pt>
                <c:pt idx="93">
                  <c:v>0.15</c:v>
                </c:pt>
                <c:pt idx="94">
                  <c:v>3.3000000000000002E-2</c:v>
                </c:pt>
                <c:pt idx="95">
                  <c:v>-6.8000000000000005E-2</c:v>
                </c:pt>
                <c:pt idx="96">
                  <c:v>-3.7999999999999999E-2</c:v>
                </c:pt>
                <c:pt idx="97">
                  <c:v>-3.5000000000000003E-2</c:v>
                </c:pt>
                <c:pt idx="98">
                  <c:v>-7.5999999999999998E-2</c:v>
                </c:pt>
                <c:pt idx="99">
                  <c:v>-0.17399999999999999</c:v>
                </c:pt>
                <c:pt idx="100">
                  <c:v>-4.8000000000000001E-2</c:v>
                </c:pt>
                <c:pt idx="101">
                  <c:v>3.3000000000000002E-2</c:v>
                </c:pt>
                <c:pt idx="102">
                  <c:v>0.10100000000000001</c:v>
                </c:pt>
                <c:pt idx="103">
                  <c:v>-0.128</c:v>
                </c:pt>
                <c:pt idx="104">
                  <c:v>-0.185</c:v>
                </c:pt>
                <c:pt idx="105">
                  <c:v>-0.26200000000000001</c:v>
                </c:pt>
                <c:pt idx="106">
                  <c:v>-1E-3</c:v>
                </c:pt>
                <c:pt idx="107">
                  <c:v>4.9000000000000002E-2</c:v>
                </c:pt>
                <c:pt idx="108">
                  <c:v>1.7000000000000001E-2</c:v>
                </c:pt>
                <c:pt idx="109">
                  <c:v>-0.05</c:v>
                </c:pt>
                <c:pt idx="110">
                  <c:v>3.9E-2</c:v>
                </c:pt>
                <c:pt idx="111">
                  <c:v>1.7999999999999999E-2</c:v>
                </c:pt>
                <c:pt idx="112">
                  <c:v>0.05</c:v>
                </c:pt>
                <c:pt idx="113">
                  <c:v>-0.224</c:v>
                </c:pt>
                <c:pt idx="114">
                  <c:v>-0.14099999999999999</c:v>
                </c:pt>
                <c:pt idx="115">
                  <c:v>-7.2999999999999995E-2</c:v>
                </c:pt>
                <c:pt idx="116">
                  <c:v>-7.5999999999999998E-2</c:v>
                </c:pt>
                <c:pt idx="117">
                  <c:v>-0.113</c:v>
                </c:pt>
                <c:pt idx="118">
                  <c:v>2.9000000000000001E-2</c:v>
                </c:pt>
                <c:pt idx="119">
                  <c:v>-2.9000000000000001E-2</c:v>
                </c:pt>
                <c:pt idx="120">
                  <c:v>-0.184</c:v>
                </c:pt>
                <c:pt idx="121">
                  <c:v>-6.9000000000000006E-2</c:v>
                </c:pt>
                <c:pt idx="122">
                  <c:v>6.3E-2</c:v>
                </c:pt>
                <c:pt idx="123">
                  <c:v>-0.21099999999999999</c:v>
                </c:pt>
                <c:pt idx="124">
                  <c:v>-0.14499999999999999</c:v>
                </c:pt>
                <c:pt idx="125">
                  <c:v>-0.23799999999999999</c:v>
                </c:pt>
                <c:pt idx="126">
                  <c:v>4.5999999999999999E-2</c:v>
                </c:pt>
                <c:pt idx="127">
                  <c:v>-6.2E-2</c:v>
                </c:pt>
                <c:pt idx="128">
                  <c:v>5.8000000000000003E-2</c:v>
                </c:pt>
                <c:pt idx="129">
                  <c:v>9.2999999999999999E-2</c:v>
                </c:pt>
                <c:pt idx="130">
                  <c:v>0.14199999999999999</c:v>
                </c:pt>
                <c:pt idx="131">
                  <c:v>1.2999999999999999E-2</c:v>
                </c:pt>
                <c:pt idx="132">
                  <c:v>0.191</c:v>
                </c:pt>
                <c:pt idx="133">
                  <c:v>-1.4E-2</c:v>
                </c:pt>
                <c:pt idx="134">
                  <c:v>-2.9000000000000001E-2</c:v>
                </c:pt>
                <c:pt idx="135">
                  <c:v>4.7E-2</c:v>
                </c:pt>
                <c:pt idx="136">
                  <c:v>0.186</c:v>
                </c:pt>
                <c:pt idx="137">
                  <c:v>0.20100000000000001</c:v>
                </c:pt>
                <c:pt idx="138">
                  <c:v>0.121</c:v>
                </c:pt>
                <c:pt idx="139">
                  <c:v>0.29099999999999998</c:v>
                </c:pt>
                <c:pt idx="140">
                  <c:v>0.253</c:v>
                </c:pt>
                <c:pt idx="141">
                  <c:v>0.10199999999999999</c:v>
                </c:pt>
                <c:pt idx="142">
                  <c:v>0.14299999999999999</c:v>
                </c:pt>
                <c:pt idx="143">
                  <c:v>0.20300000000000001</c:v>
                </c:pt>
                <c:pt idx="144">
                  <c:v>0.32400000000000001</c:v>
                </c:pt>
                <c:pt idx="145">
                  <c:v>0.17899999999999999</c:v>
                </c:pt>
                <c:pt idx="146">
                  <c:v>0.39200000000000002</c:v>
                </c:pt>
                <c:pt idx="147">
                  <c:v>0.53100000000000003</c:v>
                </c:pt>
                <c:pt idx="148">
                  <c:v>0.30099999999999999</c:v>
                </c:pt>
                <c:pt idx="149">
                  <c:v>0.29399999999999998</c:v>
                </c:pt>
                <c:pt idx="150">
                  <c:v>0.437</c:v>
                </c:pt>
                <c:pt idx="151">
                  <c:v>0.49199999999999999</c:v>
                </c:pt>
                <c:pt idx="152">
                  <c:v>0.503</c:v>
                </c:pt>
                <c:pt idx="153">
                  <c:v>0.44500000000000001</c:v>
                </c:pt>
                <c:pt idx="154">
                  <c:v>0.53900000000000003</c:v>
                </c:pt>
                <c:pt idx="155">
                  <c:v>0.495</c:v>
                </c:pt>
                <c:pt idx="156">
                  <c:v>0.48299999999999998</c:v>
                </c:pt>
                <c:pt idx="157">
                  <c:v>0.38800000000000001</c:v>
                </c:pt>
                <c:pt idx="158">
                  <c:v>0.49399999999999999</c:v>
                </c:pt>
                <c:pt idx="159">
                  <c:v>0.54700000000000004</c:v>
                </c:pt>
                <c:pt idx="160">
                  <c:v>0.40600000000000003</c:v>
                </c:pt>
                <c:pt idx="161">
                  <c:v>0.44800000000000001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'main (4)'!$C$9</c:f>
              <c:strCache>
                <c:ptCount val="1"/>
                <c:pt idx="0">
                  <c:v>Fractionally Composed (CRUTEM4 + HadSST3)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'main (4)'!$A$10:$A$171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'main (4)'!$C$10:$C$171</c:f>
              <c:numCache>
                <c:formatCode>General</c:formatCode>
                <c:ptCount val="162"/>
                <c:pt idx="0">
                  <c:v>-7.9880907821090141E-2</c:v>
                </c:pt>
                <c:pt idx="1">
                  <c:v>-6.5575614848955119E-2</c:v>
                </c:pt>
                <c:pt idx="2">
                  <c:v>-0.2370472588982569</c:v>
                </c:pt>
                <c:pt idx="3">
                  <c:v>-0.13015311956444528</c:v>
                </c:pt>
                <c:pt idx="4">
                  <c:v>-0.21271361058716773</c:v>
                </c:pt>
                <c:pt idx="5">
                  <c:v>-0.36671455552043525</c:v>
                </c:pt>
                <c:pt idx="6">
                  <c:v>-0.43127693763318081</c:v>
                </c:pt>
                <c:pt idx="7">
                  <c:v>-0.46073251414647048</c:v>
                </c:pt>
                <c:pt idx="8">
                  <c:v>-0.29076465044198285</c:v>
                </c:pt>
                <c:pt idx="9">
                  <c:v>-0.35108128506030428</c:v>
                </c:pt>
                <c:pt idx="10">
                  <c:v>-0.40800945177965142</c:v>
                </c:pt>
                <c:pt idx="11">
                  <c:v>-0.47661153087753749</c:v>
                </c:pt>
                <c:pt idx="12">
                  <c:v>-0.30759546334152543</c:v>
                </c:pt>
                <c:pt idx="13">
                  <c:v>-0.48135822269348516</c:v>
                </c:pt>
                <c:pt idx="14">
                  <c:v>-0.2732306236681914</c:v>
                </c:pt>
                <c:pt idx="15">
                  <c:v>-0.25179867660403021</c:v>
                </c:pt>
                <c:pt idx="16">
                  <c:v>-0.30534877091383378</c:v>
                </c:pt>
                <c:pt idx="17">
                  <c:v>-0.25278449893455313</c:v>
                </c:pt>
                <c:pt idx="18">
                  <c:v>-0.27059168238496722</c:v>
                </c:pt>
                <c:pt idx="19">
                  <c:v>-0.29744234377708012</c:v>
                </c:pt>
                <c:pt idx="20">
                  <c:v>-0.33267296744527153</c:v>
                </c:pt>
                <c:pt idx="21">
                  <c:v>-0.24747448007259246</c:v>
                </c:pt>
                <c:pt idx="22">
                  <c:v>-0.30533364831108911</c:v>
                </c:pt>
                <c:pt idx="23">
                  <c:v>-0.41632892242126351</c:v>
                </c:pt>
                <c:pt idx="24">
                  <c:v>-0.42785255125864791</c:v>
                </c:pt>
                <c:pt idx="25">
                  <c:v>-0.38979395071420453</c:v>
                </c:pt>
                <c:pt idx="26">
                  <c:v>-9.428733434609976E-2</c:v>
                </c:pt>
                <c:pt idx="27">
                  <c:v>1.0699432917690679E-2</c:v>
                </c:pt>
                <c:pt idx="28">
                  <c:v>-0.29181852509660056</c:v>
                </c:pt>
                <c:pt idx="29">
                  <c:v>-0.23024952722749423</c:v>
                </c:pt>
                <c:pt idx="30">
                  <c:v>-0.23735349680365947</c:v>
                </c:pt>
                <c:pt idx="31">
                  <c:v>-0.23651701308102369</c:v>
                </c:pt>
                <c:pt idx="32">
                  <c:v>-0.33695463096827805</c:v>
                </c:pt>
                <c:pt idx="33">
                  <c:v>-0.43866824155544581</c:v>
                </c:pt>
                <c:pt idx="34">
                  <c:v>-0.42223156860145894</c:v>
                </c:pt>
                <c:pt idx="35">
                  <c:v>-0.39285066139211289</c:v>
                </c:pt>
                <c:pt idx="36">
                  <c:v>-0.44854536841997783</c:v>
                </c:pt>
                <c:pt idx="37">
                  <c:v>-0.34655103924307107</c:v>
                </c:pt>
                <c:pt idx="38">
                  <c:v>-0.1875170130810237</c:v>
                </c:pt>
                <c:pt idx="39">
                  <c:v>-0.42958695649514156</c:v>
                </c:pt>
                <c:pt idx="40">
                  <c:v>-0.35419848737267912</c:v>
                </c:pt>
                <c:pt idx="41">
                  <c:v>-0.47014650258459645</c:v>
                </c:pt>
                <c:pt idx="42">
                  <c:v>-0.48377599208816929</c:v>
                </c:pt>
                <c:pt idx="43">
                  <c:v>-0.43289224946727656</c:v>
                </c:pt>
                <c:pt idx="44">
                  <c:v>-0.40202457438239597</c:v>
                </c:pt>
                <c:pt idx="45">
                  <c:v>-0.20890737207002116</c:v>
                </c:pt>
                <c:pt idx="46">
                  <c:v>-0.21666729662217832</c:v>
                </c:pt>
                <c:pt idx="47">
                  <c:v>-0.3984177693946841</c:v>
                </c:pt>
                <c:pt idx="48">
                  <c:v>-0.29317391299028311</c:v>
                </c:pt>
                <c:pt idx="49">
                  <c:v>-0.19856805293583879</c:v>
                </c:pt>
                <c:pt idx="50">
                  <c:v>-0.27975992455215715</c:v>
                </c:pt>
                <c:pt idx="51">
                  <c:v>-0.41415028354115463</c:v>
                </c:pt>
                <c:pt idx="52">
                  <c:v>-0.49379773167076269</c:v>
                </c:pt>
                <c:pt idx="53">
                  <c:v>-0.54331001886196062</c:v>
                </c:pt>
                <c:pt idx="54">
                  <c:v>-0.40516446121063171</c:v>
                </c:pt>
                <c:pt idx="55">
                  <c:v>-0.30691020809331182</c:v>
                </c:pt>
                <c:pt idx="56">
                  <c:v>-0.49671455552043531</c:v>
                </c:pt>
                <c:pt idx="57">
                  <c:v>-0.52639886583538131</c:v>
                </c:pt>
                <c:pt idx="58">
                  <c:v>-0.53608884697342063</c:v>
                </c:pt>
                <c:pt idx="59">
                  <c:v>-0.50413516093840993</c:v>
                </c:pt>
                <c:pt idx="60">
                  <c:v>-0.54120132339596971</c:v>
                </c:pt>
                <c:pt idx="61">
                  <c:v>-0.45145557651328966</c:v>
                </c:pt>
                <c:pt idx="62">
                  <c:v>-0.43835160693712438</c:v>
                </c:pt>
                <c:pt idx="63">
                  <c:v>-0.25413988682823574</c:v>
                </c:pt>
                <c:pt idx="64">
                  <c:v>-0.1698071834504141</c:v>
                </c:pt>
                <c:pt idx="65">
                  <c:v>-0.39784971645884531</c:v>
                </c:pt>
                <c:pt idx="66">
                  <c:v>-0.50434877091383379</c:v>
                </c:pt>
                <c:pt idx="67">
                  <c:v>-0.37649810952172091</c:v>
                </c:pt>
                <c:pt idx="68">
                  <c:v>-0.32384971645884536</c:v>
                </c:pt>
                <c:pt idx="69">
                  <c:v>-0.27371833647699345</c:v>
                </c:pt>
                <c:pt idx="70">
                  <c:v>-0.19733742926764733</c:v>
                </c:pt>
                <c:pt idx="71">
                  <c:v>-0.31225330818405239</c:v>
                </c:pt>
                <c:pt idx="72">
                  <c:v>-0.29282608700971685</c:v>
                </c:pt>
                <c:pt idx="73">
                  <c:v>-0.30061058594426998</c:v>
                </c:pt>
                <c:pt idx="74">
                  <c:v>-0.2429905482203486</c:v>
                </c:pt>
                <c:pt idx="75">
                  <c:v>-0.11224858229422668</c:v>
                </c:pt>
                <c:pt idx="76">
                  <c:v>-0.20660586005444431</c:v>
                </c:pt>
                <c:pt idx="77">
                  <c:v>-0.20567107757873651</c:v>
                </c:pt>
                <c:pt idx="78">
                  <c:v>-0.34998204137396471</c:v>
                </c:pt>
                <c:pt idx="79">
                  <c:v>-0.13141304350485844</c:v>
                </c:pt>
                <c:pt idx="80">
                  <c:v>-9.5427221174335511E-2</c:v>
                </c:pt>
                <c:pt idx="81">
                  <c:v>-0.14022495284509823</c:v>
                </c:pt>
                <c:pt idx="82">
                  <c:v>-0.26577977304472744</c:v>
                </c:pt>
                <c:pt idx="83">
                  <c:v>-0.13744990569019644</c:v>
                </c:pt>
                <c:pt idx="84">
                  <c:v>-0.17984499056901965</c:v>
                </c:pt>
                <c:pt idx="85">
                  <c:v>-0.13983081289954255</c:v>
                </c:pt>
                <c:pt idx="86">
                  <c:v>-1.7305292972135015E-2</c:v>
                </c:pt>
                <c:pt idx="87">
                  <c:v>-1.3543478553442789E-2</c:v>
                </c:pt>
                <c:pt idx="88">
                  <c:v>-5.7807183450414093E-2</c:v>
                </c:pt>
                <c:pt idx="89">
                  <c:v>-8.9697535710227261E-4</c:v>
                </c:pt>
                <c:pt idx="90">
                  <c:v>3.0637996349956662E-2</c:v>
                </c:pt>
                <c:pt idx="91">
                  <c:v>-3.1833647699345147E-3</c:v>
                </c:pt>
                <c:pt idx="92">
                  <c:v>1.2958411924836287E-3</c:v>
                </c:pt>
                <c:pt idx="93">
                  <c:v>0.13840831761503275</c:v>
                </c:pt>
                <c:pt idx="94">
                  <c:v>6.1257089140610566E-2</c:v>
                </c:pt>
                <c:pt idx="95">
                  <c:v>-3.4183364769934513E-2</c:v>
                </c:pt>
                <c:pt idx="96">
                  <c:v>-4.0534971707058935E-2</c:v>
                </c:pt>
                <c:pt idx="97">
                  <c:v>-3.2248582294226696E-2</c:v>
                </c:pt>
                <c:pt idx="98">
                  <c:v>-7.1042533008431247E-2</c:v>
                </c:pt>
                <c:pt idx="99">
                  <c:v>-0.1484423437770801</c:v>
                </c:pt>
                <c:pt idx="100">
                  <c:v>-2.578449893455316E-2</c:v>
                </c:pt>
                <c:pt idx="101">
                  <c:v>4.5473535139324908E-2</c:v>
                </c:pt>
                <c:pt idx="102">
                  <c:v>0.10202835533895416</c:v>
                </c:pt>
                <c:pt idx="103">
                  <c:v>-0.11303780711860555</c:v>
                </c:pt>
                <c:pt idx="104">
                  <c:v>-0.16973251414647053</c:v>
                </c:pt>
                <c:pt idx="105">
                  <c:v>-0.23860680498771186</c:v>
                </c:pt>
                <c:pt idx="106">
                  <c:v>1.6919659872963209E-2</c:v>
                </c:pt>
                <c:pt idx="107">
                  <c:v>7.3835538789368257E-2</c:v>
                </c:pt>
                <c:pt idx="108">
                  <c:v>3.4699432917690676E-2</c:v>
                </c:pt>
                <c:pt idx="109">
                  <c:v>-2.3192816549585903E-2</c:v>
                </c:pt>
                <c:pt idx="110">
                  <c:v>5.0136105871677578E-2</c:v>
                </c:pt>
                <c:pt idx="111">
                  <c:v>1.5727788256644837E-2</c:v>
                </c:pt>
                <c:pt idx="112">
                  <c:v>4.8976370550871527E-2</c:v>
                </c:pt>
                <c:pt idx="113">
                  <c:v>-0.19224480133766852</c:v>
                </c:pt>
                <c:pt idx="114">
                  <c:v>-0.14479867660403023</c:v>
                </c:pt>
                <c:pt idx="115">
                  <c:v>-4.2812854273507311E-2</c:v>
                </c:pt>
                <c:pt idx="116">
                  <c:v>-6.7169187100457439E-2</c:v>
                </c:pt>
                <c:pt idx="117">
                  <c:v>-9.9681474291655428E-2</c:v>
                </c:pt>
                <c:pt idx="118">
                  <c:v>4.469376209459746E-2</c:v>
                </c:pt>
                <c:pt idx="119">
                  <c:v>-2.4892249467276577E-2</c:v>
                </c:pt>
                <c:pt idx="120">
                  <c:v>-0.19343667295398689</c:v>
                </c:pt>
                <c:pt idx="121">
                  <c:v>-6.5165406143899263E-2</c:v>
                </c:pt>
                <c:pt idx="122">
                  <c:v>5.0512287191197998E-2</c:v>
                </c:pt>
                <c:pt idx="123">
                  <c:v>-0.19608034012703679</c:v>
                </c:pt>
                <c:pt idx="124">
                  <c:v>-0.15191020809331182</c:v>
                </c:pt>
                <c:pt idx="125">
                  <c:v>-0.22983175783281007</c:v>
                </c:pt>
                <c:pt idx="126">
                  <c:v>2.7911153026579354E-2</c:v>
                </c:pt>
                <c:pt idx="127">
                  <c:v>-5.8849716458845333E-2</c:v>
                </c:pt>
                <c:pt idx="128">
                  <c:v>5.4981096440697229E-2</c:v>
                </c:pt>
                <c:pt idx="129">
                  <c:v>7.7197542439411598E-2</c:v>
                </c:pt>
                <c:pt idx="130">
                  <c:v>0.11005292972135015</c:v>
                </c:pt>
                <c:pt idx="131">
                  <c:v>8.7041588075163698E-3</c:v>
                </c:pt>
                <c:pt idx="132">
                  <c:v>0.17971455552043528</c:v>
                </c:pt>
                <c:pt idx="133">
                  <c:v>-2.0023629449128465E-2</c:v>
                </c:pt>
                <c:pt idx="134">
                  <c:v>-3.799527411017431E-2</c:v>
                </c:pt>
                <c:pt idx="135">
                  <c:v>2.5089791906688169E-2</c:v>
                </c:pt>
                <c:pt idx="136">
                  <c:v>0.17564366717304986</c:v>
                </c:pt>
                <c:pt idx="137">
                  <c:v>0.18446597322620856</c:v>
                </c:pt>
                <c:pt idx="138">
                  <c:v>0.11940453665847459</c:v>
                </c:pt>
                <c:pt idx="139">
                  <c:v>0.28219848737267911</c:v>
                </c:pt>
                <c:pt idx="140">
                  <c:v>0.23786483906158992</c:v>
                </c:pt>
                <c:pt idx="141">
                  <c:v>9.0859168238496713E-2</c:v>
                </c:pt>
                <c:pt idx="142">
                  <c:v>0.12433364831108916</c:v>
                </c:pt>
                <c:pt idx="143">
                  <c:v>0.20241871432795167</c:v>
                </c:pt>
                <c:pt idx="144">
                  <c:v>0.30370132278422568</c:v>
                </c:pt>
                <c:pt idx="145">
                  <c:v>0.16491587891640505</c:v>
                </c:pt>
                <c:pt idx="146">
                  <c:v>0.37527788256644834</c:v>
                </c:pt>
                <c:pt idx="147">
                  <c:v>0.53599716397670927</c:v>
                </c:pt>
                <c:pt idx="148">
                  <c:v>0.30124574627093603</c:v>
                </c:pt>
                <c:pt idx="149">
                  <c:v>0.29275236263904081</c:v>
                </c:pt>
                <c:pt idx="150">
                  <c:v>0.42980907331694918</c:v>
                </c:pt>
                <c:pt idx="151">
                  <c:v>0.48541965926121916</c:v>
                </c:pt>
                <c:pt idx="152">
                  <c:v>0.50096880863775517</c:v>
                </c:pt>
                <c:pt idx="153">
                  <c:v>0.44564461210631739</c:v>
                </c:pt>
                <c:pt idx="154">
                  <c:v>0.53018998052629529</c:v>
                </c:pt>
                <c:pt idx="155">
                  <c:v>0.49244328871034765</c:v>
                </c:pt>
                <c:pt idx="156">
                  <c:v>0.47155671006616429</c:v>
                </c:pt>
                <c:pt idx="157">
                  <c:v>0.38386578399485749</c:v>
                </c:pt>
                <c:pt idx="158">
                  <c:v>0.4912268427116333</c:v>
                </c:pt>
                <c:pt idx="159">
                  <c:v>0.54776275935195973</c:v>
                </c:pt>
                <c:pt idx="160">
                  <c:v>0.40598771219705793</c:v>
                </c:pt>
                <c:pt idx="161">
                  <c:v>0.46198771219705792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107344"/>
        <c:axId val="381107736"/>
      </c:scatterChart>
      <c:valAx>
        <c:axId val="381107344"/>
        <c:scaling>
          <c:orientation val="minMax"/>
          <c:max val="2015"/>
          <c:min val="1850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Year</a:t>
                </a:r>
              </a:p>
            </c:rich>
          </c:tx>
          <c:layout>
            <c:manualLayout>
              <c:xMode val="edge"/>
              <c:yMode val="edge"/>
              <c:x val="0.53147533126788948"/>
              <c:y val="0.90757086076153715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381107736"/>
        <c:crosses val="autoZero"/>
        <c:crossBetween val="midCat"/>
      </c:valAx>
      <c:valAx>
        <c:axId val="381107736"/>
        <c:scaling>
          <c:orientation val="minMax"/>
          <c:max val="0.60000000000000009"/>
          <c:min val="-0.60000000000000009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sz="1600"/>
                  <a:t>Temperature Anomaly</a:t>
                </a:r>
              </a:p>
            </c:rich>
          </c:tx>
          <c:layout>
            <c:manualLayout>
              <c:xMode val="edge"/>
              <c:yMode val="edge"/>
              <c:x val="3.3594111096407896E-3"/>
              <c:y val="0.2572650039214808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8110734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9379498568079451"/>
          <c:y val="7.2547000042975041E-2"/>
          <c:w val="0.29279690464504382"/>
          <c:h val="0.24896294553975548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spPr>
    <a:solidFill>
      <a:srgbClr val="99FFCC"/>
    </a:solidFill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47112860892391E-2"/>
          <c:y val="5.1400554097404488E-2"/>
          <c:w val="0.80213910761154861"/>
          <c:h val="0.8971988918051909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'main (4)'!$B$10:$B$171</c:f>
              <c:numCache>
                <c:formatCode>General</c:formatCode>
                <c:ptCount val="162"/>
                <c:pt idx="0">
                  <c:v>-0.219</c:v>
                </c:pt>
                <c:pt idx="1">
                  <c:v>-0.223</c:v>
                </c:pt>
                <c:pt idx="2">
                  <c:v>-0.26800000000000002</c:v>
                </c:pt>
                <c:pt idx="3">
                  <c:v>-0.24299999999999999</c:v>
                </c:pt>
                <c:pt idx="4">
                  <c:v>-0.26400000000000001</c:v>
                </c:pt>
                <c:pt idx="5">
                  <c:v>-0.35599999999999998</c:v>
                </c:pt>
                <c:pt idx="6">
                  <c:v>-0.45400000000000001</c:v>
                </c:pt>
                <c:pt idx="7">
                  <c:v>-0.46100000000000002</c:v>
                </c:pt>
                <c:pt idx="8">
                  <c:v>-0.28199999999999997</c:v>
                </c:pt>
                <c:pt idx="9">
                  <c:v>-0.33800000000000002</c:v>
                </c:pt>
                <c:pt idx="10">
                  <c:v>-0.39100000000000001</c:v>
                </c:pt>
                <c:pt idx="11">
                  <c:v>-0.503</c:v>
                </c:pt>
                <c:pt idx="12">
                  <c:v>-0.27500000000000002</c:v>
                </c:pt>
                <c:pt idx="13">
                  <c:v>-0.47799999999999998</c:v>
                </c:pt>
                <c:pt idx="14">
                  <c:v>-0.27</c:v>
                </c:pt>
                <c:pt idx="15">
                  <c:v>-0.24099999999999999</c:v>
                </c:pt>
                <c:pt idx="16">
                  <c:v>-0.308</c:v>
                </c:pt>
                <c:pt idx="17">
                  <c:v>-0.23</c:v>
                </c:pt>
                <c:pt idx="18">
                  <c:v>-0.25900000000000001</c:v>
                </c:pt>
                <c:pt idx="19">
                  <c:v>-0.27100000000000002</c:v>
                </c:pt>
                <c:pt idx="20">
                  <c:v>-0.32600000000000001</c:v>
                </c:pt>
                <c:pt idx="21">
                  <c:v>-0.22900000000000001</c:v>
                </c:pt>
                <c:pt idx="22">
                  <c:v>-0.30599999999999999</c:v>
                </c:pt>
                <c:pt idx="23">
                  <c:v>-0.373</c:v>
                </c:pt>
                <c:pt idx="24">
                  <c:v>-0.40799999999999997</c:v>
                </c:pt>
                <c:pt idx="25">
                  <c:v>-0.38400000000000001</c:v>
                </c:pt>
                <c:pt idx="26">
                  <c:v>-7.2999999999999995E-2</c:v>
                </c:pt>
                <c:pt idx="27">
                  <c:v>3.2000000000000001E-2</c:v>
                </c:pt>
                <c:pt idx="28">
                  <c:v>-0.23400000000000001</c:v>
                </c:pt>
                <c:pt idx="29">
                  <c:v>-0.23</c:v>
                </c:pt>
                <c:pt idx="30">
                  <c:v>-0.20699999999999999</c:v>
                </c:pt>
                <c:pt idx="31">
                  <c:v>-0.214</c:v>
                </c:pt>
                <c:pt idx="32">
                  <c:v>-0.29199999999999998</c:v>
                </c:pt>
                <c:pt idx="33">
                  <c:v>-0.40300000000000002</c:v>
                </c:pt>
                <c:pt idx="34">
                  <c:v>-0.38500000000000001</c:v>
                </c:pt>
                <c:pt idx="35">
                  <c:v>-0.36599999999999999</c:v>
                </c:pt>
                <c:pt idx="36">
                  <c:v>-0.41799999999999998</c:v>
                </c:pt>
                <c:pt idx="37">
                  <c:v>-0.309</c:v>
                </c:pt>
                <c:pt idx="38">
                  <c:v>-0.17299999999999999</c:v>
                </c:pt>
                <c:pt idx="39">
                  <c:v>-0.41899999999999998</c:v>
                </c:pt>
                <c:pt idx="40">
                  <c:v>-0.33900000000000002</c:v>
                </c:pt>
                <c:pt idx="41">
                  <c:v>-0.45600000000000002</c:v>
                </c:pt>
                <c:pt idx="42">
                  <c:v>-0.47499999999999998</c:v>
                </c:pt>
                <c:pt idx="43">
                  <c:v>-0.40799999999999997</c:v>
                </c:pt>
                <c:pt idx="44">
                  <c:v>-0.39300000000000002</c:v>
                </c:pt>
                <c:pt idx="45">
                  <c:v>-0.191</c:v>
                </c:pt>
                <c:pt idx="46">
                  <c:v>-0.21</c:v>
                </c:pt>
                <c:pt idx="47">
                  <c:v>-0.40799999999999997</c:v>
                </c:pt>
                <c:pt idx="48">
                  <c:v>-0.28799999999999998</c:v>
                </c:pt>
                <c:pt idx="49">
                  <c:v>-0.19800000000000001</c:v>
                </c:pt>
                <c:pt idx="50">
                  <c:v>-0.26700000000000002</c:v>
                </c:pt>
                <c:pt idx="51">
                  <c:v>-0.41199999999999998</c:v>
                </c:pt>
                <c:pt idx="52">
                  <c:v>-0.48099999999999998</c:v>
                </c:pt>
                <c:pt idx="53">
                  <c:v>-0.52800000000000002</c:v>
                </c:pt>
                <c:pt idx="54">
                  <c:v>-0.38200000000000001</c:v>
                </c:pt>
                <c:pt idx="55">
                  <c:v>-0.29399999999999998</c:v>
                </c:pt>
                <c:pt idx="56">
                  <c:v>-0.47599999999999998</c:v>
                </c:pt>
                <c:pt idx="57">
                  <c:v>-0.52300000000000002</c:v>
                </c:pt>
                <c:pt idx="58">
                  <c:v>-0.53600000000000003</c:v>
                </c:pt>
                <c:pt idx="59">
                  <c:v>-0.496</c:v>
                </c:pt>
                <c:pt idx="60">
                  <c:v>-0.55400000000000005</c:v>
                </c:pt>
                <c:pt idx="61">
                  <c:v>-0.44900000000000001</c:v>
                </c:pt>
                <c:pt idx="62">
                  <c:v>-0.439</c:v>
                </c:pt>
                <c:pt idx="63">
                  <c:v>-0.25800000000000001</c:v>
                </c:pt>
                <c:pt idx="64">
                  <c:v>-0.16400000000000001</c:v>
                </c:pt>
                <c:pt idx="65">
                  <c:v>-0.39800000000000002</c:v>
                </c:pt>
                <c:pt idx="66">
                  <c:v>-0.48099999999999998</c:v>
                </c:pt>
                <c:pt idx="67">
                  <c:v>-0.34300000000000003</c:v>
                </c:pt>
                <c:pt idx="68">
                  <c:v>-0.28399999999999997</c:v>
                </c:pt>
                <c:pt idx="69">
                  <c:v>-0.252</c:v>
                </c:pt>
                <c:pt idx="70">
                  <c:v>-0.19</c:v>
                </c:pt>
                <c:pt idx="71">
                  <c:v>-0.309</c:v>
                </c:pt>
                <c:pt idx="72">
                  <c:v>-0.27500000000000002</c:v>
                </c:pt>
                <c:pt idx="73">
                  <c:v>-0.3</c:v>
                </c:pt>
                <c:pt idx="74">
                  <c:v>-0.219</c:v>
                </c:pt>
                <c:pt idx="75">
                  <c:v>-0.112</c:v>
                </c:pt>
                <c:pt idx="76">
                  <c:v>-0.21299999999999999</c:v>
                </c:pt>
                <c:pt idx="77">
                  <c:v>-0.21099999999999999</c:v>
                </c:pt>
                <c:pt idx="78">
                  <c:v>-0.34899999999999998</c:v>
                </c:pt>
                <c:pt idx="79">
                  <c:v>-0.13800000000000001</c:v>
                </c:pt>
                <c:pt idx="80">
                  <c:v>-8.6999999999999994E-2</c:v>
                </c:pt>
                <c:pt idx="81">
                  <c:v>-0.13500000000000001</c:v>
                </c:pt>
                <c:pt idx="82">
                  <c:v>-0.27300000000000002</c:v>
                </c:pt>
                <c:pt idx="83">
                  <c:v>-0.126</c:v>
                </c:pt>
                <c:pt idx="84">
                  <c:v>-0.17599999999999999</c:v>
                </c:pt>
                <c:pt idx="85">
                  <c:v>-0.14299999999999999</c:v>
                </c:pt>
                <c:pt idx="86">
                  <c:v>-2.5000000000000001E-2</c:v>
                </c:pt>
                <c:pt idx="87">
                  <c:v>-5.0000000000000001E-3</c:v>
                </c:pt>
                <c:pt idx="88">
                  <c:v>-5.5E-2</c:v>
                </c:pt>
                <c:pt idx="89">
                  <c:v>1.7999999999999999E-2</c:v>
                </c:pt>
                <c:pt idx="90">
                  <c:v>1.7999999999999999E-2</c:v>
                </c:pt>
                <c:pt idx="91">
                  <c:v>-2.3E-2</c:v>
                </c:pt>
                <c:pt idx="92">
                  <c:v>-3.0000000000000001E-3</c:v>
                </c:pt>
                <c:pt idx="93">
                  <c:v>0.15</c:v>
                </c:pt>
                <c:pt idx="94">
                  <c:v>3.3000000000000002E-2</c:v>
                </c:pt>
                <c:pt idx="95">
                  <c:v>-6.8000000000000005E-2</c:v>
                </c:pt>
                <c:pt idx="96">
                  <c:v>-3.7999999999999999E-2</c:v>
                </c:pt>
                <c:pt idx="97">
                  <c:v>-3.5000000000000003E-2</c:v>
                </c:pt>
                <c:pt idx="98">
                  <c:v>-7.5999999999999998E-2</c:v>
                </c:pt>
                <c:pt idx="99">
                  <c:v>-0.17399999999999999</c:v>
                </c:pt>
                <c:pt idx="100">
                  <c:v>-4.8000000000000001E-2</c:v>
                </c:pt>
                <c:pt idx="101">
                  <c:v>3.3000000000000002E-2</c:v>
                </c:pt>
                <c:pt idx="102">
                  <c:v>0.10100000000000001</c:v>
                </c:pt>
                <c:pt idx="103">
                  <c:v>-0.128</c:v>
                </c:pt>
                <c:pt idx="104">
                  <c:v>-0.185</c:v>
                </c:pt>
                <c:pt idx="105">
                  <c:v>-0.26200000000000001</c:v>
                </c:pt>
                <c:pt idx="106">
                  <c:v>-1E-3</c:v>
                </c:pt>
                <c:pt idx="107">
                  <c:v>4.9000000000000002E-2</c:v>
                </c:pt>
                <c:pt idx="108">
                  <c:v>1.7000000000000001E-2</c:v>
                </c:pt>
                <c:pt idx="109">
                  <c:v>-0.05</c:v>
                </c:pt>
                <c:pt idx="110">
                  <c:v>3.9E-2</c:v>
                </c:pt>
                <c:pt idx="111">
                  <c:v>1.7999999999999999E-2</c:v>
                </c:pt>
                <c:pt idx="112">
                  <c:v>0.05</c:v>
                </c:pt>
                <c:pt idx="113">
                  <c:v>-0.224</c:v>
                </c:pt>
                <c:pt idx="114">
                  <c:v>-0.14099999999999999</c:v>
                </c:pt>
                <c:pt idx="115">
                  <c:v>-7.2999999999999995E-2</c:v>
                </c:pt>
                <c:pt idx="116">
                  <c:v>-7.5999999999999998E-2</c:v>
                </c:pt>
                <c:pt idx="117">
                  <c:v>-0.113</c:v>
                </c:pt>
                <c:pt idx="118">
                  <c:v>2.9000000000000001E-2</c:v>
                </c:pt>
                <c:pt idx="119">
                  <c:v>-2.9000000000000001E-2</c:v>
                </c:pt>
                <c:pt idx="120">
                  <c:v>-0.184</c:v>
                </c:pt>
                <c:pt idx="121">
                  <c:v>-6.9000000000000006E-2</c:v>
                </c:pt>
                <c:pt idx="122">
                  <c:v>6.3E-2</c:v>
                </c:pt>
                <c:pt idx="123">
                  <c:v>-0.21099999999999999</c:v>
                </c:pt>
                <c:pt idx="124">
                  <c:v>-0.14499999999999999</c:v>
                </c:pt>
                <c:pt idx="125">
                  <c:v>-0.23799999999999999</c:v>
                </c:pt>
                <c:pt idx="126">
                  <c:v>4.5999999999999999E-2</c:v>
                </c:pt>
                <c:pt idx="127">
                  <c:v>-6.2E-2</c:v>
                </c:pt>
                <c:pt idx="128">
                  <c:v>5.8000000000000003E-2</c:v>
                </c:pt>
                <c:pt idx="129">
                  <c:v>9.2999999999999999E-2</c:v>
                </c:pt>
                <c:pt idx="130">
                  <c:v>0.14199999999999999</c:v>
                </c:pt>
                <c:pt idx="131">
                  <c:v>1.2999999999999999E-2</c:v>
                </c:pt>
                <c:pt idx="132">
                  <c:v>0.191</c:v>
                </c:pt>
                <c:pt idx="133">
                  <c:v>-1.4E-2</c:v>
                </c:pt>
                <c:pt idx="134">
                  <c:v>-2.9000000000000001E-2</c:v>
                </c:pt>
                <c:pt idx="135">
                  <c:v>4.7E-2</c:v>
                </c:pt>
                <c:pt idx="136">
                  <c:v>0.186</c:v>
                </c:pt>
                <c:pt idx="137">
                  <c:v>0.20100000000000001</c:v>
                </c:pt>
                <c:pt idx="138">
                  <c:v>0.121</c:v>
                </c:pt>
                <c:pt idx="139">
                  <c:v>0.29099999999999998</c:v>
                </c:pt>
                <c:pt idx="140">
                  <c:v>0.253</c:v>
                </c:pt>
                <c:pt idx="141">
                  <c:v>0.10199999999999999</c:v>
                </c:pt>
                <c:pt idx="142">
                  <c:v>0.14299999999999999</c:v>
                </c:pt>
                <c:pt idx="143">
                  <c:v>0.20300000000000001</c:v>
                </c:pt>
                <c:pt idx="144">
                  <c:v>0.32400000000000001</c:v>
                </c:pt>
                <c:pt idx="145">
                  <c:v>0.17899999999999999</c:v>
                </c:pt>
                <c:pt idx="146">
                  <c:v>0.39200000000000002</c:v>
                </c:pt>
                <c:pt idx="147">
                  <c:v>0.53100000000000003</c:v>
                </c:pt>
                <c:pt idx="148">
                  <c:v>0.30099999999999999</c:v>
                </c:pt>
                <c:pt idx="149">
                  <c:v>0.29399999999999998</c:v>
                </c:pt>
                <c:pt idx="150">
                  <c:v>0.437</c:v>
                </c:pt>
                <c:pt idx="151">
                  <c:v>0.49199999999999999</c:v>
                </c:pt>
                <c:pt idx="152">
                  <c:v>0.503</c:v>
                </c:pt>
                <c:pt idx="153">
                  <c:v>0.44500000000000001</c:v>
                </c:pt>
                <c:pt idx="154">
                  <c:v>0.53900000000000003</c:v>
                </c:pt>
                <c:pt idx="155">
                  <c:v>0.495</c:v>
                </c:pt>
                <c:pt idx="156">
                  <c:v>0.48299999999999998</c:v>
                </c:pt>
                <c:pt idx="157">
                  <c:v>0.38800000000000001</c:v>
                </c:pt>
                <c:pt idx="158">
                  <c:v>0.49399999999999999</c:v>
                </c:pt>
                <c:pt idx="159">
                  <c:v>0.54700000000000004</c:v>
                </c:pt>
                <c:pt idx="160">
                  <c:v>0.40600000000000003</c:v>
                </c:pt>
                <c:pt idx="161">
                  <c:v>0.44800000000000001</c:v>
                </c:pt>
              </c:numCache>
            </c:numRef>
          </c:xVal>
          <c:yVal>
            <c:numRef>
              <c:f>'main (4)'!$C$10:$C$171</c:f>
              <c:numCache>
                <c:formatCode>General</c:formatCode>
                <c:ptCount val="162"/>
                <c:pt idx="0">
                  <c:v>-7.9880907821090141E-2</c:v>
                </c:pt>
                <c:pt idx="1">
                  <c:v>-6.5575614848955119E-2</c:v>
                </c:pt>
                <c:pt idx="2">
                  <c:v>-0.2370472588982569</c:v>
                </c:pt>
                <c:pt idx="3">
                  <c:v>-0.13015311956444528</c:v>
                </c:pt>
                <c:pt idx="4">
                  <c:v>-0.21271361058716773</c:v>
                </c:pt>
                <c:pt idx="5">
                  <c:v>-0.36671455552043525</c:v>
                </c:pt>
                <c:pt idx="6">
                  <c:v>-0.43127693763318081</c:v>
                </c:pt>
                <c:pt idx="7">
                  <c:v>-0.46073251414647048</c:v>
                </c:pt>
                <c:pt idx="8">
                  <c:v>-0.29076465044198285</c:v>
                </c:pt>
                <c:pt idx="9">
                  <c:v>-0.35108128506030428</c:v>
                </c:pt>
                <c:pt idx="10">
                  <c:v>-0.40800945177965142</c:v>
                </c:pt>
                <c:pt idx="11">
                  <c:v>-0.47661153087753749</c:v>
                </c:pt>
                <c:pt idx="12">
                  <c:v>-0.30759546334152543</c:v>
                </c:pt>
                <c:pt idx="13">
                  <c:v>-0.48135822269348516</c:v>
                </c:pt>
                <c:pt idx="14">
                  <c:v>-0.2732306236681914</c:v>
                </c:pt>
                <c:pt idx="15">
                  <c:v>-0.25179867660403021</c:v>
                </c:pt>
                <c:pt idx="16">
                  <c:v>-0.30534877091383378</c:v>
                </c:pt>
                <c:pt idx="17">
                  <c:v>-0.25278449893455313</c:v>
                </c:pt>
                <c:pt idx="18">
                  <c:v>-0.27059168238496722</c:v>
                </c:pt>
                <c:pt idx="19">
                  <c:v>-0.29744234377708012</c:v>
                </c:pt>
                <c:pt idx="20">
                  <c:v>-0.33267296744527153</c:v>
                </c:pt>
                <c:pt idx="21">
                  <c:v>-0.24747448007259246</c:v>
                </c:pt>
                <c:pt idx="22">
                  <c:v>-0.30533364831108911</c:v>
                </c:pt>
                <c:pt idx="23">
                  <c:v>-0.41632892242126351</c:v>
                </c:pt>
                <c:pt idx="24">
                  <c:v>-0.42785255125864791</c:v>
                </c:pt>
                <c:pt idx="25">
                  <c:v>-0.38979395071420453</c:v>
                </c:pt>
                <c:pt idx="26">
                  <c:v>-9.428733434609976E-2</c:v>
                </c:pt>
                <c:pt idx="27">
                  <c:v>1.0699432917690679E-2</c:v>
                </c:pt>
                <c:pt idx="28">
                  <c:v>-0.29181852509660056</c:v>
                </c:pt>
                <c:pt idx="29">
                  <c:v>-0.23024952722749423</c:v>
                </c:pt>
                <c:pt idx="30">
                  <c:v>-0.23735349680365947</c:v>
                </c:pt>
                <c:pt idx="31">
                  <c:v>-0.23651701308102369</c:v>
                </c:pt>
                <c:pt idx="32">
                  <c:v>-0.33695463096827805</c:v>
                </c:pt>
                <c:pt idx="33">
                  <c:v>-0.43866824155544581</c:v>
                </c:pt>
                <c:pt idx="34">
                  <c:v>-0.42223156860145894</c:v>
                </c:pt>
                <c:pt idx="35">
                  <c:v>-0.39285066139211289</c:v>
                </c:pt>
                <c:pt idx="36">
                  <c:v>-0.44854536841997783</c:v>
                </c:pt>
                <c:pt idx="37">
                  <c:v>-0.34655103924307107</c:v>
                </c:pt>
                <c:pt idx="38">
                  <c:v>-0.1875170130810237</c:v>
                </c:pt>
                <c:pt idx="39">
                  <c:v>-0.42958695649514156</c:v>
                </c:pt>
                <c:pt idx="40">
                  <c:v>-0.35419848737267912</c:v>
                </c:pt>
                <c:pt idx="41">
                  <c:v>-0.47014650258459645</c:v>
                </c:pt>
                <c:pt idx="42">
                  <c:v>-0.48377599208816929</c:v>
                </c:pt>
                <c:pt idx="43">
                  <c:v>-0.43289224946727656</c:v>
                </c:pt>
                <c:pt idx="44">
                  <c:v>-0.40202457438239597</c:v>
                </c:pt>
                <c:pt idx="45">
                  <c:v>-0.20890737207002116</c:v>
                </c:pt>
                <c:pt idx="46">
                  <c:v>-0.21666729662217832</c:v>
                </c:pt>
                <c:pt idx="47">
                  <c:v>-0.3984177693946841</c:v>
                </c:pt>
                <c:pt idx="48">
                  <c:v>-0.29317391299028311</c:v>
                </c:pt>
                <c:pt idx="49">
                  <c:v>-0.19856805293583879</c:v>
                </c:pt>
                <c:pt idx="50">
                  <c:v>-0.27975992455215715</c:v>
                </c:pt>
                <c:pt idx="51">
                  <c:v>-0.41415028354115463</c:v>
                </c:pt>
                <c:pt idx="52">
                  <c:v>-0.49379773167076269</c:v>
                </c:pt>
                <c:pt idx="53">
                  <c:v>-0.54331001886196062</c:v>
                </c:pt>
                <c:pt idx="54">
                  <c:v>-0.40516446121063171</c:v>
                </c:pt>
                <c:pt idx="55">
                  <c:v>-0.30691020809331182</c:v>
                </c:pt>
                <c:pt idx="56">
                  <c:v>-0.49671455552043531</c:v>
                </c:pt>
                <c:pt idx="57">
                  <c:v>-0.52639886583538131</c:v>
                </c:pt>
                <c:pt idx="58">
                  <c:v>-0.53608884697342063</c:v>
                </c:pt>
                <c:pt idx="59">
                  <c:v>-0.50413516093840993</c:v>
                </c:pt>
                <c:pt idx="60">
                  <c:v>-0.54120132339596971</c:v>
                </c:pt>
                <c:pt idx="61">
                  <c:v>-0.45145557651328966</c:v>
                </c:pt>
                <c:pt idx="62">
                  <c:v>-0.43835160693712438</c:v>
                </c:pt>
                <c:pt idx="63">
                  <c:v>-0.25413988682823574</c:v>
                </c:pt>
                <c:pt idx="64">
                  <c:v>-0.1698071834504141</c:v>
                </c:pt>
                <c:pt idx="65">
                  <c:v>-0.39784971645884531</c:v>
                </c:pt>
                <c:pt idx="66">
                  <c:v>-0.50434877091383379</c:v>
                </c:pt>
                <c:pt idx="67">
                  <c:v>-0.37649810952172091</c:v>
                </c:pt>
                <c:pt idx="68">
                  <c:v>-0.32384971645884536</c:v>
                </c:pt>
                <c:pt idx="69">
                  <c:v>-0.27371833647699345</c:v>
                </c:pt>
                <c:pt idx="70">
                  <c:v>-0.19733742926764733</c:v>
                </c:pt>
                <c:pt idx="71">
                  <c:v>-0.31225330818405239</c:v>
                </c:pt>
                <c:pt idx="72">
                  <c:v>-0.29282608700971685</c:v>
                </c:pt>
                <c:pt idx="73">
                  <c:v>-0.30061058594426998</c:v>
                </c:pt>
                <c:pt idx="74">
                  <c:v>-0.2429905482203486</c:v>
                </c:pt>
                <c:pt idx="75">
                  <c:v>-0.11224858229422668</c:v>
                </c:pt>
                <c:pt idx="76">
                  <c:v>-0.20660586005444431</c:v>
                </c:pt>
                <c:pt idx="77">
                  <c:v>-0.20567107757873651</c:v>
                </c:pt>
                <c:pt idx="78">
                  <c:v>-0.34998204137396471</c:v>
                </c:pt>
                <c:pt idx="79">
                  <c:v>-0.13141304350485844</c:v>
                </c:pt>
                <c:pt idx="80">
                  <c:v>-9.5427221174335511E-2</c:v>
                </c:pt>
                <c:pt idx="81">
                  <c:v>-0.14022495284509823</c:v>
                </c:pt>
                <c:pt idx="82">
                  <c:v>-0.26577977304472744</c:v>
                </c:pt>
                <c:pt idx="83">
                  <c:v>-0.13744990569019644</c:v>
                </c:pt>
                <c:pt idx="84">
                  <c:v>-0.17984499056901965</c:v>
                </c:pt>
                <c:pt idx="85">
                  <c:v>-0.13983081289954255</c:v>
                </c:pt>
                <c:pt idx="86">
                  <c:v>-1.7305292972135015E-2</c:v>
                </c:pt>
                <c:pt idx="87">
                  <c:v>-1.3543478553442789E-2</c:v>
                </c:pt>
                <c:pt idx="88">
                  <c:v>-5.7807183450414093E-2</c:v>
                </c:pt>
                <c:pt idx="89">
                  <c:v>-8.9697535710227261E-4</c:v>
                </c:pt>
                <c:pt idx="90">
                  <c:v>3.0637996349956662E-2</c:v>
                </c:pt>
                <c:pt idx="91">
                  <c:v>-3.1833647699345147E-3</c:v>
                </c:pt>
                <c:pt idx="92">
                  <c:v>1.2958411924836287E-3</c:v>
                </c:pt>
                <c:pt idx="93">
                  <c:v>0.13840831761503275</c:v>
                </c:pt>
                <c:pt idx="94">
                  <c:v>6.1257089140610566E-2</c:v>
                </c:pt>
                <c:pt idx="95">
                  <c:v>-3.4183364769934513E-2</c:v>
                </c:pt>
                <c:pt idx="96">
                  <c:v>-4.0534971707058935E-2</c:v>
                </c:pt>
                <c:pt idx="97">
                  <c:v>-3.2248582294226696E-2</c:v>
                </c:pt>
                <c:pt idx="98">
                  <c:v>-7.1042533008431247E-2</c:v>
                </c:pt>
                <c:pt idx="99">
                  <c:v>-0.1484423437770801</c:v>
                </c:pt>
                <c:pt idx="100">
                  <c:v>-2.578449893455316E-2</c:v>
                </c:pt>
                <c:pt idx="101">
                  <c:v>4.5473535139324908E-2</c:v>
                </c:pt>
                <c:pt idx="102">
                  <c:v>0.10202835533895416</c:v>
                </c:pt>
                <c:pt idx="103">
                  <c:v>-0.11303780711860555</c:v>
                </c:pt>
                <c:pt idx="104">
                  <c:v>-0.16973251414647053</c:v>
                </c:pt>
                <c:pt idx="105">
                  <c:v>-0.23860680498771186</c:v>
                </c:pt>
                <c:pt idx="106">
                  <c:v>1.6919659872963209E-2</c:v>
                </c:pt>
                <c:pt idx="107">
                  <c:v>7.3835538789368257E-2</c:v>
                </c:pt>
                <c:pt idx="108">
                  <c:v>3.4699432917690676E-2</c:v>
                </c:pt>
                <c:pt idx="109">
                  <c:v>-2.3192816549585903E-2</c:v>
                </c:pt>
                <c:pt idx="110">
                  <c:v>5.0136105871677578E-2</c:v>
                </c:pt>
                <c:pt idx="111">
                  <c:v>1.5727788256644837E-2</c:v>
                </c:pt>
                <c:pt idx="112">
                  <c:v>4.8976370550871527E-2</c:v>
                </c:pt>
                <c:pt idx="113">
                  <c:v>-0.19224480133766852</c:v>
                </c:pt>
                <c:pt idx="114">
                  <c:v>-0.14479867660403023</c:v>
                </c:pt>
                <c:pt idx="115">
                  <c:v>-4.2812854273507311E-2</c:v>
                </c:pt>
                <c:pt idx="116">
                  <c:v>-6.7169187100457439E-2</c:v>
                </c:pt>
                <c:pt idx="117">
                  <c:v>-9.9681474291655428E-2</c:v>
                </c:pt>
                <c:pt idx="118">
                  <c:v>4.469376209459746E-2</c:v>
                </c:pt>
                <c:pt idx="119">
                  <c:v>-2.4892249467276577E-2</c:v>
                </c:pt>
                <c:pt idx="120">
                  <c:v>-0.19343667295398689</c:v>
                </c:pt>
                <c:pt idx="121">
                  <c:v>-6.5165406143899263E-2</c:v>
                </c:pt>
                <c:pt idx="122">
                  <c:v>5.0512287191197998E-2</c:v>
                </c:pt>
                <c:pt idx="123">
                  <c:v>-0.19608034012703679</c:v>
                </c:pt>
                <c:pt idx="124">
                  <c:v>-0.15191020809331182</c:v>
                </c:pt>
                <c:pt idx="125">
                  <c:v>-0.22983175783281007</c:v>
                </c:pt>
                <c:pt idx="126">
                  <c:v>2.7911153026579354E-2</c:v>
                </c:pt>
                <c:pt idx="127">
                  <c:v>-5.8849716458845333E-2</c:v>
                </c:pt>
                <c:pt idx="128">
                  <c:v>5.4981096440697229E-2</c:v>
                </c:pt>
                <c:pt idx="129">
                  <c:v>7.7197542439411598E-2</c:v>
                </c:pt>
                <c:pt idx="130">
                  <c:v>0.11005292972135015</c:v>
                </c:pt>
                <c:pt idx="131">
                  <c:v>8.7041588075163698E-3</c:v>
                </c:pt>
                <c:pt idx="132">
                  <c:v>0.17971455552043528</c:v>
                </c:pt>
                <c:pt idx="133">
                  <c:v>-2.0023629449128465E-2</c:v>
                </c:pt>
                <c:pt idx="134">
                  <c:v>-3.799527411017431E-2</c:v>
                </c:pt>
                <c:pt idx="135">
                  <c:v>2.5089791906688169E-2</c:v>
                </c:pt>
                <c:pt idx="136">
                  <c:v>0.17564366717304986</c:v>
                </c:pt>
                <c:pt idx="137">
                  <c:v>0.18446597322620856</c:v>
                </c:pt>
                <c:pt idx="138">
                  <c:v>0.11940453665847459</c:v>
                </c:pt>
                <c:pt idx="139">
                  <c:v>0.28219848737267911</c:v>
                </c:pt>
                <c:pt idx="140">
                  <c:v>0.23786483906158992</c:v>
                </c:pt>
                <c:pt idx="141">
                  <c:v>9.0859168238496713E-2</c:v>
                </c:pt>
                <c:pt idx="142">
                  <c:v>0.12433364831108916</c:v>
                </c:pt>
                <c:pt idx="143">
                  <c:v>0.20241871432795167</c:v>
                </c:pt>
                <c:pt idx="144">
                  <c:v>0.30370132278422568</c:v>
                </c:pt>
                <c:pt idx="145">
                  <c:v>0.16491587891640505</c:v>
                </c:pt>
                <c:pt idx="146">
                  <c:v>0.37527788256644834</c:v>
                </c:pt>
                <c:pt idx="147">
                  <c:v>0.53599716397670927</c:v>
                </c:pt>
                <c:pt idx="148">
                  <c:v>0.30124574627093603</c:v>
                </c:pt>
                <c:pt idx="149">
                  <c:v>0.29275236263904081</c:v>
                </c:pt>
                <c:pt idx="150">
                  <c:v>0.42980907331694918</c:v>
                </c:pt>
                <c:pt idx="151">
                  <c:v>0.48541965926121916</c:v>
                </c:pt>
                <c:pt idx="152">
                  <c:v>0.50096880863775517</c:v>
                </c:pt>
                <c:pt idx="153">
                  <c:v>0.44564461210631739</c:v>
                </c:pt>
                <c:pt idx="154">
                  <c:v>0.53018998052629529</c:v>
                </c:pt>
                <c:pt idx="155">
                  <c:v>0.49244328871034765</c:v>
                </c:pt>
                <c:pt idx="156">
                  <c:v>0.47155671006616429</c:v>
                </c:pt>
                <c:pt idx="157">
                  <c:v>0.38386578399485749</c:v>
                </c:pt>
                <c:pt idx="158">
                  <c:v>0.4912268427116333</c:v>
                </c:pt>
                <c:pt idx="159">
                  <c:v>0.54776275935195973</c:v>
                </c:pt>
                <c:pt idx="160">
                  <c:v>0.40598771219705793</c:v>
                </c:pt>
                <c:pt idx="161">
                  <c:v>0.46198771219705792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108520"/>
        <c:axId val="381108912"/>
      </c:scatterChart>
      <c:valAx>
        <c:axId val="381108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81108912"/>
        <c:crosses val="autoZero"/>
        <c:crossBetween val="midCat"/>
      </c:valAx>
      <c:valAx>
        <c:axId val="381108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110852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20353943635833399"/>
                  <c:y val="-1.0138734583253281E-2"/>
                </c:manualLayout>
              </c:layout>
              <c:numFmt formatCode="General" sourceLinked="0"/>
            </c:trendlineLbl>
          </c:trendline>
          <c:xVal>
            <c:numRef>
              <c:f>'main (4)'!$B$154:$B$171</c:f>
              <c:numCache>
                <c:formatCode>General</c:formatCode>
                <c:ptCount val="18"/>
                <c:pt idx="0">
                  <c:v>0.32400000000000001</c:v>
                </c:pt>
                <c:pt idx="1">
                  <c:v>0.17899999999999999</c:v>
                </c:pt>
                <c:pt idx="2">
                  <c:v>0.39200000000000002</c:v>
                </c:pt>
                <c:pt idx="3">
                  <c:v>0.53100000000000003</c:v>
                </c:pt>
                <c:pt idx="4">
                  <c:v>0.30099999999999999</c:v>
                </c:pt>
                <c:pt idx="5">
                  <c:v>0.29399999999999998</c:v>
                </c:pt>
                <c:pt idx="6">
                  <c:v>0.437</c:v>
                </c:pt>
                <c:pt idx="7">
                  <c:v>0.49199999999999999</c:v>
                </c:pt>
                <c:pt idx="8">
                  <c:v>0.503</c:v>
                </c:pt>
                <c:pt idx="9">
                  <c:v>0.44500000000000001</c:v>
                </c:pt>
                <c:pt idx="10">
                  <c:v>0.53900000000000003</c:v>
                </c:pt>
                <c:pt idx="11">
                  <c:v>0.495</c:v>
                </c:pt>
                <c:pt idx="12">
                  <c:v>0.48299999999999998</c:v>
                </c:pt>
                <c:pt idx="13">
                  <c:v>0.38800000000000001</c:v>
                </c:pt>
                <c:pt idx="14">
                  <c:v>0.49399999999999999</c:v>
                </c:pt>
                <c:pt idx="15">
                  <c:v>0.54700000000000004</c:v>
                </c:pt>
                <c:pt idx="16">
                  <c:v>0.40600000000000003</c:v>
                </c:pt>
                <c:pt idx="17">
                  <c:v>0.44800000000000001</c:v>
                </c:pt>
              </c:numCache>
            </c:numRef>
          </c:xVal>
          <c:yVal>
            <c:numRef>
              <c:f>'main (4)'!$C$154:$C$171</c:f>
              <c:numCache>
                <c:formatCode>General</c:formatCode>
                <c:ptCount val="18"/>
                <c:pt idx="0">
                  <c:v>0.30370132278422568</c:v>
                </c:pt>
                <c:pt idx="1">
                  <c:v>0.16491587891640505</c:v>
                </c:pt>
                <c:pt idx="2">
                  <c:v>0.37527788256644834</c:v>
                </c:pt>
                <c:pt idx="3">
                  <c:v>0.53599716397670927</c:v>
                </c:pt>
                <c:pt idx="4">
                  <c:v>0.30124574627093603</c:v>
                </c:pt>
                <c:pt idx="5">
                  <c:v>0.29275236263904081</c:v>
                </c:pt>
                <c:pt idx="6">
                  <c:v>0.42980907331694918</c:v>
                </c:pt>
                <c:pt idx="7">
                  <c:v>0.48541965926121916</c:v>
                </c:pt>
                <c:pt idx="8">
                  <c:v>0.50096880863775517</c:v>
                </c:pt>
                <c:pt idx="9">
                  <c:v>0.44564461210631739</c:v>
                </c:pt>
                <c:pt idx="10">
                  <c:v>0.53018998052629529</c:v>
                </c:pt>
                <c:pt idx="11">
                  <c:v>0.49244328871034765</c:v>
                </c:pt>
                <c:pt idx="12">
                  <c:v>0.47155671006616429</c:v>
                </c:pt>
                <c:pt idx="13">
                  <c:v>0.38386578399485749</c:v>
                </c:pt>
                <c:pt idx="14">
                  <c:v>0.4912268427116333</c:v>
                </c:pt>
                <c:pt idx="15">
                  <c:v>0.54776275935195973</c:v>
                </c:pt>
                <c:pt idx="16">
                  <c:v>0.40598771219705793</c:v>
                </c:pt>
                <c:pt idx="17">
                  <c:v>0.46198771219705792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109696"/>
        <c:axId val="605093136"/>
      </c:scatterChart>
      <c:valAx>
        <c:axId val="381109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5093136"/>
        <c:crosses val="autoZero"/>
        <c:crossBetween val="midCat"/>
      </c:valAx>
      <c:valAx>
        <c:axId val="605093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11096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Absolute error in composing global temperature</a:t>
            </a:r>
          </a:p>
        </c:rich>
      </c:tx>
      <c:layout>
        <c:manualLayout>
          <c:xMode val="edge"/>
          <c:yMode val="edge"/>
          <c:x val="0.22752599004622198"/>
          <c:y val="9.259347916980393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87074500302847"/>
          <c:y val="0.12084499854184894"/>
          <c:w val="0.78052624671916015"/>
          <c:h val="0.7076195683872849"/>
        </c:manualLayout>
      </c:layout>
      <c:scatterChart>
        <c:scatterStyle val="lineMarker"/>
        <c:varyColors val="0"/>
        <c:ser>
          <c:idx val="2"/>
          <c:order val="0"/>
          <c:tx>
            <c:strRef>
              <c:f>'main (4)'!$F$9</c:f>
              <c:strCache>
                <c:ptCount val="1"/>
                <c:pt idx="0">
                  <c:v>Absolute error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4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solidFill>
                  <a:srgbClr val="002060"/>
                </a:solidFill>
              </a:ln>
            </c:spPr>
          </c:marker>
          <c:trendline>
            <c:trendlineType val="linear"/>
            <c:dispRSqr val="0"/>
            <c:dispEq val="0"/>
          </c:trendline>
          <c:xVal>
            <c:numRef>
              <c:f>'main (4)'!$A$10:$A$171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'main (4)'!$F$10:$F$171</c:f>
              <c:numCache>
                <c:formatCode>General</c:formatCode>
                <c:ptCount val="162"/>
                <c:pt idx="0">
                  <c:v>0.13911909217890986</c:v>
                </c:pt>
                <c:pt idx="1">
                  <c:v>0.1574243851510449</c:v>
                </c:pt>
                <c:pt idx="2">
                  <c:v>3.095274110174312E-2</c:v>
                </c:pt>
                <c:pt idx="3">
                  <c:v>0.11284688043555471</c:v>
                </c:pt>
                <c:pt idx="4">
                  <c:v>5.1286389412832284E-2</c:v>
                </c:pt>
                <c:pt idx="5">
                  <c:v>1.0714555520435265E-2</c:v>
                </c:pt>
                <c:pt idx="6">
                  <c:v>2.2723062366819202E-2</c:v>
                </c:pt>
                <c:pt idx="7">
                  <c:v>2.6748585352953658E-4</c:v>
                </c:pt>
                <c:pt idx="8">
                  <c:v>8.7646504419828797E-3</c:v>
                </c:pt>
                <c:pt idx="9">
                  <c:v>1.308128506030426E-2</c:v>
                </c:pt>
                <c:pt idx="10">
                  <c:v>1.7009451779651408E-2</c:v>
                </c:pt>
                <c:pt idx="11">
                  <c:v>2.638846912246251E-2</c:v>
                </c:pt>
                <c:pt idx="12">
                  <c:v>3.259546334152541E-2</c:v>
                </c:pt>
                <c:pt idx="13">
                  <c:v>3.35822269348518E-3</c:v>
                </c:pt>
                <c:pt idx="14">
                  <c:v>3.2306236681913791E-3</c:v>
                </c:pt>
                <c:pt idx="15">
                  <c:v>1.0798676604030222E-2</c:v>
                </c:pt>
                <c:pt idx="16">
                  <c:v>2.651229086166218E-3</c:v>
                </c:pt>
                <c:pt idx="17">
                  <c:v>2.2784498934553116E-2</c:v>
                </c:pt>
                <c:pt idx="18">
                  <c:v>1.1591682384967217E-2</c:v>
                </c:pt>
                <c:pt idx="19">
                  <c:v>2.6442343777080102E-2</c:v>
                </c:pt>
                <c:pt idx="20">
                  <c:v>6.672967445271516E-3</c:v>
                </c:pt>
                <c:pt idx="21">
                  <c:v>1.8474480072592447E-2</c:v>
                </c:pt>
                <c:pt idx="22">
                  <c:v>6.6635168891088226E-4</c:v>
                </c:pt>
                <c:pt idx="23">
                  <c:v>4.3328922421263516E-2</c:v>
                </c:pt>
                <c:pt idx="24">
                  <c:v>1.9852551258647932E-2</c:v>
                </c:pt>
                <c:pt idx="25">
                  <c:v>5.793950714204521E-3</c:v>
                </c:pt>
                <c:pt idx="26">
                  <c:v>2.1287334346099765E-2</c:v>
                </c:pt>
                <c:pt idx="27">
                  <c:v>2.1300567082309322E-2</c:v>
                </c:pt>
                <c:pt idx="28">
                  <c:v>5.7818525096600543E-2</c:v>
                </c:pt>
                <c:pt idx="29">
                  <c:v>2.495272274942173E-4</c:v>
                </c:pt>
                <c:pt idx="30">
                  <c:v>3.035349680365948E-2</c:v>
                </c:pt>
                <c:pt idx="31">
                  <c:v>2.251701308102369E-2</c:v>
                </c:pt>
                <c:pt idx="32">
                  <c:v>4.4954630968278064E-2</c:v>
                </c:pt>
                <c:pt idx="33">
                  <c:v>3.566824155544579E-2</c:v>
                </c:pt>
                <c:pt idx="34">
                  <c:v>3.7231568601458931E-2</c:v>
                </c:pt>
                <c:pt idx="35">
                  <c:v>2.6850661392112896E-2</c:v>
                </c:pt>
                <c:pt idx="36">
                  <c:v>3.0545368419977847E-2</c:v>
                </c:pt>
                <c:pt idx="37">
                  <c:v>3.7551039243071072E-2</c:v>
                </c:pt>
                <c:pt idx="38">
                  <c:v>1.4517013081023711E-2</c:v>
                </c:pt>
                <c:pt idx="39">
                  <c:v>1.0586956495141575E-2</c:v>
                </c:pt>
                <c:pt idx="40">
                  <c:v>1.5198487372679093E-2</c:v>
                </c:pt>
                <c:pt idx="41">
                  <c:v>1.4146502584596432E-2</c:v>
                </c:pt>
                <c:pt idx="42">
                  <c:v>8.7759920881693154E-3</c:v>
                </c:pt>
                <c:pt idx="43">
                  <c:v>2.4892249467276584E-2</c:v>
                </c:pt>
                <c:pt idx="44">
                  <c:v>9.0245743823959557E-3</c:v>
                </c:pt>
                <c:pt idx="45">
                  <c:v>1.790737207002116E-2</c:v>
                </c:pt>
                <c:pt idx="46">
                  <c:v>6.6672966221783259E-3</c:v>
                </c:pt>
                <c:pt idx="47">
                  <c:v>9.5822306053158779E-3</c:v>
                </c:pt>
                <c:pt idx="48">
                  <c:v>5.173912990283136E-3</c:v>
                </c:pt>
                <c:pt idx="49">
                  <c:v>5.6805293583878091E-4</c:v>
                </c:pt>
                <c:pt idx="50">
                  <c:v>1.2759924552157131E-2</c:v>
                </c:pt>
                <c:pt idx="51">
                  <c:v>2.1502835411546517E-3</c:v>
                </c:pt>
                <c:pt idx="52">
                  <c:v>1.2797731670762702E-2</c:v>
                </c:pt>
                <c:pt idx="53">
                  <c:v>1.5310018861960595E-2</c:v>
                </c:pt>
                <c:pt idx="54">
                  <c:v>2.3164461210631704E-2</c:v>
                </c:pt>
                <c:pt idx="55">
                  <c:v>1.2910208093311837E-2</c:v>
                </c:pt>
                <c:pt idx="56">
                  <c:v>2.0714555520435329E-2</c:v>
                </c:pt>
                <c:pt idx="57">
                  <c:v>3.3988658353812928E-3</c:v>
                </c:pt>
                <c:pt idx="58">
                  <c:v>8.8846973420597664E-5</c:v>
                </c:pt>
                <c:pt idx="59">
                  <c:v>8.1351609384099355E-3</c:v>
                </c:pt>
                <c:pt idx="60">
                  <c:v>1.2798676604030335E-2</c:v>
                </c:pt>
                <c:pt idx="61">
                  <c:v>2.4555765132896479E-3</c:v>
                </c:pt>
                <c:pt idx="62">
                  <c:v>6.4839306287561849E-4</c:v>
                </c:pt>
                <c:pt idx="63">
                  <c:v>3.8601131717642678E-3</c:v>
                </c:pt>
                <c:pt idx="64">
                  <c:v>5.8071834504140885E-3</c:v>
                </c:pt>
                <c:pt idx="65">
                  <c:v>1.5028354115470544E-4</c:v>
                </c:pt>
                <c:pt idx="66">
                  <c:v>2.3348770913833805E-2</c:v>
                </c:pt>
                <c:pt idx="67">
                  <c:v>3.3498109521720887E-2</c:v>
                </c:pt>
                <c:pt idx="68">
                  <c:v>3.9849716458845386E-2</c:v>
                </c:pt>
                <c:pt idx="69">
                  <c:v>2.1718336476993449E-2</c:v>
                </c:pt>
                <c:pt idx="70">
                  <c:v>7.3374292676473274E-3</c:v>
                </c:pt>
                <c:pt idx="71">
                  <c:v>3.2533081840523947E-3</c:v>
                </c:pt>
                <c:pt idx="72">
                  <c:v>1.7826087009716829E-2</c:v>
                </c:pt>
                <c:pt idx="73">
                  <c:v>6.1058594426999235E-4</c:v>
                </c:pt>
                <c:pt idx="74">
                  <c:v>2.3990548220348601E-2</c:v>
                </c:pt>
                <c:pt idx="75">
                  <c:v>2.4858229422668188E-4</c:v>
                </c:pt>
                <c:pt idx="76">
                  <c:v>6.3941399455556824E-3</c:v>
                </c:pt>
                <c:pt idx="77">
                  <c:v>5.3289224212634823E-3</c:v>
                </c:pt>
                <c:pt idx="78">
                  <c:v>9.8204137396473712E-4</c:v>
                </c:pt>
                <c:pt idx="79">
                  <c:v>6.5869564951415716E-3</c:v>
                </c:pt>
                <c:pt idx="80">
                  <c:v>8.4272211743355169E-3</c:v>
                </c:pt>
                <c:pt idx="81">
                  <c:v>5.2249528450982186E-3</c:v>
                </c:pt>
                <c:pt idx="82">
                  <c:v>7.2202269552725795E-3</c:v>
                </c:pt>
                <c:pt idx="83">
                  <c:v>1.1449905690196438E-2</c:v>
                </c:pt>
                <c:pt idx="84">
                  <c:v>3.8449905690196573E-3</c:v>
                </c:pt>
                <c:pt idx="85">
                  <c:v>3.1691871004574379E-3</c:v>
                </c:pt>
                <c:pt idx="86">
                  <c:v>7.6947070278649866E-3</c:v>
                </c:pt>
                <c:pt idx="87">
                  <c:v>8.5434785534427883E-3</c:v>
                </c:pt>
                <c:pt idx="88">
                  <c:v>2.8071834504140927E-3</c:v>
                </c:pt>
                <c:pt idx="89">
                  <c:v>1.8896975357102271E-2</c:v>
                </c:pt>
                <c:pt idx="90">
                  <c:v>1.2637996349956663E-2</c:v>
                </c:pt>
                <c:pt idx="91">
                  <c:v>1.9816635230065487E-2</c:v>
                </c:pt>
                <c:pt idx="92">
                  <c:v>4.2958411924836288E-3</c:v>
                </c:pt>
                <c:pt idx="93">
                  <c:v>1.1591682384967245E-2</c:v>
                </c:pt>
                <c:pt idx="94">
                  <c:v>2.8257089140610564E-2</c:v>
                </c:pt>
                <c:pt idx="95">
                  <c:v>3.3816635230065492E-2</c:v>
                </c:pt>
                <c:pt idx="96">
                  <c:v>2.5349717070589362E-3</c:v>
                </c:pt>
                <c:pt idx="97">
                  <c:v>2.7514177057733069E-3</c:v>
                </c:pt>
                <c:pt idx="98">
                  <c:v>4.9574669915687514E-3</c:v>
                </c:pt>
                <c:pt idx="99">
                  <c:v>2.5557656222919889E-2</c:v>
                </c:pt>
                <c:pt idx="100">
                  <c:v>2.2215501065446841E-2</c:v>
                </c:pt>
                <c:pt idx="101">
                  <c:v>1.2473535139324907E-2</c:v>
                </c:pt>
                <c:pt idx="102">
                  <c:v>1.0283553389541511E-3</c:v>
                </c:pt>
                <c:pt idx="103">
                  <c:v>1.4962192881394457E-2</c:v>
                </c:pt>
                <c:pt idx="104">
                  <c:v>1.5267485853529467E-2</c:v>
                </c:pt>
                <c:pt idx="105">
                  <c:v>2.3393195012288148E-2</c:v>
                </c:pt>
                <c:pt idx="106">
                  <c:v>1.791965987296321E-2</c:v>
                </c:pt>
                <c:pt idx="107">
                  <c:v>2.4835538789368256E-2</c:v>
                </c:pt>
                <c:pt idx="108">
                  <c:v>1.7699432917690675E-2</c:v>
                </c:pt>
                <c:pt idx="109">
                  <c:v>2.68071834504141E-2</c:v>
                </c:pt>
                <c:pt idx="110">
                  <c:v>1.1136105871677578E-2</c:v>
                </c:pt>
                <c:pt idx="111">
                  <c:v>2.2722117433551618E-3</c:v>
                </c:pt>
                <c:pt idx="112">
                  <c:v>1.0236294491284756E-3</c:v>
                </c:pt>
                <c:pt idx="113">
                  <c:v>3.175519866233148E-2</c:v>
                </c:pt>
                <c:pt idx="114">
                  <c:v>3.7986766040302433E-3</c:v>
                </c:pt>
                <c:pt idx="115">
                  <c:v>3.0187145726492684E-2</c:v>
                </c:pt>
                <c:pt idx="116">
                  <c:v>8.8308128995425589E-3</c:v>
                </c:pt>
                <c:pt idx="117">
                  <c:v>1.3318525708344575E-2</c:v>
                </c:pt>
                <c:pt idx="118">
                  <c:v>1.5693762094597458E-2</c:v>
                </c:pt>
                <c:pt idx="119">
                  <c:v>4.1077505327234247E-3</c:v>
                </c:pt>
                <c:pt idx="120">
                  <c:v>9.4366729539868965E-3</c:v>
                </c:pt>
                <c:pt idx="121">
                  <c:v>3.8345938561007431E-3</c:v>
                </c:pt>
                <c:pt idx="122">
                  <c:v>1.2487712808802003E-2</c:v>
                </c:pt>
                <c:pt idx="123">
                  <c:v>1.4919659872963204E-2</c:v>
                </c:pt>
                <c:pt idx="124">
                  <c:v>6.9102080933118315E-3</c:v>
                </c:pt>
                <c:pt idx="125">
                  <c:v>8.1682421671899208E-3</c:v>
                </c:pt>
                <c:pt idx="126">
                  <c:v>1.8088846973420645E-2</c:v>
                </c:pt>
                <c:pt idx="127">
                  <c:v>3.1502835411546665E-3</c:v>
                </c:pt>
                <c:pt idx="128">
                  <c:v>3.0189035593027741E-3</c:v>
                </c:pt>
                <c:pt idx="129">
                  <c:v>1.5802457560588401E-2</c:v>
                </c:pt>
                <c:pt idx="130">
                  <c:v>3.1947070278649833E-2</c:v>
                </c:pt>
                <c:pt idx="131">
                  <c:v>4.2958411924836296E-3</c:v>
                </c:pt>
                <c:pt idx="132">
                  <c:v>1.1285444479564727E-2</c:v>
                </c:pt>
                <c:pt idx="133">
                  <c:v>6.0236294491284644E-3</c:v>
                </c:pt>
                <c:pt idx="134">
                  <c:v>8.9952741101743082E-3</c:v>
                </c:pt>
                <c:pt idx="135">
                  <c:v>2.1910208093311831E-2</c:v>
                </c:pt>
                <c:pt idx="136">
                  <c:v>1.0356332826950143E-2</c:v>
                </c:pt>
                <c:pt idx="137">
                  <c:v>1.6534026773791455E-2</c:v>
                </c:pt>
                <c:pt idx="138">
                  <c:v>1.5954633415254105E-3</c:v>
                </c:pt>
                <c:pt idx="139">
                  <c:v>8.8015126273208732E-3</c:v>
                </c:pt>
                <c:pt idx="140">
                  <c:v>1.513516093841008E-2</c:v>
                </c:pt>
                <c:pt idx="141">
                  <c:v>1.1140831761503281E-2</c:v>
                </c:pt>
                <c:pt idx="142">
                  <c:v>1.8666351688910829E-2</c:v>
                </c:pt>
                <c:pt idx="143">
                  <c:v>5.8128567204834836E-4</c:v>
                </c:pt>
                <c:pt idx="144">
                  <c:v>2.029867721577433E-2</c:v>
                </c:pt>
                <c:pt idx="145">
                  <c:v>1.4084121083594942E-2</c:v>
                </c:pt>
                <c:pt idx="146">
                  <c:v>1.6722117433551675E-2</c:v>
                </c:pt>
                <c:pt idx="147">
                  <c:v>4.9971639767092402E-3</c:v>
                </c:pt>
                <c:pt idx="148">
                  <c:v>2.4574627093604251E-4</c:v>
                </c:pt>
                <c:pt idx="149">
                  <c:v>1.2476373609591751E-3</c:v>
                </c:pt>
                <c:pt idx="150">
                  <c:v>7.1909266830508245E-3</c:v>
                </c:pt>
                <c:pt idx="151">
                  <c:v>6.5803407387808321E-3</c:v>
                </c:pt>
                <c:pt idx="152">
                  <c:v>2.031191362244833E-3</c:v>
                </c:pt>
                <c:pt idx="153">
                  <c:v>6.4461210631738819E-4</c:v>
                </c:pt>
                <c:pt idx="154">
                  <c:v>8.8100194737047444E-3</c:v>
                </c:pt>
                <c:pt idx="155">
                  <c:v>2.556711289652347E-3</c:v>
                </c:pt>
                <c:pt idx="156">
                  <c:v>1.1443289933835699E-2</c:v>
                </c:pt>
                <c:pt idx="157">
                  <c:v>4.1342160051425214E-3</c:v>
                </c:pt>
                <c:pt idx="158">
                  <c:v>2.77315728836669E-3</c:v>
                </c:pt>
                <c:pt idx="159">
                  <c:v>7.6275935195968536E-4</c:v>
                </c:pt>
                <c:pt idx="160">
                  <c:v>1.2287802942101411E-5</c:v>
                </c:pt>
                <c:pt idx="161">
                  <c:v>1.3987712197057911E-2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093920"/>
        <c:axId val="605094312"/>
      </c:scatterChart>
      <c:valAx>
        <c:axId val="605093920"/>
        <c:scaling>
          <c:orientation val="minMax"/>
          <c:max val="2015"/>
          <c:min val="19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05094312"/>
        <c:crosses val="autoZero"/>
        <c:crossBetween val="midCat"/>
      </c:valAx>
      <c:valAx>
        <c:axId val="605094312"/>
        <c:scaling>
          <c:orientation val="minMax"/>
          <c:max val="4.0000000000000008E-2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Error between global and composed</a:t>
                </a:r>
              </a:p>
            </c:rich>
          </c:tx>
          <c:layout>
            <c:manualLayout>
              <c:xMode val="edge"/>
              <c:yMode val="edge"/>
              <c:x val="2.3277407750680431E-2"/>
              <c:y val="0.1214422965954108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6050939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7329891082499818"/>
          <c:y val="0.16368519833139406"/>
          <c:w val="0.36469351907934583"/>
          <c:h val="0.15431321084864391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bg1">
              <a:lumMod val="65000"/>
            </a:schemeClr>
          </a:solidFill>
        </a:ln>
      </c:spPr>
    </c:legend>
    <c:plotVisOnly val="1"/>
    <c:dispBlanksAs val="gap"/>
    <c:showDLblsOverMax val="0"/>
  </c:chart>
  <c:txPr>
    <a:bodyPr/>
    <a:lstStyle/>
    <a:p>
      <a:pPr>
        <a:defRPr sz="11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Increased rate of ocean heat sinking </a:t>
            </a:r>
          </a:p>
        </c:rich>
      </c:tx>
      <c:layout>
        <c:manualLayout>
          <c:xMode val="edge"/>
          <c:yMode val="edge"/>
          <c:x val="0.39755916909369249"/>
          <c:y val="5.494139159925392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584916472201704E-2"/>
          <c:y val="0.14003360317702765"/>
          <c:w val="0.87326458468234558"/>
          <c:h val="0.59768301102644861"/>
        </c:manualLayout>
      </c:layout>
      <c:scatterChart>
        <c:scatterStyle val="smoothMarker"/>
        <c:varyColors val="0"/>
        <c:ser>
          <c:idx val="0"/>
          <c:order val="0"/>
          <c:tx>
            <c:v>Ratio of Ocean/Land temperature rise</c:v>
          </c:tx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pPr>
              <a:solidFill>
                <a:schemeClr val="accent5">
                  <a:lumMod val="20000"/>
                  <a:lumOff val="80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trendline>
            <c:spPr>
              <a:ln w="38100">
                <a:solidFill>
                  <a:schemeClr val="tx1"/>
                </a:solidFill>
              </a:ln>
            </c:spPr>
            <c:trendlineType val="poly"/>
            <c:order val="5"/>
            <c:dispRSqr val="1"/>
            <c:dispEq val="1"/>
            <c:trendlineLbl>
              <c:layout>
                <c:manualLayout>
                  <c:x val="2.0690265485037853E-2"/>
                  <c:y val="0.45244086921270327"/>
                </c:manualLayout>
              </c:layout>
              <c:numFmt formatCode="0.0000000000E+00" sourceLinked="0"/>
            </c:trendlineLbl>
          </c:trendline>
          <c:xVal>
            <c:numRef>
              <c:f>'main (4)'!$A$10:$A$171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'main (4)'!$G$10:$G$171</c:f>
              <c:numCache>
                <c:formatCode>General</c:formatCode>
                <c:ptCount val="162"/>
                <c:pt idx="0">
                  <c:v>0.14454212292001092</c:v>
                </c:pt>
                <c:pt idx="1">
                  <c:v>0.1317202117778877</c:v>
                </c:pt>
                <c:pt idx="2">
                  <c:v>0.72984285846525754</c:v>
                </c:pt>
                <c:pt idx="3">
                  <c:v>0.1874442187046296</c:v>
                </c:pt>
                <c:pt idx="4">
                  <c:v>1</c:v>
                </c:pt>
                <c:pt idx="5">
                  <c:v>0.46704339112146342</c:v>
                </c:pt>
                <c:pt idx="6">
                  <c:v>0.79152098045690866</c:v>
                </c:pt>
                <c:pt idx="7">
                  <c:v>0.94646159954302667</c:v>
                </c:pt>
                <c:pt idx="8">
                  <c:v>0.99194660592224215</c:v>
                </c:pt>
                <c:pt idx="9">
                  <c:v>0.38717394225472335</c:v>
                </c:pt>
                <c:pt idx="10">
                  <c:v>0.69838499306552237</c:v>
                </c:pt>
                <c:pt idx="11">
                  <c:v>0.81340910095580177</c:v>
                </c:pt>
                <c:pt idx="12">
                  <c:v>0.93320718786501233</c:v>
                </c:pt>
                <c:pt idx="13">
                  <c:v>0.46906005060435624</c:v>
                </c:pt>
                <c:pt idx="14">
                  <c:v>0.5557999076326664</c:v>
                </c:pt>
                <c:pt idx="15">
                  <c:v>0.47300110652008104</c:v>
                </c:pt>
                <c:pt idx="16">
                  <c:v>0.49313625954037149</c:v>
                </c:pt>
                <c:pt idx="17">
                  <c:v>0.44400024256631837</c:v>
                </c:pt>
                <c:pt idx="18">
                  <c:v>0.59366324869028897</c:v>
                </c:pt>
                <c:pt idx="19">
                  <c:v>0.37009139911683697</c:v>
                </c:pt>
                <c:pt idx="20">
                  <c:v>0.37857935242255836</c:v>
                </c:pt>
                <c:pt idx="21">
                  <c:v>0.49833542089281019</c:v>
                </c:pt>
                <c:pt idx="22">
                  <c:v>0.810947376123624</c:v>
                </c:pt>
                <c:pt idx="23">
                  <c:v>0.49997419728947112</c:v>
                </c:pt>
                <c:pt idx="24">
                  <c:v>0.31045692348035187</c:v>
                </c:pt>
                <c:pt idx="25">
                  <c:v>0.66456878369227157</c:v>
                </c:pt>
                <c:pt idx="26">
                  <c:v>0.14669276395732866</c:v>
                </c:pt>
                <c:pt idx="27">
                  <c:v>9.0790939786195457E-2</c:v>
                </c:pt>
                <c:pt idx="28">
                  <c:v>0.22322551303034963</c:v>
                </c:pt>
                <c:pt idx="29">
                  <c:v>0.53101019941957872</c:v>
                </c:pt>
                <c:pt idx="30">
                  <c:v>0.26906420973058903</c:v>
                </c:pt>
                <c:pt idx="31">
                  <c:v>0.40656030469993704</c:v>
                </c:pt>
                <c:pt idx="32">
                  <c:v>0.29288555710043762</c:v>
                </c:pt>
                <c:pt idx="33">
                  <c:v>0.37192990832269135</c:v>
                </c:pt>
                <c:pt idx="34">
                  <c:v>0.36531965787643206</c:v>
                </c:pt>
                <c:pt idx="35">
                  <c:v>0.44251236285184037</c:v>
                </c:pt>
                <c:pt idx="36">
                  <c:v>0.47460635338694385</c:v>
                </c:pt>
                <c:pt idx="37">
                  <c:v>0.30333977630832265</c:v>
                </c:pt>
                <c:pt idx="38">
                  <c:v>0.39517098321641542</c:v>
                </c:pt>
                <c:pt idx="39">
                  <c:v>0.81779357823838594</c:v>
                </c:pt>
                <c:pt idx="40">
                  <c:v>0.40226151872216753</c:v>
                </c:pt>
                <c:pt idx="41">
                  <c:v>0.49534410543887414</c:v>
                </c:pt>
                <c:pt idx="42">
                  <c:v>0.46666508947149871</c:v>
                </c:pt>
                <c:pt idx="43">
                  <c:v>0.57112582697869774</c:v>
                </c:pt>
                <c:pt idx="44">
                  <c:v>0.46465817937423265</c:v>
                </c:pt>
                <c:pt idx="45">
                  <c:v>0.29365489160744296</c:v>
                </c:pt>
                <c:pt idx="46">
                  <c:v>0.44801116211654091</c:v>
                </c:pt>
                <c:pt idx="47">
                  <c:v>0.75603128029241384</c:v>
                </c:pt>
                <c:pt idx="48">
                  <c:v>0.76538119658640746</c:v>
                </c:pt>
                <c:pt idx="49">
                  <c:v>0.70940057617722774</c:v>
                </c:pt>
                <c:pt idx="50">
                  <c:v>1</c:v>
                </c:pt>
                <c:pt idx="51">
                  <c:v>0.94919189105120205</c:v>
                </c:pt>
                <c:pt idx="52">
                  <c:v>0.76114073091931356</c:v>
                </c:pt>
                <c:pt idx="53">
                  <c:v>0.78177180010964409</c:v>
                </c:pt>
                <c:pt idx="54">
                  <c:v>0.58743578545510744</c:v>
                </c:pt>
                <c:pt idx="55">
                  <c:v>0.92900474620563112</c:v>
                </c:pt>
                <c:pt idx="56">
                  <c:v>0.49228599407120305</c:v>
                </c:pt>
                <c:pt idx="57">
                  <c:v>0.73548464653864276</c:v>
                </c:pt>
                <c:pt idx="58">
                  <c:v>0.78390963373377121</c:v>
                </c:pt>
                <c:pt idx="59">
                  <c:v>0.9908071770625132</c:v>
                </c:pt>
                <c:pt idx="60">
                  <c:v>0.87861600960453268</c:v>
                </c:pt>
                <c:pt idx="61">
                  <c:v>0.89056771389902989</c:v>
                </c:pt>
                <c:pt idx="62">
                  <c:v>0.86287123955468414</c:v>
                </c:pt>
                <c:pt idx="63">
                  <c:v>1</c:v>
                </c:pt>
                <c:pt idx="64">
                  <c:v>0.94734816119454168</c:v>
                </c:pt>
                <c:pt idx="65">
                  <c:v>0.71530480438769128</c:v>
                </c:pt>
                <c:pt idx="66">
                  <c:v>0.44412595585158871</c:v>
                </c:pt>
                <c:pt idx="67">
                  <c:v>0.481902869161703</c:v>
                </c:pt>
                <c:pt idx="68">
                  <c:v>0.54135090864268798</c:v>
                </c:pt>
                <c:pt idx="69">
                  <c:v>0.58039449143008759</c:v>
                </c:pt>
                <c:pt idx="70">
                  <c:v>1</c:v>
                </c:pt>
                <c:pt idx="71">
                  <c:v>0.77059411934124722</c:v>
                </c:pt>
                <c:pt idx="72">
                  <c:v>0.78240622116677794</c:v>
                </c:pt>
                <c:pt idx="73">
                  <c:v>0.82061641613347347</c:v>
                </c:pt>
                <c:pt idx="74">
                  <c:v>0.58641957663794075</c:v>
                </c:pt>
                <c:pt idx="75">
                  <c:v>1</c:v>
                </c:pt>
                <c:pt idx="76">
                  <c:v>0.92083991531552856</c:v>
                </c:pt>
                <c:pt idx="77">
                  <c:v>0.94733443522682115</c:v>
                </c:pt>
                <c:pt idx="78">
                  <c:v>0.59887189428034293</c:v>
                </c:pt>
                <c:pt idx="79">
                  <c:v>0.88092715072827465</c:v>
                </c:pt>
                <c:pt idx="80">
                  <c:v>0.58567000044272022</c:v>
                </c:pt>
                <c:pt idx="81">
                  <c:v>1</c:v>
                </c:pt>
                <c:pt idx="82">
                  <c:v>0.82770817686359088</c:v>
                </c:pt>
                <c:pt idx="83">
                  <c:v>1</c:v>
                </c:pt>
                <c:pt idx="84">
                  <c:v>0.72229051704333103</c:v>
                </c:pt>
                <c:pt idx="85">
                  <c:v>0.91442171062959043</c:v>
                </c:pt>
                <c:pt idx="86">
                  <c:v>0.60284071069058842</c:v>
                </c:pt>
                <c:pt idx="87">
                  <c:v>0.46971982094229747</c:v>
                </c:pt>
                <c:pt idx="88">
                  <c:v>1</c:v>
                </c:pt>
                <c:pt idx="89">
                  <c:v>0.11348013704916698</c:v>
                </c:pt>
                <c:pt idx="90">
                  <c:v>0.63992368948774736</c:v>
                </c:pt>
                <c:pt idx="91">
                  <c:v>0.65217391304347827</c:v>
                </c:pt>
                <c:pt idx="92">
                  <c:v>0.10485639719581724</c:v>
                </c:pt>
                <c:pt idx="93">
                  <c:v>0.96770249440338374</c:v>
                </c:pt>
                <c:pt idx="94">
                  <c:v>0.64231625067802089</c:v>
                </c:pt>
                <c:pt idx="95">
                  <c:v>0.92648146468430637</c:v>
                </c:pt>
                <c:pt idx="96">
                  <c:v>1</c:v>
                </c:pt>
                <c:pt idx="97">
                  <c:v>0.3481031025553562</c:v>
                </c:pt>
                <c:pt idx="98">
                  <c:v>0.72512545763309055</c:v>
                </c:pt>
                <c:pt idx="99">
                  <c:v>0.75104425449523471</c:v>
                </c:pt>
                <c:pt idx="100">
                  <c:v>0.49197350997919215</c:v>
                </c:pt>
                <c:pt idx="101">
                  <c:v>0.56657197308203611</c:v>
                </c:pt>
                <c:pt idx="102">
                  <c:v>0.61989302460783369</c:v>
                </c:pt>
                <c:pt idx="103">
                  <c:v>0.65469419479464197</c:v>
                </c:pt>
                <c:pt idx="104">
                  <c:v>0.74243316055108743</c:v>
                </c:pt>
                <c:pt idx="105">
                  <c:v>0.72541193222197831</c:v>
                </c:pt>
                <c:pt idx="106">
                  <c:v>0.7771800453682407</c:v>
                </c:pt>
                <c:pt idx="107">
                  <c:v>0.33198285832253388</c:v>
                </c:pt>
                <c:pt idx="109">
                  <c:v>0.70810386858532526</c:v>
                </c:pt>
                <c:pt idx="110">
                  <c:v>0.45402741321411333</c:v>
                </c:pt>
                <c:pt idx="111">
                  <c:v>0.77412341997074618</c:v>
                </c:pt>
                <c:pt idx="112">
                  <c:v>1</c:v>
                </c:pt>
                <c:pt idx="113">
                  <c:v>0.99415752635161714</c:v>
                </c:pt>
                <c:pt idx="114">
                  <c:v>0.41081960694431363</c:v>
                </c:pt>
                <c:pt idx="115">
                  <c:v>0.98088114678908578</c:v>
                </c:pt>
                <c:pt idx="116">
                  <c:v>0.62566050820685448</c:v>
                </c:pt>
                <c:pt idx="117">
                  <c:v>0.67323776355099896</c:v>
                </c:pt>
                <c:pt idx="118">
                  <c:v>0.52943744734782694</c:v>
                </c:pt>
                <c:pt idx="119">
                  <c:v>0.64848470630980548</c:v>
                </c:pt>
                <c:pt idx="120">
                  <c:v>0.6054947207245176</c:v>
                </c:pt>
                <c:pt idx="121">
                  <c:v>0.44409721511200179</c:v>
                </c:pt>
                <c:pt idx="122">
                  <c:v>0.69907631571641571</c:v>
                </c:pt>
                <c:pt idx="123">
                  <c:v>0.85651556064050594</c:v>
                </c:pt>
                <c:pt idx="124">
                  <c:v>1</c:v>
                </c:pt>
                <c:pt idx="125">
                  <c:v>0.66980866510134685</c:v>
                </c:pt>
                <c:pt idx="126">
                  <c:v>0.52828983239578087</c:v>
                </c:pt>
                <c:pt idx="127">
                  <c:v>0.89506557427400646</c:v>
                </c:pt>
                <c:pt idx="128">
                  <c:v>1</c:v>
                </c:pt>
                <c:pt idx="129">
                  <c:v>0.96262706249914398</c:v>
                </c:pt>
                <c:pt idx="130">
                  <c:v>0.72157566501254411</c:v>
                </c:pt>
                <c:pt idx="131">
                  <c:v>0.21156419904309176</c:v>
                </c:pt>
                <c:pt idx="132">
                  <c:v>0.62586336356264161</c:v>
                </c:pt>
                <c:pt idx="133">
                  <c:v>0.12419426091459257</c:v>
                </c:pt>
                <c:pt idx="134">
                  <c:v>0.42474412918196691</c:v>
                </c:pt>
                <c:pt idx="135">
                  <c:v>0.85553151611819689</c:v>
                </c:pt>
                <c:pt idx="136">
                  <c:v>0.80506581639303698</c:v>
                </c:pt>
                <c:pt idx="137">
                  <c:v>0.62919925202964655</c:v>
                </c:pt>
                <c:pt idx="138">
                  <c:v>0.45008868731778601</c:v>
                </c:pt>
                <c:pt idx="139">
                  <c:v>0.57109621762565588</c:v>
                </c:pt>
                <c:pt idx="140">
                  <c:v>0.69243498323655128</c:v>
                </c:pt>
                <c:pt idx="141">
                  <c:v>0.85240333126604062</c:v>
                </c:pt>
                <c:pt idx="142">
                  <c:v>0.64727719890138169</c:v>
                </c:pt>
                <c:pt idx="143">
                  <c:v>0.4618823652182249</c:v>
                </c:pt>
                <c:pt idx="144">
                  <c:v>0.60397559279442181</c:v>
                </c:pt>
                <c:pt idx="145">
                  <c:v>0.92411642084093937</c:v>
                </c:pt>
                <c:pt idx="146">
                  <c:v>0.79630375668084652</c:v>
                </c:pt>
                <c:pt idx="147">
                  <c:v>0.44137764175818517</c:v>
                </c:pt>
                <c:pt idx="148">
                  <c:v>0.38857444942694064</c:v>
                </c:pt>
                <c:pt idx="149">
                  <c:v>0.48724905543512076</c:v>
                </c:pt>
                <c:pt idx="150">
                  <c:v>0.5794021673158789</c:v>
                </c:pt>
                <c:pt idx="151">
                  <c:v>0.55759139337024843</c:v>
                </c:pt>
                <c:pt idx="152">
                  <c:v>0.5392886759287312</c:v>
                </c:pt>
                <c:pt idx="153">
                  <c:v>0.5129009168900498</c:v>
                </c:pt>
                <c:pt idx="154">
                  <c:v>0.54645230952759116</c:v>
                </c:pt>
                <c:pt idx="155">
                  <c:v>0.49669119771639753</c:v>
                </c:pt>
                <c:pt idx="156">
                  <c:v>0.50181698494011384</c:v>
                </c:pt>
                <c:pt idx="157">
                  <c:v>0.47734522734641821</c:v>
                </c:pt>
                <c:pt idx="158">
                  <c:v>0.57548786545273334</c:v>
                </c:pt>
                <c:pt idx="159">
                  <c:v>0.42478114800266137</c:v>
                </c:pt>
                <c:pt idx="160">
                  <c:v>0.41847523935798614</c:v>
                </c:pt>
                <c:pt idx="161">
                  <c:v>0.40492147313638949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095096"/>
        <c:axId val="605095488"/>
      </c:scatterChart>
      <c:valAx>
        <c:axId val="605095096"/>
        <c:scaling>
          <c:orientation val="minMax"/>
          <c:max val="2015"/>
          <c:min val="18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05095488"/>
        <c:crosses val="autoZero"/>
        <c:crossBetween val="midCat"/>
      </c:valAx>
      <c:valAx>
        <c:axId val="605095488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f</a:t>
                </a:r>
              </a:p>
            </c:rich>
          </c:tx>
          <c:layout>
            <c:manualLayout>
              <c:xMode val="edge"/>
              <c:yMode val="edge"/>
              <c:x val="2.1254593175853018E-2"/>
              <c:y val="0.3952042782401946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605095096"/>
        <c:crosses val="autoZero"/>
        <c:crossBetween val="midCat"/>
      </c:valAx>
      <c:spPr>
        <a:gradFill flip="none" rotWithShape="1">
          <a:gsLst>
            <a:gs pos="0">
              <a:srgbClr val="FFF200"/>
            </a:gs>
            <a:gs pos="39000">
              <a:srgbClr val="FF7A00"/>
            </a:gs>
            <a:gs pos="70000">
              <a:srgbClr val="FF0300"/>
            </a:gs>
            <a:gs pos="100000">
              <a:srgbClr val="4D0808"/>
            </a:gs>
          </a:gsLst>
          <a:lin ang="16200000" scaled="0"/>
          <a:tileRect/>
        </a:gradFill>
        <a:ln w="25400">
          <a:noFill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27279021099258949"/>
          <c:y val="0.6611363100570512"/>
          <c:w val="0.26524773176554184"/>
          <c:h val="8.1691944195598318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570220673163471E-2"/>
          <c:y val="3.9874372058246302E-2"/>
          <c:w val="0.87777496620443063"/>
          <c:h val="0.78036659016174625"/>
        </c:manualLayout>
      </c:layout>
      <c:scatterChart>
        <c:scatterStyle val="lineMarker"/>
        <c:varyColors val="0"/>
        <c:ser>
          <c:idx val="2"/>
          <c:order val="0"/>
          <c:tx>
            <c:strRef>
              <c:f>'main (4)'!$W$9</c:f>
              <c:strCache>
                <c:ptCount val="1"/>
                <c:pt idx="0">
                  <c:v>Equivalent global temperature anomaly if ocean heat uptake treated as an effective temperature </c:v>
                </c:pt>
              </c:strCache>
            </c:strRef>
          </c:tx>
          <c:marker>
            <c:symbol val="none"/>
          </c:marker>
          <c:xVal>
            <c:numRef>
              <c:f>'main (4)'!$A$10:$A$171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'main (4)'!$W$10:$W$171</c:f>
              <c:numCache>
                <c:formatCode>General</c:formatCode>
                <c:ptCount val="162"/>
                <c:pt idx="0">
                  <c:v>-0.14425122390950115</c:v>
                </c:pt>
                <c:pt idx="1">
                  <c:v>-0.13594906808641483</c:v>
                </c:pt>
                <c:pt idx="2">
                  <c:v>-0.32894598129527242</c:v>
                </c:pt>
                <c:pt idx="3">
                  <c:v>-0.24525410160728012</c:v>
                </c:pt>
                <c:pt idx="4">
                  <c:v>-0.32082389541235312</c:v>
                </c:pt>
                <c:pt idx="5">
                  <c:v>-0.5343550100366119</c:v>
                </c:pt>
                <c:pt idx="6">
                  <c:v>-0.68640650867723729</c:v>
                </c:pt>
                <c:pt idx="7">
                  <c:v>-0.74304378027237172</c:v>
                </c:pt>
                <c:pt idx="8">
                  <c:v>-0.50777982035497804</c:v>
                </c:pt>
                <c:pt idx="9">
                  <c:v>-0.52758453109039016</c:v>
                </c:pt>
                <c:pt idx="10">
                  <c:v>-0.69827437221528277</c:v>
                </c:pt>
                <c:pt idx="11">
                  <c:v>-0.77364342341219161</c:v>
                </c:pt>
                <c:pt idx="12">
                  <c:v>-0.58224863703067053</c:v>
                </c:pt>
                <c:pt idx="13">
                  <c:v>-0.78813290730978058</c:v>
                </c:pt>
                <c:pt idx="14">
                  <c:v>-0.46264921849238017</c:v>
                </c:pt>
                <c:pt idx="15">
                  <c:v>-0.42788996818909558</c:v>
                </c:pt>
                <c:pt idx="16">
                  <c:v>-0.48508844119923911</c:v>
                </c:pt>
                <c:pt idx="17">
                  <c:v>-0.43798188206506522</c:v>
                </c:pt>
                <c:pt idx="18">
                  <c:v>-0.488925081574278</c:v>
                </c:pt>
                <c:pt idx="19">
                  <c:v>-0.48991603371864939</c:v>
                </c:pt>
                <c:pt idx="20">
                  <c:v>-0.5228202143645424</c:v>
                </c:pt>
                <c:pt idx="21">
                  <c:v>-0.43555334902545462</c:v>
                </c:pt>
                <c:pt idx="22">
                  <c:v>-0.53822546597354992</c:v>
                </c:pt>
                <c:pt idx="23">
                  <c:v>-0.73765458141037932</c:v>
                </c:pt>
                <c:pt idx="24">
                  <c:v>-0.62518919927157879</c:v>
                </c:pt>
                <c:pt idx="25">
                  <c:v>-0.66836050088970889</c:v>
                </c:pt>
                <c:pt idx="26">
                  <c:v>-0.11962867913943856</c:v>
                </c:pt>
                <c:pt idx="27">
                  <c:v>2.3487238420471207E-2</c:v>
                </c:pt>
                <c:pt idx="28">
                  <c:v>-0.42937832091532091</c:v>
                </c:pt>
                <c:pt idx="29">
                  <c:v>-0.36313227587723118</c:v>
                </c:pt>
                <c:pt idx="30">
                  <c:v>-0.34101522597107109</c:v>
                </c:pt>
                <c:pt idx="31">
                  <c:v>-0.37226937657878112</c:v>
                </c:pt>
                <c:pt idx="32">
                  <c:v>-0.49292372229927855</c:v>
                </c:pt>
                <c:pt idx="33">
                  <c:v>-0.65607500969026844</c:v>
                </c:pt>
                <c:pt idx="34">
                  <c:v>-0.62523843611804253</c:v>
                </c:pt>
                <c:pt idx="35">
                  <c:v>-0.5965707531773492</c:v>
                </c:pt>
                <c:pt idx="36">
                  <c:v>-0.68390593914045739</c:v>
                </c:pt>
                <c:pt idx="37">
                  <c:v>-0.48037743388548126</c:v>
                </c:pt>
                <c:pt idx="38">
                  <c:v>-0.27065852811298302</c:v>
                </c:pt>
                <c:pt idx="39">
                  <c:v>-0.65675302750802711</c:v>
                </c:pt>
                <c:pt idx="40">
                  <c:v>-0.49465983433335675</c:v>
                </c:pt>
                <c:pt idx="41">
                  <c:v>-0.67573211687395829</c:v>
                </c:pt>
                <c:pt idx="42">
                  <c:v>-0.67752807680556293</c:v>
                </c:pt>
                <c:pt idx="43">
                  <c:v>-0.63048547665769494</c:v>
                </c:pt>
                <c:pt idx="44">
                  <c:v>-0.55359404378675636</c:v>
                </c:pt>
                <c:pt idx="45">
                  <c:v>-0.26525215234336597</c:v>
                </c:pt>
                <c:pt idx="46">
                  <c:v>-0.29233949652173824</c:v>
                </c:pt>
                <c:pt idx="47">
                  <c:v>-0.56639028449533357</c:v>
                </c:pt>
                <c:pt idx="48">
                  <c:v>-0.40635239489293795</c:v>
                </c:pt>
                <c:pt idx="49">
                  <c:v>-0.27700096038331617</c:v>
                </c:pt>
                <c:pt idx="50">
                  <c:v>-0.40195442044967333</c:v>
                </c:pt>
                <c:pt idx="51">
                  <c:v>-0.56610278396269997</c:v>
                </c:pt>
                <c:pt idx="52">
                  <c:v>-0.68027185204323493</c:v>
                </c:pt>
                <c:pt idx="53">
                  <c:v>-0.72954163557744922</c:v>
                </c:pt>
                <c:pt idx="54">
                  <c:v>-0.53981545123879682</c:v>
                </c:pt>
                <c:pt idx="55">
                  <c:v>-0.42116054960498417</c:v>
                </c:pt>
                <c:pt idx="56">
                  <c:v>-0.63745104524842378</c:v>
                </c:pt>
                <c:pt idx="57">
                  <c:v>-0.69613319166357357</c:v>
                </c:pt>
                <c:pt idx="58">
                  <c:v>-0.70797962040691775</c:v>
                </c:pt>
                <c:pt idx="59">
                  <c:v>-0.67484842496870967</c:v>
                </c:pt>
                <c:pt idx="60">
                  <c:v>-0.71087304401896623</c:v>
                </c:pt>
                <c:pt idx="61">
                  <c:v>-0.57817829509337493</c:v>
                </c:pt>
                <c:pt idx="62">
                  <c:v>-0.5713541370787445</c:v>
                </c:pt>
                <c:pt idx="63">
                  <c:v>-0.34172828112045261</c:v>
                </c:pt>
                <c:pt idx="64">
                  <c:v>-0.22183184266982006</c:v>
                </c:pt>
                <c:pt idx="65">
                  <c:v>-0.50530888849821021</c:v>
                </c:pt>
                <c:pt idx="66">
                  <c:v>-0.61442017036622742</c:v>
                </c:pt>
                <c:pt idx="67">
                  <c:v>-0.4668278371789355</c:v>
                </c:pt>
                <c:pt idx="68">
                  <c:v>-0.40790027428973341</c:v>
                </c:pt>
                <c:pt idx="69">
                  <c:v>-0.34283545768629931</c:v>
                </c:pt>
                <c:pt idx="70">
                  <c:v>-0.25669638751268431</c:v>
                </c:pt>
                <c:pt idx="71">
                  <c:v>-0.39351433833959304</c:v>
                </c:pt>
                <c:pt idx="72">
                  <c:v>-0.36851055809281519</c:v>
                </c:pt>
                <c:pt idx="73">
                  <c:v>-0.37039357701671544</c:v>
                </c:pt>
                <c:pt idx="74">
                  <c:v>-0.30335656815729584</c:v>
                </c:pt>
                <c:pt idx="75">
                  <c:v>-0.14340012592494722</c:v>
                </c:pt>
                <c:pt idx="76">
                  <c:v>-0.25319060656129855</c:v>
                </c:pt>
                <c:pt idx="77">
                  <c:v>-0.25991485089408783</c:v>
                </c:pt>
                <c:pt idx="78">
                  <c:v>-0.42184250909453602</c:v>
                </c:pt>
                <c:pt idx="79">
                  <c:v>-0.16480954864283659</c:v>
                </c:pt>
                <c:pt idx="80">
                  <c:v>-0.11868783167311173</c:v>
                </c:pt>
                <c:pt idx="81">
                  <c:v>-0.18053442961107308</c:v>
                </c:pt>
                <c:pt idx="82">
                  <c:v>-0.32375295875239957</c:v>
                </c:pt>
                <c:pt idx="83">
                  <c:v>-0.18367147528357566</c:v>
                </c:pt>
                <c:pt idx="84">
                  <c:v>-0.22530691719472865</c:v>
                </c:pt>
                <c:pt idx="85">
                  <c:v>-0.17714595351526868</c:v>
                </c:pt>
                <c:pt idx="86">
                  <c:v>-1.9543495665126719E-2</c:v>
                </c:pt>
                <c:pt idx="87">
                  <c:v>-3.50811335323147E-2</c:v>
                </c:pt>
                <c:pt idx="88">
                  <c:v>-7.7743358585730948E-2</c:v>
                </c:pt>
                <c:pt idx="89">
                  <c:v>3.174002144176449E-3</c:v>
                </c:pt>
                <c:pt idx="90">
                  <c:v>4.6807991725740364E-2</c:v>
                </c:pt>
                <c:pt idx="91">
                  <c:v>4.4317519119107737E-4</c:v>
                </c:pt>
                <c:pt idx="92">
                  <c:v>5.112139885147019E-4</c:v>
                </c:pt>
                <c:pt idx="93">
                  <c:v>0.17724107419516807</c:v>
                </c:pt>
                <c:pt idx="94">
                  <c:v>9.7022617094063485E-2</c:v>
                </c:pt>
                <c:pt idx="95">
                  <c:v>-3.8769085451453036E-2</c:v>
                </c:pt>
                <c:pt idx="96">
                  <c:v>-5.5805207415480673E-2</c:v>
                </c:pt>
                <c:pt idx="97">
                  <c:v>-4.548222236871869E-2</c:v>
                </c:pt>
                <c:pt idx="98">
                  <c:v>-8.5818556086569187E-2</c:v>
                </c:pt>
                <c:pt idx="99">
                  <c:v>-0.17156220092932623</c:v>
                </c:pt>
                <c:pt idx="100">
                  <c:v>-2.4643853969790123E-2</c:v>
                </c:pt>
                <c:pt idx="101">
                  <c:v>7.056599003620731E-2</c:v>
                </c:pt>
                <c:pt idx="102">
                  <c:v>0.12828259965194755</c:v>
                </c:pt>
                <c:pt idx="103">
                  <c:v>-0.14165639064415164</c:v>
                </c:pt>
                <c:pt idx="104">
                  <c:v>-0.21807006328310063</c:v>
                </c:pt>
                <c:pt idx="105">
                  <c:v>-0.28778956437248598</c:v>
                </c:pt>
                <c:pt idx="106">
                  <c:v>3.247943370869931E-2</c:v>
                </c:pt>
                <c:pt idx="107">
                  <c:v>9.9436834978443786E-2</c:v>
                </c:pt>
                <c:pt idx="108">
                  <c:v>4.7483037543585488E-2</c:v>
                </c:pt>
                <c:pt idx="109">
                  <c:v>-2.3823066885920896E-2</c:v>
                </c:pt>
                <c:pt idx="110">
                  <c:v>6.7013087259427215E-2</c:v>
                </c:pt>
                <c:pt idx="111">
                  <c:v>1.8944946740885725E-2</c:v>
                </c:pt>
                <c:pt idx="112">
                  <c:v>6.8149473239460454E-2</c:v>
                </c:pt>
                <c:pt idx="113">
                  <c:v>-0.24114458916916659</c:v>
                </c:pt>
                <c:pt idx="114">
                  <c:v>-0.18091796366995325</c:v>
                </c:pt>
                <c:pt idx="115">
                  <c:v>-4.3147370261696495E-2</c:v>
                </c:pt>
                <c:pt idx="116">
                  <c:v>-8.6076214080838917E-2</c:v>
                </c:pt>
                <c:pt idx="117">
                  <c:v>-0.11773853118976135</c:v>
                </c:pt>
                <c:pt idx="118">
                  <c:v>8.3880040323446647E-2</c:v>
                </c:pt>
                <c:pt idx="119">
                  <c:v>-2.8359743685921601E-2</c:v>
                </c:pt>
                <c:pt idx="120">
                  <c:v>-0.25988622720104798</c:v>
                </c:pt>
                <c:pt idx="121">
                  <c:v>-6.3401901443225717E-2</c:v>
                </c:pt>
                <c:pt idx="122">
                  <c:v>5.5847137849000486E-2</c:v>
                </c:pt>
                <c:pt idx="123">
                  <c:v>-0.25417538400891665</c:v>
                </c:pt>
                <c:pt idx="124">
                  <c:v>-0.22060969522657312</c:v>
                </c:pt>
                <c:pt idx="125">
                  <c:v>-0.29545334790765954</c:v>
                </c:pt>
                <c:pt idx="126">
                  <c:v>2.9749106756194903E-2</c:v>
                </c:pt>
                <c:pt idx="127">
                  <c:v>-8.1831401014400992E-2</c:v>
                </c:pt>
                <c:pt idx="128">
                  <c:v>7.8532270713990646E-2</c:v>
                </c:pt>
                <c:pt idx="129">
                  <c:v>9.7559839102148313E-2</c:v>
                </c:pt>
                <c:pt idx="130">
                  <c:v>0.12032508390429612</c:v>
                </c:pt>
                <c:pt idx="131">
                  <c:v>1.3695718099071339E-2</c:v>
                </c:pt>
                <c:pt idx="132">
                  <c:v>0.22584563639760485</c:v>
                </c:pt>
                <c:pt idx="133">
                  <c:v>-2.3939149981515837E-2</c:v>
                </c:pt>
                <c:pt idx="134">
                  <c:v>-5.3822818179878829E-2</c:v>
                </c:pt>
                <c:pt idx="135">
                  <c:v>1.9888441775587712E-2</c:v>
                </c:pt>
                <c:pt idx="136">
                  <c:v>0.23434543587538323</c:v>
                </c:pt>
                <c:pt idx="137">
                  <c:v>0.22873972158362124</c:v>
                </c:pt>
                <c:pt idx="138">
                  <c:v>0.14807136285647249</c:v>
                </c:pt>
                <c:pt idx="139">
                  <c:v>0.36564606945246803</c:v>
                </c:pt>
                <c:pt idx="140">
                  <c:v>0.31233276331514309</c:v>
                </c:pt>
                <c:pt idx="141">
                  <c:v>0.13001824233829892</c:v>
                </c:pt>
                <c:pt idx="142">
                  <c:v>0.17039518988654648</c:v>
                </c:pt>
                <c:pt idx="143">
                  <c:v>0.26833112694939304</c:v>
                </c:pt>
                <c:pt idx="144">
                  <c:v>0.39034280783460584</c:v>
                </c:pt>
                <c:pt idx="145">
                  <c:v>0.23088588873686819</c:v>
                </c:pt>
                <c:pt idx="146">
                  <c:v>0.52875625764385181</c:v>
                </c:pt>
                <c:pt idx="147">
                  <c:v>0.74202335086872329</c:v>
                </c:pt>
                <c:pt idx="148">
                  <c:v>0.40156180072528846</c:v>
                </c:pt>
                <c:pt idx="149">
                  <c:v>0.40608642278849372</c:v>
                </c:pt>
                <c:pt idx="150">
                  <c:v>0.60808660980835616</c:v>
                </c:pt>
                <c:pt idx="151">
                  <c:v>0.69186343722000565</c:v>
                </c:pt>
                <c:pt idx="152">
                  <c:v>0.72980826914948826</c:v>
                </c:pt>
                <c:pt idx="153">
                  <c:v>0.66019736912494142</c:v>
                </c:pt>
                <c:pt idx="154">
                  <c:v>0.77631983272153282</c:v>
                </c:pt>
                <c:pt idx="155">
                  <c:v>0.73430875505593529</c:v>
                </c:pt>
                <c:pt idx="156">
                  <c:v>0.67767778415958824</c:v>
                </c:pt>
                <c:pt idx="157">
                  <c:v>0.57409472691437524</c:v>
                </c:pt>
                <c:pt idx="158">
                  <c:v>0.79844391642760404</c:v>
                </c:pt>
                <c:pt idx="159">
                  <c:v>0.88359284296594331</c:v>
                </c:pt>
                <c:pt idx="160">
                  <c:v>0.66230919325917392</c:v>
                </c:pt>
                <c:pt idx="161">
                  <c:v>0.79046991704835745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'main (4)'!$X$9</c:f>
              <c:strCache>
                <c:ptCount val="1"/>
                <c:pt idx="0">
                  <c:v>ECS 3C CO2 model</c:v>
                </c:pt>
              </c:strCache>
            </c:strRef>
          </c:tx>
          <c:marker>
            <c:symbol val="none"/>
          </c:marker>
          <c:xVal>
            <c:numRef>
              <c:f>'main (4)'!$A$10:$A$171</c:f>
              <c:numCache>
                <c:formatCode>General</c:formatCode>
                <c:ptCount val="162"/>
                <c:pt idx="0">
                  <c:v>1851</c:v>
                </c:pt>
                <c:pt idx="1">
                  <c:v>1852</c:v>
                </c:pt>
                <c:pt idx="2">
                  <c:v>1853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  <c:pt idx="7">
                  <c:v>1858</c:v>
                </c:pt>
                <c:pt idx="8">
                  <c:v>1859</c:v>
                </c:pt>
                <c:pt idx="9">
                  <c:v>1860</c:v>
                </c:pt>
                <c:pt idx="10">
                  <c:v>1861</c:v>
                </c:pt>
                <c:pt idx="11">
                  <c:v>1862</c:v>
                </c:pt>
                <c:pt idx="12">
                  <c:v>1863</c:v>
                </c:pt>
                <c:pt idx="13">
                  <c:v>1864</c:v>
                </c:pt>
                <c:pt idx="14">
                  <c:v>1865</c:v>
                </c:pt>
                <c:pt idx="15">
                  <c:v>1866</c:v>
                </c:pt>
                <c:pt idx="16">
                  <c:v>1867</c:v>
                </c:pt>
                <c:pt idx="17">
                  <c:v>1868</c:v>
                </c:pt>
                <c:pt idx="18">
                  <c:v>1869</c:v>
                </c:pt>
                <c:pt idx="19">
                  <c:v>1870</c:v>
                </c:pt>
                <c:pt idx="20">
                  <c:v>1871</c:v>
                </c:pt>
                <c:pt idx="21">
                  <c:v>1872</c:v>
                </c:pt>
                <c:pt idx="22">
                  <c:v>1873</c:v>
                </c:pt>
                <c:pt idx="23">
                  <c:v>1874</c:v>
                </c:pt>
                <c:pt idx="24">
                  <c:v>1875</c:v>
                </c:pt>
                <c:pt idx="25">
                  <c:v>1876</c:v>
                </c:pt>
                <c:pt idx="26">
                  <c:v>1877</c:v>
                </c:pt>
                <c:pt idx="27">
                  <c:v>1878</c:v>
                </c:pt>
                <c:pt idx="28">
                  <c:v>1879</c:v>
                </c:pt>
                <c:pt idx="29">
                  <c:v>1880</c:v>
                </c:pt>
                <c:pt idx="30">
                  <c:v>1881</c:v>
                </c:pt>
                <c:pt idx="31">
                  <c:v>1882</c:v>
                </c:pt>
                <c:pt idx="32">
                  <c:v>1883</c:v>
                </c:pt>
                <c:pt idx="33">
                  <c:v>1884</c:v>
                </c:pt>
                <c:pt idx="34">
                  <c:v>1885</c:v>
                </c:pt>
                <c:pt idx="35">
                  <c:v>1886</c:v>
                </c:pt>
                <c:pt idx="36">
                  <c:v>1887</c:v>
                </c:pt>
                <c:pt idx="37">
                  <c:v>1888</c:v>
                </c:pt>
                <c:pt idx="38">
                  <c:v>1889</c:v>
                </c:pt>
                <c:pt idx="39">
                  <c:v>1890</c:v>
                </c:pt>
                <c:pt idx="40">
                  <c:v>1891</c:v>
                </c:pt>
                <c:pt idx="41">
                  <c:v>1892</c:v>
                </c:pt>
                <c:pt idx="42">
                  <c:v>1893</c:v>
                </c:pt>
                <c:pt idx="43">
                  <c:v>1894</c:v>
                </c:pt>
                <c:pt idx="44">
                  <c:v>1895</c:v>
                </c:pt>
                <c:pt idx="45">
                  <c:v>1896</c:v>
                </c:pt>
                <c:pt idx="46">
                  <c:v>1897</c:v>
                </c:pt>
                <c:pt idx="47">
                  <c:v>1898</c:v>
                </c:pt>
                <c:pt idx="48">
                  <c:v>1899</c:v>
                </c:pt>
                <c:pt idx="49">
                  <c:v>1900</c:v>
                </c:pt>
                <c:pt idx="50">
                  <c:v>1901</c:v>
                </c:pt>
                <c:pt idx="51">
                  <c:v>1902</c:v>
                </c:pt>
                <c:pt idx="52">
                  <c:v>1903</c:v>
                </c:pt>
                <c:pt idx="53">
                  <c:v>1904</c:v>
                </c:pt>
                <c:pt idx="54">
                  <c:v>1905</c:v>
                </c:pt>
                <c:pt idx="55">
                  <c:v>1906</c:v>
                </c:pt>
                <c:pt idx="56">
                  <c:v>1907</c:v>
                </c:pt>
                <c:pt idx="57">
                  <c:v>1908</c:v>
                </c:pt>
                <c:pt idx="58">
                  <c:v>1909</c:v>
                </c:pt>
                <c:pt idx="59">
                  <c:v>1910</c:v>
                </c:pt>
                <c:pt idx="60">
                  <c:v>1911</c:v>
                </c:pt>
                <c:pt idx="61">
                  <c:v>1912</c:v>
                </c:pt>
                <c:pt idx="62">
                  <c:v>1913</c:v>
                </c:pt>
                <c:pt idx="63">
                  <c:v>1914</c:v>
                </c:pt>
                <c:pt idx="64">
                  <c:v>1915</c:v>
                </c:pt>
                <c:pt idx="65">
                  <c:v>1916</c:v>
                </c:pt>
                <c:pt idx="66">
                  <c:v>1917</c:v>
                </c:pt>
                <c:pt idx="67">
                  <c:v>1918</c:v>
                </c:pt>
                <c:pt idx="68">
                  <c:v>1919</c:v>
                </c:pt>
                <c:pt idx="69">
                  <c:v>1920</c:v>
                </c:pt>
                <c:pt idx="70">
                  <c:v>1921</c:v>
                </c:pt>
                <c:pt idx="71">
                  <c:v>1922</c:v>
                </c:pt>
                <c:pt idx="72">
                  <c:v>1923</c:v>
                </c:pt>
                <c:pt idx="73">
                  <c:v>1924</c:v>
                </c:pt>
                <c:pt idx="74">
                  <c:v>1925</c:v>
                </c:pt>
                <c:pt idx="75">
                  <c:v>1926</c:v>
                </c:pt>
                <c:pt idx="76">
                  <c:v>1927</c:v>
                </c:pt>
                <c:pt idx="77">
                  <c:v>1928</c:v>
                </c:pt>
                <c:pt idx="78">
                  <c:v>1929</c:v>
                </c:pt>
                <c:pt idx="79">
                  <c:v>1930</c:v>
                </c:pt>
                <c:pt idx="80">
                  <c:v>1931</c:v>
                </c:pt>
                <c:pt idx="81">
                  <c:v>1932</c:v>
                </c:pt>
                <c:pt idx="82">
                  <c:v>1933</c:v>
                </c:pt>
                <c:pt idx="83">
                  <c:v>1934</c:v>
                </c:pt>
                <c:pt idx="84">
                  <c:v>1935</c:v>
                </c:pt>
                <c:pt idx="85">
                  <c:v>1936</c:v>
                </c:pt>
                <c:pt idx="86">
                  <c:v>1937</c:v>
                </c:pt>
                <c:pt idx="87">
                  <c:v>1938</c:v>
                </c:pt>
                <c:pt idx="88">
                  <c:v>1939</c:v>
                </c:pt>
                <c:pt idx="89">
                  <c:v>1940</c:v>
                </c:pt>
                <c:pt idx="90">
                  <c:v>1941</c:v>
                </c:pt>
                <c:pt idx="91">
                  <c:v>1942</c:v>
                </c:pt>
                <c:pt idx="92">
                  <c:v>1943</c:v>
                </c:pt>
                <c:pt idx="93">
                  <c:v>1944</c:v>
                </c:pt>
                <c:pt idx="94">
                  <c:v>1945</c:v>
                </c:pt>
                <c:pt idx="95">
                  <c:v>1946</c:v>
                </c:pt>
                <c:pt idx="96">
                  <c:v>1947</c:v>
                </c:pt>
                <c:pt idx="97">
                  <c:v>1948</c:v>
                </c:pt>
                <c:pt idx="98">
                  <c:v>1949</c:v>
                </c:pt>
                <c:pt idx="99">
                  <c:v>1950</c:v>
                </c:pt>
                <c:pt idx="100">
                  <c:v>1951</c:v>
                </c:pt>
                <c:pt idx="101">
                  <c:v>1952</c:v>
                </c:pt>
                <c:pt idx="102">
                  <c:v>1953</c:v>
                </c:pt>
                <c:pt idx="103">
                  <c:v>1954</c:v>
                </c:pt>
                <c:pt idx="104">
                  <c:v>1955</c:v>
                </c:pt>
                <c:pt idx="105">
                  <c:v>1956</c:v>
                </c:pt>
                <c:pt idx="106">
                  <c:v>1957</c:v>
                </c:pt>
                <c:pt idx="107">
                  <c:v>1958</c:v>
                </c:pt>
                <c:pt idx="108">
                  <c:v>1959</c:v>
                </c:pt>
                <c:pt idx="109">
                  <c:v>1960</c:v>
                </c:pt>
                <c:pt idx="110">
                  <c:v>1961</c:v>
                </c:pt>
                <c:pt idx="111">
                  <c:v>1962</c:v>
                </c:pt>
                <c:pt idx="112">
                  <c:v>1963</c:v>
                </c:pt>
                <c:pt idx="113">
                  <c:v>1964</c:v>
                </c:pt>
                <c:pt idx="114">
                  <c:v>1965</c:v>
                </c:pt>
                <c:pt idx="115">
                  <c:v>1966</c:v>
                </c:pt>
                <c:pt idx="116">
                  <c:v>1967</c:v>
                </c:pt>
                <c:pt idx="117">
                  <c:v>1968</c:v>
                </c:pt>
                <c:pt idx="118">
                  <c:v>1969</c:v>
                </c:pt>
                <c:pt idx="119">
                  <c:v>1970</c:v>
                </c:pt>
                <c:pt idx="120">
                  <c:v>1971</c:v>
                </c:pt>
                <c:pt idx="121">
                  <c:v>1972</c:v>
                </c:pt>
                <c:pt idx="122">
                  <c:v>1973</c:v>
                </c:pt>
                <c:pt idx="123">
                  <c:v>1974</c:v>
                </c:pt>
                <c:pt idx="124">
                  <c:v>1975</c:v>
                </c:pt>
                <c:pt idx="125">
                  <c:v>1976</c:v>
                </c:pt>
                <c:pt idx="126">
                  <c:v>1977</c:v>
                </c:pt>
                <c:pt idx="127">
                  <c:v>1978</c:v>
                </c:pt>
                <c:pt idx="128">
                  <c:v>1979</c:v>
                </c:pt>
                <c:pt idx="129">
                  <c:v>1980</c:v>
                </c:pt>
                <c:pt idx="130">
                  <c:v>1981</c:v>
                </c:pt>
                <c:pt idx="131">
                  <c:v>1982</c:v>
                </c:pt>
                <c:pt idx="132">
                  <c:v>1983</c:v>
                </c:pt>
                <c:pt idx="133">
                  <c:v>1984</c:v>
                </c:pt>
                <c:pt idx="134">
                  <c:v>1985</c:v>
                </c:pt>
                <c:pt idx="135">
                  <c:v>1986</c:v>
                </c:pt>
                <c:pt idx="136">
                  <c:v>1987</c:v>
                </c:pt>
                <c:pt idx="137">
                  <c:v>1988</c:v>
                </c:pt>
                <c:pt idx="138">
                  <c:v>1989</c:v>
                </c:pt>
                <c:pt idx="139">
                  <c:v>1990</c:v>
                </c:pt>
                <c:pt idx="140">
                  <c:v>1991</c:v>
                </c:pt>
                <c:pt idx="141">
                  <c:v>1992</c:v>
                </c:pt>
                <c:pt idx="142">
                  <c:v>1993</c:v>
                </c:pt>
                <c:pt idx="143">
                  <c:v>1994</c:v>
                </c:pt>
                <c:pt idx="144">
                  <c:v>1995</c:v>
                </c:pt>
                <c:pt idx="145">
                  <c:v>1996</c:v>
                </c:pt>
                <c:pt idx="146">
                  <c:v>1997</c:v>
                </c:pt>
                <c:pt idx="147">
                  <c:v>1998</c:v>
                </c:pt>
                <c:pt idx="148">
                  <c:v>1999</c:v>
                </c:pt>
                <c:pt idx="149">
                  <c:v>2000</c:v>
                </c:pt>
                <c:pt idx="150">
                  <c:v>2001</c:v>
                </c:pt>
                <c:pt idx="151">
                  <c:v>2002</c:v>
                </c:pt>
                <c:pt idx="152">
                  <c:v>2003</c:v>
                </c:pt>
                <c:pt idx="153">
                  <c:v>2004</c:v>
                </c:pt>
                <c:pt idx="154">
                  <c:v>2005</c:v>
                </c:pt>
                <c:pt idx="155">
                  <c:v>2006</c:v>
                </c:pt>
                <c:pt idx="156">
                  <c:v>2007</c:v>
                </c:pt>
                <c:pt idx="157">
                  <c:v>2008</c:v>
                </c:pt>
                <c:pt idx="158">
                  <c:v>2009</c:v>
                </c:pt>
                <c:pt idx="159">
                  <c:v>2010</c:v>
                </c:pt>
                <c:pt idx="160">
                  <c:v>2011</c:v>
                </c:pt>
                <c:pt idx="161">
                  <c:v>2012</c:v>
                </c:pt>
              </c:numCache>
            </c:numRef>
          </c:xVal>
          <c:yVal>
            <c:numRef>
              <c:f>'main (4)'!$X$10:$X$171</c:f>
              <c:numCache>
                <c:formatCode>General</c:formatCode>
                <c:ptCount val="162"/>
                <c:pt idx="0">
                  <c:v>-0.50603151698803661</c:v>
                </c:pt>
                <c:pt idx="1">
                  <c:v>-0.51593497734755367</c:v>
                </c:pt>
                <c:pt idx="2">
                  <c:v>-0.52774993066807852</c:v>
                </c:pt>
                <c:pt idx="3">
                  <c:v>-0.49461735296234444</c:v>
                </c:pt>
                <c:pt idx="4">
                  <c:v>-0.49258198593832392</c:v>
                </c:pt>
                <c:pt idx="5">
                  <c:v>-0.53337075727969319</c:v>
                </c:pt>
                <c:pt idx="6">
                  <c:v>-0.55175893586952685</c:v>
                </c:pt>
                <c:pt idx="7">
                  <c:v>-0.5069596849046244</c:v>
                </c:pt>
                <c:pt idx="8">
                  <c:v>-0.50055668720888791</c:v>
                </c:pt>
                <c:pt idx="9">
                  <c:v>-0.56295223459329902</c:v>
                </c:pt>
                <c:pt idx="10">
                  <c:v>-0.54326489648126097</c:v>
                </c:pt>
                <c:pt idx="11">
                  <c:v>-0.59404690608130206</c:v>
                </c:pt>
                <c:pt idx="12">
                  <c:v>-0.49633715288056862</c:v>
                </c:pt>
                <c:pt idx="13">
                  <c:v>-0.52905049571307772</c:v>
                </c:pt>
                <c:pt idx="14">
                  <c:v>-0.50239393801633614</c:v>
                </c:pt>
                <c:pt idx="15">
                  <c:v>-0.49607541316655412</c:v>
                </c:pt>
                <c:pt idx="16">
                  <c:v>-0.47849527426009369</c:v>
                </c:pt>
                <c:pt idx="17">
                  <c:v>-0.49927560860419673</c:v>
                </c:pt>
                <c:pt idx="18">
                  <c:v>-0.47431898675828033</c:v>
                </c:pt>
                <c:pt idx="19">
                  <c:v>-0.50714168130126092</c:v>
                </c:pt>
                <c:pt idx="20">
                  <c:v>-0.52176478581286967</c:v>
                </c:pt>
                <c:pt idx="21">
                  <c:v>-0.51215727693299262</c:v>
                </c:pt>
                <c:pt idx="22">
                  <c:v>-0.49018587205016706</c:v>
                </c:pt>
                <c:pt idx="23">
                  <c:v>-0.47446126685880941</c:v>
                </c:pt>
                <c:pt idx="24">
                  <c:v>-0.5361879657191988</c:v>
                </c:pt>
                <c:pt idx="25">
                  <c:v>-0.52342392452086639</c:v>
                </c:pt>
                <c:pt idx="26">
                  <c:v>-0.47260505986157941</c:v>
                </c:pt>
                <c:pt idx="27">
                  <c:v>-0.43533151596495429</c:v>
                </c:pt>
                <c:pt idx="28">
                  <c:v>-0.50159440613136363</c:v>
                </c:pt>
                <c:pt idx="29">
                  <c:v>-0.5102140098701462</c:v>
                </c:pt>
                <c:pt idx="30">
                  <c:v>-0.48835223447172221</c:v>
                </c:pt>
                <c:pt idx="31">
                  <c:v>-0.50130969339069964</c:v>
                </c:pt>
                <c:pt idx="32">
                  <c:v>-0.50992971578031143</c:v>
                </c:pt>
                <c:pt idx="33">
                  <c:v>-0.53385403646122231</c:v>
                </c:pt>
                <c:pt idx="34">
                  <c:v>-0.50964544652168198</c:v>
                </c:pt>
                <c:pt idx="35">
                  <c:v>-0.50614904156815355</c:v>
                </c:pt>
                <c:pt idx="36">
                  <c:v>-0.51396893898336671</c:v>
                </c:pt>
                <c:pt idx="37">
                  <c:v>-0.4885480321756957</c:v>
                </c:pt>
                <c:pt idx="38">
                  <c:v>-0.46115586385744811</c:v>
                </c:pt>
                <c:pt idx="39">
                  <c:v>-0.50188845063215926</c:v>
                </c:pt>
                <c:pt idx="40">
                  <c:v>-0.49500258932118113</c:v>
                </c:pt>
                <c:pt idx="41">
                  <c:v>-0.49085517514769722</c:v>
                </c:pt>
                <c:pt idx="42">
                  <c:v>-0.49769927046276646</c:v>
                </c:pt>
                <c:pt idx="43">
                  <c:v>-0.4722884710656467</c:v>
                </c:pt>
                <c:pt idx="44">
                  <c:v>-0.47917099042215078</c:v>
                </c:pt>
                <c:pt idx="45">
                  <c:v>-0.4666331133130181</c:v>
                </c:pt>
                <c:pt idx="46">
                  <c:v>-0.45518552790300681</c:v>
                </c:pt>
                <c:pt idx="47">
                  <c:v>-0.46477888798045841</c:v>
                </c:pt>
                <c:pt idx="48">
                  <c:v>-0.43986780948475918</c:v>
                </c:pt>
                <c:pt idx="49">
                  <c:v>-0.43117006766656163</c:v>
                </c:pt>
                <c:pt idx="50">
                  <c:v>-0.42573480345990011</c:v>
                </c:pt>
                <c:pt idx="51">
                  <c:v>-0.45710331375414293</c:v>
                </c:pt>
                <c:pt idx="52">
                  <c:v>-0.45751193464917611</c:v>
                </c:pt>
                <c:pt idx="53">
                  <c:v>-0.46993131085770712</c:v>
                </c:pt>
                <c:pt idx="54">
                  <c:v>-0.4520729798002065</c:v>
                </c:pt>
                <c:pt idx="55">
                  <c:v>-0.42499040391667198</c:v>
                </c:pt>
                <c:pt idx="56">
                  <c:v>-0.48498925699964968</c:v>
                </c:pt>
                <c:pt idx="57">
                  <c:v>-0.45071891850561802</c:v>
                </c:pt>
                <c:pt idx="58">
                  <c:v>-0.44870423337490878</c:v>
                </c:pt>
                <c:pt idx="59">
                  <c:v>-0.4451243074797967</c:v>
                </c:pt>
                <c:pt idx="60">
                  <c:v>-0.4494442018028279</c:v>
                </c:pt>
                <c:pt idx="61">
                  <c:v>-0.44402224431812609</c:v>
                </c:pt>
                <c:pt idx="62">
                  <c:v>-0.42296912024122318</c:v>
                </c:pt>
                <c:pt idx="63">
                  <c:v>-0.38251718091815601</c:v>
                </c:pt>
                <c:pt idx="64">
                  <c:v>-0.38183748254445898</c:v>
                </c:pt>
                <c:pt idx="65">
                  <c:v>-0.4239697589021883</c:v>
                </c:pt>
                <c:pt idx="66">
                  <c:v>-0.44655965594904939</c:v>
                </c:pt>
                <c:pt idx="67">
                  <c:v>-0.43139886398325367</c:v>
                </c:pt>
                <c:pt idx="68">
                  <c:v>-0.40602768060956018</c:v>
                </c:pt>
                <c:pt idx="69">
                  <c:v>-0.395272480467382</c:v>
                </c:pt>
                <c:pt idx="70">
                  <c:v>-0.362301058478111</c:v>
                </c:pt>
                <c:pt idx="71">
                  <c:v>-0.38666402567547498</c:v>
                </c:pt>
                <c:pt idx="72">
                  <c:v>-0.37958910533968299</c:v>
                </c:pt>
                <c:pt idx="73">
                  <c:v>-0.362682722991159</c:v>
                </c:pt>
                <c:pt idx="74">
                  <c:v>-0.36363192000760802</c:v>
                </c:pt>
                <c:pt idx="75">
                  <c:v>-0.33866225393340099</c:v>
                </c:pt>
                <c:pt idx="76">
                  <c:v>-0.36010301065150296</c:v>
                </c:pt>
                <c:pt idx="77">
                  <c:v>-0.33687051143817304</c:v>
                </c:pt>
                <c:pt idx="78">
                  <c:v>-0.38741846307038297</c:v>
                </c:pt>
                <c:pt idx="79">
                  <c:v>-0.33389391199138596</c:v>
                </c:pt>
                <c:pt idx="80">
                  <c:v>-0.32313941341074603</c:v>
                </c:pt>
                <c:pt idx="81">
                  <c:v>-0.32041504838235702</c:v>
                </c:pt>
                <c:pt idx="82">
                  <c:v>-0.36837399607061699</c:v>
                </c:pt>
                <c:pt idx="83">
                  <c:v>-0.32221763942225301</c:v>
                </c:pt>
                <c:pt idx="84">
                  <c:v>-0.33512976250100801</c:v>
                </c:pt>
                <c:pt idx="85">
                  <c:v>-0.33106488135991796</c:v>
                </c:pt>
                <c:pt idx="86">
                  <c:v>-0.30874775540356403</c:v>
                </c:pt>
                <c:pt idx="87">
                  <c:v>-0.277537826971608</c:v>
                </c:pt>
                <c:pt idx="88">
                  <c:v>-0.28907925762875497</c:v>
                </c:pt>
                <c:pt idx="89">
                  <c:v>-0.28557064335307403</c:v>
                </c:pt>
                <c:pt idx="90">
                  <c:v>-0.290868642848229</c:v>
                </c:pt>
                <c:pt idx="91">
                  <c:v>-0.28677343872864602</c:v>
                </c:pt>
                <c:pt idx="92">
                  <c:v>-0.27260411364773901</c:v>
                </c:pt>
                <c:pt idx="93">
                  <c:v>-0.25629011927150203</c:v>
                </c:pt>
                <c:pt idx="94">
                  <c:v>-0.29043820532974196</c:v>
                </c:pt>
                <c:pt idx="95">
                  <c:v>-0.27877164456166703</c:v>
                </c:pt>
                <c:pt idx="96">
                  <c:v>-0.25626860749149999</c:v>
                </c:pt>
                <c:pt idx="97">
                  <c:v>-0.25919023196313501</c:v>
                </c:pt>
                <c:pt idx="98">
                  <c:v>-0.27318015730463596</c:v>
                </c:pt>
                <c:pt idx="99">
                  <c:v>-0.29590290166177102</c:v>
                </c:pt>
                <c:pt idx="100">
                  <c:v>-0.25676155611001</c:v>
                </c:pt>
                <c:pt idx="101">
                  <c:v>-0.250575422506566</c:v>
                </c:pt>
                <c:pt idx="102">
                  <c:v>-0.21243072146800501</c:v>
                </c:pt>
                <c:pt idx="103">
                  <c:v>-0.24797719395909501</c:v>
                </c:pt>
                <c:pt idx="104">
                  <c:v>-0.23089254542153298</c:v>
                </c:pt>
                <c:pt idx="105">
                  <c:v>-0.27004392174505099</c:v>
                </c:pt>
                <c:pt idx="106">
                  <c:v>-0.20729024415282199</c:v>
                </c:pt>
                <c:pt idx="107">
                  <c:v>-0.19634656888110802</c:v>
                </c:pt>
                <c:pt idx="108">
                  <c:v>-0.18371469156629799</c:v>
                </c:pt>
                <c:pt idx="109">
                  <c:v>-0.20211075387052302</c:v>
                </c:pt>
                <c:pt idx="110">
                  <c:v>-0.15616340507113102</c:v>
                </c:pt>
                <c:pt idx="111">
                  <c:v>-0.168833856052097</c:v>
                </c:pt>
                <c:pt idx="112">
                  <c:v>-0.13247393411721398</c:v>
                </c:pt>
                <c:pt idx="113">
                  <c:v>-0.18478657518355002</c:v>
                </c:pt>
                <c:pt idx="114">
                  <c:v>-0.15011188578410101</c:v>
                </c:pt>
                <c:pt idx="115">
                  <c:v>-0.13148478978093597</c:v>
                </c:pt>
                <c:pt idx="116">
                  <c:v>-0.10405663048996799</c:v>
                </c:pt>
                <c:pt idx="117">
                  <c:v>-0.11740308429359197</c:v>
                </c:pt>
                <c:pt idx="118">
                  <c:v>-9.6711278899433983E-2</c:v>
                </c:pt>
                <c:pt idx="119">
                  <c:v>-6.5932586912830993E-2</c:v>
                </c:pt>
                <c:pt idx="120">
                  <c:v>-6.4472826067501987E-2</c:v>
                </c:pt>
                <c:pt idx="121">
                  <c:v>-6.0197291891745996E-2</c:v>
                </c:pt>
                <c:pt idx="122">
                  <c:v>1.7840579678051971E-2</c:v>
                </c:pt>
                <c:pt idx="123">
                  <c:v>-2.7159713015963982E-2</c:v>
                </c:pt>
                <c:pt idx="124">
                  <c:v>2.2789824078841003E-2</c:v>
                </c:pt>
                <c:pt idx="125">
                  <c:v>-5.0467372764099738E-3</c:v>
                </c:pt>
                <c:pt idx="126">
                  <c:v>6.8620632446191987E-2</c:v>
                </c:pt>
                <c:pt idx="127">
                  <c:v>6.547330568617904E-2</c:v>
                </c:pt>
                <c:pt idx="128">
                  <c:v>7.4038083215329009E-2</c:v>
                </c:pt>
                <c:pt idx="129">
                  <c:v>0.13897487637411798</c:v>
                </c:pt>
                <c:pt idx="130">
                  <c:v>0.16978943079805198</c:v>
                </c:pt>
                <c:pt idx="131">
                  <c:v>0.124775057019747</c:v>
                </c:pt>
                <c:pt idx="132">
                  <c:v>0.18317437869775899</c:v>
                </c:pt>
                <c:pt idx="133">
                  <c:v>0.16544867621009096</c:v>
                </c:pt>
                <c:pt idx="134">
                  <c:v>0.172984077670994</c:v>
                </c:pt>
                <c:pt idx="135">
                  <c:v>0.21123929043022005</c:v>
                </c:pt>
                <c:pt idx="136">
                  <c:v>0.24425030625556499</c:v>
                </c:pt>
                <c:pt idx="137">
                  <c:v>0.29018731742680604</c:v>
                </c:pt>
                <c:pt idx="138">
                  <c:v>0.28009276132059502</c:v>
                </c:pt>
                <c:pt idx="139">
                  <c:v>0.32790104429118905</c:v>
                </c:pt>
                <c:pt idx="140">
                  <c:v>0.34222175090468099</c:v>
                </c:pt>
                <c:pt idx="141">
                  <c:v>0.31538855437126101</c:v>
                </c:pt>
                <c:pt idx="142">
                  <c:v>0.33645206007288597</c:v>
                </c:pt>
                <c:pt idx="143">
                  <c:v>0.37580857910444398</c:v>
                </c:pt>
                <c:pt idx="144">
                  <c:v>0.42840649273982201</c:v>
                </c:pt>
                <c:pt idx="145">
                  <c:v>0.41509594721117304</c:v>
                </c:pt>
                <c:pt idx="146">
                  <c:v>0.44321353188775903</c:v>
                </c:pt>
                <c:pt idx="147">
                  <c:v>0.49555536365403996</c:v>
                </c:pt>
                <c:pt idx="148">
                  <c:v>0.48608408586000196</c:v>
                </c:pt>
                <c:pt idx="149">
                  <c:v>0.49724644729627698</c:v>
                </c:pt>
                <c:pt idx="150">
                  <c:v>0.53779946244363996</c:v>
                </c:pt>
                <c:pt idx="151">
                  <c:v>0.57343852123087991</c:v>
                </c:pt>
                <c:pt idx="152">
                  <c:v>0.58561649761847989</c:v>
                </c:pt>
                <c:pt idx="153">
                  <c:v>0.58190207127636007</c:v>
                </c:pt>
                <c:pt idx="154">
                  <c:v>0.64931345678763996</c:v>
                </c:pt>
                <c:pt idx="155">
                  <c:v>0.65564387961774995</c:v>
                </c:pt>
                <c:pt idx="156">
                  <c:v>0.70513621271864002</c:v>
                </c:pt>
                <c:pt idx="157">
                  <c:v>0.69304345325791994</c:v>
                </c:pt>
                <c:pt idx="158">
                  <c:v>0.72025462562749998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096272"/>
        <c:axId val="605096664"/>
      </c:scatterChart>
      <c:valAx>
        <c:axId val="605096272"/>
        <c:scaling>
          <c:orientation val="minMax"/>
          <c:max val="2015"/>
          <c:min val="1850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Year</a:t>
                </a:r>
              </a:p>
            </c:rich>
          </c:tx>
          <c:layout>
            <c:manualLayout>
              <c:xMode val="edge"/>
              <c:yMode val="edge"/>
              <c:x val="0.53147533126788948"/>
              <c:y val="0.90757086076153715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crossAx val="605096664"/>
        <c:crosses val="autoZero"/>
        <c:crossBetween val="midCat"/>
      </c:valAx>
      <c:valAx>
        <c:axId val="605096664"/>
        <c:scaling>
          <c:orientation val="minMax"/>
          <c:max val="1"/>
          <c:min val="-1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sysDot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sz="1600"/>
                  <a:t>Temperature Anomaly</a:t>
                </a:r>
              </a:p>
            </c:rich>
          </c:tx>
          <c:layout>
            <c:manualLayout>
              <c:xMode val="edge"/>
              <c:yMode val="edge"/>
              <c:x val="3.3594111096407896E-3"/>
              <c:y val="0.2572650039214808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60509627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3128962419240336"/>
          <c:y val="7.2547000042975041E-2"/>
          <c:w val="0.63692275265195553"/>
          <c:h val="0.25397093105297325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spPr>
    <a:solidFill>
      <a:srgbClr val="99FFCC"/>
    </a:solidFill>
  </c:spPr>
  <c:txPr>
    <a:bodyPr/>
    <a:lstStyle/>
    <a:p>
      <a:pPr>
        <a:defRPr sz="14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216694</xdr:colOff>
      <xdr:row>1</xdr:row>
      <xdr:rowOff>26989</xdr:rowOff>
    </xdr:from>
    <xdr:to>
      <xdr:col>44</xdr:col>
      <xdr:colOff>534193</xdr:colOff>
      <xdr:row>15</xdr:row>
      <xdr:rowOff>46830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301096</xdr:colOff>
      <xdr:row>18</xdr:row>
      <xdr:rowOff>98029</xdr:rowOff>
    </xdr:from>
    <xdr:to>
      <xdr:col>39</xdr:col>
      <xdr:colOff>415397</xdr:colOff>
      <xdr:row>39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135732</xdr:colOff>
      <xdr:row>23</xdr:row>
      <xdr:rowOff>202404</xdr:rowOff>
    </xdr:from>
    <xdr:to>
      <xdr:col>46</xdr:col>
      <xdr:colOff>440533</xdr:colOff>
      <xdr:row>37</xdr:row>
      <xdr:rowOff>145255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471488</xdr:colOff>
      <xdr:row>1</xdr:row>
      <xdr:rowOff>35718</xdr:rowOff>
    </xdr:from>
    <xdr:to>
      <xdr:col>53</xdr:col>
      <xdr:colOff>326231</xdr:colOff>
      <xdr:row>14</xdr:row>
      <xdr:rowOff>190499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380999</xdr:colOff>
      <xdr:row>0</xdr:row>
      <xdr:rowOff>180182</xdr:rowOff>
    </xdr:from>
    <xdr:to>
      <xdr:col>36</xdr:col>
      <xdr:colOff>242488</xdr:colOff>
      <xdr:row>18</xdr:row>
      <xdr:rowOff>14289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397471</xdr:colOff>
      <xdr:row>40</xdr:row>
      <xdr:rowOff>18454</xdr:rowOff>
    </xdr:from>
    <xdr:to>
      <xdr:col>39</xdr:col>
      <xdr:colOff>561181</xdr:colOff>
      <xdr:row>65</xdr:row>
      <xdr:rowOff>150813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373856</xdr:colOff>
      <xdr:row>68</xdr:row>
      <xdr:rowOff>150018</xdr:rowOff>
    </xdr:from>
    <xdr:to>
      <xdr:col>33</xdr:col>
      <xdr:colOff>302418</xdr:colOff>
      <xdr:row>92</xdr:row>
      <xdr:rowOff>7143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15</xdr:row>
      <xdr:rowOff>190500</xdr:rowOff>
    </xdr:from>
    <xdr:to>
      <xdr:col>15</xdr:col>
      <xdr:colOff>247649</xdr:colOff>
      <xdr:row>36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66675</xdr:colOff>
      <xdr:row>14</xdr:row>
      <xdr:rowOff>161925</xdr:rowOff>
    </xdr:from>
    <xdr:to>
      <xdr:col>18</xdr:col>
      <xdr:colOff>523666</xdr:colOff>
      <xdr:row>30</xdr:row>
      <xdr:rowOff>9144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29825" y="2962275"/>
          <a:ext cx="1676191" cy="3047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216694</xdr:colOff>
      <xdr:row>1</xdr:row>
      <xdr:rowOff>26989</xdr:rowOff>
    </xdr:from>
    <xdr:to>
      <xdr:col>47</xdr:col>
      <xdr:colOff>534193</xdr:colOff>
      <xdr:row>15</xdr:row>
      <xdr:rowOff>46830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301096</xdr:colOff>
      <xdr:row>18</xdr:row>
      <xdr:rowOff>98029</xdr:rowOff>
    </xdr:from>
    <xdr:to>
      <xdr:col>42</xdr:col>
      <xdr:colOff>415397</xdr:colOff>
      <xdr:row>39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135732</xdr:colOff>
      <xdr:row>23</xdr:row>
      <xdr:rowOff>202404</xdr:rowOff>
    </xdr:from>
    <xdr:to>
      <xdr:col>49</xdr:col>
      <xdr:colOff>440533</xdr:colOff>
      <xdr:row>37</xdr:row>
      <xdr:rowOff>145255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48</xdr:col>
      <xdr:colOff>471488</xdr:colOff>
      <xdr:row>1</xdr:row>
      <xdr:rowOff>35718</xdr:rowOff>
    </xdr:from>
    <xdr:to>
      <xdr:col>56</xdr:col>
      <xdr:colOff>326231</xdr:colOff>
      <xdr:row>14</xdr:row>
      <xdr:rowOff>190499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380999</xdr:colOff>
      <xdr:row>0</xdr:row>
      <xdr:rowOff>180182</xdr:rowOff>
    </xdr:from>
    <xdr:to>
      <xdr:col>39</xdr:col>
      <xdr:colOff>242488</xdr:colOff>
      <xdr:row>18</xdr:row>
      <xdr:rowOff>14289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372071</xdr:colOff>
      <xdr:row>40</xdr:row>
      <xdr:rowOff>43854</xdr:rowOff>
    </xdr:from>
    <xdr:to>
      <xdr:col>42</xdr:col>
      <xdr:colOff>535781</xdr:colOff>
      <xdr:row>65</xdr:row>
      <xdr:rowOff>176213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488156</xdr:colOff>
      <xdr:row>67</xdr:row>
      <xdr:rowOff>35718</xdr:rowOff>
    </xdr:from>
    <xdr:to>
      <xdr:col>31</xdr:col>
      <xdr:colOff>416718</xdr:colOff>
      <xdr:row>90</xdr:row>
      <xdr:rowOff>83343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216694</xdr:colOff>
      <xdr:row>1</xdr:row>
      <xdr:rowOff>26989</xdr:rowOff>
    </xdr:from>
    <xdr:to>
      <xdr:col>48</xdr:col>
      <xdr:colOff>534193</xdr:colOff>
      <xdr:row>15</xdr:row>
      <xdr:rowOff>46830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301096</xdr:colOff>
      <xdr:row>18</xdr:row>
      <xdr:rowOff>98029</xdr:rowOff>
    </xdr:from>
    <xdr:to>
      <xdr:col>43</xdr:col>
      <xdr:colOff>415397</xdr:colOff>
      <xdr:row>39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135732</xdr:colOff>
      <xdr:row>23</xdr:row>
      <xdr:rowOff>202404</xdr:rowOff>
    </xdr:from>
    <xdr:to>
      <xdr:col>50</xdr:col>
      <xdr:colOff>440533</xdr:colOff>
      <xdr:row>37</xdr:row>
      <xdr:rowOff>145255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49</xdr:col>
      <xdr:colOff>471488</xdr:colOff>
      <xdr:row>1</xdr:row>
      <xdr:rowOff>35718</xdr:rowOff>
    </xdr:from>
    <xdr:to>
      <xdr:col>57</xdr:col>
      <xdr:colOff>326231</xdr:colOff>
      <xdr:row>14</xdr:row>
      <xdr:rowOff>190499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380999</xdr:colOff>
      <xdr:row>0</xdr:row>
      <xdr:rowOff>180182</xdr:rowOff>
    </xdr:from>
    <xdr:to>
      <xdr:col>40</xdr:col>
      <xdr:colOff>242488</xdr:colOff>
      <xdr:row>18</xdr:row>
      <xdr:rowOff>14289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397471</xdr:colOff>
      <xdr:row>40</xdr:row>
      <xdr:rowOff>18454</xdr:rowOff>
    </xdr:from>
    <xdr:to>
      <xdr:col>43</xdr:col>
      <xdr:colOff>561181</xdr:colOff>
      <xdr:row>65</xdr:row>
      <xdr:rowOff>150813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373856</xdr:colOff>
      <xdr:row>66</xdr:row>
      <xdr:rowOff>118268</xdr:rowOff>
    </xdr:from>
    <xdr:to>
      <xdr:col>42</xdr:col>
      <xdr:colOff>334168</xdr:colOff>
      <xdr:row>89</xdr:row>
      <xdr:rowOff>165893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216694</xdr:colOff>
      <xdr:row>1</xdr:row>
      <xdr:rowOff>26989</xdr:rowOff>
    </xdr:from>
    <xdr:to>
      <xdr:col>45</xdr:col>
      <xdr:colOff>534193</xdr:colOff>
      <xdr:row>15</xdr:row>
      <xdr:rowOff>46830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301096</xdr:colOff>
      <xdr:row>18</xdr:row>
      <xdr:rowOff>98029</xdr:rowOff>
    </xdr:from>
    <xdr:to>
      <xdr:col>40</xdr:col>
      <xdr:colOff>415397</xdr:colOff>
      <xdr:row>39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135732</xdr:colOff>
      <xdr:row>23</xdr:row>
      <xdr:rowOff>202404</xdr:rowOff>
    </xdr:from>
    <xdr:to>
      <xdr:col>47</xdr:col>
      <xdr:colOff>440533</xdr:colOff>
      <xdr:row>37</xdr:row>
      <xdr:rowOff>145255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471488</xdr:colOff>
      <xdr:row>1</xdr:row>
      <xdr:rowOff>35718</xdr:rowOff>
    </xdr:from>
    <xdr:to>
      <xdr:col>54</xdr:col>
      <xdr:colOff>326231</xdr:colOff>
      <xdr:row>14</xdr:row>
      <xdr:rowOff>190499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380999</xdr:colOff>
      <xdr:row>0</xdr:row>
      <xdr:rowOff>180182</xdr:rowOff>
    </xdr:from>
    <xdr:to>
      <xdr:col>37</xdr:col>
      <xdr:colOff>242488</xdr:colOff>
      <xdr:row>18</xdr:row>
      <xdr:rowOff>14289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397471</xdr:colOff>
      <xdr:row>40</xdr:row>
      <xdr:rowOff>18454</xdr:rowOff>
    </xdr:from>
    <xdr:to>
      <xdr:col>40</xdr:col>
      <xdr:colOff>561181</xdr:colOff>
      <xdr:row>65</xdr:row>
      <xdr:rowOff>150813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373856</xdr:colOff>
      <xdr:row>66</xdr:row>
      <xdr:rowOff>118268</xdr:rowOff>
    </xdr:from>
    <xdr:to>
      <xdr:col>39</xdr:col>
      <xdr:colOff>334168</xdr:colOff>
      <xdr:row>89</xdr:row>
      <xdr:rowOff>165893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216694</xdr:colOff>
      <xdr:row>1</xdr:row>
      <xdr:rowOff>26989</xdr:rowOff>
    </xdr:from>
    <xdr:to>
      <xdr:col>44</xdr:col>
      <xdr:colOff>534193</xdr:colOff>
      <xdr:row>15</xdr:row>
      <xdr:rowOff>46830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301096</xdr:colOff>
      <xdr:row>18</xdr:row>
      <xdr:rowOff>98029</xdr:rowOff>
    </xdr:from>
    <xdr:to>
      <xdr:col>39</xdr:col>
      <xdr:colOff>415397</xdr:colOff>
      <xdr:row>39</xdr:row>
      <xdr:rowOff>161925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135732</xdr:colOff>
      <xdr:row>23</xdr:row>
      <xdr:rowOff>202404</xdr:rowOff>
    </xdr:from>
    <xdr:to>
      <xdr:col>46</xdr:col>
      <xdr:colOff>440533</xdr:colOff>
      <xdr:row>37</xdr:row>
      <xdr:rowOff>145255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471488</xdr:colOff>
      <xdr:row>1</xdr:row>
      <xdr:rowOff>35718</xdr:rowOff>
    </xdr:from>
    <xdr:to>
      <xdr:col>53</xdr:col>
      <xdr:colOff>326231</xdr:colOff>
      <xdr:row>14</xdr:row>
      <xdr:rowOff>190499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380999</xdr:colOff>
      <xdr:row>0</xdr:row>
      <xdr:rowOff>180182</xdr:rowOff>
    </xdr:from>
    <xdr:to>
      <xdr:col>36</xdr:col>
      <xdr:colOff>242488</xdr:colOff>
      <xdr:row>18</xdr:row>
      <xdr:rowOff>14289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397471</xdr:colOff>
      <xdr:row>40</xdr:row>
      <xdr:rowOff>18454</xdr:rowOff>
    </xdr:from>
    <xdr:to>
      <xdr:col>39</xdr:col>
      <xdr:colOff>561181</xdr:colOff>
      <xdr:row>65</xdr:row>
      <xdr:rowOff>150813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373856</xdr:colOff>
      <xdr:row>68</xdr:row>
      <xdr:rowOff>150018</xdr:rowOff>
    </xdr:from>
    <xdr:to>
      <xdr:col>33</xdr:col>
      <xdr:colOff>302418</xdr:colOff>
      <xdr:row>92</xdr:row>
      <xdr:rowOff>7143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2"/>
  <sheetViews>
    <sheetView topLeftCell="H16" zoomScale="60" zoomScaleNormal="60" workbookViewId="0">
      <selection activeCell="V50" sqref="V50"/>
    </sheetView>
  </sheetViews>
  <sheetFormatPr defaultRowHeight="15" x14ac:dyDescent="0.25"/>
  <cols>
    <col min="1" max="1" width="6.85546875" customWidth="1"/>
    <col min="2" max="2" width="9.140625" customWidth="1"/>
    <col min="3" max="5" width="13.42578125" customWidth="1"/>
    <col min="7" max="7" width="9.140625" style="8"/>
    <col min="10" max="11" width="9.140625" style="2"/>
    <col min="12" max="12" width="9.140625" style="6"/>
    <col min="13" max="13" width="9.140625" style="4"/>
    <col min="14" max="14" width="9.140625" style="5"/>
    <col min="19" max="19" width="9.5703125" customWidth="1"/>
    <col min="24" max="24" width="13.140625" bestFit="1" customWidth="1"/>
  </cols>
  <sheetData>
    <row r="1" spans="1:25" x14ac:dyDescent="0.25">
      <c r="C1">
        <v>0.5</v>
      </c>
      <c r="F1">
        <f>10000*SUM(F160:F171)</f>
        <v>513.39824999999723</v>
      </c>
      <c r="G1" s="8">
        <v>0.2863</v>
      </c>
      <c r="J1">
        <v>0.2863</v>
      </c>
      <c r="N1" s="5">
        <v>0</v>
      </c>
      <c r="X1">
        <v>-0.5</v>
      </c>
    </row>
    <row r="2" spans="1:25" x14ac:dyDescent="0.25">
      <c r="F2">
        <f>10000*SUM(F161:F172)</f>
        <v>449.28749999999741</v>
      </c>
      <c r="G2" s="8">
        <f>1-$G$1</f>
        <v>0.7137</v>
      </c>
      <c r="N2" s="5">
        <v>-4.0000000000000001E-3</v>
      </c>
    </row>
    <row r="8" spans="1:25" x14ac:dyDescent="0.25">
      <c r="D8" t="s">
        <v>63</v>
      </c>
    </row>
    <row r="9" spans="1:25" ht="15.75" x14ac:dyDescent="0.3">
      <c r="B9" t="s">
        <v>60</v>
      </c>
      <c r="C9" t="s">
        <v>59</v>
      </c>
      <c r="F9" t="s">
        <v>58</v>
      </c>
      <c r="G9" s="8" t="s">
        <v>57</v>
      </c>
      <c r="J9" s="3" t="s">
        <v>61</v>
      </c>
      <c r="K9" s="3" t="s">
        <v>62</v>
      </c>
      <c r="L9" s="6" t="s">
        <v>52</v>
      </c>
      <c r="M9" s="4" t="s">
        <v>53</v>
      </c>
      <c r="N9" s="5" t="s">
        <v>54</v>
      </c>
      <c r="P9" t="s">
        <v>55</v>
      </c>
      <c r="Q9" t="s">
        <v>56</v>
      </c>
      <c r="W9" t="s">
        <v>70</v>
      </c>
      <c r="X9" t="s">
        <v>69</v>
      </c>
    </row>
    <row r="10" spans="1:25" x14ac:dyDescent="0.25">
      <c r="A10" s="1">
        <v>1851</v>
      </c>
      <c r="B10" s="1">
        <f>+$L10</f>
        <v>-0.219</v>
      </c>
      <c r="C10" s="1">
        <f t="shared" ref="C10:C41" si="0">1/2*($O10*($C$1*$G$2+$G$1 )+$M10*($G$2+$G$1/$C$1))</f>
        <v>-5.9491374999999999E-2</v>
      </c>
      <c r="D10" s="1">
        <f t="shared" ref="D10:D41" si="1">$B10 - (1/2*($O10*($E10*$G$2+$G$1 )+$M10*($G$2+$G$1/$E10)))</f>
        <v>-3.0531133177191805E-16</v>
      </c>
      <c r="E10" s="1">
        <f>+$G10</f>
        <v>0.14451094509678641</v>
      </c>
      <c r="F10" s="1">
        <f>+ABS($B10-$C10)</f>
        <v>0.15950862500000001</v>
      </c>
      <c r="G10" s="9">
        <f t="shared" ref="G10:G72" si="2">+IF($H10 &gt; 0,IF($I10&lt;1, $I10, IF($K10&gt;1,1,$K10)), $K10)</f>
        <v>0.14451094509678641</v>
      </c>
      <c r="H10" s="1">
        <f t="shared" ref="H10:H41" si="3">+$R10*$R10-4*$G$1*$G$2*$P10</f>
        <v>4.0964231192981</v>
      </c>
      <c r="I10" s="1">
        <f>+(-$R10+SQRT($R10*$R10-4*$G$1*$G$2*$P10))/2/$G$2</f>
        <v>0.14451094509678641</v>
      </c>
      <c r="J10" s="3">
        <f t="shared" ref="J10:J41" si="4">+IF($R10*$R10-4*$G$1*$G$2*$P10 &gt; 0,(-$R10+SQRT($R10*$R10-4*$G$1*$G$2*$P10))/2/$G$2)</f>
        <v>0.14451094509678641</v>
      </c>
      <c r="K10" s="3">
        <f t="shared" ref="K10:K41" si="5">-$R10/2/$G$2</f>
        <v>-1.2734253255181938</v>
      </c>
      <c r="L10" s="6">
        <v>-0.219</v>
      </c>
      <c r="M10" s="4">
        <v>-0.191</v>
      </c>
      <c r="N10" s="5">
        <v>0.19700000000000001</v>
      </c>
      <c r="O10">
        <f>+$N10+$N$1</f>
        <v>0.19700000000000001</v>
      </c>
      <c r="P10">
        <f>+$M10/($O10)</f>
        <v>-0.96954314720812185</v>
      </c>
      <c r="Q10">
        <f>+$L10/($O10)</f>
        <v>-1.1116751269035532</v>
      </c>
      <c r="R10">
        <f t="shared" ref="R10:R41" si="6">+$G$1+$P10*$G$2-2*$Q10</f>
        <v>1.8176873096446697</v>
      </c>
      <c r="T10">
        <v>0.19700000000000001</v>
      </c>
      <c r="U10">
        <v>0.19550000000000001</v>
      </c>
      <c r="V10" s="11">
        <f>-2.2979737161E-10*$A10^5 + 0.0000022285768284*$A10^4 - 0.0086436385146*$A10^3 + 16.759480306*$A10^2 - 16244.935412*$A10 + 6297344.9302</f>
        <v>0.67922292370349169</v>
      </c>
      <c r="W10">
        <f>+$G$2*$M10/$V10+$G$1*$N10</f>
        <v>-0.14429398145680278</v>
      </c>
      <c r="X10" s="13">
        <f>+$Y10+$X$1</f>
        <v>-0.50603151698803661</v>
      </c>
      <c r="Y10" s="13">
        <v>-6.0315169880365898E-3</v>
      </c>
    </row>
    <row r="11" spans="1:25" x14ac:dyDescent="0.25">
      <c r="A11" s="1">
        <v>1852</v>
      </c>
      <c r="B11" s="1">
        <f t="shared" ref="B11:B74" si="7">+$L11</f>
        <v>-0.223</v>
      </c>
      <c r="C11" s="1">
        <f t="shared" si="0"/>
        <v>-4.4377349999999996E-2</v>
      </c>
      <c r="D11" s="1">
        <f t="shared" si="1"/>
        <v>0</v>
      </c>
      <c r="E11" s="1">
        <f t="shared" ref="E11:E74" si="8">+$G11</f>
        <v>0.13169193346340671</v>
      </c>
      <c r="F11" s="1">
        <f t="shared" ref="F11:F74" si="9">+ABS($B11-$C11)</f>
        <v>0.17862264999999999</v>
      </c>
      <c r="G11" s="9">
        <f t="shared" si="2"/>
        <v>0.13169193346340671</v>
      </c>
      <c r="H11" s="1">
        <f t="shared" si="3"/>
        <v>3.3400363560346684</v>
      </c>
      <c r="I11" s="1">
        <f t="shared" ref="I11:I74" si="10">+(-$R11+SQRT($R11*$R11-4*$G$1*$G$2*$P11))/2/$G$2</f>
        <v>0.13169193346340671</v>
      </c>
      <c r="J11" s="3">
        <f t="shared" si="4"/>
        <v>0.13169193346340671</v>
      </c>
      <c r="K11" s="3">
        <f t="shared" si="5"/>
        <v>-1.1486616007885087</v>
      </c>
      <c r="L11" s="6">
        <v>-0.223</v>
      </c>
      <c r="M11" s="4">
        <v>-0.185</v>
      </c>
      <c r="N11" s="5">
        <v>0.23200000000000001</v>
      </c>
      <c r="O11">
        <f t="shared" ref="O11:O74" si="11">+$N11+$N$1</f>
        <v>0.23200000000000001</v>
      </c>
      <c r="P11">
        <f t="shared" ref="P11:P74" si="12">+$M11/($O11)</f>
        <v>-0.79741379310344818</v>
      </c>
      <c r="Q11">
        <f t="shared" ref="Q11:Q74" si="13">+$L11/($O11)</f>
        <v>-0.96120689655172409</v>
      </c>
      <c r="R11">
        <f t="shared" si="6"/>
        <v>1.6395995689655172</v>
      </c>
      <c r="T11">
        <v>0.23200000000000001</v>
      </c>
      <c r="U11">
        <v>0.22950000000000001</v>
      </c>
      <c r="V11" s="11">
        <f t="shared" ref="V11:V74" si="14">-2.2979737161E-10*$A11^5 + 0.0000022285768284*$A11^4 - 0.0086436385146*$A11^3 + 16.759480306*$A11^2 - 16244.935412*$A11 + 6297344.9302</f>
        <v>0.65229031909257174</v>
      </c>
      <c r="W11">
        <f t="shared" ref="W11:W74" si="15">+$G$2*$M11/$V11+$G$1*$N11</f>
        <v>-0.13599517077728013</v>
      </c>
      <c r="X11" s="13">
        <f t="shared" ref="X11:X74" si="16">+$Y11+$X$1</f>
        <v>-0.51593497734755367</v>
      </c>
      <c r="Y11" s="13">
        <v>-1.5934977347553701E-2</v>
      </c>
    </row>
    <row r="12" spans="1:25" x14ac:dyDescent="0.25">
      <c r="A12" s="1">
        <v>1853</v>
      </c>
      <c r="B12" s="1">
        <f t="shared" si="7"/>
        <v>-0.26800000000000002</v>
      </c>
      <c r="C12" s="1">
        <f t="shared" si="0"/>
        <v>-0.23185557499999998</v>
      </c>
      <c r="D12" s="1">
        <f t="shared" si="1"/>
        <v>-3.2173338102415405E-2</v>
      </c>
      <c r="E12" s="1">
        <f t="shared" si="8"/>
        <v>0.72976670137805699</v>
      </c>
      <c r="F12" s="1">
        <f t="shared" si="9"/>
        <v>3.6144425000000036E-2</v>
      </c>
      <c r="G12" s="9">
        <f t="shared" si="2"/>
        <v>0.72976670137805699</v>
      </c>
      <c r="H12" s="1">
        <f t="shared" si="3"/>
        <v>0.46709363890589972</v>
      </c>
      <c r="I12" s="1">
        <f t="shared" si="10"/>
        <v>1.20856906322044</v>
      </c>
      <c r="J12" s="3">
        <f t="shared" si="4"/>
        <v>1.20856906322044</v>
      </c>
      <c r="K12" s="3">
        <f t="shared" si="5"/>
        <v>0.72976670137805699</v>
      </c>
      <c r="L12" s="6">
        <v>-0.26800000000000002</v>
      </c>
      <c r="M12" s="4">
        <v>-0.217</v>
      </c>
      <c r="N12" s="5">
        <v>-0.28699999999999998</v>
      </c>
      <c r="O12">
        <f t="shared" si="11"/>
        <v>-0.28699999999999998</v>
      </c>
      <c r="P12">
        <f t="shared" si="12"/>
        <v>0.75609756097560976</v>
      </c>
      <c r="Q12">
        <f t="shared" si="13"/>
        <v>0.93379790940766561</v>
      </c>
      <c r="R12">
        <f t="shared" si="6"/>
        <v>-1.0416689895470386</v>
      </c>
      <c r="T12">
        <v>-0.28699999999999998</v>
      </c>
      <c r="U12">
        <v>-0.27158300000000002</v>
      </c>
      <c r="V12" s="11">
        <f t="shared" si="14"/>
        <v>0.62756678555160761</v>
      </c>
      <c r="W12">
        <f t="shared" si="15"/>
        <v>-0.32895123697540979</v>
      </c>
      <c r="X12" s="13">
        <f t="shared" si="16"/>
        <v>-0.52774993066807852</v>
      </c>
      <c r="Y12" s="13">
        <v>-2.7749930668078501E-2</v>
      </c>
    </row>
    <row r="13" spans="1:25" x14ac:dyDescent="0.25">
      <c r="A13" s="1">
        <v>1854</v>
      </c>
      <c r="B13" s="1">
        <f t="shared" si="7"/>
        <v>-0.24299999999999999</v>
      </c>
      <c r="C13" s="1">
        <f t="shared" si="0"/>
        <v>-0.107084475</v>
      </c>
      <c r="D13" s="1">
        <f t="shared" si="1"/>
        <v>0</v>
      </c>
      <c r="E13" s="1">
        <f t="shared" si="8"/>
        <v>0.18740472661054533</v>
      </c>
      <c r="F13" s="1">
        <f t="shared" si="9"/>
        <v>0.13591552499999998</v>
      </c>
      <c r="G13" s="9">
        <f t="shared" si="2"/>
        <v>0.18740472661054533</v>
      </c>
      <c r="H13" s="1">
        <f t="shared" si="3"/>
        <v>6.1380260265900217</v>
      </c>
      <c r="I13" s="1">
        <f t="shared" si="10"/>
        <v>0.18740472661054533</v>
      </c>
      <c r="J13" s="3">
        <f t="shared" si="4"/>
        <v>0.18740472661054533</v>
      </c>
      <c r="K13" s="3">
        <f t="shared" si="5"/>
        <v>-1.5482713216141581</v>
      </c>
      <c r="L13" s="6">
        <v>-0.24299999999999999</v>
      </c>
      <c r="M13" s="4">
        <v>-0.247</v>
      </c>
      <c r="N13" s="5">
        <v>0.161</v>
      </c>
      <c r="O13">
        <f t="shared" si="11"/>
        <v>0.161</v>
      </c>
      <c r="P13">
        <f t="shared" si="12"/>
        <v>-1.5341614906832297</v>
      </c>
      <c r="Q13">
        <f t="shared" si="13"/>
        <v>-1.5093167701863353</v>
      </c>
      <c r="R13">
        <f t="shared" si="6"/>
        <v>2.2100024844720494</v>
      </c>
      <c r="T13">
        <v>0.161</v>
      </c>
      <c r="U13">
        <v>0.128917</v>
      </c>
      <c r="V13" s="11">
        <f t="shared" si="14"/>
        <v>0.60495648998767138</v>
      </c>
      <c r="W13">
        <f t="shared" si="15"/>
        <v>-0.2453050037806612</v>
      </c>
      <c r="X13" s="13">
        <f t="shared" si="16"/>
        <v>-0.49461735296234444</v>
      </c>
      <c r="Y13" s="13">
        <v>5.3826470376555496E-3</v>
      </c>
    </row>
    <row r="14" spans="1:25" x14ac:dyDescent="0.25">
      <c r="A14" s="1">
        <v>1855</v>
      </c>
      <c r="B14" s="1">
        <f t="shared" si="7"/>
        <v>-0.26400000000000001</v>
      </c>
      <c r="C14" s="1">
        <f t="shared" si="0"/>
        <v>-0.20516485000000001</v>
      </c>
      <c r="D14" s="1">
        <f t="shared" si="1"/>
        <v>-5.1500000000000018E-2</v>
      </c>
      <c r="E14" s="1">
        <f t="shared" si="8"/>
        <v>1</v>
      </c>
      <c r="F14" s="1">
        <f t="shared" si="9"/>
        <v>5.8835150000000003E-2</v>
      </c>
      <c r="G14" s="9">
        <f t="shared" si="2"/>
        <v>1</v>
      </c>
      <c r="H14" s="1">
        <f t="shared" si="3"/>
        <v>1.3905778703775817</v>
      </c>
      <c r="I14" s="1">
        <f t="shared" si="10"/>
        <v>1.8680308159728949</v>
      </c>
      <c r="J14" s="3">
        <f t="shared" si="4"/>
        <v>1.8680308159728949</v>
      </c>
      <c r="K14" s="3">
        <f t="shared" si="5"/>
        <v>1.0418940229101072</v>
      </c>
      <c r="L14" s="6">
        <v>-0.26400000000000001</v>
      </c>
      <c r="M14" s="4">
        <v>-0.21299999999999999</v>
      </c>
      <c r="N14" s="5">
        <v>-0.21199999999999999</v>
      </c>
      <c r="O14">
        <f t="shared" si="11"/>
        <v>-0.21199999999999999</v>
      </c>
      <c r="P14">
        <f t="shared" si="12"/>
        <v>1.0047169811320755</v>
      </c>
      <c r="Q14">
        <f t="shared" si="13"/>
        <v>1.2452830188679247</v>
      </c>
      <c r="R14">
        <f t="shared" si="6"/>
        <v>-1.4871995283018871</v>
      </c>
      <c r="T14">
        <v>-0.21199999999999999</v>
      </c>
      <c r="U14">
        <v>-0.23150000000000001</v>
      </c>
      <c r="V14" s="11">
        <f t="shared" si="14"/>
        <v>0.58436600212007761</v>
      </c>
      <c r="W14">
        <f t="shared" si="15"/>
        <v>-0.32083753065386916</v>
      </c>
      <c r="X14" s="13">
        <f t="shared" si="16"/>
        <v>-0.49258198593832392</v>
      </c>
      <c r="Y14" s="13">
        <v>7.4180140616760702E-3</v>
      </c>
    </row>
    <row r="15" spans="1:25" x14ac:dyDescent="0.25">
      <c r="A15" s="1">
        <v>1856</v>
      </c>
      <c r="B15" s="1">
        <f t="shared" si="7"/>
        <v>-0.35599999999999998</v>
      </c>
      <c r="C15" s="1">
        <f t="shared" si="0"/>
        <v>-0.36337975</v>
      </c>
      <c r="D15" s="1">
        <f t="shared" si="1"/>
        <v>7.4702889063678057E-3</v>
      </c>
      <c r="E15" s="7">
        <f t="shared" si="8"/>
        <v>0.4670105161908441</v>
      </c>
      <c r="F15" s="1">
        <f t="shared" si="9"/>
        <v>7.3797500000000182E-3</v>
      </c>
      <c r="G15" s="9">
        <f t="shared" si="2"/>
        <v>0.4670105161908441</v>
      </c>
      <c r="H15" s="1">
        <f t="shared" si="3"/>
        <v>-3.8453863666910004E-2</v>
      </c>
      <c r="I15" s="1" t="e">
        <f t="shared" si="10"/>
        <v>#NUM!</v>
      </c>
      <c r="J15" s="3" t="b">
        <f t="shared" si="4"/>
        <v>0</v>
      </c>
      <c r="K15" s="3">
        <f t="shared" si="5"/>
        <v>0.4670105161908441</v>
      </c>
      <c r="L15" s="6">
        <v>-0.35599999999999998</v>
      </c>
      <c r="M15" s="4">
        <v>-0.30599999999999999</v>
      </c>
      <c r="N15" s="5">
        <v>-0.51800000000000002</v>
      </c>
      <c r="O15">
        <f t="shared" si="11"/>
        <v>-0.51800000000000002</v>
      </c>
      <c r="P15">
        <f t="shared" si="12"/>
        <v>0.59073359073359066</v>
      </c>
      <c r="Q15">
        <f t="shared" si="13"/>
        <v>0.68725868725868722</v>
      </c>
      <c r="R15">
        <f t="shared" si="6"/>
        <v>-0.66661081081081086</v>
      </c>
      <c r="T15">
        <v>-0.51800000000000002</v>
      </c>
      <c r="U15">
        <v>-0.503583</v>
      </c>
      <c r="V15" s="11">
        <f t="shared" si="14"/>
        <v>0.56570426095277071</v>
      </c>
      <c r="W15">
        <f t="shared" si="15"/>
        <v>-0.53435705926036936</v>
      </c>
      <c r="X15" s="13">
        <f t="shared" si="16"/>
        <v>-0.53337075727969319</v>
      </c>
      <c r="Y15" s="13">
        <v>-3.33707572796932E-2</v>
      </c>
    </row>
    <row r="16" spans="1:25" x14ac:dyDescent="0.25">
      <c r="A16" s="1">
        <v>1857</v>
      </c>
      <c r="B16" s="1">
        <f t="shared" si="7"/>
        <v>-0.45400000000000001</v>
      </c>
      <c r="C16" s="1">
        <f t="shared" si="0"/>
        <v>-0.41547489999999998</v>
      </c>
      <c r="D16" s="1">
        <f t="shared" si="1"/>
        <v>-4.0498790465054169E-2</v>
      </c>
      <c r="E16" s="1">
        <f t="shared" si="8"/>
        <v>0.79141988847916922</v>
      </c>
      <c r="F16" s="1">
        <f t="shared" si="9"/>
        <v>3.8525100000000034E-2</v>
      </c>
      <c r="G16" s="9">
        <f t="shared" si="2"/>
        <v>0.79141988847916922</v>
      </c>
      <c r="H16" s="1">
        <f t="shared" si="3"/>
        <v>0.43365289050566092</v>
      </c>
      <c r="I16" s="1">
        <f t="shared" si="10"/>
        <v>1.2527644765197843</v>
      </c>
      <c r="J16" s="3">
        <f t="shared" si="4"/>
        <v>1.2527644765197843</v>
      </c>
      <c r="K16" s="3">
        <f t="shared" si="5"/>
        <v>0.79141988847916922</v>
      </c>
      <c r="L16" s="6">
        <v>-0.45400000000000001</v>
      </c>
      <c r="M16" s="4">
        <v>-0.435</v>
      </c>
      <c r="N16" s="5">
        <v>-0.42199999999999999</v>
      </c>
      <c r="O16">
        <f t="shared" si="11"/>
        <v>-0.42199999999999999</v>
      </c>
      <c r="P16">
        <f t="shared" si="12"/>
        <v>1.0308056872037914</v>
      </c>
      <c r="Q16">
        <f t="shared" si="13"/>
        <v>1.075829383886256</v>
      </c>
      <c r="R16">
        <f t="shared" si="6"/>
        <v>-1.1296727488151661</v>
      </c>
      <c r="T16">
        <v>-0.42199999999999999</v>
      </c>
      <c r="U16">
        <v>-0.41908299999999998</v>
      </c>
      <c r="V16" s="11">
        <f t="shared" si="14"/>
        <v>0.54888251889497042</v>
      </c>
      <c r="W16">
        <f t="shared" si="15"/>
        <v>-0.68643963785893558</v>
      </c>
      <c r="X16" s="13">
        <f t="shared" si="16"/>
        <v>-0.55175893586952685</v>
      </c>
      <c r="Y16" s="13">
        <v>-5.1758935869526797E-2</v>
      </c>
    </row>
    <row r="17" spans="1:25" x14ac:dyDescent="0.25">
      <c r="A17" s="1">
        <v>1858</v>
      </c>
      <c r="B17" s="1">
        <f t="shared" si="7"/>
        <v>-0.46100000000000002</v>
      </c>
      <c r="C17" s="1">
        <f t="shared" si="0"/>
        <v>-0.44570294999999999</v>
      </c>
      <c r="D17" s="1">
        <f t="shared" si="1"/>
        <v>0</v>
      </c>
      <c r="E17" s="1">
        <f t="shared" si="8"/>
        <v>0.94648479977119926</v>
      </c>
      <c r="F17" s="1">
        <f t="shared" si="9"/>
        <v>1.5297050000000034E-2</v>
      </c>
      <c r="G17" s="9">
        <f t="shared" si="2"/>
        <v>0.94648479977119926</v>
      </c>
      <c r="H17" s="1">
        <f t="shared" si="3"/>
        <v>0.15212608810941841</v>
      </c>
      <c r="I17" s="1">
        <f t="shared" si="10"/>
        <v>0.94648479977119926</v>
      </c>
      <c r="J17" s="3">
        <f t="shared" si="4"/>
        <v>0.94648479977119926</v>
      </c>
      <c r="K17" s="3">
        <f t="shared" si="5"/>
        <v>0.67323732544019432</v>
      </c>
      <c r="L17" s="6">
        <v>-0.46100000000000002</v>
      </c>
      <c r="M17" s="4">
        <v>-0.45300000000000001</v>
      </c>
      <c r="N17" s="5">
        <v>-0.48</v>
      </c>
      <c r="O17">
        <f t="shared" si="11"/>
        <v>-0.48</v>
      </c>
      <c r="P17">
        <f t="shared" si="12"/>
        <v>0.94375000000000009</v>
      </c>
      <c r="Q17">
        <f t="shared" si="13"/>
        <v>0.9604166666666667</v>
      </c>
      <c r="R17">
        <f t="shared" si="6"/>
        <v>-0.96097895833333336</v>
      </c>
      <c r="T17">
        <v>-0.48</v>
      </c>
      <c r="U17">
        <v>-0.47783300000000001</v>
      </c>
      <c r="V17" s="11">
        <f t="shared" si="14"/>
        <v>0.53381431195884943</v>
      </c>
      <c r="W17">
        <f t="shared" si="15"/>
        <v>-0.74307673870911672</v>
      </c>
      <c r="X17" s="13">
        <f t="shared" si="16"/>
        <v>-0.5069596849046244</v>
      </c>
      <c r="Y17" s="13">
        <v>-6.95968490462439E-3</v>
      </c>
    </row>
    <row r="18" spans="1:25" x14ac:dyDescent="0.25">
      <c r="A18" s="1">
        <v>1859</v>
      </c>
      <c r="B18" s="1">
        <f t="shared" si="7"/>
        <v>-0.28199999999999997</v>
      </c>
      <c r="C18" s="1">
        <f t="shared" si="0"/>
        <v>-0.27430347500000002</v>
      </c>
      <c r="D18" s="1">
        <f t="shared" si="1"/>
        <v>-2.0674645626605093E-2</v>
      </c>
      <c r="E18" s="1">
        <f t="shared" si="8"/>
        <v>0.99177786925174982</v>
      </c>
      <c r="F18" s="1">
        <f t="shared" si="9"/>
        <v>7.6965249999999541E-3</v>
      </c>
      <c r="G18" s="9">
        <f t="shared" si="2"/>
        <v>0.99177786925174982</v>
      </c>
      <c r="H18" s="1">
        <f t="shared" si="3"/>
        <v>0.6065978436470767</v>
      </c>
      <c r="I18" s="1">
        <f t="shared" si="10"/>
        <v>1.5374160329176789</v>
      </c>
      <c r="J18" s="3">
        <f t="shared" si="4"/>
        <v>1.5374160329176789</v>
      </c>
      <c r="K18" s="3">
        <f t="shared" si="5"/>
        <v>0.99177786925174982</v>
      </c>
      <c r="L18" s="6">
        <v>-0.28199999999999997</v>
      </c>
      <c r="M18" s="4">
        <v>-0.33</v>
      </c>
      <c r="N18" s="5">
        <v>-0.193</v>
      </c>
      <c r="O18">
        <f t="shared" si="11"/>
        <v>-0.193</v>
      </c>
      <c r="P18">
        <f t="shared" si="12"/>
        <v>1.7098445595854923</v>
      </c>
      <c r="Q18">
        <f t="shared" si="13"/>
        <v>1.4611398963730569</v>
      </c>
      <c r="R18">
        <f t="shared" si="6"/>
        <v>-1.4156637305699478</v>
      </c>
      <c r="T18">
        <v>-0.193</v>
      </c>
      <c r="U18">
        <v>-0.20558299999999999</v>
      </c>
      <c r="V18" s="11">
        <f t="shared" si="14"/>
        <v>0.52041552681475878</v>
      </c>
      <c r="W18">
        <f t="shared" si="15"/>
        <v>-0.50781926113090914</v>
      </c>
      <c r="X18" s="13">
        <f t="shared" si="16"/>
        <v>-0.50055668720888791</v>
      </c>
      <c r="Y18" s="13">
        <v>-5.5668720888794496E-4</v>
      </c>
    </row>
    <row r="19" spans="1:25" x14ac:dyDescent="0.25">
      <c r="A19" s="1">
        <v>1860</v>
      </c>
      <c r="B19" s="1">
        <f t="shared" si="7"/>
        <v>-0.33800000000000002</v>
      </c>
      <c r="C19" s="1">
        <f t="shared" si="0"/>
        <v>-0.35373250000000001</v>
      </c>
      <c r="D19" s="1">
        <f t="shared" si="1"/>
        <v>1.341710959044573E-2</v>
      </c>
      <c r="E19" s="7">
        <f t="shared" si="8"/>
        <v>0.38716080519359219</v>
      </c>
      <c r="F19" s="1">
        <f t="shared" si="9"/>
        <v>1.5732499999999983E-2</v>
      </c>
      <c r="G19" s="9">
        <f t="shared" si="2"/>
        <v>0.38716080519359219</v>
      </c>
      <c r="H19" s="1">
        <f t="shared" si="3"/>
        <v>-5.0440421746031583E-2</v>
      </c>
      <c r="I19" s="1" t="e">
        <f t="shared" si="10"/>
        <v>#NUM!</v>
      </c>
      <c r="J19" s="3" t="b">
        <f t="shared" si="4"/>
        <v>0</v>
      </c>
      <c r="K19" s="3">
        <f t="shared" si="5"/>
        <v>0.38716080519359219</v>
      </c>
      <c r="L19" s="6">
        <v>-0.33800000000000002</v>
      </c>
      <c r="M19" s="4">
        <v>-0.25600000000000001</v>
      </c>
      <c r="N19" s="5">
        <v>-0.58799999999999997</v>
      </c>
      <c r="O19">
        <f t="shared" si="11"/>
        <v>-0.58799999999999997</v>
      </c>
      <c r="P19">
        <f t="shared" si="12"/>
        <v>0.43537414965986398</v>
      </c>
      <c r="Q19">
        <f t="shared" si="13"/>
        <v>0.5748299319727892</v>
      </c>
      <c r="R19">
        <f t="shared" si="6"/>
        <v>-0.55263333333333353</v>
      </c>
      <c r="T19">
        <v>-0.58799999999999997</v>
      </c>
      <c r="U19">
        <v>-0.58391700000000002</v>
      </c>
      <c r="V19" s="11">
        <f t="shared" si="14"/>
        <v>0.50860422942787409</v>
      </c>
      <c r="W19">
        <f t="shared" si="15"/>
        <v>-0.52757696125008291</v>
      </c>
      <c r="X19" s="13">
        <f t="shared" si="16"/>
        <v>-0.56295223459329902</v>
      </c>
      <c r="Y19" s="13">
        <v>-6.2952234593299003E-2</v>
      </c>
    </row>
    <row r="20" spans="1:25" x14ac:dyDescent="0.25">
      <c r="A20" s="1">
        <v>1861</v>
      </c>
      <c r="B20" s="1">
        <f t="shared" si="7"/>
        <v>-0.39100000000000001</v>
      </c>
      <c r="C20" s="1">
        <f t="shared" si="0"/>
        <v>-0.39425094999999999</v>
      </c>
      <c r="D20" s="1">
        <f t="shared" si="1"/>
        <v>0</v>
      </c>
      <c r="E20" s="1">
        <f t="shared" si="8"/>
        <v>0.69882316158910784</v>
      </c>
      <c r="F20" s="1">
        <f t="shared" si="9"/>
        <v>3.2509499999999747E-3</v>
      </c>
      <c r="G20" s="9">
        <f t="shared" si="2"/>
        <v>0.69882316158910784</v>
      </c>
      <c r="H20" s="1">
        <f t="shared" si="3"/>
        <v>1.0564336038323519E-2</v>
      </c>
      <c r="I20" s="1">
        <f t="shared" si="10"/>
        <v>0.69882316158910784</v>
      </c>
      <c r="J20" s="3">
        <f t="shared" si="4"/>
        <v>0.69882316158910784</v>
      </c>
      <c r="K20" s="3">
        <f t="shared" si="5"/>
        <v>0.62681604657445911</v>
      </c>
      <c r="L20" s="6">
        <v>-0.39100000000000001</v>
      </c>
      <c r="M20" s="4">
        <v>-0.40400000000000003</v>
      </c>
      <c r="N20" s="5">
        <v>-0.41799999999999998</v>
      </c>
      <c r="O20">
        <f t="shared" si="11"/>
        <v>-0.41799999999999998</v>
      </c>
      <c r="P20">
        <f t="shared" si="12"/>
        <v>0.96650717703349287</v>
      </c>
      <c r="Q20">
        <f t="shared" si="13"/>
        <v>0.93540669856459335</v>
      </c>
      <c r="R20">
        <f t="shared" si="6"/>
        <v>-0.89471722488038286</v>
      </c>
      <c r="T20">
        <v>-0.41799999999999998</v>
      </c>
      <c r="U20">
        <v>-0.42758299999999999</v>
      </c>
      <c r="V20" s="11">
        <f t="shared" si="14"/>
        <v>0.49830075446516275</v>
      </c>
      <c r="W20">
        <f t="shared" si="15"/>
        <v>-0.6983094895830394</v>
      </c>
      <c r="X20" s="13">
        <f t="shared" si="16"/>
        <v>-0.54326489648126097</v>
      </c>
      <c r="Y20" s="13">
        <v>-4.3264896481261E-2</v>
      </c>
    </row>
    <row r="21" spans="1:25" x14ac:dyDescent="0.25">
      <c r="A21" s="1">
        <v>1862</v>
      </c>
      <c r="B21" s="1">
        <f t="shared" si="7"/>
        <v>-0.503</v>
      </c>
      <c r="C21" s="1">
        <f t="shared" si="0"/>
        <v>-0.47207209999999999</v>
      </c>
      <c r="D21" s="1">
        <f t="shared" si="1"/>
        <v>0</v>
      </c>
      <c r="E21" s="1">
        <f t="shared" si="8"/>
        <v>0.81347247039037585</v>
      </c>
      <c r="F21" s="1">
        <f t="shared" si="9"/>
        <v>3.0927900000000008E-2</v>
      </c>
      <c r="G21" s="9">
        <f t="shared" si="2"/>
        <v>0.81347247039037585</v>
      </c>
      <c r="H21" s="1">
        <f t="shared" si="3"/>
        <v>0.13762793760768527</v>
      </c>
      <c r="I21" s="1">
        <f t="shared" si="10"/>
        <v>0.81347247039037585</v>
      </c>
      <c r="J21" s="3">
        <f t="shared" si="4"/>
        <v>0.81347247039037585</v>
      </c>
      <c r="K21" s="3">
        <f t="shared" si="5"/>
        <v>0.55357167504219129</v>
      </c>
      <c r="L21" s="6">
        <v>-0.503</v>
      </c>
      <c r="M21" s="4">
        <v>-0.39900000000000002</v>
      </c>
      <c r="N21" s="5">
        <v>-0.67</v>
      </c>
      <c r="O21">
        <f t="shared" si="11"/>
        <v>-0.67</v>
      </c>
      <c r="P21">
        <f t="shared" si="12"/>
        <v>0.59552238805970148</v>
      </c>
      <c r="Q21">
        <f t="shared" si="13"/>
        <v>0.75074626865671634</v>
      </c>
      <c r="R21">
        <f t="shared" si="6"/>
        <v>-0.79016820895522377</v>
      </c>
      <c r="T21">
        <v>-0.67</v>
      </c>
      <c r="U21">
        <v>-0.66333299999999995</v>
      </c>
      <c r="V21" s="11">
        <f t="shared" si="14"/>
        <v>0.48942758608609438</v>
      </c>
      <c r="W21">
        <f t="shared" si="15"/>
        <v>-0.77365640955925452</v>
      </c>
      <c r="X21" s="13">
        <f t="shared" si="16"/>
        <v>-0.59404690608130206</v>
      </c>
      <c r="Y21" s="13">
        <v>-9.4046906081302006E-2</v>
      </c>
    </row>
    <row r="22" spans="1:25" x14ac:dyDescent="0.25">
      <c r="A22" s="1">
        <v>1863</v>
      </c>
      <c r="B22" s="1">
        <f t="shared" si="7"/>
        <v>-0.27500000000000002</v>
      </c>
      <c r="C22" s="1">
        <f t="shared" si="0"/>
        <v>-0.28877435000000001</v>
      </c>
      <c r="D22" s="1">
        <f t="shared" si="1"/>
        <v>-5.6710813412171324E-3</v>
      </c>
      <c r="E22" s="1">
        <f t="shared" si="8"/>
        <v>0.93302969973840122</v>
      </c>
      <c r="F22" s="1">
        <f t="shared" si="9"/>
        <v>1.3774349999999991E-2</v>
      </c>
      <c r="G22" s="9">
        <f t="shared" si="2"/>
        <v>0.93302969973840122</v>
      </c>
      <c r="H22" s="1">
        <f t="shared" si="3"/>
        <v>0.16599524224127671</v>
      </c>
      <c r="I22" s="1">
        <f t="shared" si="10"/>
        <v>1.2184613495756398</v>
      </c>
      <c r="J22" s="3">
        <f t="shared" si="4"/>
        <v>1.2184613495756398</v>
      </c>
      <c r="K22" s="3">
        <f t="shared" si="5"/>
        <v>0.93302969973840122</v>
      </c>
      <c r="L22" s="6">
        <v>-0.27500000000000002</v>
      </c>
      <c r="M22" s="4">
        <v>-0.35799999999999998</v>
      </c>
      <c r="N22" s="5">
        <v>-0.182</v>
      </c>
      <c r="O22">
        <f t="shared" si="11"/>
        <v>-0.182</v>
      </c>
      <c r="P22">
        <f t="shared" si="12"/>
        <v>1.9670329670329669</v>
      </c>
      <c r="Q22">
        <f t="shared" si="13"/>
        <v>1.5109890109890112</v>
      </c>
      <c r="R22">
        <f t="shared" si="6"/>
        <v>-1.3318065934065939</v>
      </c>
      <c r="T22">
        <v>-0.182</v>
      </c>
      <c r="U22">
        <v>-0.192167</v>
      </c>
      <c r="V22" s="11">
        <f t="shared" si="14"/>
        <v>0.48190940264612436</v>
      </c>
      <c r="W22">
        <f t="shared" si="15"/>
        <v>-0.58229878674100466</v>
      </c>
      <c r="X22" s="13">
        <f t="shared" si="16"/>
        <v>-0.49633715288056862</v>
      </c>
      <c r="Y22" s="13">
        <v>3.6628471194314E-3</v>
      </c>
    </row>
    <row r="23" spans="1:25" x14ac:dyDescent="0.25">
      <c r="A23" s="1">
        <v>1864</v>
      </c>
      <c r="B23" s="1">
        <f t="shared" si="7"/>
        <v>-0.47799999999999998</v>
      </c>
      <c r="C23" s="1">
        <f t="shared" si="0"/>
        <v>-0.47882517499999999</v>
      </c>
      <c r="D23" s="1">
        <f t="shared" si="1"/>
        <v>3.6225905134046332E-4</v>
      </c>
      <c r="E23" s="7">
        <f t="shared" si="8"/>
        <v>0.46902947017400543</v>
      </c>
      <c r="F23" s="1">
        <f t="shared" si="9"/>
        <v>8.2517500000001132E-4</v>
      </c>
      <c r="G23" s="9">
        <f t="shared" si="2"/>
        <v>0.46902947017400543</v>
      </c>
      <c r="H23" s="1">
        <f t="shared" si="3"/>
        <v>-1.3682921182815444E-3</v>
      </c>
      <c r="I23" s="1" t="e">
        <f t="shared" si="10"/>
        <v>#NUM!</v>
      </c>
      <c r="J23" s="3" t="b">
        <f t="shared" si="4"/>
        <v>0</v>
      </c>
      <c r="K23" s="3">
        <f t="shared" si="5"/>
        <v>0.46902947017400543</v>
      </c>
      <c r="L23" s="6">
        <v>-0.47799999999999998</v>
      </c>
      <c r="M23" s="4">
        <v>-0.39</v>
      </c>
      <c r="N23" s="5">
        <v>-0.70899999999999996</v>
      </c>
      <c r="O23">
        <f t="shared" si="11"/>
        <v>-0.70899999999999996</v>
      </c>
      <c r="P23">
        <f t="shared" si="12"/>
        <v>0.55007052186177718</v>
      </c>
      <c r="Q23">
        <f t="shared" si="13"/>
        <v>0.67418899858956283</v>
      </c>
      <c r="R23">
        <f t="shared" si="6"/>
        <v>-0.66949266572637534</v>
      </c>
      <c r="T23">
        <v>-0.70899999999999996</v>
      </c>
      <c r="U23">
        <v>-0.69433299999999998</v>
      </c>
      <c r="V23" s="11">
        <f t="shared" si="14"/>
        <v>0.47567305434495211</v>
      </c>
      <c r="W23">
        <f t="shared" si="15"/>
        <v>-0.7881428223775967</v>
      </c>
      <c r="X23" s="13">
        <f t="shared" si="16"/>
        <v>-0.52905049571307772</v>
      </c>
      <c r="Y23" s="13">
        <v>-2.90504957130777E-2</v>
      </c>
    </row>
    <row r="24" spans="1:25" x14ac:dyDescent="0.25">
      <c r="A24" s="1">
        <v>1865</v>
      </c>
      <c r="B24" s="1">
        <f t="shared" si="7"/>
        <v>-0.27</v>
      </c>
      <c r="C24" s="1">
        <f t="shared" si="0"/>
        <v>-0.26947984999999997</v>
      </c>
      <c r="D24" s="1">
        <f t="shared" si="1"/>
        <v>0</v>
      </c>
      <c r="E24" s="1">
        <f t="shared" si="8"/>
        <v>0.5565339396837099</v>
      </c>
      <c r="F24" s="1">
        <f t="shared" si="9"/>
        <v>5.2015000000005251E-4</v>
      </c>
      <c r="G24" s="9">
        <f t="shared" si="2"/>
        <v>0.5565339396837099</v>
      </c>
      <c r="H24" s="1">
        <f t="shared" si="3"/>
        <v>4.2885091131419362E-3</v>
      </c>
      <c r="I24" s="1">
        <f t="shared" si="10"/>
        <v>0.5565339396837099</v>
      </c>
      <c r="J24" s="3">
        <f t="shared" si="4"/>
        <v>0.5565339396837099</v>
      </c>
      <c r="K24" s="3">
        <f t="shared" si="5"/>
        <v>0.51065562285664423</v>
      </c>
      <c r="L24" s="6">
        <v>-0.27</v>
      </c>
      <c r="M24" s="4">
        <v>-0.23599999999999999</v>
      </c>
      <c r="N24" s="5">
        <v>-0.36599999999999999</v>
      </c>
      <c r="O24">
        <f t="shared" si="11"/>
        <v>-0.36599999999999999</v>
      </c>
      <c r="P24">
        <f t="shared" si="12"/>
        <v>0.64480874316939885</v>
      </c>
      <c r="Q24">
        <f t="shared" si="13"/>
        <v>0.73770491803278693</v>
      </c>
      <c r="R24">
        <f t="shared" si="6"/>
        <v>-0.72890983606557391</v>
      </c>
      <c r="T24">
        <v>-0.36599999999999999</v>
      </c>
      <c r="U24">
        <v>-0.37524999999999997</v>
      </c>
      <c r="V24" s="11">
        <f t="shared" si="14"/>
        <v>0.47064743656665087</v>
      </c>
      <c r="W24">
        <f t="shared" si="15"/>
        <v>-0.46266132829079798</v>
      </c>
      <c r="X24" s="13">
        <f t="shared" si="16"/>
        <v>-0.50239393801633614</v>
      </c>
      <c r="Y24" s="13">
        <v>-2.3939380163361399E-3</v>
      </c>
    </row>
    <row r="25" spans="1:25" x14ac:dyDescent="0.25">
      <c r="A25" s="1">
        <v>1866</v>
      </c>
      <c r="B25" s="1">
        <f t="shared" si="7"/>
        <v>-0.24099999999999999</v>
      </c>
      <c r="C25" s="1">
        <f t="shared" si="0"/>
        <v>-0.24857747499999999</v>
      </c>
      <c r="D25" s="1">
        <f t="shared" si="1"/>
        <v>7.8225632244013632E-3</v>
      </c>
      <c r="E25" s="7">
        <f t="shared" si="8"/>
        <v>0.47296481061684648</v>
      </c>
      <c r="F25" s="1">
        <f t="shared" si="9"/>
        <v>7.5774750000000002E-3</v>
      </c>
      <c r="G25" s="9">
        <f t="shared" si="2"/>
        <v>0.47296481061684648</v>
      </c>
      <c r="H25" s="1">
        <f t="shared" si="3"/>
        <v>-6.1948274827271999E-2</v>
      </c>
      <c r="I25" s="1" t="e">
        <f t="shared" si="10"/>
        <v>#NUM!</v>
      </c>
      <c r="J25" s="3" t="b">
        <f t="shared" si="4"/>
        <v>0</v>
      </c>
      <c r="K25" s="3">
        <f t="shared" si="5"/>
        <v>0.47296481061684648</v>
      </c>
      <c r="L25" s="6">
        <v>-0.24099999999999999</v>
      </c>
      <c r="M25" s="4">
        <v>-0.216</v>
      </c>
      <c r="N25" s="5">
        <v>-0.34100000000000003</v>
      </c>
      <c r="O25">
        <f t="shared" si="11"/>
        <v>-0.34100000000000003</v>
      </c>
      <c r="P25">
        <f t="shared" si="12"/>
        <v>0.63343108504398826</v>
      </c>
      <c r="Q25">
        <f t="shared" si="13"/>
        <v>0.70674486803519054</v>
      </c>
      <c r="R25">
        <f t="shared" si="6"/>
        <v>-0.67510997067448664</v>
      </c>
      <c r="T25">
        <v>-0.34100000000000003</v>
      </c>
      <c r="U25">
        <v>-0.34875</v>
      </c>
      <c r="V25" s="11">
        <f t="shared" si="14"/>
        <v>0.46676357928663492</v>
      </c>
      <c r="W25">
        <f t="shared" si="15"/>
        <v>-0.42790085518865656</v>
      </c>
      <c r="X25" s="13">
        <f t="shared" si="16"/>
        <v>-0.49607541316655412</v>
      </c>
      <c r="Y25" s="13">
        <v>3.9245868334458903E-3</v>
      </c>
    </row>
    <row r="26" spans="1:25" x14ac:dyDescent="0.25">
      <c r="A26" s="1">
        <v>1867</v>
      </c>
      <c r="B26" s="1">
        <f t="shared" si="7"/>
        <v>-0.308</v>
      </c>
      <c r="C26" s="1">
        <f t="shared" si="0"/>
        <v>-0.30839042500000002</v>
      </c>
      <c r="D26" s="1">
        <f t="shared" si="1"/>
        <v>0</v>
      </c>
      <c r="E26" s="1">
        <f t="shared" si="8"/>
        <v>0.49351069396186709</v>
      </c>
      <c r="F26" s="1">
        <f t="shared" si="9"/>
        <v>3.9042500000002756E-4</v>
      </c>
      <c r="G26" s="9">
        <f t="shared" si="2"/>
        <v>0.49351069396186709</v>
      </c>
      <c r="H26" s="1">
        <f t="shared" si="3"/>
        <v>1.2189400001060224E-2</v>
      </c>
      <c r="I26" s="1">
        <f t="shared" si="10"/>
        <v>0.49351069396186709</v>
      </c>
      <c r="J26" s="3">
        <f t="shared" si="4"/>
        <v>0.49351069396186709</v>
      </c>
      <c r="K26" s="3">
        <f t="shared" si="5"/>
        <v>0.41616333806723421</v>
      </c>
      <c r="L26" s="6">
        <v>-0.308</v>
      </c>
      <c r="M26" s="4">
        <v>-0.218</v>
      </c>
      <c r="N26" s="5">
        <v>-0.52300000000000002</v>
      </c>
      <c r="O26">
        <f t="shared" si="11"/>
        <v>-0.52300000000000002</v>
      </c>
      <c r="P26">
        <f t="shared" si="12"/>
        <v>0.41682600382409174</v>
      </c>
      <c r="Q26">
        <f t="shared" si="13"/>
        <v>0.58891013384321222</v>
      </c>
      <c r="R26">
        <f t="shared" si="6"/>
        <v>-0.59403154875717012</v>
      </c>
      <c r="T26">
        <v>-0.52300000000000002</v>
      </c>
      <c r="U26">
        <v>-0.51741700000000002</v>
      </c>
      <c r="V26" s="11">
        <f t="shared" si="14"/>
        <v>0.4639545576646924</v>
      </c>
      <c r="W26">
        <f t="shared" si="15"/>
        <v>-0.48508369101768622</v>
      </c>
      <c r="X26" s="13">
        <f t="shared" si="16"/>
        <v>-0.47849527426009369</v>
      </c>
      <c r="Y26" s="13">
        <v>2.1504725739906298E-2</v>
      </c>
    </row>
    <row r="27" spans="1:25" x14ac:dyDescent="0.25">
      <c r="A27" s="1">
        <v>1868</v>
      </c>
      <c r="B27" s="1">
        <f t="shared" si="7"/>
        <v>-0.23</v>
      </c>
      <c r="C27" s="1">
        <f t="shared" si="0"/>
        <v>-0.24857747499999999</v>
      </c>
      <c r="D27" s="1">
        <f t="shared" si="1"/>
        <v>2.009695240989498E-2</v>
      </c>
      <c r="E27" s="7">
        <f t="shared" si="8"/>
        <v>0.44396454021961612</v>
      </c>
      <c r="F27" s="1">
        <f t="shared" si="9"/>
        <v>1.8577474999999982E-2</v>
      </c>
      <c r="G27" s="9">
        <f t="shared" si="2"/>
        <v>0.44396454021961612</v>
      </c>
      <c r="H27" s="1">
        <f t="shared" si="3"/>
        <v>-0.15578886714548912</v>
      </c>
      <c r="I27" s="1" t="e">
        <f t="shared" si="10"/>
        <v>#NUM!</v>
      </c>
      <c r="J27" s="3" t="b">
        <f t="shared" si="4"/>
        <v>0</v>
      </c>
      <c r="K27" s="3">
        <f t="shared" si="5"/>
        <v>0.44396454021961612</v>
      </c>
      <c r="L27" s="6">
        <v>-0.23</v>
      </c>
      <c r="M27" s="4">
        <v>-0.223</v>
      </c>
      <c r="N27" s="5">
        <v>-0.32700000000000001</v>
      </c>
      <c r="O27">
        <f t="shared" si="11"/>
        <v>-0.32700000000000001</v>
      </c>
      <c r="P27">
        <f t="shared" si="12"/>
        <v>0.68195718654434245</v>
      </c>
      <c r="Q27">
        <f t="shared" si="13"/>
        <v>0.70336391437308865</v>
      </c>
      <c r="R27">
        <f t="shared" si="6"/>
        <v>-0.63371498470948007</v>
      </c>
      <c r="T27">
        <v>-0.32700000000000001</v>
      </c>
      <c r="U27">
        <v>-0.33116699999999999</v>
      </c>
      <c r="V27" s="11">
        <f t="shared" si="14"/>
        <v>0.46215544734150171</v>
      </c>
      <c r="W27">
        <f t="shared" si="15"/>
        <v>-0.43799578769452391</v>
      </c>
      <c r="X27" s="13">
        <f t="shared" si="16"/>
        <v>-0.49927560860419673</v>
      </c>
      <c r="Y27" s="13">
        <v>7.2439139580328198E-4</v>
      </c>
    </row>
    <row r="28" spans="1:25" x14ac:dyDescent="0.25">
      <c r="A28" s="1">
        <v>1869</v>
      </c>
      <c r="B28" s="1">
        <f t="shared" si="7"/>
        <v>-0.25900000000000001</v>
      </c>
      <c r="C28" s="1">
        <f t="shared" si="0"/>
        <v>-0.26240520000000001</v>
      </c>
      <c r="D28" s="1">
        <f t="shared" si="1"/>
        <v>1.3305322479194581E-3</v>
      </c>
      <c r="E28" s="7">
        <f t="shared" si="8"/>
        <v>0.5935953097978699</v>
      </c>
      <c r="F28" s="1">
        <f t="shared" si="9"/>
        <v>3.4051999999999971E-3</v>
      </c>
      <c r="G28" s="9">
        <f t="shared" si="2"/>
        <v>0.5935953097978699</v>
      </c>
      <c r="H28" s="1">
        <f t="shared" si="3"/>
        <v>-1.5443249858791419E-2</v>
      </c>
      <c r="I28" s="1" t="e">
        <f t="shared" si="10"/>
        <v>#NUM!</v>
      </c>
      <c r="J28" s="3" t="b">
        <f t="shared" si="4"/>
        <v>0</v>
      </c>
      <c r="K28" s="3">
        <f t="shared" si="5"/>
        <v>0.5935953097978699</v>
      </c>
      <c r="L28" s="6">
        <v>-0.25900000000000001</v>
      </c>
      <c r="M28" s="4">
        <v>-0.26200000000000001</v>
      </c>
      <c r="N28" s="5">
        <v>-0.29199999999999998</v>
      </c>
      <c r="O28">
        <f t="shared" si="11"/>
        <v>-0.29199999999999998</v>
      </c>
      <c r="P28">
        <f t="shared" si="12"/>
        <v>0.89726027397260288</v>
      </c>
      <c r="Q28">
        <f t="shared" si="13"/>
        <v>0.88698630136986312</v>
      </c>
      <c r="R28">
        <f t="shared" si="6"/>
        <v>-0.84729794520547952</v>
      </c>
      <c r="T28">
        <v>-0.29199999999999998</v>
      </c>
      <c r="U28">
        <v>-0.30425000000000002</v>
      </c>
      <c r="V28" s="11">
        <f t="shared" si="14"/>
        <v>0.46130338776856661</v>
      </c>
      <c r="W28">
        <f t="shared" si="15"/>
        <v>-0.48894975557659759</v>
      </c>
      <c r="X28" s="13">
        <f t="shared" si="16"/>
        <v>-0.47431898675828033</v>
      </c>
      <c r="Y28" s="13">
        <v>2.5681013241719699E-2</v>
      </c>
    </row>
    <row r="29" spans="1:25" x14ac:dyDescent="0.25">
      <c r="A29" s="1">
        <v>1870</v>
      </c>
      <c r="B29" s="1">
        <f t="shared" si="7"/>
        <v>-0.27100000000000002</v>
      </c>
      <c r="C29" s="1">
        <f t="shared" si="0"/>
        <v>-0.29745687500000001</v>
      </c>
      <c r="D29" s="1">
        <f t="shared" si="1"/>
        <v>2.8208971498668745E-2</v>
      </c>
      <c r="E29" s="7">
        <f t="shared" si="8"/>
        <v>0.37007642162901877</v>
      </c>
      <c r="F29" s="1">
        <f t="shared" si="9"/>
        <v>2.6456874999999991E-2</v>
      </c>
      <c r="G29" s="9">
        <f t="shared" si="2"/>
        <v>0.37007642162901877</v>
      </c>
      <c r="H29" s="1">
        <f t="shared" si="3"/>
        <v>-0.12873699303145503</v>
      </c>
      <c r="I29" s="1" t="e">
        <f t="shared" si="10"/>
        <v>#NUM!</v>
      </c>
      <c r="J29" s="3" t="b">
        <f t="shared" si="4"/>
        <v>0</v>
      </c>
      <c r="K29" s="3">
        <f t="shared" si="5"/>
        <v>0.37007642162901877</v>
      </c>
      <c r="L29" s="6">
        <v>-0.27100000000000002</v>
      </c>
      <c r="M29" s="4">
        <v>-0.23100000000000001</v>
      </c>
      <c r="N29" s="5">
        <v>-0.46300000000000002</v>
      </c>
      <c r="O29">
        <f t="shared" si="11"/>
        <v>-0.46300000000000002</v>
      </c>
      <c r="P29">
        <f t="shared" si="12"/>
        <v>0.49892008639308855</v>
      </c>
      <c r="Q29">
        <f t="shared" si="13"/>
        <v>0.58531317494600432</v>
      </c>
      <c r="R29">
        <f t="shared" si="6"/>
        <v>-0.52824708423326139</v>
      </c>
      <c r="T29">
        <v>-0.46300000000000002</v>
      </c>
      <c r="U29">
        <v>-0.46124999999999999</v>
      </c>
      <c r="V29" s="11">
        <f t="shared" si="14"/>
        <v>0.46133742947131395</v>
      </c>
      <c r="W29">
        <f t="shared" si="15"/>
        <v>-0.4899194062005755</v>
      </c>
      <c r="X29" s="13">
        <f t="shared" si="16"/>
        <v>-0.50714168130126092</v>
      </c>
      <c r="Y29" s="13">
        <v>-7.1416813012609697E-3</v>
      </c>
    </row>
    <row r="30" spans="1:25" x14ac:dyDescent="0.25">
      <c r="A30" s="1">
        <v>1871</v>
      </c>
      <c r="B30" s="1">
        <f t="shared" si="7"/>
        <v>-0.32600000000000001</v>
      </c>
      <c r="C30" s="1">
        <f t="shared" si="0"/>
        <v>-0.33733217500000001</v>
      </c>
      <c r="D30" s="1">
        <f t="shared" si="1"/>
        <v>6.7526551934904422E-3</v>
      </c>
      <c r="E30" s="7">
        <f t="shared" si="8"/>
        <v>0.37857029227587607</v>
      </c>
      <c r="F30" s="1">
        <f t="shared" si="9"/>
        <v>1.1332175E-2</v>
      </c>
      <c r="G30" s="9">
        <f t="shared" si="2"/>
        <v>0.37857029227587607</v>
      </c>
      <c r="H30" s="1">
        <f t="shared" si="3"/>
        <v>-2.4696721676816025E-2</v>
      </c>
      <c r="I30" s="1" t="e">
        <f t="shared" si="10"/>
        <v>#NUM!</v>
      </c>
      <c r="J30" s="3" t="b">
        <f t="shared" si="4"/>
        <v>0</v>
      </c>
      <c r="K30" s="3">
        <f t="shared" si="5"/>
        <v>0.37857029227587607</v>
      </c>
      <c r="L30" s="6">
        <v>-0.32600000000000001</v>
      </c>
      <c r="M30" s="4">
        <v>-0.22900000000000001</v>
      </c>
      <c r="N30" s="5">
        <v>-0.59099999999999997</v>
      </c>
      <c r="O30">
        <f t="shared" si="11"/>
        <v>-0.59099999999999997</v>
      </c>
      <c r="P30">
        <f t="shared" si="12"/>
        <v>0.38747884940778343</v>
      </c>
      <c r="Q30">
        <f t="shared" si="13"/>
        <v>0.55160744500846026</v>
      </c>
      <c r="R30">
        <f t="shared" si="6"/>
        <v>-0.54037123519458552</v>
      </c>
      <c r="T30">
        <v>-0.59099999999999997</v>
      </c>
      <c r="U30">
        <v>-0.58299999999999996</v>
      </c>
      <c r="V30" s="11">
        <f t="shared" si="14"/>
        <v>0.46219861600548029</v>
      </c>
      <c r="W30">
        <f t="shared" si="15"/>
        <v>-0.52281167168335907</v>
      </c>
      <c r="X30" s="13">
        <f t="shared" si="16"/>
        <v>-0.52176478581286967</v>
      </c>
      <c r="Y30" s="13">
        <v>-2.17647858128697E-2</v>
      </c>
    </row>
    <row r="31" spans="1:25" x14ac:dyDescent="0.25">
      <c r="A31" s="1">
        <v>1872</v>
      </c>
      <c r="B31" s="1">
        <f t="shared" si="7"/>
        <v>-0.22900000000000001</v>
      </c>
      <c r="C31" s="1">
        <f t="shared" si="0"/>
        <v>-0.24182439999999999</v>
      </c>
      <c r="D31" s="1">
        <f t="shared" si="1"/>
        <v>1.2867855883107321E-2</v>
      </c>
      <c r="E31" s="7">
        <f t="shared" si="8"/>
        <v>0.49828737943492046</v>
      </c>
      <c r="F31" s="1">
        <f t="shared" si="9"/>
        <v>1.2824399999999986E-2</v>
      </c>
      <c r="G31" s="9">
        <f t="shared" si="2"/>
        <v>0.49828737943492046</v>
      </c>
      <c r="H31" s="1">
        <f t="shared" si="3"/>
        <v>-0.12368016287618688</v>
      </c>
      <c r="I31" s="1" t="e">
        <f t="shared" si="10"/>
        <v>#NUM!</v>
      </c>
      <c r="J31" s="3" t="b">
        <f t="shared" si="4"/>
        <v>0</v>
      </c>
      <c r="K31" s="3">
        <f t="shared" si="5"/>
        <v>0.49828737943492046</v>
      </c>
      <c r="L31" s="6">
        <v>-0.22900000000000001</v>
      </c>
      <c r="M31" s="4">
        <v>-0.22800000000000001</v>
      </c>
      <c r="N31" s="5">
        <v>-0.29599999999999999</v>
      </c>
      <c r="O31">
        <f t="shared" si="11"/>
        <v>-0.29599999999999999</v>
      </c>
      <c r="P31">
        <f t="shared" si="12"/>
        <v>0.77027027027027029</v>
      </c>
      <c r="Q31">
        <f t="shared" si="13"/>
        <v>0.77364864864864868</v>
      </c>
      <c r="R31">
        <f t="shared" si="6"/>
        <v>-0.71125540540540544</v>
      </c>
      <c r="T31">
        <v>-0.29599999999999999</v>
      </c>
      <c r="U31">
        <v>-0.310083</v>
      </c>
      <c r="V31" s="11">
        <f t="shared" si="14"/>
        <v>0.46382988709956408</v>
      </c>
      <c r="W31">
        <f t="shared" si="15"/>
        <v>-0.43557083455665274</v>
      </c>
      <c r="X31" s="13">
        <f t="shared" si="16"/>
        <v>-0.51215727693299262</v>
      </c>
      <c r="Y31" s="13">
        <v>-1.21572769329926E-2</v>
      </c>
    </row>
    <row r="32" spans="1:25" x14ac:dyDescent="0.25">
      <c r="A32" s="1">
        <v>1873</v>
      </c>
      <c r="B32" s="1">
        <f t="shared" si="7"/>
        <v>-0.30599999999999999</v>
      </c>
      <c r="C32" s="1">
        <f t="shared" si="0"/>
        <v>-0.29777844999999997</v>
      </c>
      <c r="D32" s="1">
        <f t="shared" si="1"/>
        <v>0</v>
      </c>
      <c r="E32" s="1">
        <f t="shared" si="8"/>
        <v>0.811039351526468</v>
      </c>
      <c r="F32" s="1">
        <f t="shared" si="9"/>
        <v>8.2215500000000219E-3</v>
      </c>
      <c r="G32" s="9">
        <f t="shared" si="2"/>
        <v>0.811039351526468</v>
      </c>
      <c r="H32" s="1">
        <f t="shared" si="3"/>
        <v>8.775659824272497E-2</v>
      </c>
      <c r="I32" s="1">
        <f t="shared" si="10"/>
        <v>0.811039351526468</v>
      </c>
      <c r="J32" s="3">
        <f t="shared" si="4"/>
        <v>0.811039351526468</v>
      </c>
      <c r="K32" s="3">
        <f t="shared" si="5"/>
        <v>0.60350299042968036</v>
      </c>
      <c r="L32" s="6">
        <v>-0.30599999999999999</v>
      </c>
      <c r="M32" s="4">
        <v>-0.28499999999999998</v>
      </c>
      <c r="N32" s="5">
        <v>-0.35599999999999998</v>
      </c>
      <c r="O32">
        <f t="shared" si="11"/>
        <v>-0.35599999999999998</v>
      </c>
      <c r="P32">
        <f t="shared" si="12"/>
        <v>0.800561797752809</v>
      </c>
      <c r="Q32">
        <f t="shared" si="13"/>
        <v>0.8595505617977528</v>
      </c>
      <c r="R32">
        <f t="shared" si="6"/>
        <v>-0.86144016853932581</v>
      </c>
      <c r="T32">
        <v>-0.35599999999999998</v>
      </c>
      <c r="U32">
        <v>-0.372583</v>
      </c>
      <c r="V32" s="11">
        <f t="shared" si="14"/>
        <v>0.4661760563030839</v>
      </c>
      <c r="W32">
        <f t="shared" si="15"/>
        <v>-0.53824829816706321</v>
      </c>
      <c r="X32" s="13">
        <f t="shared" si="16"/>
        <v>-0.49018587205016706</v>
      </c>
      <c r="Y32" s="13">
        <v>9.8141279498329594E-3</v>
      </c>
    </row>
    <row r="33" spans="1:25" x14ac:dyDescent="0.25">
      <c r="A33" s="1">
        <v>1874</v>
      </c>
      <c r="B33" s="1">
        <f t="shared" si="7"/>
        <v>-0.373</v>
      </c>
      <c r="C33" s="1">
        <f t="shared" si="0"/>
        <v>-0.40454135000000002</v>
      </c>
      <c r="D33" s="1">
        <f t="shared" si="1"/>
        <v>3.1546380330675472E-2</v>
      </c>
      <c r="E33" s="7">
        <f t="shared" si="8"/>
        <v>0.49992023762515553</v>
      </c>
      <c r="F33" s="1">
        <f t="shared" si="9"/>
        <v>3.1541350000000024E-2</v>
      </c>
      <c r="G33" s="9">
        <f t="shared" si="2"/>
        <v>0.49992023762515553</v>
      </c>
      <c r="H33" s="1">
        <f t="shared" si="3"/>
        <v>-0.19490095236221228</v>
      </c>
      <c r="I33" s="1" t="e">
        <f t="shared" si="10"/>
        <v>#NUM!</v>
      </c>
      <c r="J33" s="3" t="b">
        <f t="shared" si="4"/>
        <v>0</v>
      </c>
      <c r="K33" s="3">
        <f t="shared" si="5"/>
        <v>0.49992023762515553</v>
      </c>
      <c r="L33" s="6">
        <v>-0.373</v>
      </c>
      <c r="M33" s="4">
        <v>-0.39800000000000002</v>
      </c>
      <c r="N33" s="5">
        <v>-0.46200000000000002</v>
      </c>
      <c r="O33">
        <f t="shared" si="11"/>
        <v>-0.46200000000000002</v>
      </c>
      <c r="P33">
        <f t="shared" si="12"/>
        <v>0.8614718614718615</v>
      </c>
      <c r="Q33">
        <f t="shared" si="13"/>
        <v>0.80735930735930728</v>
      </c>
      <c r="R33">
        <f t="shared" si="6"/>
        <v>-0.71358614718614699</v>
      </c>
      <c r="T33">
        <v>-0.46200000000000002</v>
      </c>
      <c r="U33">
        <v>-0.45658300000000002</v>
      </c>
      <c r="V33" s="11">
        <f t="shared" si="14"/>
        <v>0.46918386314064264</v>
      </c>
      <c r="W33">
        <f t="shared" si="15"/>
        <v>-0.73768911993501396</v>
      </c>
      <c r="X33" s="13">
        <f t="shared" si="16"/>
        <v>-0.47446126685880941</v>
      </c>
      <c r="Y33" s="13">
        <v>2.5538733141190598E-2</v>
      </c>
    </row>
    <row r="34" spans="1:25" x14ac:dyDescent="0.25">
      <c r="A34" s="1">
        <v>1875</v>
      </c>
      <c r="B34" s="1">
        <f t="shared" si="7"/>
        <v>-0.40799999999999997</v>
      </c>
      <c r="C34" s="1">
        <f t="shared" si="0"/>
        <v>-0.44120090000000001</v>
      </c>
      <c r="D34" s="1">
        <f t="shared" si="1"/>
        <v>1.7298337572449141E-2</v>
      </c>
      <c r="E34" s="7">
        <f t="shared" si="8"/>
        <v>0.31046293577171635</v>
      </c>
      <c r="F34" s="1">
        <f t="shared" si="9"/>
        <v>3.3200900000000033E-2</v>
      </c>
      <c r="G34" s="9">
        <f t="shared" si="2"/>
        <v>0.31046293577171635</v>
      </c>
      <c r="H34" s="1">
        <f t="shared" si="3"/>
        <v>-3.5003841244135886E-2</v>
      </c>
      <c r="I34" s="1" t="e">
        <f t="shared" si="10"/>
        <v>#NUM!</v>
      </c>
      <c r="J34" s="3" t="b">
        <f t="shared" si="4"/>
        <v>0</v>
      </c>
      <c r="K34" s="3">
        <f t="shared" si="5"/>
        <v>0.31046293577171635</v>
      </c>
      <c r="L34" s="6">
        <v>-0.40799999999999997</v>
      </c>
      <c r="M34" s="4">
        <v>-0.248</v>
      </c>
      <c r="N34" s="5">
        <v>-0.876</v>
      </c>
      <c r="O34">
        <f t="shared" si="11"/>
        <v>-0.876</v>
      </c>
      <c r="P34">
        <f t="shared" si="12"/>
        <v>0.28310502283105021</v>
      </c>
      <c r="Q34">
        <f t="shared" si="13"/>
        <v>0.46575342465753422</v>
      </c>
      <c r="R34">
        <f t="shared" si="6"/>
        <v>-0.4431547945205479</v>
      </c>
      <c r="T34">
        <v>-0.876</v>
      </c>
      <c r="U34">
        <v>-0.84499999999999997</v>
      </c>
      <c r="V34" s="11">
        <f t="shared" si="14"/>
        <v>0.47280180919915438</v>
      </c>
      <c r="W34">
        <f t="shared" si="15"/>
        <v>-0.62515777358304048</v>
      </c>
      <c r="X34" s="13">
        <f t="shared" si="16"/>
        <v>-0.5361879657191988</v>
      </c>
      <c r="Y34" s="13">
        <v>-3.61879657191988E-2</v>
      </c>
    </row>
    <row r="35" spans="1:25" x14ac:dyDescent="0.25">
      <c r="A35" s="1">
        <v>1876</v>
      </c>
      <c r="B35" s="1">
        <f t="shared" si="7"/>
        <v>-0.38400000000000001</v>
      </c>
      <c r="C35" s="1">
        <f t="shared" si="0"/>
        <v>-0.38138794999999998</v>
      </c>
      <c r="D35" s="1">
        <f t="shared" si="1"/>
        <v>0</v>
      </c>
      <c r="E35" s="1">
        <f t="shared" si="8"/>
        <v>0.66485017882980058</v>
      </c>
      <c r="F35" s="1">
        <f t="shared" si="9"/>
        <v>2.6120500000000324E-3</v>
      </c>
      <c r="G35" s="9">
        <f t="shared" si="2"/>
        <v>0.66485017882980058</v>
      </c>
      <c r="H35" s="1">
        <f t="shared" si="3"/>
        <v>2.2825718995353683E-2</v>
      </c>
      <c r="I35" s="1">
        <f t="shared" si="10"/>
        <v>0.66485017882980058</v>
      </c>
      <c r="J35" s="3">
        <f t="shared" si="4"/>
        <v>0.66485017882980058</v>
      </c>
      <c r="K35" s="3">
        <f t="shared" si="5"/>
        <v>0.55900610652633909</v>
      </c>
      <c r="L35" s="6">
        <v>-0.38400000000000001</v>
      </c>
      <c r="M35" s="4">
        <v>-0.35599999999999998</v>
      </c>
      <c r="N35" s="5">
        <v>-0.47399999999999998</v>
      </c>
      <c r="O35">
        <f t="shared" si="11"/>
        <v>-0.47399999999999998</v>
      </c>
      <c r="P35">
        <f t="shared" si="12"/>
        <v>0.75105485232067515</v>
      </c>
      <c r="Q35">
        <f t="shared" si="13"/>
        <v>0.81012658227848111</v>
      </c>
      <c r="R35">
        <f t="shared" si="6"/>
        <v>-0.79792531645569642</v>
      </c>
      <c r="T35">
        <v>-0.47399999999999998</v>
      </c>
      <c r="U35">
        <v>-0.46800000000000003</v>
      </c>
      <c r="V35" s="11">
        <f t="shared" si="14"/>
        <v>0.47698025498539209</v>
      </c>
      <c r="W35">
        <f t="shared" si="15"/>
        <v>-0.66838485355932042</v>
      </c>
      <c r="X35" s="13">
        <f t="shared" si="16"/>
        <v>-0.52342392452086639</v>
      </c>
      <c r="Y35" s="13">
        <v>-2.3423924520866401E-2</v>
      </c>
    </row>
    <row r="36" spans="1:25" x14ac:dyDescent="0.25">
      <c r="A36" s="1">
        <v>1877</v>
      </c>
      <c r="B36" s="1">
        <f t="shared" si="7"/>
        <v>-7.2999999999999995E-2</v>
      </c>
      <c r="C36" s="1">
        <f t="shared" si="0"/>
        <v>-0.10065297500000001</v>
      </c>
      <c r="D36" s="1">
        <f t="shared" si="1"/>
        <v>1.9262192229924355E-2</v>
      </c>
      <c r="E36" s="7">
        <f t="shared" si="8"/>
        <v>0.14672865758018735</v>
      </c>
      <c r="F36" s="1">
        <f t="shared" si="9"/>
        <v>2.765297500000001E-2</v>
      </c>
      <c r="G36" s="9">
        <f t="shared" si="2"/>
        <v>0.14672865758018735</v>
      </c>
      <c r="H36" s="1">
        <f t="shared" si="3"/>
        <v>-6.5332516579521077E-2</v>
      </c>
      <c r="I36" s="1" t="e">
        <f t="shared" si="10"/>
        <v>#NUM!</v>
      </c>
      <c r="J36" s="3" t="b">
        <f t="shared" si="4"/>
        <v>0</v>
      </c>
      <c r="K36" s="3">
        <f t="shared" si="5"/>
        <v>0.14672865758018735</v>
      </c>
      <c r="L36" s="6">
        <v>-7.2999999999999995E-2</v>
      </c>
      <c r="M36" s="4">
        <v>-3.3000000000000002E-2</v>
      </c>
      <c r="N36" s="5">
        <v>-0.247</v>
      </c>
      <c r="O36">
        <f t="shared" si="11"/>
        <v>-0.247</v>
      </c>
      <c r="P36">
        <f t="shared" si="12"/>
        <v>0.13360323886639677</v>
      </c>
      <c r="Q36">
        <f t="shared" si="13"/>
        <v>0.2955465587044534</v>
      </c>
      <c r="R36">
        <f t="shared" si="6"/>
        <v>-0.20944048582995944</v>
      </c>
      <c r="T36">
        <v>-0.247</v>
      </c>
      <c r="U36">
        <v>-0.26258300000000001</v>
      </c>
      <c r="V36" s="11">
        <f t="shared" si="14"/>
        <v>0.48167133051902056</v>
      </c>
      <c r="W36">
        <f t="shared" si="15"/>
        <v>-0.1196127199724232</v>
      </c>
      <c r="X36" s="13">
        <f t="shared" si="16"/>
        <v>-0.47260505986157941</v>
      </c>
      <c r="Y36" s="13">
        <v>2.7394940138420601E-2</v>
      </c>
    </row>
    <row r="37" spans="1:25" x14ac:dyDescent="0.25">
      <c r="A37" s="1">
        <v>1878</v>
      </c>
      <c r="B37" s="1">
        <f t="shared" si="7"/>
        <v>3.2000000000000001E-2</v>
      </c>
      <c r="C37" s="1">
        <f t="shared" si="0"/>
        <v>9.3256750000000003E-3</v>
      </c>
      <c r="D37" s="1">
        <f t="shared" si="1"/>
        <v>-1.457167719820518E-16</v>
      </c>
      <c r="E37" s="1">
        <f t="shared" si="8"/>
        <v>9.0766005631167324E-2</v>
      </c>
      <c r="F37" s="1">
        <f t="shared" si="9"/>
        <v>2.2674325000000002E-2</v>
      </c>
      <c r="G37" s="9">
        <f t="shared" si="2"/>
        <v>9.0766005631167324E-2</v>
      </c>
      <c r="H37" s="1">
        <f t="shared" si="3"/>
        <v>116.4085498944</v>
      </c>
      <c r="I37" s="1">
        <f t="shared" si="10"/>
        <v>9.0766005631167324E-2</v>
      </c>
      <c r="J37" s="3">
        <f t="shared" si="4"/>
        <v>9.0766005631167324E-2</v>
      </c>
      <c r="K37" s="3">
        <f t="shared" si="5"/>
        <v>-7.4679277007145863</v>
      </c>
      <c r="L37" s="6">
        <v>3.2000000000000001E-2</v>
      </c>
      <c r="M37" s="4">
        <v>1.7000000000000001E-2</v>
      </c>
      <c r="N37" s="5">
        <v>-5.0000000000000001E-3</v>
      </c>
      <c r="O37">
        <f t="shared" si="11"/>
        <v>-5.0000000000000001E-3</v>
      </c>
      <c r="P37">
        <f t="shared" si="12"/>
        <v>-3.4000000000000004</v>
      </c>
      <c r="Q37">
        <f t="shared" si="13"/>
        <v>-6.4</v>
      </c>
      <c r="R37">
        <f t="shared" si="6"/>
        <v>10.65972</v>
      </c>
      <c r="T37">
        <v>-5.0000000000000001E-3</v>
      </c>
      <c r="U37">
        <v>-3.4500000000000003E-2</v>
      </c>
      <c r="V37" s="11">
        <f t="shared" si="14"/>
        <v>0.48682891298085451</v>
      </c>
      <c r="W37">
        <f t="shared" si="15"/>
        <v>2.349080776867838E-2</v>
      </c>
      <c r="X37" s="13">
        <f t="shared" si="16"/>
        <v>-0.43533151596495429</v>
      </c>
      <c r="Y37" s="13">
        <v>6.4668484035045701E-2</v>
      </c>
    </row>
    <row r="38" spans="1:25" x14ac:dyDescent="0.25">
      <c r="A38" s="1">
        <v>1879</v>
      </c>
      <c r="B38" s="1">
        <f t="shared" si="7"/>
        <v>-0.23400000000000001</v>
      </c>
      <c r="C38" s="1">
        <f t="shared" si="0"/>
        <v>-0.29810002499999999</v>
      </c>
      <c r="D38" s="1">
        <f t="shared" si="1"/>
        <v>7.5858514461377119E-2</v>
      </c>
      <c r="E38" s="7">
        <f t="shared" si="8"/>
        <v>0.22323900535147681</v>
      </c>
      <c r="F38" s="1">
        <f t="shared" si="9"/>
        <v>6.4100024999999977E-2</v>
      </c>
      <c r="G38" s="9">
        <f t="shared" si="2"/>
        <v>0.22323900535147681</v>
      </c>
      <c r="H38" s="1">
        <f t="shared" si="3"/>
        <v>-0.17484570354698514</v>
      </c>
      <c r="I38" s="1" t="e">
        <f t="shared" si="10"/>
        <v>#NUM!</v>
      </c>
      <c r="J38" s="3" t="b">
        <f t="shared" si="4"/>
        <v>0</v>
      </c>
      <c r="K38" s="3">
        <f t="shared" si="5"/>
        <v>0.22323900535147681</v>
      </c>
      <c r="L38" s="6">
        <v>-0.23400000000000001</v>
      </c>
      <c r="M38" s="4">
        <v>-0.187</v>
      </c>
      <c r="N38" s="5">
        <v>-0.55300000000000005</v>
      </c>
      <c r="O38">
        <f t="shared" si="11"/>
        <v>-0.55300000000000005</v>
      </c>
      <c r="P38">
        <f t="shared" si="12"/>
        <v>0.33815551537070521</v>
      </c>
      <c r="Q38">
        <f t="shared" si="13"/>
        <v>0.42314647377938513</v>
      </c>
      <c r="R38">
        <f t="shared" si="6"/>
        <v>-0.318651356238698</v>
      </c>
      <c r="T38">
        <v>-0.55300000000000005</v>
      </c>
      <c r="U38">
        <v>-0.53591699999999998</v>
      </c>
      <c r="V38" s="11">
        <f t="shared" si="14"/>
        <v>0.49240859691053629</v>
      </c>
      <c r="W38">
        <f t="shared" si="15"/>
        <v>-0.42936283156489335</v>
      </c>
      <c r="X38" s="13">
        <f t="shared" si="16"/>
        <v>-0.50159440613136363</v>
      </c>
      <c r="Y38" s="13">
        <v>-1.59440613136367E-3</v>
      </c>
    </row>
    <row r="39" spans="1:25" x14ac:dyDescent="0.25">
      <c r="A39" s="1">
        <v>1880</v>
      </c>
      <c r="B39" s="1">
        <f t="shared" si="7"/>
        <v>-0.23</v>
      </c>
      <c r="C39" s="1">
        <f t="shared" si="0"/>
        <v>-0.229282975</v>
      </c>
      <c r="D39" s="1">
        <f t="shared" si="1"/>
        <v>0</v>
      </c>
      <c r="E39" s="1">
        <f t="shared" si="8"/>
        <v>0.53151760744298426</v>
      </c>
      <c r="F39" s="1">
        <f t="shared" si="9"/>
        <v>7.1702500000001002E-4</v>
      </c>
      <c r="G39" s="9">
        <f t="shared" si="2"/>
        <v>0.53151760744298426</v>
      </c>
      <c r="H39" s="1">
        <f t="shared" si="3"/>
        <v>7.8890979860432586E-3</v>
      </c>
      <c r="I39" s="1">
        <f t="shared" si="10"/>
        <v>0.53151760744298426</v>
      </c>
      <c r="J39" s="3">
        <f t="shared" si="4"/>
        <v>0.53151760744298426</v>
      </c>
      <c r="K39" s="3">
        <f t="shared" si="5"/>
        <v>0.46929216651531808</v>
      </c>
      <c r="L39" s="6">
        <v>-0.23</v>
      </c>
      <c r="M39" s="4">
        <v>-0.185</v>
      </c>
      <c r="N39" s="5">
        <v>-0.34300000000000003</v>
      </c>
      <c r="O39">
        <f t="shared" si="11"/>
        <v>-0.34300000000000003</v>
      </c>
      <c r="P39">
        <f t="shared" si="12"/>
        <v>0.53935860058309038</v>
      </c>
      <c r="Q39">
        <f t="shared" si="13"/>
        <v>0.67055393586005829</v>
      </c>
      <c r="R39">
        <f t="shared" si="6"/>
        <v>-0.66986763848396502</v>
      </c>
      <c r="T39">
        <v>-0.34300000000000003</v>
      </c>
      <c r="U39">
        <v>-0.34608299999999997</v>
      </c>
      <c r="V39" s="11">
        <f t="shared" si="14"/>
        <v>0.49836770910769701</v>
      </c>
      <c r="W39">
        <f t="shared" si="15"/>
        <v>-0.36313479837877205</v>
      </c>
      <c r="X39" s="13">
        <f t="shared" si="16"/>
        <v>-0.5102140098701462</v>
      </c>
      <c r="Y39" s="13">
        <v>-1.0214009870146199E-2</v>
      </c>
    </row>
    <row r="40" spans="1:25" x14ac:dyDescent="0.25">
      <c r="A40" s="1">
        <v>1881</v>
      </c>
      <c r="B40" s="1">
        <f t="shared" si="7"/>
        <v>-0.20699999999999999</v>
      </c>
      <c r="C40" s="1">
        <f t="shared" si="0"/>
        <v>-0.24311070000000001</v>
      </c>
      <c r="D40" s="1">
        <f t="shared" si="1"/>
        <v>3.4569143922152851E-2</v>
      </c>
      <c r="E40" s="7">
        <f t="shared" si="8"/>
        <v>0.2690729876759812</v>
      </c>
      <c r="F40" s="1">
        <f t="shared" si="9"/>
        <v>3.6110700000000023E-2</v>
      </c>
      <c r="G40" s="9">
        <f t="shared" si="2"/>
        <v>0.2690729876759812</v>
      </c>
      <c r="H40" s="1">
        <f t="shared" si="3"/>
        <v>-0.11545336032060496</v>
      </c>
      <c r="I40" s="1" t="e">
        <f t="shared" si="10"/>
        <v>#NUM!</v>
      </c>
      <c r="J40" s="3" t="b">
        <f t="shared" si="4"/>
        <v>0</v>
      </c>
      <c r="K40" s="3">
        <f t="shared" si="5"/>
        <v>0.2690729876759812</v>
      </c>
      <c r="L40" s="6">
        <v>-0.20699999999999999</v>
      </c>
      <c r="M40" s="4">
        <v>-0.14799999999999999</v>
      </c>
      <c r="N40" s="5">
        <v>-0.46</v>
      </c>
      <c r="O40">
        <f t="shared" si="11"/>
        <v>-0.46</v>
      </c>
      <c r="P40">
        <f t="shared" si="12"/>
        <v>0.32173913043478258</v>
      </c>
      <c r="Q40">
        <f t="shared" si="13"/>
        <v>0.44999999999999996</v>
      </c>
      <c r="R40">
        <f t="shared" si="6"/>
        <v>-0.38407478260869554</v>
      </c>
      <c r="T40">
        <v>-0.46</v>
      </c>
      <c r="U40">
        <v>-0.46550000000000002</v>
      </c>
      <c r="V40" s="11">
        <f t="shared" si="14"/>
        <v>0.50466521922498941</v>
      </c>
      <c r="W40">
        <f t="shared" si="15"/>
        <v>-0.3410003176081195</v>
      </c>
      <c r="X40" s="13">
        <f t="shared" si="16"/>
        <v>-0.48835223447172221</v>
      </c>
      <c r="Y40" s="13">
        <v>1.1647765528277799E-2</v>
      </c>
    </row>
    <row r="41" spans="1:25" x14ac:dyDescent="0.25">
      <c r="A41" s="1">
        <v>1882</v>
      </c>
      <c r="B41" s="1">
        <f t="shared" si="7"/>
        <v>-0.214</v>
      </c>
      <c r="C41" s="1">
        <f t="shared" si="0"/>
        <v>-0.2341066</v>
      </c>
      <c r="D41" s="1">
        <f t="shared" si="1"/>
        <v>2.2198775034909607E-2</v>
      </c>
      <c r="E41" s="7">
        <f t="shared" si="8"/>
        <v>0.40653423686210571</v>
      </c>
      <c r="F41" s="1">
        <f t="shared" si="9"/>
        <v>2.0106600000000002E-2</v>
      </c>
      <c r="G41" s="9">
        <f t="shared" si="2"/>
        <v>0.40653423686210571</v>
      </c>
      <c r="H41" s="1">
        <f t="shared" si="3"/>
        <v>-0.15614133207263542</v>
      </c>
      <c r="I41" s="1" t="e">
        <f t="shared" si="10"/>
        <v>#NUM!</v>
      </c>
      <c r="J41" s="3" t="b">
        <f t="shared" si="4"/>
        <v>0</v>
      </c>
      <c r="K41" s="3">
        <f t="shared" si="5"/>
        <v>0.40653423686210571</v>
      </c>
      <c r="L41" s="6">
        <v>-0.214</v>
      </c>
      <c r="M41" s="4">
        <v>-0.19900000000000001</v>
      </c>
      <c r="N41" s="5">
        <v>-0.33</v>
      </c>
      <c r="O41">
        <f t="shared" si="11"/>
        <v>-0.33</v>
      </c>
      <c r="P41">
        <f t="shared" si="12"/>
        <v>0.60303030303030303</v>
      </c>
      <c r="Q41">
        <f t="shared" si="13"/>
        <v>0.64848484848484844</v>
      </c>
      <c r="R41">
        <f t="shared" si="6"/>
        <v>-0.58028696969696969</v>
      </c>
      <c r="T41">
        <v>-0.33</v>
      </c>
      <c r="U41">
        <v>-0.34341699999999997</v>
      </c>
      <c r="V41" s="11">
        <f t="shared" si="14"/>
        <v>0.51126174349337816</v>
      </c>
      <c r="W41">
        <f t="shared" si="15"/>
        <v>-0.37227467277918092</v>
      </c>
      <c r="X41" s="13">
        <f t="shared" si="16"/>
        <v>-0.50130969339069964</v>
      </c>
      <c r="Y41" s="13">
        <v>-1.3096933906996801E-3</v>
      </c>
    </row>
    <row r="42" spans="1:25" x14ac:dyDescent="0.25">
      <c r="A42" s="1">
        <v>1883</v>
      </c>
      <c r="B42" s="1">
        <f t="shared" si="7"/>
        <v>-0.29199999999999998</v>
      </c>
      <c r="C42" s="1">
        <f t="shared" ref="C42:C73" si="17">1/2*($O42*($C$1*$G$2+$G$1 )+$M42*($G$2+$G$1/$C$1))</f>
        <v>-0.34119107500000001</v>
      </c>
      <c r="D42" s="1">
        <f t="shared" ref="D42:D73" si="18">$B42 - (1/2*($O42*($E42*$G$2+$G$1 )+$M42*($G$2+$G$1/$E42)))</f>
        <v>5.3088294607474884E-2</v>
      </c>
      <c r="E42" s="7">
        <f t="shared" si="8"/>
        <v>0.29288659678940121</v>
      </c>
      <c r="F42" s="1">
        <f t="shared" si="9"/>
        <v>4.9191075000000029E-2</v>
      </c>
      <c r="G42" s="9">
        <f t="shared" si="2"/>
        <v>0.29288659678940121</v>
      </c>
      <c r="H42" s="1">
        <f t="shared" ref="H42:H73" si="19">+$R42*$R42-4*$G$1*$G$2*$P42</f>
        <v>-0.15021609746181433</v>
      </c>
      <c r="I42" s="1" t="e">
        <f t="shared" si="10"/>
        <v>#NUM!</v>
      </c>
      <c r="J42" s="3" t="b">
        <f t="shared" ref="J42:J73" si="20">+IF($R42*$R42-4*$G$1*$G$2*$P42 &gt; 0,(-$R42+SQRT($R42*$R42-4*$G$1*$G$2*$P42))/2/$G$2)</f>
        <v>0</v>
      </c>
      <c r="K42" s="3">
        <f t="shared" ref="K42:K73" si="21">-$R42/2/$G$2</f>
        <v>0.29288659678940121</v>
      </c>
      <c r="L42" s="6">
        <v>-0.29199999999999998</v>
      </c>
      <c r="M42" s="4">
        <v>-0.23499999999999999</v>
      </c>
      <c r="N42" s="5">
        <v>-0.59099999999999997</v>
      </c>
      <c r="O42">
        <f t="shared" si="11"/>
        <v>-0.59099999999999997</v>
      </c>
      <c r="P42">
        <f t="shared" si="12"/>
        <v>0.3976311336717428</v>
      </c>
      <c r="Q42">
        <f t="shared" si="13"/>
        <v>0.49407783417935702</v>
      </c>
      <c r="R42">
        <f t="shared" ref="R42:R73" si="22">+$G$1+$P42*$G$2-2*$Q42</f>
        <v>-0.41806632825719126</v>
      </c>
      <c r="T42">
        <v>-0.59099999999999997</v>
      </c>
      <c r="U42">
        <v>-0.59391700000000003</v>
      </c>
      <c r="V42" s="11">
        <f t="shared" si="14"/>
        <v>0.51811951119452715</v>
      </c>
      <c r="W42">
        <f t="shared" si="15"/>
        <v>-0.49291143369549012</v>
      </c>
      <c r="X42" s="13">
        <f t="shared" si="16"/>
        <v>-0.50992971578031143</v>
      </c>
      <c r="Y42" s="13">
        <v>-9.9297157803114201E-3</v>
      </c>
    </row>
    <row r="43" spans="1:25" x14ac:dyDescent="0.25">
      <c r="A43" s="1">
        <v>1884</v>
      </c>
      <c r="B43" s="1">
        <f t="shared" si="7"/>
        <v>-0.40300000000000002</v>
      </c>
      <c r="C43" s="1">
        <f t="shared" si="17"/>
        <v>-0.43927145000000001</v>
      </c>
      <c r="D43" s="1">
        <f t="shared" si="18"/>
        <v>3.7870193250493012E-2</v>
      </c>
      <c r="E43" s="7">
        <f t="shared" si="8"/>
        <v>0.37191544754560013</v>
      </c>
      <c r="F43" s="1">
        <f t="shared" si="9"/>
        <v>3.6271449999999983E-2</v>
      </c>
      <c r="G43" s="9">
        <f t="shared" si="2"/>
        <v>0.37191544754560013</v>
      </c>
      <c r="H43" s="1">
        <f t="shared" si="19"/>
        <v>-0.11620941844179139</v>
      </c>
      <c r="I43" s="1" t="e">
        <f t="shared" si="10"/>
        <v>#NUM!</v>
      </c>
      <c r="J43" s="3" t="b">
        <f t="shared" si="20"/>
        <v>0</v>
      </c>
      <c r="K43" s="3">
        <f t="shared" si="21"/>
        <v>0.37191544754560013</v>
      </c>
      <c r="L43" s="6">
        <v>-0.40300000000000002</v>
      </c>
      <c r="M43" s="4">
        <v>-0.33700000000000002</v>
      </c>
      <c r="N43" s="5">
        <v>-0.69199999999999995</v>
      </c>
      <c r="O43">
        <f t="shared" si="11"/>
        <v>-0.69199999999999995</v>
      </c>
      <c r="P43">
        <f t="shared" si="12"/>
        <v>0.48699421965317924</v>
      </c>
      <c r="Q43">
        <f t="shared" si="13"/>
        <v>0.58236994219653182</v>
      </c>
      <c r="R43">
        <f t="shared" si="22"/>
        <v>-0.53087210982658961</v>
      </c>
      <c r="T43">
        <v>-0.69199999999999995</v>
      </c>
      <c r="U43">
        <v>-0.67600000000000005</v>
      </c>
      <c r="V43" s="11">
        <f t="shared" si="14"/>
        <v>0.5252023646607995</v>
      </c>
      <c r="W43">
        <f t="shared" si="15"/>
        <v>-0.65607050841858106</v>
      </c>
      <c r="X43" s="13">
        <f t="shared" si="16"/>
        <v>-0.53385403646122231</v>
      </c>
      <c r="Y43" s="13">
        <v>-3.38540364612223E-2</v>
      </c>
    </row>
    <row r="44" spans="1:25" x14ac:dyDescent="0.25">
      <c r="A44" s="1">
        <v>1885</v>
      </c>
      <c r="B44" s="1">
        <f t="shared" si="7"/>
        <v>-0.38500000000000001</v>
      </c>
      <c r="C44" s="1">
        <f t="shared" si="17"/>
        <v>-0.42287112500000001</v>
      </c>
      <c r="D44" s="1">
        <f t="shared" si="18"/>
        <v>4.0013885485262857E-2</v>
      </c>
      <c r="E44" s="7">
        <f t="shared" si="8"/>
        <v>0.3653061027283751</v>
      </c>
      <c r="F44" s="1">
        <f t="shared" si="9"/>
        <v>3.7871125000000005E-2</v>
      </c>
      <c r="G44" s="9">
        <f t="shared" si="2"/>
        <v>0.3653061027283751</v>
      </c>
      <c r="H44" s="1">
        <f t="shared" si="19"/>
        <v>-0.12512598296903282</v>
      </c>
      <c r="I44" s="1" t="e">
        <f t="shared" si="10"/>
        <v>#NUM!</v>
      </c>
      <c r="J44" s="3" t="b">
        <f t="shared" si="20"/>
        <v>0</v>
      </c>
      <c r="K44" s="3">
        <f t="shared" si="21"/>
        <v>0.3653061027283751</v>
      </c>
      <c r="L44" s="6">
        <v>-0.38500000000000001</v>
      </c>
      <c r="M44" s="4">
        <v>-0.32400000000000001</v>
      </c>
      <c r="N44" s="5">
        <v>-0.66700000000000004</v>
      </c>
      <c r="O44">
        <f t="shared" si="11"/>
        <v>-0.66700000000000004</v>
      </c>
      <c r="P44">
        <f t="shared" si="12"/>
        <v>0.48575712143928035</v>
      </c>
      <c r="Q44">
        <f t="shared" si="13"/>
        <v>0.57721139430284851</v>
      </c>
      <c r="R44">
        <f t="shared" si="22"/>
        <v>-0.52143793103448266</v>
      </c>
      <c r="T44">
        <v>-0.66700000000000004</v>
      </c>
      <c r="U44">
        <v>-0.66533299999999995</v>
      </c>
      <c r="V44" s="11">
        <f t="shared" si="14"/>
        <v>0.53247567731887102</v>
      </c>
      <c r="W44">
        <f t="shared" si="15"/>
        <v>-0.62523320354474188</v>
      </c>
      <c r="X44" s="13">
        <f t="shared" si="16"/>
        <v>-0.50964544652168198</v>
      </c>
      <c r="Y44" s="13">
        <v>-9.6454465216819392E-3</v>
      </c>
    </row>
    <row r="45" spans="1:25" x14ac:dyDescent="0.25">
      <c r="A45" s="1">
        <v>1886</v>
      </c>
      <c r="B45" s="1">
        <f t="shared" si="7"/>
        <v>-0.36599999999999999</v>
      </c>
      <c r="C45" s="1">
        <f t="shared" si="17"/>
        <v>-0.38814102500000003</v>
      </c>
      <c r="D45" s="1">
        <f t="shared" si="18"/>
        <v>2.3586375346687172E-2</v>
      </c>
      <c r="E45" s="7">
        <f t="shared" si="8"/>
        <v>0.44248048763114239</v>
      </c>
      <c r="F45" s="1">
        <f t="shared" si="9"/>
        <v>2.2141025000000036E-2</v>
      </c>
      <c r="G45" s="9">
        <f t="shared" si="2"/>
        <v>0.44248048763114239</v>
      </c>
      <c r="H45" s="1">
        <f t="shared" si="19"/>
        <v>-0.11096518144127848</v>
      </c>
      <c r="I45" s="1" t="e">
        <f t="shared" si="10"/>
        <v>#NUM!</v>
      </c>
      <c r="J45" s="3" t="b">
        <f t="shared" si="20"/>
        <v>0</v>
      </c>
      <c r="K45" s="3">
        <f t="shared" si="21"/>
        <v>0.44248048763114239</v>
      </c>
      <c r="L45" s="6">
        <v>-0.36599999999999999</v>
      </c>
      <c r="M45" s="4">
        <v>-0.33500000000000002</v>
      </c>
      <c r="N45" s="5">
        <v>-0.53700000000000003</v>
      </c>
      <c r="O45">
        <f t="shared" si="11"/>
        <v>-0.53700000000000003</v>
      </c>
      <c r="P45">
        <f t="shared" si="12"/>
        <v>0.62383612662942267</v>
      </c>
      <c r="Q45">
        <f t="shared" si="13"/>
        <v>0.68156424581005581</v>
      </c>
      <c r="R45">
        <f t="shared" si="22"/>
        <v>-0.63159664804469262</v>
      </c>
      <c r="T45">
        <v>-0.53700000000000003</v>
      </c>
      <c r="U45">
        <v>-0.54049999999999998</v>
      </c>
      <c r="V45" s="11">
        <f t="shared" si="14"/>
        <v>0.53990636859089136</v>
      </c>
      <c r="W45">
        <f t="shared" si="15"/>
        <v>-0.59657821717782256</v>
      </c>
      <c r="X45" s="13">
        <f t="shared" si="16"/>
        <v>-0.50614904156815355</v>
      </c>
      <c r="Y45" s="13">
        <v>-6.1490415681535E-3</v>
      </c>
    </row>
    <row r="46" spans="1:25" x14ac:dyDescent="0.25">
      <c r="A46" s="1">
        <v>1887</v>
      </c>
      <c r="B46" s="1">
        <f t="shared" si="7"/>
        <v>-0.41799999999999998</v>
      </c>
      <c r="C46" s="1">
        <f t="shared" si="17"/>
        <v>-0.44055774999999997</v>
      </c>
      <c r="D46" s="1">
        <f t="shared" si="18"/>
        <v>2.3488482977596259E-2</v>
      </c>
      <c r="E46" s="7">
        <f t="shared" si="8"/>
        <v>0.47456583979282596</v>
      </c>
      <c r="F46" s="1">
        <f t="shared" si="9"/>
        <v>2.2557749999999988E-2</v>
      </c>
      <c r="G46" s="9">
        <f t="shared" si="2"/>
        <v>0.47456583979282596</v>
      </c>
      <c r="H46" s="1">
        <f t="shared" si="19"/>
        <v>-0.11126564683086571</v>
      </c>
      <c r="I46" s="1" t="e">
        <f t="shared" si="10"/>
        <v>#NUM!</v>
      </c>
      <c r="J46" s="3" t="b">
        <f t="shared" si="20"/>
        <v>0</v>
      </c>
      <c r="K46" s="3">
        <f t="shared" si="21"/>
        <v>0.47456583979282596</v>
      </c>
      <c r="L46" s="6">
        <v>-0.41799999999999998</v>
      </c>
      <c r="M46" s="4">
        <v>-0.39900000000000002</v>
      </c>
      <c r="N46" s="5">
        <v>-0.57199999999999995</v>
      </c>
      <c r="O46">
        <f t="shared" si="11"/>
        <v>-0.57199999999999995</v>
      </c>
      <c r="P46">
        <f t="shared" si="12"/>
        <v>0.69755244755244761</v>
      </c>
      <c r="Q46">
        <f t="shared" si="13"/>
        <v>0.73076923076923084</v>
      </c>
      <c r="R46">
        <f t="shared" si="22"/>
        <v>-0.6773952797202798</v>
      </c>
      <c r="T46">
        <v>-0.57199999999999995</v>
      </c>
      <c r="U46">
        <v>-0.56841699999999995</v>
      </c>
      <c r="V46" s="11">
        <f t="shared" si="14"/>
        <v>0.54746288154274225</v>
      </c>
      <c r="W46">
        <f t="shared" si="15"/>
        <v>-0.68391996055093418</v>
      </c>
      <c r="X46" s="13">
        <f t="shared" si="16"/>
        <v>-0.51396893898336671</v>
      </c>
      <c r="Y46" s="13">
        <v>-1.3968938983366701E-2</v>
      </c>
    </row>
    <row r="47" spans="1:25" x14ac:dyDescent="0.25">
      <c r="A47" s="1">
        <v>1888</v>
      </c>
      <c r="B47" s="1">
        <f t="shared" si="7"/>
        <v>-0.309</v>
      </c>
      <c r="C47" s="1">
        <f t="shared" si="17"/>
        <v>-0.35212462499999997</v>
      </c>
      <c r="D47" s="1">
        <f t="shared" si="18"/>
        <v>4.2556170767929002E-2</v>
      </c>
      <c r="E47" s="7">
        <f t="shared" si="8"/>
        <v>0.30334103630048409</v>
      </c>
      <c r="F47" s="1">
        <f t="shared" si="9"/>
        <v>4.3124624999999972E-2</v>
      </c>
      <c r="G47" s="9">
        <f t="shared" si="2"/>
        <v>0.30334103630048409</v>
      </c>
      <c r="H47" s="1">
        <f t="shared" si="19"/>
        <v>-0.11755249518989952</v>
      </c>
      <c r="I47" s="1" t="e">
        <f t="shared" si="10"/>
        <v>#NUM!</v>
      </c>
      <c r="J47" s="3" t="b">
        <f t="shared" si="20"/>
        <v>0</v>
      </c>
      <c r="K47" s="3">
        <f t="shared" si="21"/>
        <v>0.30334103630048409</v>
      </c>
      <c r="L47" s="6">
        <v>-0.309</v>
      </c>
      <c r="M47" s="4">
        <v>-0.23400000000000001</v>
      </c>
      <c r="N47" s="5">
        <v>-0.627</v>
      </c>
      <c r="O47">
        <f t="shared" si="11"/>
        <v>-0.627</v>
      </c>
      <c r="P47">
        <f t="shared" si="12"/>
        <v>0.37320574162679426</v>
      </c>
      <c r="Q47">
        <f t="shared" si="13"/>
        <v>0.49282296650717705</v>
      </c>
      <c r="R47">
        <f t="shared" si="22"/>
        <v>-0.43298899521531098</v>
      </c>
      <c r="T47">
        <v>-0.627</v>
      </c>
      <c r="U47">
        <v>-0.62575000000000003</v>
      </c>
      <c r="V47" s="11">
        <f t="shared" si="14"/>
        <v>0.55511509347707033</v>
      </c>
      <c r="W47">
        <f t="shared" si="15"/>
        <v>-0.48035906260688394</v>
      </c>
      <c r="X47" s="13">
        <f t="shared" si="16"/>
        <v>-0.4885480321756957</v>
      </c>
      <c r="Y47" s="13">
        <v>1.1451967824304301E-2</v>
      </c>
    </row>
    <row r="48" spans="1:25" x14ac:dyDescent="0.25">
      <c r="A48" s="1">
        <v>1889</v>
      </c>
      <c r="B48" s="1">
        <f t="shared" si="7"/>
        <v>-0.17299999999999999</v>
      </c>
      <c r="C48" s="1">
        <f t="shared" si="17"/>
        <v>-0.18683507500000002</v>
      </c>
      <c r="D48" s="1">
        <f t="shared" si="18"/>
        <v>1.4716355717115492E-2</v>
      </c>
      <c r="E48" s="7">
        <f t="shared" si="8"/>
        <v>0.39515067836052603</v>
      </c>
      <c r="F48" s="1">
        <f t="shared" si="9"/>
        <v>1.383507500000003E-2</v>
      </c>
      <c r="G48" s="9">
        <f t="shared" si="2"/>
        <v>0.39515067836052603</v>
      </c>
      <c r="H48" s="1">
        <f t="shared" si="19"/>
        <v>-0.11815779356783734</v>
      </c>
      <c r="I48" s="1" t="e">
        <f t="shared" si="10"/>
        <v>#NUM!</v>
      </c>
      <c r="J48" s="3" t="b">
        <f t="shared" si="20"/>
        <v>0</v>
      </c>
      <c r="K48" s="3">
        <f t="shared" si="21"/>
        <v>0.39515067836052603</v>
      </c>
      <c r="L48" s="6">
        <v>-0.17299999999999999</v>
      </c>
      <c r="M48" s="4">
        <v>-0.15</v>
      </c>
      <c r="N48" s="5">
        <v>-0.28100000000000003</v>
      </c>
      <c r="O48">
        <f t="shared" si="11"/>
        <v>-0.28100000000000003</v>
      </c>
      <c r="P48">
        <f t="shared" si="12"/>
        <v>0.53380782918149461</v>
      </c>
      <c r="Q48">
        <f t="shared" si="13"/>
        <v>0.61565836298932375</v>
      </c>
      <c r="R48">
        <f t="shared" si="22"/>
        <v>-0.56403807829181485</v>
      </c>
      <c r="T48">
        <v>-0.28100000000000003</v>
      </c>
      <c r="U48">
        <v>-0.30325000000000002</v>
      </c>
      <c r="V48" s="11">
        <f t="shared" si="14"/>
        <v>0.56283437553793192</v>
      </c>
      <c r="W48">
        <f t="shared" si="15"/>
        <v>-0.27065723236386213</v>
      </c>
      <c r="X48" s="13">
        <f t="shared" si="16"/>
        <v>-0.46115586385744811</v>
      </c>
      <c r="Y48" s="13">
        <v>3.8844136142551902E-2</v>
      </c>
    </row>
    <row r="49" spans="1:25" x14ac:dyDescent="0.25">
      <c r="A49" s="1">
        <v>1890</v>
      </c>
      <c r="B49" s="1">
        <f t="shared" si="7"/>
        <v>-0.41899999999999998</v>
      </c>
      <c r="C49" s="1">
        <f t="shared" si="17"/>
        <v>-0.41547489999999998</v>
      </c>
      <c r="D49" s="1">
        <f t="shared" si="18"/>
        <v>0</v>
      </c>
      <c r="E49" s="1">
        <f t="shared" si="8"/>
        <v>0.81790791233346782</v>
      </c>
      <c r="F49" s="1">
        <f t="shared" si="9"/>
        <v>3.5251000000000032E-3</v>
      </c>
      <c r="G49" s="9">
        <f t="shared" si="2"/>
        <v>0.81790791233346782</v>
      </c>
      <c r="H49" s="1">
        <f t="shared" si="19"/>
        <v>6.3379487563041459E-2</v>
      </c>
      <c r="I49" s="1">
        <f t="shared" si="10"/>
        <v>0.81790791233346782</v>
      </c>
      <c r="J49" s="3">
        <f t="shared" si="20"/>
        <v>0.81790791233346782</v>
      </c>
      <c r="K49" s="3">
        <f t="shared" si="21"/>
        <v>0.64153630640802584</v>
      </c>
      <c r="L49" s="6">
        <v>-0.41899999999999998</v>
      </c>
      <c r="M49" s="4">
        <v>-0.42299999999999999</v>
      </c>
      <c r="N49" s="5">
        <v>-0.44600000000000001</v>
      </c>
      <c r="O49">
        <f t="shared" si="11"/>
        <v>-0.44600000000000001</v>
      </c>
      <c r="P49">
        <f t="shared" si="12"/>
        <v>0.94843049327354256</v>
      </c>
      <c r="Q49">
        <f t="shared" si="13"/>
        <v>0.93946188340807169</v>
      </c>
      <c r="R49">
        <f t="shared" si="22"/>
        <v>-0.91572892376681603</v>
      </c>
      <c r="T49">
        <v>-0.44600000000000001</v>
      </c>
      <c r="U49">
        <v>-0.44933299999999998</v>
      </c>
      <c r="V49" s="11">
        <f t="shared" si="14"/>
        <v>0.57059348840266466</v>
      </c>
      <c r="W49">
        <f t="shared" si="15"/>
        <v>-0.65677943410208817</v>
      </c>
      <c r="X49" s="13">
        <f t="shared" si="16"/>
        <v>-0.50188845063215926</v>
      </c>
      <c r="Y49" s="13">
        <v>-1.8884506321592701E-3</v>
      </c>
    </row>
    <row r="50" spans="1:25" x14ac:dyDescent="0.25">
      <c r="A50" s="1">
        <v>1891</v>
      </c>
      <c r="B50" s="1">
        <f t="shared" si="7"/>
        <v>-0.33900000000000002</v>
      </c>
      <c r="C50" s="1">
        <f t="shared" si="17"/>
        <v>-0.35501879999999997</v>
      </c>
      <c r="D50" s="1">
        <f t="shared" si="18"/>
        <v>1.5130304296264829E-2</v>
      </c>
      <c r="E50" s="7">
        <f t="shared" si="8"/>
        <v>0.40224377606658751</v>
      </c>
      <c r="F50" s="1">
        <f t="shared" si="9"/>
        <v>1.6018799999999944E-2</v>
      </c>
      <c r="G50" s="9">
        <f t="shared" si="2"/>
        <v>0.40224377606658751</v>
      </c>
      <c r="H50" s="1">
        <f t="shared" si="19"/>
        <v>-6.1611754358306792E-2</v>
      </c>
      <c r="I50" s="1" t="e">
        <f t="shared" si="10"/>
        <v>#NUM!</v>
      </c>
      <c r="J50" s="3" t="b">
        <f t="shared" si="20"/>
        <v>0</v>
      </c>
      <c r="K50" s="3">
        <f t="shared" si="21"/>
        <v>0.40224377606658751</v>
      </c>
      <c r="L50" s="6">
        <v>-0.33900000000000002</v>
      </c>
      <c r="M50" s="4">
        <v>-0.27</v>
      </c>
      <c r="N50" s="5">
        <v>-0.56399999999999995</v>
      </c>
      <c r="O50">
        <f t="shared" si="11"/>
        <v>-0.56399999999999995</v>
      </c>
      <c r="P50">
        <f t="shared" si="12"/>
        <v>0.47872340425531923</v>
      </c>
      <c r="Q50">
        <f t="shared" si="13"/>
        <v>0.60106382978723416</v>
      </c>
      <c r="R50">
        <f t="shared" si="22"/>
        <v>-0.57416276595744697</v>
      </c>
      <c r="T50">
        <v>-0.56399999999999995</v>
      </c>
      <c r="U50">
        <v>-0.55933299999999997</v>
      </c>
      <c r="V50" s="11">
        <f t="shared" si="14"/>
        <v>0.57836661208420992</v>
      </c>
      <c r="W50">
        <f t="shared" si="15"/>
        <v>-0.49465114626074147</v>
      </c>
      <c r="X50" s="13">
        <f t="shared" si="16"/>
        <v>-0.49500258932118113</v>
      </c>
      <c r="Y50" s="13">
        <v>4.9974106788188699E-3</v>
      </c>
    </row>
    <row r="51" spans="1:25" x14ac:dyDescent="0.25">
      <c r="A51" s="1">
        <v>1892</v>
      </c>
      <c r="B51" s="1">
        <f t="shared" si="7"/>
        <v>-0.45600000000000002</v>
      </c>
      <c r="C51" s="1">
        <f t="shared" si="17"/>
        <v>-0.463389575</v>
      </c>
      <c r="D51" s="1">
        <f t="shared" si="18"/>
        <v>7.4497080753255229E-3</v>
      </c>
      <c r="E51" s="7">
        <f t="shared" si="8"/>
        <v>0.4953037971136332</v>
      </c>
      <c r="F51" s="1">
        <f t="shared" si="9"/>
        <v>7.3895749999999816E-3</v>
      </c>
      <c r="G51" s="9">
        <f t="shared" si="2"/>
        <v>0.4953037971136332</v>
      </c>
      <c r="H51" s="1">
        <f t="shared" si="19"/>
        <v>-3.3708278900710209E-2</v>
      </c>
      <c r="I51" s="1" t="e">
        <f t="shared" si="10"/>
        <v>#NUM!</v>
      </c>
      <c r="J51" s="3" t="b">
        <f t="shared" si="20"/>
        <v>0</v>
      </c>
      <c r="K51" s="3">
        <f t="shared" si="21"/>
        <v>0.4953037971136332</v>
      </c>
      <c r="L51" s="6">
        <v>-0.45600000000000002</v>
      </c>
      <c r="M51" s="4">
        <v>-0.40799999999999997</v>
      </c>
      <c r="N51" s="5">
        <v>-0.625</v>
      </c>
      <c r="O51">
        <f t="shared" si="11"/>
        <v>-0.625</v>
      </c>
      <c r="P51">
        <f t="shared" si="12"/>
        <v>0.65279999999999994</v>
      </c>
      <c r="Q51">
        <f t="shared" si="13"/>
        <v>0.72960000000000003</v>
      </c>
      <c r="R51">
        <f t="shared" si="22"/>
        <v>-0.70699664000000007</v>
      </c>
      <c r="T51">
        <v>-0.625</v>
      </c>
      <c r="U51">
        <v>-0.62666699999999997</v>
      </c>
      <c r="V51" s="11">
        <f t="shared" si="14"/>
        <v>0.58612928632646799</v>
      </c>
      <c r="W51">
        <f t="shared" si="15"/>
        <v>-0.67573847342518789</v>
      </c>
      <c r="X51" s="13">
        <f t="shared" si="16"/>
        <v>-0.49085517514769722</v>
      </c>
      <c r="Y51" s="13">
        <v>9.1448248523027693E-3</v>
      </c>
    </row>
    <row r="52" spans="1:25" x14ac:dyDescent="0.25">
      <c r="A52" s="1">
        <v>1893</v>
      </c>
      <c r="B52" s="1">
        <f t="shared" si="7"/>
        <v>-0.47499999999999998</v>
      </c>
      <c r="C52" s="1">
        <f t="shared" si="17"/>
        <v>-0.48043304999999997</v>
      </c>
      <c r="D52" s="1">
        <f t="shared" si="18"/>
        <v>5.2255681245524377E-3</v>
      </c>
      <c r="E52" s="7">
        <f t="shared" si="8"/>
        <v>0.46663373966652655</v>
      </c>
      <c r="F52" s="1">
        <f t="shared" si="9"/>
        <v>5.4330499999999948E-3</v>
      </c>
      <c r="G52" s="9">
        <f t="shared" si="2"/>
        <v>0.46663373966652655</v>
      </c>
      <c r="H52" s="1">
        <f t="shared" si="19"/>
        <v>-1.9889199070999952E-2</v>
      </c>
      <c r="I52" s="1" t="e">
        <f t="shared" si="10"/>
        <v>#NUM!</v>
      </c>
      <c r="J52" s="3" t="b">
        <f t="shared" si="20"/>
        <v>0</v>
      </c>
      <c r="K52" s="3">
        <f t="shared" si="21"/>
        <v>0.46663373966652655</v>
      </c>
      <c r="L52" s="6">
        <v>-0.47499999999999998</v>
      </c>
      <c r="M52" s="4">
        <v>-0.39700000000000002</v>
      </c>
      <c r="N52" s="5">
        <v>-0.7</v>
      </c>
      <c r="O52">
        <f t="shared" si="11"/>
        <v>-0.7</v>
      </c>
      <c r="P52">
        <f t="shared" si="12"/>
        <v>0.56714285714285717</v>
      </c>
      <c r="Q52">
        <f t="shared" si="13"/>
        <v>0.6785714285714286</v>
      </c>
      <c r="R52">
        <f t="shared" si="22"/>
        <v>-0.66607300000000003</v>
      </c>
      <c r="T52">
        <v>-0.7</v>
      </c>
      <c r="U52">
        <v>-0.69633299999999998</v>
      </c>
      <c r="V52" s="11">
        <f t="shared" si="14"/>
        <v>0.59385838825255632</v>
      </c>
      <c r="W52">
        <f t="shared" si="15"/>
        <v>-0.67752526115465339</v>
      </c>
      <c r="X52" s="13">
        <f t="shared" si="16"/>
        <v>-0.49769927046276646</v>
      </c>
      <c r="Y52" s="13">
        <v>2.3007295372335299E-3</v>
      </c>
    </row>
    <row r="53" spans="1:25" x14ac:dyDescent="0.25">
      <c r="A53" s="1">
        <v>1894</v>
      </c>
      <c r="B53" s="1">
        <f t="shared" si="7"/>
        <v>-0.40799999999999997</v>
      </c>
      <c r="C53" s="1">
        <f t="shared" si="17"/>
        <v>-0.41997695000000002</v>
      </c>
      <c r="D53" s="1">
        <f t="shared" si="18"/>
        <v>9.003487916757591E-3</v>
      </c>
      <c r="E53" s="7">
        <f t="shared" si="8"/>
        <v>0.57106120635942759</v>
      </c>
      <c r="F53" s="1">
        <f t="shared" si="9"/>
        <v>1.1976950000000042E-2</v>
      </c>
      <c r="G53" s="9">
        <f t="shared" si="2"/>
        <v>0.57106120635942759</v>
      </c>
      <c r="H53" s="1">
        <f t="shared" si="19"/>
        <v>-6.2459897947668597E-2</v>
      </c>
      <c r="I53" s="1" t="e">
        <f t="shared" si="10"/>
        <v>#NUM!</v>
      </c>
      <c r="J53" s="3" t="b">
        <f t="shared" si="20"/>
        <v>0</v>
      </c>
      <c r="K53" s="3">
        <f t="shared" si="21"/>
        <v>0.57106120635942759</v>
      </c>
      <c r="L53" s="6">
        <v>-0.40799999999999997</v>
      </c>
      <c r="M53" s="4">
        <v>-0.41799999999999998</v>
      </c>
      <c r="N53" s="5">
        <v>-0.47</v>
      </c>
      <c r="O53">
        <f t="shared" si="11"/>
        <v>-0.47</v>
      </c>
      <c r="P53">
        <f t="shared" si="12"/>
        <v>0.88936170212765964</v>
      </c>
      <c r="Q53">
        <f t="shared" si="13"/>
        <v>0.86808510638297876</v>
      </c>
      <c r="R53">
        <f t="shared" si="22"/>
        <v>-0.81513276595744688</v>
      </c>
      <c r="T53">
        <v>-0.47</v>
      </c>
      <c r="U53">
        <v>-0.46825</v>
      </c>
      <c r="V53" s="11">
        <f t="shared" si="14"/>
        <v>0.60153212491422892</v>
      </c>
      <c r="W53">
        <f t="shared" si="15"/>
        <v>-0.63050558490897335</v>
      </c>
      <c r="X53" s="13">
        <f t="shared" si="16"/>
        <v>-0.4722884710656467</v>
      </c>
      <c r="Y53" s="13">
        <v>2.7711528934353299E-2</v>
      </c>
    </row>
    <row r="54" spans="1:25" x14ac:dyDescent="0.25">
      <c r="A54" s="1">
        <v>1895</v>
      </c>
      <c r="B54" s="1">
        <f t="shared" si="7"/>
        <v>-0.39300000000000002</v>
      </c>
      <c r="C54" s="1">
        <f t="shared" si="17"/>
        <v>-0.39907457499999999</v>
      </c>
      <c r="D54" s="1">
        <f t="shared" si="18"/>
        <v>5.9806198730148474E-3</v>
      </c>
      <c r="E54" s="7">
        <f t="shared" si="8"/>
        <v>0.46462679708241589</v>
      </c>
      <c r="F54" s="1">
        <f t="shared" si="9"/>
        <v>6.074574999999971E-3</v>
      </c>
      <c r="G54" s="9">
        <f t="shared" si="2"/>
        <v>0.46462679708241589</v>
      </c>
      <c r="H54" s="1">
        <f t="shared" si="19"/>
        <v>-2.7401704179977948E-2</v>
      </c>
      <c r="I54" s="1" t="e">
        <f t="shared" si="10"/>
        <v>#NUM!</v>
      </c>
      <c r="J54" s="3" t="b">
        <f t="shared" si="20"/>
        <v>0</v>
      </c>
      <c r="K54" s="3">
        <f t="shared" si="21"/>
        <v>0.46462679708241589</v>
      </c>
      <c r="L54" s="6">
        <v>-0.39300000000000002</v>
      </c>
      <c r="M54" s="4">
        <v>-0.33100000000000002</v>
      </c>
      <c r="N54" s="5">
        <v>-0.57899999999999996</v>
      </c>
      <c r="O54">
        <f t="shared" si="11"/>
        <v>-0.57899999999999996</v>
      </c>
      <c r="P54">
        <f t="shared" si="12"/>
        <v>0.57167530224525054</v>
      </c>
      <c r="Q54">
        <f t="shared" si="13"/>
        <v>0.6787564766839379</v>
      </c>
      <c r="R54">
        <f t="shared" si="22"/>
        <v>-0.66320829015544047</v>
      </c>
      <c r="T54">
        <v>-0.57899999999999996</v>
      </c>
      <c r="U54">
        <v>-0.57974999999999999</v>
      </c>
      <c r="V54" s="11">
        <f t="shared" si="14"/>
        <v>0.60912994388490915</v>
      </c>
      <c r="W54">
        <f t="shared" si="15"/>
        <v>-0.55359086051209416</v>
      </c>
      <c r="X54" s="13">
        <f t="shared" si="16"/>
        <v>-0.47917099042215078</v>
      </c>
      <c r="Y54" s="13">
        <v>2.0829009577849202E-2</v>
      </c>
    </row>
    <row r="55" spans="1:25" x14ac:dyDescent="0.25">
      <c r="A55" s="1">
        <v>1896</v>
      </c>
      <c r="B55" s="1">
        <f t="shared" si="7"/>
        <v>-0.191</v>
      </c>
      <c r="C55" s="1">
        <f t="shared" si="17"/>
        <v>-0.21449052499999999</v>
      </c>
      <c r="D55" s="1">
        <f t="shared" si="18"/>
        <v>1.8628637537820958E-2</v>
      </c>
      <c r="E55" s="7">
        <f t="shared" si="8"/>
        <v>0.29366148038001338</v>
      </c>
      <c r="F55" s="1">
        <f t="shared" si="9"/>
        <v>2.3490524999999984E-2</v>
      </c>
      <c r="G55" s="9">
        <f t="shared" si="2"/>
        <v>0.29366148038001338</v>
      </c>
      <c r="H55" s="1">
        <f t="shared" si="19"/>
        <v>-7.5628190327667905E-2</v>
      </c>
      <c r="I55" s="1" t="e">
        <f t="shared" si="10"/>
        <v>#NUM!</v>
      </c>
      <c r="J55" s="3" t="b">
        <f t="shared" si="20"/>
        <v>0</v>
      </c>
      <c r="K55" s="3">
        <f t="shared" si="21"/>
        <v>0.29366148038001338</v>
      </c>
      <c r="L55" s="6">
        <v>-0.191</v>
      </c>
      <c r="M55" s="4">
        <v>-0.127</v>
      </c>
      <c r="N55" s="5">
        <v>-0.41299999999999998</v>
      </c>
      <c r="O55">
        <f t="shared" si="11"/>
        <v>-0.41299999999999998</v>
      </c>
      <c r="P55">
        <f t="shared" si="12"/>
        <v>0.30750605326876518</v>
      </c>
      <c r="Q55">
        <f t="shared" si="13"/>
        <v>0.46246973365617439</v>
      </c>
      <c r="R55">
        <f t="shared" si="22"/>
        <v>-0.4191723970944311</v>
      </c>
      <c r="T55">
        <v>-0.41299999999999998</v>
      </c>
      <c r="U55">
        <v>-0.41775000000000001</v>
      </c>
      <c r="V55" s="11">
        <f t="shared" si="14"/>
        <v>0.61663260776549578</v>
      </c>
      <c r="W55">
        <f t="shared" si="15"/>
        <v>-0.26523364007105082</v>
      </c>
      <c r="X55" s="13">
        <f t="shared" si="16"/>
        <v>-0.4666331133130181</v>
      </c>
      <c r="Y55" s="13">
        <v>3.33668866869819E-2</v>
      </c>
    </row>
    <row r="56" spans="1:25" x14ac:dyDescent="0.25">
      <c r="A56" s="1">
        <v>1897</v>
      </c>
      <c r="B56" s="1">
        <f t="shared" si="7"/>
        <v>-0.21</v>
      </c>
      <c r="C56" s="1">
        <f t="shared" si="17"/>
        <v>-0.21545524999999999</v>
      </c>
      <c r="D56" s="1">
        <f t="shared" si="18"/>
        <v>5.4032832844509993E-3</v>
      </c>
      <c r="E56" s="7">
        <f t="shared" si="8"/>
        <v>0.44798300644264138</v>
      </c>
      <c r="F56" s="1">
        <f t="shared" si="9"/>
        <v>5.4552499999999948E-3</v>
      </c>
      <c r="G56" s="9">
        <f t="shared" si="2"/>
        <v>0.44798300644264138</v>
      </c>
      <c r="H56" s="1">
        <f t="shared" si="19"/>
        <v>-4.3460812499110102E-2</v>
      </c>
      <c r="I56" s="1" t="e">
        <f t="shared" si="10"/>
        <v>#NUM!</v>
      </c>
      <c r="J56" s="3" t="b">
        <f t="shared" si="20"/>
        <v>0</v>
      </c>
      <c r="K56" s="3">
        <f t="shared" si="21"/>
        <v>0.44798300644264138</v>
      </c>
      <c r="L56" s="6">
        <v>-0.21</v>
      </c>
      <c r="M56" s="4">
        <v>-0.17599999999999999</v>
      </c>
      <c r="N56" s="5">
        <v>-0.318</v>
      </c>
      <c r="O56">
        <f t="shared" si="11"/>
        <v>-0.318</v>
      </c>
      <c r="P56">
        <f t="shared" si="12"/>
        <v>0.55345911949685533</v>
      </c>
      <c r="Q56">
        <f t="shared" si="13"/>
        <v>0.660377358490566</v>
      </c>
      <c r="R56">
        <f t="shared" si="22"/>
        <v>-0.63945094339622632</v>
      </c>
      <c r="T56">
        <v>-0.318</v>
      </c>
      <c r="U56">
        <v>-0.32824999999999999</v>
      </c>
      <c r="V56" s="11">
        <f t="shared" si="14"/>
        <v>0.62402206752449274</v>
      </c>
      <c r="W56">
        <f t="shared" si="15"/>
        <v>-0.29233628135322198</v>
      </c>
      <c r="X56" s="13">
        <f t="shared" si="16"/>
        <v>-0.45518552790300681</v>
      </c>
      <c r="Y56" s="13">
        <v>4.4814472096993199E-2</v>
      </c>
    </row>
    <row r="57" spans="1:25" x14ac:dyDescent="0.25">
      <c r="A57" s="1">
        <v>1898</v>
      </c>
      <c r="B57" s="1">
        <f t="shared" si="7"/>
        <v>-0.40799999999999997</v>
      </c>
      <c r="C57" s="1">
        <f t="shared" si="17"/>
        <v>-0.38363897500000005</v>
      </c>
      <c r="D57" s="1">
        <f t="shared" si="18"/>
        <v>-2.8079738657165232E-2</v>
      </c>
      <c r="E57" s="1">
        <f t="shared" si="8"/>
        <v>0.7559339743861283</v>
      </c>
      <c r="F57" s="1">
        <f t="shared" si="9"/>
        <v>2.4361024999999925E-2</v>
      </c>
      <c r="G57" s="9">
        <f t="shared" si="2"/>
        <v>0.7559339743861283</v>
      </c>
      <c r="H57" s="1">
        <f t="shared" si="19"/>
        <v>0.31316386521242678</v>
      </c>
      <c r="I57" s="1">
        <f t="shared" si="10"/>
        <v>1.1479827753215277</v>
      </c>
      <c r="J57" s="3">
        <f t="shared" si="20"/>
        <v>1.1479827753215277</v>
      </c>
      <c r="K57" s="3">
        <f t="shared" si="21"/>
        <v>0.7559339743861283</v>
      </c>
      <c r="L57" s="6">
        <v>-0.40799999999999997</v>
      </c>
      <c r="M57" s="4">
        <v>-0.40300000000000002</v>
      </c>
      <c r="N57" s="5">
        <v>-0.38700000000000001</v>
      </c>
      <c r="O57">
        <f t="shared" si="11"/>
        <v>-0.38700000000000001</v>
      </c>
      <c r="P57">
        <f t="shared" si="12"/>
        <v>1.0413436692506459</v>
      </c>
      <c r="Q57">
        <f t="shared" si="13"/>
        <v>1.0542635658914727</v>
      </c>
      <c r="R57">
        <f t="shared" si="22"/>
        <v>-1.0790201550387595</v>
      </c>
      <c r="T57">
        <v>-0.38700000000000001</v>
      </c>
      <c r="U57">
        <v>-0.38033299999999998</v>
      </c>
      <c r="V57" s="11">
        <f t="shared" si="14"/>
        <v>0.631281484849751</v>
      </c>
      <c r="W57">
        <f t="shared" si="15"/>
        <v>-0.56641276145083541</v>
      </c>
      <c r="X57" s="13">
        <f t="shared" si="16"/>
        <v>-0.46477888798045841</v>
      </c>
      <c r="Y57" s="13">
        <v>3.5221112019541603E-2</v>
      </c>
    </row>
    <row r="58" spans="1:25" x14ac:dyDescent="0.25">
      <c r="A58" s="1">
        <v>1899</v>
      </c>
      <c r="B58" s="1">
        <f t="shared" si="7"/>
        <v>-0.28799999999999998</v>
      </c>
      <c r="C58" s="1">
        <f t="shared" si="17"/>
        <v>-0.28491545000000001</v>
      </c>
      <c r="D58" s="1">
        <f t="shared" si="18"/>
        <v>0</v>
      </c>
      <c r="E58" s="1">
        <f t="shared" si="8"/>
        <v>0.76553261230378389</v>
      </c>
      <c r="F58" s="1">
        <f t="shared" si="9"/>
        <v>3.0845499999999637E-3</v>
      </c>
      <c r="G58" s="9">
        <f t="shared" si="2"/>
        <v>0.76553261230378389</v>
      </c>
      <c r="H58" s="1">
        <f t="shared" si="19"/>
        <v>5.0689798306672862E-2</v>
      </c>
      <c r="I58" s="1">
        <f t="shared" si="10"/>
        <v>0.76553261230378389</v>
      </c>
      <c r="J58" s="3">
        <f t="shared" si="20"/>
        <v>0.76553261230378389</v>
      </c>
      <c r="K58" s="3">
        <f t="shared" si="21"/>
        <v>0.60780250848640649</v>
      </c>
      <c r="L58" s="6">
        <v>-0.28799999999999998</v>
      </c>
      <c r="M58" s="4">
        <v>-0.28000000000000003</v>
      </c>
      <c r="N58" s="5">
        <v>-0.32600000000000001</v>
      </c>
      <c r="O58">
        <f t="shared" si="11"/>
        <v>-0.32600000000000001</v>
      </c>
      <c r="P58">
        <f t="shared" si="12"/>
        <v>0.85889570552147243</v>
      </c>
      <c r="Q58">
        <f t="shared" si="13"/>
        <v>0.88343558282208579</v>
      </c>
      <c r="R58">
        <f t="shared" si="22"/>
        <v>-0.86757730061349669</v>
      </c>
      <c r="T58">
        <v>-0.32600000000000001</v>
      </c>
      <c r="U58">
        <v>-0.32616699999999998</v>
      </c>
      <c r="V58" s="11">
        <f t="shared" si="14"/>
        <v>0.638395213522017</v>
      </c>
      <c r="W58">
        <f t="shared" si="15"/>
        <v>-0.40636246275814908</v>
      </c>
      <c r="X58" s="13">
        <f t="shared" si="16"/>
        <v>-0.43986780948475918</v>
      </c>
      <c r="Y58" s="13">
        <v>6.0132190515240803E-2</v>
      </c>
    </row>
    <row r="59" spans="1:25" x14ac:dyDescent="0.25">
      <c r="A59" s="1">
        <v>1900</v>
      </c>
      <c r="B59" s="1">
        <f t="shared" si="7"/>
        <v>-0.19800000000000001</v>
      </c>
      <c r="C59" s="1">
        <f t="shared" si="17"/>
        <v>-0.191337125</v>
      </c>
      <c r="D59" s="1">
        <f t="shared" si="18"/>
        <v>-8.9947106113386077E-3</v>
      </c>
      <c r="E59" s="1">
        <f t="shared" si="8"/>
        <v>0.70931009581703142</v>
      </c>
      <c r="F59" s="1">
        <f t="shared" si="9"/>
        <v>6.6628750000000125E-3</v>
      </c>
      <c r="G59" s="9">
        <f t="shared" si="2"/>
        <v>0.70931009581703142</v>
      </c>
      <c r="H59" s="1">
        <f t="shared" si="19"/>
        <v>0.1868075432544376</v>
      </c>
      <c r="I59" s="1">
        <f t="shared" si="10"/>
        <v>1.0121070568062835</v>
      </c>
      <c r="J59" s="3">
        <f t="shared" si="20"/>
        <v>1.0121070568062835</v>
      </c>
      <c r="K59" s="3">
        <f t="shared" si="21"/>
        <v>0.70931009581703142</v>
      </c>
      <c r="L59" s="6">
        <v>-0.19800000000000001</v>
      </c>
      <c r="M59" s="4">
        <v>-0.2</v>
      </c>
      <c r="N59" s="5">
        <v>-0.19500000000000001</v>
      </c>
      <c r="O59">
        <f t="shared" si="11"/>
        <v>-0.19500000000000001</v>
      </c>
      <c r="P59">
        <f t="shared" si="12"/>
        <v>1.0256410256410258</v>
      </c>
      <c r="Q59">
        <f t="shared" si="13"/>
        <v>1.0153846153846153</v>
      </c>
      <c r="R59">
        <f t="shared" si="22"/>
        <v>-1.0124692307692307</v>
      </c>
      <c r="T59">
        <v>-0.19500000000000001</v>
      </c>
      <c r="U59">
        <v>-0.20449999999999999</v>
      </c>
      <c r="V59" s="11">
        <f t="shared" si="14"/>
        <v>0.64534874353557825</v>
      </c>
      <c r="W59">
        <f t="shared" si="15"/>
        <v>-0.27701123480783607</v>
      </c>
      <c r="X59" s="13">
        <f t="shared" si="16"/>
        <v>-0.43117006766656163</v>
      </c>
      <c r="Y59" s="13">
        <v>6.8829932333438398E-2</v>
      </c>
    </row>
    <row r="60" spans="1:25" x14ac:dyDescent="0.25">
      <c r="A60" s="1">
        <v>1901</v>
      </c>
      <c r="B60" s="1">
        <f t="shared" si="7"/>
        <v>-0.26700000000000002</v>
      </c>
      <c r="C60" s="1">
        <f t="shared" si="17"/>
        <v>-0.263369925</v>
      </c>
      <c r="D60" s="1">
        <f t="shared" si="18"/>
        <v>-1.8000000000000016E-2</v>
      </c>
      <c r="E60" s="1">
        <f t="shared" si="8"/>
        <v>1</v>
      </c>
      <c r="F60" s="1">
        <f t="shared" si="9"/>
        <v>3.6300750000000104E-3</v>
      </c>
      <c r="G60" s="9">
        <f t="shared" si="2"/>
        <v>1</v>
      </c>
      <c r="H60" s="1">
        <f t="shared" si="19"/>
        <v>0.58071670946279919</v>
      </c>
      <c r="I60" s="1">
        <f t="shared" si="10"/>
        <v>1.5401145947418788</v>
      </c>
      <c r="J60" s="3">
        <f t="shared" si="20"/>
        <v>1.5401145947418788</v>
      </c>
      <c r="K60" s="3">
        <f t="shared" si="21"/>
        <v>1.0062434246929943</v>
      </c>
      <c r="L60" s="6">
        <v>-0.26700000000000002</v>
      </c>
      <c r="M60" s="4">
        <v>-0.32100000000000001</v>
      </c>
      <c r="N60" s="5">
        <v>-0.17699999999999999</v>
      </c>
      <c r="O60">
        <f t="shared" si="11"/>
        <v>-0.17699999999999999</v>
      </c>
      <c r="P60">
        <f t="shared" si="12"/>
        <v>1.8135593220338984</v>
      </c>
      <c r="Q60">
        <f t="shared" si="13"/>
        <v>1.5084745762711866</v>
      </c>
      <c r="R60">
        <f t="shared" si="22"/>
        <v>-1.43631186440678</v>
      </c>
      <c r="T60">
        <v>-0.17699999999999999</v>
      </c>
      <c r="U60">
        <v>-0.190417</v>
      </c>
      <c r="V60" s="11">
        <f t="shared" si="14"/>
        <v>0.65212867874652147</v>
      </c>
      <c r="W60">
        <f t="shared" si="15"/>
        <v>-0.40198260642703892</v>
      </c>
      <c r="X60" s="13">
        <f t="shared" si="16"/>
        <v>-0.42573480345990011</v>
      </c>
      <c r="Y60" s="13">
        <v>7.4265196540099901E-2</v>
      </c>
    </row>
    <row r="61" spans="1:25" x14ac:dyDescent="0.25">
      <c r="A61" s="1">
        <v>1902</v>
      </c>
      <c r="B61" s="1">
        <f t="shared" si="7"/>
        <v>-0.41199999999999998</v>
      </c>
      <c r="C61" s="1">
        <f t="shared" si="17"/>
        <v>-0.40003929999999999</v>
      </c>
      <c r="D61" s="1">
        <f t="shared" si="18"/>
        <v>0</v>
      </c>
      <c r="E61" s="1">
        <f t="shared" si="8"/>
        <v>0.94921466133542198</v>
      </c>
      <c r="F61" s="1">
        <f t="shared" si="9"/>
        <v>1.1960699999999991E-2</v>
      </c>
      <c r="G61" s="9">
        <f t="shared" si="2"/>
        <v>0.94921466133542198</v>
      </c>
      <c r="H61" s="1">
        <f t="shared" si="19"/>
        <v>0.14722478294742924</v>
      </c>
      <c r="I61" s="1">
        <f t="shared" si="10"/>
        <v>0.94921466133542198</v>
      </c>
      <c r="J61" s="3">
        <f t="shared" si="20"/>
        <v>0.94921466133542198</v>
      </c>
      <c r="K61" s="3">
        <f t="shared" si="21"/>
        <v>0.6804050648546025</v>
      </c>
      <c r="L61" s="6">
        <v>-0.41199999999999998</v>
      </c>
      <c r="M61" s="4">
        <v>-0.41099999999999998</v>
      </c>
      <c r="N61" s="5">
        <v>-0.42199999999999999</v>
      </c>
      <c r="O61">
        <f t="shared" si="11"/>
        <v>-0.42199999999999999</v>
      </c>
      <c r="P61">
        <f t="shared" si="12"/>
        <v>0.97393364928909953</v>
      </c>
      <c r="Q61">
        <f t="shared" si="13"/>
        <v>0.976303317535545</v>
      </c>
      <c r="R61">
        <f t="shared" si="22"/>
        <v>-0.97121018957345961</v>
      </c>
      <c r="T61">
        <v>-0.42199999999999999</v>
      </c>
      <c r="U61">
        <v>-0.42241699999999999</v>
      </c>
      <c r="V61" s="11">
        <f t="shared" si="14"/>
        <v>0.65872271452099085</v>
      </c>
      <c r="W61">
        <f t="shared" si="15"/>
        <v>-0.56612083952168379</v>
      </c>
      <c r="X61" s="13">
        <f t="shared" si="16"/>
        <v>-0.45710331375414293</v>
      </c>
      <c r="Y61" s="13">
        <v>4.2896686245857102E-2</v>
      </c>
    </row>
    <row r="62" spans="1:25" x14ac:dyDescent="0.25">
      <c r="A62" s="1">
        <v>1903</v>
      </c>
      <c r="B62" s="1">
        <f t="shared" si="7"/>
        <v>-0.48099999999999998</v>
      </c>
      <c r="C62" s="1">
        <f t="shared" si="17"/>
        <v>-0.47239367500000007</v>
      </c>
      <c r="D62" s="1">
        <f t="shared" si="18"/>
        <v>-1.9424856333715157E-2</v>
      </c>
      <c r="E62" s="1">
        <f t="shared" si="8"/>
        <v>0.76103258500276483</v>
      </c>
      <c r="F62" s="1">
        <f t="shared" si="9"/>
        <v>8.6063249999999147E-3</v>
      </c>
      <c r="G62" s="9">
        <f t="shared" si="2"/>
        <v>0.76103258500276483</v>
      </c>
      <c r="H62" s="1">
        <f t="shared" si="19"/>
        <v>0.19583462527118156</v>
      </c>
      <c r="I62" s="1">
        <f t="shared" si="10"/>
        <v>1.0710592497721454</v>
      </c>
      <c r="J62" s="3">
        <f t="shared" si="20"/>
        <v>1.0710592497721454</v>
      </c>
      <c r="K62" s="3">
        <f t="shared" si="21"/>
        <v>0.76103258500276483</v>
      </c>
      <c r="L62" s="6">
        <v>-0.48099999999999998</v>
      </c>
      <c r="M62" s="4">
        <v>-0.51900000000000002</v>
      </c>
      <c r="N62" s="5">
        <v>-0.43099999999999999</v>
      </c>
      <c r="O62">
        <f t="shared" si="11"/>
        <v>-0.43099999999999999</v>
      </c>
      <c r="P62">
        <f t="shared" si="12"/>
        <v>1.2041763341067286</v>
      </c>
      <c r="Q62">
        <f t="shared" si="13"/>
        <v>1.1160092807424593</v>
      </c>
      <c r="R62">
        <f t="shared" si="22"/>
        <v>-1.0862979118329465</v>
      </c>
      <c r="T62">
        <v>-0.43099999999999999</v>
      </c>
      <c r="U62">
        <v>-0.42341699999999999</v>
      </c>
      <c r="V62" s="11">
        <f t="shared" si="14"/>
        <v>0.66511963028460741</v>
      </c>
      <c r="W62">
        <f t="shared" si="15"/>
        <v>-0.68030308490705493</v>
      </c>
      <c r="X62" s="13">
        <f t="shared" si="16"/>
        <v>-0.45751193464917611</v>
      </c>
      <c r="Y62" s="13">
        <v>4.2488065350823903E-2</v>
      </c>
    </row>
    <row r="63" spans="1:25" x14ac:dyDescent="0.25">
      <c r="A63" s="1">
        <v>1904</v>
      </c>
      <c r="B63" s="1">
        <f t="shared" si="7"/>
        <v>-0.52800000000000002</v>
      </c>
      <c r="C63" s="1">
        <f t="shared" si="17"/>
        <v>-0.52577512500000001</v>
      </c>
      <c r="D63" s="1">
        <f t="shared" si="18"/>
        <v>0</v>
      </c>
      <c r="E63" s="1">
        <f t="shared" si="8"/>
        <v>0.7819277853163924</v>
      </c>
      <c r="F63" s="1">
        <f t="shared" si="9"/>
        <v>2.224875000000015E-3</v>
      </c>
      <c r="G63" s="9">
        <f t="shared" si="2"/>
        <v>0.7819277853163924</v>
      </c>
      <c r="H63" s="1">
        <f t="shared" si="19"/>
        <v>4.6259918293926727E-2</v>
      </c>
      <c r="I63" s="1">
        <f t="shared" si="10"/>
        <v>0.7819277853163924</v>
      </c>
      <c r="J63" s="3">
        <f t="shared" si="20"/>
        <v>0.7819277853163924</v>
      </c>
      <c r="K63" s="3">
        <f t="shared" si="21"/>
        <v>0.63124739439240007</v>
      </c>
      <c r="L63" s="6">
        <v>-0.52800000000000002</v>
      </c>
      <c r="M63" s="4">
        <v>-0.53300000000000003</v>
      </c>
      <c r="N63" s="5">
        <v>-0.56899999999999995</v>
      </c>
      <c r="O63">
        <f t="shared" si="11"/>
        <v>-0.56899999999999995</v>
      </c>
      <c r="P63">
        <f t="shared" si="12"/>
        <v>0.93673110720562403</v>
      </c>
      <c r="Q63">
        <f t="shared" si="13"/>
        <v>0.92794376098418285</v>
      </c>
      <c r="R63">
        <f t="shared" si="22"/>
        <v>-0.90104253075571183</v>
      </c>
      <c r="T63">
        <v>-0.56899999999999995</v>
      </c>
      <c r="U63">
        <v>-0.55483300000000002</v>
      </c>
      <c r="V63" s="11">
        <f t="shared" si="14"/>
        <v>0.67130921501666307</v>
      </c>
      <c r="W63">
        <f t="shared" si="15"/>
        <v>-0.72956175086523767</v>
      </c>
      <c r="X63" s="13">
        <f t="shared" si="16"/>
        <v>-0.46993131085770712</v>
      </c>
      <c r="Y63" s="13">
        <v>3.0068689142292899E-2</v>
      </c>
    </row>
    <row r="64" spans="1:25" x14ac:dyDescent="0.25">
      <c r="A64" s="1">
        <v>1905</v>
      </c>
      <c r="B64" s="1">
        <f t="shared" si="7"/>
        <v>-0.38200000000000001</v>
      </c>
      <c r="C64" s="1">
        <f t="shared" si="17"/>
        <v>-0.39232149999999999</v>
      </c>
      <c r="D64" s="1">
        <f t="shared" si="18"/>
        <v>6.8014605701062214E-3</v>
      </c>
      <c r="E64" s="7">
        <f t="shared" si="8"/>
        <v>0.58736687448193503</v>
      </c>
      <c r="F64" s="1">
        <f t="shared" si="9"/>
        <v>1.0321499999999983E-2</v>
      </c>
      <c r="G64" s="9">
        <f t="shared" si="2"/>
        <v>0.58736687448193503</v>
      </c>
      <c r="H64" s="1">
        <f t="shared" si="19"/>
        <v>-5.3293414897370828E-2</v>
      </c>
      <c r="I64" s="1" t="e">
        <f t="shared" si="10"/>
        <v>#NUM!</v>
      </c>
      <c r="J64" s="3" t="b">
        <f t="shared" si="20"/>
        <v>0</v>
      </c>
      <c r="K64" s="3">
        <f t="shared" si="21"/>
        <v>0.58736687448193503</v>
      </c>
      <c r="L64" s="6">
        <v>-0.38200000000000001</v>
      </c>
      <c r="M64" s="4">
        <v>-0.39600000000000002</v>
      </c>
      <c r="N64" s="5">
        <v>-0.42799999999999999</v>
      </c>
      <c r="O64">
        <f t="shared" si="11"/>
        <v>-0.42799999999999999</v>
      </c>
      <c r="P64">
        <f t="shared" si="12"/>
        <v>0.92523364485981319</v>
      </c>
      <c r="Q64">
        <f t="shared" si="13"/>
        <v>0.89252336448598135</v>
      </c>
      <c r="R64">
        <f t="shared" si="22"/>
        <v>-0.83840747663551407</v>
      </c>
      <c r="T64">
        <v>-0.42799999999999999</v>
      </c>
      <c r="U64">
        <v>-0.43416700000000003</v>
      </c>
      <c r="V64" s="11">
        <f t="shared" si="14"/>
        <v>0.67728228960186243</v>
      </c>
      <c r="W64">
        <f t="shared" si="15"/>
        <v>-0.53982946131146592</v>
      </c>
      <c r="X64" s="13">
        <f t="shared" si="16"/>
        <v>-0.4520729798002065</v>
      </c>
      <c r="Y64" s="13">
        <v>4.7927020199793502E-2</v>
      </c>
    </row>
    <row r="65" spans="1:25" x14ac:dyDescent="0.25">
      <c r="A65" s="1">
        <v>1906</v>
      </c>
      <c r="B65" s="1">
        <f t="shared" si="7"/>
        <v>-0.29399999999999998</v>
      </c>
      <c r="C65" s="1">
        <f t="shared" si="17"/>
        <v>-0.29006064999999998</v>
      </c>
      <c r="D65" s="1">
        <f t="shared" si="18"/>
        <v>-1.7099641464883908E-2</v>
      </c>
      <c r="E65" s="1">
        <f t="shared" si="8"/>
        <v>0.92884906189112826</v>
      </c>
      <c r="F65" s="1">
        <f t="shared" si="9"/>
        <v>3.9393500000000081E-3</v>
      </c>
      <c r="G65" s="9">
        <f t="shared" si="2"/>
        <v>0.92884906189112826</v>
      </c>
      <c r="H65" s="1">
        <f t="shared" si="19"/>
        <v>0.4277617758724197</v>
      </c>
      <c r="I65" s="1">
        <f t="shared" si="10"/>
        <v>1.3870492832082306</v>
      </c>
      <c r="J65" s="3">
        <f t="shared" si="20"/>
        <v>1.3870492832082306</v>
      </c>
      <c r="K65" s="3">
        <f t="shared" si="21"/>
        <v>0.92884906189112826</v>
      </c>
      <c r="L65" s="6">
        <v>-0.29399999999999998</v>
      </c>
      <c r="M65" s="4">
        <v>-0.34499999999999997</v>
      </c>
      <c r="N65" s="5">
        <v>-0.21199999999999999</v>
      </c>
      <c r="O65">
        <f t="shared" si="11"/>
        <v>-0.21199999999999999</v>
      </c>
      <c r="P65">
        <f t="shared" si="12"/>
        <v>1.6273584905660377</v>
      </c>
      <c r="Q65">
        <f t="shared" si="13"/>
        <v>1.3867924528301887</v>
      </c>
      <c r="R65">
        <f t="shared" si="22"/>
        <v>-1.3258391509433964</v>
      </c>
      <c r="T65">
        <v>-0.21199999999999999</v>
      </c>
      <c r="U65">
        <v>-0.23166700000000001</v>
      </c>
      <c r="V65" s="11">
        <f t="shared" si="14"/>
        <v>0.68303062487393618</v>
      </c>
      <c r="W65">
        <f t="shared" si="15"/>
        <v>-0.42118675666730887</v>
      </c>
      <c r="X65" s="13">
        <f t="shared" si="16"/>
        <v>-0.42499040391667198</v>
      </c>
      <c r="Y65" s="13">
        <v>7.5009596083327995E-2</v>
      </c>
    </row>
    <row r="66" spans="1:25" x14ac:dyDescent="0.25">
      <c r="A66" s="1">
        <v>1907</v>
      </c>
      <c r="B66" s="1">
        <f t="shared" si="7"/>
        <v>-0.47599999999999998</v>
      </c>
      <c r="C66" s="1">
        <f t="shared" si="17"/>
        <v>-0.48879399999999995</v>
      </c>
      <c r="D66" s="1">
        <f t="shared" si="18"/>
        <v>1.2967313109295719E-2</v>
      </c>
      <c r="E66" s="7">
        <f t="shared" si="8"/>
        <v>0.49224481358664712</v>
      </c>
      <c r="F66" s="1">
        <f t="shared" si="9"/>
        <v>1.2793999999999972E-2</v>
      </c>
      <c r="G66" s="9">
        <f t="shared" si="2"/>
        <v>0.49224481358664712</v>
      </c>
      <c r="H66" s="1">
        <f t="shared" si="19"/>
        <v>-5.6242138344383574E-2</v>
      </c>
      <c r="I66" s="1" t="e">
        <f t="shared" si="10"/>
        <v>#NUM!</v>
      </c>
      <c r="J66" s="3" t="b">
        <f t="shared" si="20"/>
        <v>0</v>
      </c>
      <c r="K66" s="3">
        <f t="shared" si="21"/>
        <v>0.49224481358664712</v>
      </c>
      <c r="L66" s="6">
        <v>-0.47599999999999998</v>
      </c>
      <c r="M66" s="4">
        <v>-0.436</v>
      </c>
      <c r="N66" s="5">
        <v>-0.64800000000000002</v>
      </c>
      <c r="O66">
        <f t="shared" si="11"/>
        <v>-0.64800000000000002</v>
      </c>
      <c r="P66">
        <f t="shared" si="12"/>
        <v>0.6728395061728395</v>
      </c>
      <c r="Q66">
        <f t="shared" si="13"/>
        <v>0.73456790123456783</v>
      </c>
      <c r="R66">
        <f t="shared" si="22"/>
        <v>-0.70263024691358011</v>
      </c>
      <c r="T66">
        <v>-0.64800000000000002</v>
      </c>
      <c r="U66">
        <v>-0.63300000000000001</v>
      </c>
      <c r="V66" s="11">
        <f t="shared" si="14"/>
        <v>0.6885469937697053</v>
      </c>
      <c r="W66">
        <f t="shared" si="15"/>
        <v>-0.63744972350244844</v>
      </c>
      <c r="X66" s="13">
        <f t="shared" si="16"/>
        <v>-0.48498925699964968</v>
      </c>
      <c r="Y66" s="13">
        <v>1.50107430003503E-2</v>
      </c>
    </row>
    <row r="67" spans="1:25" x14ac:dyDescent="0.25">
      <c r="A67" s="1">
        <v>1908</v>
      </c>
      <c r="B67" s="1">
        <f t="shared" si="7"/>
        <v>-0.52300000000000002</v>
      </c>
      <c r="C67" s="1">
        <f t="shared" si="17"/>
        <v>-0.50583747500000009</v>
      </c>
      <c r="D67" s="1">
        <f t="shared" si="18"/>
        <v>-2.4977868611320453E-2</v>
      </c>
      <c r="E67" s="1">
        <f t="shared" si="8"/>
        <v>0.73538693647983289</v>
      </c>
      <c r="F67" s="1">
        <f t="shared" si="9"/>
        <v>1.7162524999999929E-2</v>
      </c>
      <c r="G67" s="9">
        <f t="shared" si="2"/>
        <v>0.73538693647983289</v>
      </c>
      <c r="H67" s="1">
        <f t="shared" si="19"/>
        <v>0.21187112486334114</v>
      </c>
      <c r="I67" s="1">
        <f t="shared" si="10"/>
        <v>1.0578575870319873</v>
      </c>
      <c r="J67" s="3">
        <f t="shared" si="20"/>
        <v>1.0578575870319873</v>
      </c>
      <c r="K67" s="3">
        <f t="shared" si="21"/>
        <v>0.73538693647983289</v>
      </c>
      <c r="L67" s="6">
        <v>-0.52300000000000002</v>
      </c>
      <c r="M67" s="4">
        <v>-0.53900000000000003</v>
      </c>
      <c r="N67" s="5">
        <v>-0.495</v>
      </c>
      <c r="O67">
        <f t="shared" si="11"/>
        <v>-0.495</v>
      </c>
      <c r="P67">
        <f t="shared" si="12"/>
        <v>1.088888888888889</v>
      </c>
      <c r="Q67">
        <f t="shared" si="13"/>
        <v>1.0565656565656567</v>
      </c>
      <c r="R67">
        <f t="shared" si="22"/>
        <v>-1.0496913131313135</v>
      </c>
      <c r="T67">
        <v>-0.495</v>
      </c>
      <c r="U67">
        <v>-0.49399999999999999</v>
      </c>
      <c r="V67" s="11">
        <f t="shared" si="14"/>
        <v>0.6938250744715333</v>
      </c>
      <c r="W67">
        <f t="shared" si="15"/>
        <v>-0.69615839292690673</v>
      </c>
      <c r="X67" s="13">
        <f t="shared" si="16"/>
        <v>-0.45071891850561802</v>
      </c>
      <c r="Y67" s="13">
        <v>4.9281081494381998E-2</v>
      </c>
    </row>
    <row r="68" spans="1:25" x14ac:dyDescent="0.25">
      <c r="A68" s="1">
        <v>1909</v>
      </c>
      <c r="B68" s="1">
        <f t="shared" si="7"/>
        <v>-0.53600000000000003</v>
      </c>
      <c r="C68" s="1">
        <f t="shared" si="17"/>
        <v>-0.51355527500000009</v>
      </c>
      <c r="D68" s="1">
        <f t="shared" si="18"/>
        <v>-3.1882670489658649E-2</v>
      </c>
      <c r="E68" s="1">
        <f t="shared" si="8"/>
        <v>0.78380096313632719</v>
      </c>
      <c r="F68" s="1">
        <f t="shared" si="9"/>
        <v>2.2444724999999943E-2</v>
      </c>
      <c r="G68" s="9">
        <f t="shared" si="2"/>
        <v>0.78380096313632719</v>
      </c>
      <c r="H68" s="1">
        <f t="shared" si="19"/>
        <v>0.2978726669791365</v>
      </c>
      <c r="I68" s="1">
        <f t="shared" si="10"/>
        <v>1.1661584817532382</v>
      </c>
      <c r="J68" s="3">
        <f t="shared" si="20"/>
        <v>1.1661584817532382</v>
      </c>
      <c r="K68" s="3">
        <f t="shared" si="21"/>
        <v>0.78380096313632719</v>
      </c>
      <c r="L68" s="6">
        <v>-0.53600000000000003</v>
      </c>
      <c r="M68" s="4">
        <v>-0.55900000000000005</v>
      </c>
      <c r="N68" s="5">
        <v>-0.47899999999999998</v>
      </c>
      <c r="O68">
        <f t="shared" si="11"/>
        <v>-0.47899999999999998</v>
      </c>
      <c r="P68">
        <f t="shared" si="12"/>
        <v>1.1670146137787059</v>
      </c>
      <c r="Q68">
        <f t="shared" si="13"/>
        <v>1.1189979123173279</v>
      </c>
      <c r="R68">
        <f t="shared" si="22"/>
        <v>-1.1187974947807935</v>
      </c>
      <c r="T68">
        <v>-0.47899999999999998</v>
      </c>
      <c r="U68">
        <v>-0.48249999999999998</v>
      </c>
      <c r="V68" s="11">
        <f t="shared" si="14"/>
        <v>0.69885941315442324</v>
      </c>
      <c r="W68">
        <f t="shared" si="15"/>
        <v>-0.70800831072731718</v>
      </c>
      <c r="X68" s="13">
        <f t="shared" si="16"/>
        <v>-0.44870423337490878</v>
      </c>
      <c r="Y68" s="13">
        <v>5.1295766625091201E-2</v>
      </c>
    </row>
    <row r="69" spans="1:25" x14ac:dyDescent="0.25">
      <c r="A69" s="1">
        <v>1910</v>
      </c>
      <c r="B69" s="1">
        <f t="shared" si="7"/>
        <v>-0.496</v>
      </c>
      <c r="C69" s="1">
        <f t="shared" si="17"/>
        <v>-0.47625257499999996</v>
      </c>
      <c r="D69" s="1">
        <f t="shared" si="18"/>
        <v>-3.9883992117991762E-2</v>
      </c>
      <c r="E69" s="1">
        <f t="shared" si="8"/>
        <v>0.99064255878225971</v>
      </c>
      <c r="F69" s="1">
        <f t="shared" si="9"/>
        <v>1.9747425000000041E-2</v>
      </c>
      <c r="G69" s="9">
        <f t="shared" si="2"/>
        <v>0.99064255878225971</v>
      </c>
      <c r="H69" s="1">
        <f t="shared" si="19"/>
        <v>0.65388623050292094</v>
      </c>
      <c r="I69" s="1">
        <f t="shared" si="10"/>
        <v>1.5571497193266701</v>
      </c>
      <c r="J69" s="3">
        <f t="shared" si="20"/>
        <v>1.5571497193266701</v>
      </c>
      <c r="K69" s="3">
        <f t="shared" si="21"/>
        <v>0.99064255878225971</v>
      </c>
      <c r="L69" s="6">
        <v>-0.496</v>
      </c>
      <c r="M69" s="4">
        <v>-0.56799999999999995</v>
      </c>
      <c r="N69" s="5">
        <v>-0.34499999999999997</v>
      </c>
      <c r="O69">
        <f t="shared" si="11"/>
        <v>-0.34499999999999997</v>
      </c>
      <c r="P69">
        <f t="shared" si="12"/>
        <v>1.6463768115942028</v>
      </c>
      <c r="Q69">
        <f t="shared" si="13"/>
        <v>1.4376811594202901</v>
      </c>
      <c r="R69">
        <f t="shared" si="22"/>
        <v>-1.4140431884057976</v>
      </c>
      <c r="T69">
        <v>-0.34499999999999997</v>
      </c>
      <c r="U69">
        <v>-0.34699999999999998</v>
      </c>
      <c r="V69" s="11">
        <f t="shared" si="14"/>
        <v>0.70364548359066248</v>
      </c>
      <c r="W69">
        <f t="shared" si="15"/>
        <v>-0.67488975378643934</v>
      </c>
      <c r="X69" s="13">
        <f t="shared" si="16"/>
        <v>-0.4451243074797967</v>
      </c>
      <c r="Y69" s="13">
        <v>5.4875692520203301E-2</v>
      </c>
    </row>
    <row r="70" spans="1:25" x14ac:dyDescent="0.25">
      <c r="A70" s="1">
        <v>1911</v>
      </c>
      <c r="B70" s="1">
        <f t="shared" si="7"/>
        <v>-0.55400000000000005</v>
      </c>
      <c r="C70" s="1">
        <f t="shared" si="17"/>
        <v>-0.51644944999999998</v>
      </c>
      <c r="D70" s="1">
        <f t="shared" si="18"/>
        <v>-4.7674540743792959E-2</v>
      </c>
      <c r="E70" s="1">
        <f t="shared" si="8"/>
        <v>0.87848861287494684</v>
      </c>
      <c r="F70" s="1">
        <f t="shared" si="9"/>
        <v>3.7550550000000071E-2</v>
      </c>
      <c r="G70" s="9">
        <f t="shared" si="2"/>
        <v>0.87848861287494684</v>
      </c>
      <c r="H70" s="1">
        <f t="shared" si="19"/>
        <v>0.52904169789769195</v>
      </c>
      <c r="I70" s="1">
        <f t="shared" si="10"/>
        <v>1.388053224450593</v>
      </c>
      <c r="J70" s="3">
        <f t="shared" si="20"/>
        <v>1.388053224450593</v>
      </c>
      <c r="K70" s="3">
        <f t="shared" si="21"/>
        <v>0.87848861287494684</v>
      </c>
      <c r="L70" s="6">
        <v>-0.55400000000000005</v>
      </c>
      <c r="M70" s="4">
        <v>-0.57699999999999996</v>
      </c>
      <c r="N70" s="5">
        <v>-0.45200000000000001</v>
      </c>
      <c r="O70">
        <f t="shared" si="11"/>
        <v>-0.45200000000000001</v>
      </c>
      <c r="P70">
        <f t="shared" si="12"/>
        <v>1.2765486725663715</v>
      </c>
      <c r="Q70">
        <f t="shared" si="13"/>
        <v>1.2256637168141593</v>
      </c>
      <c r="R70">
        <f t="shared" si="22"/>
        <v>-1.2539546460176991</v>
      </c>
      <c r="T70">
        <v>-0.45200000000000001</v>
      </c>
      <c r="U70">
        <v>-0.44716699999999998</v>
      </c>
      <c r="V70" s="11">
        <f t="shared" si="14"/>
        <v>0.70817953813821077</v>
      </c>
      <c r="W70">
        <f t="shared" si="15"/>
        <v>-0.71090547987750452</v>
      </c>
      <c r="X70" s="13">
        <f t="shared" si="16"/>
        <v>-0.4494442018028279</v>
      </c>
      <c r="Y70" s="13">
        <v>5.0555798197172097E-2</v>
      </c>
    </row>
    <row r="71" spans="1:25" x14ac:dyDescent="0.25">
      <c r="A71" s="1">
        <v>1912</v>
      </c>
      <c r="B71" s="1">
        <f t="shared" si="7"/>
        <v>-0.44900000000000001</v>
      </c>
      <c r="C71" s="1">
        <f t="shared" si="17"/>
        <v>-0.43734200000000001</v>
      </c>
      <c r="D71" s="1">
        <f t="shared" si="18"/>
        <v>0</v>
      </c>
      <c r="E71" s="1">
        <f t="shared" si="8"/>
        <v>0.89061958206643432</v>
      </c>
      <c r="F71" s="1">
        <f t="shared" si="9"/>
        <v>1.1658000000000002E-2</v>
      </c>
      <c r="G71" s="9">
        <f t="shared" si="2"/>
        <v>0.89061958206643432</v>
      </c>
      <c r="H71" s="1">
        <f t="shared" si="19"/>
        <v>0.11625512506944435</v>
      </c>
      <c r="I71" s="1">
        <f t="shared" si="10"/>
        <v>0.89061958206643432</v>
      </c>
      <c r="J71" s="3">
        <f t="shared" si="20"/>
        <v>0.89061958206643432</v>
      </c>
      <c r="K71" s="3">
        <f t="shared" si="21"/>
        <v>0.65175026855354723</v>
      </c>
      <c r="L71" s="6">
        <v>-0.44900000000000001</v>
      </c>
      <c r="M71" s="4">
        <v>-0.44</v>
      </c>
      <c r="N71" s="5">
        <v>-0.48</v>
      </c>
      <c r="O71">
        <f t="shared" si="11"/>
        <v>-0.48</v>
      </c>
      <c r="P71">
        <f t="shared" si="12"/>
        <v>0.91666666666666674</v>
      </c>
      <c r="Q71">
        <f t="shared" si="13"/>
        <v>0.93541666666666667</v>
      </c>
      <c r="R71">
        <f t="shared" si="22"/>
        <v>-0.93030833333333329</v>
      </c>
      <c r="T71">
        <v>-0.48</v>
      </c>
      <c r="U71">
        <v>-0.47733300000000001</v>
      </c>
      <c r="V71" s="11">
        <f t="shared" si="14"/>
        <v>0.7124587083235383</v>
      </c>
      <c r="W71">
        <f t="shared" si="15"/>
        <v>-0.57819059647957471</v>
      </c>
      <c r="X71" s="13">
        <f t="shared" si="16"/>
        <v>-0.44402224431812609</v>
      </c>
      <c r="Y71" s="13">
        <v>5.5977755681873902E-2</v>
      </c>
    </row>
    <row r="72" spans="1:25" x14ac:dyDescent="0.25">
      <c r="A72" s="1">
        <v>1913</v>
      </c>
      <c r="B72" s="1">
        <f t="shared" si="7"/>
        <v>-0.439</v>
      </c>
      <c r="C72" s="1">
        <f t="shared" si="17"/>
        <v>-0.417725925</v>
      </c>
      <c r="D72" s="1">
        <f t="shared" si="18"/>
        <v>-3.1759232467151455E-2</v>
      </c>
      <c r="E72" s="1">
        <f t="shared" si="8"/>
        <v>0.86274313564573946</v>
      </c>
      <c r="F72" s="1">
        <f t="shared" si="9"/>
        <v>2.1274075000000003E-2</v>
      </c>
      <c r="G72" s="9">
        <f t="shared" si="2"/>
        <v>0.86274313564573946</v>
      </c>
      <c r="H72" s="1">
        <f t="shared" si="19"/>
        <v>0.43821675478787636</v>
      </c>
      <c r="I72" s="1">
        <f t="shared" si="10"/>
        <v>1.3265090188777597</v>
      </c>
      <c r="J72" s="3">
        <f t="shared" si="20"/>
        <v>1.3265090188777597</v>
      </c>
      <c r="K72" s="3">
        <f t="shared" si="21"/>
        <v>0.86274313564573946</v>
      </c>
      <c r="L72" s="6">
        <v>-0.439</v>
      </c>
      <c r="M72" s="4">
        <v>-0.47099999999999997</v>
      </c>
      <c r="N72" s="5">
        <v>-0.35699999999999998</v>
      </c>
      <c r="O72">
        <f t="shared" si="11"/>
        <v>-0.35699999999999998</v>
      </c>
      <c r="P72">
        <f t="shared" si="12"/>
        <v>1.319327731092437</v>
      </c>
      <c r="Q72">
        <f t="shared" si="13"/>
        <v>1.2296918767507004</v>
      </c>
      <c r="R72">
        <f t="shared" si="22"/>
        <v>-1.2314795518207284</v>
      </c>
      <c r="T72">
        <v>-0.35699999999999998</v>
      </c>
      <c r="U72">
        <v>-0.35016700000000001</v>
      </c>
      <c r="V72" s="11">
        <f t="shared" si="14"/>
        <v>0.71648089680820704</v>
      </c>
      <c r="W72">
        <f t="shared" si="15"/>
        <v>-0.57138099487884397</v>
      </c>
      <c r="X72" s="13">
        <f t="shared" si="16"/>
        <v>-0.42296912024122318</v>
      </c>
      <c r="Y72" s="13">
        <v>7.7030879758776802E-2</v>
      </c>
    </row>
    <row r="73" spans="1:25" x14ac:dyDescent="0.25">
      <c r="A73" s="1">
        <v>1914</v>
      </c>
      <c r="B73" s="1">
        <f t="shared" si="7"/>
        <v>-0.25800000000000001</v>
      </c>
      <c r="C73" s="1">
        <f t="shared" si="17"/>
        <v>-0.23539290000000002</v>
      </c>
      <c r="D73" s="1">
        <f t="shared" si="18"/>
        <v>-4.9999999999999989E-2</v>
      </c>
      <c r="E73" s="1">
        <f t="shared" si="8"/>
        <v>1</v>
      </c>
      <c r="F73" s="1">
        <f t="shared" si="9"/>
        <v>2.2607099999999991E-2</v>
      </c>
      <c r="G73" s="9">
        <f>+IF($H73 &gt; 0,IF($I73&lt;1, $I73, IF($K73&gt;1,1,$K73)), $K73)</f>
        <v>1</v>
      </c>
      <c r="H73" s="1">
        <f t="shared" si="19"/>
        <v>4.2733000560640031</v>
      </c>
      <c r="I73" s="1">
        <f t="shared" si="10"/>
        <v>3.2826146716319866</v>
      </c>
      <c r="J73" s="3">
        <f t="shared" si="20"/>
        <v>3.2826146716319866</v>
      </c>
      <c r="K73" s="3">
        <f t="shared" si="21"/>
        <v>1.8343897996357017</v>
      </c>
      <c r="L73" s="6">
        <v>-0.25800000000000001</v>
      </c>
      <c r="M73" s="4">
        <v>-0.316</v>
      </c>
      <c r="N73" s="5">
        <v>-0.1</v>
      </c>
      <c r="O73">
        <f t="shared" si="11"/>
        <v>-0.1</v>
      </c>
      <c r="P73">
        <f t="shared" si="12"/>
        <v>3.1599999999999997</v>
      </c>
      <c r="Q73">
        <f t="shared" si="13"/>
        <v>2.58</v>
      </c>
      <c r="R73">
        <f t="shared" si="22"/>
        <v>-2.6184080000000005</v>
      </c>
      <c r="T73">
        <v>-0.1</v>
      </c>
      <c r="U73">
        <v>-0.112417</v>
      </c>
      <c r="V73" s="11">
        <f t="shared" si="14"/>
        <v>0.72024472523480654</v>
      </c>
      <c r="W73">
        <f t="shared" si="15"/>
        <v>-0.34175856880204902</v>
      </c>
      <c r="X73" s="13">
        <f t="shared" si="16"/>
        <v>-0.38251718091815601</v>
      </c>
      <c r="Y73" s="13">
        <v>0.11748281908184401</v>
      </c>
    </row>
    <row r="74" spans="1:25" x14ac:dyDescent="0.25">
      <c r="A74" s="1">
        <v>1915</v>
      </c>
      <c r="B74" s="1">
        <f t="shared" si="7"/>
        <v>-0.16400000000000001</v>
      </c>
      <c r="C74" s="1">
        <f t="shared" ref="C74:C105" si="23">1/2*($O74*($C$1*$G$2+$G$1 )+$M74*($G$2+$G$1/$C$1))</f>
        <v>-0.16046592500000001</v>
      </c>
      <c r="D74" s="1">
        <f t="shared" ref="D74:D105" si="24">$B74 - (1/2*($O74*($E74*$G$2+$G$1 )+$M74*($G$2+$G$1/$E74)))</f>
        <v>-1.0680478676648175E-2</v>
      </c>
      <c r="E74" s="1">
        <f t="shared" si="8"/>
        <v>0.94718985807678524</v>
      </c>
      <c r="F74" s="1">
        <f t="shared" si="9"/>
        <v>3.5340749999999976E-3</v>
      </c>
      <c r="G74" s="9">
        <f t="shared" ref="G74:G137" si="25">+IF($H74 &gt; 0,IF($I74&lt;1, $I74, IF($K74&gt;1,1,$K74)), $K74)</f>
        <v>0.94718985807678524</v>
      </c>
      <c r="H74" s="1">
        <f t="shared" ref="H74:H105" si="26">+$R74*$R74-4*$G$1*$G$2*$P74</f>
        <v>0.49368232479801266</v>
      </c>
      <c r="I74" s="1">
        <f t="shared" si="10"/>
        <v>1.4394312122626434</v>
      </c>
      <c r="J74" s="3">
        <f t="shared" ref="J74:J105" si="27">+IF($R74*$R74-4*$G$1*$G$2*$P74 &gt; 0,(-$R74+SQRT($R74*$R74-4*$G$1*$G$2*$P74))/2/$G$2)</f>
        <v>1.4394312122626434</v>
      </c>
      <c r="K74" s="3">
        <f t="shared" ref="K74:K105" si="28">-$R74/2/$G$2</f>
        <v>0.94718985807678524</v>
      </c>
      <c r="L74" s="6">
        <v>-0.16400000000000001</v>
      </c>
      <c r="M74" s="4">
        <v>-0.191</v>
      </c>
      <c r="N74" s="5">
        <v>-0.11700000000000001</v>
      </c>
      <c r="O74">
        <f t="shared" si="11"/>
        <v>-0.11700000000000001</v>
      </c>
      <c r="P74">
        <f t="shared" si="12"/>
        <v>1.6324786324786325</v>
      </c>
      <c r="Q74">
        <f t="shared" si="13"/>
        <v>1.4017094017094016</v>
      </c>
      <c r="R74">
        <f t="shared" ref="R74:R105" si="29">+$G$1+$P74*$G$2-2*$Q74</f>
        <v>-1.3520188034188032</v>
      </c>
      <c r="T74">
        <v>-0.11700000000000001</v>
      </c>
      <c r="U74">
        <v>-0.13991700000000001</v>
      </c>
      <c r="V74" s="11">
        <f t="shared" si="14"/>
        <v>0.72374959383159876</v>
      </c>
      <c r="W74">
        <f t="shared" si="15"/>
        <v>-0.2218449777215287</v>
      </c>
      <c r="X74" s="13">
        <f t="shared" si="16"/>
        <v>-0.38183748254445898</v>
      </c>
      <c r="Y74" s="13">
        <v>0.118162517455541</v>
      </c>
    </row>
    <row r="75" spans="1:25" x14ac:dyDescent="0.25">
      <c r="A75" s="1">
        <v>1916</v>
      </c>
      <c r="B75" s="1">
        <f t="shared" ref="B75:B138" si="30">+$L75</f>
        <v>-0.39800000000000002</v>
      </c>
      <c r="C75" s="1">
        <f t="shared" si="23"/>
        <v>-0.38331740000000003</v>
      </c>
      <c r="D75" s="1">
        <f t="shared" si="24"/>
        <v>-1.9277156362506487E-2</v>
      </c>
      <c r="E75" s="1">
        <f t="shared" ref="E75:E138" si="31">+$G75</f>
        <v>0.71521342372540342</v>
      </c>
      <c r="F75" s="1">
        <f t="shared" ref="F75:F138" si="32">+ABS($B75-$C75)</f>
        <v>1.468259999999999E-2</v>
      </c>
      <c r="G75" s="9">
        <f t="shared" si="25"/>
        <v>0.71521342372540342</v>
      </c>
      <c r="H75" s="1">
        <f t="shared" si="26"/>
        <v>0.20184579386515433</v>
      </c>
      <c r="I75" s="1">
        <f t="shared" ref="I75:I138" si="33">+(-$R75+SQRT($R75*$R75-4*$G$1*$G$2*$P75))/2/$G$2</f>
        <v>1.0299622791677463</v>
      </c>
      <c r="J75" s="3">
        <f t="shared" si="27"/>
        <v>1.0299622791677463</v>
      </c>
      <c r="K75" s="3">
        <f t="shared" si="28"/>
        <v>0.71521342372540342</v>
      </c>
      <c r="L75" s="6">
        <v>-0.39800000000000002</v>
      </c>
      <c r="M75" s="4">
        <v>-0.40100000000000002</v>
      </c>
      <c r="N75" s="5">
        <v>-0.39</v>
      </c>
      <c r="O75">
        <f t="shared" ref="O75:O138" si="34">+$N75+$N$1</f>
        <v>-0.39</v>
      </c>
      <c r="P75">
        <f t="shared" ref="P75:P138" si="35">+$M75/($O75)</f>
        <v>1.0282051282051283</v>
      </c>
      <c r="Q75">
        <f t="shared" ref="Q75:Q138" si="36">+$L75/($O75)</f>
        <v>1.0205128205128204</v>
      </c>
      <c r="R75">
        <f t="shared" si="29"/>
        <v>-1.0208956410256409</v>
      </c>
      <c r="T75">
        <v>-0.39</v>
      </c>
      <c r="U75">
        <v>-0.39</v>
      </c>
      <c r="V75" s="11">
        <f t="shared" ref="V75:V138" si="37">-2.2979737161E-10*$A75^5 + 0.0000022285768284*$A75^4 - 0.0086436385146*$A75^3 + 16.759480306*$A75^2 - 16244.935412*$A75 + 6297344.9302</f>
        <v>0.72699561435729265</v>
      </c>
      <c r="W75">
        <f t="shared" ref="W75:W138" si="38">+$G$2*$M75/$V75+$G$1*$N75</f>
        <v>-0.50532333628596549</v>
      </c>
      <c r="X75" s="13">
        <f t="shared" ref="X75:X138" si="39">+$Y75+$X$1</f>
        <v>-0.4239697589021883</v>
      </c>
      <c r="Y75" s="13">
        <v>7.6030241097811702E-2</v>
      </c>
    </row>
    <row r="76" spans="1:25" x14ac:dyDescent="0.25">
      <c r="A76" s="1">
        <v>1917</v>
      </c>
      <c r="B76" s="1">
        <f t="shared" si="30"/>
        <v>-0.48099999999999998</v>
      </c>
      <c r="C76" s="1">
        <f t="shared" si="23"/>
        <v>-0.50037069999999995</v>
      </c>
      <c r="D76" s="1">
        <f t="shared" si="24"/>
        <v>1.9996009339257825E-2</v>
      </c>
      <c r="E76" s="7">
        <f t="shared" si="31"/>
        <v>0.44409677708574208</v>
      </c>
      <c r="F76" s="1">
        <f t="shared" si="32"/>
        <v>1.9370699999999963E-2</v>
      </c>
      <c r="G76" s="9">
        <f t="shared" si="25"/>
        <v>0.44409677708574208</v>
      </c>
      <c r="H76" s="1">
        <f t="shared" si="26"/>
        <v>-7.0224626578813232E-2</v>
      </c>
      <c r="I76" s="1" t="e">
        <f t="shared" si="33"/>
        <v>#NUM!</v>
      </c>
      <c r="J76" s="3" t="b">
        <f t="shared" si="27"/>
        <v>0</v>
      </c>
      <c r="K76" s="3">
        <f t="shared" si="28"/>
        <v>0.44409677708574208</v>
      </c>
      <c r="L76" s="6">
        <v>-0.48099999999999998</v>
      </c>
      <c r="M76" s="4">
        <v>-0.41699999999999998</v>
      </c>
      <c r="N76" s="5">
        <v>-0.72199999999999998</v>
      </c>
      <c r="O76">
        <f t="shared" si="34"/>
        <v>-0.72199999999999998</v>
      </c>
      <c r="P76">
        <f t="shared" si="35"/>
        <v>0.57756232686980613</v>
      </c>
      <c r="Q76">
        <f t="shared" si="36"/>
        <v>0.66620498614958445</v>
      </c>
      <c r="R76">
        <f t="shared" si="29"/>
        <v>-0.63390373961218827</v>
      </c>
      <c r="T76">
        <v>-0.72199999999999998</v>
      </c>
      <c r="U76">
        <v>-0.69916699999999998</v>
      </c>
      <c r="V76" s="11">
        <f t="shared" si="37"/>
        <v>0.7299835504963994</v>
      </c>
      <c r="W76">
        <f t="shared" si="38"/>
        <v>-0.61440669100166556</v>
      </c>
      <c r="X76" s="13">
        <f t="shared" si="39"/>
        <v>-0.44655965594904939</v>
      </c>
      <c r="Y76" s="13">
        <v>5.3440344050950599E-2</v>
      </c>
    </row>
    <row r="77" spans="1:25" x14ac:dyDescent="0.25">
      <c r="A77" s="1">
        <v>1918</v>
      </c>
      <c r="B77" s="1">
        <f t="shared" si="30"/>
        <v>-0.34300000000000003</v>
      </c>
      <c r="C77" s="1">
        <f t="shared" si="23"/>
        <v>-0.36788179999999998</v>
      </c>
      <c r="D77" s="1">
        <f t="shared" si="24"/>
        <v>2.570896472112788E-2</v>
      </c>
      <c r="E77" s="7">
        <f t="shared" si="31"/>
        <v>0.48185683371475724</v>
      </c>
      <c r="F77" s="1">
        <f t="shared" si="32"/>
        <v>2.4881799999999954E-2</v>
      </c>
      <c r="G77" s="9">
        <f t="shared" si="25"/>
        <v>0.48185683371475724</v>
      </c>
      <c r="H77" s="1">
        <f t="shared" si="26"/>
        <v>-0.15717945581624682</v>
      </c>
      <c r="I77" s="1" t="e">
        <f t="shared" si="33"/>
        <v>#NUM!</v>
      </c>
      <c r="J77" s="3" t="b">
        <f t="shared" si="27"/>
        <v>0</v>
      </c>
      <c r="K77" s="3">
        <f t="shared" si="28"/>
        <v>0.48185683371475724</v>
      </c>
      <c r="L77" s="6">
        <v>-0.34300000000000003</v>
      </c>
      <c r="M77" s="4">
        <v>-0.34699999999999998</v>
      </c>
      <c r="N77" s="5">
        <v>-0.45</v>
      </c>
      <c r="O77">
        <f t="shared" si="34"/>
        <v>-0.45</v>
      </c>
      <c r="P77">
        <f t="shared" si="35"/>
        <v>0.77111111111111108</v>
      </c>
      <c r="Q77">
        <f t="shared" si="36"/>
        <v>0.76222222222222225</v>
      </c>
      <c r="R77">
        <f t="shared" si="29"/>
        <v>-0.68780244444444449</v>
      </c>
      <c r="T77">
        <v>-0.45</v>
      </c>
      <c r="U77">
        <v>-0.43924999999999997</v>
      </c>
      <c r="V77" s="11">
        <f t="shared" si="37"/>
        <v>0.73271480295807123</v>
      </c>
      <c r="W77">
        <f t="shared" si="38"/>
        <v>-0.46682994564622804</v>
      </c>
      <c r="X77" s="13">
        <f t="shared" si="39"/>
        <v>-0.43139886398325367</v>
      </c>
      <c r="Y77" s="13">
        <v>6.8601136016746306E-2</v>
      </c>
    </row>
    <row r="78" spans="1:25" x14ac:dyDescent="0.25">
      <c r="A78" s="1">
        <v>1919</v>
      </c>
      <c r="B78" s="1">
        <f t="shared" si="30"/>
        <v>-0.28399999999999997</v>
      </c>
      <c r="C78" s="1">
        <f t="shared" si="23"/>
        <v>-0.31192775</v>
      </c>
      <c r="D78" s="1">
        <f t="shared" si="24"/>
        <v>2.5442817506736715E-2</v>
      </c>
      <c r="E78" s="7">
        <f t="shared" si="31"/>
        <v>0.54128090730601619</v>
      </c>
      <c r="F78" s="1">
        <f t="shared" si="32"/>
        <v>2.7927750000000029E-2</v>
      </c>
      <c r="G78" s="9">
        <f t="shared" si="25"/>
        <v>0.54128090730601619</v>
      </c>
      <c r="H78" s="1">
        <f t="shared" si="26"/>
        <v>-0.24883216168472611</v>
      </c>
      <c r="I78" s="1" t="e">
        <f t="shared" si="33"/>
        <v>#NUM!</v>
      </c>
      <c r="J78" s="3" t="b">
        <f t="shared" si="27"/>
        <v>0</v>
      </c>
      <c r="K78" s="3">
        <f t="shared" si="28"/>
        <v>0.54128090730601619</v>
      </c>
      <c r="L78" s="6">
        <v>-0.28399999999999997</v>
      </c>
      <c r="M78" s="4">
        <v>-0.32700000000000001</v>
      </c>
      <c r="N78" s="5">
        <v>-0.316</v>
      </c>
      <c r="O78">
        <f t="shared" si="34"/>
        <v>-0.316</v>
      </c>
      <c r="P78">
        <f t="shared" si="35"/>
        <v>1.0348101265822784</v>
      </c>
      <c r="Q78">
        <f t="shared" si="36"/>
        <v>0.89873417721518978</v>
      </c>
      <c r="R78">
        <f t="shared" si="29"/>
        <v>-0.77262436708860749</v>
      </c>
      <c r="T78">
        <v>-0.316</v>
      </c>
      <c r="U78">
        <v>-0.32641700000000001</v>
      </c>
      <c r="V78" s="11">
        <f t="shared" si="37"/>
        <v>0.73519144672900438</v>
      </c>
      <c r="W78">
        <f t="shared" si="38"/>
        <v>-0.40791178906257425</v>
      </c>
      <c r="X78" s="13">
        <f t="shared" si="39"/>
        <v>-0.40602768060956018</v>
      </c>
      <c r="Y78" s="13">
        <v>9.3972319390439804E-2</v>
      </c>
    </row>
    <row r="79" spans="1:25" x14ac:dyDescent="0.25">
      <c r="A79" s="1">
        <v>1920</v>
      </c>
      <c r="B79" s="1">
        <f t="shared" si="30"/>
        <v>-0.252</v>
      </c>
      <c r="C79" s="1">
        <f t="shared" si="23"/>
        <v>-0.26433465</v>
      </c>
      <c r="D79" s="1">
        <f t="shared" si="24"/>
        <v>9.5244836281310752E-3</v>
      </c>
      <c r="E79" s="7">
        <f t="shared" si="31"/>
        <v>0.58032313115459699</v>
      </c>
      <c r="F79" s="1">
        <f t="shared" si="32"/>
        <v>1.2334650000000003E-2</v>
      </c>
      <c r="G79" s="9">
        <f t="shared" si="25"/>
        <v>0.58032313115459699</v>
      </c>
      <c r="H79" s="1">
        <f t="shared" si="26"/>
        <v>-0.11351995464779296</v>
      </c>
      <c r="I79" s="1" t="e">
        <f t="shared" si="33"/>
        <v>#NUM!</v>
      </c>
      <c r="J79" s="3" t="b">
        <f t="shared" si="27"/>
        <v>0</v>
      </c>
      <c r="K79" s="3">
        <f t="shared" si="28"/>
        <v>0.58032313115459699</v>
      </c>
      <c r="L79" s="6">
        <v>-0.252</v>
      </c>
      <c r="M79" s="4">
        <v>-0.27200000000000002</v>
      </c>
      <c r="N79" s="5">
        <v>-0.27800000000000002</v>
      </c>
      <c r="O79">
        <f t="shared" si="34"/>
        <v>-0.27800000000000002</v>
      </c>
      <c r="P79">
        <f t="shared" si="35"/>
        <v>0.97841726618705038</v>
      </c>
      <c r="Q79">
        <f t="shared" si="36"/>
        <v>0.90647482014388481</v>
      </c>
      <c r="R79">
        <f t="shared" si="29"/>
        <v>-0.82835323741007172</v>
      </c>
      <c r="T79">
        <v>-0.27800000000000002</v>
      </c>
      <c r="U79">
        <v>-0.283167</v>
      </c>
      <c r="V79" s="11">
        <f t="shared" si="37"/>
        <v>0.73741611186414957</v>
      </c>
      <c r="W79">
        <f t="shared" si="38"/>
        <v>-0.34284358133525528</v>
      </c>
      <c r="X79" s="13">
        <f t="shared" si="39"/>
        <v>-0.395272480467382</v>
      </c>
      <c r="Y79" s="13">
        <v>0.104727519532618</v>
      </c>
    </row>
    <row r="80" spans="1:25" x14ac:dyDescent="0.25">
      <c r="A80" s="1">
        <v>1921</v>
      </c>
      <c r="B80" s="1">
        <f t="shared" si="30"/>
        <v>-0.19</v>
      </c>
      <c r="C80" s="1">
        <f t="shared" si="23"/>
        <v>-0.18426247499999998</v>
      </c>
      <c r="D80" s="1">
        <f t="shared" si="24"/>
        <v>-2.1500000000000019E-2</v>
      </c>
      <c r="E80" s="1">
        <f t="shared" si="31"/>
        <v>1</v>
      </c>
      <c r="F80" s="1">
        <f t="shared" si="32"/>
        <v>5.7375250000000211E-3</v>
      </c>
      <c r="G80" s="9">
        <f t="shared" si="25"/>
        <v>1</v>
      </c>
      <c r="H80" s="1">
        <f t="shared" si="26"/>
        <v>1.3605867449867663</v>
      </c>
      <c r="I80" s="1">
        <f t="shared" si="33"/>
        <v>2.0841128686833623</v>
      </c>
      <c r="J80" s="3">
        <f t="shared" si="27"/>
        <v>2.0841128686833623</v>
      </c>
      <c r="K80" s="3">
        <f t="shared" si="28"/>
        <v>1.266933439876144</v>
      </c>
      <c r="L80" s="6">
        <v>-0.19</v>
      </c>
      <c r="M80" s="4">
        <v>-0.23599999999999999</v>
      </c>
      <c r="N80" s="5">
        <v>-0.10100000000000001</v>
      </c>
      <c r="O80">
        <f t="shared" si="34"/>
        <v>-0.10100000000000001</v>
      </c>
      <c r="P80">
        <f t="shared" si="35"/>
        <v>2.3366336633663365</v>
      </c>
      <c r="Q80">
        <f t="shared" si="36"/>
        <v>1.8811881188118811</v>
      </c>
      <c r="R80">
        <f t="shared" si="29"/>
        <v>-1.8084207920792079</v>
      </c>
      <c r="T80">
        <v>-0.10100000000000001</v>
      </c>
      <c r="U80">
        <v>-0.10324999999999999</v>
      </c>
      <c r="V80" s="11">
        <f t="shared" si="37"/>
        <v>0.73939200583845377</v>
      </c>
      <c r="W80">
        <f t="shared" si="38"/>
        <v>-0.25671589570836928</v>
      </c>
      <c r="X80" s="13">
        <f t="shared" si="39"/>
        <v>-0.362301058478111</v>
      </c>
      <c r="Y80" s="13">
        <v>0.137698941521889</v>
      </c>
    </row>
    <row r="81" spans="1:25" x14ac:dyDescent="0.25">
      <c r="A81" s="1">
        <v>1922</v>
      </c>
      <c r="B81" s="1">
        <f t="shared" si="30"/>
        <v>-0.309</v>
      </c>
      <c r="C81" s="1">
        <f t="shared" si="23"/>
        <v>-0.29906475000000005</v>
      </c>
      <c r="D81" s="1">
        <f t="shared" si="24"/>
        <v>-1.5867525075880851E-2</v>
      </c>
      <c r="E81" s="1">
        <f t="shared" si="31"/>
        <v>0.77048676317458009</v>
      </c>
      <c r="F81" s="1">
        <f t="shared" si="32"/>
        <v>9.9352499999999511E-3</v>
      </c>
      <c r="G81" s="9">
        <f t="shared" si="25"/>
        <v>0.77048676317458009</v>
      </c>
      <c r="H81" s="1">
        <f t="shared" si="26"/>
        <v>0.25109338019564198</v>
      </c>
      <c r="I81" s="1">
        <f t="shared" si="33"/>
        <v>1.1215391572634792</v>
      </c>
      <c r="J81" s="3">
        <f t="shared" si="27"/>
        <v>1.1215391572634792</v>
      </c>
      <c r="K81" s="3">
        <f t="shared" si="28"/>
        <v>0.77048676317458009</v>
      </c>
      <c r="L81" s="6">
        <v>-0.309</v>
      </c>
      <c r="M81" s="4">
        <v>-0.32600000000000001</v>
      </c>
      <c r="N81" s="5">
        <v>-0.27800000000000002</v>
      </c>
      <c r="O81">
        <f t="shared" si="34"/>
        <v>-0.27800000000000002</v>
      </c>
      <c r="P81">
        <f t="shared" si="35"/>
        <v>1.1726618705035972</v>
      </c>
      <c r="Q81">
        <f t="shared" si="36"/>
        <v>1.1115107913669064</v>
      </c>
      <c r="R81">
        <f t="shared" si="29"/>
        <v>-1.0997928057553956</v>
      </c>
      <c r="T81">
        <v>-0.27800000000000002</v>
      </c>
      <c r="U81">
        <v>-0.27925</v>
      </c>
      <c r="V81" s="11">
        <f t="shared" si="37"/>
        <v>0.74112288374453783</v>
      </c>
      <c r="W81">
        <f t="shared" si="38"/>
        <v>-0.39352881186947231</v>
      </c>
      <c r="X81" s="13">
        <f t="shared" si="39"/>
        <v>-0.38666402567547498</v>
      </c>
      <c r="Y81" s="13">
        <v>0.113335974324525</v>
      </c>
    </row>
    <row r="82" spans="1:25" x14ac:dyDescent="0.25">
      <c r="A82" s="1">
        <v>1923</v>
      </c>
      <c r="B82" s="1">
        <f t="shared" si="30"/>
        <v>-0.27500000000000002</v>
      </c>
      <c r="C82" s="1">
        <f t="shared" si="23"/>
        <v>-0.28041340000000003</v>
      </c>
      <c r="D82" s="1">
        <f t="shared" si="24"/>
        <v>0</v>
      </c>
      <c r="E82" s="1">
        <f t="shared" si="31"/>
        <v>0.78270425608247285</v>
      </c>
      <c r="F82" s="1">
        <f t="shared" si="32"/>
        <v>5.4134000000000126E-3</v>
      </c>
      <c r="G82" s="9">
        <f t="shared" si="25"/>
        <v>0.78270425608247285</v>
      </c>
      <c r="H82" s="1">
        <f t="shared" si="26"/>
        <v>1.6414078367455898E-2</v>
      </c>
      <c r="I82" s="1">
        <f t="shared" si="33"/>
        <v>0.78270425608247285</v>
      </c>
      <c r="J82" s="3">
        <f t="shared" si="27"/>
        <v>0.78270425608247285</v>
      </c>
      <c r="K82" s="3">
        <f t="shared" si="28"/>
        <v>0.69294844849699844</v>
      </c>
      <c r="L82" s="6">
        <v>-0.27500000000000002</v>
      </c>
      <c r="M82" s="4">
        <v>-0.30599999999999999</v>
      </c>
      <c r="N82" s="5">
        <v>-0.26</v>
      </c>
      <c r="O82">
        <f t="shared" si="34"/>
        <v>-0.26</v>
      </c>
      <c r="P82">
        <f t="shared" si="35"/>
        <v>1.176923076923077</v>
      </c>
      <c r="Q82">
        <f t="shared" si="36"/>
        <v>1.0576923076923077</v>
      </c>
      <c r="R82">
        <f t="shared" si="29"/>
        <v>-0.98911461538461554</v>
      </c>
      <c r="T82">
        <v>-0.26</v>
      </c>
      <c r="U82">
        <v>-0.25858300000000001</v>
      </c>
      <c r="V82" s="11">
        <f t="shared" si="37"/>
        <v>0.7426129961386323</v>
      </c>
      <c r="W82">
        <f t="shared" si="38"/>
        <v>-0.36852415407429551</v>
      </c>
      <c r="X82" s="13">
        <f t="shared" si="39"/>
        <v>-0.37958910533968299</v>
      </c>
      <c r="Y82" s="13">
        <v>0.120410894660317</v>
      </c>
    </row>
    <row r="83" spans="1:25" x14ac:dyDescent="0.25">
      <c r="A83" s="1">
        <v>1924</v>
      </c>
      <c r="B83" s="1">
        <f t="shared" si="30"/>
        <v>-0.3</v>
      </c>
      <c r="C83" s="1">
        <f t="shared" si="23"/>
        <v>-0.29263324999999996</v>
      </c>
      <c r="D83" s="1">
        <f t="shared" si="24"/>
        <v>0</v>
      </c>
      <c r="E83" s="1">
        <f t="shared" si="31"/>
        <v>0.82070588273701217</v>
      </c>
      <c r="F83" s="1">
        <f t="shared" si="32"/>
        <v>7.366750000000033E-3</v>
      </c>
      <c r="G83" s="9">
        <f t="shared" si="25"/>
        <v>0.82070588273701217</v>
      </c>
      <c r="H83" s="1">
        <f t="shared" si="26"/>
        <v>8.7647242625423338E-2</v>
      </c>
      <c r="I83" s="1">
        <f t="shared" si="33"/>
        <v>0.82070588273701217</v>
      </c>
      <c r="J83" s="3">
        <f t="shared" si="27"/>
        <v>0.82070588273701217</v>
      </c>
      <c r="K83" s="3">
        <f t="shared" si="28"/>
        <v>0.61329886998566896</v>
      </c>
      <c r="L83" s="6">
        <v>-0.3</v>
      </c>
      <c r="M83" s="4">
        <v>-0.28399999999999997</v>
      </c>
      <c r="N83" s="5">
        <v>-0.34200000000000003</v>
      </c>
      <c r="O83">
        <f t="shared" si="34"/>
        <v>-0.34200000000000003</v>
      </c>
      <c r="P83">
        <f t="shared" si="35"/>
        <v>0.83040935672514604</v>
      </c>
      <c r="Q83">
        <f t="shared" si="36"/>
        <v>0.8771929824561403</v>
      </c>
      <c r="R83">
        <f t="shared" si="29"/>
        <v>-0.87542280701754382</v>
      </c>
      <c r="T83">
        <v>-0.34200000000000003</v>
      </c>
      <c r="U83">
        <v>-0.34</v>
      </c>
      <c r="V83" s="11">
        <f t="shared" si="37"/>
        <v>0.7438671262934804</v>
      </c>
      <c r="W83">
        <f t="shared" si="38"/>
        <v>-0.37039713462948665</v>
      </c>
      <c r="X83" s="13">
        <f t="shared" si="39"/>
        <v>-0.362682722991159</v>
      </c>
      <c r="Y83" s="13">
        <v>0.137317277008841</v>
      </c>
    </row>
    <row r="84" spans="1:25" x14ac:dyDescent="0.25">
      <c r="A84" s="1">
        <v>1925</v>
      </c>
      <c r="B84" s="1">
        <f t="shared" si="30"/>
        <v>-0.219</v>
      </c>
      <c r="C84" s="1">
        <f t="shared" si="23"/>
        <v>-0.23378502500000001</v>
      </c>
      <c r="D84" s="1">
        <f t="shared" si="24"/>
        <v>1.1550689950473897E-2</v>
      </c>
      <c r="E84" s="7">
        <f t="shared" si="31"/>
        <v>0.58634234578792377</v>
      </c>
      <c r="F84" s="1">
        <f t="shared" si="32"/>
        <v>1.4785025000000007E-2</v>
      </c>
      <c r="G84" s="9">
        <f t="shared" si="25"/>
        <v>0.58634234578792377</v>
      </c>
      <c r="H84" s="1">
        <f t="shared" si="26"/>
        <v>-0.1659621106301461</v>
      </c>
      <c r="I84" s="1" t="e">
        <f t="shared" si="33"/>
        <v>#NUM!</v>
      </c>
      <c r="J84" s="3" t="b">
        <f t="shared" si="27"/>
        <v>0</v>
      </c>
      <c r="K84" s="3">
        <f t="shared" si="28"/>
        <v>0.58634234578792377</v>
      </c>
      <c r="L84" s="6">
        <v>-0.219</v>
      </c>
      <c r="M84" s="4">
        <v>-0.247</v>
      </c>
      <c r="N84" s="5">
        <v>-0.23300000000000001</v>
      </c>
      <c r="O84">
        <f t="shared" si="34"/>
        <v>-0.23300000000000001</v>
      </c>
      <c r="P84">
        <f t="shared" si="35"/>
        <v>1.0600858369098711</v>
      </c>
      <c r="Q84">
        <f t="shared" si="36"/>
        <v>0.93991416309012865</v>
      </c>
      <c r="R84">
        <f t="shared" si="29"/>
        <v>-0.83694506437768235</v>
      </c>
      <c r="T84">
        <v>-0.23300000000000001</v>
      </c>
      <c r="U84">
        <v>-0.22650000000000001</v>
      </c>
      <c r="V84" s="11">
        <f t="shared" si="37"/>
        <v>0.74489045236259699</v>
      </c>
      <c r="W84">
        <f t="shared" si="38"/>
        <v>-0.30336538358147663</v>
      </c>
      <c r="X84" s="13">
        <f t="shared" si="39"/>
        <v>-0.36363192000760802</v>
      </c>
      <c r="Y84" s="13">
        <v>0.13636807999239201</v>
      </c>
    </row>
    <row r="85" spans="1:25" x14ac:dyDescent="0.25">
      <c r="A85" s="1">
        <v>1926</v>
      </c>
      <c r="B85" s="1">
        <f t="shared" si="30"/>
        <v>-0.112</v>
      </c>
      <c r="C85" s="1">
        <f t="shared" si="23"/>
        <v>-0.10579817499999999</v>
      </c>
      <c r="D85" s="1">
        <f t="shared" si="24"/>
        <v>-1.1499999999999996E-2</v>
      </c>
      <c r="E85" s="1">
        <f t="shared" si="31"/>
        <v>1</v>
      </c>
      <c r="F85" s="1">
        <f t="shared" si="32"/>
        <v>6.201825000000008E-3</v>
      </c>
      <c r="G85" s="9">
        <f t="shared" si="25"/>
        <v>1</v>
      </c>
      <c r="H85" s="1">
        <f t="shared" si="26"/>
        <v>0.91014371245824766</v>
      </c>
      <c r="I85" s="1">
        <f t="shared" si="33"/>
        <v>1.7407793868862012</v>
      </c>
      <c r="J85" s="3">
        <f t="shared" si="27"/>
        <v>1.7407793868862012</v>
      </c>
      <c r="K85" s="3">
        <f t="shared" si="28"/>
        <v>1.0724211661781839</v>
      </c>
      <c r="L85" s="6">
        <v>-0.112</v>
      </c>
      <c r="M85" s="4">
        <v>-0.128</v>
      </c>
      <c r="N85" s="5">
        <v>-7.2999999999999995E-2</v>
      </c>
      <c r="O85">
        <f t="shared" si="34"/>
        <v>-7.2999999999999995E-2</v>
      </c>
      <c r="P85">
        <f t="shared" si="35"/>
        <v>1.7534246575342467</v>
      </c>
      <c r="Q85">
        <f t="shared" si="36"/>
        <v>1.5342465753424659</v>
      </c>
      <c r="R85">
        <f t="shared" si="29"/>
        <v>-1.5307739726027398</v>
      </c>
      <c r="T85">
        <v>-7.2999999999999995E-2</v>
      </c>
      <c r="U85">
        <v>-8.69167E-2</v>
      </c>
      <c r="V85" s="11">
        <f t="shared" si="37"/>
        <v>0.74568860325962305</v>
      </c>
      <c r="W85">
        <f t="shared" si="38"/>
        <v>-0.14340894680675914</v>
      </c>
      <c r="X85" s="13">
        <f t="shared" si="39"/>
        <v>-0.33866225393340099</v>
      </c>
      <c r="Y85" s="13">
        <v>0.16133774606659901</v>
      </c>
    </row>
    <row r="86" spans="1:25" x14ac:dyDescent="0.25">
      <c r="A86" s="1">
        <v>1927</v>
      </c>
      <c r="B86" s="1">
        <f t="shared" si="30"/>
        <v>-0.21299999999999999</v>
      </c>
      <c r="C86" s="1">
        <f t="shared" si="23"/>
        <v>-0.201627525</v>
      </c>
      <c r="D86" s="1">
        <f t="shared" si="24"/>
        <v>0</v>
      </c>
      <c r="E86" s="1">
        <f t="shared" si="31"/>
        <v>0.9208693406547358</v>
      </c>
      <c r="F86" s="1">
        <f t="shared" si="32"/>
        <v>1.1372474999999993E-2</v>
      </c>
      <c r="G86" s="9">
        <f t="shared" si="25"/>
        <v>0.9208693406547358</v>
      </c>
      <c r="H86" s="1">
        <f t="shared" si="26"/>
        <v>0.16939281851089771</v>
      </c>
      <c r="I86" s="1">
        <f t="shared" si="33"/>
        <v>0.9208693406547358</v>
      </c>
      <c r="J86" s="3">
        <f t="shared" si="27"/>
        <v>0.9208693406547358</v>
      </c>
      <c r="K86" s="3">
        <f t="shared" si="28"/>
        <v>0.63253139179065099</v>
      </c>
      <c r="L86" s="6">
        <v>-0.21299999999999999</v>
      </c>
      <c r="M86" s="4">
        <v>-0.192</v>
      </c>
      <c r="N86" s="5">
        <v>-0.24299999999999999</v>
      </c>
      <c r="O86">
        <f t="shared" si="34"/>
        <v>-0.24299999999999999</v>
      </c>
      <c r="P86">
        <f t="shared" si="35"/>
        <v>0.79012345679012352</v>
      </c>
      <c r="Q86">
        <f t="shared" si="36"/>
        <v>0.87654320987654322</v>
      </c>
      <c r="R86">
        <f t="shared" si="29"/>
        <v>-0.90287530864197529</v>
      </c>
      <c r="T86">
        <v>-0.24299999999999999</v>
      </c>
      <c r="U86">
        <v>-0.247</v>
      </c>
      <c r="V86" s="11">
        <f t="shared" si="37"/>
        <v>0.74626765120774508</v>
      </c>
      <c r="W86">
        <f t="shared" si="38"/>
        <v>-0.2531918834075384</v>
      </c>
      <c r="X86" s="13">
        <f t="shared" si="39"/>
        <v>-0.36010301065150296</v>
      </c>
      <c r="Y86" s="13">
        <v>0.13989698934849701</v>
      </c>
    </row>
    <row r="87" spans="1:25" x14ac:dyDescent="0.25">
      <c r="A87" s="1">
        <v>1928</v>
      </c>
      <c r="B87" s="1">
        <f t="shared" si="30"/>
        <v>-0.21099999999999999</v>
      </c>
      <c r="C87" s="1">
        <f t="shared" si="23"/>
        <v>-0.19551760000000001</v>
      </c>
      <c r="D87" s="1">
        <f t="shared" si="24"/>
        <v>-2.0227426943388388E-2</v>
      </c>
      <c r="E87" s="1">
        <f t="shared" si="31"/>
        <v>0.94719069637102404</v>
      </c>
      <c r="F87" s="1">
        <f t="shared" si="32"/>
        <v>1.548239999999998E-2</v>
      </c>
      <c r="G87" s="9">
        <f t="shared" si="25"/>
        <v>0.94719069637102404</v>
      </c>
      <c r="H87" s="1">
        <f t="shared" si="26"/>
        <v>0.68369714439999951</v>
      </c>
      <c r="I87" s="1">
        <f t="shared" si="33"/>
        <v>1.5264675699869639</v>
      </c>
      <c r="J87" s="3">
        <f t="shared" si="27"/>
        <v>1.5264675699869639</v>
      </c>
      <c r="K87" s="3">
        <f t="shared" si="28"/>
        <v>0.94719069637102404</v>
      </c>
      <c r="L87" s="6">
        <v>-0.21099999999999999</v>
      </c>
      <c r="M87" s="4">
        <v>-0.224</v>
      </c>
      <c r="N87" s="5">
        <v>-0.16</v>
      </c>
      <c r="O87">
        <f t="shared" si="34"/>
        <v>-0.16</v>
      </c>
      <c r="P87">
        <f t="shared" si="35"/>
        <v>1.4</v>
      </c>
      <c r="Q87">
        <f t="shared" si="36"/>
        <v>1.3187499999999999</v>
      </c>
      <c r="R87">
        <f t="shared" si="29"/>
        <v>-1.3520199999999998</v>
      </c>
      <c r="T87">
        <v>-0.16</v>
      </c>
      <c r="U87">
        <v>-0.16508300000000001</v>
      </c>
      <c r="V87" s="11">
        <f t="shared" si="37"/>
        <v>0.74663399253040552</v>
      </c>
      <c r="W87">
        <f t="shared" si="38"/>
        <v>-0.25992736986446485</v>
      </c>
      <c r="X87" s="13">
        <f t="shared" si="39"/>
        <v>-0.33687051143817304</v>
      </c>
      <c r="Y87" s="13">
        <v>0.16312948856182699</v>
      </c>
    </row>
    <row r="88" spans="1:25" x14ac:dyDescent="0.25">
      <c r="A88" s="1">
        <v>1929</v>
      </c>
      <c r="B88" s="1">
        <f t="shared" si="30"/>
        <v>-0.34899999999999998</v>
      </c>
      <c r="C88" s="1">
        <f t="shared" si="23"/>
        <v>-0.34601470000000001</v>
      </c>
      <c r="D88" s="1">
        <f t="shared" si="24"/>
        <v>0</v>
      </c>
      <c r="E88" s="1">
        <f t="shared" si="31"/>
        <v>0.59919955623466137</v>
      </c>
      <c r="F88" s="1">
        <f t="shared" si="32"/>
        <v>2.9852999999999685E-3</v>
      </c>
      <c r="G88" s="9">
        <f t="shared" si="25"/>
        <v>0.59919955623466137</v>
      </c>
      <c r="H88" s="1">
        <f t="shared" si="26"/>
        <v>1.7751343672156139E-2</v>
      </c>
      <c r="I88" s="1">
        <f t="shared" si="33"/>
        <v>0.59919955623466137</v>
      </c>
      <c r="J88" s="3">
        <f t="shared" si="27"/>
        <v>0.59919955623466137</v>
      </c>
      <c r="K88" s="3">
        <f t="shared" si="28"/>
        <v>0.50585909906704407</v>
      </c>
      <c r="L88" s="6">
        <v>-0.34899999999999998</v>
      </c>
      <c r="M88" s="4">
        <v>-0.29699999999999999</v>
      </c>
      <c r="N88" s="5">
        <v>-0.48199999999999998</v>
      </c>
      <c r="O88">
        <f t="shared" si="34"/>
        <v>-0.48199999999999998</v>
      </c>
      <c r="P88">
        <f t="shared" si="35"/>
        <v>0.61618257261410792</v>
      </c>
      <c r="Q88">
        <f t="shared" si="36"/>
        <v>0.72406639004149376</v>
      </c>
      <c r="R88">
        <f t="shared" si="29"/>
        <v>-0.72206327800829873</v>
      </c>
      <c r="T88">
        <v>-0.48199999999999998</v>
      </c>
      <c r="U88">
        <v>-0.47008299999999997</v>
      </c>
      <c r="V88" s="11">
        <f t="shared" si="37"/>
        <v>0.7467943774536252</v>
      </c>
      <c r="W88">
        <f t="shared" si="38"/>
        <v>-0.42183497157794203</v>
      </c>
      <c r="X88" s="13">
        <f t="shared" si="39"/>
        <v>-0.38741846307038297</v>
      </c>
      <c r="Y88" s="13">
        <v>0.112581536929617</v>
      </c>
    </row>
    <row r="89" spans="1:25" x14ac:dyDescent="0.25">
      <c r="A89" s="1">
        <v>1930</v>
      </c>
      <c r="B89" s="1">
        <f t="shared" si="30"/>
        <v>-0.13800000000000001</v>
      </c>
      <c r="C89" s="1">
        <f t="shared" si="23"/>
        <v>-0.12573582500000002</v>
      </c>
      <c r="D89" s="1">
        <f t="shared" si="24"/>
        <v>-1.3718199945516457E-2</v>
      </c>
      <c r="E89" s="1">
        <f t="shared" si="31"/>
        <v>0.88080425949278407</v>
      </c>
      <c r="F89" s="1">
        <f t="shared" si="32"/>
        <v>1.2264174999999988E-2</v>
      </c>
      <c r="G89" s="9">
        <f t="shared" si="25"/>
        <v>0.88080425949278407</v>
      </c>
      <c r="H89" s="1">
        <f t="shared" si="26"/>
        <v>0.59990761960000027</v>
      </c>
      <c r="I89" s="1">
        <f t="shared" si="33"/>
        <v>1.4234251335674675</v>
      </c>
      <c r="J89" s="3">
        <f t="shared" si="27"/>
        <v>1.4234251335674675</v>
      </c>
      <c r="K89" s="3">
        <f t="shared" si="28"/>
        <v>0.88080425949278407</v>
      </c>
      <c r="L89" s="6">
        <v>-0.13800000000000001</v>
      </c>
      <c r="M89" s="4">
        <v>-0.13800000000000001</v>
      </c>
      <c r="N89" s="5">
        <v>-0.115</v>
      </c>
      <c r="O89">
        <f t="shared" si="34"/>
        <v>-0.115</v>
      </c>
      <c r="P89">
        <f t="shared" si="35"/>
        <v>1.2</v>
      </c>
      <c r="Q89">
        <f t="shared" si="36"/>
        <v>1.2</v>
      </c>
      <c r="R89">
        <f t="shared" si="29"/>
        <v>-1.25726</v>
      </c>
      <c r="T89">
        <v>-0.115</v>
      </c>
      <c r="U89">
        <v>-0.11724999999999999</v>
      </c>
      <c r="V89" s="11">
        <f t="shared" si="37"/>
        <v>0.74675591010600328</v>
      </c>
      <c r="W89">
        <f t="shared" si="38"/>
        <v>-0.164815789599595</v>
      </c>
      <c r="X89" s="13">
        <f t="shared" si="39"/>
        <v>-0.33389391199138596</v>
      </c>
      <c r="Y89" s="13">
        <v>0.16610608800861401</v>
      </c>
    </row>
    <row r="90" spans="1:25" x14ac:dyDescent="0.25">
      <c r="A90" s="1">
        <v>1931</v>
      </c>
      <c r="B90" s="1">
        <f t="shared" si="30"/>
        <v>-8.6999999999999994E-2</v>
      </c>
      <c r="C90" s="1">
        <f t="shared" si="23"/>
        <v>-9.1970450000000009E-2</v>
      </c>
      <c r="D90" s="1">
        <f t="shared" si="24"/>
        <v>3.8242516825203743E-3</v>
      </c>
      <c r="E90" s="7">
        <f t="shared" si="31"/>
        <v>0.58559529452448877</v>
      </c>
      <c r="F90" s="1">
        <f t="shared" si="32"/>
        <v>4.9704500000000151E-3</v>
      </c>
      <c r="G90" s="9">
        <f t="shared" si="25"/>
        <v>0.58559529452448877</v>
      </c>
      <c r="H90" s="1">
        <f t="shared" si="26"/>
        <v>-0.13602598358985962</v>
      </c>
      <c r="I90" s="1" t="e">
        <f t="shared" si="33"/>
        <v>#NUM!</v>
      </c>
      <c r="J90" s="3" t="b">
        <f t="shared" si="27"/>
        <v>0</v>
      </c>
      <c r="K90" s="3">
        <f t="shared" si="28"/>
        <v>0.58559529452448877</v>
      </c>
      <c r="L90" s="6">
        <v>-8.6999999999999994E-2</v>
      </c>
      <c r="M90" s="4">
        <v>-9.6000000000000002E-2</v>
      </c>
      <c r="N90" s="5">
        <v>-9.4E-2</v>
      </c>
      <c r="O90">
        <f t="shared" si="34"/>
        <v>-9.4E-2</v>
      </c>
      <c r="P90">
        <f t="shared" si="35"/>
        <v>1.0212765957446808</v>
      </c>
      <c r="Q90">
        <f t="shared" si="36"/>
        <v>0.92553191489361697</v>
      </c>
      <c r="R90">
        <f t="shared" si="29"/>
        <v>-0.83587872340425529</v>
      </c>
      <c r="T90">
        <v>-9.4E-2</v>
      </c>
      <c r="U90">
        <v>-0.10166699999999999</v>
      </c>
      <c r="V90" s="11">
        <f t="shared" si="37"/>
        <v>0.74652595166116953</v>
      </c>
      <c r="W90">
        <f t="shared" si="38"/>
        <v>-0.11869092496935971</v>
      </c>
      <c r="X90" s="13">
        <f t="shared" si="39"/>
        <v>-0.32313941341074603</v>
      </c>
      <c r="Y90" s="13">
        <v>0.17686058658925399</v>
      </c>
    </row>
    <row r="91" spans="1:25" x14ac:dyDescent="0.25">
      <c r="A91" s="1">
        <v>1932</v>
      </c>
      <c r="B91" s="1">
        <f t="shared" si="30"/>
        <v>-0.13500000000000001</v>
      </c>
      <c r="C91" s="1">
        <f t="shared" si="23"/>
        <v>-0.1312026</v>
      </c>
      <c r="D91" s="1">
        <f t="shared" si="24"/>
        <v>-1.4000000000000012E-2</v>
      </c>
      <c r="E91" s="1">
        <f t="shared" si="31"/>
        <v>1</v>
      </c>
      <c r="F91" s="1">
        <f t="shared" si="32"/>
        <v>3.7974000000000063E-3</v>
      </c>
      <c r="G91" s="9">
        <f t="shared" si="25"/>
        <v>1</v>
      </c>
      <c r="H91" s="1">
        <f t="shared" si="26"/>
        <v>1.1302023194529083</v>
      </c>
      <c r="I91" s="1">
        <f t="shared" si="33"/>
        <v>1.9409907989321582</v>
      </c>
      <c r="J91" s="3">
        <f t="shared" si="27"/>
        <v>1.9409907989321582</v>
      </c>
      <c r="K91" s="3">
        <f t="shared" si="28"/>
        <v>1.1962032550902266</v>
      </c>
      <c r="L91" s="6">
        <v>-0.13500000000000001</v>
      </c>
      <c r="M91" s="4">
        <v>-0.16600000000000001</v>
      </c>
      <c r="N91" s="5">
        <v>-7.5999999999999998E-2</v>
      </c>
      <c r="O91">
        <f t="shared" si="34"/>
        <v>-7.5999999999999998E-2</v>
      </c>
      <c r="P91">
        <f t="shared" si="35"/>
        <v>2.1842105263157898</v>
      </c>
      <c r="Q91">
        <f t="shared" si="36"/>
        <v>1.7763157894736843</v>
      </c>
      <c r="R91">
        <f t="shared" si="29"/>
        <v>-1.7074605263157894</v>
      </c>
      <c r="T91">
        <v>-7.5999999999999998E-2</v>
      </c>
      <c r="U91">
        <v>-8.4416699999999997E-2</v>
      </c>
      <c r="V91" s="11">
        <f t="shared" si="37"/>
        <v>0.74611215759068727</v>
      </c>
      <c r="W91">
        <f t="shared" si="38"/>
        <v>-0.18054752739799831</v>
      </c>
      <c r="X91" s="13">
        <f t="shared" si="39"/>
        <v>-0.32041504838235702</v>
      </c>
      <c r="Y91" s="13">
        <v>0.17958495161764301</v>
      </c>
    </row>
    <row r="92" spans="1:25" x14ac:dyDescent="0.25">
      <c r="A92" s="1">
        <v>1933</v>
      </c>
      <c r="B92" s="1">
        <f t="shared" si="30"/>
        <v>-0.27300000000000002</v>
      </c>
      <c r="C92" s="1">
        <f t="shared" si="23"/>
        <v>-0.26079732500000002</v>
      </c>
      <c r="D92" s="1">
        <f t="shared" si="24"/>
        <v>0</v>
      </c>
      <c r="E92" s="1">
        <f t="shared" si="31"/>
        <v>0.82777685623193553</v>
      </c>
      <c r="F92" s="1">
        <f t="shared" si="32"/>
        <v>1.2202674999999996E-2</v>
      </c>
      <c r="G92" s="9">
        <f t="shared" si="25"/>
        <v>0.82777685623193553</v>
      </c>
      <c r="H92" s="1">
        <f t="shared" si="26"/>
        <v>0.11906951294283818</v>
      </c>
      <c r="I92" s="1">
        <f t="shared" si="33"/>
        <v>0.82777685623193553</v>
      </c>
      <c r="J92" s="3">
        <f t="shared" si="27"/>
        <v>0.82777685623193553</v>
      </c>
      <c r="K92" s="3">
        <f t="shared" si="28"/>
        <v>0.58603347282084739</v>
      </c>
      <c r="L92" s="6">
        <v>-0.27300000000000002</v>
      </c>
      <c r="M92" s="4">
        <v>-0.23799999999999999</v>
      </c>
      <c r="N92" s="5">
        <v>-0.33500000000000002</v>
      </c>
      <c r="O92">
        <f t="shared" si="34"/>
        <v>-0.33500000000000002</v>
      </c>
      <c r="P92">
        <f t="shared" si="35"/>
        <v>0.71044776119402975</v>
      </c>
      <c r="Q92">
        <f t="shared" si="36"/>
        <v>0.81492537313432833</v>
      </c>
      <c r="R92">
        <f t="shared" si="29"/>
        <v>-0.83650417910447761</v>
      </c>
      <c r="T92">
        <v>-0.33500000000000002</v>
      </c>
      <c r="U92">
        <v>-0.32450000000000001</v>
      </c>
      <c r="V92" s="11">
        <f t="shared" si="37"/>
        <v>0.74552237335592508</v>
      </c>
      <c r="W92">
        <f t="shared" si="38"/>
        <v>-0.32375154953870466</v>
      </c>
      <c r="X92" s="13">
        <f t="shared" si="39"/>
        <v>-0.36837399607061699</v>
      </c>
      <c r="Y92" s="13">
        <v>0.13162600392938301</v>
      </c>
    </row>
    <row r="93" spans="1:25" x14ac:dyDescent="0.25">
      <c r="A93" s="1">
        <v>1934</v>
      </c>
      <c r="B93" s="1">
        <f t="shared" si="30"/>
        <v>-0.126</v>
      </c>
      <c r="C93" s="1">
        <f t="shared" si="23"/>
        <v>-0.12444952500000001</v>
      </c>
      <c r="D93" s="1">
        <f t="shared" si="24"/>
        <v>-2.6999999999999996E-2</v>
      </c>
      <c r="E93" s="1">
        <f t="shared" si="31"/>
        <v>1</v>
      </c>
      <c r="F93" s="1">
        <f t="shared" si="32"/>
        <v>1.5504749999999956E-3</v>
      </c>
      <c r="G93" s="9">
        <f t="shared" si="25"/>
        <v>1</v>
      </c>
      <c r="H93" s="1">
        <f t="shared" si="26"/>
        <v>144.78716196000005</v>
      </c>
      <c r="I93" s="1">
        <f t="shared" si="33"/>
        <v>17.345350787976088</v>
      </c>
      <c r="J93" s="3">
        <f t="shared" si="27"/>
        <v>17.345350787976088</v>
      </c>
      <c r="K93" s="3">
        <f t="shared" si="28"/>
        <v>8.9155107187894096</v>
      </c>
      <c r="L93" s="6">
        <v>-0.126</v>
      </c>
      <c r="M93" s="4">
        <v>-0.189</v>
      </c>
      <c r="N93" s="5">
        <v>-8.9999999999999993E-3</v>
      </c>
      <c r="O93">
        <f t="shared" si="34"/>
        <v>-8.9999999999999993E-3</v>
      </c>
      <c r="P93">
        <f t="shared" si="35"/>
        <v>21</v>
      </c>
      <c r="Q93">
        <f t="shared" si="36"/>
        <v>14.000000000000002</v>
      </c>
      <c r="R93">
        <f t="shared" si="29"/>
        <v>-12.726000000000003</v>
      </c>
      <c r="T93">
        <v>-8.9999999999999993E-3</v>
      </c>
      <c r="U93">
        <v>-1.14167E-2</v>
      </c>
      <c r="V93" s="11">
        <f t="shared" si="37"/>
        <v>0.7447647238150239</v>
      </c>
      <c r="W93">
        <f t="shared" si="38"/>
        <v>-0.18369336098930625</v>
      </c>
      <c r="X93" s="13">
        <f t="shared" si="39"/>
        <v>-0.32221763942225301</v>
      </c>
      <c r="Y93" s="13">
        <v>0.17778236057774699</v>
      </c>
    </row>
    <row r="94" spans="1:25" x14ac:dyDescent="0.25">
      <c r="A94" s="1">
        <v>1935</v>
      </c>
      <c r="B94" s="1">
        <f t="shared" si="30"/>
        <v>-0.17599999999999999</v>
      </c>
      <c r="C94" s="1">
        <f t="shared" si="23"/>
        <v>-0.17268577499999999</v>
      </c>
      <c r="D94" s="1">
        <f t="shared" si="24"/>
        <v>-6.3684572331420553E-3</v>
      </c>
      <c r="E94" s="1">
        <f t="shared" si="31"/>
        <v>0.72219327633090258</v>
      </c>
      <c r="F94" s="1">
        <f t="shared" si="32"/>
        <v>3.314225000000004E-3</v>
      </c>
      <c r="G94" s="9">
        <f t="shared" si="25"/>
        <v>0.72219327633090258</v>
      </c>
      <c r="H94" s="1">
        <f t="shared" si="26"/>
        <v>0.15724501637778299</v>
      </c>
      <c r="I94" s="1">
        <f t="shared" si="33"/>
        <v>0.99999999999999956</v>
      </c>
      <c r="J94" s="3">
        <f t="shared" si="27"/>
        <v>0.99999999999999956</v>
      </c>
      <c r="K94" s="3">
        <f t="shared" si="28"/>
        <v>0.72219327633090258</v>
      </c>
      <c r="L94" s="6">
        <v>-0.17599999999999999</v>
      </c>
      <c r="M94" s="4">
        <v>-0.185</v>
      </c>
      <c r="N94" s="5">
        <v>-0.16700000000000001</v>
      </c>
      <c r="O94">
        <f t="shared" si="34"/>
        <v>-0.16700000000000001</v>
      </c>
      <c r="P94">
        <f t="shared" si="35"/>
        <v>1.1077844311377245</v>
      </c>
      <c r="Q94">
        <f t="shared" si="36"/>
        <v>1.0538922155688621</v>
      </c>
      <c r="R94">
        <f t="shared" si="29"/>
        <v>-1.0308586826347304</v>
      </c>
      <c r="T94">
        <v>-0.16700000000000001</v>
      </c>
      <c r="U94">
        <v>-0.16383300000000001</v>
      </c>
      <c r="V94" s="11">
        <f t="shared" si="37"/>
        <v>0.74384744185954332</v>
      </c>
      <c r="W94">
        <f t="shared" si="38"/>
        <v>-0.22531422284111258</v>
      </c>
      <c r="X94" s="13">
        <f t="shared" si="39"/>
        <v>-0.33512976250100801</v>
      </c>
      <c r="Y94" s="13">
        <v>0.16487023749899199</v>
      </c>
    </row>
    <row r="95" spans="1:25" x14ac:dyDescent="0.25">
      <c r="A95" s="1">
        <v>1936</v>
      </c>
      <c r="B95" s="1">
        <f t="shared" si="30"/>
        <v>-0.14299999999999999</v>
      </c>
      <c r="C95" s="1">
        <f t="shared" si="23"/>
        <v>-0.13313205</v>
      </c>
      <c r="D95" s="1">
        <f t="shared" si="24"/>
        <v>-1.2899298107575841E-2</v>
      </c>
      <c r="E95" s="1">
        <f t="shared" si="31"/>
        <v>0.91428533897796183</v>
      </c>
      <c r="F95" s="1">
        <f t="shared" si="32"/>
        <v>9.8679499999999865E-3</v>
      </c>
      <c r="G95" s="9">
        <f t="shared" si="25"/>
        <v>0.91428533897796183</v>
      </c>
      <c r="H95" s="1">
        <f t="shared" si="26"/>
        <v>0.60122287544722552</v>
      </c>
      <c r="I95" s="1">
        <f t="shared" si="33"/>
        <v>1.457500716694546</v>
      </c>
      <c r="J95" s="3">
        <f t="shared" si="27"/>
        <v>1.457500716694546</v>
      </c>
      <c r="K95" s="3">
        <f t="shared" si="28"/>
        <v>0.91428533897796183</v>
      </c>
      <c r="L95" s="6">
        <v>-0.14299999999999999</v>
      </c>
      <c r="M95" s="4">
        <v>-0.151</v>
      </c>
      <c r="N95" s="5">
        <v>-0.112</v>
      </c>
      <c r="O95">
        <f t="shared" si="34"/>
        <v>-0.112</v>
      </c>
      <c r="P95">
        <f t="shared" si="35"/>
        <v>1.3482142857142856</v>
      </c>
      <c r="Q95">
        <f t="shared" si="36"/>
        <v>1.2767857142857142</v>
      </c>
      <c r="R95">
        <f t="shared" si="29"/>
        <v>-1.3050508928571427</v>
      </c>
      <c r="T95">
        <v>-0.112</v>
      </c>
      <c r="U95">
        <v>-0.110167</v>
      </c>
      <c r="V95" s="11">
        <f t="shared" si="37"/>
        <v>0.74277898017317057</v>
      </c>
      <c r="W95">
        <f t="shared" si="38"/>
        <v>-0.17715411606823195</v>
      </c>
      <c r="X95" s="13">
        <f t="shared" si="39"/>
        <v>-0.33106488135991796</v>
      </c>
      <c r="Y95" s="13">
        <v>0.16893511864008201</v>
      </c>
    </row>
    <row r="96" spans="1:25" x14ac:dyDescent="0.25">
      <c r="A96" s="1">
        <v>1937</v>
      </c>
      <c r="B96" s="1">
        <f t="shared" si="30"/>
        <v>-2.5000000000000001E-2</v>
      </c>
      <c r="C96" s="1">
        <f t="shared" si="23"/>
        <v>-1.8008199999999999E-2</v>
      </c>
      <c r="D96" s="1">
        <f t="shared" si="24"/>
        <v>-6.0370950140378569E-3</v>
      </c>
      <c r="E96" s="1">
        <f t="shared" si="31"/>
        <v>0.60281299086303408</v>
      </c>
      <c r="F96" s="1">
        <f t="shared" si="32"/>
        <v>6.9918000000000029E-3</v>
      </c>
      <c r="G96" s="9">
        <f t="shared" si="25"/>
        <v>0.60281299086303408</v>
      </c>
      <c r="H96" s="1">
        <f t="shared" si="26"/>
        <v>0.54680528200138512</v>
      </c>
      <c r="I96" s="1">
        <f t="shared" si="33"/>
        <v>1.1208617742555587</v>
      </c>
      <c r="J96" s="3">
        <f t="shared" si="27"/>
        <v>1.1208617742555587</v>
      </c>
      <c r="K96" s="3">
        <f t="shared" si="28"/>
        <v>0.60281299086303408</v>
      </c>
      <c r="L96" s="6">
        <v>-2.5000000000000001E-2</v>
      </c>
      <c r="M96" s="4">
        <v>-8.9999999999999993E-3</v>
      </c>
      <c r="N96" s="5">
        <v>-3.7999999999999999E-2</v>
      </c>
      <c r="O96">
        <f t="shared" si="34"/>
        <v>-3.7999999999999999E-2</v>
      </c>
      <c r="P96">
        <f t="shared" si="35"/>
        <v>0.23684210526315788</v>
      </c>
      <c r="Q96">
        <f t="shared" si="36"/>
        <v>0.65789473684210531</v>
      </c>
      <c r="R96">
        <f t="shared" si="29"/>
        <v>-0.86045526315789478</v>
      </c>
      <c r="T96">
        <v>-3.7999999999999999E-2</v>
      </c>
      <c r="U96">
        <v>-4.1666700000000001E-2</v>
      </c>
      <c r="V96" s="11">
        <f t="shared" si="37"/>
        <v>0.74156786222010851</v>
      </c>
      <c r="W96">
        <f t="shared" si="38"/>
        <v>-1.9541183131714879E-2</v>
      </c>
      <c r="X96" s="13">
        <f t="shared" si="39"/>
        <v>-0.30874775540356403</v>
      </c>
      <c r="Y96" s="13">
        <v>0.191252244596436</v>
      </c>
    </row>
    <row r="97" spans="1:25" x14ac:dyDescent="0.25">
      <c r="A97" s="1">
        <v>1938</v>
      </c>
      <c r="B97" s="1">
        <f t="shared" si="30"/>
        <v>-5.0000000000000001E-3</v>
      </c>
      <c r="C97" s="1">
        <f t="shared" si="23"/>
        <v>-1.6078749999999947E-3</v>
      </c>
      <c r="D97" s="1">
        <f t="shared" si="24"/>
        <v>-9.540979117872439E-18</v>
      </c>
      <c r="E97" s="1">
        <f t="shared" si="31"/>
        <v>0.46971651572578355</v>
      </c>
      <c r="F97" s="1">
        <f t="shared" si="32"/>
        <v>3.3921250000000054E-3</v>
      </c>
      <c r="G97" s="9">
        <f t="shared" si="25"/>
        <v>0.46971651572578355</v>
      </c>
      <c r="H97" s="1">
        <f t="shared" si="26"/>
        <v>0.42135607637742473</v>
      </c>
      <c r="I97" s="1">
        <f t="shared" si="33"/>
        <v>0.46971651572578355</v>
      </c>
      <c r="J97" s="3">
        <f t="shared" si="27"/>
        <v>0.46971651572578355</v>
      </c>
      <c r="K97" s="3">
        <f t="shared" si="28"/>
        <v>1.4959991744128383E-2</v>
      </c>
      <c r="L97" s="6">
        <v>-5.0000000000000001E-3</v>
      </c>
      <c r="M97" s="4">
        <v>-8.5999999999999993E-2</v>
      </c>
      <c r="N97" s="5">
        <v>0.16700000000000001</v>
      </c>
      <c r="O97">
        <f t="shared" si="34"/>
        <v>0.16700000000000001</v>
      </c>
      <c r="P97">
        <f t="shared" si="35"/>
        <v>-0.51497005988023947</v>
      </c>
      <c r="Q97">
        <f t="shared" si="36"/>
        <v>-2.9940119760479042E-2</v>
      </c>
      <c r="R97">
        <f t="shared" si="29"/>
        <v>-2.1353892215568854E-2</v>
      </c>
      <c r="T97">
        <v>0.16700000000000001</v>
      </c>
      <c r="U97">
        <v>0.16</v>
      </c>
      <c r="V97" s="11">
        <f t="shared" si="37"/>
        <v>0.74022275302559137</v>
      </c>
      <c r="W97">
        <f t="shared" si="38"/>
        <v>-3.5106453569344269E-2</v>
      </c>
      <c r="X97" s="13">
        <f t="shared" si="39"/>
        <v>-0.277537826971608</v>
      </c>
      <c r="Y97" s="13">
        <v>0.222462173028392</v>
      </c>
    </row>
    <row r="98" spans="1:25" x14ac:dyDescent="0.25">
      <c r="A98" s="1">
        <v>1939</v>
      </c>
      <c r="B98" s="1">
        <f t="shared" si="30"/>
        <v>-5.5E-2</v>
      </c>
      <c r="C98" s="1">
        <f t="shared" si="23"/>
        <v>-5.2416725000000004E-2</v>
      </c>
      <c r="D98" s="1">
        <f t="shared" si="24"/>
        <v>-1.2999999999999998E-2</v>
      </c>
      <c r="E98" s="1">
        <f t="shared" si="31"/>
        <v>1</v>
      </c>
      <c r="F98" s="1">
        <f t="shared" si="32"/>
        <v>2.583274999999996E-3</v>
      </c>
      <c r="G98" s="9">
        <f t="shared" si="25"/>
        <v>1</v>
      </c>
      <c r="H98" s="1">
        <f t="shared" si="26"/>
        <v>96.022176825599985</v>
      </c>
      <c r="I98" s="1">
        <f t="shared" si="33"/>
        <v>14.177056614946176</v>
      </c>
      <c r="J98" s="3">
        <f t="shared" si="27"/>
        <v>14.177056614946176</v>
      </c>
      <c r="K98" s="3">
        <f t="shared" si="28"/>
        <v>7.3120638923917607</v>
      </c>
      <c r="L98" s="6">
        <v>-5.5E-2</v>
      </c>
      <c r="M98" s="4">
        <v>-7.9000000000000001E-2</v>
      </c>
      <c r="N98" s="5">
        <v>-5.0000000000000001E-3</v>
      </c>
      <c r="O98">
        <f t="shared" si="34"/>
        <v>-5.0000000000000001E-3</v>
      </c>
      <c r="P98">
        <f t="shared" si="35"/>
        <v>15.8</v>
      </c>
      <c r="Q98">
        <f t="shared" si="36"/>
        <v>11</v>
      </c>
      <c r="R98">
        <f t="shared" si="29"/>
        <v>-10.437239999999999</v>
      </c>
      <c r="T98">
        <v>-5.0000000000000001E-3</v>
      </c>
      <c r="U98">
        <v>1.9166700000000001E-3</v>
      </c>
      <c r="V98" s="11">
        <f t="shared" si="37"/>
        <v>0.73875237349420786</v>
      </c>
      <c r="W98">
        <f t="shared" si="38"/>
        <v>-7.7752473066142122E-2</v>
      </c>
      <c r="X98" s="13">
        <f t="shared" si="39"/>
        <v>-0.28907925762875497</v>
      </c>
      <c r="Y98" s="13">
        <v>0.210920742371245</v>
      </c>
    </row>
    <row r="99" spans="1:25" x14ac:dyDescent="0.25">
      <c r="A99" s="1">
        <v>1940</v>
      </c>
      <c r="B99" s="1">
        <f t="shared" si="30"/>
        <v>1.7999999999999999E-2</v>
      </c>
      <c r="C99" s="1">
        <f t="shared" si="23"/>
        <v>-3.5373249999999992E-3</v>
      </c>
      <c r="D99" s="1">
        <f t="shared" si="24"/>
        <v>0</v>
      </c>
      <c r="E99" s="1">
        <f t="shared" si="31"/>
        <v>0.11346003802131792</v>
      </c>
      <c r="F99" s="1">
        <f t="shared" si="32"/>
        <v>2.1537324999999996E-2</v>
      </c>
      <c r="G99" s="9">
        <f t="shared" si="25"/>
        <v>0.11346003802131792</v>
      </c>
      <c r="H99" s="1">
        <f t="shared" si="26"/>
        <v>1.0401947247214711</v>
      </c>
      <c r="I99" s="1">
        <f t="shared" si="33"/>
        <v>0.11346003802131792</v>
      </c>
      <c r="J99" s="3">
        <f t="shared" si="27"/>
        <v>0.11346003802131792</v>
      </c>
      <c r="K99" s="3">
        <f t="shared" si="28"/>
        <v>-0.60105542358687614</v>
      </c>
      <c r="L99" s="6">
        <v>1.7999999999999999E-2</v>
      </c>
      <c r="M99" s="4">
        <v>1.6E-2</v>
      </c>
      <c r="N99" s="5">
        <v>-4.2999999999999997E-2</v>
      </c>
      <c r="O99">
        <f t="shared" si="34"/>
        <v>-4.2999999999999997E-2</v>
      </c>
      <c r="P99">
        <f t="shared" si="35"/>
        <v>-0.372093023255814</v>
      </c>
      <c r="Q99">
        <f t="shared" si="36"/>
        <v>-0.41860465116279072</v>
      </c>
      <c r="R99">
        <f t="shared" si="29"/>
        <v>0.85794651162790703</v>
      </c>
      <c r="T99">
        <v>-4.2999999999999997E-2</v>
      </c>
      <c r="U99">
        <v>-4.55833E-2</v>
      </c>
      <c r="V99" s="11">
        <f t="shared" si="37"/>
        <v>0.73716547060757875</v>
      </c>
      <c r="W99">
        <f t="shared" si="38"/>
        <v>3.1797875800736956E-3</v>
      </c>
      <c r="X99" s="13">
        <f t="shared" si="39"/>
        <v>-0.28557064335307403</v>
      </c>
      <c r="Y99" s="13">
        <v>0.214429356646926</v>
      </c>
    </row>
    <row r="100" spans="1:25" x14ac:dyDescent="0.25">
      <c r="A100" s="1">
        <v>1941</v>
      </c>
      <c r="B100" s="1">
        <f t="shared" si="30"/>
        <v>1.7999999999999999E-2</v>
      </c>
      <c r="C100" s="1">
        <f t="shared" si="23"/>
        <v>2.4439699999999998E-2</v>
      </c>
      <c r="D100" s="1">
        <f t="shared" si="24"/>
        <v>0</v>
      </c>
      <c r="E100" s="1">
        <f t="shared" si="31"/>
        <v>0.63990412595244328</v>
      </c>
      <c r="F100" s="1">
        <f t="shared" si="32"/>
        <v>6.4396999999999996E-3</v>
      </c>
      <c r="G100" s="9">
        <f t="shared" si="25"/>
        <v>0.63990412595244328</v>
      </c>
      <c r="H100" s="1">
        <f t="shared" si="26"/>
        <v>1.0412919758439998</v>
      </c>
      <c r="I100" s="1">
        <f t="shared" si="33"/>
        <v>0.63990412595244328</v>
      </c>
      <c r="J100" s="3">
        <f t="shared" si="27"/>
        <v>0.63990412595244328</v>
      </c>
      <c r="K100" s="3">
        <f t="shared" si="28"/>
        <v>-7.4988090233991778E-2</v>
      </c>
      <c r="L100" s="6">
        <v>1.7999999999999999E-2</v>
      </c>
      <c r="M100" s="4">
        <v>6.3E-2</v>
      </c>
      <c r="N100" s="5">
        <v>-0.05</v>
      </c>
      <c r="O100">
        <f t="shared" si="34"/>
        <v>-0.05</v>
      </c>
      <c r="P100">
        <f t="shared" si="35"/>
        <v>-1.26</v>
      </c>
      <c r="Q100">
        <f t="shared" si="36"/>
        <v>-0.35999999999999993</v>
      </c>
      <c r="R100">
        <f t="shared" si="29"/>
        <v>0.10703799999999986</v>
      </c>
      <c r="T100">
        <v>-0.05</v>
      </c>
      <c r="U100">
        <v>-5.4416699999999998E-2</v>
      </c>
      <c r="V100" s="11">
        <f t="shared" si="37"/>
        <v>0.73547085467725992</v>
      </c>
      <c r="W100">
        <f t="shared" si="38"/>
        <v>4.682012141787148E-2</v>
      </c>
      <c r="X100" s="13">
        <f t="shared" si="39"/>
        <v>-0.290868642848229</v>
      </c>
      <c r="Y100" s="13">
        <v>0.209131357151771</v>
      </c>
    </row>
    <row r="101" spans="1:25" x14ac:dyDescent="0.25">
      <c r="A101" s="1">
        <v>1942</v>
      </c>
      <c r="B101" s="1">
        <f t="shared" si="30"/>
        <v>-2.3E-2</v>
      </c>
      <c r="C101" s="1">
        <f t="shared" si="23"/>
        <v>-5.7883499999999994E-3</v>
      </c>
      <c r="D101" s="1">
        <f t="shared" si="24"/>
        <v>-1.3778453333333333E-2</v>
      </c>
      <c r="E101" s="1">
        <f t="shared" si="31"/>
        <v>0.65217391304347827</v>
      </c>
      <c r="F101" s="1">
        <f t="shared" si="32"/>
        <v>1.7211650000000002E-2</v>
      </c>
      <c r="G101" s="9">
        <f t="shared" si="25"/>
        <v>0.65217391304347827</v>
      </c>
      <c r="H101" s="1">
        <f t="shared" si="26"/>
        <v>1.1153514719092628</v>
      </c>
      <c r="I101" s="1">
        <f t="shared" si="33"/>
        <v>1.3920520255252342</v>
      </c>
      <c r="J101" s="3">
        <f t="shared" si="27"/>
        <v>1.3920520255252342</v>
      </c>
      <c r="K101" s="3">
        <f t="shared" si="28"/>
        <v>0.65217391304347827</v>
      </c>
      <c r="L101" s="6">
        <v>-2.3E-2</v>
      </c>
      <c r="M101" s="4">
        <v>1.4E-2</v>
      </c>
      <c r="N101" s="5">
        <v>-4.5999999999999999E-2</v>
      </c>
      <c r="O101">
        <f t="shared" si="34"/>
        <v>-4.5999999999999999E-2</v>
      </c>
      <c r="P101">
        <f t="shared" si="35"/>
        <v>-0.30434782608695654</v>
      </c>
      <c r="Q101">
        <f t="shared" si="36"/>
        <v>0.5</v>
      </c>
      <c r="R101">
        <f t="shared" si="29"/>
        <v>-0.93091304347826087</v>
      </c>
      <c r="T101">
        <v>-4.5999999999999999E-2</v>
      </c>
      <c r="U101">
        <v>-4.84167E-2</v>
      </c>
      <c r="V101" s="11">
        <f t="shared" si="37"/>
        <v>0.73367728013545275</v>
      </c>
      <c r="W101">
        <f t="shared" si="38"/>
        <v>4.4899435350008107E-4</v>
      </c>
      <c r="X101" s="13">
        <f t="shared" si="39"/>
        <v>-0.28677343872864602</v>
      </c>
      <c r="Y101" s="13">
        <v>0.213226561271354</v>
      </c>
    </row>
    <row r="102" spans="1:25" x14ac:dyDescent="0.25">
      <c r="A102" s="1">
        <v>1943</v>
      </c>
      <c r="B102" s="1">
        <f t="shared" si="30"/>
        <v>-3.0000000000000001E-3</v>
      </c>
      <c r="C102" s="1">
        <f t="shared" si="23"/>
        <v>1.9294500000000001E-3</v>
      </c>
      <c r="D102" s="1">
        <f t="shared" si="24"/>
        <v>0</v>
      </c>
      <c r="E102" s="1">
        <f t="shared" si="31"/>
        <v>0.10484106207708634</v>
      </c>
      <c r="F102" s="1">
        <f t="shared" si="32"/>
        <v>4.9294500000000002E-3</v>
      </c>
      <c r="G102" s="9">
        <f t="shared" si="25"/>
        <v>0.10484106207708634</v>
      </c>
      <c r="H102" s="1">
        <f t="shared" si="26"/>
        <v>0.57384432562499987</v>
      </c>
      <c r="I102" s="1">
        <f t="shared" si="33"/>
        <v>0.10484106207708634</v>
      </c>
      <c r="J102" s="3">
        <f t="shared" si="27"/>
        <v>0.10484106207708634</v>
      </c>
      <c r="K102" s="3">
        <f t="shared" si="28"/>
        <v>-0.42586170659941147</v>
      </c>
      <c r="L102" s="6">
        <v>-3.0000000000000001E-3</v>
      </c>
      <c r="M102" s="4">
        <v>-3.0000000000000001E-3</v>
      </c>
      <c r="N102" s="5">
        <v>1.2E-2</v>
      </c>
      <c r="O102">
        <f t="shared" si="34"/>
        <v>1.2E-2</v>
      </c>
      <c r="P102">
        <f t="shared" si="35"/>
        <v>-0.25</v>
      </c>
      <c r="Q102">
        <f t="shared" si="36"/>
        <v>-0.25</v>
      </c>
      <c r="R102">
        <f t="shared" si="29"/>
        <v>0.60787499999999994</v>
      </c>
      <c r="T102">
        <v>1.2E-2</v>
      </c>
      <c r="U102">
        <v>1.6750000000000001E-2</v>
      </c>
      <c r="V102" s="11">
        <f t="shared" si="37"/>
        <v>0.73179346788674593</v>
      </c>
      <c r="W102">
        <f t="shared" si="38"/>
        <v>5.0977448507293641E-4</v>
      </c>
      <c r="X102" s="13">
        <f t="shared" si="39"/>
        <v>-0.27260411364773901</v>
      </c>
      <c r="Y102" s="13">
        <v>0.22739588635226099</v>
      </c>
    </row>
    <row r="103" spans="1:25" x14ac:dyDescent="0.25">
      <c r="A103" s="1">
        <v>1944</v>
      </c>
      <c r="B103" s="1">
        <f t="shared" si="30"/>
        <v>0.15</v>
      </c>
      <c r="C103" s="1">
        <f t="shared" si="23"/>
        <v>0.132167325</v>
      </c>
      <c r="D103" s="1">
        <f t="shared" si="24"/>
        <v>1.8648793114382778E-2</v>
      </c>
      <c r="E103" s="1">
        <f t="shared" si="31"/>
        <v>0.96756519833442911</v>
      </c>
      <c r="F103" s="1">
        <f t="shared" si="32"/>
        <v>1.7832674999999992E-2</v>
      </c>
      <c r="G103" s="9">
        <f t="shared" si="25"/>
        <v>0.96756519833442911</v>
      </c>
      <c r="H103" s="1">
        <f t="shared" si="26"/>
        <v>0.88054345257067723</v>
      </c>
      <c r="I103" s="1">
        <f t="shared" si="33"/>
        <v>1.6249652042550897</v>
      </c>
      <c r="J103" s="3">
        <f t="shared" si="27"/>
        <v>1.6249652042550897</v>
      </c>
      <c r="K103" s="3">
        <f t="shared" si="28"/>
        <v>0.96756519833442911</v>
      </c>
      <c r="L103" s="6">
        <v>0.15</v>
      </c>
      <c r="M103" s="4">
        <v>0.14699999999999999</v>
      </c>
      <c r="N103" s="5">
        <v>0.11700000000000001</v>
      </c>
      <c r="O103">
        <f t="shared" si="34"/>
        <v>0.11700000000000001</v>
      </c>
      <c r="P103">
        <f t="shared" si="35"/>
        <v>1.2564102564102562</v>
      </c>
      <c r="Q103">
        <f t="shared" si="36"/>
        <v>1.2820512820512819</v>
      </c>
      <c r="R103">
        <f t="shared" si="29"/>
        <v>-1.381102564102564</v>
      </c>
      <c r="T103">
        <v>0.11700000000000001</v>
      </c>
      <c r="U103">
        <v>0.111417</v>
      </c>
      <c r="V103" s="11">
        <f t="shared" si="37"/>
        <v>0.72982809785753489</v>
      </c>
      <c r="W103">
        <f t="shared" si="38"/>
        <v>0.17724862218444673</v>
      </c>
      <c r="X103" s="13">
        <f t="shared" si="39"/>
        <v>-0.25629011927150203</v>
      </c>
      <c r="Y103" s="13">
        <v>0.243709880728498</v>
      </c>
    </row>
    <row r="104" spans="1:25" x14ac:dyDescent="0.25">
      <c r="A104" s="1">
        <v>1945</v>
      </c>
      <c r="B104" s="1">
        <f t="shared" si="30"/>
        <v>3.3000000000000002E-2</v>
      </c>
      <c r="C104" s="1">
        <f t="shared" si="23"/>
        <v>4.7593100000000013E-2</v>
      </c>
      <c r="D104" s="1">
        <f t="shared" si="24"/>
        <v>0</v>
      </c>
      <c r="E104" s="1">
        <f t="shared" si="31"/>
        <v>0.64230038476391182</v>
      </c>
      <c r="F104" s="1">
        <f t="shared" si="32"/>
        <v>1.4593100000000012E-2</v>
      </c>
      <c r="G104" s="9">
        <f t="shared" si="25"/>
        <v>0.64230038476391182</v>
      </c>
      <c r="H104" s="1">
        <f t="shared" si="26"/>
        <v>0.91423156022499996</v>
      </c>
      <c r="I104" s="1">
        <f t="shared" si="33"/>
        <v>0.64230038476391182</v>
      </c>
      <c r="J104" s="3">
        <f t="shared" si="27"/>
        <v>0.64230038476391182</v>
      </c>
      <c r="K104" s="3">
        <f t="shared" si="28"/>
        <v>-2.7557096819391908E-2</v>
      </c>
      <c r="L104" s="6">
        <v>3.3000000000000002E-2</v>
      </c>
      <c r="M104" s="4">
        <v>0.13400000000000001</v>
      </c>
      <c r="N104" s="5">
        <v>-0.12</v>
      </c>
      <c r="O104">
        <f t="shared" si="34"/>
        <v>-0.12</v>
      </c>
      <c r="P104">
        <f t="shared" si="35"/>
        <v>-1.1166666666666667</v>
      </c>
      <c r="Q104">
        <f t="shared" si="36"/>
        <v>-0.27500000000000002</v>
      </c>
      <c r="R104">
        <f t="shared" si="29"/>
        <v>3.9335000000000009E-2</v>
      </c>
      <c r="T104">
        <v>-0.12</v>
      </c>
      <c r="U104">
        <v>-0.11700000000000001</v>
      </c>
      <c r="V104" s="11">
        <f t="shared" si="37"/>
        <v>0.72778974194079638</v>
      </c>
      <c r="W104">
        <f t="shared" si="38"/>
        <v>9.7049809245082358E-2</v>
      </c>
      <c r="X104" s="13">
        <f t="shared" si="39"/>
        <v>-0.29043820532974196</v>
      </c>
      <c r="Y104" s="13">
        <v>0.20956179467025801</v>
      </c>
    </row>
    <row r="105" spans="1:25" x14ac:dyDescent="0.25">
      <c r="A105" s="1">
        <v>1946</v>
      </c>
      <c r="B105" s="1">
        <f t="shared" si="30"/>
        <v>-6.8000000000000005E-2</v>
      </c>
      <c r="C105" s="1">
        <f t="shared" si="23"/>
        <v>-3.5694824999999999E-2</v>
      </c>
      <c r="D105" s="1">
        <f t="shared" si="24"/>
        <v>-2.282865124639076E-2</v>
      </c>
      <c r="E105" s="1">
        <f t="shared" si="31"/>
        <v>0.92641420510272987</v>
      </c>
      <c r="F105" s="1">
        <f t="shared" si="32"/>
        <v>3.2305175000000005E-2</v>
      </c>
      <c r="G105" s="9">
        <f t="shared" si="25"/>
        <v>0.92641420510272987</v>
      </c>
      <c r="H105" s="1">
        <f t="shared" si="26"/>
        <v>1.5681962740495874</v>
      </c>
      <c r="I105" s="1">
        <f t="shared" si="33"/>
        <v>1.8037271074105039</v>
      </c>
      <c r="J105" s="3">
        <f t="shared" si="27"/>
        <v>1.8037271074105039</v>
      </c>
      <c r="K105" s="3">
        <f t="shared" si="28"/>
        <v>0.92641420510272987</v>
      </c>
      <c r="L105" s="6">
        <v>-6.8000000000000005E-2</v>
      </c>
      <c r="M105" s="4">
        <v>-1.7000000000000001E-2</v>
      </c>
      <c r="N105" s="5">
        <v>-7.6999999999999999E-2</v>
      </c>
      <c r="O105">
        <f t="shared" si="34"/>
        <v>-7.6999999999999999E-2</v>
      </c>
      <c r="P105">
        <f t="shared" si="35"/>
        <v>0.2207792207792208</v>
      </c>
      <c r="Q105">
        <f t="shared" si="36"/>
        <v>0.88311688311688319</v>
      </c>
      <c r="R105">
        <f t="shared" si="29"/>
        <v>-1.3223636363636366</v>
      </c>
      <c r="T105">
        <v>-7.6999999999999999E-2</v>
      </c>
      <c r="U105">
        <v>-7.2583300000000003E-2</v>
      </c>
      <c r="V105" s="11">
        <f t="shared" si="37"/>
        <v>0.72568684164434671</v>
      </c>
      <c r="W105">
        <f t="shared" si="38"/>
        <v>-3.8764295255777056E-2</v>
      </c>
      <c r="X105" s="13">
        <f t="shared" si="39"/>
        <v>-0.27877164456166703</v>
      </c>
      <c r="Y105" s="13">
        <v>0.221228355438333</v>
      </c>
    </row>
    <row r="106" spans="1:25" x14ac:dyDescent="0.25">
      <c r="A106" s="1">
        <v>1947</v>
      </c>
      <c r="B106" s="1">
        <f t="shared" si="30"/>
        <v>-3.7999999999999999E-2</v>
      </c>
      <c r="C106" s="1">
        <f t="shared" ref="C106:C137" si="40">1/2*($O106*($C$1*$G$2+$G$1 )+$M106*($G$2+$G$1/$C$1))</f>
        <v>-3.6659550000000006E-2</v>
      </c>
      <c r="D106" s="1">
        <f t="shared" ref="D106:D137" si="41">$B106 - (1/2*($O106*($E106*$G$2+$G$1 )+$M106*($G$2+$G$1/$E106)))</f>
        <v>-8.9999999999999976E-3</v>
      </c>
      <c r="E106" s="1">
        <f t="shared" si="31"/>
        <v>1</v>
      </c>
      <c r="F106" s="1">
        <f t="shared" si="32"/>
        <v>1.340449999999993E-3</v>
      </c>
      <c r="G106" s="9">
        <f t="shared" si="25"/>
        <v>1</v>
      </c>
      <c r="H106" s="1">
        <f t="shared" ref="H106:H137" si="42">+$R106*$R106-4*$G$1*$G$2*$P106</f>
        <v>291.47122729</v>
      </c>
      <c r="I106" s="1">
        <f t="shared" si="33"/>
        <v>24.381833010153809</v>
      </c>
      <c r="J106" s="3">
        <f t="shared" ref="J106:J137" si="43">+IF($R106*$R106-4*$G$1*$G$2*$P106 &gt; 0,(-$R106+SQRT($R106*$R106-4*$G$1*$G$2*$P106))/2/$G$2)</f>
        <v>24.381833010153809</v>
      </c>
      <c r="K106" s="3">
        <f t="shared" ref="K106:K137" si="44">-$R106/2/$G$2</f>
        <v>12.421255429452151</v>
      </c>
      <c r="L106" s="6">
        <v>-3.7999999999999999E-2</v>
      </c>
      <c r="M106" s="4">
        <v>-5.6000000000000001E-2</v>
      </c>
      <c r="N106" s="5">
        <v>-2E-3</v>
      </c>
      <c r="O106">
        <f t="shared" si="34"/>
        <v>-2E-3</v>
      </c>
      <c r="P106">
        <f t="shared" si="35"/>
        <v>28</v>
      </c>
      <c r="Q106">
        <f t="shared" si="36"/>
        <v>19</v>
      </c>
      <c r="R106">
        <f t="shared" ref="R106:R137" si="45">+$G$1+$P106*$G$2-2*$Q106</f>
        <v>-17.7301</v>
      </c>
      <c r="T106">
        <v>-2E-3</v>
      </c>
      <c r="U106">
        <v>-1.175E-2</v>
      </c>
      <c r="V106" s="11">
        <f t="shared" si="37"/>
        <v>0.72352771554142237</v>
      </c>
      <c r="W106">
        <f t="shared" si="38"/>
        <v>-5.5811949013869058E-2</v>
      </c>
      <c r="X106" s="13">
        <f t="shared" si="39"/>
        <v>-0.25626860749149999</v>
      </c>
      <c r="Y106" s="13">
        <v>0.24373139250850001</v>
      </c>
    </row>
    <row r="107" spans="1:25" x14ac:dyDescent="0.25">
      <c r="A107" s="1">
        <v>1948</v>
      </c>
      <c r="B107" s="1">
        <f t="shared" si="30"/>
        <v>-3.5000000000000003E-2</v>
      </c>
      <c r="C107" s="1">
        <f t="shared" si="40"/>
        <v>-2.8620175000000001E-2</v>
      </c>
      <c r="D107" s="1">
        <f t="shared" si="41"/>
        <v>0</v>
      </c>
      <c r="E107" s="1">
        <f t="shared" si="31"/>
        <v>0.34803867971576447</v>
      </c>
      <c r="F107" s="1">
        <f t="shared" si="32"/>
        <v>6.3798250000000022E-3</v>
      </c>
      <c r="G107" s="9">
        <f t="shared" si="25"/>
        <v>0.34803867971576447</v>
      </c>
      <c r="H107" s="1">
        <f t="shared" si="42"/>
        <v>34.682058916122443</v>
      </c>
      <c r="I107" s="1">
        <f t="shared" si="33"/>
        <v>0.34803867971576447</v>
      </c>
      <c r="J107" s="3">
        <f t="shared" si="43"/>
        <v>0.34803867971576447</v>
      </c>
      <c r="K107" s="3">
        <f t="shared" si="44"/>
        <v>-3.7777477531575889</v>
      </c>
      <c r="L107" s="6">
        <v>-3.5000000000000003E-2</v>
      </c>
      <c r="M107" s="4">
        <v>-4.8000000000000001E-2</v>
      </c>
      <c r="N107" s="5">
        <v>7.0000000000000001E-3</v>
      </c>
      <c r="O107">
        <f t="shared" si="34"/>
        <v>7.0000000000000001E-3</v>
      </c>
      <c r="P107">
        <f t="shared" si="35"/>
        <v>-6.8571428571428568</v>
      </c>
      <c r="Q107">
        <f t="shared" si="36"/>
        <v>-5</v>
      </c>
      <c r="R107">
        <f t="shared" si="45"/>
        <v>5.3923571428571426</v>
      </c>
      <c r="T107">
        <v>7.0000000000000001E-3</v>
      </c>
      <c r="U107">
        <v>2.1666699999999999E-3</v>
      </c>
      <c r="V107" s="11">
        <f t="shared" si="37"/>
        <v>0.72132047731429338</v>
      </c>
      <c r="W107">
        <f t="shared" si="38"/>
        <v>-4.5488798201853343E-2</v>
      </c>
      <c r="X107" s="13">
        <f t="shared" si="39"/>
        <v>-0.25919023196313501</v>
      </c>
      <c r="Y107" s="13">
        <v>0.24080976803686499</v>
      </c>
    </row>
    <row r="108" spans="1:25" x14ac:dyDescent="0.25">
      <c r="A108" s="1">
        <v>1949</v>
      </c>
      <c r="B108" s="1">
        <f t="shared" si="30"/>
        <v>-7.5999999999999998E-2</v>
      </c>
      <c r="C108" s="1">
        <f t="shared" si="40"/>
        <v>-7.1389649999999999E-2</v>
      </c>
      <c r="D108" s="1">
        <f t="shared" si="41"/>
        <v>0</v>
      </c>
      <c r="E108" s="1">
        <f t="shared" si="31"/>
        <v>0.72521162435727626</v>
      </c>
      <c r="F108" s="1">
        <f t="shared" si="32"/>
        <v>4.6103499999999992E-3</v>
      </c>
      <c r="G108" s="9">
        <f t="shared" si="25"/>
        <v>0.72521162435727626</v>
      </c>
      <c r="H108" s="1">
        <f t="shared" si="42"/>
        <v>0.1137101214395066</v>
      </c>
      <c r="I108" s="1">
        <f t="shared" si="33"/>
        <v>0.72521162435727626</v>
      </c>
      <c r="J108" s="3">
        <f t="shared" si="43"/>
        <v>0.72521162435727626</v>
      </c>
      <c r="K108" s="3">
        <f t="shared" si="44"/>
        <v>0.48897138757229203</v>
      </c>
      <c r="L108" s="6">
        <v>-7.5999999999999998E-2</v>
      </c>
      <c r="M108" s="4">
        <v>-5.2999999999999999E-2</v>
      </c>
      <c r="N108" s="5">
        <v>-0.11600000000000001</v>
      </c>
      <c r="O108">
        <f t="shared" si="34"/>
        <v>-0.11600000000000001</v>
      </c>
      <c r="P108">
        <f t="shared" si="35"/>
        <v>0.4568965517241379</v>
      </c>
      <c r="Q108">
        <f t="shared" si="36"/>
        <v>0.65517241379310343</v>
      </c>
      <c r="R108">
        <f t="shared" si="45"/>
        <v>-0.69795775862068965</v>
      </c>
      <c r="T108">
        <v>-0.11600000000000001</v>
      </c>
      <c r="U108">
        <v>-0.112417</v>
      </c>
      <c r="V108" s="11">
        <f t="shared" si="37"/>
        <v>0.719073043204844</v>
      </c>
      <c r="W108">
        <f t="shared" si="38"/>
        <v>-8.5814774460525545E-2</v>
      </c>
      <c r="X108" s="13">
        <f t="shared" si="39"/>
        <v>-0.27318015730463596</v>
      </c>
      <c r="Y108" s="13">
        <v>0.22681984269536401</v>
      </c>
    </row>
    <row r="109" spans="1:25" x14ac:dyDescent="0.25">
      <c r="A109" s="1">
        <v>1950</v>
      </c>
      <c r="B109" s="1">
        <f t="shared" si="30"/>
        <v>-0.17399999999999999</v>
      </c>
      <c r="C109" s="1">
        <f t="shared" si="40"/>
        <v>-0.15371285000000001</v>
      </c>
      <c r="D109" s="1">
        <f t="shared" si="41"/>
        <v>0</v>
      </c>
      <c r="E109" s="1">
        <f t="shared" si="31"/>
        <v>0.75109587504173247</v>
      </c>
      <c r="F109" s="1">
        <f t="shared" si="32"/>
        <v>2.0287149999999976E-2</v>
      </c>
      <c r="G109" s="9">
        <f t="shared" si="25"/>
        <v>0.75109587504173247</v>
      </c>
      <c r="H109" s="1">
        <f t="shared" si="42"/>
        <v>0.19054469222929929</v>
      </c>
      <c r="I109" s="1">
        <f t="shared" si="33"/>
        <v>0.75109587504173247</v>
      </c>
      <c r="J109" s="3">
        <f t="shared" si="43"/>
        <v>0.75109587504173247</v>
      </c>
      <c r="K109" s="3">
        <f t="shared" si="44"/>
        <v>0.44528513380972395</v>
      </c>
      <c r="L109" s="6">
        <v>-0.17399999999999999</v>
      </c>
      <c r="M109" s="4">
        <v>-8.2000000000000003E-2</v>
      </c>
      <c r="N109" s="5">
        <v>-0.314</v>
      </c>
      <c r="O109">
        <f t="shared" si="34"/>
        <v>-0.314</v>
      </c>
      <c r="P109">
        <f t="shared" si="35"/>
        <v>0.26114649681528662</v>
      </c>
      <c r="Q109">
        <f t="shared" si="36"/>
        <v>0.55414012738853502</v>
      </c>
      <c r="R109">
        <f t="shared" si="45"/>
        <v>-0.63559999999999994</v>
      </c>
      <c r="T109">
        <v>-0.314</v>
      </c>
      <c r="U109">
        <v>-0.29958299999999999</v>
      </c>
      <c r="V109" s="11">
        <f t="shared" si="37"/>
        <v>0.71679310221225023</v>
      </c>
      <c r="W109">
        <f t="shared" si="38"/>
        <v>-0.17154435398694307</v>
      </c>
      <c r="X109" s="13">
        <f t="shared" si="39"/>
        <v>-0.29590290166177102</v>
      </c>
      <c r="Y109" s="13">
        <v>0.204097098338229</v>
      </c>
    </row>
    <row r="110" spans="1:25" x14ac:dyDescent="0.25">
      <c r="A110" s="1">
        <v>1951</v>
      </c>
      <c r="B110" s="1">
        <f t="shared" si="30"/>
        <v>-4.8000000000000001E-2</v>
      </c>
      <c r="C110" s="1">
        <f t="shared" si="40"/>
        <v>-2.9584899999999997E-2</v>
      </c>
      <c r="D110" s="1">
        <f t="shared" si="41"/>
        <v>-1.8720075496975425E-2</v>
      </c>
      <c r="E110" s="1">
        <f t="shared" si="31"/>
        <v>0.49197702115734904</v>
      </c>
      <c r="F110" s="1">
        <f t="shared" si="32"/>
        <v>1.8415100000000004E-2</v>
      </c>
      <c r="G110" s="9">
        <f t="shared" si="25"/>
        <v>0.49197702115734904</v>
      </c>
      <c r="H110" s="1">
        <f t="shared" si="42"/>
        <v>0.52584542310399995</v>
      </c>
      <c r="I110" s="1">
        <f t="shared" si="33"/>
        <v>1</v>
      </c>
      <c r="J110" s="3">
        <f t="shared" si="43"/>
        <v>1</v>
      </c>
      <c r="K110" s="3">
        <f t="shared" si="44"/>
        <v>0.49197702115734904</v>
      </c>
      <c r="L110" s="6">
        <v>-4.8000000000000001E-2</v>
      </c>
      <c r="M110" s="4">
        <v>4.0000000000000001E-3</v>
      </c>
      <c r="N110" s="5">
        <v>-0.1</v>
      </c>
      <c r="O110">
        <f t="shared" si="34"/>
        <v>-0.1</v>
      </c>
      <c r="P110">
        <f t="shared" si="35"/>
        <v>-0.04</v>
      </c>
      <c r="Q110">
        <f t="shared" si="36"/>
        <v>0.48</v>
      </c>
      <c r="R110">
        <f t="shared" si="45"/>
        <v>-0.70224799999999998</v>
      </c>
      <c r="T110">
        <v>-0.1</v>
      </c>
      <c r="U110">
        <v>-0.10066700000000001</v>
      </c>
      <c r="V110" s="11">
        <f t="shared" si="37"/>
        <v>0.71448810119181871</v>
      </c>
      <c r="W110">
        <f t="shared" si="38"/>
        <v>-2.4634412116537725E-2</v>
      </c>
      <c r="X110" s="13">
        <f t="shared" si="39"/>
        <v>-0.25676155611001</v>
      </c>
      <c r="Y110" s="13">
        <v>0.24323844388999</v>
      </c>
    </row>
    <row r="111" spans="1:25" x14ac:dyDescent="0.25">
      <c r="A111" s="1">
        <v>1952</v>
      </c>
      <c r="B111" s="1">
        <f t="shared" si="30"/>
        <v>3.3000000000000002E-2</v>
      </c>
      <c r="C111" s="1">
        <f t="shared" si="40"/>
        <v>3.7302699999999994E-2</v>
      </c>
      <c r="D111" s="1">
        <f t="shared" si="41"/>
        <v>0</v>
      </c>
      <c r="E111" s="1">
        <f t="shared" si="31"/>
        <v>0.56654085246610564</v>
      </c>
      <c r="F111" s="1">
        <f t="shared" si="32"/>
        <v>4.3026999999999926E-3</v>
      </c>
      <c r="G111" s="9">
        <f t="shared" si="25"/>
        <v>0.56654085246610564</v>
      </c>
      <c r="H111" s="1">
        <f t="shared" si="42"/>
        <v>1.3510841341527942</v>
      </c>
      <c r="I111" s="1">
        <f t="shared" si="33"/>
        <v>0.56654085246610564</v>
      </c>
      <c r="J111" s="3">
        <f t="shared" si="43"/>
        <v>0.56654085246610564</v>
      </c>
      <c r="K111" s="3">
        <f t="shared" si="44"/>
        <v>-0.24777990365893146</v>
      </c>
      <c r="L111" s="6">
        <v>3.3000000000000002E-2</v>
      </c>
      <c r="M111" s="4">
        <v>8.6999999999999994E-2</v>
      </c>
      <c r="N111" s="5">
        <v>-5.8000000000000003E-2</v>
      </c>
      <c r="O111">
        <f t="shared" si="34"/>
        <v>-5.8000000000000003E-2</v>
      </c>
      <c r="P111">
        <f t="shared" si="35"/>
        <v>-1.4999999999999998</v>
      </c>
      <c r="Q111">
        <f t="shared" si="36"/>
        <v>-0.56896551724137934</v>
      </c>
      <c r="R111">
        <f t="shared" si="45"/>
        <v>0.35368103448275878</v>
      </c>
      <c r="T111">
        <v>-5.8000000000000003E-2</v>
      </c>
      <c r="U111">
        <v>-6.5000000000000002E-2</v>
      </c>
      <c r="V111" s="11">
        <f t="shared" si="37"/>
        <v>0.7121651703491807</v>
      </c>
      <c r="W111">
        <f t="shared" si="38"/>
        <v>7.0582098890960648E-2</v>
      </c>
      <c r="X111" s="13">
        <f t="shared" si="39"/>
        <v>-0.250575422506566</v>
      </c>
      <c r="Y111" s="13">
        <v>0.249424577493434</v>
      </c>
    </row>
    <row r="112" spans="1:25" x14ac:dyDescent="0.25">
      <c r="A112" s="1">
        <v>1953</v>
      </c>
      <c r="B112" s="1">
        <f t="shared" si="30"/>
        <v>0.10100000000000001</v>
      </c>
      <c r="C112" s="1">
        <f t="shared" si="40"/>
        <v>0.1003314</v>
      </c>
      <c r="D112" s="1">
        <f t="shared" si="41"/>
        <v>0</v>
      </c>
      <c r="E112" s="1">
        <f t="shared" si="31"/>
        <v>0.62023948424045716</v>
      </c>
      <c r="F112" s="1">
        <f t="shared" si="32"/>
        <v>6.686000000000053E-4</v>
      </c>
      <c r="G112" s="9">
        <f t="shared" si="25"/>
        <v>0.62023948424045716</v>
      </c>
      <c r="H112" s="1">
        <f t="shared" si="42"/>
        <v>1.6368757688246194E-2</v>
      </c>
      <c r="I112" s="1">
        <f t="shared" si="33"/>
        <v>0.62023948424045716</v>
      </c>
      <c r="J112" s="3">
        <f t="shared" si="43"/>
        <v>0.62023948424045716</v>
      </c>
      <c r="K112" s="3">
        <f t="shared" si="44"/>
        <v>0.53060767405029707</v>
      </c>
      <c r="L112" s="6">
        <v>0.10100000000000001</v>
      </c>
      <c r="M112" s="4">
        <v>0.09</v>
      </c>
      <c r="N112" s="5">
        <v>0.13200000000000001</v>
      </c>
      <c r="O112">
        <f t="shared" si="34"/>
        <v>0.13200000000000001</v>
      </c>
      <c r="P112">
        <f t="shared" si="35"/>
        <v>0.68181818181818177</v>
      </c>
      <c r="Q112">
        <f t="shared" si="36"/>
        <v>0.76515151515151514</v>
      </c>
      <c r="R112">
        <f t="shared" si="45"/>
        <v>-0.75738939393939397</v>
      </c>
      <c r="T112">
        <v>0.13200000000000001</v>
      </c>
      <c r="U112">
        <v>0.11749999999999999</v>
      </c>
      <c r="V112" s="11">
        <f t="shared" si="37"/>
        <v>0.70983115304261446</v>
      </c>
      <c r="W112">
        <f t="shared" si="38"/>
        <v>0.12828213387509438</v>
      </c>
      <c r="X112" s="13">
        <f t="shared" si="39"/>
        <v>-0.21243072146800501</v>
      </c>
      <c r="Y112" s="13">
        <v>0.28756927853199499</v>
      </c>
    </row>
    <row r="113" spans="1:25" x14ac:dyDescent="0.25">
      <c r="A113" s="1">
        <v>1954</v>
      </c>
      <c r="B113" s="1">
        <f t="shared" si="30"/>
        <v>-0.128</v>
      </c>
      <c r="C113" s="1">
        <f t="shared" si="40"/>
        <v>-0.11158652500000001</v>
      </c>
      <c r="D113" s="1">
        <f t="shared" si="41"/>
        <v>-1.4530670365300577E-2</v>
      </c>
      <c r="E113" s="1">
        <f t="shared" si="31"/>
        <v>0.65463510143677295</v>
      </c>
      <c r="F113" s="1">
        <f t="shared" si="32"/>
        <v>1.6413474999999997E-2</v>
      </c>
      <c r="G113" s="9">
        <f t="shared" si="25"/>
        <v>0.65463510143677295</v>
      </c>
      <c r="H113" s="1">
        <f t="shared" si="42"/>
        <v>0.35497616408219057</v>
      </c>
      <c r="I113" s="1">
        <f t="shared" si="33"/>
        <v>1.0720365035644124</v>
      </c>
      <c r="J113" s="3">
        <f t="shared" si="43"/>
        <v>1.0720365035644124</v>
      </c>
      <c r="K113" s="3">
        <f t="shared" si="44"/>
        <v>0.65463510143677295</v>
      </c>
      <c r="L113" s="6">
        <v>-0.128</v>
      </c>
      <c r="M113" s="4">
        <v>-9.7000000000000003E-2</v>
      </c>
      <c r="N113" s="5">
        <v>-0.153</v>
      </c>
      <c r="O113">
        <f t="shared" si="34"/>
        <v>-0.153</v>
      </c>
      <c r="P113">
        <f t="shared" si="35"/>
        <v>0.63398692810457524</v>
      </c>
      <c r="Q113">
        <f t="shared" si="36"/>
        <v>0.83660130718954251</v>
      </c>
      <c r="R113">
        <f t="shared" si="45"/>
        <v>-0.93442614379084965</v>
      </c>
      <c r="T113">
        <v>-0.153</v>
      </c>
      <c r="U113">
        <v>-0.151</v>
      </c>
      <c r="V113" s="11">
        <f t="shared" si="37"/>
        <v>0.70749252382665873</v>
      </c>
      <c r="W113">
        <f t="shared" si="38"/>
        <v>-0.14165496933082111</v>
      </c>
      <c r="X113" s="13">
        <f t="shared" si="39"/>
        <v>-0.24797719395909501</v>
      </c>
      <c r="Y113" s="13">
        <v>0.25202280604090499</v>
      </c>
    </row>
    <row r="114" spans="1:25" x14ac:dyDescent="0.25">
      <c r="A114" s="1">
        <v>1955</v>
      </c>
      <c r="B114" s="1">
        <f t="shared" si="30"/>
        <v>-0.185</v>
      </c>
      <c r="C114" s="1">
        <f t="shared" si="40"/>
        <v>-0.16496797499999999</v>
      </c>
      <c r="D114" s="1">
        <f t="shared" si="41"/>
        <v>-1.8828398795438045E-2</v>
      </c>
      <c r="E114" s="1">
        <f t="shared" si="31"/>
        <v>0.74234909662960669</v>
      </c>
      <c r="F114" s="1">
        <f t="shared" si="32"/>
        <v>2.0032025000000009E-2</v>
      </c>
      <c r="G114" s="9">
        <f t="shared" si="25"/>
        <v>0.74234909662960669</v>
      </c>
      <c r="H114" s="1">
        <f t="shared" si="42"/>
        <v>0.42224591068811057</v>
      </c>
      <c r="I114" s="1">
        <f t="shared" si="33"/>
        <v>1.1975855526252415</v>
      </c>
      <c r="J114" s="3">
        <f t="shared" si="43"/>
        <v>1.1975855526252415</v>
      </c>
      <c r="K114" s="3">
        <f t="shared" si="44"/>
        <v>0.74234909662960669</v>
      </c>
      <c r="L114" s="6">
        <v>-0.185</v>
      </c>
      <c r="M114" s="4">
        <v>-0.16200000000000001</v>
      </c>
      <c r="N114" s="5">
        <v>-0.189</v>
      </c>
      <c r="O114">
        <f t="shared" si="34"/>
        <v>-0.189</v>
      </c>
      <c r="P114">
        <f t="shared" si="35"/>
        <v>0.85714285714285721</v>
      </c>
      <c r="Q114">
        <f t="shared" si="36"/>
        <v>0.97883597883597884</v>
      </c>
      <c r="R114">
        <f t="shared" si="45"/>
        <v>-1.0596291005291005</v>
      </c>
      <c r="T114">
        <v>-0.189</v>
      </c>
      <c r="U114">
        <v>-0.184</v>
      </c>
      <c r="V114" s="11">
        <f t="shared" si="37"/>
        <v>0.70515540707856417</v>
      </c>
      <c r="W114">
        <f t="shared" si="38"/>
        <v>-0.21807370565716061</v>
      </c>
      <c r="X114" s="13">
        <f t="shared" si="39"/>
        <v>-0.23089254542153298</v>
      </c>
      <c r="Y114" s="13">
        <v>0.26910745457846702</v>
      </c>
    </row>
    <row r="115" spans="1:25" x14ac:dyDescent="0.25">
      <c r="A115" s="1">
        <v>1956</v>
      </c>
      <c r="B115" s="1">
        <f t="shared" si="30"/>
        <v>-0.26200000000000001</v>
      </c>
      <c r="C115" s="1">
        <f t="shared" si="40"/>
        <v>-0.24214597500000001</v>
      </c>
      <c r="D115" s="1">
        <f t="shared" si="41"/>
        <v>0</v>
      </c>
      <c r="E115" s="1">
        <f t="shared" si="31"/>
        <v>0.72548598176949453</v>
      </c>
      <c r="F115" s="1">
        <f t="shared" si="32"/>
        <v>1.9854024999999997E-2</v>
      </c>
      <c r="G115" s="9">
        <f t="shared" si="25"/>
        <v>0.72548598176949453</v>
      </c>
      <c r="H115" s="1">
        <f t="shared" si="42"/>
        <v>0.13478830734002811</v>
      </c>
      <c r="I115" s="1">
        <f t="shared" si="33"/>
        <v>0.72548598176949453</v>
      </c>
      <c r="J115" s="3">
        <f t="shared" si="43"/>
        <v>0.72548598176949453</v>
      </c>
      <c r="K115" s="3">
        <f t="shared" si="44"/>
        <v>0.46828038335697564</v>
      </c>
      <c r="L115" s="6">
        <v>-0.26200000000000001</v>
      </c>
      <c r="M115" s="4">
        <v>-0.16300000000000001</v>
      </c>
      <c r="N115" s="5">
        <v>-0.42699999999999999</v>
      </c>
      <c r="O115">
        <f t="shared" si="34"/>
        <v>-0.42699999999999999</v>
      </c>
      <c r="P115">
        <f t="shared" si="35"/>
        <v>0.38173302107728341</v>
      </c>
      <c r="Q115">
        <f t="shared" si="36"/>
        <v>0.61358313817330212</v>
      </c>
      <c r="R115">
        <f t="shared" si="45"/>
        <v>-0.66842341920374704</v>
      </c>
      <c r="T115">
        <v>-0.42699999999999999</v>
      </c>
      <c r="U115">
        <v>-0.41108299999999998</v>
      </c>
      <c r="V115" s="11">
        <f t="shared" si="37"/>
        <v>0.70282551366835833</v>
      </c>
      <c r="W115">
        <f t="shared" si="38"/>
        <v>-0.28777212180709966</v>
      </c>
      <c r="X115" s="13">
        <f t="shared" si="39"/>
        <v>-0.27004392174505099</v>
      </c>
      <c r="Y115" s="13">
        <v>0.22995607825494899</v>
      </c>
    </row>
    <row r="116" spans="1:25" x14ac:dyDescent="0.25">
      <c r="A116" s="1">
        <v>1957</v>
      </c>
      <c r="B116" s="1">
        <f t="shared" si="30"/>
        <v>-1E-3</v>
      </c>
      <c r="C116" s="1">
        <f t="shared" si="40"/>
        <v>1.093355E-2</v>
      </c>
      <c r="D116" s="1">
        <f t="shared" si="41"/>
        <v>0</v>
      </c>
      <c r="E116" s="1">
        <f t="shared" si="31"/>
        <v>0.77718069703224413</v>
      </c>
      <c r="F116" s="1">
        <f t="shared" si="32"/>
        <v>1.1933550000000001E-2</v>
      </c>
      <c r="G116" s="9">
        <f t="shared" si="25"/>
        <v>0.77718069703224413</v>
      </c>
      <c r="H116" s="1">
        <f t="shared" si="42"/>
        <v>0.69049612076340816</v>
      </c>
      <c r="I116" s="1">
        <f t="shared" si="33"/>
        <v>0.77718069703224413</v>
      </c>
      <c r="J116" s="3">
        <f t="shared" si="43"/>
        <v>0.77718069703224413</v>
      </c>
      <c r="K116" s="3">
        <f t="shared" si="44"/>
        <v>0.19503066043567488</v>
      </c>
      <c r="L116" s="6">
        <v>-1E-3</v>
      </c>
      <c r="M116" s="4">
        <v>5.0999999999999997E-2</v>
      </c>
      <c r="N116" s="5">
        <v>-6.8000000000000005E-2</v>
      </c>
      <c r="O116">
        <f t="shared" si="34"/>
        <v>-6.8000000000000005E-2</v>
      </c>
      <c r="P116">
        <f t="shared" si="35"/>
        <v>-0.74999999999999989</v>
      </c>
      <c r="Q116">
        <f t="shared" si="36"/>
        <v>1.4705882352941176E-2</v>
      </c>
      <c r="R116">
        <f t="shared" si="45"/>
        <v>-0.27838676470588231</v>
      </c>
      <c r="T116">
        <v>-6.8000000000000005E-2</v>
      </c>
      <c r="U116">
        <v>-7.0749999999999993E-2</v>
      </c>
      <c r="V116" s="11">
        <f t="shared" si="37"/>
        <v>0.70050814840942621</v>
      </c>
      <c r="W116">
        <f t="shared" si="38"/>
        <v>3.2492023419266269E-2</v>
      </c>
      <c r="X116" s="13">
        <f t="shared" si="39"/>
        <v>-0.20729024415282199</v>
      </c>
      <c r="Y116" s="13">
        <v>0.29270975584717801</v>
      </c>
    </row>
    <row r="117" spans="1:25" x14ac:dyDescent="0.25">
      <c r="A117" s="1">
        <v>1958</v>
      </c>
      <c r="B117" s="1">
        <f t="shared" si="30"/>
        <v>4.9000000000000002E-2</v>
      </c>
      <c r="C117" s="1">
        <f t="shared" si="40"/>
        <v>6.9781775000000004E-2</v>
      </c>
      <c r="D117" s="1">
        <f t="shared" si="41"/>
        <v>-2.9757670832643537E-2</v>
      </c>
      <c r="E117" s="7">
        <f t="shared" si="31"/>
        <v>0.33190196353166462</v>
      </c>
      <c r="F117" s="1">
        <f t="shared" si="32"/>
        <v>2.0781775000000002E-2</v>
      </c>
      <c r="G117" s="9">
        <f t="shared" si="25"/>
        <v>0.33190196353166462</v>
      </c>
      <c r="H117" s="1">
        <f t="shared" si="42"/>
        <v>-1.1057177079430989</v>
      </c>
      <c r="I117" s="1" t="e">
        <f t="shared" si="33"/>
        <v>#NUM!</v>
      </c>
      <c r="J117" s="3" t="b">
        <f t="shared" si="43"/>
        <v>0</v>
      </c>
      <c r="K117" s="3">
        <f t="shared" si="44"/>
        <v>0.33190196353166462</v>
      </c>
      <c r="L117" s="6">
        <v>4.9000000000000002E-2</v>
      </c>
      <c r="M117" s="4">
        <v>8.3000000000000004E-2</v>
      </c>
      <c r="N117" s="5">
        <v>5.0999999999999997E-2</v>
      </c>
      <c r="O117">
        <f t="shared" si="34"/>
        <v>5.0999999999999997E-2</v>
      </c>
      <c r="P117">
        <f t="shared" si="35"/>
        <v>1.6274509803921571</v>
      </c>
      <c r="Q117">
        <f t="shared" si="36"/>
        <v>0.96078431372549034</v>
      </c>
      <c r="R117">
        <f t="shared" si="45"/>
        <v>-0.4737568627450981</v>
      </c>
      <c r="T117">
        <v>5.0999999999999997E-2</v>
      </c>
      <c r="U117">
        <v>4.0750000000000001E-2</v>
      </c>
      <c r="V117" s="11">
        <f t="shared" si="37"/>
        <v>0.69820815790444613</v>
      </c>
      <c r="W117">
        <f t="shared" si="38"/>
        <v>9.9442903939132063E-2</v>
      </c>
      <c r="X117" s="13">
        <f t="shared" si="39"/>
        <v>-0.19634656888110802</v>
      </c>
      <c r="Y117" s="13">
        <v>0.30365343111889198</v>
      </c>
    </row>
    <row r="118" spans="1:25" x14ac:dyDescent="0.25">
      <c r="A118" s="1">
        <v>1959</v>
      </c>
      <c r="B118" s="1">
        <f t="shared" si="30"/>
        <v>1.7000000000000001E-2</v>
      </c>
      <c r="C118" s="1">
        <f t="shared" si="40"/>
        <v>3.2479075000000003E-2</v>
      </c>
      <c r="D118" s="1" t="e">
        <f t="shared" si="41"/>
        <v>#DIV/0!</v>
      </c>
      <c r="E118" s="7">
        <f t="shared" si="31"/>
        <v>0</v>
      </c>
      <c r="F118" s="1">
        <f t="shared" si="32"/>
        <v>1.5479075000000002E-2</v>
      </c>
      <c r="G118" s="9"/>
      <c r="H118" s="1">
        <f t="shared" si="42"/>
        <v>-1.7623476897506924</v>
      </c>
      <c r="I118" s="1" t="e">
        <f t="shared" si="33"/>
        <v>#NUM!</v>
      </c>
      <c r="J118" s="3" t="b">
        <f t="shared" si="43"/>
        <v>0</v>
      </c>
      <c r="K118" s="3">
        <f t="shared" si="44"/>
        <v>-2.5862259684520116E-2</v>
      </c>
      <c r="L118" s="6">
        <v>1.7000000000000001E-2</v>
      </c>
      <c r="M118" s="4">
        <v>4.1000000000000002E-2</v>
      </c>
      <c r="N118" s="5">
        <v>1.9E-2</v>
      </c>
      <c r="O118">
        <f t="shared" si="34"/>
        <v>1.9E-2</v>
      </c>
      <c r="P118">
        <f t="shared" si="35"/>
        <v>2.1578947368421053</v>
      </c>
      <c r="Q118">
        <f t="shared" si="36"/>
        <v>0.89473684210526327</v>
      </c>
      <c r="R118">
        <f t="shared" si="45"/>
        <v>3.6915789473684013E-2</v>
      </c>
      <c r="T118">
        <v>1.9E-2</v>
      </c>
      <c r="U118">
        <v>1.55E-2</v>
      </c>
      <c r="V118" s="11">
        <f t="shared" si="37"/>
        <v>0.69592991564422846</v>
      </c>
      <c r="W118">
        <f t="shared" si="38"/>
        <v>4.7486606365437944E-2</v>
      </c>
      <c r="X118" s="13">
        <f t="shared" si="39"/>
        <v>-0.18371469156629799</v>
      </c>
      <c r="Y118" s="13">
        <v>0.31628530843370201</v>
      </c>
    </row>
    <row r="119" spans="1:25" x14ac:dyDescent="0.25">
      <c r="A119" s="1">
        <v>1960</v>
      </c>
      <c r="B119" s="1">
        <f t="shared" si="30"/>
        <v>-0.05</v>
      </c>
      <c r="C119" s="1">
        <f t="shared" si="40"/>
        <v>-2.5725999999999999E-2</v>
      </c>
      <c r="D119" s="1">
        <f t="shared" si="41"/>
        <v>-1.8799114957078027E-2</v>
      </c>
      <c r="E119" s="1">
        <f t="shared" si="31"/>
        <v>0.70807614875777092</v>
      </c>
      <c r="F119" s="1">
        <f t="shared" si="32"/>
        <v>2.4274000000000004E-2</v>
      </c>
      <c r="G119" s="9">
        <f t="shared" si="25"/>
        <v>0.70807614875777092</v>
      </c>
      <c r="H119" s="1">
        <f t="shared" si="42"/>
        <v>1.0000217842728534</v>
      </c>
      <c r="I119" s="1">
        <f t="shared" si="33"/>
        <v>1.4086582505352041</v>
      </c>
      <c r="J119" s="3">
        <f t="shared" si="43"/>
        <v>1.4086582505352041</v>
      </c>
      <c r="K119" s="3">
        <f t="shared" si="44"/>
        <v>0.70807614875777092</v>
      </c>
      <c r="L119" s="6">
        <v>-0.05</v>
      </c>
      <c r="M119" s="4">
        <v>-2E-3</v>
      </c>
      <c r="N119" s="5">
        <v>-7.5999999999999998E-2</v>
      </c>
      <c r="O119">
        <f t="shared" si="34"/>
        <v>-7.5999999999999998E-2</v>
      </c>
      <c r="P119">
        <f t="shared" si="35"/>
        <v>2.6315789473684213E-2</v>
      </c>
      <c r="Q119">
        <f t="shared" si="36"/>
        <v>0.65789473684210531</v>
      </c>
      <c r="R119">
        <f t="shared" si="45"/>
        <v>-1.0107078947368422</v>
      </c>
      <c r="T119">
        <v>-7.5999999999999998E-2</v>
      </c>
      <c r="U119">
        <v>-7.2666700000000001E-2</v>
      </c>
      <c r="V119" s="11">
        <f t="shared" si="37"/>
        <v>0.69367724750190973</v>
      </c>
      <c r="W119">
        <f t="shared" si="38"/>
        <v>-2.3816529304428527E-2</v>
      </c>
      <c r="X119" s="13">
        <f t="shared" si="39"/>
        <v>-0.20211075387052302</v>
      </c>
      <c r="Y119" s="13">
        <v>0.29788924612947698</v>
      </c>
    </row>
    <row r="120" spans="1:25" x14ac:dyDescent="0.25">
      <c r="A120" s="1">
        <v>1961</v>
      </c>
      <c r="B120" s="1">
        <f t="shared" si="30"/>
        <v>3.9E-2</v>
      </c>
      <c r="C120" s="1">
        <f t="shared" si="40"/>
        <v>4.7914674999999997E-2</v>
      </c>
      <c r="D120" s="1">
        <f t="shared" si="41"/>
        <v>-9.7472146660445708E-3</v>
      </c>
      <c r="E120" s="7">
        <f t="shared" si="31"/>
        <v>0.45395596482138623</v>
      </c>
      <c r="F120" s="1">
        <f t="shared" si="32"/>
        <v>8.9146749999999969E-3</v>
      </c>
      <c r="G120" s="9">
        <f t="shared" si="25"/>
        <v>0.45395596482138623</v>
      </c>
      <c r="H120" s="1">
        <f t="shared" si="42"/>
        <v>-0.587531946435911</v>
      </c>
      <c r="I120" s="1" t="e">
        <f t="shared" si="33"/>
        <v>#NUM!</v>
      </c>
      <c r="J120" s="3" t="b">
        <f t="shared" si="43"/>
        <v>0</v>
      </c>
      <c r="K120" s="3">
        <f t="shared" si="44"/>
        <v>0.45395596482138623</v>
      </c>
      <c r="L120" s="6">
        <v>3.9E-2</v>
      </c>
      <c r="M120" s="4">
        <v>5.2999999999999999E-2</v>
      </c>
      <c r="N120" s="5">
        <v>4.2999999999999997E-2</v>
      </c>
      <c r="O120">
        <f t="shared" si="34"/>
        <v>4.2999999999999997E-2</v>
      </c>
      <c r="P120">
        <f t="shared" si="35"/>
        <v>1.2325581395348837</v>
      </c>
      <c r="Q120">
        <f t="shared" si="36"/>
        <v>0.90697674418604657</v>
      </c>
      <c r="R120">
        <f t="shared" si="45"/>
        <v>-0.64797674418604667</v>
      </c>
      <c r="T120">
        <v>4.2999999999999997E-2</v>
      </c>
      <c r="U120">
        <v>4.2250000000000003E-2</v>
      </c>
      <c r="V120" s="11">
        <f t="shared" si="37"/>
        <v>0.69145351368933916</v>
      </c>
      <c r="W120">
        <f t="shared" si="38"/>
        <v>6.701609601263428E-2</v>
      </c>
      <c r="X120" s="13">
        <f t="shared" si="39"/>
        <v>-0.15616340507113102</v>
      </c>
      <c r="Y120" s="13">
        <v>0.34383659492886898</v>
      </c>
    </row>
    <row r="121" spans="1:25" x14ac:dyDescent="0.25">
      <c r="A121" s="1">
        <v>1962</v>
      </c>
      <c r="B121" s="1">
        <f t="shared" si="30"/>
        <v>1.7999999999999999E-2</v>
      </c>
      <c r="C121" s="1">
        <f t="shared" si="40"/>
        <v>1.6078749999999999E-2</v>
      </c>
      <c r="D121" s="1">
        <f t="shared" si="41"/>
        <v>0</v>
      </c>
      <c r="E121" s="1">
        <f t="shared" si="31"/>
        <v>0.7741755294711441</v>
      </c>
      <c r="F121" s="1">
        <f t="shared" si="32"/>
        <v>1.9212499999999993E-3</v>
      </c>
      <c r="G121" s="9">
        <f t="shared" si="25"/>
        <v>0.7741755294711441</v>
      </c>
      <c r="H121" s="1">
        <f t="shared" si="42"/>
        <v>0.18426255999999996</v>
      </c>
      <c r="I121" s="1">
        <f t="shared" si="33"/>
        <v>0.7741755294711441</v>
      </c>
      <c r="J121" s="3">
        <f t="shared" si="43"/>
        <v>0.7741755294711441</v>
      </c>
      <c r="K121" s="3">
        <f t="shared" si="44"/>
        <v>0.47344822754658816</v>
      </c>
      <c r="L121" s="6">
        <v>1.7999999999999999E-2</v>
      </c>
      <c r="M121" s="4">
        <v>0.01</v>
      </c>
      <c r="N121" s="5">
        <v>0.03</v>
      </c>
      <c r="O121">
        <f t="shared" si="34"/>
        <v>0.03</v>
      </c>
      <c r="P121">
        <f t="shared" si="35"/>
        <v>0.33333333333333337</v>
      </c>
      <c r="Q121">
        <f t="shared" si="36"/>
        <v>0.6</v>
      </c>
      <c r="R121">
        <f t="shared" si="45"/>
        <v>-0.67579999999999996</v>
      </c>
      <c r="T121">
        <v>0.03</v>
      </c>
      <c r="U121">
        <v>2.54167E-2</v>
      </c>
      <c r="V121" s="11">
        <f t="shared" si="37"/>
        <v>0.68926143739372492</v>
      </c>
      <c r="W121">
        <f t="shared" si="38"/>
        <v>1.8943561582593152E-2</v>
      </c>
      <c r="X121" s="13">
        <f t="shared" si="39"/>
        <v>-0.168833856052097</v>
      </c>
      <c r="Y121" s="13">
        <v>0.331166143947903</v>
      </c>
    </row>
    <row r="122" spans="1:25" x14ac:dyDescent="0.25">
      <c r="A122" s="1">
        <v>1963</v>
      </c>
      <c r="B122" s="1">
        <f t="shared" si="30"/>
        <v>0.05</v>
      </c>
      <c r="C122" s="1">
        <f t="shared" si="40"/>
        <v>4.566365E-2</v>
      </c>
      <c r="D122" s="1">
        <f t="shared" si="41"/>
        <v>8.5000000000000075E-3</v>
      </c>
      <c r="E122" s="1">
        <f t="shared" si="31"/>
        <v>1</v>
      </c>
      <c r="F122" s="1">
        <f t="shared" si="32"/>
        <v>4.3363500000000027E-3</v>
      </c>
      <c r="G122" s="9">
        <f t="shared" si="25"/>
        <v>1</v>
      </c>
      <c r="H122" s="1">
        <f t="shared" si="42"/>
        <v>2.5099882229340316</v>
      </c>
      <c r="I122" s="1">
        <f t="shared" si="33"/>
        <v>2.5992352540484318</v>
      </c>
      <c r="J122" s="3">
        <f t="shared" si="43"/>
        <v>2.5992352540484318</v>
      </c>
      <c r="K122" s="3">
        <f t="shared" si="44"/>
        <v>1.4893191583765359</v>
      </c>
      <c r="L122" s="6">
        <v>0.05</v>
      </c>
      <c r="M122" s="4">
        <v>5.8999999999999997E-2</v>
      </c>
      <c r="N122" s="5">
        <v>2.4E-2</v>
      </c>
      <c r="O122">
        <f t="shared" si="34"/>
        <v>2.4E-2</v>
      </c>
      <c r="P122">
        <f t="shared" si="35"/>
        <v>2.458333333333333</v>
      </c>
      <c r="Q122">
        <f t="shared" si="36"/>
        <v>2.0833333333333335</v>
      </c>
      <c r="R122">
        <f t="shared" si="45"/>
        <v>-2.1258541666666675</v>
      </c>
      <c r="T122">
        <v>2.4E-2</v>
      </c>
      <c r="U122">
        <v>1.7500000000000002E-2</v>
      </c>
      <c r="V122" s="11">
        <f t="shared" si="37"/>
        <v>0.68710322398692369</v>
      </c>
      <c r="W122">
        <f t="shared" si="38"/>
        <v>6.8155005009189376E-2</v>
      </c>
      <c r="X122" s="13">
        <f t="shared" si="39"/>
        <v>-0.13247393411721398</v>
      </c>
      <c r="Y122" s="13">
        <v>0.36752606588278602</v>
      </c>
    </row>
    <row r="123" spans="1:25" x14ac:dyDescent="0.25">
      <c r="A123" s="1">
        <v>1964</v>
      </c>
      <c r="B123" s="1">
        <f t="shared" si="30"/>
        <v>-0.224</v>
      </c>
      <c r="C123" s="1">
        <f t="shared" si="40"/>
        <v>-0.19230185</v>
      </c>
      <c r="D123" s="1">
        <f t="shared" si="41"/>
        <v>0</v>
      </c>
      <c r="E123" s="1">
        <f t="shared" si="31"/>
        <v>0.99415890110191019</v>
      </c>
      <c r="F123" s="1">
        <f t="shared" si="32"/>
        <v>3.1698150000000008E-2</v>
      </c>
      <c r="G123" s="9">
        <f t="shared" si="25"/>
        <v>0.99415890110191019</v>
      </c>
      <c r="H123" s="1">
        <f t="shared" si="42"/>
        <v>0.32092234301877798</v>
      </c>
      <c r="I123" s="1">
        <f t="shared" si="33"/>
        <v>0.99415890110191019</v>
      </c>
      <c r="J123" s="3">
        <f t="shared" si="43"/>
        <v>0.99415890110191019</v>
      </c>
      <c r="K123" s="3">
        <f t="shared" si="44"/>
        <v>0.59728340572602878</v>
      </c>
      <c r="L123" s="6">
        <v>-0.224</v>
      </c>
      <c r="M123" s="4">
        <v>-0.14899999999999999</v>
      </c>
      <c r="N123" s="5">
        <v>-0.3</v>
      </c>
      <c r="O123">
        <f t="shared" si="34"/>
        <v>-0.3</v>
      </c>
      <c r="P123">
        <f t="shared" si="35"/>
        <v>0.49666666666666665</v>
      </c>
      <c r="Q123">
        <f t="shared" si="36"/>
        <v>0.7466666666666667</v>
      </c>
      <c r="R123">
        <f t="shared" si="45"/>
        <v>-0.85256233333333342</v>
      </c>
      <c r="T123">
        <v>-0.3</v>
      </c>
      <c r="U123">
        <v>-0.28925000000000001</v>
      </c>
      <c r="V123" s="11">
        <f t="shared" si="37"/>
        <v>0.68498040456324816</v>
      </c>
      <c r="W123">
        <f t="shared" si="38"/>
        <v>-0.24113721479850872</v>
      </c>
      <c r="X123" s="13">
        <f t="shared" si="39"/>
        <v>-0.18478657518355002</v>
      </c>
      <c r="Y123" s="13">
        <v>0.31521342481644998</v>
      </c>
    </row>
    <row r="124" spans="1:25" x14ac:dyDescent="0.25">
      <c r="A124" s="1">
        <v>1965</v>
      </c>
      <c r="B124" s="1">
        <f t="shared" si="30"/>
        <v>-0.14099999999999999</v>
      </c>
      <c r="C124" s="1">
        <f t="shared" si="40"/>
        <v>-0.14535189999999998</v>
      </c>
      <c r="D124" s="1">
        <f t="shared" si="41"/>
        <v>3.6795653442470988E-3</v>
      </c>
      <c r="E124" s="7">
        <f t="shared" si="31"/>
        <v>0.41080160090248347</v>
      </c>
      <c r="F124" s="1">
        <f t="shared" si="32"/>
        <v>4.3518999999999919E-3</v>
      </c>
      <c r="G124" s="9">
        <f t="shared" si="25"/>
        <v>0.41080160090248347</v>
      </c>
      <c r="H124" s="1">
        <f t="shared" si="42"/>
        <v>-3.6882340550624726E-2</v>
      </c>
      <c r="I124" s="1" t="e">
        <f t="shared" si="33"/>
        <v>#NUM!</v>
      </c>
      <c r="J124" s="3" t="b">
        <f t="shared" si="43"/>
        <v>0</v>
      </c>
      <c r="K124" s="3">
        <f t="shared" si="44"/>
        <v>0.41080160090248347</v>
      </c>
      <c r="L124" s="6">
        <v>-0.14099999999999999</v>
      </c>
      <c r="M124" s="4">
        <v>-0.109</v>
      </c>
      <c r="N124" s="5">
        <v>-0.23400000000000001</v>
      </c>
      <c r="O124">
        <f t="shared" si="34"/>
        <v>-0.23400000000000001</v>
      </c>
      <c r="P124">
        <f t="shared" si="35"/>
        <v>0.46581196581196577</v>
      </c>
      <c r="Q124">
        <f t="shared" si="36"/>
        <v>0.60256410256410242</v>
      </c>
      <c r="R124">
        <f t="shared" si="45"/>
        <v>-0.58637820512820493</v>
      </c>
      <c r="T124">
        <v>-0.23400000000000001</v>
      </c>
      <c r="U124">
        <v>-0.22916700000000001</v>
      </c>
      <c r="V124" s="11">
        <f t="shared" si="37"/>
        <v>0.68289388809353113</v>
      </c>
      <c r="W124">
        <f t="shared" si="38"/>
        <v>-0.18091131268229305</v>
      </c>
      <c r="X124" s="13">
        <f t="shared" si="39"/>
        <v>-0.15011188578410101</v>
      </c>
      <c r="Y124" s="13">
        <v>0.34988811421589899</v>
      </c>
    </row>
    <row r="125" spans="1:25" x14ac:dyDescent="0.25">
      <c r="A125" s="1">
        <v>1966</v>
      </c>
      <c r="B125" s="1">
        <f t="shared" si="30"/>
        <v>-7.2999999999999995E-2</v>
      </c>
      <c r="C125" s="1">
        <f t="shared" si="40"/>
        <v>-4.7914674999999997E-2</v>
      </c>
      <c r="D125" s="1">
        <f t="shared" si="41"/>
        <v>0</v>
      </c>
      <c r="E125" s="1">
        <f t="shared" si="31"/>
        <v>0.98088356548412159</v>
      </c>
      <c r="F125" s="1">
        <f t="shared" si="32"/>
        <v>2.5085324999999999E-2</v>
      </c>
      <c r="G125" s="9">
        <f t="shared" si="25"/>
        <v>0.98088356548412159</v>
      </c>
      <c r="H125" s="1">
        <f t="shared" si="42"/>
        <v>0.48730315524827622</v>
      </c>
      <c r="I125" s="1">
        <f t="shared" si="33"/>
        <v>0.98088356548412159</v>
      </c>
      <c r="J125" s="3">
        <f t="shared" si="43"/>
        <v>0.98088356548412159</v>
      </c>
      <c r="K125" s="3">
        <f t="shared" si="44"/>
        <v>0.49183282672744033</v>
      </c>
      <c r="L125" s="6">
        <v>-7.2999999999999995E-2</v>
      </c>
      <c r="M125" s="4">
        <v>-1E-3</v>
      </c>
      <c r="N125" s="5">
        <v>-0.14699999999999999</v>
      </c>
      <c r="O125">
        <f t="shared" si="34"/>
        <v>-0.14699999999999999</v>
      </c>
      <c r="P125">
        <f t="shared" si="35"/>
        <v>6.8027210884353748E-3</v>
      </c>
      <c r="Q125">
        <f t="shared" si="36"/>
        <v>0.49659863945578231</v>
      </c>
      <c r="R125">
        <f t="shared" si="45"/>
        <v>-0.70204217687074832</v>
      </c>
      <c r="T125">
        <v>-0.14699999999999999</v>
      </c>
      <c r="U125">
        <v>-0.15024999999999999</v>
      </c>
      <c r="V125" s="11">
        <f t="shared" si="37"/>
        <v>0.68084390182048082</v>
      </c>
      <c r="W125">
        <f t="shared" si="38"/>
        <v>-4.3134357901835743E-2</v>
      </c>
      <c r="X125" s="13">
        <f t="shared" si="39"/>
        <v>-0.13148478978093597</v>
      </c>
      <c r="Y125" s="13">
        <v>0.36851521021906403</v>
      </c>
    </row>
    <row r="126" spans="1:25" x14ac:dyDescent="0.25">
      <c r="A126" s="1">
        <v>1967</v>
      </c>
      <c r="B126" s="1">
        <f t="shared" si="30"/>
        <v>-7.5999999999999998E-2</v>
      </c>
      <c r="C126" s="1">
        <f t="shared" si="40"/>
        <v>-6.6566025000000001E-2</v>
      </c>
      <c r="D126" s="1">
        <f t="shared" si="41"/>
        <v>-8.3947969738950023E-3</v>
      </c>
      <c r="E126" s="1">
        <f t="shared" si="31"/>
        <v>0.62560784053450125</v>
      </c>
      <c r="F126" s="1">
        <f t="shared" si="32"/>
        <v>9.4339749999999972E-3</v>
      </c>
      <c r="G126" s="9">
        <f t="shared" si="25"/>
        <v>0.62560784053450125</v>
      </c>
      <c r="H126" s="1">
        <f t="shared" si="42"/>
        <v>0.31564176173850372</v>
      </c>
      <c r="I126" s="1">
        <f t="shared" si="33"/>
        <v>1.0192046206308498</v>
      </c>
      <c r="J126" s="3">
        <f t="shared" si="43"/>
        <v>1.0192046206308498</v>
      </c>
      <c r="K126" s="3">
        <f t="shared" si="44"/>
        <v>0.62560784053450125</v>
      </c>
      <c r="L126" s="6">
        <v>-7.5999999999999998E-2</v>
      </c>
      <c r="M126" s="4">
        <v>-5.6000000000000001E-2</v>
      </c>
      <c r="N126" s="5">
        <v>-9.5000000000000001E-2</v>
      </c>
      <c r="O126">
        <f t="shared" si="34"/>
        <v>-9.5000000000000001E-2</v>
      </c>
      <c r="P126">
        <f t="shared" si="35"/>
        <v>0.58947368421052637</v>
      </c>
      <c r="Q126">
        <f t="shared" si="36"/>
        <v>0.79999999999999993</v>
      </c>
      <c r="R126">
        <f t="shared" si="45"/>
        <v>-0.89299263157894715</v>
      </c>
      <c r="T126">
        <v>-9.5000000000000001E-2</v>
      </c>
      <c r="U126">
        <v>-9.5833299999999996E-2</v>
      </c>
      <c r="V126" s="11">
        <f t="shared" si="37"/>
        <v>0.67883000615984201</v>
      </c>
      <c r="W126">
        <f t="shared" si="38"/>
        <v>-8.6075095962655557E-2</v>
      </c>
      <c r="X126" s="13">
        <f t="shared" si="39"/>
        <v>-0.10405663048996799</v>
      </c>
      <c r="Y126" s="13">
        <v>0.39594336951003201</v>
      </c>
    </row>
    <row r="127" spans="1:25" x14ac:dyDescent="0.25">
      <c r="A127" s="1">
        <v>1968</v>
      </c>
      <c r="B127" s="1">
        <f t="shared" si="30"/>
        <v>-0.113</v>
      </c>
      <c r="C127" s="1">
        <f t="shared" si="40"/>
        <v>-0.10354715</v>
      </c>
      <c r="D127" s="1">
        <f t="shared" si="41"/>
        <v>0</v>
      </c>
      <c r="E127" s="1">
        <f t="shared" si="31"/>
        <v>0.67330911373693114</v>
      </c>
      <c r="F127" s="1">
        <f t="shared" si="32"/>
        <v>9.4528499999999988E-3</v>
      </c>
      <c r="G127" s="9">
        <f t="shared" si="25"/>
        <v>0.67330911373693114</v>
      </c>
      <c r="H127" s="1">
        <f t="shared" si="42"/>
        <v>0.14153092884280682</v>
      </c>
      <c r="I127" s="1">
        <f t="shared" si="33"/>
        <v>0.67330911373693114</v>
      </c>
      <c r="J127" s="3">
        <f t="shared" si="43"/>
        <v>0.67330911373693114</v>
      </c>
      <c r="K127" s="3">
        <f t="shared" si="44"/>
        <v>0.40974881810492003</v>
      </c>
      <c r="L127" s="6">
        <v>-0.113</v>
      </c>
      <c r="M127" s="4">
        <v>-5.2999999999999999E-2</v>
      </c>
      <c r="N127" s="5">
        <v>-0.216</v>
      </c>
      <c r="O127">
        <f t="shared" si="34"/>
        <v>-0.216</v>
      </c>
      <c r="P127">
        <f t="shared" si="35"/>
        <v>0.24537037037037038</v>
      </c>
      <c r="Q127">
        <f t="shared" si="36"/>
        <v>0.52314814814814814</v>
      </c>
      <c r="R127">
        <f t="shared" si="45"/>
        <v>-0.58487546296296289</v>
      </c>
      <c r="T127">
        <v>-0.216</v>
      </c>
      <c r="U127">
        <v>-0.21066699999999999</v>
      </c>
      <c r="V127" s="11">
        <f t="shared" si="37"/>
        <v>0.67685096431523561</v>
      </c>
      <c r="W127">
        <f t="shared" si="38"/>
        <v>-0.11772621938219494</v>
      </c>
      <c r="X127" s="13">
        <f t="shared" si="39"/>
        <v>-0.11740308429359197</v>
      </c>
      <c r="Y127" s="13">
        <v>0.38259691570640803</v>
      </c>
    </row>
    <row r="128" spans="1:25" x14ac:dyDescent="0.25">
      <c r="A128" s="1">
        <v>1969</v>
      </c>
      <c r="B128" s="1">
        <f t="shared" si="30"/>
        <v>2.9000000000000001E-2</v>
      </c>
      <c r="C128" s="1">
        <f t="shared" si="40"/>
        <v>3.2157499999999999E-2</v>
      </c>
      <c r="D128" s="1">
        <f t="shared" si="41"/>
        <v>0</v>
      </c>
      <c r="E128" s="1">
        <f t="shared" si="31"/>
        <v>0.52941976630060228</v>
      </c>
      <c r="F128" s="1">
        <f t="shared" si="32"/>
        <v>3.1574999999999971E-3</v>
      </c>
      <c r="G128" s="9">
        <f t="shared" si="25"/>
        <v>0.52941976630060228</v>
      </c>
      <c r="H128" s="1">
        <f t="shared" si="42"/>
        <v>0.73870537519775381</v>
      </c>
      <c r="I128" s="1">
        <f t="shared" si="33"/>
        <v>0.52941976630060228</v>
      </c>
      <c r="J128" s="3">
        <f t="shared" si="43"/>
        <v>0.52941976630060228</v>
      </c>
      <c r="K128" s="3">
        <f t="shared" si="44"/>
        <v>-7.2709778268179898E-2</v>
      </c>
      <c r="L128" s="6">
        <v>2.9000000000000001E-2</v>
      </c>
      <c r="M128" s="4">
        <v>0.114</v>
      </c>
      <c r="N128" s="5">
        <v>-0.128</v>
      </c>
      <c r="O128">
        <f t="shared" si="34"/>
        <v>-0.128</v>
      </c>
      <c r="P128">
        <f t="shared" si="35"/>
        <v>-0.890625</v>
      </c>
      <c r="Q128">
        <f t="shared" si="36"/>
        <v>-0.2265625</v>
      </c>
      <c r="R128">
        <f t="shared" si="45"/>
        <v>0.10378593749999998</v>
      </c>
      <c r="T128">
        <v>-0.128</v>
      </c>
      <c r="U128">
        <v>-0.13783300000000001</v>
      </c>
      <c r="V128" s="11">
        <f t="shared" si="37"/>
        <v>0.67490488011389971</v>
      </c>
      <c r="W128">
        <f t="shared" si="38"/>
        <v>8.3906588128147858E-2</v>
      </c>
      <c r="X128" s="13">
        <f t="shared" si="39"/>
        <v>-9.6711278899433983E-2</v>
      </c>
      <c r="Y128" s="13">
        <v>0.40328872110056602</v>
      </c>
    </row>
    <row r="129" spans="1:25" x14ac:dyDescent="0.25">
      <c r="A129" s="1">
        <v>1970</v>
      </c>
      <c r="B129" s="1">
        <f t="shared" si="30"/>
        <v>-2.9000000000000001E-2</v>
      </c>
      <c r="C129" s="1">
        <f t="shared" si="40"/>
        <v>-2.6369150000000001E-2</v>
      </c>
      <c r="D129" s="1">
        <f t="shared" si="41"/>
        <v>0</v>
      </c>
      <c r="E129" s="1">
        <f t="shared" si="31"/>
        <v>0.64854969545705543</v>
      </c>
      <c r="F129" s="1">
        <f t="shared" si="32"/>
        <v>2.6308500000000005E-3</v>
      </c>
      <c r="G129" s="9">
        <f t="shared" si="25"/>
        <v>0.64854969545705543</v>
      </c>
      <c r="H129" s="1">
        <f t="shared" si="42"/>
        <v>0.15340450181061399</v>
      </c>
      <c r="I129" s="1">
        <f t="shared" si="33"/>
        <v>0.64854969545705543</v>
      </c>
      <c r="J129" s="3">
        <f t="shared" si="43"/>
        <v>0.64854969545705543</v>
      </c>
      <c r="K129" s="3">
        <f t="shared" si="44"/>
        <v>0.37415648573765975</v>
      </c>
      <c r="L129" s="6">
        <v>-2.9000000000000001E-2</v>
      </c>
      <c r="M129" s="4">
        <v>-0.01</v>
      </c>
      <c r="N129" s="5">
        <v>-6.2E-2</v>
      </c>
      <c r="O129">
        <f t="shared" si="34"/>
        <v>-6.2E-2</v>
      </c>
      <c r="P129">
        <f t="shared" si="35"/>
        <v>0.16129032258064516</v>
      </c>
      <c r="Q129">
        <f t="shared" si="36"/>
        <v>0.467741935483871</v>
      </c>
      <c r="R129">
        <f t="shared" si="45"/>
        <v>-0.53407096774193552</v>
      </c>
      <c r="T129">
        <v>-6.2E-2</v>
      </c>
      <c r="U129">
        <v>-6.6500000000000004E-2</v>
      </c>
      <c r="V129" s="11">
        <f t="shared" si="37"/>
        <v>0.67298896703869104</v>
      </c>
      <c r="W129">
        <f t="shared" si="38"/>
        <v>-2.835552868316173E-2</v>
      </c>
      <c r="X129" s="13">
        <f t="shared" si="39"/>
        <v>-6.5932586912830993E-2</v>
      </c>
      <c r="Y129" s="13">
        <v>0.43406741308716901</v>
      </c>
    </row>
    <row r="130" spans="1:25" x14ac:dyDescent="0.25">
      <c r="A130" s="1">
        <v>1971</v>
      </c>
      <c r="B130" s="1">
        <f t="shared" si="30"/>
        <v>-0.184</v>
      </c>
      <c r="C130" s="1">
        <f t="shared" si="40"/>
        <v>-0.18715665000000001</v>
      </c>
      <c r="D130" s="1">
        <f t="shared" si="41"/>
        <v>1.2837189080935341E-3</v>
      </c>
      <c r="E130" s="7">
        <f t="shared" si="31"/>
        <v>0.60542258513367087</v>
      </c>
      <c r="F130" s="1">
        <f t="shared" si="32"/>
        <v>3.1566500000000108E-3</v>
      </c>
      <c r="G130" s="9">
        <f t="shared" si="25"/>
        <v>0.60542258513367087</v>
      </c>
      <c r="H130" s="1">
        <f t="shared" si="42"/>
        <v>-2.1967613073228254E-2</v>
      </c>
      <c r="I130" s="1" t="e">
        <f t="shared" si="33"/>
        <v>#NUM!</v>
      </c>
      <c r="J130" s="3" t="b">
        <f t="shared" si="43"/>
        <v>0</v>
      </c>
      <c r="K130" s="3">
        <f t="shared" si="44"/>
        <v>0.60542258513367087</v>
      </c>
      <c r="L130" s="6">
        <v>-0.184</v>
      </c>
      <c r="M130" s="4">
        <v>-0.19</v>
      </c>
      <c r="N130" s="5">
        <v>-0.20200000000000001</v>
      </c>
      <c r="O130">
        <f t="shared" si="34"/>
        <v>-0.20200000000000001</v>
      </c>
      <c r="P130">
        <f t="shared" si="35"/>
        <v>0.94059405940594054</v>
      </c>
      <c r="Q130">
        <f t="shared" si="36"/>
        <v>0.91089108910891081</v>
      </c>
      <c r="R130">
        <f t="shared" si="45"/>
        <v>-0.86418019801980184</v>
      </c>
      <c r="T130">
        <v>-0.20200000000000001</v>
      </c>
      <c r="U130">
        <v>-0.19375000000000001</v>
      </c>
      <c r="V130" s="11">
        <f t="shared" si="37"/>
        <v>0.67109971959143877</v>
      </c>
      <c r="W130">
        <f t="shared" si="38"/>
        <v>-0.25989348013649333</v>
      </c>
      <c r="X130" s="13">
        <f t="shared" si="39"/>
        <v>-6.4472826067501987E-2</v>
      </c>
      <c r="Y130" s="13">
        <v>0.43552717393249801</v>
      </c>
    </row>
    <row r="131" spans="1:25" x14ac:dyDescent="0.25">
      <c r="A131" s="1">
        <v>1972</v>
      </c>
      <c r="B131" s="1">
        <f t="shared" si="30"/>
        <v>-6.9000000000000006E-2</v>
      </c>
      <c r="C131" s="1">
        <f t="shared" si="40"/>
        <v>-7.3962249999999993E-2</v>
      </c>
      <c r="D131" s="1">
        <f t="shared" si="41"/>
        <v>0</v>
      </c>
      <c r="E131" s="1">
        <f t="shared" si="31"/>
        <v>0.44416089389675084</v>
      </c>
      <c r="F131" s="1">
        <f t="shared" si="32"/>
        <v>4.9622499999999875E-3</v>
      </c>
      <c r="G131" s="9">
        <f t="shared" si="25"/>
        <v>0.44416089389675084</v>
      </c>
      <c r="H131" s="1">
        <f t="shared" si="42"/>
        <v>0.10918167847656253</v>
      </c>
      <c r="I131" s="1">
        <f t="shared" si="33"/>
        <v>0.44416089389675084</v>
      </c>
      <c r="J131" s="3">
        <f t="shared" si="43"/>
        <v>0.44416089389675084</v>
      </c>
      <c r="K131" s="3">
        <f t="shared" si="44"/>
        <v>0.21267251646350011</v>
      </c>
      <c r="L131" s="6">
        <v>-6.9000000000000006E-2</v>
      </c>
      <c r="M131" s="4">
        <v>5.0000000000000001E-3</v>
      </c>
      <c r="N131" s="5">
        <v>-0.24</v>
      </c>
      <c r="O131">
        <f t="shared" si="34"/>
        <v>-0.24</v>
      </c>
      <c r="P131">
        <f t="shared" si="35"/>
        <v>-2.0833333333333336E-2</v>
      </c>
      <c r="Q131">
        <f t="shared" si="36"/>
        <v>0.28750000000000003</v>
      </c>
      <c r="R131">
        <f t="shared" si="45"/>
        <v>-0.30356875000000005</v>
      </c>
      <c r="T131">
        <v>-0.24</v>
      </c>
      <c r="U131">
        <v>-0.23408300000000001</v>
      </c>
      <c r="V131" s="11">
        <f t="shared" si="37"/>
        <v>0.6692327419295907</v>
      </c>
      <c r="W131">
        <f t="shared" si="38"/>
        <v>-6.3379774338549258E-2</v>
      </c>
      <c r="X131" s="13">
        <f t="shared" si="39"/>
        <v>-6.0197291891745996E-2</v>
      </c>
      <c r="Y131" s="13">
        <v>0.439802708108254</v>
      </c>
    </row>
    <row r="132" spans="1:25" x14ac:dyDescent="0.25">
      <c r="A132" s="1">
        <v>1973</v>
      </c>
      <c r="B132" s="1">
        <f t="shared" si="30"/>
        <v>6.3E-2</v>
      </c>
      <c r="C132" s="1">
        <f t="shared" si="40"/>
        <v>5.434617500000001E-2</v>
      </c>
      <c r="D132" s="1">
        <f t="shared" si="41"/>
        <v>0</v>
      </c>
      <c r="E132" s="1">
        <f t="shared" si="31"/>
        <v>0.6991240645072051</v>
      </c>
      <c r="F132" s="1">
        <f t="shared" si="32"/>
        <v>8.65382499999999E-3</v>
      </c>
      <c r="G132" s="9">
        <f t="shared" si="25"/>
        <v>0.6991240645072051</v>
      </c>
      <c r="H132" s="1">
        <f t="shared" si="42"/>
        <v>0.20681834977692662</v>
      </c>
      <c r="I132" s="1">
        <f t="shared" si="33"/>
        <v>0.6991240645072051</v>
      </c>
      <c r="J132" s="3">
        <f t="shared" si="43"/>
        <v>0.6991240645072051</v>
      </c>
      <c r="K132" s="3">
        <f t="shared" si="44"/>
        <v>0.38052181205854985</v>
      </c>
      <c r="L132" s="6">
        <v>6.3E-2</v>
      </c>
      <c r="M132" s="4">
        <v>1.4999999999999999E-2</v>
      </c>
      <c r="N132" s="5">
        <v>0.13900000000000001</v>
      </c>
      <c r="O132">
        <f t="shared" si="34"/>
        <v>0.13900000000000001</v>
      </c>
      <c r="P132">
        <f t="shared" si="35"/>
        <v>0.10791366906474818</v>
      </c>
      <c r="Q132">
        <f t="shared" si="36"/>
        <v>0.4532374100719424</v>
      </c>
      <c r="R132">
        <f t="shared" si="45"/>
        <v>-0.54315683453237407</v>
      </c>
      <c r="T132">
        <v>0.13900000000000001</v>
      </c>
      <c r="U132">
        <v>0.122417</v>
      </c>
      <c r="V132" s="11">
        <f t="shared" si="37"/>
        <v>0.66738278511911631</v>
      </c>
      <c r="W132">
        <f t="shared" si="38"/>
        <v>5.5836719095344593E-2</v>
      </c>
      <c r="X132" s="13">
        <f t="shared" si="39"/>
        <v>1.7840579678051971E-2</v>
      </c>
      <c r="Y132" s="13">
        <v>0.51784057967805197</v>
      </c>
    </row>
    <row r="133" spans="1:25" x14ac:dyDescent="0.25">
      <c r="A133" s="1">
        <v>1974</v>
      </c>
      <c r="B133" s="1">
        <f t="shared" si="30"/>
        <v>-0.21099999999999999</v>
      </c>
      <c r="C133" s="1">
        <f t="shared" si="40"/>
        <v>-0.19455287500000001</v>
      </c>
      <c r="D133" s="1">
        <f t="shared" si="41"/>
        <v>0</v>
      </c>
      <c r="E133" s="1">
        <f t="shared" si="31"/>
        <v>0.85655948049632191</v>
      </c>
      <c r="F133" s="1">
        <f t="shared" si="32"/>
        <v>1.6447124999999979E-2</v>
      </c>
      <c r="G133" s="9">
        <f t="shared" si="25"/>
        <v>0.85655948049632191</v>
      </c>
      <c r="H133" s="1">
        <f t="shared" si="42"/>
        <v>0.17525156463076702</v>
      </c>
      <c r="I133" s="1">
        <f t="shared" si="33"/>
        <v>0.85655948049632191</v>
      </c>
      <c r="J133" s="3">
        <f t="shared" si="43"/>
        <v>0.85655948049632191</v>
      </c>
      <c r="K133" s="3">
        <f t="shared" si="44"/>
        <v>0.56327758156706287</v>
      </c>
      <c r="L133" s="6">
        <v>-0.21099999999999999</v>
      </c>
      <c r="M133" s="4">
        <v>-0.16200000000000001</v>
      </c>
      <c r="N133" s="5">
        <v>-0.28100000000000003</v>
      </c>
      <c r="O133">
        <f t="shared" si="34"/>
        <v>-0.28100000000000003</v>
      </c>
      <c r="P133">
        <f t="shared" si="35"/>
        <v>0.57651245551601416</v>
      </c>
      <c r="Q133">
        <f t="shared" si="36"/>
        <v>0.7508896797153024</v>
      </c>
      <c r="R133">
        <f t="shared" si="45"/>
        <v>-0.8040224199288255</v>
      </c>
      <c r="T133">
        <v>-0.28100000000000003</v>
      </c>
      <c r="U133">
        <v>-0.27274999999999999</v>
      </c>
      <c r="V133" s="11">
        <f t="shared" si="37"/>
        <v>0.66554370988160372</v>
      </c>
      <c r="W133">
        <f t="shared" si="38"/>
        <v>-0.25417202298130204</v>
      </c>
      <c r="X133" s="13">
        <f t="shared" si="39"/>
        <v>-2.7159713015963982E-2</v>
      </c>
      <c r="Y133" s="13">
        <v>0.47284028698403602</v>
      </c>
    </row>
    <row r="134" spans="1:25" x14ac:dyDescent="0.25">
      <c r="A134" s="1">
        <v>1975</v>
      </c>
      <c r="B134" s="1">
        <f t="shared" si="30"/>
        <v>-0.14499999999999999</v>
      </c>
      <c r="C134" s="1">
        <f t="shared" si="40"/>
        <v>-0.14052827500000001</v>
      </c>
      <c r="D134" s="1">
        <f t="shared" si="41"/>
        <v>-2.1499999999999991E-2</v>
      </c>
      <c r="E134" s="1">
        <f t="shared" si="31"/>
        <v>1</v>
      </c>
      <c r="F134" s="1">
        <f t="shared" si="32"/>
        <v>4.471724999999982E-3</v>
      </c>
      <c r="G134" s="9">
        <f t="shared" si="25"/>
        <v>1</v>
      </c>
      <c r="H134" s="1">
        <f t="shared" si="42"/>
        <v>3.143684456512772</v>
      </c>
      <c r="I134" s="1">
        <f t="shared" si="33"/>
        <v>2.939234368549632</v>
      </c>
      <c r="J134" s="3">
        <f t="shared" si="43"/>
        <v>2.939234368549632</v>
      </c>
      <c r="K134" s="3">
        <f t="shared" si="44"/>
        <v>1.6970851185691562</v>
      </c>
      <c r="L134" s="6">
        <v>-0.14499999999999999</v>
      </c>
      <c r="M134" s="4">
        <v>-0.19</v>
      </c>
      <c r="N134" s="5">
        <v>-5.7000000000000002E-2</v>
      </c>
      <c r="O134">
        <f t="shared" si="34"/>
        <v>-5.7000000000000002E-2</v>
      </c>
      <c r="P134">
        <f t="shared" si="35"/>
        <v>3.333333333333333</v>
      </c>
      <c r="Q134">
        <f t="shared" si="36"/>
        <v>2.5438596491228069</v>
      </c>
      <c r="R134">
        <f t="shared" si="45"/>
        <v>-2.4224192982456136</v>
      </c>
      <c r="T134">
        <v>-5.7000000000000002E-2</v>
      </c>
      <c r="U134">
        <v>-5.3833300000000001E-2</v>
      </c>
      <c r="V134" s="11">
        <f t="shared" si="37"/>
        <v>0.66370844934135675</v>
      </c>
      <c r="W134">
        <f t="shared" si="38"/>
        <v>-0.22063019493116764</v>
      </c>
      <c r="X134" s="13">
        <f t="shared" si="39"/>
        <v>2.2789824078841003E-2</v>
      </c>
      <c r="Y134" s="13">
        <v>0.522789824078841</v>
      </c>
    </row>
    <row r="135" spans="1:25" x14ac:dyDescent="0.25">
      <c r="A135" s="1">
        <v>1976</v>
      </c>
      <c r="B135" s="1">
        <f t="shared" si="30"/>
        <v>-0.23799999999999999</v>
      </c>
      <c r="C135" s="1">
        <f t="shared" si="40"/>
        <v>-0.22960454999999999</v>
      </c>
      <c r="D135" s="1">
        <f t="shared" si="41"/>
        <v>0</v>
      </c>
      <c r="E135" s="1">
        <f t="shared" si="31"/>
        <v>0.66994207810619533</v>
      </c>
      <c r="F135" s="1">
        <f t="shared" si="32"/>
        <v>8.3954499999999987E-3</v>
      </c>
      <c r="G135" s="9">
        <f t="shared" si="25"/>
        <v>0.66994207810619533</v>
      </c>
      <c r="H135" s="1">
        <f t="shared" si="42"/>
        <v>6.8037953730090417E-2</v>
      </c>
      <c r="I135" s="1">
        <f t="shared" si="33"/>
        <v>0.66994207810619533</v>
      </c>
      <c r="J135" s="3">
        <f t="shared" si="43"/>
        <v>0.66994207810619533</v>
      </c>
      <c r="K135" s="3">
        <f t="shared" si="44"/>
        <v>0.48720363127142791</v>
      </c>
      <c r="L135" s="6">
        <v>-0.23799999999999999</v>
      </c>
      <c r="M135" s="4">
        <v>-0.18</v>
      </c>
      <c r="N135" s="5">
        <v>-0.35399999999999998</v>
      </c>
      <c r="O135">
        <f t="shared" si="34"/>
        <v>-0.35399999999999998</v>
      </c>
      <c r="P135">
        <f t="shared" si="35"/>
        <v>0.50847457627118642</v>
      </c>
      <c r="Q135">
        <f t="shared" si="36"/>
        <v>0.67231638418079098</v>
      </c>
      <c r="R135">
        <f t="shared" si="45"/>
        <v>-0.69543446327683622</v>
      </c>
      <c r="T135">
        <v>-0.35399999999999998</v>
      </c>
      <c r="U135">
        <v>-0.341333</v>
      </c>
      <c r="V135" s="11">
        <f t="shared" si="37"/>
        <v>0.66186899412423372</v>
      </c>
      <c r="W135">
        <f t="shared" si="38"/>
        <v>-0.29544601222335781</v>
      </c>
      <c r="X135" s="13">
        <f t="shared" si="39"/>
        <v>-5.0467372764099738E-3</v>
      </c>
      <c r="Y135" s="13">
        <v>0.49495326272359003</v>
      </c>
    </row>
    <row r="136" spans="1:25" x14ac:dyDescent="0.25">
      <c r="A136" s="1">
        <v>1977</v>
      </c>
      <c r="B136" s="1">
        <f t="shared" si="30"/>
        <v>4.5999999999999999E-2</v>
      </c>
      <c r="C136" s="1">
        <f t="shared" si="40"/>
        <v>3.0549625E-2</v>
      </c>
      <c r="D136" s="1">
        <f t="shared" si="41"/>
        <v>1.4669138046835992E-2</v>
      </c>
      <c r="E136" s="1">
        <f t="shared" si="31"/>
        <v>0.52828260349957545</v>
      </c>
      <c r="F136" s="1">
        <f t="shared" si="32"/>
        <v>1.5450374999999999E-2</v>
      </c>
      <c r="G136" s="9">
        <f t="shared" si="25"/>
        <v>0.52828260349957545</v>
      </c>
      <c r="H136" s="1">
        <f t="shared" si="42"/>
        <v>0.52054426145328714</v>
      </c>
      <c r="I136" s="1">
        <f t="shared" si="33"/>
        <v>1.033738350884307</v>
      </c>
      <c r="J136" s="3">
        <f t="shared" si="43"/>
        <v>1.033738350884307</v>
      </c>
      <c r="K136" s="3">
        <f t="shared" si="44"/>
        <v>0.52828260349957545</v>
      </c>
      <c r="L136" s="6">
        <v>4.5999999999999999E-2</v>
      </c>
      <c r="M136" s="4">
        <v>5.0000000000000001E-3</v>
      </c>
      <c r="N136" s="5">
        <v>8.5000000000000006E-2</v>
      </c>
      <c r="O136">
        <f t="shared" si="34"/>
        <v>8.5000000000000006E-2</v>
      </c>
      <c r="P136">
        <f t="shared" si="35"/>
        <v>5.8823529411764705E-2</v>
      </c>
      <c r="Q136">
        <f t="shared" si="36"/>
        <v>0.54117647058823526</v>
      </c>
      <c r="R136">
        <f t="shared" si="45"/>
        <v>-0.75407058823529405</v>
      </c>
      <c r="T136">
        <v>8.5000000000000006E-2</v>
      </c>
      <c r="U136">
        <v>7.5499999999999998E-2</v>
      </c>
      <c r="V136" s="11">
        <f t="shared" si="37"/>
        <v>0.66001637745648623</v>
      </c>
      <c r="W136">
        <f t="shared" si="38"/>
        <v>2.9742184018587504E-2</v>
      </c>
      <c r="X136" s="13">
        <f t="shared" si="39"/>
        <v>6.8620632446191987E-2</v>
      </c>
      <c r="Y136" s="13">
        <v>0.56862063244619199</v>
      </c>
    </row>
    <row r="137" spans="1:25" x14ac:dyDescent="0.25">
      <c r="A137" s="1">
        <v>1978</v>
      </c>
      <c r="B137" s="1">
        <f t="shared" si="30"/>
        <v>-6.2E-2</v>
      </c>
      <c r="C137" s="1">
        <f t="shared" si="40"/>
        <v>-5.6275625000000003E-2</v>
      </c>
      <c r="D137" s="1">
        <f t="shared" si="41"/>
        <v>-6.3701230619899255E-3</v>
      </c>
      <c r="E137" s="1">
        <f t="shared" si="31"/>
        <v>0.89493992917329468</v>
      </c>
      <c r="F137" s="1">
        <f t="shared" si="32"/>
        <v>5.7243749999999968E-3</v>
      </c>
      <c r="G137" s="9">
        <f t="shared" si="25"/>
        <v>0.89493992917329468</v>
      </c>
      <c r="H137" s="1">
        <f t="shared" si="42"/>
        <v>0.63823000138792763</v>
      </c>
      <c r="I137" s="1">
        <f t="shared" si="33"/>
        <v>1.4546239595368871</v>
      </c>
      <c r="J137" s="3">
        <f t="shared" si="43"/>
        <v>1.4546239595368871</v>
      </c>
      <c r="K137" s="3">
        <f t="shared" si="44"/>
        <v>0.89493992917329468</v>
      </c>
      <c r="L137" s="6">
        <v>-6.2E-2</v>
      </c>
      <c r="M137" s="4">
        <v>-6.2E-2</v>
      </c>
      <c r="N137" s="5">
        <v>-5.0999999999999997E-2</v>
      </c>
      <c r="O137">
        <f t="shared" si="34"/>
        <v>-5.0999999999999997E-2</v>
      </c>
      <c r="P137">
        <f t="shared" si="35"/>
        <v>1.215686274509804</v>
      </c>
      <c r="Q137">
        <f t="shared" si="36"/>
        <v>1.215686274509804</v>
      </c>
      <c r="R137">
        <f t="shared" si="45"/>
        <v>-1.2774372549019608</v>
      </c>
      <c r="T137">
        <v>-5.0999999999999997E-2</v>
      </c>
      <c r="U137">
        <v>-4.9000000000000002E-2</v>
      </c>
      <c r="V137" s="11">
        <f t="shared" si="37"/>
        <v>0.6581405783072114</v>
      </c>
      <c r="W137">
        <f t="shared" si="38"/>
        <v>-8.1835264077724679E-2</v>
      </c>
      <c r="X137" s="13">
        <f t="shared" si="39"/>
        <v>6.547330568617904E-2</v>
      </c>
      <c r="Y137" s="13">
        <v>0.56547330568617904</v>
      </c>
    </row>
    <row r="138" spans="1:25" x14ac:dyDescent="0.25">
      <c r="A138" s="1">
        <v>1979</v>
      </c>
      <c r="B138" s="1">
        <f t="shared" si="30"/>
        <v>5.8000000000000003E-2</v>
      </c>
      <c r="C138" s="1">
        <f t="shared" ref="C138:C171" si="46">1/2*($O138*($C$1*$G$2+$G$1 )+$M138*($G$2+$G$1/$C$1))</f>
        <v>5.1773575000000002E-2</v>
      </c>
      <c r="D138" s="1">
        <f t="shared" ref="D138:D171" si="47">$B138 - (1/2*($O138*($E138*$G$2+$G$1 )+$M138*($G$2+$G$1/$E138)))</f>
        <v>9.0000000000000011E-3</v>
      </c>
      <c r="E138" s="1">
        <f t="shared" si="31"/>
        <v>1</v>
      </c>
      <c r="F138" s="1">
        <f t="shared" si="32"/>
        <v>6.2264250000000007E-3</v>
      </c>
      <c r="G138" s="9">
        <f t="shared" ref="G138:G171" si="48">+IF($H138 &gt; 0,IF($I138&lt;1, $I138, IF($K138&gt;1,1,$K138)), $K138)</f>
        <v>1</v>
      </c>
      <c r="H138" s="1">
        <f t="shared" ref="H138:H171" si="49">+$R138*$R138-4*$G$1*$G$2*$P138</f>
        <v>1.5679919140897955</v>
      </c>
      <c r="I138" s="1">
        <f t="shared" si="33"/>
        <v>2.0985852269825198</v>
      </c>
      <c r="J138" s="3">
        <f t="shared" ref="J138:J171" si="50">+IF($R138*$R138-4*$G$1*$G$2*$P138 &gt; 0,(-$R138+SQRT($R138*$R138-4*$G$1*$G$2*$P138))/2/$G$2)</f>
        <v>2.0985852269825198</v>
      </c>
      <c r="K138" s="3">
        <f t="shared" ref="K138:K171" si="51">-$R138/2/$G$2</f>
        <v>1.2213294901819491</v>
      </c>
      <c r="L138" s="6">
        <v>5.8000000000000003E-2</v>
      </c>
      <c r="M138" s="4">
        <v>6.3E-2</v>
      </c>
      <c r="N138" s="5">
        <v>3.5000000000000003E-2</v>
      </c>
      <c r="O138">
        <f t="shared" si="34"/>
        <v>3.5000000000000003E-2</v>
      </c>
      <c r="P138">
        <f t="shared" si="35"/>
        <v>1.7999999999999998</v>
      </c>
      <c r="Q138">
        <f t="shared" si="36"/>
        <v>1.657142857142857</v>
      </c>
      <c r="R138">
        <f t="shared" ref="R138:R171" si="52">+$G$1+$P138*$G$2-2*$Q138</f>
        <v>-1.7433257142857141</v>
      </c>
      <c r="T138">
        <v>3.5000000000000003E-2</v>
      </c>
      <c r="U138">
        <v>3.5999999999999997E-2</v>
      </c>
      <c r="V138" s="11">
        <f t="shared" si="37"/>
        <v>0.65623060334473848</v>
      </c>
      <c r="W138">
        <f t="shared" si="38"/>
        <v>7.8537725150469667E-2</v>
      </c>
      <c r="X138" s="13">
        <f t="shared" si="39"/>
        <v>7.4038083215329009E-2</v>
      </c>
      <c r="Y138" s="13">
        <v>0.57403808321532901</v>
      </c>
    </row>
    <row r="139" spans="1:25" x14ac:dyDescent="0.25">
      <c r="A139" s="1">
        <v>1980</v>
      </c>
      <c r="B139" s="1">
        <f t="shared" ref="B139:B171" si="53">+$L139</f>
        <v>9.2999999999999999E-2</v>
      </c>
      <c r="C139" s="1">
        <f t="shared" si="46"/>
        <v>7.8142724999999996E-2</v>
      </c>
      <c r="D139" s="1">
        <f t="shared" si="47"/>
        <v>0</v>
      </c>
      <c r="E139" s="1">
        <f t="shared" ref="E139:E171" si="54">+$G139</f>
        <v>0.96263507814464033</v>
      </c>
      <c r="F139" s="1">
        <f t="shared" ref="F139:F171" si="55">+ABS($B139-$C139)</f>
        <v>1.4857275000000003E-2</v>
      </c>
      <c r="G139" s="9">
        <f t="shared" si="48"/>
        <v>0.96263507814464033</v>
      </c>
      <c r="H139" s="1">
        <f t="shared" si="49"/>
        <v>0.32270072178271614</v>
      </c>
      <c r="I139" s="1">
        <f t="shared" ref="I139:I171" si="56">+(-$R139+SQRT($R139*$R139-4*$G$1*$G$2*$P139))/2/$G$2</f>
        <v>0.96263507814464033</v>
      </c>
      <c r="J139" s="3">
        <f t="shared" si="50"/>
        <v>0.96263507814464033</v>
      </c>
      <c r="K139" s="3">
        <f t="shared" si="51"/>
        <v>0.56466146684725926</v>
      </c>
      <c r="L139" s="6">
        <v>9.2999999999999999E-2</v>
      </c>
      <c r="M139" s="4">
        <v>5.3999999999999999E-2</v>
      </c>
      <c r="N139" s="5">
        <v>0.13500000000000001</v>
      </c>
      <c r="O139">
        <f t="shared" ref="O139:O170" si="57">+$N139+$N$1</f>
        <v>0.13500000000000001</v>
      </c>
      <c r="P139">
        <f t="shared" ref="P139:P171" si="58">+$M139/($O139)</f>
        <v>0.39999999999999997</v>
      </c>
      <c r="Q139">
        <f t="shared" ref="Q139:Q171" si="59">+$L139/($O139)</f>
        <v>0.68888888888888888</v>
      </c>
      <c r="R139">
        <f t="shared" si="52"/>
        <v>-0.80599777777777781</v>
      </c>
      <c r="T139">
        <v>0.13500000000000001</v>
      </c>
      <c r="U139">
        <v>0.1305</v>
      </c>
      <c r="V139" s="11">
        <f t="shared" ref="V139:V171" si="60">-2.2979737161E-10*$A139^5 + 0.0000022285768284*$A139^4 - 0.0086436385146*$A139^3 + 16.759480306*$A139^2 - 16244.935412*$A139 + 6297344.9302</f>
        <v>0.65427434537559748</v>
      </c>
      <c r="W139">
        <f t="shared" ref="W139:W171" si="61">+$G$2*$M139/$V139+$G$1*$N139</f>
        <v>9.7555147985052146E-2</v>
      </c>
      <c r="X139" s="13">
        <f t="shared" ref="X139:X168" si="62">+$Y139+$X$1</f>
        <v>0.13897487637411798</v>
      </c>
      <c r="Y139" s="13">
        <v>0.63897487637411798</v>
      </c>
    </row>
    <row r="140" spans="1:25" x14ac:dyDescent="0.25">
      <c r="A140" s="1">
        <v>1981</v>
      </c>
      <c r="B140" s="1">
        <f t="shared" si="53"/>
        <v>0.14199999999999999</v>
      </c>
      <c r="C140" s="1">
        <f t="shared" si="46"/>
        <v>0.11930432499999999</v>
      </c>
      <c r="D140" s="1">
        <f t="shared" si="47"/>
        <v>0</v>
      </c>
      <c r="E140" s="1">
        <f t="shared" si="54"/>
        <v>0.72161740222205606</v>
      </c>
      <c r="F140" s="1">
        <f t="shared" si="55"/>
        <v>2.2695674999999998E-2</v>
      </c>
      <c r="G140" s="9">
        <f t="shared" si="48"/>
        <v>0.72161740222205606</v>
      </c>
      <c r="H140" s="1">
        <f t="shared" si="49"/>
        <v>0.23157841916866509</v>
      </c>
      <c r="I140" s="1">
        <f t="shared" si="56"/>
        <v>0.72161740222205606</v>
      </c>
      <c r="J140" s="3">
        <f t="shared" si="50"/>
        <v>0.72161740222205606</v>
      </c>
      <c r="K140" s="3">
        <f t="shared" si="51"/>
        <v>0.38448278376912592</v>
      </c>
      <c r="L140" s="6">
        <v>0.14199999999999999</v>
      </c>
      <c r="M140" s="4">
        <v>2.7E-2</v>
      </c>
      <c r="N140" s="5">
        <v>0.317</v>
      </c>
      <c r="O140">
        <f t="shared" si="57"/>
        <v>0.317</v>
      </c>
      <c r="P140">
        <f t="shared" si="58"/>
        <v>8.5173501577287064E-2</v>
      </c>
      <c r="Q140">
        <f t="shared" si="59"/>
        <v>0.44794952681388006</v>
      </c>
      <c r="R140">
        <f t="shared" si="52"/>
        <v>-0.54881072555205035</v>
      </c>
      <c r="T140">
        <v>0.317</v>
      </c>
      <c r="U140">
        <v>0.31</v>
      </c>
      <c r="V140" s="11">
        <f t="shared" si="60"/>
        <v>0.65225865412503481</v>
      </c>
      <c r="W140">
        <f t="shared" si="61"/>
        <v>0.1203004412468086</v>
      </c>
      <c r="X140" s="13">
        <f t="shared" si="62"/>
        <v>0.16978943079805198</v>
      </c>
      <c r="Y140" s="13">
        <v>0.66978943079805198</v>
      </c>
    </row>
    <row r="141" spans="1:25" x14ac:dyDescent="0.25">
      <c r="A141" s="1">
        <v>1982</v>
      </c>
      <c r="B141" s="1">
        <f t="shared" si="53"/>
        <v>1.2999999999999999E-2</v>
      </c>
      <c r="C141" s="1">
        <f t="shared" si="46"/>
        <v>7.7177999999999986E-3</v>
      </c>
      <c r="D141" s="1">
        <f t="shared" si="47"/>
        <v>2.7755575615628914E-17</v>
      </c>
      <c r="E141" s="1">
        <f t="shared" si="54"/>
        <v>0.21151466263202789</v>
      </c>
      <c r="F141" s="1">
        <f t="shared" si="55"/>
        <v>5.2822000000000008E-3</v>
      </c>
      <c r="G141" s="9">
        <f t="shared" si="48"/>
        <v>0.21151466263202789</v>
      </c>
      <c r="H141" s="1">
        <f t="shared" si="49"/>
        <v>80.087572622500005</v>
      </c>
      <c r="I141" s="1">
        <f t="shared" si="56"/>
        <v>0.21151466263202789</v>
      </c>
      <c r="J141" s="3">
        <f t="shared" si="50"/>
        <v>0.21151466263202789</v>
      </c>
      <c r="K141" s="3">
        <f t="shared" si="51"/>
        <v>-6.0580425949278407</v>
      </c>
      <c r="L141" s="6">
        <v>1.2999999999999999E-2</v>
      </c>
      <c r="M141" s="4">
        <v>1.2999999999999999E-2</v>
      </c>
      <c r="N141" s="5">
        <v>-2E-3</v>
      </c>
      <c r="O141">
        <f t="shared" si="57"/>
        <v>-2E-3</v>
      </c>
      <c r="P141">
        <f t="shared" si="58"/>
        <v>-6.5</v>
      </c>
      <c r="Q141">
        <f t="shared" si="59"/>
        <v>-6.5</v>
      </c>
      <c r="R141">
        <f t="shared" si="52"/>
        <v>8.6472499999999997</v>
      </c>
      <c r="T141">
        <v>-2E-3</v>
      </c>
      <c r="U141">
        <v>6.3333299999999999E-3</v>
      </c>
      <c r="V141" s="11">
        <f t="shared" si="60"/>
        <v>0.65016922820359468</v>
      </c>
      <c r="W141">
        <f t="shared" si="61"/>
        <v>1.369768471592729E-2</v>
      </c>
      <c r="X141" s="13">
        <f t="shared" si="62"/>
        <v>0.124775057019747</v>
      </c>
      <c r="Y141" s="13">
        <v>0.624775057019747</v>
      </c>
    </row>
    <row r="142" spans="1:25" x14ac:dyDescent="0.25">
      <c r="A142" s="1">
        <v>1983</v>
      </c>
      <c r="B142" s="1">
        <f t="shared" si="53"/>
        <v>0.191</v>
      </c>
      <c r="C142" s="1">
        <f t="shared" si="46"/>
        <v>0.18297617500000002</v>
      </c>
      <c r="D142" s="1">
        <f t="shared" si="47"/>
        <v>0</v>
      </c>
      <c r="E142" s="1">
        <f t="shared" si="54"/>
        <v>0.62598015234761573</v>
      </c>
      <c r="F142" s="1">
        <f t="shared" si="55"/>
        <v>8.0238249999999844E-3</v>
      </c>
      <c r="G142" s="9">
        <f t="shared" si="48"/>
        <v>0.62598015234761573</v>
      </c>
      <c r="H142" s="1">
        <f t="shared" si="49"/>
        <v>7.9711656748295445E-2</v>
      </c>
      <c r="I142" s="1">
        <f t="shared" si="56"/>
        <v>0.62598015234761573</v>
      </c>
      <c r="J142" s="3">
        <f t="shared" si="50"/>
        <v>0.62598015234761573</v>
      </c>
      <c r="K142" s="3">
        <f t="shared" si="51"/>
        <v>0.4281851904059818</v>
      </c>
      <c r="L142" s="6">
        <v>0.191</v>
      </c>
      <c r="M142" s="4">
        <v>0.11899999999999999</v>
      </c>
      <c r="N142" s="5">
        <v>0.33100000000000002</v>
      </c>
      <c r="O142">
        <f t="shared" si="57"/>
        <v>0.33100000000000002</v>
      </c>
      <c r="P142">
        <f t="shared" si="58"/>
        <v>0.35951661631419934</v>
      </c>
      <c r="Q142">
        <f t="shared" si="59"/>
        <v>0.57703927492447127</v>
      </c>
      <c r="R142">
        <f t="shared" si="52"/>
        <v>-0.61119154078549842</v>
      </c>
      <c r="T142">
        <v>0.33100000000000002</v>
      </c>
      <c r="U142">
        <v>0.32183299999999998</v>
      </c>
      <c r="V142" s="11">
        <f t="shared" si="60"/>
        <v>0.64799068961292505</v>
      </c>
      <c r="W142">
        <f t="shared" si="61"/>
        <v>0.22583246093518694</v>
      </c>
      <c r="X142" s="13">
        <f t="shared" si="62"/>
        <v>0.18317437869775899</v>
      </c>
      <c r="Y142" s="13">
        <v>0.68317437869775899</v>
      </c>
    </row>
    <row r="143" spans="1:25" x14ac:dyDescent="0.25">
      <c r="A143" s="1">
        <v>1984</v>
      </c>
      <c r="B143" s="1">
        <f t="shared" si="53"/>
        <v>-1.4E-2</v>
      </c>
      <c r="C143" s="1">
        <f t="shared" si="46"/>
        <v>-2.0902375000000001E-2</v>
      </c>
      <c r="D143" s="1">
        <f t="shared" si="47"/>
        <v>9.5283456905194529E-3</v>
      </c>
      <c r="E143" s="7">
        <f t="shared" si="54"/>
        <v>0.12422742204162969</v>
      </c>
      <c r="F143" s="1">
        <f t="shared" si="55"/>
        <v>6.9023750000000005E-3</v>
      </c>
      <c r="G143" s="9">
        <f t="shared" si="48"/>
        <v>0.12422742204162969</v>
      </c>
      <c r="H143" s="1">
        <f t="shared" si="49"/>
        <v>-0.15018554950617283</v>
      </c>
      <c r="I143" s="1" t="e">
        <f t="shared" si="56"/>
        <v>#NUM!</v>
      </c>
      <c r="J143" s="3" t="b">
        <f t="shared" si="50"/>
        <v>0</v>
      </c>
      <c r="K143" s="3">
        <f t="shared" si="51"/>
        <v>0.12422742204162969</v>
      </c>
      <c r="L143" s="6">
        <v>-1.4E-2</v>
      </c>
      <c r="M143" s="4">
        <v>-0.01</v>
      </c>
      <c r="N143" s="5">
        <v>-4.4999999999999998E-2</v>
      </c>
      <c r="O143">
        <f t="shared" si="57"/>
        <v>-4.4999999999999998E-2</v>
      </c>
      <c r="P143">
        <f t="shared" si="58"/>
        <v>0.22222222222222224</v>
      </c>
      <c r="Q143">
        <f t="shared" si="59"/>
        <v>0.31111111111111112</v>
      </c>
      <c r="R143">
        <f t="shared" si="52"/>
        <v>-0.17732222222222221</v>
      </c>
      <c r="T143">
        <v>-4.4999999999999998E-2</v>
      </c>
      <c r="U143">
        <v>-3.80833E-2</v>
      </c>
      <c r="V143" s="11">
        <f t="shared" si="60"/>
        <v>0.64570639748126268</v>
      </c>
      <c r="W143">
        <f t="shared" si="61"/>
        <v>-2.3936511132984947E-2</v>
      </c>
      <c r="X143" s="13">
        <f t="shared" si="62"/>
        <v>0.16544867621009096</v>
      </c>
      <c r="Y143" s="13">
        <v>0.66544867621009096</v>
      </c>
    </row>
    <row r="144" spans="1:25" x14ac:dyDescent="0.25">
      <c r="A144" s="1">
        <v>1985</v>
      </c>
      <c r="B144" s="1">
        <f t="shared" si="53"/>
        <v>-2.9000000000000001E-2</v>
      </c>
      <c r="C144" s="1">
        <f t="shared" si="46"/>
        <v>-3.6337975000000002E-2</v>
      </c>
      <c r="D144" s="1">
        <f t="shared" si="47"/>
        <v>8.4821434104758557E-3</v>
      </c>
      <c r="E144" s="7">
        <f t="shared" si="54"/>
        <v>0.42467762959566235</v>
      </c>
      <c r="F144" s="1">
        <f t="shared" si="55"/>
        <v>7.3379750000000001E-3</v>
      </c>
      <c r="G144" s="9">
        <f t="shared" si="48"/>
        <v>0.42467762959566235</v>
      </c>
      <c r="H144" s="1">
        <f t="shared" si="49"/>
        <v>-0.6232420385583104</v>
      </c>
      <c r="I144" s="1" t="e">
        <f t="shared" si="56"/>
        <v>#NUM!</v>
      </c>
      <c r="J144" s="3" t="b">
        <f t="shared" si="50"/>
        <v>0</v>
      </c>
      <c r="K144" s="3">
        <f t="shared" si="51"/>
        <v>0.42467762959566235</v>
      </c>
      <c r="L144" s="6">
        <v>-2.9000000000000001E-2</v>
      </c>
      <c r="M144" s="4">
        <v>-0.04</v>
      </c>
      <c r="N144" s="5">
        <v>-3.3000000000000002E-2</v>
      </c>
      <c r="O144">
        <f t="shared" si="57"/>
        <v>-3.3000000000000002E-2</v>
      </c>
      <c r="P144">
        <f t="shared" si="58"/>
        <v>1.2121212121212122</v>
      </c>
      <c r="Q144">
        <f t="shared" si="59"/>
        <v>0.87878787878787878</v>
      </c>
      <c r="R144">
        <f t="shared" si="52"/>
        <v>-0.60618484848484844</v>
      </c>
      <c r="T144">
        <v>-3.3000000000000002E-2</v>
      </c>
      <c r="U144">
        <v>-2.8000000000000001E-2</v>
      </c>
      <c r="V144" s="11">
        <f t="shared" si="60"/>
        <v>0.64329857472330332</v>
      </c>
      <c r="W144">
        <f t="shared" si="61"/>
        <v>-5.3825427203879034E-2</v>
      </c>
      <c r="X144" s="13">
        <f t="shared" si="62"/>
        <v>0.172984077670994</v>
      </c>
      <c r="Y144" s="13">
        <v>0.672984077670994</v>
      </c>
    </row>
    <row r="145" spans="1:25" x14ac:dyDescent="0.25">
      <c r="A145" s="1">
        <v>1986</v>
      </c>
      <c r="B145" s="1">
        <f t="shared" si="53"/>
        <v>4.7E-2</v>
      </c>
      <c r="C145" s="1">
        <f t="shared" si="46"/>
        <v>3.0228049999999999E-2</v>
      </c>
      <c r="D145" s="1">
        <f t="shared" si="47"/>
        <v>0</v>
      </c>
      <c r="E145" s="1">
        <f t="shared" si="54"/>
        <v>0.85554643747142245</v>
      </c>
      <c r="F145" s="1">
        <f t="shared" si="55"/>
        <v>1.6771950000000001E-2</v>
      </c>
      <c r="G145" s="9">
        <f t="shared" si="48"/>
        <v>0.85554643747142245</v>
      </c>
      <c r="H145" s="1">
        <f t="shared" si="49"/>
        <v>0.41842288075069445</v>
      </c>
      <c r="I145" s="1">
        <f t="shared" si="56"/>
        <v>0.85554643747142245</v>
      </c>
      <c r="J145" s="3">
        <f t="shared" si="50"/>
        <v>0.85554643747142245</v>
      </c>
      <c r="K145" s="3">
        <f t="shared" si="51"/>
        <v>0.40237553126897391</v>
      </c>
      <c r="L145" s="6">
        <v>4.7E-2</v>
      </c>
      <c r="M145" s="4">
        <v>-1.2999999999999999E-2</v>
      </c>
      <c r="N145" s="5">
        <v>0.12</v>
      </c>
      <c r="O145">
        <f t="shared" si="57"/>
        <v>0.12</v>
      </c>
      <c r="P145">
        <f t="shared" si="58"/>
        <v>-0.10833333333333334</v>
      </c>
      <c r="Q145">
        <f t="shared" si="59"/>
        <v>0.39166666666666666</v>
      </c>
      <c r="R145">
        <f t="shared" si="52"/>
        <v>-0.57435083333333337</v>
      </c>
      <c r="T145">
        <v>0.12</v>
      </c>
      <c r="U145">
        <v>0.1255</v>
      </c>
      <c r="V145" s="11">
        <f t="shared" si="60"/>
        <v>0.64074825588613749</v>
      </c>
      <c r="W145">
        <f t="shared" si="61"/>
        <v>1.9875898158491841E-2</v>
      </c>
      <c r="X145" s="13">
        <f t="shared" si="62"/>
        <v>0.21123929043022005</v>
      </c>
      <c r="Y145" s="13">
        <v>0.71123929043022005</v>
      </c>
    </row>
    <row r="146" spans="1:25" x14ac:dyDescent="0.25">
      <c r="A146" s="1">
        <v>1987</v>
      </c>
      <c r="B146" s="1">
        <f t="shared" si="53"/>
        <v>0.186</v>
      </c>
      <c r="C146" s="1">
        <f t="shared" si="46"/>
        <v>0.17429364999999999</v>
      </c>
      <c r="D146" s="1">
        <f t="shared" si="47"/>
        <v>0</v>
      </c>
      <c r="E146" s="1">
        <f t="shared" si="54"/>
        <v>0.80513085164411136</v>
      </c>
      <c r="F146" s="1">
        <f t="shared" si="55"/>
        <v>1.1706350000000004E-2</v>
      </c>
      <c r="G146" s="9">
        <f t="shared" si="48"/>
        <v>0.80513085164411136</v>
      </c>
      <c r="H146" s="1">
        <f t="shared" si="49"/>
        <v>0.13691037183815219</v>
      </c>
      <c r="I146" s="1">
        <f t="shared" si="56"/>
        <v>0.80513085164411136</v>
      </c>
      <c r="J146" s="3">
        <f t="shared" si="50"/>
        <v>0.80513085164411136</v>
      </c>
      <c r="K146" s="3">
        <f t="shared" si="51"/>
        <v>0.54590847828552758</v>
      </c>
      <c r="L146" s="6">
        <v>0.186</v>
      </c>
      <c r="M146" s="4">
        <v>0.14499999999999999</v>
      </c>
      <c r="N146" s="5">
        <v>0.252</v>
      </c>
      <c r="O146">
        <f t="shared" si="57"/>
        <v>0.252</v>
      </c>
      <c r="P146">
        <f t="shared" si="58"/>
        <v>0.57539682539682535</v>
      </c>
      <c r="Q146">
        <f t="shared" si="59"/>
        <v>0.73809523809523814</v>
      </c>
      <c r="R146">
        <f t="shared" si="52"/>
        <v>-0.77922976190476201</v>
      </c>
      <c r="T146">
        <v>0.252</v>
      </c>
      <c r="U146">
        <v>0.246583</v>
      </c>
      <c r="V146" s="11">
        <f t="shared" si="60"/>
        <v>0.63803509343415499</v>
      </c>
      <c r="W146">
        <f t="shared" si="61"/>
        <v>0.23434322382218678</v>
      </c>
      <c r="X146" s="13">
        <f t="shared" si="62"/>
        <v>0.24425030625556499</v>
      </c>
      <c r="Y146" s="13">
        <v>0.74425030625556499</v>
      </c>
    </row>
    <row r="147" spans="1:25" x14ac:dyDescent="0.25">
      <c r="A147" s="1">
        <v>1988</v>
      </c>
      <c r="B147" s="1">
        <f t="shared" si="53"/>
        <v>0.20100000000000001</v>
      </c>
      <c r="C147" s="1">
        <f t="shared" si="46"/>
        <v>0.19005082500000001</v>
      </c>
      <c r="D147" s="1">
        <f t="shared" si="47"/>
        <v>0</v>
      </c>
      <c r="E147" s="1">
        <f t="shared" si="54"/>
        <v>0.62929486837917026</v>
      </c>
      <c r="F147" s="1">
        <f t="shared" si="55"/>
        <v>1.0949175000000005E-2</v>
      </c>
      <c r="G147" s="9">
        <f t="shared" si="48"/>
        <v>0.62929486837917026</v>
      </c>
      <c r="H147" s="1">
        <f t="shared" si="49"/>
        <v>0.10118830671936008</v>
      </c>
      <c r="I147" s="1">
        <f t="shared" si="56"/>
        <v>0.62929486837917026</v>
      </c>
      <c r="J147" s="3">
        <f t="shared" si="50"/>
        <v>0.62929486837917026</v>
      </c>
      <c r="K147" s="3">
        <f t="shared" si="51"/>
        <v>0.40644136191677183</v>
      </c>
      <c r="L147" s="6">
        <v>0.20100000000000001</v>
      </c>
      <c r="M147" s="4">
        <v>0.108</v>
      </c>
      <c r="N147" s="5">
        <v>0.375</v>
      </c>
      <c r="O147">
        <f t="shared" si="57"/>
        <v>0.375</v>
      </c>
      <c r="P147">
        <f t="shared" si="58"/>
        <v>0.28799999999999998</v>
      </c>
      <c r="Q147">
        <f t="shared" si="59"/>
        <v>0.53600000000000003</v>
      </c>
      <c r="R147">
        <f t="shared" si="52"/>
        <v>-0.58015440000000007</v>
      </c>
      <c r="T147">
        <v>0.375</v>
      </c>
      <c r="U147">
        <v>0.36883300000000002</v>
      </c>
      <c r="V147" s="11">
        <f t="shared" si="60"/>
        <v>0.63513761851936579</v>
      </c>
      <c r="W147">
        <f t="shared" si="61"/>
        <v>0.22872139569836553</v>
      </c>
      <c r="X147" s="13">
        <f t="shared" si="62"/>
        <v>0.29018731742680604</v>
      </c>
      <c r="Y147" s="13">
        <v>0.79018731742680604</v>
      </c>
    </row>
    <row r="148" spans="1:25" x14ac:dyDescent="0.25">
      <c r="A148" s="1">
        <v>1989</v>
      </c>
      <c r="B148" s="1">
        <f t="shared" si="53"/>
        <v>0.121</v>
      </c>
      <c r="C148" s="1">
        <f t="shared" si="46"/>
        <v>0.12316322500000002</v>
      </c>
      <c r="D148" s="1">
        <f t="shared" si="47"/>
        <v>0</v>
      </c>
      <c r="E148" s="1">
        <f t="shared" si="54"/>
        <v>0.45034172756787633</v>
      </c>
      <c r="F148" s="1">
        <f t="shared" si="55"/>
        <v>2.1632250000000186E-3</v>
      </c>
      <c r="G148" s="9">
        <f t="shared" si="48"/>
        <v>0.45034172756787633</v>
      </c>
      <c r="H148" s="1">
        <f t="shared" si="49"/>
        <v>2.0267481270137333E-2</v>
      </c>
      <c r="I148" s="1">
        <f t="shared" si="56"/>
        <v>0.45034172756787633</v>
      </c>
      <c r="J148" s="3">
        <f t="shared" si="50"/>
        <v>0.45034172756787633</v>
      </c>
      <c r="K148" s="3">
        <f t="shared" si="51"/>
        <v>0.35060521055837207</v>
      </c>
      <c r="L148" s="6">
        <v>0.121</v>
      </c>
      <c r="M148" s="4">
        <v>6.9000000000000006E-2</v>
      </c>
      <c r="N148" s="5">
        <v>0.245</v>
      </c>
      <c r="O148">
        <f t="shared" si="57"/>
        <v>0.245</v>
      </c>
      <c r="P148">
        <f t="shared" si="58"/>
        <v>0.28163265306122454</v>
      </c>
      <c r="Q148">
        <f t="shared" si="59"/>
        <v>0.49387755102040815</v>
      </c>
      <c r="R148">
        <f t="shared" si="52"/>
        <v>-0.50045387755102033</v>
      </c>
      <c r="T148">
        <v>0.245</v>
      </c>
      <c r="U148">
        <v>0.251583</v>
      </c>
      <c r="V148" s="11">
        <f t="shared" si="60"/>
        <v>0.63203293550759554</v>
      </c>
      <c r="W148">
        <f t="shared" si="61"/>
        <v>0.14805921804790573</v>
      </c>
      <c r="X148" s="13">
        <f t="shared" si="62"/>
        <v>0.28009276132059502</v>
      </c>
      <c r="Y148" s="13">
        <v>0.78009276132059502</v>
      </c>
    </row>
    <row r="149" spans="1:25" x14ac:dyDescent="0.25">
      <c r="A149" s="1">
        <v>1990</v>
      </c>
      <c r="B149" s="1">
        <f t="shared" si="53"/>
        <v>0.29099999999999998</v>
      </c>
      <c r="C149" s="1">
        <f t="shared" si="46"/>
        <v>0.2855586</v>
      </c>
      <c r="D149" s="1">
        <f t="shared" si="47"/>
        <v>0</v>
      </c>
      <c r="E149" s="1">
        <f t="shared" si="54"/>
        <v>0.57127753620058297</v>
      </c>
      <c r="F149" s="1">
        <f t="shared" si="55"/>
        <v>5.4413999999999851E-3</v>
      </c>
      <c r="G149" s="9">
        <f t="shared" si="48"/>
        <v>0.57127753620058297</v>
      </c>
      <c r="H149" s="1">
        <f t="shared" si="49"/>
        <v>4.2450609793277694E-2</v>
      </c>
      <c r="I149" s="1">
        <f t="shared" si="56"/>
        <v>0.57127753620058297</v>
      </c>
      <c r="J149" s="3">
        <f t="shared" si="50"/>
        <v>0.57127753620058297</v>
      </c>
      <c r="K149" s="3">
        <f t="shared" si="51"/>
        <v>0.42693435446334282</v>
      </c>
      <c r="L149" s="6">
        <v>0.29099999999999998</v>
      </c>
      <c r="M149" s="4">
        <v>0.19800000000000001</v>
      </c>
      <c r="N149" s="5">
        <v>0.49199999999999999</v>
      </c>
      <c r="O149">
        <f t="shared" si="57"/>
        <v>0.49199999999999999</v>
      </c>
      <c r="P149">
        <f t="shared" si="58"/>
        <v>0.40243902439024393</v>
      </c>
      <c r="Q149">
        <f t="shared" si="59"/>
        <v>0.59146341463414631</v>
      </c>
      <c r="R149">
        <f t="shared" si="52"/>
        <v>-0.60940609756097552</v>
      </c>
      <c r="T149">
        <v>0.49199999999999999</v>
      </c>
      <c r="U149">
        <v>0.48341699999999999</v>
      </c>
      <c r="V149" s="11">
        <f t="shared" si="60"/>
        <v>0.62869688589125872</v>
      </c>
      <c r="W149">
        <f t="shared" si="61"/>
        <v>0.36563023776078868</v>
      </c>
      <c r="X149" s="13">
        <f t="shared" si="62"/>
        <v>0.32790104429118905</v>
      </c>
      <c r="Y149" s="13">
        <v>0.82790104429118905</v>
      </c>
    </row>
    <row r="150" spans="1:25" x14ac:dyDescent="0.25">
      <c r="A150" s="1">
        <v>1991</v>
      </c>
      <c r="B150" s="1">
        <f t="shared" si="53"/>
        <v>0.253</v>
      </c>
      <c r="C150" s="1">
        <f t="shared" si="46"/>
        <v>0.23957337499999998</v>
      </c>
      <c r="D150" s="1">
        <f t="shared" si="47"/>
        <v>0</v>
      </c>
      <c r="E150" s="1">
        <f t="shared" si="54"/>
        <v>0.69253432910437585</v>
      </c>
      <c r="F150" s="1">
        <f t="shared" si="55"/>
        <v>1.3426625000000025E-2</v>
      </c>
      <c r="G150" s="9">
        <f t="shared" si="48"/>
        <v>0.69253432910437585</v>
      </c>
      <c r="H150" s="1">
        <f t="shared" si="49"/>
        <v>9.8012730334498643E-2</v>
      </c>
      <c r="I150" s="1">
        <f t="shared" si="56"/>
        <v>0.69253432910437585</v>
      </c>
      <c r="J150" s="3">
        <f t="shared" si="50"/>
        <v>0.69253432910437585</v>
      </c>
      <c r="K150" s="3">
        <f t="shared" si="51"/>
        <v>0.47320558525497203</v>
      </c>
      <c r="L150" s="6">
        <v>0.253</v>
      </c>
      <c r="M150" s="4">
        <v>0.17399999999999999</v>
      </c>
      <c r="N150" s="5">
        <v>0.39700000000000002</v>
      </c>
      <c r="O150">
        <f t="shared" si="57"/>
        <v>0.39700000000000002</v>
      </c>
      <c r="P150">
        <f t="shared" si="58"/>
        <v>0.4382871536523929</v>
      </c>
      <c r="Q150">
        <f t="shared" si="59"/>
        <v>0.63727959697732994</v>
      </c>
      <c r="R150">
        <f t="shared" si="52"/>
        <v>-0.67545365239294708</v>
      </c>
      <c r="T150">
        <v>0.39700000000000002</v>
      </c>
      <c r="U150">
        <v>0.38974999999999999</v>
      </c>
      <c r="V150" s="11">
        <f t="shared" si="60"/>
        <v>0.62510389927774668</v>
      </c>
      <c r="W150">
        <f t="shared" si="61"/>
        <v>0.31232215481582121</v>
      </c>
      <c r="X150" s="13">
        <f t="shared" si="62"/>
        <v>0.34222175090468099</v>
      </c>
      <c r="Y150" s="13">
        <v>0.84222175090468099</v>
      </c>
    </row>
    <row r="151" spans="1:25" x14ac:dyDescent="0.25">
      <c r="A151" s="1">
        <v>1992</v>
      </c>
      <c r="B151" s="1">
        <f t="shared" si="53"/>
        <v>0.10199999999999999</v>
      </c>
      <c r="C151" s="1">
        <f t="shared" si="46"/>
        <v>8.7789974999999992E-2</v>
      </c>
      <c r="D151" s="1">
        <f t="shared" si="47"/>
        <v>1.3169093217252612E-2</v>
      </c>
      <c r="E151" s="1">
        <f t="shared" si="54"/>
        <v>0.85229856224039191</v>
      </c>
      <c r="F151" s="1">
        <f t="shared" si="55"/>
        <v>1.4210025000000001E-2</v>
      </c>
      <c r="G151" s="9">
        <f t="shared" si="48"/>
        <v>0.85229856224039191</v>
      </c>
      <c r="H151" s="1">
        <f t="shared" si="49"/>
        <v>0.68908113890738798</v>
      </c>
      <c r="I151" s="1">
        <f t="shared" si="56"/>
        <v>1.433851814763649</v>
      </c>
      <c r="J151" s="3">
        <f t="shared" si="50"/>
        <v>1.433851814763649</v>
      </c>
      <c r="K151" s="3">
        <f t="shared" si="51"/>
        <v>0.85229856224039191</v>
      </c>
      <c r="L151" s="6">
        <v>0.10199999999999999</v>
      </c>
      <c r="M151" s="4">
        <v>0.09</v>
      </c>
      <c r="N151" s="5">
        <v>9.2999999999999999E-2</v>
      </c>
      <c r="O151">
        <f t="shared" si="57"/>
        <v>9.2999999999999999E-2</v>
      </c>
      <c r="P151">
        <f t="shared" si="58"/>
        <v>0.96774193548387089</v>
      </c>
      <c r="Q151">
        <f t="shared" si="59"/>
        <v>1.096774193548387</v>
      </c>
      <c r="R151">
        <f t="shared" si="52"/>
        <v>-1.2165709677419354</v>
      </c>
      <c r="T151">
        <v>9.2999999999999999E-2</v>
      </c>
      <c r="U151">
        <v>0.111167</v>
      </c>
      <c r="V151" s="11">
        <f t="shared" si="60"/>
        <v>0.62122703809291124</v>
      </c>
      <c r="W151">
        <f t="shared" si="61"/>
        <v>0.13002288059052164</v>
      </c>
      <c r="X151" s="13">
        <f t="shared" si="62"/>
        <v>0.31538855437126101</v>
      </c>
      <c r="Y151" s="13">
        <v>0.81538855437126101</v>
      </c>
    </row>
    <row r="152" spans="1:25" x14ac:dyDescent="0.25">
      <c r="A152" s="1">
        <v>1993</v>
      </c>
      <c r="B152" s="1">
        <f t="shared" si="53"/>
        <v>0.14299999999999999</v>
      </c>
      <c r="C152" s="1">
        <f t="shared" si="46"/>
        <v>0.12316322499999999</v>
      </c>
      <c r="D152" s="1">
        <f t="shared" si="47"/>
        <v>1.7415849672347272E-2</v>
      </c>
      <c r="E152" s="1">
        <f t="shared" si="54"/>
        <v>0.64722152164775126</v>
      </c>
      <c r="F152" s="1">
        <f t="shared" si="55"/>
        <v>1.9836775000000001E-2</v>
      </c>
      <c r="G152" s="9">
        <f t="shared" si="48"/>
        <v>0.64722152164775126</v>
      </c>
      <c r="H152" s="1">
        <f t="shared" si="49"/>
        <v>0.36776064513600015</v>
      </c>
      <c r="I152" s="1">
        <f t="shared" si="56"/>
        <v>1.0720728044207117</v>
      </c>
      <c r="J152" s="3">
        <f t="shared" si="50"/>
        <v>1.0720728044207117</v>
      </c>
      <c r="K152" s="3">
        <f t="shared" si="51"/>
        <v>0.64722152164775126</v>
      </c>
      <c r="L152" s="6">
        <v>0.14299999999999999</v>
      </c>
      <c r="M152" s="4">
        <v>0.104</v>
      </c>
      <c r="N152" s="5">
        <v>0.17499999999999999</v>
      </c>
      <c r="O152">
        <f t="shared" si="57"/>
        <v>0.17499999999999999</v>
      </c>
      <c r="P152">
        <f t="shared" si="58"/>
        <v>0.59428571428571431</v>
      </c>
      <c r="Q152">
        <f t="shared" si="59"/>
        <v>0.81714285714285717</v>
      </c>
      <c r="R152">
        <f t="shared" si="52"/>
        <v>-0.92384400000000011</v>
      </c>
      <c r="T152">
        <v>0.17499999999999999</v>
      </c>
      <c r="U152">
        <v>0.183917</v>
      </c>
      <c r="V152" s="11">
        <f t="shared" si="60"/>
        <v>0.61703796032816172</v>
      </c>
      <c r="W152">
        <f t="shared" si="61"/>
        <v>0.17039461292045099</v>
      </c>
      <c r="X152" s="13">
        <f t="shared" si="62"/>
        <v>0.33645206007288597</v>
      </c>
      <c r="Y152" s="13">
        <v>0.83645206007288597</v>
      </c>
    </row>
    <row r="153" spans="1:25" x14ac:dyDescent="0.25">
      <c r="A153" s="1">
        <v>1994</v>
      </c>
      <c r="B153" s="1">
        <f t="shared" si="53"/>
        <v>0.20300000000000001</v>
      </c>
      <c r="C153" s="1">
        <f t="shared" si="46"/>
        <v>0.20420012500000001</v>
      </c>
      <c r="D153" s="1">
        <f t="shared" si="47"/>
        <v>0</v>
      </c>
      <c r="E153" s="1">
        <f t="shared" si="54"/>
        <v>0.46252773948497927</v>
      </c>
      <c r="F153" s="1">
        <f t="shared" si="55"/>
        <v>1.2001249999999963E-3</v>
      </c>
      <c r="G153" s="9">
        <f t="shared" si="48"/>
        <v>0.46252773948497927</v>
      </c>
      <c r="H153" s="1">
        <f t="shared" si="49"/>
        <v>4.439463153023071E-3</v>
      </c>
      <c r="I153" s="1">
        <f t="shared" si="56"/>
        <v>0.46252773948497927</v>
      </c>
      <c r="J153" s="3">
        <f t="shared" si="50"/>
        <v>0.46252773948497927</v>
      </c>
      <c r="K153" s="3">
        <f t="shared" si="51"/>
        <v>0.41584895532704164</v>
      </c>
      <c r="L153" s="6">
        <v>0.20300000000000001</v>
      </c>
      <c r="M153" s="4">
        <v>0.14599999999999999</v>
      </c>
      <c r="N153" s="5">
        <v>0.34300000000000003</v>
      </c>
      <c r="O153">
        <f t="shared" si="57"/>
        <v>0.34300000000000003</v>
      </c>
      <c r="P153">
        <f t="shared" si="58"/>
        <v>0.42565597667638477</v>
      </c>
      <c r="Q153">
        <f t="shared" si="59"/>
        <v>0.59183673469387754</v>
      </c>
      <c r="R153">
        <f t="shared" si="52"/>
        <v>-0.59358279883381926</v>
      </c>
      <c r="T153">
        <v>0.34300000000000003</v>
      </c>
      <c r="U153">
        <v>0.341667</v>
      </c>
      <c r="V153" s="11">
        <f t="shared" si="60"/>
        <v>0.6125068562105298</v>
      </c>
      <c r="W153">
        <f t="shared" si="61"/>
        <v>0.26832177120896566</v>
      </c>
      <c r="X153" s="13">
        <f t="shared" si="62"/>
        <v>0.37580857910444398</v>
      </c>
      <c r="Y153" s="13">
        <v>0.87580857910444398</v>
      </c>
    </row>
    <row r="154" spans="1:25" x14ac:dyDescent="0.25">
      <c r="A154" s="1">
        <v>1995</v>
      </c>
      <c r="B154" s="1">
        <f t="shared" si="53"/>
        <v>0.32400000000000001</v>
      </c>
      <c r="C154" s="1">
        <f t="shared" si="46"/>
        <v>0.31128460000000002</v>
      </c>
      <c r="D154" s="1">
        <f t="shared" si="47"/>
        <v>0</v>
      </c>
      <c r="E154" s="1">
        <f t="shared" si="54"/>
        <v>0.60409190503687826</v>
      </c>
      <c r="F154" s="1">
        <f t="shared" si="55"/>
        <v>1.2715399999999988E-2</v>
      </c>
      <c r="G154" s="9">
        <f t="shared" si="48"/>
        <v>0.60409190503687826</v>
      </c>
      <c r="H154" s="1">
        <f t="shared" si="49"/>
        <v>7.8755533795197341E-2</v>
      </c>
      <c r="I154" s="1">
        <f t="shared" si="56"/>
        <v>0.60409190503687826</v>
      </c>
      <c r="J154" s="3">
        <f t="shared" si="50"/>
        <v>0.60409190503687826</v>
      </c>
      <c r="K154" s="3">
        <f t="shared" si="51"/>
        <v>0.40748677429005303</v>
      </c>
      <c r="L154" s="6">
        <v>0.32400000000000001</v>
      </c>
      <c r="M154" s="4">
        <v>0.188</v>
      </c>
      <c r="N154" s="5">
        <v>0.59199999999999997</v>
      </c>
      <c r="O154">
        <f t="shared" si="57"/>
        <v>0.59199999999999997</v>
      </c>
      <c r="P154">
        <f t="shared" si="58"/>
        <v>0.3175675675675676</v>
      </c>
      <c r="Q154">
        <f t="shared" si="59"/>
        <v>0.54729729729729737</v>
      </c>
      <c r="R154">
        <f t="shared" si="52"/>
        <v>-0.58164662162162173</v>
      </c>
      <c r="T154">
        <v>0.59199999999999997</v>
      </c>
      <c r="U154">
        <v>0.58216699999999999</v>
      </c>
      <c r="V154" s="11">
        <f t="shared" si="60"/>
        <v>0.60760245937854052</v>
      </c>
      <c r="W154">
        <f t="shared" si="61"/>
        <v>0.39031754091590021</v>
      </c>
      <c r="X154" s="13">
        <f t="shared" si="62"/>
        <v>0.42840649273982201</v>
      </c>
      <c r="Y154" s="13">
        <v>0.92840649273982201</v>
      </c>
    </row>
    <row r="155" spans="1:25" x14ac:dyDescent="0.25">
      <c r="A155" s="1">
        <v>1996</v>
      </c>
      <c r="B155" s="1">
        <f t="shared" si="53"/>
        <v>0.17899999999999999</v>
      </c>
      <c r="C155" s="1">
        <f t="shared" si="46"/>
        <v>0.16303852500000002</v>
      </c>
      <c r="D155" s="1">
        <f t="shared" si="47"/>
        <v>0</v>
      </c>
      <c r="E155" s="1">
        <f t="shared" si="54"/>
        <v>0.92413873722415063</v>
      </c>
      <c r="F155" s="1">
        <f t="shared" si="55"/>
        <v>1.5961474999999975E-2</v>
      </c>
      <c r="G155" s="9">
        <f t="shared" si="48"/>
        <v>0.92413873722415063</v>
      </c>
      <c r="H155" s="1">
        <f t="shared" si="49"/>
        <v>0.21948337049835998</v>
      </c>
      <c r="I155" s="1">
        <f t="shared" si="56"/>
        <v>0.92413873722415063</v>
      </c>
      <c r="J155" s="3">
        <f t="shared" si="50"/>
        <v>0.92413873722415063</v>
      </c>
      <c r="K155" s="3">
        <f t="shared" si="51"/>
        <v>0.59592623660652833</v>
      </c>
      <c r="L155" s="6">
        <v>0.17899999999999999</v>
      </c>
      <c r="M155" s="4">
        <v>0.14000000000000001</v>
      </c>
      <c r="N155" s="5">
        <v>0.22700000000000001</v>
      </c>
      <c r="O155">
        <f t="shared" si="57"/>
        <v>0.22700000000000001</v>
      </c>
      <c r="P155">
        <f t="shared" si="58"/>
        <v>0.61674008810572689</v>
      </c>
      <c r="Q155">
        <f t="shared" si="59"/>
        <v>0.78854625550660784</v>
      </c>
      <c r="R155">
        <f t="shared" si="52"/>
        <v>-0.85062511013215847</v>
      </c>
      <c r="T155">
        <v>0.22700000000000001</v>
      </c>
      <c r="U155">
        <v>0.23908299999999999</v>
      </c>
      <c r="V155" s="11">
        <f t="shared" si="60"/>
        <v>0.60229200217872858</v>
      </c>
      <c r="W155">
        <f t="shared" si="61"/>
        <v>0.23088637562470868</v>
      </c>
      <c r="X155" s="13">
        <f t="shared" si="62"/>
        <v>0.41509594721117304</v>
      </c>
      <c r="Y155" s="13">
        <v>0.91509594721117304</v>
      </c>
    </row>
    <row r="156" spans="1:25" x14ac:dyDescent="0.25">
      <c r="A156" s="1">
        <v>1997</v>
      </c>
      <c r="B156" s="1">
        <f t="shared" si="53"/>
        <v>0.39200000000000002</v>
      </c>
      <c r="C156" s="1">
        <f t="shared" si="46"/>
        <v>0.37109755</v>
      </c>
      <c r="D156" s="1">
        <f t="shared" si="47"/>
        <v>0</v>
      </c>
      <c r="E156" s="1">
        <f t="shared" si="54"/>
        <v>0.79637764157800972</v>
      </c>
      <c r="F156" s="1">
        <f t="shared" si="55"/>
        <v>2.0902450000000017E-2</v>
      </c>
      <c r="G156" s="9">
        <f t="shared" si="48"/>
        <v>0.79637764157800972</v>
      </c>
      <c r="H156" s="1">
        <f t="shared" si="49"/>
        <v>0.12087866113444956</v>
      </c>
      <c r="I156" s="1">
        <f t="shared" si="56"/>
        <v>0.79637764157800972</v>
      </c>
      <c r="J156" s="3">
        <f t="shared" si="50"/>
        <v>0.79637764157800972</v>
      </c>
      <c r="K156" s="3">
        <f t="shared" si="51"/>
        <v>0.55280465116530697</v>
      </c>
      <c r="L156" s="6">
        <v>0.39200000000000002</v>
      </c>
      <c r="M156" s="4">
        <v>0.318</v>
      </c>
      <c r="N156" s="5">
        <v>0.51800000000000002</v>
      </c>
      <c r="O156">
        <f t="shared" si="57"/>
        <v>0.51800000000000002</v>
      </c>
      <c r="P156">
        <f t="shared" si="58"/>
        <v>0.61389961389961389</v>
      </c>
      <c r="Q156">
        <f t="shared" si="59"/>
        <v>0.7567567567567568</v>
      </c>
      <c r="R156">
        <f t="shared" si="52"/>
        <v>-0.78907335907335918</v>
      </c>
      <c r="T156">
        <v>0.51800000000000002</v>
      </c>
      <c r="U156">
        <v>0.52058300000000002</v>
      </c>
      <c r="V156" s="11">
        <f t="shared" si="60"/>
        <v>0.59654117841273546</v>
      </c>
      <c r="W156">
        <f t="shared" si="61"/>
        <v>0.52875760536413174</v>
      </c>
      <c r="X156" s="13">
        <f t="shared" si="62"/>
        <v>0.44321353188775903</v>
      </c>
      <c r="Y156" s="13">
        <v>0.94321353188775903</v>
      </c>
    </row>
    <row r="157" spans="1:25" x14ac:dyDescent="0.25">
      <c r="A157" s="1">
        <v>1998</v>
      </c>
      <c r="B157" s="1">
        <f t="shared" si="53"/>
        <v>0.53100000000000003</v>
      </c>
      <c r="C157" s="1">
        <f t="shared" si="46"/>
        <v>0.53606552499999993</v>
      </c>
      <c r="D157" s="1">
        <f t="shared" si="47"/>
        <v>-3.4166049551288546E-3</v>
      </c>
      <c r="E157" s="7">
        <f t="shared" si="54"/>
        <v>0.44135377836172973</v>
      </c>
      <c r="F157" s="1">
        <f t="shared" si="55"/>
        <v>5.0655249999999041E-3</v>
      </c>
      <c r="G157" s="9">
        <f t="shared" si="48"/>
        <v>0.44135377836172973</v>
      </c>
      <c r="H157" s="1">
        <f t="shared" si="49"/>
        <v>-1.0311000871038645E-2</v>
      </c>
      <c r="I157" s="1" t="e">
        <f t="shared" si="56"/>
        <v>#NUM!</v>
      </c>
      <c r="J157" s="3" t="b">
        <f t="shared" si="50"/>
        <v>0</v>
      </c>
      <c r="K157" s="3">
        <f t="shared" si="51"/>
        <v>0.44135377836172973</v>
      </c>
      <c r="L157" s="6">
        <v>0.53100000000000003</v>
      </c>
      <c r="M157" s="4">
        <v>0.41599999999999998</v>
      </c>
      <c r="N157" s="5">
        <v>0.83499999999999996</v>
      </c>
      <c r="O157">
        <f t="shared" si="57"/>
        <v>0.83499999999999996</v>
      </c>
      <c r="P157">
        <f t="shared" si="58"/>
        <v>0.49820359281437127</v>
      </c>
      <c r="Q157">
        <f t="shared" si="59"/>
        <v>0.63592814371257489</v>
      </c>
      <c r="R157">
        <f t="shared" si="52"/>
        <v>-0.62998838323353301</v>
      </c>
      <c r="T157">
        <v>0.83499999999999996</v>
      </c>
      <c r="U157">
        <v>0.81241699999999994</v>
      </c>
      <c r="V157" s="11">
        <f t="shared" si="60"/>
        <v>0.59031412843614817</v>
      </c>
      <c r="W157">
        <f t="shared" si="61"/>
        <v>0.74201170122999793</v>
      </c>
      <c r="X157" s="13">
        <f t="shared" si="62"/>
        <v>0.49555536365403996</v>
      </c>
      <c r="Y157" s="13">
        <v>0.99555536365403996</v>
      </c>
    </row>
    <row r="158" spans="1:25" x14ac:dyDescent="0.25">
      <c r="A158" s="1">
        <v>1999</v>
      </c>
      <c r="B158" s="1">
        <f t="shared" si="53"/>
        <v>0.30099999999999999</v>
      </c>
      <c r="C158" s="1">
        <f t="shared" si="46"/>
        <v>0.30710412500000001</v>
      </c>
      <c r="D158" s="1">
        <f t="shared" si="47"/>
        <v>0</v>
      </c>
      <c r="E158" s="1">
        <f t="shared" si="54"/>
        <v>0.39060287300160462</v>
      </c>
      <c r="F158" s="1">
        <f t="shared" si="55"/>
        <v>6.1041250000000158E-3</v>
      </c>
      <c r="G158" s="9">
        <f t="shared" si="48"/>
        <v>0.39060287300160462</v>
      </c>
      <c r="H158" s="1">
        <f t="shared" si="49"/>
        <v>4.5730484193928778E-4</v>
      </c>
      <c r="I158" s="1">
        <f t="shared" si="56"/>
        <v>0.39060287300160462</v>
      </c>
      <c r="J158" s="3">
        <f t="shared" si="50"/>
        <v>0.39060287300160462</v>
      </c>
      <c r="K158" s="3">
        <f t="shared" si="51"/>
        <v>0.37562130715457615</v>
      </c>
      <c r="L158" s="6">
        <v>0.30099999999999999</v>
      </c>
      <c r="M158" s="4">
        <v>0.19700000000000001</v>
      </c>
      <c r="N158" s="5">
        <v>0.56100000000000005</v>
      </c>
      <c r="O158">
        <f t="shared" si="57"/>
        <v>0.56100000000000005</v>
      </c>
      <c r="P158">
        <f t="shared" si="58"/>
        <v>0.35115864527629231</v>
      </c>
      <c r="Q158">
        <f t="shared" si="59"/>
        <v>0.53654188948306591</v>
      </c>
      <c r="R158">
        <f t="shared" si="52"/>
        <v>-0.53616185383244197</v>
      </c>
      <c r="S158" s="3">
        <f t="shared" ref="S158:S171" si="63">+$R158*$R158-4*$G$1*$G$2*$P158</f>
        <v>4.5730484193928778E-4</v>
      </c>
      <c r="T158">
        <v>0.56100000000000005</v>
      </c>
      <c r="U158">
        <v>0.56799999999999995</v>
      </c>
      <c r="V158" s="11">
        <f t="shared" si="60"/>
        <v>0.58357342425733805</v>
      </c>
      <c r="W158">
        <f t="shared" si="61"/>
        <v>0.4015418236940882</v>
      </c>
      <c r="X158" s="13">
        <f t="shared" si="62"/>
        <v>0.48608408586000196</v>
      </c>
      <c r="Y158" s="13">
        <v>0.98608408586000196</v>
      </c>
    </row>
    <row r="159" spans="1:25" x14ac:dyDescent="0.25">
      <c r="A159" s="1">
        <v>2000</v>
      </c>
      <c r="B159" s="1">
        <f t="shared" si="53"/>
        <v>0.29399999999999998</v>
      </c>
      <c r="C159" s="1">
        <f t="shared" si="46"/>
        <v>0.29456269999999996</v>
      </c>
      <c r="D159" s="1">
        <f t="shared" si="47"/>
        <v>0</v>
      </c>
      <c r="E159" s="1">
        <f t="shared" si="54"/>
        <v>0.48774793719793424</v>
      </c>
      <c r="F159" s="1">
        <f t="shared" si="55"/>
        <v>5.6269999999997156E-4</v>
      </c>
      <c r="G159" s="9">
        <f t="shared" si="48"/>
        <v>0.48774793719793424</v>
      </c>
      <c r="H159" s="1">
        <f t="shared" si="49"/>
        <v>7.421153353596055E-3</v>
      </c>
      <c r="I159" s="1">
        <f t="shared" si="56"/>
        <v>0.48774793719793424</v>
      </c>
      <c r="J159" s="3">
        <f t="shared" si="50"/>
        <v>0.48774793719793424</v>
      </c>
      <c r="K159" s="3">
        <f t="shared" si="51"/>
        <v>0.42739616733655478</v>
      </c>
      <c r="L159" s="6">
        <v>0.29399999999999998</v>
      </c>
      <c r="M159" s="4">
        <v>0.216</v>
      </c>
      <c r="N159" s="5">
        <v>0.48399999999999999</v>
      </c>
      <c r="O159">
        <f t="shared" si="57"/>
        <v>0.48399999999999999</v>
      </c>
      <c r="P159">
        <f t="shared" si="58"/>
        <v>0.4462809917355372</v>
      </c>
      <c r="Q159">
        <f t="shared" si="59"/>
        <v>0.6074380165289256</v>
      </c>
      <c r="R159">
        <f t="shared" si="52"/>
        <v>-0.6100652892561983</v>
      </c>
      <c r="S159" s="3">
        <f t="shared" si="63"/>
        <v>7.421153353596055E-3</v>
      </c>
      <c r="T159">
        <v>0.48399999999999999</v>
      </c>
      <c r="U159">
        <v>0.49733300000000003</v>
      </c>
      <c r="V159" s="11">
        <f t="shared" si="60"/>
        <v>0.57628000248223543</v>
      </c>
      <c r="W159">
        <f t="shared" si="61"/>
        <v>0.40607666049834024</v>
      </c>
      <c r="X159" s="13">
        <f t="shared" si="62"/>
        <v>0.49724644729627698</v>
      </c>
      <c r="Y159" s="13">
        <v>0.99724644729627698</v>
      </c>
    </row>
    <row r="160" spans="1:25" x14ac:dyDescent="0.25">
      <c r="A160" s="1">
        <v>2001</v>
      </c>
      <c r="B160" s="1">
        <f t="shared" si="53"/>
        <v>0.437</v>
      </c>
      <c r="C160" s="1">
        <f t="shared" si="46"/>
        <v>0.43058892500000001</v>
      </c>
      <c r="D160" s="1">
        <f t="shared" si="47"/>
        <v>0</v>
      </c>
      <c r="E160" s="1">
        <f t="shared" si="54"/>
        <v>0.57963063786638547</v>
      </c>
      <c r="F160" s="1">
        <f t="shared" si="55"/>
        <v>6.4110749999999883E-3</v>
      </c>
      <c r="G160" s="9">
        <f t="shared" si="48"/>
        <v>0.57963063786638547</v>
      </c>
      <c r="H160" s="1">
        <f t="shared" si="49"/>
        <v>3.0644538391542242E-2</v>
      </c>
      <c r="I160" s="1">
        <f t="shared" si="56"/>
        <v>0.57963063786638547</v>
      </c>
      <c r="J160" s="3">
        <f t="shared" si="50"/>
        <v>0.57963063786638547</v>
      </c>
      <c r="K160" s="3">
        <f t="shared" si="51"/>
        <v>0.4569910028132026</v>
      </c>
      <c r="L160" s="6">
        <v>0.437</v>
      </c>
      <c r="M160" s="4">
        <v>0.32900000000000001</v>
      </c>
      <c r="N160" s="5">
        <v>0.68100000000000005</v>
      </c>
      <c r="O160">
        <f t="shared" si="57"/>
        <v>0.68100000000000005</v>
      </c>
      <c r="P160">
        <f t="shared" si="58"/>
        <v>0.4831130690161527</v>
      </c>
      <c r="Q160">
        <f t="shared" si="59"/>
        <v>0.64170337738619676</v>
      </c>
      <c r="R160">
        <f t="shared" si="52"/>
        <v>-0.65230895741556538</v>
      </c>
      <c r="S160" s="3">
        <f t="shared" si="63"/>
        <v>3.0644538391542242E-2</v>
      </c>
      <c r="T160">
        <v>0.68100000000000005</v>
      </c>
      <c r="U160">
        <v>0.68116699999999997</v>
      </c>
      <c r="V160" s="11">
        <f t="shared" si="60"/>
        <v>0.56839317921549082</v>
      </c>
      <c r="W160">
        <f t="shared" si="61"/>
        <v>0.60807747402359824</v>
      </c>
      <c r="X160" s="13">
        <f t="shared" si="62"/>
        <v>0.53779946244363996</v>
      </c>
      <c r="Y160" s="13">
        <v>1.03779946244364</v>
      </c>
    </row>
    <row r="161" spans="1:25" x14ac:dyDescent="0.25">
      <c r="A161" s="1">
        <v>2002</v>
      </c>
      <c r="B161" s="1">
        <f t="shared" si="53"/>
        <v>0.49199999999999999</v>
      </c>
      <c r="C161" s="1">
        <f t="shared" si="46"/>
        <v>0.48686455000000006</v>
      </c>
      <c r="D161" s="1">
        <f t="shared" si="47"/>
        <v>0</v>
      </c>
      <c r="E161" s="1">
        <f t="shared" si="54"/>
        <v>0.55785407417482102</v>
      </c>
      <c r="F161" s="1">
        <f t="shared" si="55"/>
        <v>5.1354499999999303E-3</v>
      </c>
      <c r="G161" s="9">
        <f t="shared" si="48"/>
        <v>0.55785407417482102</v>
      </c>
      <c r="H161" s="1">
        <f t="shared" si="49"/>
        <v>2.4144504001493483E-2</v>
      </c>
      <c r="I161" s="1">
        <f t="shared" si="56"/>
        <v>0.55785407417482102</v>
      </c>
      <c r="J161" s="3">
        <f t="shared" si="50"/>
        <v>0.55785407417482102</v>
      </c>
      <c r="K161" s="3">
        <f t="shared" si="51"/>
        <v>0.44899529696613427</v>
      </c>
      <c r="L161" s="6">
        <v>0.49199999999999999</v>
      </c>
      <c r="M161" s="4">
        <v>0.36799999999999999</v>
      </c>
      <c r="N161" s="5">
        <v>0.77800000000000002</v>
      </c>
      <c r="O161">
        <f t="shared" si="57"/>
        <v>0.77800000000000002</v>
      </c>
      <c r="P161">
        <f t="shared" si="58"/>
        <v>0.47300771208226217</v>
      </c>
      <c r="Q161">
        <f t="shared" si="59"/>
        <v>0.63239074550128527</v>
      </c>
      <c r="R161">
        <f t="shared" si="52"/>
        <v>-0.64089588688946009</v>
      </c>
      <c r="S161" s="3">
        <f t="shared" si="63"/>
        <v>2.4144504001493483E-2</v>
      </c>
      <c r="T161">
        <v>0.77800000000000002</v>
      </c>
      <c r="U161">
        <v>0.77258300000000002</v>
      </c>
      <c r="V161" s="11">
        <f t="shared" si="60"/>
        <v>0.55987061280757189</v>
      </c>
      <c r="W161">
        <f t="shared" si="61"/>
        <v>0.69185264461942453</v>
      </c>
      <c r="X161" s="13">
        <f t="shared" si="62"/>
        <v>0.57343852123087991</v>
      </c>
      <c r="Y161" s="13">
        <v>1.0734385212308799</v>
      </c>
    </row>
    <row r="162" spans="1:25" x14ac:dyDescent="0.25">
      <c r="A162" s="1">
        <v>2003</v>
      </c>
      <c r="B162" s="1">
        <f t="shared" si="53"/>
        <v>0.503</v>
      </c>
      <c r="C162" s="1">
        <f t="shared" si="46"/>
        <v>0.50037069999999995</v>
      </c>
      <c r="D162" s="1">
        <f t="shared" si="47"/>
        <v>0</v>
      </c>
      <c r="E162" s="1">
        <f t="shared" si="54"/>
        <v>0.53966756596731824</v>
      </c>
      <c r="F162" s="1">
        <f t="shared" si="55"/>
        <v>2.6293000000000566E-3</v>
      </c>
      <c r="G162" s="9">
        <f t="shared" si="48"/>
        <v>0.53966756596731824</v>
      </c>
      <c r="H162" s="1">
        <f t="shared" si="49"/>
        <v>1.3085768081649352E-2</v>
      </c>
      <c r="I162" s="1">
        <f t="shared" si="56"/>
        <v>0.53966756596731824</v>
      </c>
      <c r="J162" s="3">
        <f t="shared" si="50"/>
        <v>0.53966756596731824</v>
      </c>
      <c r="K162" s="3">
        <f t="shared" si="51"/>
        <v>0.45952672100213077</v>
      </c>
      <c r="L162" s="6">
        <v>0.503</v>
      </c>
      <c r="M162" s="4">
        <v>0.39300000000000002</v>
      </c>
      <c r="N162" s="5">
        <v>0.77</v>
      </c>
      <c r="O162">
        <f t="shared" si="57"/>
        <v>0.77</v>
      </c>
      <c r="P162">
        <f t="shared" si="58"/>
        <v>0.51038961038961039</v>
      </c>
      <c r="Q162">
        <f t="shared" si="59"/>
        <v>0.65324675324675319</v>
      </c>
      <c r="R162">
        <f t="shared" si="52"/>
        <v>-0.65592844155844143</v>
      </c>
      <c r="S162" s="3">
        <f t="shared" si="63"/>
        <v>1.3085768081649352E-2</v>
      </c>
      <c r="T162">
        <v>0.77</v>
      </c>
      <c r="U162">
        <v>0.76649999999999996</v>
      </c>
      <c r="V162" s="11">
        <f t="shared" si="60"/>
        <v>0.55066824425011873</v>
      </c>
      <c r="W162">
        <f t="shared" si="61"/>
        <v>0.72980323327060326</v>
      </c>
      <c r="X162" s="13">
        <f t="shared" si="62"/>
        <v>0.58561649761847989</v>
      </c>
      <c r="Y162" s="13">
        <v>1.0856164976184799</v>
      </c>
    </row>
    <row r="163" spans="1:25" x14ac:dyDescent="0.25">
      <c r="A163" s="1">
        <v>2004</v>
      </c>
      <c r="B163" s="1">
        <f t="shared" si="53"/>
        <v>0.44500000000000001</v>
      </c>
      <c r="C163" s="1">
        <f t="shared" si="46"/>
        <v>0.44441664999999997</v>
      </c>
      <c r="D163" s="1">
        <f t="shared" si="47"/>
        <v>0</v>
      </c>
      <c r="E163" s="1">
        <f t="shared" si="54"/>
        <v>0.51351831527965075</v>
      </c>
      <c r="F163" s="1">
        <f t="shared" si="55"/>
        <v>5.83350000000038E-4</v>
      </c>
      <c r="G163" s="9">
        <f t="shared" si="48"/>
        <v>0.51351831527965075</v>
      </c>
      <c r="H163" s="1">
        <f t="shared" si="49"/>
        <v>5.4276521519077692E-3</v>
      </c>
      <c r="I163" s="1">
        <f t="shared" si="56"/>
        <v>0.51351831527965075</v>
      </c>
      <c r="J163" s="3">
        <f t="shared" si="50"/>
        <v>0.51351831527965075</v>
      </c>
      <c r="K163" s="3">
        <f t="shared" si="51"/>
        <v>0.4619051717363728</v>
      </c>
      <c r="L163" s="6">
        <v>0.44500000000000001</v>
      </c>
      <c r="M163" s="4">
        <v>0.35399999999999998</v>
      </c>
      <c r="N163" s="5">
        <v>0.67400000000000004</v>
      </c>
      <c r="O163">
        <f t="shared" si="57"/>
        <v>0.67400000000000004</v>
      </c>
      <c r="P163">
        <f t="shared" si="58"/>
        <v>0.52522255192878331</v>
      </c>
      <c r="Q163">
        <f t="shared" si="59"/>
        <v>0.66023738872403559</v>
      </c>
      <c r="R163">
        <f t="shared" si="52"/>
        <v>-0.65932344213649852</v>
      </c>
      <c r="S163" s="3">
        <f t="shared" si="63"/>
        <v>5.4276521519077692E-3</v>
      </c>
      <c r="T163">
        <v>0.67400000000000004</v>
      </c>
      <c r="U163">
        <v>0.68225000000000002</v>
      </c>
      <c r="V163" s="11">
        <f t="shared" si="60"/>
        <v>0.54074032697826624</v>
      </c>
      <c r="W163">
        <f t="shared" si="61"/>
        <v>0.66019563970508532</v>
      </c>
      <c r="X163" s="13">
        <f t="shared" si="62"/>
        <v>0.58190207127636007</v>
      </c>
      <c r="Y163" s="13">
        <v>1.0819020712763601</v>
      </c>
    </row>
    <row r="164" spans="1:25" x14ac:dyDescent="0.25">
      <c r="A164" s="1">
        <v>2005</v>
      </c>
      <c r="B164" s="1">
        <f t="shared" si="53"/>
        <v>0.53900000000000003</v>
      </c>
      <c r="C164" s="1">
        <f t="shared" si="46"/>
        <v>0.53381450000000008</v>
      </c>
      <c r="D164" s="1">
        <f t="shared" si="47"/>
        <v>0</v>
      </c>
      <c r="E164" s="1">
        <f t="shared" si="54"/>
        <v>0.54670411347798376</v>
      </c>
      <c r="F164" s="1">
        <f t="shared" si="55"/>
        <v>5.185499999999954E-3</v>
      </c>
      <c r="G164" s="9">
        <f t="shared" si="48"/>
        <v>0.54670411347798376</v>
      </c>
      <c r="H164" s="1">
        <f t="shared" si="49"/>
        <v>2.5349632227942787E-2</v>
      </c>
      <c r="I164" s="1">
        <f t="shared" si="56"/>
        <v>0.54670411347798376</v>
      </c>
      <c r="J164" s="3">
        <f t="shared" si="50"/>
        <v>0.54670411347798376</v>
      </c>
      <c r="K164" s="3">
        <f t="shared" si="51"/>
        <v>0.43516167384239213</v>
      </c>
      <c r="L164" s="6">
        <v>0.53900000000000003</v>
      </c>
      <c r="M164" s="4">
        <v>0.38900000000000001</v>
      </c>
      <c r="N164" s="5">
        <v>0.88200000000000001</v>
      </c>
      <c r="O164">
        <f t="shared" si="57"/>
        <v>0.88200000000000001</v>
      </c>
      <c r="P164">
        <f t="shared" si="58"/>
        <v>0.44104308390022678</v>
      </c>
      <c r="Q164">
        <f t="shared" si="59"/>
        <v>0.61111111111111116</v>
      </c>
      <c r="R164">
        <f t="shared" si="52"/>
        <v>-0.62114977324263054</v>
      </c>
      <c r="S164" s="3">
        <f t="shared" si="63"/>
        <v>2.5349632227942787E-2</v>
      </c>
      <c r="T164">
        <v>0.88200000000000001</v>
      </c>
      <c r="U164">
        <v>0.87516700000000003</v>
      </c>
      <c r="V164" s="11">
        <f t="shared" si="60"/>
        <v>0.53003933746367693</v>
      </c>
      <c r="W164">
        <f t="shared" si="61"/>
        <v>0.77630659137781099</v>
      </c>
      <c r="X164" s="13">
        <f t="shared" si="62"/>
        <v>0.64931345678763996</v>
      </c>
      <c r="Y164" s="13">
        <v>1.14931345678764</v>
      </c>
    </row>
    <row r="165" spans="1:25" x14ac:dyDescent="0.25">
      <c r="A165" s="1">
        <v>2006</v>
      </c>
      <c r="B165" s="1">
        <f t="shared" si="53"/>
        <v>0.495</v>
      </c>
      <c r="C165" s="1">
        <f t="shared" si="46"/>
        <v>0.49522549999999999</v>
      </c>
      <c r="D165" s="1">
        <f t="shared" si="47"/>
        <v>0</v>
      </c>
      <c r="E165" s="1">
        <f t="shared" si="54"/>
        <v>0.49714003663219802</v>
      </c>
      <c r="F165" s="1">
        <f t="shared" si="55"/>
        <v>2.254999999999896E-4</v>
      </c>
      <c r="G165" s="9">
        <f t="shared" si="48"/>
        <v>0.49714003663219802</v>
      </c>
      <c r="H165" s="1">
        <f t="shared" si="49"/>
        <v>9.0822847222222225E-3</v>
      </c>
      <c r="I165" s="1">
        <f t="shared" si="56"/>
        <v>0.49714003663219802</v>
      </c>
      <c r="J165" s="3">
        <f t="shared" si="50"/>
        <v>0.49714003663219802</v>
      </c>
      <c r="K165" s="3">
        <f t="shared" si="51"/>
        <v>0.43037457381719674</v>
      </c>
      <c r="L165" s="6">
        <v>0.495</v>
      </c>
      <c r="M165" s="4">
        <v>0.36499999999999999</v>
      </c>
      <c r="N165" s="5">
        <v>0.81</v>
      </c>
      <c r="O165">
        <f t="shared" si="57"/>
        <v>0.81</v>
      </c>
      <c r="P165">
        <f t="shared" si="58"/>
        <v>0.45061728395061723</v>
      </c>
      <c r="Q165">
        <f t="shared" si="59"/>
        <v>0.61111111111111105</v>
      </c>
      <c r="R165">
        <f t="shared" si="52"/>
        <v>-0.61431666666666662</v>
      </c>
      <c r="S165" s="3">
        <f t="shared" si="63"/>
        <v>9.0822847222222225E-3</v>
      </c>
      <c r="T165">
        <v>0.81</v>
      </c>
      <c r="U165">
        <v>0.80833299999999997</v>
      </c>
      <c r="V165" s="11">
        <f t="shared" si="60"/>
        <v>0.51851599011570215</v>
      </c>
      <c r="W165">
        <f t="shared" si="61"/>
        <v>0.73429927121599792</v>
      </c>
      <c r="X165" s="13">
        <f t="shared" si="62"/>
        <v>0.65564387961774995</v>
      </c>
      <c r="Y165" s="13">
        <v>1.1556438796177499</v>
      </c>
    </row>
    <row r="166" spans="1:25" x14ac:dyDescent="0.25">
      <c r="A166" s="1">
        <v>2007</v>
      </c>
      <c r="B166" s="1">
        <f t="shared" si="53"/>
        <v>0.48299999999999998</v>
      </c>
      <c r="C166" s="1">
        <f t="shared" si="46"/>
        <v>0.48268407499999999</v>
      </c>
      <c r="D166" s="1">
        <f t="shared" si="47"/>
        <v>0</v>
      </c>
      <c r="E166" s="1">
        <f t="shared" si="54"/>
        <v>0.50203072341646882</v>
      </c>
      <c r="F166" s="1">
        <f t="shared" si="55"/>
        <v>3.1592499999999468E-4</v>
      </c>
      <c r="G166" s="9">
        <f t="shared" si="48"/>
        <v>0.50203072341646882</v>
      </c>
      <c r="H166" s="1">
        <f t="shared" si="49"/>
        <v>2.9789498091145727E-2</v>
      </c>
      <c r="I166" s="1">
        <f t="shared" si="56"/>
        <v>0.50203072341646882</v>
      </c>
      <c r="J166" s="3">
        <f t="shared" si="50"/>
        <v>0.50203072341646882</v>
      </c>
      <c r="K166" s="3">
        <f t="shared" si="51"/>
        <v>0.3811141307489303</v>
      </c>
      <c r="L166" s="6">
        <v>0.48299999999999998</v>
      </c>
      <c r="M166" s="4">
        <v>0.29599999999999999</v>
      </c>
      <c r="N166" s="5">
        <v>0.90900000000000003</v>
      </c>
      <c r="O166">
        <f t="shared" si="57"/>
        <v>0.90900000000000003</v>
      </c>
      <c r="P166">
        <f t="shared" si="58"/>
        <v>0.32563256325632561</v>
      </c>
      <c r="Q166">
        <f t="shared" si="59"/>
        <v>0.53135313531353134</v>
      </c>
      <c r="R166">
        <f t="shared" si="52"/>
        <v>-0.54400231023102308</v>
      </c>
      <c r="S166" s="3">
        <f t="shared" si="63"/>
        <v>2.9789498091145727E-2</v>
      </c>
      <c r="T166">
        <v>0.90900000000000003</v>
      </c>
      <c r="U166">
        <v>0.90749999999999997</v>
      </c>
      <c r="V166" s="11">
        <f t="shared" si="60"/>
        <v>0.50611915905028582</v>
      </c>
      <c r="W166">
        <f t="shared" si="61"/>
        <v>0.67764880032043173</v>
      </c>
      <c r="X166" s="13">
        <f t="shared" si="62"/>
        <v>0.70513621271864002</v>
      </c>
      <c r="Y166" s="13">
        <v>1.20513621271864</v>
      </c>
    </row>
    <row r="167" spans="1:25" x14ac:dyDescent="0.25">
      <c r="A167" s="1">
        <v>2008</v>
      </c>
      <c r="B167" s="1">
        <f t="shared" si="53"/>
        <v>0.38800000000000001</v>
      </c>
      <c r="C167" s="1">
        <f t="shared" si="46"/>
        <v>0.39007047499999997</v>
      </c>
      <c r="D167" s="1">
        <f t="shared" si="47"/>
        <v>0</v>
      </c>
      <c r="E167" s="1">
        <f t="shared" si="54"/>
        <v>0.47768379247451231</v>
      </c>
      <c r="F167" s="1">
        <f t="shared" si="55"/>
        <v>2.0704749999999605E-3</v>
      </c>
      <c r="G167" s="9">
        <f t="shared" si="48"/>
        <v>0.47768379247451231</v>
      </c>
      <c r="H167" s="1">
        <f t="shared" si="49"/>
        <v>1.382220165010084E-2</v>
      </c>
      <c r="I167" s="1">
        <f t="shared" si="56"/>
        <v>0.47768379247451231</v>
      </c>
      <c r="J167" s="3">
        <f t="shared" si="50"/>
        <v>0.47768379247451231</v>
      </c>
      <c r="K167" s="3">
        <f t="shared" si="51"/>
        <v>0.39531875130412691</v>
      </c>
      <c r="L167" s="6">
        <v>0.38800000000000001</v>
      </c>
      <c r="M167" s="4">
        <v>0.25900000000000001</v>
      </c>
      <c r="N167" s="5">
        <v>0.69499999999999995</v>
      </c>
      <c r="O167">
        <f t="shared" si="57"/>
        <v>0.69499999999999995</v>
      </c>
      <c r="P167">
        <f t="shared" si="58"/>
        <v>0.37266187050359717</v>
      </c>
      <c r="Q167">
        <f t="shared" si="59"/>
        <v>0.55827338129496407</v>
      </c>
      <c r="R167">
        <f t="shared" si="52"/>
        <v>-0.56427798561151077</v>
      </c>
      <c r="S167" s="3">
        <f t="shared" si="63"/>
        <v>1.382220165010084E-2</v>
      </c>
      <c r="T167">
        <v>0.69499999999999995</v>
      </c>
      <c r="U167">
        <v>0.70574999999999999</v>
      </c>
      <c r="V167" s="11">
        <f t="shared" si="60"/>
        <v>0.49279597122222185</v>
      </c>
      <c r="W167">
        <f t="shared" si="61"/>
        <v>0.57407957791981989</v>
      </c>
      <c r="X167" s="13">
        <f t="shared" si="62"/>
        <v>0.69304345325791994</v>
      </c>
      <c r="Y167" s="13">
        <v>1.1930434532579199</v>
      </c>
    </row>
    <row r="168" spans="1:25" x14ac:dyDescent="0.25">
      <c r="A168" s="1">
        <v>2009</v>
      </c>
      <c r="B168" s="1">
        <f t="shared" si="53"/>
        <v>0.49399999999999999</v>
      </c>
      <c r="C168" s="1">
        <f t="shared" si="46"/>
        <v>0.48911557500000002</v>
      </c>
      <c r="D168" s="1">
        <f t="shared" si="47"/>
        <v>0</v>
      </c>
      <c r="E168" s="1">
        <f t="shared" si="54"/>
        <v>0.57578604228448238</v>
      </c>
      <c r="F168" s="1">
        <f t="shared" si="55"/>
        <v>4.88442499999997E-3</v>
      </c>
      <c r="G168" s="9">
        <f t="shared" si="48"/>
        <v>0.57578604228448238</v>
      </c>
      <c r="H168" s="1">
        <f t="shared" si="49"/>
        <v>2.0236671700292586E-2</v>
      </c>
      <c r="I168" s="1">
        <f t="shared" si="56"/>
        <v>0.57578604228448238</v>
      </c>
      <c r="J168" s="3">
        <f t="shared" si="50"/>
        <v>0.57578604228448238</v>
      </c>
      <c r="K168" s="3">
        <f t="shared" si="51"/>
        <v>0.47612536123670662</v>
      </c>
      <c r="L168" s="6">
        <v>0.49399999999999999</v>
      </c>
      <c r="M168" s="4">
        <v>0.39500000000000002</v>
      </c>
      <c r="N168" s="5">
        <v>0.73099999999999998</v>
      </c>
      <c r="O168">
        <f t="shared" si="57"/>
        <v>0.73099999999999998</v>
      </c>
      <c r="P168">
        <f t="shared" si="58"/>
        <v>0.54035567715458277</v>
      </c>
      <c r="Q168">
        <f t="shared" si="59"/>
        <v>0.67578659370725036</v>
      </c>
      <c r="R168">
        <f t="shared" si="52"/>
        <v>-0.67962134062927504</v>
      </c>
      <c r="S168" s="3">
        <f t="shared" si="63"/>
        <v>2.0236671700292586E-2</v>
      </c>
      <c r="T168">
        <v>0.73099999999999998</v>
      </c>
      <c r="U168">
        <v>0.73158299999999998</v>
      </c>
      <c r="V168" s="11">
        <f t="shared" si="60"/>
        <v>0.47849161271005869</v>
      </c>
      <c r="W168">
        <f t="shared" si="61"/>
        <v>0.79845236690703048</v>
      </c>
      <c r="X168" s="13">
        <f t="shared" si="62"/>
        <v>0.72025462562749998</v>
      </c>
      <c r="Y168" s="13">
        <v>1.2202546256275</v>
      </c>
    </row>
    <row r="169" spans="1:25" x14ac:dyDescent="0.25">
      <c r="A169" s="1">
        <v>2010</v>
      </c>
      <c r="B169" s="1">
        <f t="shared" si="53"/>
        <v>0.54700000000000004</v>
      </c>
      <c r="C169" s="1">
        <f t="shared" si="46"/>
        <v>0.550857975</v>
      </c>
      <c r="D169" s="1">
        <f t="shared" si="47"/>
        <v>-2.5648988899951153E-4</v>
      </c>
      <c r="E169" s="7">
        <f t="shared" si="54"/>
        <v>0.4247623450785693</v>
      </c>
      <c r="F169" s="1">
        <f t="shared" si="55"/>
        <v>3.857974999999958E-3</v>
      </c>
      <c r="G169" s="9">
        <f t="shared" si="48"/>
        <v>0.4247623450785693</v>
      </c>
      <c r="H169" s="1">
        <f t="shared" si="49"/>
        <v>-6.9039422862249289E-4</v>
      </c>
      <c r="I169" s="1" t="e">
        <f t="shared" si="56"/>
        <v>#NUM!</v>
      </c>
      <c r="J169" s="3" t="b">
        <f t="shared" si="50"/>
        <v>0</v>
      </c>
      <c r="K169" s="3">
        <f t="shared" si="51"/>
        <v>0.4247623450785693</v>
      </c>
      <c r="L169" s="6">
        <v>0.54700000000000004</v>
      </c>
      <c r="M169" s="4">
        <v>0.40600000000000003</v>
      </c>
      <c r="N169" s="5">
        <v>0.90100000000000002</v>
      </c>
      <c r="O169">
        <f t="shared" si="57"/>
        <v>0.90100000000000002</v>
      </c>
      <c r="P169">
        <f t="shared" si="58"/>
        <v>0.45061043285238628</v>
      </c>
      <c r="Q169">
        <f t="shared" si="59"/>
        <v>0.60710321864594896</v>
      </c>
      <c r="R169">
        <f t="shared" si="52"/>
        <v>-0.60630577136514985</v>
      </c>
      <c r="S169" s="3">
        <f t="shared" si="63"/>
        <v>-6.9039422862249289E-4</v>
      </c>
      <c r="T169">
        <v>0.90100000000000002</v>
      </c>
      <c r="U169">
        <v>0.88758300000000001</v>
      </c>
      <c r="V169" s="11">
        <f t="shared" si="60"/>
        <v>0.46314943302422762</v>
      </c>
      <c r="W169">
        <f t="shared" si="61"/>
        <v>0.88359066191196289</v>
      </c>
    </row>
    <row r="170" spans="1:25" x14ac:dyDescent="0.25">
      <c r="A170" s="1">
        <v>2011</v>
      </c>
      <c r="B170" s="1">
        <f t="shared" si="53"/>
        <v>0.40600000000000003</v>
      </c>
      <c r="C170" s="1">
        <f t="shared" si="46"/>
        <v>0.41000812499999995</v>
      </c>
      <c r="D170" s="1">
        <f t="shared" si="47"/>
        <v>0</v>
      </c>
      <c r="E170" s="1">
        <f t="shared" si="54"/>
        <v>0.42134585618420145</v>
      </c>
      <c r="F170" s="1">
        <f t="shared" si="55"/>
        <v>4.008124999999918E-3</v>
      </c>
      <c r="G170" s="9">
        <f t="shared" si="48"/>
        <v>0.42134585618420145</v>
      </c>
      <c r="H170" s="1">
        <f t="shared" si="49"/>
        <v>2.9538021893288358E-4</v>
      </c>
      <c r="I170" s="1">
        <f t="shared" si="56"/>
        <v>0.42134585618420145</v>
      </c>
      <c r="J170" s="3">
        <f t="shared" si="50"/>
        <v>0.42134585618420145</v>
      </c>
      <c r="K170" s="3">
        <f t="shared" si="51"/>
        <v>0.40930534261115703</v>
      </c>
      <c r="L170" s="6">
        <v>0.40600000000000003</v>
      </c>
      <c r="M170" s="4">
        <v>0.28999999999999998</v>
      </c>
      <c r="N170" s="5">
        <v>0.69499999999999995</v>
      </c>
      <c r="O170">
        <f t="shared" si="57"/>
        <v>0.69499999999999995</v>
      </c>
      <c r="P170">
        <f t="shared" si="58"/>
        <v>0.41726618705035973</v>
      </c>
      <c r="Q170">
        <f t="shared" si="59"/>
        <v>0.58417266187050365</v>
      </c>
      <c r="R170">
        <f t="shared" si="52"/>
        <v>-0.58424244604316555</v>
      </c>
      <c r="S170" s="3">
        <f t="shared" si="63"/>
        <v>2.9538021893288358E-4</v>
      </c>
      <c r="T170">
        <v>0.69499999999999995</v>
      </c>
      <c r="U170">
        <v>0.70058299999999996</v>
      </c>
      <c r="V170" s="11">
        <f t="shared" si="60"/>
        <v>0.44671081099659204</v>
      </c>
      <c r="W170">
        <f t="shared" si="61"/>
        <v>0.66230509721902042</v>
      </c>
    </row>
    <row r="171" spans="1:25" x14ac:dyDescent="0.25">
      <c r="A171" s="1">
        <v>2012</v>
      </c>
      <c r="B171" s="1">
        <f t="shared" si="53"/>
        <v>0.44800000000000001</v>
      </c>
      <c r="C171" s="1">
        <f t="shared" si="46"/>
        <v>0.46403272499999998</v>
      </c>
      <c r="D171" s="1">
        <f t="shared" si="47"/>
        <v>-1.3812761330122048E-2</v>
      </c>
      <c r="E171" s="7">
        <f t="shared" si="54"/>
        <v>0.40490452503942714</v>
      </c>
      <c r="F171" s="1">
        <f t="shared" si="55"/>
        <v>1.603272499999997E-2</v>
      </c>
      <c r="G171" s="9">
        <f t="shared" si="48"/>
        <v>0.40490452503942714</v>
      </c>
      <c r="H171" s="1">
        <f t="shared" si="49"/>
        <v>-4.2520551106806415E-2</v>
      </c>
      <c r="I171" s="1" t="e">
        <f t="shared" si="56"/>
        <v>#NUM!</v>
      </c>
      <c r="J171" s="3" t="b">
        <f t="shared" si="50"/>
        <v>0</v>
      </c>
      <c r="K171" s="3">
        <f t="shared" si="51"/>
        <v>0.40490452503942714</v>
      </c>
      <c r="L171" s="6">
        <v>0.44800000000000001</v>
      </c>
      <c r="M171" s="4">
        <v>0.34599999999999997</v>
      </c>
      <c r="N171" s="5">
        <v>0.751</v>
      </c>
      <c r="O171">
        <f>+$N171+$N$1</f>
        <v>0.751</v>
      </c>
      <c r="P171">
        <f t="shared" si="58"/>
        <v>0.46071904127829555</v>
      </c>
      <c r="Q171">
        <f t="shared" si="59"/>
        <v>0.59653794940079896</v>
      </c>
      <c r="R171">
        <f t="shared" si="52"/>
        <v>-0.57796071904127833</v>
      </c>
      <c r="S171" s="3">
        <f t="shared" si="63"/>
        <v>-4.2520551106806415E-2</v>
      </c>
      <c r="T171">
        <v>0.751</v>
      </c>
      <c r="U171">
        <v>0.75416700000000003</v>
      </c>
      <c r="V171" s="11">
        <f t="shared" si="60"/>
        <v>0.42911526653915644</v>
      </c>
      <c r="W171">
        <f t="shared" si="61"/>
        <v>0.79047486248657695</v>
      </c>
    </row>
    <row r="172" spans="1:25" x14ac:dyDescent="0.25">
      <c r="A172" s="1"/>
      <c r="B172" s="1"/>
      <c r="C172" s="1"/>
      <c r="D172" s="1"/>
      <c r="E172" s="1"/>
      <c r="F172" s="1"/>
      <c r="G172" s="9"/>
      <c r="H172" s="1"/>
      <c r="I172" s="1"/>
      <c r="J172" s="3"/>
      <c r="K172" s="3"/>
    </row>
    <row r="173" spans="1:25" x14ac:dyDescent="0.25">
      <c r="A173" s="1"/>
      <c r="B173" s="1"/>
      <c r="C173" s="1"/>
      <c r="D173" s="1"/>
      <c r="E173" s="1"/>
      <c r="F173" s="1"/>
      <c r="G173" s="9"/>
      <c r="H173" s="1"/>
      <c r="I173" s="1"/>
      <c r="J173" s="3"/>
      <c r="K173" s="3"/>
    </row>
    <row r="174" spans="1:25" x14ac:dyDescent="0.25">
      <c r="A174" s="1"/>
      <c r="B174" s="1"/>
      <c r="C174" s="1"/>
      <c r="D174" s="1"/>
      <c r="E174" s="1"/>
      <c r="F174" s="1"/>
      <c r="G174" s="9"/>
      <c r="H174" s="1"/>
      <c r="I174" s="1"/>
      <c r="J174" s="3"/>
      <c r="K174" s="3"/>
    </row>
    <row r="175" spans="1:25" x14ac:dyDescent="0.25">
      <c r="A175" s="1"/>
      <c r="B175" s="1"/>
      <c r="C175" s="1"/>
      <c r="D175" s="1"/>
      <c r="E175" s="1"/>
      <c r="F175" s="1"/>
      <c r="G175" s="9"/>
      <c r="H175" s="1"/>
      <c r="I175" s="1"/>
      <c r="J175" s="3"/>
      <c r="K175" s="3"/>
    </row>
    <row r="176" spans="1:25" x14ac:dyDescent="0.25">
      <c r="A176" s="1"/>
      <c r="B176" s="1"/>
      <c r="C176" s="1"/>
      <c r="D176" s="1"/>
      <c r="E176" s="1"/>
      <c r="F176" s="1"/>
      <c r="G176" s="9"/>
      <c r="H176" s="1"/>
      <c r="I176" s="1"/>
      <c r="J176" s="3"/>
      <c r="K176" s="3"/>
    </row>
    <row r="177" spans="1:11" x14ac:dyDescent="0.25">
      <c r="A177" s="1"/>
      <c r="B177" s="1"/>
      <c r="C177" s="1"/>
      <c r="D177" s="1"/>
      <c r="E177" s="1"/>
      <c r="F177" s="1"/>
      <c r="G177" s="9"/>
      <c r="H177" s="1"/>
      <c r="I177" s="1"/>
      <c r="J177" s="3"/>
      <c r="K177" s="3"/>
    </row>
    <row r="178" spans="1:11" x14ac:dyDescent="0.25">
      <c r="A178" s="1"/>
      <c r="B178" s="1"/>
      <c r="C178" s="1"/>
      <c r="D178" s="1"/>
      <c r="E178" s="1"/>
      <c r="F178" s="1"/>
      <c r="G178" s="9"/>
      <c r="H178" s="1"/>
      <c r="I178" s="1"/>
      <c r="J178" s="3"/>
      <c r="K178" s="3"/>
    </row>
    <row r="179" spans="1:11" x14ac:dyDescent="0.25">
      <c r="A179" s="1"/>
      <c r="B179" s="1"/>
      <c r="C179" s="1"/>
      <c r="D179" s="1"/>
      <c r="E179" s="1"/>
      <c r="F179" s="1"/>
      <c r="G179" s="9"/>
      <c r="H179" s="1"/>
      <c r="I179" s="1"/>
      <c r="J179" s="3"/>
      <c r="K179" s="3"/>
    </row>
    <row r="180" spans="1:11" x14ac:dyDescent="0.25">
      <c r="A180" s="1"/>
      <c r="B180" s="1"/>
      <c r="C180" s="1"/>
      <c r="D180" s="1"/>
      <c r="E180" s="1"/>
      <c r="F180" s="1"/>
      <c r="G180" s="9"/>
      <c r="H180" s="1"/>
      <c r="I180" s="1"/>
      <c r="J180" s="3"/>
      <c r="K180" s="3"/>
    </row>
    <row r="181" spans="1:11" x14ac:dyDescent="0.25">
      <c r="A181" s="1"/>
      <c r="B181" s="1"/>
      <c r="C181" s="1"/>
      <c r="D181" s="1"/>
      <c r="E181" s="1"/>
      <c r="F181" s="1"/>
      <c r="G181" s="9"/>
      <c r="H181" s="1"/>
      <c r="I181" s="1"/>
      <c r="J181" s="3"/>
      <c r="K181" s="3"/>
    </row>
    <row r="182" spans="1:11" x14ac:dyDescent="0.25">
      <c r="A182" s="1"/>
      <c r="B182" s="1"/>
      <c r="C182" s="1"/>
      <c r="D182" s="1"/>
      <c r="E182" s="1"/>
      <c r="F182" s="1"/>
      <c r="G182" s="9"/>
      <c r="H182" s="1"/>
      <c r="I182" s="1"/>
      <c r="J182" s="3"/>
      <c r="K182" s="3"/>
    </row>
    <row r="183" spans="1:11" x14ac:dyDescent="0.25">
      <c r="A183" s="1"/>
      <c r="B183" s="1"/>
      <c r="C183" s="1"/>
      <c r="D183" s="1"/>
      <c r="E183" s="1"/>
      <c r="F183" s="1"/>
      <c r="G183" s="9"/>
      <c r="H183" s="1"/>
      <c r="I183" s="1"/>
      <c r="J183" s="3"/>
      <c r="K183" s="3"/>
    </row>
    <row r="184" spans="1:11" x14ac:dyDescent="0.25">
      <c r="A184" s="1"/>
      <c r="B184" s="1"/>
      <c r="C184" s="1"/>
      <c r="D184" s="1"/>
      <c r="E184" s="1"/>
      <c r="F184" s="1"/>
      <c r="G184" s="9"/>
      <c r="H184" s="1"/>
      <c r="I184" s="1"/>
      <c r="J184" s="3"/>
      <c r="K184" s="3"/>
    </row>
    <row r="185" spans="1:11" x14ac:dyDescent="0.25">
      <c r="A185" s="1"/>
      <c r="B185" s="1"/>
      <c r="C185" s="1"/>
      <c r="D185" s="1"/>
      <c r="E185" s="1"/>
      <c r="F185" s="1"/>
      <c r="G185" s="9"/>
      <c r="H185" s="1"/>
      <c r="I185" s="1"/>
      <c r="J185" s="3"/>
      <c r="K185" s="3"/>
    </row>
    <row r="186" spans="1:11" x14ac:dyDescent="0.25">
      <c r="A186" s="1"/>
      <c r="B186" s="1"/>
      <c r="C186" s="1"/>
      <c r="D186" s="1"/>
      <c r="E186" s="1"/>
      <c r="F186" s="1"/>
      <c r="G186" s="9"/>
      <c r="H186" s="1"/>
      <c r="I186" s="1"/>
      <c r="J186" s="3"/>
      <c r="K186" s="3"/>
    </row>
    <row r="187" spans="1:11" x14ac:dyDescent="0.25">
      <c r="A187" s="1"/>
      <c r="B187" s="1"/>
      <c r="C187" s="1"/>
      <c r="D187" s="1"/>
      <c r="E187" s="1"/>
      <c r="F187" s="1"/>
      <c r="G187" s="9"/>
      <c r="H187" s="1"/>
      <c r="I187" s="1"/>
      <c r="J187" s="3"/>
      <c r="K187" s="3"/>
    </row>
    <row r="188" spans="1:11" x14ac:dyDescent="0.25">
      <c r="A188" s="1"/>
      <c r="B188" s="1"/>
      <c r="C188" s="1"/>
      <c r="D188" s="1"/>
      <c r="E188" s="1"/>
      <c r="F188" s="1"/>
      <c r="G188" s="9"/>
      <c r="H188" s="1"/>
      <c r="I188" s="1"/>
      <c r="J188" s="3"/>
      <c r="K188" s="3"/>
    </row>
    <row r="189" spans="1:11" x14ac:dyDescent="0.25">
      <c r="A189" s="1"/>
      <c r="B189" s="1"/>
      <c r="C189" s="1"/>
      <c r="D189" s="1"/>
      <c r="E189" s="1"/>
      <c r="F189" s="1"/>
      <c r="G189" s="9"/>
      <c r="H189" s="1"/>
      <c r="I189" s="1"/>
      <c r="J189" s="3"/>
      <c r="K189" s="3"/>
    </row>
    <row r="190" spans="1:11" x14ac:dyDescent="0.25">
      <c r="A190" s="1"/>
      <c r="B190" s="1"/>
      <c r="C190" s="1"/>
      <c r="D190" s="1"/>
      <c r="E190" s="1"/>
      <c r="F190" s="1"/>
      <c r="G190" s="9"/>
      <c r="H190" s="1"/>
      <c r="I190" s="1"/>
      <c r="J190" s="3"/>
      <c r="K190" s="3"/>
    </row>
    <row r="191" spans="1:11" x14ac:dyDescent="0.25">
      <c r="A191" s="1"/>
      <c r="B191" s="1"/>
      <c r="C191" s="1"/>
      <c r="D191" s="1"/>
      <c r="E191" s="1"/>
      <c r="F191" s="1"/>
      <c r="G191" s="9"/>
      <c r="H191" s="1"/>
      <c r="I191" s="1"/>
      <c r="J191" s="3"/>
      <c r="K191" s="3"/>
    </row>
    <row r="192" spans="1:11" x14ac:dyDescent="0.25">
      <c r="A192" s="1"/>
      <c r="B192" s="1"/>
      <c r="C192" s="1"/>
      <c r="D192" s="1"/>
      <c r="E192" s="1"/>
      <c r="F192" s="1"/>
      <c r="G192" s="9"/>
      <c r="H192" s="1"/>
      <c r="I192" s="1"/>
      <c r="J192" s="3"/>
      <c r="K192" s="3"/>
    </row>
    <row r="193" spans="1:11" x14ac:dyDescent="0.25">
      <c r="A193" s="1"/>
      <c r="B193" s="1"/>
      <c r="C193" s="1"/>
      <c r="D193" s="1"/>
      <c r="E193" s="1"/>
      <c r="F193" s="1"/>
      <c r="G193" s="9"/>
      <c r="H193" s="1"/>
      <c r="I193" s="1"/>
      <c r="J193" s="3"/>
      <c r="K193" s="3"/>
    </row>
    <row r="194" spans="1:11" x14ac:dyDescent="0.25">
      <c r="A194" s="1"/>
      <c r="B194" s="1"/>
      <c r="C194" s="1"/>
      <c r="D194" s="1"/>
      <c r="E194" s="1"/>
      <c r="F194" s="1"/>
      <c r="G194" s="9"/>
      <c r="H194" s="1"/>
      <c r="I194" s="1"/>
      <c r="J194" s="3"/>
      <c r="K194" s="3"/>
    </row>
    <row r="195" spans="1:11" x14ac:dyDescent="0.25">
      <c r="A195" s="1"/>
      <c r="B195" s="1"/>
      <c r="C195" s="1"/>
      <c r="D195" s="1"/>
      <c r="E195" s="1"/>
      <c r="F195" s="1"/>
      <c r="G195" s="9"/>
      <c r="H195" s="1"/>
      <c r="I195" s="1"/>
      <c r="J195" s="3"/>
      <c r="K195" s="3"/>
    </row>
    <row r="196" spans="1:11" x14ac:dyDescent="0.25">
      <c r="A196" s="1"/>
      <c r="B196" s="1"/>
      <c r="C196" s="1"/>
      <c r="D196" s="1"/>
      <c r="E196" s="1"/>
      <c r="F196" s="1"/>
      <c r="G196" s="9"/>
      <c r="H196" s="1"/>
      <c r="I196" s="1"/>
      <c r="J196" s="3"/>
      <c r="K196" s="3"/>
    </row>
    <row r="197" spans="1:11" x14ac:dyDescent="0.25">
      <c r="A197" s="1"/>
      <c r="B197" s="1"/>
      <c r="C197" s="1"/>
      <c r="D197" s="1"/>
      <c r="E197" s="1"/>
      <c r="F197" s="1"/>
      <c r="G197" s="9"/>
      <c r="H197" s="1"/>
      <c r="I197" s="1"/>
      <c r="J197" s="3"/>
      <c r="K197" s="3"/>
    </row>
    <row r="198" spans="1:11" x14ac:dyDescent="0.25">
      <c r="A198" s="1"/>
      <c r="B198" s="1"/>
      <c r="C198" s="1"/>
      <c r="D198" s="1"/>
      <c r="E198" s="1"/>
      <c r="F198" s="1"/>
      <c r="G198" s="9"/>
      <c r="H198" s="1"/>
      <c r="I198" s="1"/>
      <c r="J198" s="3"/>
      <c r="K198" s="3"/>
    </row>
    <row r="199" spans="1:11" x14ac:dyDescent="0.25">
      <c r="A199" s="1"/>
      <c r="B199" s="1"/>
      <c r="C199" s="1"/>
      <c r="D199" s="1"/>
      <c r="E199" s="1"/>
      <c r="F199" s="1"/>
      <c r="G199" s="9"/>
      <c r="H199" s="1"/>
      <c r="I199" s="1"/>
      <c r="J199" s="3"/>
      <c r="K199" s="3"/>
    </row>
    <row r="200" spans="1:11" x14ac:dyDescent="0.25">
      <c r="A200" s="1"/>
      <c r="B200" s="1"/>
      <c r="C200" s="1"/>
      <c r="D200" s="1"/>
      <c r="E200" s="1"/>
      <c r="F200" s="1"/>
      <c r="G200" s="9"/>
      <c r="H200" s="1"/>
      <c r="I200" s="1"/>
      <c r="J200" s="3"/>
      <c r="K200" s="3"/>
    </row>
    <row r="201" spans="1:11" x14ac:dyDescent="0.25">
      <c r="A201" s="1"/>
      <c r="B201" s="1"/>
      <c r="C201" s="1"/>
      <c r="D201" s="1"/>
      <c r="E201" s="1"/>
      <c r="F201" s="1"/>
      <c r="G201" s="9"/>
      <c r="H201" s="1"/>
      <c r="I201" s="1"/>
      <c r="J201" s="3"/>
      <c r="K201" s="3"/>
    </row>
    <row r="202" spans="1:11" x14ac:dyDescent="0.25">
      <c r="A202" s="1"/>
      <c r="B202" s="1"/>
      <c r="C202" s="1"/>
      <c r="D202" s="1"/>
      <c r="E202" s="1"/>
      <c r="F202" s="1"/>
      <c r="G202" s="9"/>
      <c r="H202" s="1"/>
      <c r="I202" s="1"/>
      <c r="J202" s="3"/>
      <c r="K202" s="3"/>
    </row>
    <row r="203" spans="1:11" x14ac:dyDescent="0.25">
      <c r="A203" s="1"/>
      <c r="B203" s="1"/>
      <c r="C203" s="1"/>
      <c r="D203" s="1"/>
      <c r="E203" s="1"/>
      <c r="F203" s="1"/>
      <c r="G203" s="9"/>
      <c r="H203" s="1"/>
      <c r="I203" s="1"/>
      <c r="J203" s="3"/>
      <c r="K203" s="3"/>
    </row>
    <row r="204" spans="1:11" x14ac:dyDescent="0.25">
      <c r="A204" s="1"/>
      <c r="B204" s="1"/>
      <c r="C204" s="1"/>
      <c r="D204" s="1"/>
      <c r="E204" s="1"/>
      <c r="F204" s="1"/>
      <c r="G204" s="9"/>
      <c r="H204" s="1"/>
      <c r="I204" s="1"/>
      <c r="J204" s="3"/>
      <c r="K204" s="3"/>
    </row>
    <row r="205" spans="1:11" x14ac:dyDescent="0.25">
      <c r="A205" s="1"/>
      <c r="B205" s="1"/>
      <c r="C205" s="1"/>
      <c r="D205" s="1"/>
      <c r="E205" s="1"/>
      <c r="F205" s="1"/>
      <c r="G205" s="9"/>
      <c r="H205" s="1"/>
      <c r="I205" s="1"/>
      <c r="J205" s="3"/>
      <c r="K205" s="3"/>
    </row>
    <row r="206" spans="1:11" x14ac:dyDescent="0.25">
      <c r="A206" s="1"/>
      <c r="B206" s="1"/>
      <c r="C206" s="1"/>
      <c r="D206" s="1"/>
      <c r="E206" s="1"/>
      <c r="F206" s="1"/>
      <c r="G206" s="9"/>
      <c r="H206" s="1"/>
      <c r="I206" s="1"/>
      <c r="J206" s="3"/>
      <c r="K206" s="3"/>
    </row>
    <row r="207" spans="1:11" x14ac:dyDescent="0.25">
      <c r="A207" s="1"/>
      <c r="B207" s="1"/>
      <c r="C207" s="1"/>
      <c r="D207" s="1"/>
      <c r="E207" s="1"/>
      <c r="F207" s="1"/>
      <c r="G207" s="9"/>
      <c r="H207" s="1"/>
      <c r="I207" s="1"/>
      <c r="J207" s="3"/>
      <c r="K207" s="3"/>
    </row>
    <row r="208" spans="1:11" x14ac:dyDescent="0.25">
      <c r="A208" s="1"/>
      <c r="B208" s="1"/>
      <c r="C208" s="1"/>
      <c r="D208" s="1"/>
      <c r="E208" s="1"/>
      <c r="F208" s="1"/>
      <c r="G208" s="9"/>
      <c r="H208" s="1"/>
      <c r="I208" s="1"/>
      <c r="J208" s="3"/>
      <c r="K208" s="3"/>
    </row>
    <row r="209" spans="1:11" x14ac:dyDescent="0.25">
      <c r="A209" s="1"/>
      <c r="B209" s="1"/>
      <c r="C209" s="1"/>
      <c r="D209" s="1"/>
      <c r="E209" s="1"/>
      <c r="F209" s="1"/>
      <c r="G209" s="9"/>
      <c r="H209" s="1"/>
      <c r="I209" s="1"/>
      <c r="J209" s="3"/>
      <c r="K209" s="3"/>
    </row>
    <row r="210" spans="1:11" x14ac:dyDescent="0.25">
      <c r="A210" s="1"/>
      <c r="B210" s="1"/>
      <c r="C210" s="1"/>
      <c r="D210" s="1"/>
      <c r="E210" s="1"/>
      <c r="F210" s="1"/>
      <c r="G210" s="9"/>
      <c r="H210" s="1"/>
      <c r="I210" s="1"/>
      <c r="J210" s="3"/>
      <c r="K210" s="3"/>
    </row>
    <row r="211" spans="1:11" x14ac:dyDescent="0.25">
      <c r="A211" s="1"/>
      <c r="B211" s="1"/>
      <c r="C211" s="1"/>
      <c r="D211" s="1"/>
      <c r="E211" s="1"/>
      <c r="F211" s="1"/>
      <c r="G211" s="9"/>
      <c r="H211" s="1"/>
      <c r="I211" s="1"/>
      <c r="J211" s="3"/>
      <c r="K211" s="3"/>
    </row>
    <row r="212" spans="1:11" x14ac:dyDescent="0.25">
      <c r="A212" s="1"/>
      <c r="B212" s="1"/>
      <c r="C212" s="1"/>
      <c r="D212" s="1"/>
      <c r="E212" s="1"/>
      <c r="F212" s="1"/>
      <c r="G212" s="9"/>
      <c r="H212" s="1"/>
      <c r="I212" s="1"/>
      <c r="J212" s="3"/>
      <c r="K212" s="3"/>
    </row>
    <row r="213" spans="1:11" x14ac:dyDescent="0.25">
      <c r="A213" s="1"/>
      <c r="B213" s="1"/>
      <c r="C213" s="1"/>
      <c r="D213" s="1"/>
      <c r="E213" s="1"/>
      <c r="F213" s="1"/>
      <c r="G213" s="9"/>
      <c r="H213" s="1"/>
      <c r="I213" s="1"/>
      <c r="J213" s="3"/>
      <c r="K213" s="3"/>
    </row>
    <row r="214" spans="1:11" x14ac:dyDescent="0.25">
      <c r="A214" s="1"/>
      <c r="B214" s="1"/>
      <c r="C214" s="1"/>
      <c r="D214" s="1"/>
      <c r="E214" s="1"/>
      <c r="F214" s="1"/>
      <c r="G214" s="9"/>
      <c r="H214" s="1"/>
      <c r="I214" s="1"/>
      <c r="J214" s="3"/>
      <c r="K214" s="3"/>
    </row>
    <row r="215" spans="1:11" x14ac:dyDescent="0.25">
      <c r="A215" s="1"/>
      <c r="B215" s="1"/>
      <c r="C215" s="1"/>
      <c r="D215" s="1"/>
      <c r="E215" s="1"/>
      <c r="F215" s="1"/>
      <c r="G215" s="9"/>
      <c r="H215" s="1"/>
      <c r="I215" s="1"/>
      <c r="J215" s="3"/>
      <c r="K215" s="3"/>
    </row>
    <row r="216" spans="1:11" x14ac:dyDescent="0.25">
      <c r="A216" s="1"/>
      <c r="B216" s="1"/>
      <c r="C216" s="1"/>
      <c r="D216" s="1"/>
      <c r="E216" s="1"/>
      <c r="F216" s="1"/>
      <c r="G216" s="9"/>
      <c r="H216" s="1"/>
      <c r="I216" s="1"/>
      <c r="J216" s="3"/>
      <c r="K216" s="3"/>
    </row>
    <row r="217" spans="1:11" x14ac:dyDescent="0.25">
      <c r="A217" s="1"/>
      <c r="B217" s="1"/>
      <c r="C217" s="1"/>
      <c r="D217" s="1"/>
      <c r="E217" s="1"/>
      <c r="F217" s="1"/>
      <c r="G217" s="9"/>
      <c r="H217" s="1"/>
      <c r="I217" s="1"/>
      <c r="J217" s="3"/>
      <c r="K217" s="3"/>
    </row>
    <row r="218" spans="1:11" x14ac:dyDescent="0.25">
      <c r="A218" s="1"/>
      <c r="B218" s="1"/>
      <c r="C218" s="1"/>
      <c r="D218" s="1"/>
      <c r="E218" s="1"/>
      <c r="F218" s="1"/>
      <c r="G218" s="9"/>
      <c r="H218" s="1"/>
      <c r="I218" s="1"/>
      <c r="J218" s="3"/>
      <c r="K218" s="3"/>
    </row>
    <row r="219" spans="1:11" x14ac:dyDescent="0.25">
      <c r="A219" s="1"/>
      <c r="B219" s="1"/>
      <c r="C219" s="1"/>
      <c r="D219" s="1"/>
      <c r="E219" s="1"/>
      <c r="F219" s="1"/>
      <c r="G219" s="9"/>
      <c r="H219" s="1"/>
      <c r="I219" s="1"/>
      <c r="J219" s="3"/>
      <c r="K219" s="3"/>
    </row>
    <row r="220" spans="1:11" x14ac:dyDescent="0.25">
      <c r="A220" s="1"/>
      <c r="B220" s="1"/>
      <c r="C220" s="1"/>
      <c r="D220" s="1"/>
      <c r="E220" s="1"/>
      <c r="F220" s="1"/>
      <c r="G220" s="9"/>
      <c r="H220" s="1"/>
      <c r="I220" s="1"/>
      <c r="J220" s="3"/>
      <c r="K220" s="3"/>
    </row>
    <row r="221" spans="1:11" x14ac:dyDescent="0.25">
      <c r="A221" s="1"/>
      <c r="B221" s="1"/>
      <c r="C221" s="1"/>
      <c r="D221" s="1"/>
      <c r="E221" s="1"/>
      <c r="F221" s="1"/>
      <c r="G221" s="9"/>
      <c r="H221" s="1"/>
      <c r="I221" s="1"/>
      <c r="J221" s="3"/>
      <c r="K221" s="3"/>
    </row>
    <row r="222" spans="1:11" x14ac:dyDescent="0.25">
      <c r="A222" s="1"/>
      <c r="B222" s="1"/>
      <c r="C222" s="1"/>
      <c r="D222" s="1"/>
      <c r="E222" s="1"/>
      <c r="F222" s="1"/>
      <c r="G222" s="9"/>
      <c r="H222" s="1"/>
      <c r="I222" s="1"/>
      <c r="J222" s="3"/>
      <c r="K222" s="3"/>
    </row>
    <row r="223" spans="1:11" x14ac:dyDescent="0.25">
      <c r="A223" s="1"/>
      <c r="B223" s="1"/>
      <c r="C223" s="1"/>
      <c r="D223" s="1"/>
      <c r="E223" s="1"/>
      <c r="F223" s="1"/>
      <c r="G223" s="9"/>
      <c r="H223" s="1"/>
      <c r="I223" s="1"/>
      <c r="J223" s="3"/>
      <c r="K223" s="3"/>
    </row>
    <row r="224" spans="1:11" x14ac:dyDescent="0.25">
      <c r="A224" s="1"/>
      <c r="B224" s="1"/>
      <c r="C224" s="1"/>
      <c r="D224" s="1"/>
      <c r="E224" s="1"/>
      <c r="F224" s="1"/>
      <c r="G224" s="9"/>
      <c r="H224" s="1"/>
      <c r="I224" s="1"/>
      <c r="J224" s="3"/>
      <c r="K224" s="3"/>
    </row>
    <row r="225" spans="1:11" x14ac:dyDescent="0.25">
      <c r="A225" s="1"/>
      <c r="B225" s="1"/>
      <c r="C225" s="1"/>
      <c r="D225" s="1"/>
      <c r="E225" s="1"/>
      <c r="F225" s="1"/>
      <c r="G225" s="9"/>
      <c r="H225" s="1"/>
      <c r="I225" s="1"/>
      <c r="J225" s="3"/>
      <c r="K225" s="3"/>
    </row>
    <row r="226" spans="1:11" x14ac:dyDescent="0.25">
      <c r="A226" s="1"/>
      <c r="B226" s="1"/>
      <c r="C226" s="1"/>
      <c r="D226" s="1"/>
      <c r="E226" s="1"/>
      <c r="F226" s="1"/>
      <c r="G226" s="9"/>
      <c r="H226" s="1"/>
      <c r="I226" s="1"/>
      <c r="J226" s="3"/>
      <c r="K226" s="3"/>
    </row>
    <row r="227" spans="1:11" x14ac:dyDescent="0.25">
      <c r="A227" s="1"/>
      <c r="B227" s="1"/>
      <c r="C227" s="1"/>
      <c r="D227" s="1"/>
      <c r="E227" s="1"/>
      <c r="F227" s="1"/>
      <c r="G227" s="9"/>
      <c r="H227" s="1"/>
      <c r="I227" s="1"/>
      <c r="J227" s="3"/>
      <c r="K227" s="3"/>
    </row>
    <row r="228" spans="1:11" x14ac:dyDescent="0.25">
      <c r="A228" s="1"/>
      <c r="B228" s="1"/>
      <c r="C228" s="1"/>
      <c r="D228" s="1"/>
      <c r="E228" s="1"/>
      <c r="F228" s="1"/>
      <c r="G228" s="9"/>
      <c r="H228" s="1"/>
      <c r="I228" s="1"/>
      <c r="J228" s="3"/>
      <c r="K228" s="3"/>
    </row>
    <row r="229" spans="1:11" x14ac:dyDescent="0.25">
      <c r="A229" s="1"/>
      <c r="B229" s="1"/>
      <c r="C229" s="1"/>
      <c r="D229" s="1"/>
      <c r="E229" s="1"/>
      <c r="F229" s="1"/>
      <c r="G229" s="9"/>
      <c r="H229" s="1"/>
      <c r="I229" s="1"/>
      <c r="J229" s="3"/>
      <c r="K229" s="3"/>
    </row>
    <row r="230" spans="1:11" x14ac:dyDescent="0.25">
      <c r="A230" s="1"/>
      <c r="B230" s="1"/>
      <c r="C230" s="1"/>
      <c r="D230" s="1"/>
      <c r="E230" s="1"/>
      <c r="F230" s="1"/>
      <c r="G230" s="9"/>
      <c r="H230" s="1"/>
      <c r="I230" s="1"/>
      <c r="J230" s="3"/>
      <c r="K230" s="3"/>
    </row>
    <row r="231" spans="1:11" x14ac:dyDescent="0.25">
      <c r="A231" s="1"/>
      <c r="B231" s="1"/>
      <c r="C231" s="1"/>
      <c r="D231" s="1"/>
      <c r="E231" s="1"/>
      <c r="F231" s="1"/>
      <c r="G231" s="9"/>
      <c r="H231" s="1"/>
      <c r="I231" s="1"/>
      <c r="J231" s="3"/>
      <c r="K231" s="3"/>
    </row>
    <row r="232" spans="1:11" x14ac:dyDescent="0.25">
      <c r="A232" s="1"/>
      <c r="B232" s="1"/>
      <c r="C232" s="1"/>
      <c r="D232" s="1"/>
      <c r="E232" s="1"/>
      <c r="F232" s="1"/>
      <c r="G232" s="9"/>
      <c r="H232" s="1"/>
      <c r="I232" s="1"/>
      <c r="J232" s="3"/>
      <c r="K232" s="3"/>
    </row>
    <row r="233" spans="1:11" x14ac:dyDescent="0.25">
      <c r="A233" s="1"/>
      <c r="B233" s="1"/>
      <c r="C233" s="1"/>
      <c r="D233" s="1"/>
      <c r="E233" s="1"/>
      <c r="F233" s="1"/>
      <c r="G233" s="9"/>
      <c r="H233" s="1"/>
      <c r="I233" s="1"/>
      <c r="J233" s="3"/>
      <c r="K233" s="3"/>
    </row>
    <row r="234" spans="1:11" x14ac:dyDescent="0.25">
      <c r="A234" s="1"/>
      <c r="B234" s="1"/>
      <c r="C234" s="1"/>
      <c r="D234" s="1"/>
      <c r="E234" s="1"/>
      <c r="F234" s="1"/>
      <c r="G234" s="9"/>
      <c r="H234" s="1"/>
      <c r="I234" s="1"/>
      <c r="J234" s="3"/>
      <c r="K234" s="3"/>
    </row>
    <row r="235" spans="1:11" x14ac:dyDescent="0.25">
      <c r="A235" s="1"/>
      <c r="B235" s="1"/>
      <c r="C235" s="1"/>
      <c r="D235" s="1"/>
      <c r="E235" s="1"/>
      <c r="F235" s="1"/>
      <c r="G235" s="9"/>
      <c r="H235" s="1"/>
      <c r="I235" s="1"/>
      <c r="J235" s="3"/>
      <c r="K235" s="3"/>
    </row>
    <row r="236" spans="1:11" x14ac:dyDescent="0.25">
      <c r="A236" s="1"/>
      <c r="B236" s="1"/>
      <c r="C236" s="1"/>
      <c r="D236" s="1"/>
      <c r="E236" s="1"/>
      <c r="F236" s="1"/>
      <c r="G236" s="9"/>
      <c r="H236" s="1"/>
      <c r="I236" s="1"/>
      <c r="J236" s="3"/>
      <c r="K236" s="3"/>
    </row>
    <row r="237" spans="1:11" x14ac:dyDescent="0.25">
      <c r="A237" s="1"/>
      <c r="B237" s="1"/>
      <c r="C237" s="1"/>
      <c r="D237" s="1"/>
      <c r="E237" s="1"/>
      <c r="F237" s="1"/>
      <c r="G237" s="9"/>
      <c r="H237" s="1"/>
      <c r="I237" s="1"/>
      <c r="J237" s="3"/>
      <c r="K237" s="3"/>
    </row>
    <row r="238" spans="1:11" x14ac:dyDescent="0.25">
      <c r="A238" s="1"/>
      <c r="B238" s="1"/>
      <c r="C238" s="1"/>
      <c r="D238" s="1"/>
      <c r="E238" s="1"/>
      <c r="F238" s="1"/>
      <c r="G238" s="9"/>
      <c r="H238" s="1"/>
      <c r="I238" s="1"/>
      <c r="J238" s="3"/>
      <c r="K238" s="3"/>
    </row>
    <row r="239" spans="1:11" x14ac:dyDescent="0.25">
      <c r="A239" s="1"/>
      <c r="B239" s="1"/>
      <c r="C239" s="1"/>
      <c r="D239" s="1"/>
      <c r="E239" s="1"/>
      <c r="F239" s="1"/>
      <c r="G239" s="9"/>
      <c r="H239" s="1"/>
      <c r="I239" s="1"/>
      <c r="J239" s="3"/>
      <c r="K239" s="3"/>
    </row>
    <row r="240" spans="1:11" x14ac:dyDescent="0.25">
      <c r="A240" s="1"/>
      <c r="B240" s="1"/>
      <c r="C240" s="1"/>
      <c r="D240" s="1"/>
      <c r="E240" s="1"/>
      <c r="F240" s="1"/>
      <c r="G240" s="9"/>
      <c r="H240" s="1"/>
      <c r="I240" s="1"/>
      <c r="J240" s="3"/>
      <c r="K240" s="3"/>
    </row>
    <row r="241" spans="1:11" x14ac:dyDescent="0.25">
      <c r="A241" s="1"/>
      <c r="B241" s="1"/>
      <c r="C241" s="1"/>
      <c r="D241" s="1"/>
      <c r="E241" s="1"/>
      <c r="F241" s="1"/>
      <c r="G241" s="9"/>
      <c r="H241" s="1"/>
      <c r="I241" s="1"/>
      <c r="J241" s="3"/>
      <c r="K241" s="3"/>
    </row>
    <row r="242" spans="1:11" x14ac:dyDescent="0.25">
      <c r="A242" s="1"/>
      <c r="B242" s="1"/>
      <c r="C242" s="1"/>
      <c r="D242" s="1"/>
      <c r="E242" s="1"/>
      <c r="F242" s="1"/>
      <c r="G242" s="9"/>
      <c r="H242" s="1"/>
      <c r="I242" s="1"/>
      <c r="J242" s="3"/>
      <c r="K242" s="3"/>
    </row>
    <row r="243" spans="1:11" x14ac:dyDescent="0.25">
      <c r="A243" s="1"/>
      <c r="B243" s="1"/>
      <c r="C243" s="1"/>
      <c r="D243" s="1"/>
      <c r="E243" s="1"/>
      <c r="F243" s="1"/>
      <c r="G243" s="9"/>
      <c r="H243" s="1"/>
      <c r="I243" s="1"/>
      <c r="J243" s="3"/>
      <c r="K243" s="3"/>
    </row>
    <row r="244" spans="1:11" x14ac:dyDescent="0.25">
      <c r="A244" s="1"/>
      <c r="B244" s="1"/>
      <c r="C244" s="1"/>
      <c r="D244" s="1"/>
      <c r="E244" s="1"/>
      <c r="F244" s="1"/>
      <c r="G244" s="9"/>
      <c r="H244" s="1"/>
      <c r="I244" s="1"/>
      <c r="J244" s="3"/>
      <c r="K244" s="3"/>
    </row>
    <row r="245" spans="1:11" x14ac:dyDescent="0.25">
      <c r="A245" s="1"/>
      <c r="B245" s="1"/>
      <c r="C245" s="1"/>
      <c r="D245" s="1"/>
      <c r="E245" s="1"/>
      <c r="F245" s="1"/>
      <c r="G245" s="9"/>
      <c r="H245" s="1"/>
      <c r="I245" s="1"/>
      <c r="J245" s="3"/>
      <c r="K245" s="3"/>
    </row>
    <row r="246" spans="1:11" x14ac:dyDescent="0.25">
      <c r="A246" s="1"/>
      <c r="B246" s="1"/>
      <c r="C246" s="1"/>
      <c r="D246" s="1"/>
      <c r="E246" s="1"/>
      <c r="F246" s="1"/>
      <c r="G246" s="9"/>
      <c r="H246" s="1"/>
      <c r="I246" s="1"/>
      <c r="J246" s="3"/>
      <c r="K246" s="3"/>
    </row>
    <row r="247" spans="1:11" x14ac:dyDescent="0.25">
      <c r="A247" s="1"/>
      <c r="B247" s="1"/>
      <c r="C247" s="1"/>
      <c r="D247" s="1"/>
      <c r="E247" s="1"/>
      <c r="F247" s="1"/>
      <c r="G247" s="9"/>
      <c r="H247" s="1"/>
      <c r="I247" s="1"/>
      <c r="J247" s="3"/>
      <c r="K247" s="3"/>
    </row>
    <row r="248" spans="1:11" x14ac:dyDescent="0.25">
      <c r="A248" s="1"/>
      <c r="B248" s="1"/>
      <c r="C248" s="1"/>
      <c r="D248" s="1"/>
      <c r="E248" s="1"/>
      <c r="F248" s="1"/>
      <c r="G248" s="9"/>
      <c r="H248" s="1"/>
      <c r="I248" s="1"/>
      <c r="J248" s="3"/>
      <c r="K248" s="3"/>
    </row>
    <row r="249" spans="1:11" x14ac:dyDescent="0.25">
      <c r="A249" s="1"/>
      <c r="B249" s="1"/>
      <c r="C249" s="1"/>
      <c r="D249" s="1"/>
      <c r="E249" s="1"/>
      <c r="F249" s="1"/>
      <c r="G249" s="9"/>
      <c r="H249" s="1"/>
      <c r="I249" s="1"/>
      <c r="J249" s="3"/>
      <c r="K249" s="3"/>
    </row>
    <row r="250" spans="1:11" x14ac:dyDescent="0.25">
      <c r="A250" s="1"/>
      <c r="B250" s="1"/>
      <c r="C250" s="1"/>
      <c r="D250" s="1"/>
      <c r="E250" s="1"/>
      <c r="F250" s="1"/>
      <c r="G250" s="9"/>
      <c r="H250" s="1"/>
      <c r="I250" s="1"/>
      <c r="J250" s="3"/>
      <c r="K250" s="3"/>
    </row>
    <row r="251" spans="1:11" x14ac:dyDescent="0.25">
      <c r="A251" s="1"/>
      <c r="B251" s="1"/>
      <c r="C251" s="1"/>
      <c r="D251" s="1"/>
      <c r="E251" s="1"/>
      <c r="F251" s="1"/>
      <c r="G251" s="9"/>
      <c r="H251" s="1"/>
      <c r="I251" s="1"/>
      <c r="J251" s="3"/>
      <c r="K251" s="3"/>
    </row>
    <row r="252" spans="1:11" x14ac:dyDescent="0.25">
      <c r="A252" s="1"/>
      <c r="B252" s="1"/>
      <c r="C252" s="1"/>
      <c r="D252" s="1"/>
      <c r="E252" s="1"/>
      <c r="F252" s="1"/>
      <c r="G252" s="9"/>
      <c r="H252" s="1"/>
      <c r="I252" s="1"/>
      <c r="J252" s="3"/>
      <c r="K252" s="3"/>
    </row>
    <row r="253" spans="1:11" x14ac:dyDescent="0.25">
      <c r="A253" s="1"/>
      <c r="B253" s="1"/>
      <c r="C253" s="1"/>
      <c r="D253" s="1"/>
      <c r="E253" s="1"/>
      <c r="F253" s="1"/>
      <c r="G253" s="9"/>
      <c r="H253" s="1"/>
      <c r="I253" s="1"/>
      <c r="J253" s="3"/>
      <c r="K253" s="3"/>
    </row>
    <row r="254" spans="1:11" x14ac:dyDescent="0.25">
      <c r="A254" s="1"/>
      <c r="B254" s="1"/>
      <c r="C254" s="1"/>
      <c r="D254" s="1"/>
      <c r="E254" s="1"/>
      <c r="F254" s="1"/>
      <c r="G254" s="9"/>
      <c r="H254" s="1"/>
      <c r="I254" s="1"/>
      <c r="J254" s="3"/>
      <c r="K254" s="3"/>
    </row>
    <row r="255" spans="1:11" x14ac:dyDescent="0.25">
      <c r="A255" s="1"/>
      <c r="B255" s="1"/>
      <c r="C255" s="1"/>
      <c r="D255" s="1"/>
      <c r="E255" s="1"/>
      <c r="F255" s="1"/>
      <c r="G255" s="9"/>
      <c r="H255" s="1"/>
      <c r="I255" s="1"/>
      <c r="J255" s="3"/>
      <c r="K255" s="3"/>
    </row>
    <row r="256" spans="1:11" x14ac:dyDescent="0.25">
      <c r="A256" s="1"/>
      <c r="B256" s="1"/>
      <c r="C256" s="1"/>
      <c r="D256" s="1"/>
      <c r="E256" s="1"/>
      <c r="F256" s="1"/>
      <c r="G256" s="9"/>
      <c r="H256" s="1"/>
      <c r="I256" s="1"/>
      <c r="J256" s="3"/>
      <c r="K256" s="3"/>
    </row>
    <row r="257" spans="1:11" x14ac:dyDescent="0.25">
      <c r="A257" s="1"/>
      <c r="B257" s="1"/>
      <c r="C257" s="1"/>
      <c r="D257" s="1"/>
      <c r="E257" s="1"/>
      <c r="F257" s="1"/>
      <c r="G257" s="9"/>
      <c r="H257" s="1"/>
      <c r="I257" s="1"/>
      <c r="J257" s="3"/>
      <c r="K257" s="3"/>
    </row>
    <row r="258" spans="1:11" x14ac:dyDescent="0.25">
      <c r="A258" s="1"/>
      <c r="B258" s="1"/>
      <c r="C258" s="1"/>
      <c r="D258" s="1"/>
      <c r="E258" s="1"/>
      <c r="F258" s="1"/>
      <c r="G258" s="9"/>
      <c r="H258" s="1"/>
      <c r="I258" s="1"/>
      <c r="J258" s="3"/>
      <c r="K258" s="3"/>
    </row>
    <row r="259" spans="1:11" x14ac:dyDescent="0.25">
      <c r="A259" s="1"/>
      <c r="B259" s="1"/>
      <c r="C259" s="1"/>
      <c r="D259" s="1"/>
      <c r="E259" s="1"/>
      <c r="F259" s="1"/>
      <c r="G259" s="9"/>
      <c r="H259" s="1"/>
      <c r="I259" s="1"/>
      <c r="J259" s="3"/>
      <c r="K259" s="3"/>
    </row>
    <row r="260" spans="1:11" x14ac:dyDescent="0.25">
      <c r="A260" s="1"/>
      <c r="B260" s="1"/>
      <c r="C260" s="1"/>
      <c r="D260" s="1"/>
      <c r="E260" s="1"/>
      <c r="F260" s="1"/>
      <c r="G260" s="9"/>
      <c r="H260" s="1"/>
      <c r="I260" s="1"/>
      <c r="J260" s="3"/>
      <c r="K260" s="3"/>
    </row>
    <row r="261" spans="1:11" x14ac:dyDescent="0.25">
      <c r="A261" s="1"/>
      <c r="B261" s="1"/>
      <c r="C261" s="1"/>
      <c r="D261" s="1"/>
      <c r="E261" s="1"/>
      <c r="F261" s="1"/>
      <c r="G261" s="9"/>
      <c r="H261" s="1"/>
      <c r="I261" s="1"/>
      <c r="J261" s="3"/>
      <c r="K261" s="3"/>
    </row>
    <row r="262" spans="1:11" x14ac:dyDescent="0.25">
      <c r="A262" s="1"/>
      <c r="B262" s="1"/>
      <c r="C262" s="1"/>
      <c r="D262" s="1"/>
      <c r="E262" s="1"/>
      <c r="F262" s="1"/>
      <c r="G262" s="9"/>
      <c r="H262" s="1"/>
      <c r="I262" s="1"/>
      <c r="J262" s="3"/>
      <c r="K262" s="3"/>
    </row>
    <row r="263" spans="1:11" x14ac:dyDescent="0.25">
      <c r="A263" s="1"/>
      <c r="B263" s="1"/>
      <c r="C263" s="1"/>
      <c r="D263" s="1"/>
      <c r="E263" s="1"/>
      <c r="F263" s="1"/>
      <c r="G263" s="9"/>
      <c r="H263" s="1"/>
      <c r="I263" s="1"/>
      <c r="J263" s="3"/>
      <c r="K263" s="3"/>
    </row>
    <row r="264" spans="1:11" x14ac:dyDescent="0.25">
      <c r="A264" s="1"/>
      <c r="B264" s="1"/>
      <c r="C264" s="1"/>
      <c r="D264" s="1"/>
      <c r="E264" s="1"/>
      <c r="F264" s="1"/>
      <c r="G264" s="9"/>
      <c r="H264" s="1"/>
      <c r="I264" s="1"/>
      <c r="J264" s="3"/>
      <c r="K264" s="3"/>
    </row>
    <row r="265" spans="1:11" x14ac:dyDescent="0.25">
      <c r="A265" s="1"/>
      <c r="B265" s="1"/>
      <c r="C265" s="1"/>
      <c r="D265" s="1"/>
      <c r="E265" s="1"/>
      <c r="F265" s="1"/>
      <c r="G265" s="9"/>
      <c r="H265" s="1"/>
      <c r="I265" s="1"/>
      <c r="J265" s="3"/>
      <c r="K265" s="3"/>
    </row>
    <row r="266" spans="1:11" x14ac:dyDescent="0.25">
      <c r="A266" s="1"/>
      <c r="B266" s="1"/>
      <c r="C266" s="1"/>
      <c r="D266" s="1"/>
      <c r="E266" s="1"/>
      <c r="F266" s="1"/>
      <c r="G266" s="9"/>
      <c r="H266" s="1"/>
      <c r="I266" s="1"/>
      <c r="J266" s="3"/>
      <c r="K266" s="3"/>
    </row>
    <row r="267" spans="1:11" x14ac:dyDescent="0.25">
      <c r="A267" s="1"/>
      <c r="B267" s="1"/>
      <c r="C267" s="1"/>
      <c r="D267" s="1"/>
      <c r="E267" s="1"/>
      <c r="F267" s="1"/>
      <c r="G267" s="9"/>
      <c r="H267" s="1"/>
      <c r="I267" s="1"/>
      <c r="J267" s="3"/>
      <c r="K267" s="3"/>
    </row>
    <row r="268" spans="1:11" x14ac:dyDescent="0.25">
      <c r="A268" s="1"/>
      <c r="B268" s="1"/>
      <c r="C268" s="1"/>
      <c r="D268" s="1"/>
      <c r="E268" s="1"/>
      <c r="F268" s="1"/>
      <c r="G268" s="9"/>
      <c r="H268" s="1"/>
      <c r="I268" s="1"/>
      <c r="J268" s="3"/>
      <c r="K268" s="3"/>
    </row>
    <row r="269" spans="1:11" x14ac:dyDescent="0.25">
      <c r="A269" s="1"/>
      <c r="B269" s="1"/>
      <c r="C269" s="1"/>
      <c r="D269" s="1"/>
      <c r="E269" s="1"/>
      <c r="F269" s="1"/>
      <c r="G269" s="9"/>
      <c r="H269" s="1"/>
      <c r="I269" s="1"/>
      <c r="J269" s="3"/>
      <c r="K269" s="3"/>
    </row>
    <row r="270" spans="1:11" x14ac:dyDescent="0.25">
      <c r="A270" s="1"/>
      <c r="B270" s="1"/>
      <c r="C270" s="1"/>
      <c r="D270" s="1"/>
      <c r="E270" s="1"/>
      <c r="F270" s="1"/>
      <c r="G270" s="9"/>
      <c r="H270" s="1"/>
      <c r="I270" s="1"/>
      <c r="J270" s="3"/>
      <c r="K270" s="3"/>
    </row>
    <row r="271" spans="1:11" x14ac:dyDescent="0.25">
      <c r="A271" s="1"/>
      <c r="B271" s="1"/>
      <c r="C271" s="1"/>
      <c r="D271" s="1"/>
      <c r="E271" s="1"/>
      <c r="F271" s="1"/>
      <c r="G271" s="9"/>
      <c r="H271" s="1"/>
      <c r="I271" s="1"/>
      <c r="J271" s="3"/>
      <c r="K271" s="3"/>
    </row>
    <row r="272" spans="1:11" x14ac:dyDescent="0.25">
      <c r="A272" s="1"/>
      <c r="B272" s="1"/>
      <c r="C272" s="1"/>
      <c r="D272" s="1"/>
      <c r="E272" s="1"/>
      <c r="F272" s="1"/>
      <c r="G272" s="9"/>
      <c r="H272" s="1"/>
      <c r="I272" s="1"/>
      <c r="J272" s="3"/>
      <c r="K272" s="3"/>
    </row>
    <row r="273" spans="1:11" x14ac:dyDescent="0.25">
      <c r="A273" s="1"/>
      <c r="B273" s="1"/>
      <c r="C273" s="1"/>
      <c r="D273" s="1"/>
      <c r="E273" s="1"/>
      <c r="F273" s="1"/>
      <c r="G273" s="9"/>
      <c r="H273" s="1"/>
      <c r="I273" s="1"/>
      <c r="J273" s="3"/>
      <c r="K273" s="3"/>
    </row>
    <row r="274" spans="1:11" x14ac:dyDescent="0.25">
      <c r="A274" s="1"/>
      <c r="B274" s="1"/>
      <c r="C274" s="1"/>
      <c r="D274" s="1"/>
      <c r="E274" s="1"/>
      <c r="F274" s="1"/>
      <c r="G274" s="9"/>
      <c r="H274" s="1"/>
      <c r="I274" s="1"/>
      <c r="J274" s="3"/>
      <c r="K274" s="3"/>
    </row>
    <row r="275" spans="1:11" x14ac:dyDescent="0.25">
      <c r="A275" s="1"/>
      <c r="B275" s="1"/>
      <c r="C275" s="1"/>
      <c r="D275" s="1"/>
      <c r="E275" s="1"/>
      <c r="F275" s="1"/>
      <c r="G275" s="9"/>
      <c r="H275" s="1"/>
      <c r="I275" s="1"/>
      <c r="J275" s="3"/>
      <c r="K275" s="3"/>
    </row>
    <row r="276" spans="1:11" x14ac:dyDescent="0.25">
      <c r="A276" s="1"/>
      <c r="B276" s="1"/>
      <c r="C276" s="1"/>
      <c r="D276" s="1"/>
      <c r="E276" s="1"/>
      <c r="F276" s="1"/>
      <c r="G276" s="9"/>
      <c r="H276" s="1"/>
      <c r="I276" s="1"/>
      <c r="J276" s="3"/>
      <c r="K276" s="3"/>
    </row>
    <row r="277" spans="1:11" x14ac:dyDescent="0.25">
      <c r="A277" s="1"/>
      <c r="B277" s="1"/>
      <c r="C277" s="1"/>
      <c r="D277" s="1"/>
      <c r="E277" s="1"/>
      <c r="F277" s="1"/>
      <c r="G277" s="9"/>
      <c r="H277" s="1"/>
      <c r="I277" s="1"/>
      <c r="J277" s="3"/>
      <c r="K277" s="3"/>
    </row>
    <row r="278" spans="1:11" x14ac:dyDescent="0.25">
      <c r="A278" s="1"/>
      <c r="B278" s="1"/>
      <c r="C278" s="1"/>
      <c r="D278" s="1"/>
      <c r="E278" s="1"/>
      <c r="F278" s="1"/>
      <c r="G278" s="9"/>
      <c r="H278" s="1"/>
      <c r="I278" s="1"/>
      <c r="J278" s="3"/>
      <c r="K278" s="3"/>
    </row>
    <row r="279" spans="1:11" x14ac:dyDescent="0.25">
      <c r="A279" s="1"/>
      <c r="B279" s="1"/>
      <c r="C279" s="1"/>
      <c r="D279" s="1"/>
      <c r="E279" s="1"/>
      <c r="F279" s="1"/>
      <c r="G279" s="9"/>
      <c r="H279" s="1"/>
      <c r="I279" s="1"/>
      <c r="J279" s="3"/>
      <c r="K279" s="3"/>
    </row>
    <row r="280" spans="1:11" x14ac:dyDescent="0.25">
      <c r="A280" s="1"/>
      <c r="B280" s="1"/>
      <c r="C280" s="1"/>
      <c r="D280" s="1"/>
      <c r="E280" s="1"/>
      <c r="F280" s="1"/>
      <c r="G280" s="9"/>
      <c r="H280" s="1"/>
      <c r="I280" s="1"/>
      <c r="J280" s="3"/>
      <c r="K280" s="3"/>
    </row>
    <row r="281" spans="1:11" x14ac:dyDescent="0.25">
      <c r="A281" s="1"/>
      <c r="B281" s="1"/>
      <c r="C281" s="1"/>
      <c r="D281" s="1"/>
      <c r="E281" s="1"/>
      <c r="F281" s="1"/>
      <c r="G281" s="9"/>
      <c r="H281" s="1"/>
      <c r="I281" s="1"/>
      <c r="J281" s="3"/>
      <c r="K281" s="3"/>
    </row>
    <row r="282" spans="1:11" x14ac:dyDescent="0.25">
      <c r="A282" s="1"/>
      <c r="B282" s="1"/>
      <c r="C282" s="1"/>
      <c r="D282" s="1"/>
      <c r="E282" s="1"/>
      <c r="F282" s="1"/>
      <c r="G282" s="9"/>
      <c r="H282" s="1"/>
      <c r="I282" s="1"/>
      <c r="J282" s="3"/>
      <c r="K282" s="3"/>
    </row>
    <row r="283" spans="1:11" x14ac:dyDescent="0.25">
      <c r="A283" s="1"/>
      <c r="B283" s="1"/>
      <c r="C283" s="1"/>
      <c r="D283" s="1"/>
      <c r="E283" s="1"/>
      <c r="F283" s="1"/>
      <c r="G283" s="9"/>
      <c r="H283" s="1"/>
      <c r="I283" s="1"/>
      <c r="J283" s="3"/>
      <c r="K283" s="3"/>
    </row>
    <row r="284" spans="1:11" x14ac:dyDescent="0.25">
      <c r="A284" s="1"/>
      <c r="B284" s="1"/>
      <c r="C284" s="1"/>
      <c r="D284" s="1"/>
      <c r="E284" s="1"/>
      <c r="F284" s="1"/>
      <c r="G284" s="9"/>
      <c r="H284" s="1"/>
      <c r="I284" s="1"/>
      <c r="J284" s="3"/>
      <c r="K284" s="3"/>
    </row>
    <row r="285" spans="1:11" x14ac:dyDescent="0.25">
      <c r="A285" s="1"/>
      <c r="B285" s="1"/>
      <c r="C285" s="1"/>
      <c r="D285" s="1"/>
      <c r="E285" s="1"/>
      <c r="F285" s="1"/>
      <c r="G285" s="9"/>
      <c r="H285" s="1"/>
      <c r="I285" s="1"/>
      <c r="J285" s="3"/>
      <c r="K285" s="3"/>
    </row>
    <row r="286" spans="1:11" x14ac:dyDescent="0.25">
      <c r="A286" s="1"/>
      <c r="B286" s="1"/>
      <c r="C286" s="1"/>
      <c r="D286" s="1"/>
      <c r="E286" s="1"/>
      <c r="F286" s="1"/>
      <c r="G286" s="9"/>
      <c r="H286" s="1"/>
      <c r="I286" s="1"/>
      <c r="J286" s="3"/>
      <c r="K286" s="3"/>
    </row>
    <row r="287" spans="1:11" x14ac:dyDescent="0.25">
      <c r="A287" s="1"/>
      <c r="B287" s="1"/>
      <c r="C287" s="1"/>
      <c r="D287" s="1"/>
      <c r="E287" s="1"/>
      <c r="F287" s="1"/>
      <c r="G287" s="9"/>
      <c r="H287" s="1"/>
      <c r="I287" s="1"/>
      <c r="J287" s="3"/>
      <c r="K287" s="3"/>
    </row>
    <row r="288" spans="1:11" x14ac:dyDescent="0.25">
      <c r="A288" s="1"/>
      <c r="B288" s="1"/>
      <c r="C288" s="1"/>
      <c r="D288" s="1"/>
      <c r="E288" s="1"/>
      <c r="F288" s="1"/>
      <c r="G288" s="9"/>
      <c r="H288" s="1"/>
      <c r="I288" s="1"/>
      <c r="J288" s="3"/>
      <c r="K288" s="3"/>
    </row>
    <row r="289" spans="1:11" x14ac:dyDescent="0.25">
      <c r="A289" s="1"/>
      <c r="B289" s="1"/>
      <c r="C289" s="1"/>
      <c r="D289" s="1"/>
      <c r="E289" s="1"/>
      <c r="F289" s="1"/>
      <c r="G289" s="9"/>
      <c r="H289" s="1"/>
      <c r="I289" s="1"/>
      <c r="J289" s="3"/>
      <c r="K289" s="3"/>
    </row>
    <row r="290" spans="1:11" x14ac:dyDescent="0.25">
      <c r="A290" s="1"/>
      <c r="B290" s="1"/>
      <c r="C290" s="1"/>
      <c r="D290" s="1"/>
      <c r="E290" s="1"/>
      <c r="F290" s="1"/>
      <c r="G290" s="9"/>
      <c r="H290" s="1"/>
      <c r="I290" s="1"/>
      <c r="J290" s="3"/>
      <c r="K290" s="3"/>
    </row>
    <row r="291" spans="1:11" x14ac:dyDescent="0.25">
      <c r="A291" s="1"/>
      <c r="B291" s="1"/>
      <c r="C291" s="1"/>
      <c r="D291" s="1"/>
      <c r="E291" s="1"/>
      <c r="F291" s="1"/>
      <c r="G291" s="9"/>
      <c r="H291" s="1"/>
      <c r="I291" s="1"/>
      <c r="J291" s="3"/>
      <c r="K291" s="3"/>
    </row>
    <row r="292" spans="1:11" x14ac:dyDescent="0.25">
      <c r="A292" s="1"/>
      <c r="B292" s="1"/>
      <c r="C292" s="1"/>
      <c r="D292" s="1"/>
      <c r="E292" s="1"/>
      <c r="F292" s="1"/>
      <c r="G292" s="9"/>
      <c r="H292" s="1"/>
      <c r="I292" s="1"/>
      <c r="J292" s="3"/>
      <c r="K292" s="3"/>
    </row>
    <row r="293" spans="1:11" x14ac:dyDescent="0.25">
      <c r="A293" s="1"/>
      <c r="B293" s="1"/>
      <c r="C293" s="1"/>
      <c r="D293" s="1"/>
      <c r="E293" s="1"/>
      <c r="F293" s="1"/>
      <c r="G293" s="9"/>
      <c r="H293" s="1"/>
      <c r="I293" s="1"/>
      <c r="J293" s="3"/>
      <c r="K293" s="3"/>
    </row>
    <row r="294" spans="1:11" x14ac:dyDescent="0.25">
      <c r="A294" s="1"/>
      <c r="B294" s="1"/>
      <c r="C294" s="1"/>
      <c r="D294" s="1"/>
      <c r="E294" s="1"/>
      <c r="F294" s="1"/>
      <c r="G294" s="9"/>
      <c r="H294" s="1"/>
      <c r="I294" s="1"/>
      <c r="J294" s="3"/>
      <c r="K294" s="3"/>
    </row>
    <row r="295" spans="1:11" x14ac:dyDescent="0.25">
      <c r="A295" s="1"/>
      <c r="B295" s="1"/>
      <c r="C295" s="1"/>
      <c r="D295" s="1"/>
      <c r="E295" s="1"/>
      <c r="F295" s="1"/>
      <c r="G295" s="9"/>
      <c r="H295" s="1"/>
      <c r="I295" s="1"/>
      <c r="J295" s="3"/>
      <c r="K295" s="3"/>
    </row>
    <row r="296" spans="1:11" x14ac:dyDescent="0.25">
      <c r="A296" s="1"/>
      <c r="B296" s="1"/>
      <c r="C296" s="1"/>
      <c r="D296" s="1"/>
      <c r="E296" s="1"/>
      <c r="F296" s="1"/>
      <c r="G296" s="9"/>
      <c r="H296" s="1"/>
      <c r="I296" s="1"/>
      <c r="J296" s="3"/>
      <c r="K296" s="3"/>
    </row>
    <row r="297" spans="1:11" x14ac:dyDescent="0.25">
      <c r="A297" s="1"/>
      <c r="B297" s="1"/>
      <c r="C297" s="1"/>
      <c r="D297" s="1"/>
      <c r="E297" s="1"/>
      <c r="F297" s="1"/>
      <c r="G297" s="9"/>
      <c r="H297" s="1"/>
      <c r="I297" s="1"/>
      <c r="J297" s="3"/>
      <c r="K297" s="3"/>
    </row>
    <row r="298" spans="1:11" x14ac:dyDescent="0.25">
      <c r="A298" s="1"/>
      <c r="B298" s="1"/>
      <c r="C298" s="1"/>
      <c r="D298" s="1"/>
      <c r="E298" s="1"/>
      <c r="F298" s="1"/>
      <c r="G298" s="9"/>
      <c r="H298" s="1"/>
      <c r="I298" s="1"/>
      <c r="J298" s="3"/>
      <c r="K298" s="3"/>
    </row>
    <row r="299" spans="1:11" x14ac:dyDescent="0.25">
      <c r="A299" s="1"/>
      <c r="B299" s="1"/>
      <c r="C299" s="1"/>
      <c r="D299" s="1"/>
      <c r="E299" s="1"/>
      <c r="F299" s="1"/>
      <c r="G299" s="9"/>
      <c r="H299" s="1"/>
      <c r="I299" s="1"/>
      <c r="J299" s="3"/>
      <c r="K299" s="3"/>
    </row>
    <row r="300" spans="1:11" x14ac:dyDescent="0.25">
      <c r="A300" s="1"/>
      <c r="B300" s="1"/>
      <c r="C300" s="1"/>
      <c r="D300" s="1"/>
      <c r="E300" s="1"/>
      <c r="F300" s="1"/>
      <c r="G300" s="9"/>
      <c r="H300" s="1"/>
      <c r="I300" s="1"/>
      <c r="J300" s="3"/>
      <c r="K300" s="3"/>
    </row>
    <row r="301" spans="1:11" x14ac:dyDescent="0.25">
      <c r="A301" s="1"/>
      <c r="B301" s="1"/>
      <c r="C301" s="1"/>
      <c r="D301" s="1"/>
      <c r="E301" s="1"/>
      <c r="F301" s="1"/>
      <c r="G301" s="9"/>
      <c r="H301" s="1"/>
      <c r="I301" s="1"/>
      <c r="J301" s="3"/>
      <c r="K301" s="3"/>
    </row>
    <row r="302" spans="1:11" x14ac:dyDescent="0.25">
      <c r="A302" s="1"/>
      <c r="B302" s="1"/>
      <c r="C302" s="1"/>
      <c r="D302" s="1"/>
      <c r="E302" s="1"/>
      <c r="F302" s="1"/>
      <c r="G302" s="9"/>
      <c r="H302" s="1"/>
      <c r="I302" s="1"/>
      <c r="J302" s="3"/>
      <c r="K302" s="3"/>
    </row>
    <row r="303" spans="1:11" x14ac:dyDescent="0.25">
      <c r="A303" s="1"/>
      <c r="B303" s="1"/>
      <c r="C303" s="1"/>
      <c r="D303" s="1"/>
      <c r="E303" s="1"/>
      <c r="F303" s="1"/>
      <c r="G303" s="9"/>
      <c r="H303" s="1"/>
      <c r="I303" s="1"/>
      <c r="J303" s="3"/>
      <c r="K303" s="3"/>
    </row>
    <row r="304" spans="1:11" x14ac:dyDescent="0.25">
      <c r="A304" s="1"/>
      <c r="B304" s="1"/>
      <c r="C304" s="1"/>
      <c r="D304" s="1"/>
      <c r="E304" s="1"/>
      <c r="F304" s="1"/>
      <c r="G304" s="9"/>
      <c r="H304" s="1"/>
      <c r="I304" s="1"/>
      <c r="J304" s="3"/>
      <c r="K304" s="3"/>
    </row>
    <row r="305" spans="1:11" x14ac:dyDescent="0.25">
      <c r="A305" s="1"/>
      <c r="B305" s="1"/>
      <c r="C305" s="1"/>
      <c r="D305" s="1"/>
      <c r="E305" s="1"/>
      <c r="F305" s="1"/>
      <c r="G305" s="9"/>
      <c r="H305" s="1"/>
      <c r="I305" s="1"/>
      <c r="J305" s="3"/>
      <c r="K305" s="3"/>
    </row>
    <row r="306" spans="1:11" x14ac:dyDescent="0.25">
      <c r="A306" s="1"/>
      <c r="B306" s="1"/>
      <c r="C306" s="1"/>
      <c r="D306" s="1"/>
      <c r="E306" s="1"/>
      <c r="F306" s="1"/>
      <c r="G306" s="9"/>
      <c r="H306" s="1"/>
      <c r="I306" s="1"/>
      <c r="J306" s="3"/>
      <c r="K306" s="3"/>
    </row>
    <row r="307" spans="1:11" x14ac:dyDescent="0.25">
      <c r="A307" s="1"/>
      <c r="B307" s="1"/>
      <c r="C307" s="1"/>
      <c r="D307" s="1"/>
      <c r="E307" s="1"/>
      <c r="F307" s="1"/>
      <c r="G307" s="9"/>
      <c r="H307" s="1"/>
      <c r="I307" s="1"/>
      <c r="J307" s="3"/>
      <c r="K307" s="3"/>
    </row>
    <row r="308" spans="1:11" x14ac:dyDescent="0.25">
      <c r="A308" s="1"/>
      <c r="B308" s="1"/>
      <c r="C308" s="1"/>
      <c r="D308" s="1"/>
      <c r="E308" s="1"/>
      <c r="F308" s="1"/>
      <c r="G308" s="9"/>
      <c r="H308" s="1"/>
      <c r="I308" s="1"/>
      <c r="J308" s="3"/>
      <c r="K308" s="3"/>
    </row>
    <row r="309" spans="1:11" x14ac:dyDescent="0.25">
      <c r="A309" s="1"/>
      <c r="B309" s="1"/>
      <c r="C309" s="1"/>
      <c r="D309" s="1"/>
      <c r="E309" s="1"/>
      <c r="F309" s="1"/>
      <c r="G309" s="9"/>
      <c r="H309" s="1"/>
      <c r="I309" s="1"/>
      <c r="J309" s="3"/>
      <c r="K309" s="3"/>
    </row>
    <row r="310" spans="1:11" x14ac:dyDescent="0.25">
      <c r="A310" s="1"/>
      <c r="B310" s="1"/>
      <c r="C310" s="1"/>
      <c r="D310" s="1"/>
      <c r="E310" s="1"/>
      <c r="F310" s="1"/>
      <c r="G310" s="9"/>
      <c r="H310" s="1"/>
      <c r="I310" s="1"/>
      <c r="J310" s="3"/>
      <c r="K310" s="3"/>
    </row>
    <row r="311" spans="1:11" x14ac:dyDescent="0.25">
      <c r="A311" s="1"/>
      <c r="B311" s="1"/>
      <c r="C311" s="1"/>
      <c r="D311" s="1"/>
      <c r="E311" s="1"/>
      <c r="F311" s="1"/>
      <c r="G311" s="9"/>
      <c r="H311" s="1"/>
      <c r="I311" s="1"/>
      <c r="J311" s="3"/>
      <c r="K311" s="3"/>
    </row>
    <row r="312" spans="1:11" x14ac:dyDescent="0.25">
      <c r="A312" s="1"/>
      <c r="B312" s="1"/>
      <c r="C312" s="1"/>
      <c r="D312" s="1"/>
      <c r="E312" s="1"/>
      <c r="F312" s="1"/>
      <c r="G312" s="9"/>
      <c r="H312" s="1"/>
      <c r="I312" s="1"/>
      <c r="J312" s="3"/>
      <c r="K312" s="3"/>
    </row>
    <row r="313" spans="1:11" x14ac:dyDescent="0.25">
      <c r="A313" s="1"/>
      <c r="B313" s="1"/>
      <c r="C313" s="1"/>
      <c r="D313" s="1"/>
      <c r="E313" s="1"/>
      <c r="F313" s="1"/>
      <c r="G313" s="9"/>
      <c r="H313" s="1"/>
      <c r="I313" s="1"/>
      <c r="J313" s="3"/>
      <c r="K313" s="3"/>
    </row>
    <row r="314" spans="1:11" x14ac:dyDescent="0.25">
      <c r="A314" s="1"/>
      <c r="B314" s="1"/>
      <c r="C314" s="1"/>
      <c r="D314" s="1"/>
      <c r="E314" s="1"/>
      <c r="F314" s="1"/>
      <c r="G314" s="9"/>
      <c r="H314" s="1"/>
      <c r="I314" s="1"/>
      <c r="J314" s="3"/>
      <c r="K314" s="3"/>
    </row>
    <row r="315" spans="1:11" x14ac:dyDescent="0.25">
      <c r="A315" s="1"/>
      <c r="B315" s="1"/>
      <c r="C315" s="1"/>
      <c r="D315" s="1"/>
      <c r="E315" s="1"/>
      <c r="F315" s="1"/>
      <c r="G315" s="9"/>
      <c r="H315" s="1"/>
      <c r="I315" s="1"/>
      <c r="J315" s="3"/>
      <c r="K315" s="3"/>
    </row>
    <row r="316" spans="1:11" x14ac:dyDescent="0.25">
      <c r="A316" s="1"/>
      <c r="B316" s="1"/>
      <c r="C316" s="1"/>
      <c r="D316" s="1"/>
      <c r="E316" s="1"/>
      <c r="F316" s="1"/>
      <c r="G316" s="9"/>
      <c r="H316" s="1"/>
      <c r="I316" s="1"/>
      <c r="J316" s="3"/>
      <c r="K316" s="3"/>
    </row>
    <row r="317" spans="1:11" x14ac:dyDescent="0.25">
      <c r="A317" s="1"/>
      <c r="B317" s="1"/>
      <c r="C317" s="1"/>
      <c r="D317" s="1"/>
      <c r="E317" s="1"/>
      <c r="F317" s="1"/>
      <c r="G317" s="9"/>
      <c r="H317" s="1"/>
      <c r="I317" s="1"/>
      <c r="J317" s="3"/>
      <c r="K317" s="3"/>
    </row>
    <row r="318" spans="1:11" x14ac:dyDescent="0.25">
      <c r="A318" s="1"/>
      <c r="B318" s="1"/>
      <c r="C318" s="1"/>
      <c r="D318" s="1"/>
      <c r="E318" s="1"/>
      <c r="F318" s="1"/>
      <c r="G318" s="9"/>
      <c r="H318" s="1"/>
      <c r="I318" s="1"/>
      <c r="J318" s="3"/>
      <c r="K318" s="3"/>
    </row>
    <row r="319" spans="1:11" x14ac:dyDescent="0.25">
      <c r="A319" s="1"/>
      <c r="B319" s="1"/>
      <c r="C319" s="1"/>
      <c r="D319" s="1"/>
      <c r="E319" s="1"/>
      <c r="F319" s="1"/>
      <c r="G319" s="9"/>
      <c r="H319" s="1"/>
      <c r="I319" s="1"/>
      <c r="J319" s="3"/>
      <c r="K319" s="3"/>
    </row>
    <row r="320" spans="1:11" x14ac:dyDescent="0.25">
      <c r="A320" s="1"/>
      <c r="B320" s="1"/>
      <c r="C320" s="1"/>
      <c r="D320" s="1"/>
      <c r="E320" s="1"/>
      <c r="F320" s="1"/>
      <c r="G320" s="9"/>
      <c r="H320" s="1"/>
      <c r="I320" s="1"/>
      <c r="J320" s="3"/>
      <c r="K320" s="3"/>
    </row>
    <row r="321" spans="1:11" x14ac:dyDescent="0.25">
      <c r="A321" s="1"/>
      <c r="B321" s="1"/>
      <c r="C321" s="1"/>
      <c r="D321" s="1"/>
      <c r="E321" s="1"/>
      <c r="F321" s="1"/>
      <c r="G321" s="9"/>
      <c r="H321" s="1"/>
      <c r="I321" s="1"/>
      <c r="J321" s="3"/>
      <c r="K321" s="3"/>
    </row>
    <row r="322" spans="1:11" x14ac:dyDescent="0.25">
      <c r="A322" s="1"/>
      <c r="B322" s="1"/>
      <c r="C322" s="1"/>
      <c r="D322" s="1"/>
      <c r="E322" s="1"/>
      <c r="F322" s="1"/>
      <c r="G322" s="9"/>
      <c r="H322" s="1"/>
      <c r="I322" s="1"/>
      <c r="J322" s="3"/>
      <c r="K322" s="3"/>
    </row>
    <row r="323" spans="1:11" x14ac:dyDescent="0.25">
      <c r="A323" s="1"/>
      <c r="B323" s="1"/>
      <c r="C323" s="1"/>
      <c r="D323" s="1"/>
      <c r="E323" s="1"/>
      <c r="F323" s="1"/>
      <c r="G323" s="9"/>
      <c r="H323" s="1"/>
      <c r="I323" s="1"/>
      <c r="J323" s="3"/>
      <c r="K323" s="3"/>
    </row>
    <row r="324" spans="1:11" x14ac:dyDescent="0.25">
      <c r="A324" s="1"/>
      <c r="B324" s="1"/>
      <c r="C324" s="1"/>
      <c r="D324" s="1"/>
      <c r="E324" s="1"/>
      <c r="F324" s="1"/>
      <c r="G324" s="9"/>
      <c r="H324" s="1"/>
      <c r="I324" s="1"/>
      <c r="J324" s="3"/>
      <c r="K324" s="3"/>
    </row>
    <row r="325" spans="1:11" x14ac:dyDescent="0.25">
      <c r="A325" s="1"/>
      <c r="B325" s="1"/>
      <c r="C325" s="1"/>
      <c r="D325" s="1"/>
      <c r="E325" s="1"/>
      <c r="F325" s="1"/>
      <c r="G325" s="9"/>
      <c r="H325" s="1"/>
      <c r="I325" s="1"/>
      <c r="J325" s="3"/>
      <c r="K325" s="3"/>
    </row>
    <row r="326" spans="1:11" x14ac:dyDescent="0.25">
      <c r="A326" s="1"/>
      <c r="B326" s="1"/>
      <c r="C326" s="1"/>
      <c r="D326" s="1"/>
      <c r="E326" s="1"/>
      <c r="F326" s="1"/>
      <c r="G326" s="9"/>
      <c r="H326" s="1"/>
      <c r="I326" s="1"/>
      <c r="J326" s="3"/>
      <c r="K326" s="3"/>
    </row>
    <row r="327" spans="1:11" x14ac:dyDescent="0.25">
      <c r="A327" s="1"/>
      <c r="B327" s="1"/>
      <c r="C327" s="1"/>
      <c r="D327" s="1"/>
      <c r="E327" s="1"/>
      <c r="F327" s="1"/>
      <c r="G327" s="9"/>
      <c r="H327" s="1"/>
      <c r="I327" s="1"/>
      <c r="J327" s="3"/>
      <c r="K327" s="3"/>
    </row>
    <row r="328" spans="1:11" x14ac:dyDescent="0.25">
      <c r="A328" s="1"/>
      <c r="B328" s="1"/>
      <c r="C328" s="1"/>
      <c r="D328" s="1"/>
      <c r="E328" s="1"/>
      <c r="F328" s="1"/>
      <c r="G328" s="9"/>
      <c r="H328" s="1"/>
      <c r="I328" s="1"/>
      <c r="J328" s="3"/>
      <c r="K328" s="3"/>
    </row>
    <row r="329" spans="1:11" x14ac:dyDescent="0.25">
      <c r="A329" s="1"/>
      <c r="B329" s="1"/>
      <c r="C329" s="1"/>
      <c r="D329" s="1"/>
      <c r="E329" s="1"/>
      <c r="F329" s="1"/>
      <c r="G329" s="9"/>
      <c r="H329" s="1"/>
      <c r="I329" s="1"/>
      <c r="J329" s="3"/>
      <c r="K329" s="3"/>
    </row>
    <row r="330" spans="1:11" x14ac:dyDescent="0.25">
      <c r="A330" s="1"/>
      <c r="B330" s="1"/>
      <c r="C330" s="1"/>
      <c r="D330" s="1"/>
      <c r="E330" s="1"/>
      <c r="F330" s="1"/>
      <c r="G330" s="9"/>
      <c r="H330" s="1"/>
      <c r="I330" s="1"/>
      <c r="J330" s="3"/>
      <c r="K330" s="3"/>
    </row>
    <row r="331" spans="1:11" x14ac:dyDescent="0.25">
      <c r="A331" s="1"/>
      <c r="B331" s="1"/>
      <c r="C331" s="1"/>
      <c r="D331" s="1"/>
      <c r="E331" s="1"/>
      <c r="F331" s="1"/>
      <c r="G331" s="9"/>
      <c r="H331" s="1"/>
      <c r="I331" s="1"/>
      <c r="J331" s="3"/>
      <c r="K331" s="3"/>
    </row>
    <row r="332" spans="1:11" x14ac:dyDescent="0.25">
      <c r="A332" s="1"/>
      <c r="B332" s="1"/>
      <c r="C332" s="1"/>
      <c r="D332" s="1"/>
      <c r="E332" s="1"/>
      <c r="F332" s="1"/>
      <c r="G332" s="9"/>
      <c r="H332" s="1"/>
      <c r="I332" s="1"/>
      <c r="J332" s="3"/>
      <c r="K332" s="3"/>
    </row>
    <row r="333" spans="1:11" x14ac:dyDescent="0.25">
      <c r="A333" s="1"/>
      <c r="B333" s="1"/>
      <c r="C333" s="1"/>
      <c r="D333" s="1"/>
      <c r="E333" s="1"/>
      <c r="F333" s="1"/>
      <c r="G333" s="9"/>
      <c r="H333" s="1"/>
      <c r="I333" s="1"/>
      <c r="J333" s="3"/>
      <c r="K333" s="3"/>
    </row>
    <row r="334" spans="1:11" x14ac:dyDescent="0.25">
      <c r="A334" s="1"/>
      <c r="B334" s="1"/>
      <c r="C334" s="1"/>
      <c r="D334" s="1"/>
      <c r="E334" s="1"/>
      <c r="F334" s="1"/>
      <c r="G334" s="9"/>
      <c r="H334" s="1"/>
      <c r="I334" s="1"/>
      <c r="J334" s="3"/>
      <c r="K334" s="3"/>
    </row>
    <row r="335" spans="1:11" x14ac:dyDescent="0.25">
      <c r="A335" s="1"/>
      <c r="B335" s="1"/>
      <c r="C335" s="1"/>
      <c r="D335" s="1"/>
      <c r="E335" s="1"/>
      <c r="F335" s="1"/>
      <c r="G335" s="9"/>
      <c r="H335" s="1"/>
      <c r="I335" s="1"/>
      <c r="J335" s="3"/>
      <c r="K335" s="3"/>
    </row>
    <row r="336" spans="1:11" x14ac:dyDescent="0.25">
      <c r="A336" s="1"/>
      <c r="B336" s="1"/>
      <c r="C336" s="1"/>
      <c r="D336" s="1"/>
      <c r="E336" s="1"/>
      <c r="F336" s="1"/>
      <c r="G336" s="9"/>
      <c r="H336" s="1"/>
      <c r="I336" s="1"/>
      <c r="J336" s="3"/>
      <c r="K336" s="3"/>
    </row>
    <row r="337" spans="1:11" x14ac:dyDescent="0.25">
      <c r="A337" s="1"/>
      <c r="B337" s="1"/>
      <c r="C337" s="1"/>
      <c r="D337" s="1"/>
      <c r="E337" s="1"/>
      <c r="F337" s="1"/>
      <c r="G337" s="9"/>
      <c r="H337" s="1"/>
      <c r="I337" s="1"/>
      <c r="J337" s="3"/>
      <c r="K337" s="3"/>
    </row>
    <row r="338" spans="1:11" x14ac:dyDescent="0.25">
      <c r="A338" s="1"/>
      <c r="B338" s="1"/>
      <c r="C338" s="1"/>
      <c r="D338" s="1"/>
      <c r="E338" s="1"/>
      <c r="F338" s="1"/>
      <c r="G338" s="9"/>
      <c r="H338" s="1"/>
      <c r="I338" s="1"/>
      <c r="J338" s="3"/>
      <c r="K338" s="3"/>
    </row>
    <row r="339" spans="1:11" x14ac:dyDescent="0.25">
      <c r="A339" s="1"/>
      <c r="B339" s="1"/>
      <c r="C339" s="1"/>
      <c r="D339" s="1"/>
      <c r="E339" s="1"/>
      <c r="F339" s="1"/>
      <c r="G339" s="9"/>
      <c r="H339" s="1"/>
      <c r="I339" s="1"/>
      <c r="J339" s="3"/>
      <c r="K339" s="3"/>
    </row>
    <row r="340" spans="1:11" x14ac:dyDescent="0.25">
      <c r="A340" s="1"/>
      <c r="B340" s="1"/>
      <c r="C340" s="1"/>
      <c r="D340" s="1"/>
      <c r="E340" s="1"/>
      <c r="F340" s="1"/>
      <c r="G340" s="9"/>
      <c r="H340" s="1"/>
      <c r="I340" s="1"/>
      <c r="J340" s="3"/>
      <c r="K340" s="3"/>
    </row>
    <row r="341" spans="1:11" x14ac:dyDescent="0.25">
      <c r="A341" s="1"/>
      <c r="B341" s="1"/>
      <c r="C341" s="1"/>
      <c r="D341" s="1"/>
      <c r="E341" s="1"/>
      <c r="F341" s="1"/>
      <c r="G341" s="9"/>
      <c r="H341" s="1"/>
      <c r="I341" s="1"/>
      <c r="J341" s="3"/>
      <c r="K341" s="3"/>
    </row>
    <row r="342" spans="1:11" x14ac:dyDescent="0.25">
      <c r="A342" s="1"/>
      <c r="B342" s="1"/>
      <c r="C342" s="1"/>
      <c r="D342" s="1"/>
      <c r="E342" s="1"/>
      <c r="F342" s="1"/>
      <c r="G342" s="9"/>
      <c r="H342" s="1"/>
      <c r="I342" s="1"/>
      <c r="J342" s="3"/>
      <c r="K342" s="3"/>
    </row>
    <row r="343" spans="1:11" x14ac:dyDescent="0.25">
      <c r="A343" s="1"/>
      <c r="B343" s="1"/>
      <c r="C343" s="1"/>
      <c r="D343" s="1"/>
      <c r="E343" s="1"/>
      <c r="F343" s="1"/>
      <c r="G343" s="9"/>
      <c r="H343" s="1"/>
      <c r="I343" s="1"/>
      <c r="J343" s="3"/>
      <c r="K343" s="3"/>
    </row>
    <row r="344" spans="1:11" x14ac:dyDescent="0.25">
      <c r="A344" s="1"/>
      <c r="B344" s="1"/>
      <c r="C344" s="1"/>
      <c r="D344" s="1"/>
      <c r="E344" s="1"/>
      <c r="F344" s="1"/>
      <c r="G344" s="9"/>
      <c r="H344" s="1"/>
      <c r="I344" s="1"/>
      <c r="J344" s="3"/>
      <c r="K344" s="3"/>
    </row>
    <row r="345" spans="1:11" x14ac:dyDescent="0.25">
      <c r="A345" s="1"/>
      <c r="B345" s="1"/>
      <c r="C345" s="1"/>
      <c r="D345" s="1"/>
      <c r="E345" s="1"/>
      <c r="F345" s="1"/>
      <c r="G345" s="9"/>
      <c r="H345" s="1"/>
      <c r="I345" s="1"/>
      <c r="J345" s="3"/>
      <c r="K345" s="3"/>
    </row>
    <row r="346" spans="1:11" x14ac:dyDescent="0.25">
      <c r="A346" s="1"/>
      <c r="B346" s="1"/>
      <c r="C346" s="1"/>
      <c r="D346" s="1"/>
      <c r="E346" s="1"/>
      <c r="F346" s="1"/>
      <c r="G346" s="9"/>
      <c r="H346" s="1"/>
      <c r="I346" s="1"/>
      <c r="J346" s="3"/>
      <c r="K346" s="3"/>
    </row>
    <row r="347" spans="1:11" x14ac:dyDescent="0.25">
      <c r="A347" s="1"/>
      <c r="B347" s="1"/>
      <c r="C347" s="1"/>
      <c r="D347" s="1"/>
      <c r="E347" s="1"/>
      <c r="F347" s="1"/>
      <c r="G347" s="9"/>
      <c r="H347" s="1"/>
      <c r="I347" s="1"/>
      <c r="J347" s="3"/>
      <c r="K347" s="3"/>
    </row>
    <row r="348" spans="1:11" x14ac:dyDescent="0.25">
      <c r="A348" s="1"/>
      <c r="B348" s="1"/>
      <c r="C348" s="1"/>
      <c r="D348" s="1"/>
      <c r="E348" s="1"/>
      <c r="F348" s="1"/>
      <c r="G348" s="9"/>
      <c r="H348" s="1"/>
      <c r="I348" s="1"/>
      <c r="J348" s="3"/>
      <c r="K348" s="3"/>
    </row>
    <row r="349" spans="1:11" x14ac:dyDescent="0.25">
      <c r="A349" s="1"/>
      <c r="B349" s="1"/>
      <c r="C349" s="1"/>
      <c r="D349" s="1"/>
      <c r="E349" s="1"/>
      <c r="F349" s="1"/>
      <c r="G349" s="9"/>
      <c r="H349" s="1"/>
      <c r="I349" s="1"/>
      <c r="J349" s="3"/>
      <c r="K349" s="3"/>
    </row>
    <row r="350" spans="1:11" x14ac:dyDescent="0.25">
      <c r="A350" s="1"/>
      <c r="B350" s="1"/>
      <c r="C350" s="1"/>
      <c r="D350" s="1"/>
      <c r="E350" s="1"/>
      <c r="F350" s="1"/>
      <c r="G350" s="9"/>
      <c r="H350" s="1"/>
      <c r="I350" s="1"/>
      <c r="J350" s="3"/>
      <c r="K350" s="3"/>
    </row>
    <row r="351" spans="1:11" x14ac:dyDescent="0.25">
      <c r="A351" s="1"/>
      <c r="B351" s="1"/>
      <c r="C351" s="1"/>
      <c r="D351" s="1"/>
      <c r="E351" s="1"/>
      <c r="F351" s="1"/>
      <c r="G351" s="9"/>
      <c r="H351" s="1"/>
      <c r="I351" s="1"/>
      <c r="J351" s="3"/>
      <c r="K351" s="3"/>
    </row>
    <row r="352" spans="1:11" x14ac:dyDescent="0.25">
      <c r="A352" s="1"/>
      <c r="B352" s="1"/>
      <c r="C352" s="1"/>
      <c r="D352" s="1"/>
      <c r="E352" s="1"/>
      <c r="F352" s="1"/>
      <c r="G352" s="9"/>
      <c r="H352" s="1"/>
      <c r="I352" s="1"/>
      <c r="J352" s="3"/>
      <c r="K352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3"/>
  <sheetViews>
    <sheetView topLeftCell="A13" workbookViewId="0">
      <selection activeCell="E197" sqref="E197"/>
    </sheetView>
  </sheetViews>
  <sheetFormatPr defaultRowHeight="15" x14ac:dyDescent="0.25"/>
  <cols>
    <col min="3" max="3" width="12.28515625" bestFit="1" customWidth="1"/>
  </cols>
  <sheetData>
    <row r="1" spans="1:10" ht="15.75" x14ac:dyDescent="0.3">
      <c r="A1" s="1" t="s">
        <v>7</v>
      </c>
      <c r="B1" t="s">
        <v>8</v>
      </c>
      <c r="C1" t="s">
        <v>9</v>
      </c>
      <c r="D1" t="s">
        <v>10</v>
      </c>
    </row>
    <row r="2" spans="1:10" ht="15.75" x14ac:dyDescent="0.3">
      <c r="A2" s="1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</row>
    <row r="3" spans="1:10" ht="15.75" x14ac:dyDescent="0.3">
      <c r="A3" s="1" t="s">
        <v>0</v>
      </c>
    </row>
    <row r="4" spans="1:10" ht="15.75" x14ac:dyDescent="0.3">
      <c r="A4" s="1" t="s">
        <v>1</v>
      </c>
      <c r="H4" s="10"/>
      <c r="J4" s="10" t="s">
        <v>64</v>
      </c>
    </row>
    <row r="5" spans="1:10" x14ac:dyDescent="0.25">
      <c r="A5" s="1" t="s">
        <v>7</v>
      </c>
      <c r="B5" t="s">
        <v>20</v>
      </c>
      <c r="C5" t="s">
        <v>21</v>
      </c>
      <c r="D5" t="s">
        <v>22</v>
      </c>
      <c r="H5" s="10"/>
      <c r="J5" s="10" t="s">
        <v>65</v>
      </c>
    </row>
    <row r="6" spans="1:10" ht="15.75" x14ac:dyDescent="0.3">
      <c r="A6" s="1" t="s">
        <v>2</v>
      </c>
    </row>
    <row r="7" spans="1:10" ht="15.75" x14ac:dyDescent="0.3">
      <c r="A7" s="1" t="s">
        <v>23</v>
      </c>
      <c r="B7" t="s">
        <v>24</v>
      </c>
      <c r="C7" t="s">
        <v>18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</row>
    <row r="8" spans="1:10" ht="15.75" x14ac:dyDescent="0.3">
      <c r="A8" s="1" t="s">
        <v>3</v>
      </c>
    </row>
    <row r="9" spans="1:10" ht="15.75" x14ac:dyDescent="0.3">
      <c r="A9" s="1" t="s">
        <v>1</v>
      </c>
    </row>
    <row r="10" spans="1:10" ht="15.75" x14ac:dyDescent="0.3">
      <c r="A10" s="1" t="s">
        <v>0</v>
      </c>
    </row>
    <row r="11" spans="1:10" ht="15.75" x14ac:dyDescent="0.3">
      <c r="A11" s="1" t="s">
        <v>30</v>
      </c>
      <c r="B11" t="s">
        <v>31</v>
      </c>
    </row>
    <row r="12" spans="1:10" ht="15.75" x14ac:dyDescent="0.3">
      <c r="A12" s="1" t="s">
        <v>0</v>
      </c>
      <c r="C12">
        <v>-0.5</v>
      </c>
    </row>
    <row r="13" spans="1:10" ht="15.75" x14ac:dyDescent="0.3">
      <c r="A13" s="1" t="s">
        <v>32</v>
      </c>
      <c r="B13" t="s">
        <v>33</v>
      </c>
      <c r="C13" t="s">
        <v>34</v>
      </c>
      <c r="D13" t="s">
        <v>20</v>
      </c>
      <c r="E13">
        <v>1850</v>
      </c>
      <c r="F13" t="s">
        <v>35</v>
      </c>
      <c r="G13">
        <v>2013.33</v>
      </c>
    </row>
    <row r="14" spans="1:10" ht="15.75" x14ac:dyDescent="0.3">
      <c r="A14" s="1" t="s">
        <v>36</v>
      </c>
      <c r="B14" t="s">
        <v>17</v>
      </c>
      <c r="C14" t="s">
        <v>20</v>
      </c>
      <c r="D14">
        <v>1851</v>
      </c>
    </row>
    <row r="15" spans="1:10" ht="15.75" x14ac:dyDescent="0.3">
      <c r="A15" s="1" t="s">
        <v>37</v>
      </c>
      <c r="B15" t="s">
        <v>18</v>
      </c>
      <c r="C15" t="s">
        <v>38</v>
      </c>
      <c r="D15" t="s">
        <v>39</v>
      </c>
      <c r="E15" t="s">
        <v>40</v>
      </c>
      <c r="F15" t="s">
        <v>41</v>
      </c>
    </row>
    <row r="16" spans="1:10" ht="15.75" x14ac:dyDescent="0.3">
      <c r="A16" s="1">
        <v>1851</v>
      </c>
      <c r="B16">
        <v>-0.221667</v>
      </c>
      <c r="C16">
        <f>+$D16+$C$12</f>
        <v>-0.50603151698803661</v>
      </c>
      <c r="D16" s="13">
        <v>-6.0315169880365898E-3</v>
      </c>
    </row>
    <row r="17" spans="1:4" ht="15.75" x14ac:dyDescent="0.3">
      <c r="A17" s="1">
        <v>1852</v>
      </c>
      <c r="B17">
        <v>-0.22700000000000001</v>
      </c>
      <c r="C17">
        <f t="shared" ref="C17:C80" si="0">+$D17+$C$12</f>
        <v>-0.51593497734755367</v>
      </c>
      <c r="D17" s="13">
        <v>-1.5934977347553701E-2</v>
      </c>
    </row>
    <row r="18" spans="1:4" ht="15.75" x14ac:dyDescent="0.3">
      <c r="A18" s="1">
        <v>1853</v>
      </c>
      <c r="B18">
        <v>-0.27041700000000002</v>
      </c>
      <c r="C18">
        <f t="shared" si="0"/>
        <v>-0.52774993066807852</v>
      </c>
      <c r="D18" s="13">
        <v>-2.7749930668078501E-2</v>
      </c>
    </row>
    <row r="19" spans="1:4" ht="15.75" x14ac:dyDescent="0.3">
      <c r="A19" s="1">
        <v>1854</v>
      </c>
      <c r="B19">
        <v>-0.24825</v>
      </c>
      <c r="C19">
        <f t="shared" si="0"/>
        <v>-0.49461735296234444</v>
      </c>
      <c r="D19" s="13">
        <v>5.3826470376555496E-3</v>
      </c>
    </row>
    <row r="20" spans="1:4" ht="15.75" x14ac:dyDescent="0.3">
      <c r="A20" s="1">
        <v>1855</v>
      </c>
      <c r="B20">
        <v>-0.26816699999999999</v>
      </c>
      <c r="C20">
        <f t="shared" si="0"/>
        <v>-0.49258198593832392</v>
      </c>
      <c r="D20" s="13">
        <v>7.4180140616760702E-3</v>
      </c>
    </row>
    <row r="21" spans="1:4" ht="15.75" x14ac:dyDescent="0.3">
      <c r="A21" s="1">
        <v>1856</v>
      </c>
      <c r="B21">
        <v>-0.35783300000000001</v>
      </c>
      <c r="C21">
        <f t="shared" si="0"/>
        <v>-0.53337075727969319</v>
      </c>
      <c r="D21" s="13">
        <v>-3.33707572796932E-2</v>
      </c>
    </row>
    <row r="22" spans="1:4" ht="15.75" x14ac:dyDescent="0.3">
      <c r="A22" s="1">
        <v>1857</v>
      </c>
      <c r="B22">
        <v>-0.45883299999999999</v>
      </c>
      <c r="C22">
        <f t="shared" si="0"/>
        <v>-0.55175893586952685</v>
      </c>
      <c r="D22" s="13">
        <v>-5.1758935869526797E-2</v>
      </c>
    </row>
    <row r="23" spans="1:4" ht="15.75" x14ac:dyDescent="0.3">
      <c r="A23" s="1">
        <v>1858</v>
      </c>
      <c r="B23">
        <v>-0.46300000000000002</v>
      </c>
      <c r="C23">
        <f t="shared" si="0"/>
        <v>-0.5069596849046244</v>
      </c>
      <c r="D23" s="13">
        <v>-6.95968490462439E-3</v>
      </c>
    </row>
    <row r="24" spans="1:4" ht="15.75" x14ac:dyDescent="0.3">
      <c r="A24" s="1">
        <v>1859</v>
      </c>
      <c r="B24">
        <v>-0.28541699999999998</v>
      </c>
      <c r="C24">
        <f t="shared" si="0"/>
        <v>-0.50055668720888791</v>
      </c>
      <c r="D24" s="13">
        <v>-5.5668720888794496E-4</v>
      </c>
    </row>
    <row r="25" spans="1:4" ht="15.75" x14ac:dyDescent="0.3">
      <c r="A25" s="1">
        <v>1860</v>
      </c>
      <c r="B25">
        <v>-0.34100000000000003</v>
      </c>
      <c r="C25">
        <f t="shared" si="0"/>
        <v>-0.56295223459329902</v>
      </c>
      <c r="D25" s="13">
        <v>-6.2952234593299003E-2</v>
      </c>
    </row>
    <row r="26" spans="1:4" ht="15.75" x14ac:dyDescent="0.3">
      <c r="A26" s="1">
        <v>1861</v>
      </c>
      <c r="B26">
        <v>-0.38824999999999998</v>
      </c>
      <c r="C26">
        <f t="shared" si="0"/>
        <v>-0.54326489648126097</v>
      </c>
      <c r="D26" s="13">
        <v>-4.3264896481261E-2</v>
      </c>
    </row>
    <row r="27" spans="1:4" ht="15.75" x14ac:dyDescent="0.3">
      <c r="A27" s="1">
        <v>1862</v>
      </c>
      <c r="B27">
        <v>-0.50149999999999995</v>
      </c>
      <c r="C27">
        <f t="shared" si="0"/>
        <v>-0.59404690608130206</v>
      </c>
      <c r="D27" s="13">
        <v>-9.4046906081302006E-2</v>
      </c>
    </row>
    <row r="28" spans="1:4" ht="15.75" x14ac:dyDescent="0.3">
      <c r="A28" s="1">
        <v>1863</v>
      </c>
      <c r="B28">
        <v>-0.27441700000000002</v>
      </c>
      <c r="C28">
        <f t="shared" si="0"/>
        <v>-0.49633715288056862</v>
      </c>
      <c r="D28" s="13">
        <v>3.6628471194314E-3</v>
      </c>
    </row>
    <row r="29" spans="1:4" ht="15.75" x14ac:dyDescent="0.3">
      <c r="A29" s="1">
        <v>1864</v>
      </c>
      <c r="B29">
        <v>-0.47941699999999998</v>
      </c>
      <c r="C29">
        <f t="shared" si="0"/>
        <v>-0.52905049571307772</v>
      </c>
      <c r="D29" s="13">
        <v>-2.90504957130777E-2</v>
      </c>
    </row>
    <row r="30" spans="1:4" ht="15.75" x14ac:dyDescent="0.3">
      <c r="A30" s="1">
        <v>1865</v>
      </c>
      <c r="B30">
        <v>-0.27150000000000002</v>
      </c>
      <c r="C30">
        <f t="shared" si="0"/>
        <v>-0.50239393801633614</v>
      </c>
      <c r="D30" s="13">
        <v>-2.3939380163361399E-3</v>
      </c>
    </row>
    <row r="31" spans="1:4" ht="15.75" x14ac:dyDescent="0.3">
      <c r="A31" s="1">
        <v>1866</v>
      </c>
      <c r="B31">
        <v>-0.23983299999999999</v>
      </c>
      <c r="C31">
        <f t="shared" si="0"/>
        <v>-0.49607541316655412</v>
      </c>
      <c r="D31" s="13">
        <v>3.9245868334458903E-3</v>
      </c>
    </row>
    <row r="32" spans="1:4" ht="15.75" x14ac:dyDescent="0.3">
      <c r="A32" s="1">
        <v>1867</v>
      </c>
      <c r="B32">
        <v>-0.307583</v>
      </c>
      <c r="C32">
        <f t="shared" si="0"/>
        <v>-0.47849527426009369</v>
      </c>
      <c r="D32" s="13">
        <v>2.1504725739906298E-2</v>
      </c>
    </row>
    <row r="33" spans="1:4" x14ac:dyDescent="0.25">
      <c r="A33" s="1">
        <v>1868</v>
      </c>
      <c r="B33">
        <v>-0.22950000000000001</v>
      </c>
      <c r="C33">
        <f t="shared" si="0"/>
        <v>-0.49927560860419673</v>
      </c>
      <c r="D33" s="13">
        <v>7.2439139580328198E-4</v>
      </c>
    </row>
    <row r="34" spans="1:4" x14ac:dyDescent="0.25">
      <c r="A34" s="1">
        <v>1869</v>
      </c>
      <c r="B34">
        <v>-0.25816699999999998</v>
      </c>
      <c r="C34">
        <f t="shared" si="0"/>
        <v>-0.47431898675828033</v>
      </c>
      <c r="D34" s="13">
        <v>2.5681013241719699E-2</v>
      </c>
    </row>
    <row r="35" spans="1:4" x14ac:dyDescent="0.25">
      <c r="A35" s="1">
        <v>1870</v>
      </c>
      <c r="B35">
        <v>-0.27116699999999999</v>
      </c>
      <c r="C35">
        <f t="shared" si="0"/>
        <v>-0.50714168130126092</v>
      </c>
      <c r="D35" s="13">
        <v>-7.1416813012609697E-3</v>
      </c>
    </row>
    <row r="36" spans="1:4" x14ac:dyDescent="0.25">
      <c r="A36" s="1">
        <v>1871</v>
      </c>
      <c r="B36">
        <v>-0.32624999999999998</v>
      </c>
      <c r="C36">
        <f t="shared" si="0"/>
        <v>-0.52176478581286967</v>
      </c>
      <c r="D36" s="13">
        <v>-2.17647858128697E-2</v>
      </c>
    </row>
    <row r="37" spans="1:4" x14ac:dyDescent="0.25">
      <c r="A37" s="1">
        <v>1872</v>
      </c>
      <c r="B37">
        <v>-0.22950000000000001</v>
      </c>
      <c r="C37">
        <f t="shared" si="0"/>
        <v>-0.51215727693299262</v>
      </c>
      <c r="D37" s="13">
        <v>-1.21572769329926E-2</v>
      </c>
    </row>
    <row r="38" spans="1:4" x14ac:dyDescent="0.25">
      <c r="A38" s="1">
        <v>1873</v>
      </c>
      <c r="B38">
        <v>-0.30566700000000002</v>
      </c>
      <c r="C38">
        <f t="shared" si="0"/>
        <v>-0.49018587205016706</v>
      </c>
      <c r="D38" s="13">
        <v>9.8141279498329594E-3</v>
      </c>
    </row>
    <row r="39" spans="1:4" x14ac:dyDescent="0.25">
      <c r="A39" s="1">
        <v>1874</v>
      </c>
      <c r="B39">
        <v>-0.372583</v>
      </c>
      <c r="C39">
        <f t="shared" si="0"/>
        <v>-0.47446126685880941</v>
      </c>
      <c r="D39" s="13">
        <v>2.5538733141190598E-2</v>
      </c>
    </row>
    <row r="40" spans="1:4" x14ac:dyDescent="0.25">
      <c r="A40" s="1">
        <v>1875</v>
      </c>
      <c r="B40">
        <v>-0.41075</v>
      </c>
      <c r="C40">
        <f t="shared" si="0"/>
        <v>-0.5361879657191988</v>
      </c>
      <c r="D40" s="13">
        <v>-3.61879657191988E-2</v>
      </c>
    </row>
    <row r="41" spans="1:4" x14ac:dyDescent="0.25">
      <c r="A41" s="1">
        <v>1876</v>
      </c>
      <c r="B41">
        <v>-0.38274999999999998</v>
      </c>
      <c r="C41">
        <f t="shared" si="0"/>
        <v>-0.52342392452086639</v>
      </c>
      <c r="D41" s="13">
        <v>-2.3423924520866401E-2</v>
      </c>
    </row>
    <row r="42" spans="1:4" x14ac:dyDescent="0.25">
      <c r="A42" s="1">
        <v>1877</v>
      </c>
      <c r="B42">
        <v>-7.3083300000000004E-2</v>
      </c>
      <c r="C42">
        <f t="shared" si="0"/>
        <v>-0.47260505986157941</v>
      </c>
      <c r="D42" s="13">
        <v>2.7394940138420601E-2</v>
      </c>
    </row>
    <row r="43" spans="1:4" x14ac:dyDescent="0.25">
      <c r="A43" s="1">
        <v>1878</v>
      </c>
      <c r="B43">
        <v>3.4166700000000001E-2</v>
      </c>
      <c r="C43">
        <f t="shared" si="0"/>
        <v>-0.43533151596495429</v>
      </c>
      <c r="D43" s="13">
        <v>6.4668484035045701E-2</v>
      </c>
    </row>
    <row r="44" spans="1:4" x14ac:dyDescent="0.25">
      <c r="A44" s="1">
        <v>1879</v>
      </c>
      <c r="B44">
        <v>-0.23375000000000001</v>
      </c>
      <c r="C44">
        <f t="shared" si="0"/>
        <v>-0.50159440613136363</v>
      </c>
      <c r="D44" s="13">
        <v>-1.59440613136367E-3</v>
      </c>
    </row>
    <row r="45" spans="1:4" x14ac:dyDescent="0.25">
      <c r="A45" s="1">
        <v>1880</v>
      </c>
      <c r="B45">
        <v>-0.22841700000000001</v>
      </c>
      <c r="C45">
        <f t="shared" si="0"/>
        <v>-0.5102140098701462</v>
      </c>
      <c r="D45" s="13">
        <v>-1.0214009870146199E-2</v>
      </c>
    </row>
    <row r="46" spans="1:4" x14ac:dyDescent="0.25">
      <c r="A46" s="1">
        <v>1881</v>
      </c>
      <c r="B46">
        <v>-0.20658299999999999</v>
      </c>
      <c r="C46">
        <f t="shared" si="0"/>
        <v>-0.48835223447172221</v>
      </c>
      <c r="D46" s="13">
        <v>1.1647765528277799E-2</v>
      </c>
    </row>
    <row r="47" spans="1:4" x14ac:dyDescent="0.25">
      <c r="A47" s="1">
        <v>1882</v>
      </c>
      <c r="B47">
        <v>-0.216083</v>
      </c>
      <c r="C47">
        <f t="shared" si="0"/>
        <v>-0.50130969339069964</v>
      </c>
      <c r="D47" s="13">
        <v>-1.3096933906996801E-3</v>
      </c>
    </row>
    <row r="48" spans="1:4" x14ac:dyDescent="0.25">
      <c r="A48" s="1">
        <v>1883</v>
      </c>
      <c r="B48">
        <v>-0.29249999999999998</v>
      </c>
      <c r="C48">
        <f t="shared" si="0"/>
        <v>-0.50992971578031143</v>
      </c>
      <c r="D48" s="13">
        <v>-9.9297157803114201E-3</v>
      </c>
    </row>
    <row r="49" spans="1:4" x14ac:dyDescent="0.25">
      <c r="A49" s="1">
        <v>1884</v>
      </c>
      <c r="B49">
        <v>-0.403833</v>
      </c>
      <c r="C49">
        <f t="shared" si="0"/>
        <v>-0.53385403646122231</v>
      </c>
      <c r="D49" s="13">
        <v>-3.38540364612223E-2</v>
      </c>
    </row>
    <row r="50" spans="1:4" x14ac:dyDescent="0.25">
      <c r="A50" s="1">
        <v>1885</v>
      </c>
      <c r="B50">
        <v>-0.38741700000000001</v>
      </c>
      <c r="C50">
        <f t="shared" si="0"/>
        <v>-0.50964544652168198</v>
      </c>
      <c r="D50" s="13">
        <v>-9.6454465216819392E-3</v>
      </c>
    </row>
    <row r="51" spans="1:4" x14ac:dyDescent="0.25">
      <c r="A51" s="1">
        <v>1886</v>
      </c>
      <c r="B51">
        <v>-0.36775000000000002</v>
      </c>
      <c r="C51">
        <f t="shared" si="0"/>
        <v>-0.50614904156815355</v>
      </c>
      <c r="D51" s="13">
        <v>-6.1490415681535E-3</v>
      </c>
    </row>
    <row r="52" spans="1:4" x14ac:dyDescent="0.25">
      <c r="A52" s="1">
        <v>1887</v>
      </c>
      <c r="B52">
        <v>-0.42</v>
      </c>
      <c r="C52">
        <f t="shared" si="0"/>
        <v>-0.51396893898336671</v>
      </c>
      <c r="D52" s="13">
        <v>-1.3968938983366701E-2</v>
      </c>
    </row>
    <row r="53" spans="1:4" x14ac:dyDescent="0.25">
      <c r="A53" s="1">
        <v>1888</v>
      </c>
      <c r="B53">
        <v>-0.31016700000000003</v>
      </c>
      <c r="C53">
        <f t="shared" si="0"/>
        <v>-0.4885480321756957</v>
      </c>
      <c r="D53" s="13">
        <v>1.1451967824304301E-2</v>
      </c>
    </row>
    <row r="54" spans="1:4" x14ac:dyDescent="0.25">
      <c r="A54" s="1">
        <v>1889</v>
      </c>
      <c r="B54">
        <v>-0.17383299999999999</v>
      </c>
      <c r="C54">
        <f t="shared" si="0"/>
        <v>-0.46115586385744811</v>
      </c>
      <c r="D54" s="13">
        <v>3.8844136142551902E-2</v>
      </c>
    </row>
    <row r="55" spans="1:4" x14ac:dyDescent="0.25">
      <c r="A55" s="1">
        <v>1890</v>
      </c>
      <c r="B55">
        <v>-0.42225000000000001</v>
      </c>
      <c r="C55">
        <f t="shared" si="0"/>
        <v>-0.50188845063215926</v>
      </c>
      <c r="D55" s="13">
        <v>-1.8884506321592701E-3</v>
      </c>
    </row>
    <row r="56" spans="1:4" x14ac:dyDescent="0.25">
      <c r="A56" s="1">
        <v>1891</v>
      </c>
      <c r="B56">
        <v>-0.340333</v>
      </c>
      <c r="C56">
        <f t="shared" si="0"/>
        <v>-0.49500258932118113</v>
      </c>
      <c r="D56" s="13">
        <v>4.9974106788188699E-3</v>
      </c>
    </row>
    <row r="57" spans="1:4" x14ac:dyDescent="0.25">
      <c r="A57" s="1">
        <v>1892</v>
      </c>
      <c r="B57">
        <v>-0.45874999999999999</v>
      </c>
      <c r="C57">
        <f t="shared" si="0"/>
        <v>-0.49085517514769722</v>
      </c>
      <c r="D57" s="13">
        <v>9.1448248523027693E-3</v>
      </c>
    </row>
    <row r="58" spans="1:4" x14ac:dyDescent="0.25">
      <c r="A58" s="1">
        <v>1893</v>
      </c>
      <c r="B58">
        <v>-0.47508299999999998</v>
      </c>
      <c r="C58">
        <f t="shared" si="0"/>
        <v>-0.49769927046276646</v>
      </c>
      <c r="D58" s="13">
        <v>2.3007295372335299E-3</v>
      </c>
    </row>
    <row r="59" spans="1:4" x14ac:dyDescent="0.25">
      <c r="A59" s="1">
        <v>1894</v>
      </c>
      <c r="B59">
        <v>-0.40908299999999997</v>
      </c>
      <c r="C59">
        <f t="shared" si="0"/>
        <v>-0.4722884710656467</v>
      </c>
      <c r="D59" s="13">
        <v>2.7711528934353299E-2</v>
      </c>
    </row>
    <row r="60" spans="1:4" x14ac:dyDescent="0.25">
      <c r="A60" s="1">
        <v>1895</v>
      </c>
      <c r="B60">
        <v>-0.39500000000000002</v>
      </c>
      <c r="C60">
        <f t="shared" si="0"/>
        <v>-0.47917099042215078</v>
      </c>
      <c r="D60" s="13">
        <v>2.0829009577849202E-2</v>
      </c>
    </row>
    <row r="61" spans="1:4" x14ac:dyDescent="0.25">
      <c r="A61" s="1">
        <v>1896</v>
      </c>
      <c r="B61">
        <v>-0.19075</v>
      </c>
      <c r="C61">
        <f t="shared" si="0"/>
        <v>-0.4666331133130181</v>
      </c>
      <c r="D61" s="13">
        <v>3.33668866869819E-2</v>
      </c>
    </row>
    <row r="62" spans="1:4" x14ac:dyDescent="0.25">
      <c r="A62" s="1">
        <v>1897</v>
      </c>
      <c r="B62">
        <v>-0.21058299999999999</v>
      </c>
      <c r="C62">
        <f t="shared" si="0"/>
        <v>-0.45518552790300681</v>
      </c>
      <c r="D62" s="13">
        <v>4.4814472096993199E-2</v>
      </c>
    </row>
    <row r="63" spans="1:4" x14ac:dyDescent="0.25">
      <c r="A63" s="1">
        <v>1898</v>
      </c>
      <c r="B63">
        <v>-0.408167</v>
      </c>
      <c r="C63">
        <f t="shared" si="0"/>
        <v>-0.46477888798045841</v>
      </c>
      <c r="D63" s="13">
        <v>3.5221112019541603E-2</v>
      </c>
    </row>
    <row r="64" spans="1:4" x14ac:dyDescent="0.25">
      <c r="A64" s="1">
        <v>1899</v>
      </c>
      <c r="B64">
        <v>-0.28808299999999998</v>
      </c>
      <c r="C64">
        <f t="shared" si="0"/>
        <v>-0.43986780948475918</v>
      </c>
      <c r="D64" s="13">
        <v>6.0132190515240803E-2</v>
      </c>
    </row>
    <row r="65" spans="1:4" x14ac:dyDescent="0.25">
      <c r="A65" s="1">
        <v>1900</v>
      </c>
      <c r="B65">
        <v>-0.19891700000000001</v>
      </c>
      <c r="C65">
        <f t="shared" si="0"/>
        <v>-0.43117006766656163</v>
      </c>
      <c r="D65" s="13">
        <v>6.8829932333438398E-2</v>
      </c>
    </row>
    <row r="66" spans="1:4" x14ac:dyDescent="0.25">
      <c r="A66" s="1">
        <v>1901</v>
      </c>
      <c r="B66">
        <v>-0.26866699999999999</v>
      </c>
      <c r="C66">
        <f t="shared" si="0"/>
        <v>-0.42573480345990011</v>
      </c>
      <c r="D66" s="13">
        <v>7.4265196540099901E-2</v>
      </c>
    </row>
    <row r="67" spans="1:4" x14ac:dyDescent="0.25">
      <c r="A67" s="1">
        <v>1902</v>
      </c>
      <c r="B67">
        <v>-0.410333</v>
      </c>
      <c r="C67">
        <f t="shared" si="0"/>
        <v>-0.45710331375414293</v>
      </c>
      <c r="D67" s="13">
        <v>4.2896686245857102E-2</v>
      </c>
    </row>
    <row r="68" spans="1:4" x14ac:dyDescent="0.25">
      <c r="A68" s="1">
        <v>1903</v>
      </c>
      <c r="B68">
        <v>-0.48241699999999998</v>
      </c>
      <c r="C68">
        <f t="shared" si="0"/>
        <v>-0.45751193464917611</v>
      </c>
      <c r="D68" s="13">
        <v>4.2488065350823903E-2</v>
      </c>
    </row>
    <row r="69" spans="1:4" x14ac:dyDescent="0.25">
      <c r="A69" s="1">
        <v>1904</v>
      </c>
      <c r="B69">
        <v>-0.52700000000000002</v>
      </c>
      <c r="C69">
        <f t="shared" si="0"/>
        <v>-0.46993131085770712</v>
      </c>
      <c r="D69" s="13">
        <v>3.0068689142292899E-2</v>
      </c>
    </row>
    <row r="70" spans="1:4" x14ac:dyDescent="0.25">
      <c r="A70" s="1">
        <v>1905</v>
      </c>
      <c r="B70">
        <v>-0.38258300000000001</v>
      </c>
      <c r="C70">
        <f t="shared" si="0"/>
        <v>-0.4520729798002065</v>
      </c>
      <c r="D70" s="13">
        <v>4.7927020199793502E-2</v>
      </c>
    </row>
    <row r="71" spans="1:4" x14ac:dyDescent="0.25">
      <c r="A71" s="1">
        <v>1906</v>
      </c>
      <c r="B71">
        <v>-0.29475000000000001</v>
      </c>
      <c r="C71">
        <f t="shared" si="0"/>
        <v>-0.42499040391667198</v>
      </c>
      <c r="D71" s="13">
        <v>7.5009596083327995E-2</v>
      </c>
    </row>
    <row r="72" spans="1:4" x14ac:dyDescent="0.25">
      <c r="A72" s="1">
        <v>1907</v>
      </c>
      <c r="B72">
        <v>-0.47666700000000001</v>
      </c>
      <c r="C72">
        <f t="shared" si="0"/>
        <v>-0.48498925699964968</v>
      </c>
      <c r="D72" s="13">
        <v>1.50107430003503E-2</v>
      </c>
    </row>
    <row r="73" spans="1:4" x14ac:dyDescent="0.25">
      <c r="A73" s="1">
        <v>1908</v>
      </c>
      <c r="B73">
        <v>-0.52400000000000002</v>
      </c>
      <c r="C73">
        <f t="shared" si="0"/>
        <v>-0.45071891850561802</v>
      </c>
      <c r="D73" s="13">
        <v>4.9281081494381998E-2</v>
      </c>
    </row>
    <row r="74" spans="1:4" x14ac:dyDescent="0.25">
      <c r="A74" s="1">
        <v>1909</v>
      </c>
      <c r="B74">
        <v>-0.536833</v>
      </c>
      <c r="C74">
        <f t="shared" si="0"/>
        <v>-0.44870423337490878</v>
      </c>
      <c r="D74" s="13">
        <v>5.1295766625091201E-2</v>
      </c>
    </row>
    <row r="75" spans="1:4" x14ac:dyDescent="0.25">
      <c r="A75" s="1">
        <v>1910</v>
      </c>
      <c r="B75">
        <v>-0.49683300000000002</v>
      </c>
      <c r="C75">
        <f t="shared" si="0"/>
        <v>-0.4451243074797967</v>
      </c>
      <c r="D75" s="13">
        <v>5.4875692520203301E-2</v>
      </c>
    </row>
    <row r="76" spans="1:4" x14ac:dyDescent="0.25">
      <c r="A76" s="1">
        <v>1911</v>
      </c>
      <c r="B76">
        <v>-0.55591699999999999</v>
      </c>
      <c r="C76">
        <f t="shared" si="0"/>
        <v>-0.4494442018028279</v>
      </c>
      <c r="D76" s="13">
        <v>5.0555798197172097E-2</v>
      </c>
    </row>
    <row r="77" spans="1:4" x14ac:dyDescent="0.25">
      <c r="A77" s="1">
        <v>1912</v>
      </c>
      <c r="B77">
        <v>-0.45116699999999998</v>
      </c>
      <c r="C77">
        <f t="shared" si="0"/>
        <v>-0.44402224431812609</v>
      </c>
      <c r="D77" s="13">
        <v>5.5977755681873902E-2</v>
      </c>
    </row>
    <row r="78" spans="1:4" x14ac:dyDescent="0.25">
      <c r="A78" s="1">
        <v>1913</v>
      </c>
      <c r="B78">
        <v>-0.441</v>
      </c>
      <c r="C78">
        <f t="shared" si="0"/>
        <v>-0.42296912024122318</v>
      </c>
      <c r="D78" s="13">
        <v>7.7030879758776802E-2</v>
      </c>
    </row>
    <row r="79" spans="1:4" x14ac:dyDescent="0.25">
      <c r="A79" s="1">
        <v>1914</v>
      </c>
      <c r="B79">
        <v>-0.25941700000000001</v>
      </c>
      <c r="C79">
        <f t="shared" si="0"/>
        <v>-0.38251718091815601</v>
      </c>
      <c r="D79" s="13">
        <v>0.11748281908184401</v>
      </c>
    </row>
    <row r="80" spans="1:4" x14ac:dyDescent="0.25">
      <c r="A80" s="1">
        <v>1915</v>
      </c>
      <c r="B80">
        <v>-0.16758300000000001</v>
      </c>
      <c r="C80">
        <f t="shared" si="0"/>
        <v>-0.38183748254445898</v>
      </c>
      <c r="D80" s="13">
        <v>0.118162517455541</v>
      </c>
    </row>
    <row r="81" spans="1:4" x14ac:dyDescent="0.25">
      <c r="A81" s="1">
        <v>1916</v>
      </c>
      <c r="B81">
        <v>-0.40033299999999999</v>
      </c>
      <c r="C81">
        <f t="shared" ref="C81:C144" si="1">+$D81+$C$12</f>
        <v>-0.4239697589021883</v>
      </c>
      <c r="D81" s="13">
        <v>7.6030241097811702E-2</v>
      </c>
    </row>
    <row r="82" spans="1:4" x14ac:dyDescent="0.25">
      <c r="A82" s="1">
        <v>1917</v>
      </c>
      <c r="B82">
        <v>-0.48399999999999999</v>
      </c>
      <c r="C82">
        <f t="shared" si="1"/>
        <v>-0.44655965594904939</v>
      </c>
      <c r="D82" s="13">
        <v>5.3440344050950599E-2</v>
      </c>
    </row>
    <row r="83" spans="1:4" x14ac:dyDescent="0.25">
      <c r="A83" s="1">
        <v>1918</v>
      </c>
      <c r="B83">
        <v>-0.34375</v>
      </c>
      <c r="C83">
        <f t="shared" si="1"/>
        <v>-0.43139886398325367</v>
      </c>
      <c r="D83" s="13">
        <v>6.8601136016746306E-2</v>
      </c>
    </row>
    <row r="84" spans="1:4" x14ac:dyDescent="0.25">
      <c r="A84" s="1">
        <v>1919</v>
      </c>
      <c r="B84">
        <v>-0.28499999999999998</v>
      </c>
      <c r="C84">
        <f t="shared" si="1"/>
        <v>-0.40602768060956018</v>
      </c>
      <c r="D84" s="13">
        <v>9.3972319390439804E-2</v>
      </c>
    </row>
    <row r="85" spans="1:4" x14ac:dyDescent="0.25">
      <c r="A85" s="1">
        <v>1920</v>
      </c>
      <c r="B85">
        <v>-0.25366699999999998</v>
      </c>
      <c r="C85">
        <f t="shared" si="1"/>
        <v>-0.395272480467382</v>
      </c>
      <c r="D85" s="13">
        <v>0.104727519532618</v>
      </c>
    </row>
    <row r="86" spans="1:4" x14ac:dyDescent="0.25">
      <c r="A86" s="1">
        <v>1921</v>
      </c>
      <c r="B86">
        <v>-0.192417</v>
      </c>
      <c r="C86">
        <f t="shared" si="1"/>
        <v>-0.362301058478111</v>
      </c>
      <c r="D86" s="13">
        <v>0.137698941521889</v>
      </c>
    </row>
    <row r="87" spans="1:4" x14ac:dyDescent="0.25">
      <c r="A87" s="1">
        <v>1922</v>
      </c>
      <c r="B87">
        <v>-0.31033300000000003</v>
      </c>
      <c r="C87">
        <f t="shared" si="1"/>
        <v>-0.38666402567547498</v>
      </c>
      <c r="D87" s="13">
        <v>0.113335974324525</v>
      </c>
    </row>
    <row r="88" spans="1:4" x14ac:dyDescent="0.25">
      <c r="A88" s="1">
        <v>1923</v>
      </c>
      <c r="B88">
        <v>-0.27791700000000003</v>
      </c>
      <c r="C88">
        <f t="shared" si="1"/>
        <v>-0.37958910533968299</v>
      </c>
      <c r="D88" s="13">
        <v>0.120410894660317</v>
      </c>
    </row>
    <row r="89" spans="1:4" x14ac:dyDescent="0.25">
      <c r="A89" s="1">
        <v>1924</v>
      </c>
      <c r="B89">
        <v>-0.30141699999999999</v>
      </c>
      <c r="C89">
        <f t="shared" si="1"/>
        <v>-0.362682722991159</v>
      </c>
      <c r="D89" s="13">
        <v>0.137317277008841</v>
      </c>
    </row>
    <row r="90" spans="1:4" x14ac:dyDescent="0.25">
      <c r="A90" s="1">
        <v>1925</v>
      </c>
      <c r="B90">
        <v>-0.221917</v>
      </c>
      <c r="C90">
        <f t="shared" si="1"/>
        <v>-0.36363192000760802</v>
      </c>
      <c r="D90" s="13">
        <v>0.13636807999239201</v>
      </c>
    </row>
    <row r="91" spans="1:4" x14ac:dyDescent="0.25">
      <c r="A91" s="1">
        <v>1926</v>
      </c>
      <c r="B91">
        <v>-0.115083</v>
      </c>
      <c r="C91">
        <f t="shared" si="1"/>
        <v>-0.33866225393340099</v>
      </c>
      <c r="D91" s="13">
        <v>0.16133774606659901</v>
      </c>
    </row>
    <row r="92" spans="1:4" x14ac:dyDescent="0.25">
      <c r="A92" s="1">
        <v>1927</v>
      </c>
      <c r="B92">
        <v>-0.2155</v>
      </c>
      <c r="C92">
        <f t="shared" si="1"/>
        <v>-0.36010301065150296</v>
      </c>
      <c r="D92" s="13">
        <v>0.13989698934849701</v>
      </c>
    </row>
    <row r="93" spans="1:4" x14ac:dyDescent="0.25">
      <c r="A93" s="1">
        <v>1928</v>
      </c>
      <c r="B93">
        <v>-0.213667</v>
      </c>
      <c r="C93">
        <f t="shared" si="1"/>
        <v>-0.33687051143817304</v>
      </c>
      <c r="D93" s="13">
        <v>0.16312948856182699</v>
      </c>
    </row>
    <row r="94" spans="1:4" x14ac:dyDescent="0.25">
      <c r="A94" s="1">
        <v>1929</v>
      </c>
      <c r="B94">
        <v>-0.35241699999999998</v>
      </c>
      <c r="C94">
        <f t="shared" si="1"/>
        <v>-0.38741846307038297</v>
      </c>
      <c r="D94" s="13">
        <v>0.112581536929617</v>
      </c>
    </row>
    <row r="95" spans="1:4" x14ac:dyDescent="0.25">
      <c r="A95" s="1">
        <v>1930</v>
      </c>
      <c r="B95">
        <v>-0.13975000000000001</v>
      </c>
      <c r="C95">
        <f t="shared" si="1"/>
        <v>-0.33389391199138596</v>
      </c>
      <c r="D95" s="13">
        <v>0.16610608800861401</v>
      </c>
    </row>
    <row r="96" spans="1:4" x14ac:dyDescent="0.25">
      <c r="A96" s="1">
        <v>1931</v>
      </c>
      <c r="B96">
        <v>-8.9833300000000005E-2</v>
      </c>
      <c r="C96">
        <f t="shared" si="1"/>
        <v>-0.32313941341074603</v>
      </c>
      <c r="D96" s="13">
        <v>0.17686058658925399</v>
      </c>
    </row>
    <row r="97" spans="1:4" x14ac:dyDescent="0.25">
      <c r="A97" s="1">
        <v>1932</v>
      </c>
      <c r="B97">
        <v>-0.13875000000000001</v>
      </c>
      <c r="C97">
        <f t="shared" si="1"/>
        <v>-0.32041504838235702</v>
      </c>
      <c r="D97" s="13">
        <v>0.17958495161764301</v>
      </c>
    </row>
    <row r="98" spans="1:4" x14ac:dyDescent="0.25">
      <c r="A98" s="1">
        <v>1933</v>
      </c>
      <c r="B98">
        <v>-0.27550000000000002</v>
      </c>
      <c r="C98">
        <f t="shared" si="1"/>
        <v>-0.36837399607061699</v>
      </c>
      <c r="D98" s="13">
        <v>0.13162600392938301</v>
      </c>
    </row>
    <row r="99" spans="1:4" x14ac:dyDescent="0.25">
      <c r="A99" s="1">
        <v>1934</v>
      </c>
      <c r="B99">
        <v>-0.12875</v>
      </c>
      <c r="C99">
        <f t="shared" si="1"/>
        <v>-0.32221763942225301</v>
      </c>
      <c r="D99" s="13">
        <v>0.17778236057774699</v>
      </c>
    </row>
    <row r="100" spans="1:4" x14ac:dyDescent="0.25">
      <c r="A100" s="1">
        <v>1935</v>
      </c>
      <c r="B100">
        <v>-0.17791699999999999</v>
      </c>
      <c r="C100">
        <f t="shared" si="1"/>
        <v>-0.33512976250100801</v>
      </c>
      <c r="D100" s="13">
        <v>0.16487023749899199</v>
      </c>
    </row>
    <row r="101" spans="1:4" x14ac:dyDescent="0.25">
      <c r="A101" s="1">
        <v>1936</v>
      </c>
      <c r="B101">
        <v>-0.14424999999999999</v>
      </c>
      <c r="C101">
        <f t="shared" si="1"/>
        <v>-0.33106488135991796</v>
      </c>
      <c r="D101" s="13">
        <v>0.16893511864008201</v>
      </c>
    </row>
    <row r="102" spans="1:4" x14ac:dyDescent="0.25">
      <c r="A102" s="1">
        <v>1937</v>
      </c>
      <c r="B102">
        <v>-2.6583300000000001E-2</v>
      </c>
      <c r="C102">
        <f t="shared" si="1"/>
        <v>-0.30874775540356403</v>
      </c>
      <c r="D102" s="13">
        <v>0.191252244596436</v>
      </c>
    </row>
    <row r="103" spans="1:4" x14ac:dyDescent="0.25">
      <c r="A103" s="1">
        <v>1938</v>
      </c>
      <c r="B103">
        <v>-6.4166700000000002E-3</v>
      </c>
      <c r="C103">
        <f t="shared" si="1"/>
        <v>-0.277537826971608</v>
      </c>
      <c r="D103" s="13">
        <v>0.222462173028392</v>
      </c>
    </row>
    <row r="104" spans="1:4" x14ac:dyDescent="0.25">
      <c r="A104" s="1">
        <v>1939</v>
      </c>
      <c r="B104">
        <v>-5.6833300000000003E-2</v>
      </c>
      <c r="C104">
        <f t="shared" si="1"/>
        <v>-0.28907925762875497</v>
      </c>
      <c r="D104" s="13">
        <v>0.210920742371245</v>
      </c>
    </row>
    <row r="105" spans="1:4" x14ac:dyDescent="0.25">
      <c r="A105" s="1">
        <v>1940</v>
      </c>
      <c r="B105">
        <v>1.6833299999999999E-2</v>
      </c>
      <c r="C105">
        <f t="shared" si="1"/>
        <v>-0.28557064335307403</v>
      </c>
      <c r="D105" s="13">
        <v>0.214429356646926</v>
      </c>
    </row>
    <row r="106" spans="1:4" x14ac:dyDescent="0.25">
      <c r="A106" s="1">
        <v>1941</v>
      </c>
      <c r="B106">
        <v>1.8249999999999999E-2</v>
      </c>
      <c r="C106">
        <f t="shared" si="1"/>
        <v>-0.290868642848229</v>
      </c>
      <c r="D106" s="13">
        <v>0.209131357151771</v>
      </c>
    </row>
    <row r="107" spans="1:4" x14ac:dyDescent="0.25">
      <c r="A107" s="1">
        <v>1942</v>
      </c>
      <c r="B107">
        <v>-2.1333299999999999E-2</v>
      </c>
      <c r="C107">
        <f t="shared" si="1"/>
        <v>-0.28677343872864602</v>
      </c>
      <c r="D107" s="13">
        <v>0.213226561271354</v>
      </c>
    </row>
    <row r="108" spans="1:4" x14ac:dyDescent="0.25">
      <c r="A108" s="1">
        <v>1943</v>
      </c>
      <c r="B108">
        <v>-3.08333E-3</v>
      </c>
      <c r="C108">
        <f t="shared" si="1"/>
        <v>-0.27260411364773901</v>
      </c>
      <c r="D108" s="13">
        <v>0.22739588635226099</v>
      </c>
    </row>
    <row r="109" spans="1:4" x14ac:dyDescent="0.25">
      <c r="A109" s="1">
        <v>1944</v>
      </c>
      <c r="B109">
        <v>0.15033299999999999</v>
      </c>
      <c r="C109">
        <f t="shared" si="1"/>
        <v>-0.25629011927150203</v>
      </c>
      <c r="D109" s="13">
        <v>0.243709880728498</v>
      </c>
    </row>
    <row r="110" spans="1:4" x14ac:dyDescent="0.25">
      <c r="A110" s="1">
        <v>1945</v>
      </c>
      <c r="B110">
        <v>3.3000000000000002E-2</v>
      </c>
      <c r="C110">
        <f t="shared" si="1"/>
        <v>-0.29043820532974196</v>
      </c>
      <c r="D110" s="13">
        <v>0.20956179467025801</v>
      </c>
    </row>
    <row r="111" spans="1:4" x14ac:dyDescent="0.25">
      <c r="A111" s="1">
        <v>1946</v>
      </c>
      <c r="B111">
        <v>-6.8916699999999997E-2</v>
      </c>
      <c r="C111">
        <f t="shared" si="1"/>
        <v>-0.27877164456166703</v>
      </c>
      <c r="D111" s="13">
        <v>0.221228355438333</v>
      </c>
    </row>
    <row r="112" spans="1:4" x14ac:dyDescent="0.25">
      <c r="A112" s="1">
        <v>1947</v>
      </c>
      <c r="B112">
        <v>-3.95E-2</v>
      </c>
      <c r="C112">
        <f t="shared" si="1"/>
        <v>-0.25626860749149999</v>
      </c>
      <c r="D112" s="13">
        <v>0.24373139250850001</v>
      </c>
    </row>
    <row r="113" spans="1:4" x14ac:dyDescent="0.25">
      <c r="A113" s="1">
        <v>1948</v>
      </c>
      <c r="B113">
        <v>-3.6833299999999999E-2</v>
      </c>
      <c r="C113">
        <f t="shared" si="1"/>
        <v>-0.25919023196313501</v>
      </c>
      <c r="D113" s="13">
        <v>0.24080976803686499</v>
      </c>
    </row>
    <row r="114" spans="1:4" x14ac:dyDescent="0.25">
      <c r="A114" s="1">
        <v>1949</v>
      </c>
      <c r="B114">
        <v>-7.775E-2</v>
      </c>
      <c r="C114">
        <f t="shared" si="1"/>
        <v>-0.27318015730463596</v>
      </c>
      <c r="D114" s="13">
        <v>0.22681984269536401</v>
      </c>
    </row>
    <row r="115" spans="1:4" x14ac:dyDescent="0.25">
      <c r="A115" s="1">
        <v>1950</v>
      </c>
      <c r="B115">
        <v>-0.17716699999999999</v>
      </c>
      <c r="C115">
        <f t="shared" si="1"/>
        <v>-0.29590290166177102</v>
      </c>
      <c r="D115" s="13">
        <v>0.204097098338229</v>
      </c>
    </row>
    <row r="116" spans="1:4" x14ac:dyDescent="0.25">
      <c r="A116" s="1">
        <v>1951</v>
      </c>
      <c r="B116">
        <v>-0.05</v>
      </c>
      <c r="C116">
        <f t="shared" si="1"/>
        <v>-0.25676155611001</v>
      </c>
      <c r="D116" s="13">
        <v>0.24323844388999</v>
      </c>
    </row>
    <row r="117" spans="1:4" x14ac:dyDescent="0.25">
      <c r="A117" s="1">
        <v>1952</v>
      </c>
      <c r="B117">
        <v>3.2500000000000001E-2</v>
      </c>
      <c r="C117">
        <f t="shared" si="1"/>
        <v>-0.250575422506566</v>
      </c>
      <c r="D117" s="13">
        <v>0.249424577493434</v>
      </c>
    </row>
    <row r="118" spans="1:4" x14ac:dyDescent="0.25">
      <c r="A118" s="1">
        <v>1953</v>
      </c>
      <c r="B118">
        <v>0.10108300000000001</v>
      </c>
      <c r="C118">
        <f t="shared" si="1"/>
        <v>-0.21243072146800501</v>
      </c>
      <c r="D118" s="13">
        <v>0.28756927853199499</v>
      </c>
    </row>
    <row r="119" spans="1:4" x14ac:dyDescent="0.25">
      <c r="A119" s="1">
        <v>1954</v>
      </c>
      <c r="B119">
        <v>-0.129833</v>
      </c>
      <c r="C119">
        <f t="shared" si="1"/>
        <v>-0.24797719395909501</v>
      </c>
      <c r="D119" s="13">
        <v>0.25202280604090499</v>
      </c>
    </row>
    <row r="120" spans="1:4" x14ac:dyDescent="0.25">
      <c r="A120" s="1">
        <v>1955</v>
      </c>
      <c r="B120">
        <v>-0.186167</v>
      </c>
      <c r="C120">
        <f t="shared" si="1"/>
        <v>-0.23089254542153298</v>
      </c>
      <c r="D120" s="13">
        <v>0.26910745457846702</v>
      </c>
    </row>
    <row r="121" spans="1:4" x14ac:dyDescent="0.25">
      <c r="A121" s="1">
        <v>1956</v>
      </c>
      <c r="B121">
        <v>-0.26016699999999998</v>
      </c>
      <c r="C121">
        <f t="shared" si="1"/>
        <v>-0.27004392174505099</v>
      </c>
      <c r="D121" s="13">
        <v>0.22995607825494899</v>
      </c>
    </row>
    <row r="122" spans="1:4" x14ac:dyDescent="0.25">
      <c r="A122" s="1">
        <v>1957</v>
      </c>
      <c r="B122">
        <v>-2.4166700000000001E-3</v>
      </c>
      <c r="C122">
        <f t="shared" si="1"/>
        <v>-0.20729024415282199</v>
      </c>
      <c r="D122" s="13">
        <v>0.29270975584717801</v>
      </c>
    </row>
    <row r="123" spans="1:4" x14ac:dyDescent="0.25">
      <c r="A123" s="1">
        <v>1958</v>
      </c>
      <c r="B123">
        <v>4.9666700000000001E-2</v>
      </c>
      <c r="C123">
        <f t="shared" si="1"/>
        <v>-0.19634656888110802</v>
      </c>
      <c r="D123" s="13">
        <v>0.30365343111889198</v>
      </c>
    </row>
    <row r="124" spans="1:4" x14ac:dyDescent="0.25">
      <c r="A124" s="1">
        <v>1959</v>
      </c>
      <c r="B124">
        <v>1.71667E-2</v>
      </c>
      <c r="C124">
        <f t="shared" si="1"/>
        <v>-0.18371469156629799</v>
      </c>
      <c r="D124" s="13">
        <v>0.31628530843370201</v>
      </c>
    </row>
    <row r="125" spans="1:4" x14ac:dyDescent="0.25">
      <c r="A125" s="1">
        <v>1960</v>
      </c>
      <c r="B125">
        <v>-0.05</v>
      </c>
      <c r="C125">
        <f t="shared" si="1"/>
        <v>-0.20211075387052302</v>
      </c>
      <c r="D125" s="13">
        <v>0.29788924612947698</v>
      </c>
    </row>
    <row r="126" spans="1:4" x14ac:dyDescent="0.25">
      <c r="A126" s="1">
        <v>1961</v>
      </c>
      <c r="B126">
        <v>3.9916699999999999E-2</v>
      </c>
      <c r="C126">
        <f t="shared" si="1"/>
        <v>-0.15616340507113102</v>
      </c>
      <c r="D126" s="13">
        <v>0.34383659492886898</v>
      </c>
    </row>
    <row r="127" spans="1:4" x14ac:dyDescent="0.25">
      <c r="A127" s="1">
        <v>1962</v>
      </c>
      <c r="B127">
        <v>1.83333E-2</v>
      </c>
      <c r="C127">
        <f t="shared" si="1"/>
        <v>-0.168833856052097</v>
      </c>
      <c r="D127" s="13">
        <v>0.331166143947903</v>
      </c>
    </row>
    <row r="128" spans="1:4" x14ac:dyDescent="0.25">
      <c r="A128" s="1">
        <v>1963</v>
      </c>
      <c r="B128">
        <v>4.9916700000000001E-2</v>
      </c>
      <c r="C128">
        <f t="shared" si="1"/>
        <v>-0.13247393411721398</v>
      </c>
      <c r="D128" s="13">
        <v>0.36752606588278602</v>
      </c>
    </row>
    <row r="129" spans="1:4" x14ac:dyDescent="0.25">
      <c r="A129" s="1">
        <v>1964</v>
      </c>
      <c r="B129">
        <v>-0.22375</v>
      </c>
      <c r="C129">
        <f t="shared" si="1"/>
        <v>-0.18478657518355002</v>
      </c>
      <c r="D129" s="13">
        <v>0.31521342481644998</v>
      </c>
    </row>
    <row r="130" spans="1:4" x14ac:dyDescent="0.25">
      <c r="A130" s="1">
        <v>1965</v>
      </c>
      <c r="B130">
        <v>-0.14224999999999999</v>
      </c>
      <c r="C130">
        <f t="shared" si="1"/>
        <v>-0.15011188578410101</v>
      </c>
      <c r="D130" s="13">
        <v>0.34988811421589899</v>
      </c>
    </row>
    <row r="131" spans="1:4" x14ac:dyDescent="0.25">
      <c r="A131" s="1">
        <v>1966</v>
      </c>
      <c r="B131">
        <v>-7.3333300000000004E-2</v>
      </c>
      <c r="C131">
        <f t="shared" si="1"/>
        <v>-0.13148478978093597</v>
      </c>
      <c r="D131" s="13">
        <v>0.36851521021906403</v>
      </c>
    </row>
    <row r="132" spans="1:4" x14ac:dyDescent="0.25">
      <c r="A132" s="1">
        <v>1967</v>
      </c>
      <c r="B132">
        <v>-7.6249999999999998E-2</v>
      </c>
      <c r="C132">
        <f t="shared" si="1"/>
        <v>-0.10405663048996799</v>
      </c>
      <c r="D132" s="13">
        <v>0.39594336951003201</v>
      </c>
    </row>
    <row r="133" spans="1:4" x14ac:dyDescent="0.25">
      <c r="A133" s="1">
        <v>1968</v>
      </c>
      <c r="B133">
        <v>-0.113167</v>
      </c>
      <c r="C133">
        <f t="shared" si="1"/>
        <v>-0.11740308429359197</v>
      </c>
      <c r="D133" s="13">
        <v>0.38259691570640803</v>
      </c>
    </row>
    <row r="134" spans="1:4" x14ac:dyDescent="0.25">
      <c r="A134" s="1">
        <v>1969</v>
      </c>
      <c r="B134">
        <v>2.9083299999999999E-2</v>
      </c>
      <c r="C134">
        <f t="shared" si="1"/>
        <v>-9.6711278899433983E-2</v>
      </c>
      <c r="D134" s="13">
        <v>0.40328872110056602</v>
      </c>
    </row>
    <row r="135" spans="1:4" x14ac:dyDescent="0.25">
      <c r="A135" s="1">
        <v>1970</v>
      </c>
      <c r="B135">
        <v>-2.7833299999999998E-2</v>
      </c>
      <c r="C135">
        <f t="shared" si="1"/>
        <v>-6.5932586912830993E-2</v>
      </c>
      <c r="D135" s="13">
        <v>0.43406741308716901</v>
      </c>
    </row>
    <row r="136" spans="1:4" x14ac:dyDescent="0.25">
      <c r="A136" s="1">
        <v>1971</v>
      </c>
      <c r="B136">
        <v>-0.184083</v>
      </c>
      <c r="C136">
        <f t="shared" si="1"/>
        <v>-6.4472826067501987E-2</v>
      </c>
      <c r="D136" s="13">
        <v>0.43552717393249801</v>
      </c>
    </row>
    <row r="137" spans="1:4" x14ac:dyDescent="0.25">
      <c r="A137" s="1">
        <v>1972</v>
      </c>
      <c r="B137">
        <v>-6.9166699999999998E-2</v>
      </c>
      <c r="C137">
        <f t="shared" si="1"/>
        <v>-6.0197291891745996E-2</v>
      </c>
      <c r="D137" s="13">
        <v>0.439802708108254</v>
      </c>
    </row>
    <row r="138" spans="1:4" x14ac:dyDescent="0.25">
      <c r="A138" s="1">
        <v>1973</v>
      </c>
      <c r="B138">
        <v>6.3166700000000006E-2</v>
      </c>
      <c r="C138">
        <f t="shared" si="1"/>
        <v>1.7840579678051971E-2</v>
      </c>
      <c r="D138" s="13">
        <v>0.51784057967805197</v>
      </c>
    </row>
    <row r="139" spans="1:4" x14ac:dyDescent="0.25">
      <c r="A139" s="1">
        <v>1974</v>
      </c>
      <c r="B139">
        <v>-0.21091699999999999</v>
      </c>
      <c r="C139">
        <f t="shared" si="1"/>
        <v>-2.7159713015963982E-2</v>
      </c>
      <c r="D139" s="13">
        <v>0.47284028698403602</v>
      </c>
    </row>
    <row r="140" spans="1:4" x14ac:dyDescent="0.25">
      <c r="A140" s="1">
        <v>1975</v>
      </c>
      <c r="B140">
        <v>-0.14533299999999999</v>
      </c>
      <c r="C140">
        <f t="shared" si="1"/>
        <v>2.2789824078841003E-2</v>
      </c>
      <c r="D140" s="13">
        <v>0.522789824078841</v>
      </c>
    </row>
    <row r="141" spans="1:4" x14ac:dyDescent="0.25">
      <c r="A141" s="1">
        <v>1976</v>
      </c>
      <c r="B141">
        <v>-0.23791699999999999</v>
      </c>
      <c r="C141">
        <f t="shared" si="1"/>
        <v>-5.0467372764099738E-3</v>
      </c>
      <c r="D141" s="13">
        <v>0.49495326272359003</v>
      </c>
    </row>
    <row r="142" spans="1:4" x14ac:dyDescent="0.25">
      <c r="A142" s="1">
        <v>1977</v>
      </c>
      <c r="B142">
        <v>4.5749999999999999E-2</v>
      </c>
      <c r="C142">
        <f t="shared" si="1"/>
        <v>6.8620632446191987E-2</v>
      </c>
      <c r="D142" s="13">
        <v>0.56862063244619199</v>
      </c>
    </row>
    <row r="143" spans="1:4" x14ac:dyDescent="0.25">
      <c r="A143" s="1">
        <v>1978</v>
      </c>
      <c r="B143">
        <v>-6.1249999999999999E-2</v>
      </c>
      <c r="C143">
        <f t="shared" si="1"/>
        <v>6.547330568617904E-2</v>
      </c>
      <c r="D143" s="13">
        <v>0.56547330568617904</v>
      </c>
    </row>
    <row r="144" spans="1:4" x14ac:dyDescent="0.25">
      <c r="A144" s="1">
        <v>1979</v>
      </c>
      <c r="B144">
        <v>5.8000000000000003E-2</v>
      </c>
      <c r="C144">
        <f t="shared" si="1"/>
        <v>7.4038083215329009E-2</v>
      </c>
      <c r="D144" s="13">
        <v>0.57403808321532901</v>
      </c>
    </row>
    <row r="145" spans="1:4" x14ac:dyDescent="0.25">
      <c r="A145" s="1">
        <v>1980</v>
      </c>
      <c r="B145">
        <v>9.35E-2</v>
      </c>
      <c r="C145">
        <f t="shared" ref="C145:C174" si="2">+$D145+$C$12</f>
        <v>0.13897487637411798</v>
      </c>
      <c r="D145" s="13">
        <v>0.63897487637411798</v>
      </c>
    </row>
    <row r="146" spans="1:4" x14ac:dyDescent="0.25">
      <c r="A146" s="1">
        <v>1981</v>
      </c>
      <c r="B146">
        <v>0.14216699999999999</v>
      </c>
      <c r="C146">
        <f t="shared" si="2"/>
        <v>0.16978943079805198</v>
      </c>
      <c r="D146" s="13">
        <v>0.66978943079805198</v>
      </c>
    </row>
    <row r="147" spans="1:4" x14ac:dyDescent="0.25">
      <c r="A147" s="1">
        <v>1982</v>
      </c>
      <c r="B147">
        <v>1.2999999999999999E-2</v>
      </c>
      <c r="C147">
        <f t="shared" si="2"/>
        <v>0.124775057019747</v>
      </c>
      <c r="D147" s="13">
        <v>0.624775057019747</v>
      </c>
    </row>
    <row r="148" spans="1:4" x14ac:dyDescent="0.25">
      <c r="A148" s="1">
        <v>1983</v>
      </c>
      <c r="B148">
        <v>0.191083</v>
      </c>
      <c r="C148">
        <f t="shared" si="2"/>
        <v>0.18317437869775899</v>
      </c>
      <c r="D148" s="13">
        <v>0.68317437869775899</v>
      </c>
    </row>
    <row r="149" spans="1:4" x14ac:dyDescent="0.25">
      <c r="A149" s="1">
        <v>1984</v>
      </c>
      <c r="B149">
        <v>-1.3916700000000001E-2</v>
      </c>
      <c r="C149">
        <f t="shared" si="2"/>
        <v>0.16544867621009096</v>
      </c>
      <c r="D149" s="13">
        <v>0.66544867621009096</v>
      </c>
    </row>
    <row r="150" spans="1:4" x14ac:dyDescent="0.25">
      <c r="A150" s="1">
        <v>1985</v>
      </c>
      <c r="B150">
        <v>-2.8083299999999999E-2</v>
      </c>
      <c r="C150">
        <f t="shared" si="2"/>
        <v>0.172984077670994</v>
      </c>
      <c r="D150" s="13">
        <v>0.672984077670994</v>
      </c>
    </row>
    <row r="151" spans="1:4" x14ac:dyDescent="0.25">
      <c r="A151" s="1">
        <v>1986</v>
      </c>
      <c r="B151">
        <v>4.7166699999999999E-2</v>
      </c>
      <c r="C151">
        <f t="shared" si="2"/>
        <v>0.21123929043022005</v>
      </c>
      <c r="D151" s="13">
        <v>0.71123929043022005</v>
      </c>
    </row>
    <row r="152" spans="1:4" x14ac:dyDescent="0.25">
      <c r="A152" s="1">
        <v>1987</v>
      </c>
      <c r="B152">
        <v>0.185917</v>
      </c>
      <c r="C152">
        <f t="shared" si="2"/>
        <v>0.24425030625556499</v>
      </c>
      <c r="D152" s="13">
        <v>0.74425030625556499</v>
      </c>
    </row>
    <row r="153" spans="1:4" x14ac:dyDescent="0.25">
      <c r="A153" s="1">
        <v>1988</v>
      </c>
      <c r="B153">
        <v>0.20141700000000001</v>
      </c>
      <c r="C153">
        <f t="shared" si="2"/>
        <v>0.29018731742680604</v>
      </c>
      <c r="D153" s="13">
        <v>0.79018731742680604</v>
      </c>
    </row>
    <row r="154" spans="1:4" x14ac:dyDescent="0.25">
      <c r="A154" s="1">
        <v>1989</v>
      </c>
      <c r="B154">
        <v>0.121167</v>
      </c>
      <c r="C154">
        <f t="shared" si="2"/>
        <v>0.28009276132059502</v>
      </c>
      <c r="D154" s="13">
        <v>0.78009276132059502</v>
      </c>
    </row>
    <row r="155" spans="1:4" x14ac:dyDescent="0.25">
      <c r="A155" s="1">
        <v>1990</v>
      </c>
      <c r="B155">
        <v>0.29241699999999998</v>
      </c>
      <c r="C155">
        <f t="shared" si="2"/>
        <v>0.32790104429118905</v>
      </c>
      <c r="D155" s="13">
        <v>0.82790104429118905</v>
      </c>
    </row>
    <row r="156" spans="1:4" x14ac:dyDescent="0.25">
      <c r="A156" s="1">
        <v>1991</v>
      </c>
      <c r="B156">
        <v>0.25324999999999998</v>
      </c>
      <c r="C156">
        <f t="shared" si="2"/>
        <v>0.34222175090468099</v>
      </c>
      <c r="D156" s="13">
        <v>0.84222175090468099</v>
      </c>
    </row>
    <row r="157" spans="1:4" x14ac:dyDescent="0.25">
      <c r="A157" s="1">
        <v>1992</v>
      </c>
      <c r="B157">
        <v>0.10249999999999999</v>
      </c>
      <c r="C157">
        <f t="shared" si="2"/>
        <v>0.31538855437126101</v>
      </c>
      <c r="D157" s="13">
        <v>0.81538855437126101</v>
      </c>
    </row>
    <row r="158" spans="1:4" x14ac:dyDescent="0.25">
      <c r="A158" s="1">
        <v>1993</v>
      </c>
      <c r="B158">
        <v>0.14383299999999999</v>
      </c>
      <c r="C158">
        <f t="shared" si="2"/>
        <v>0.33645206007288597</v>
      </c>
      <c r="D158" s="13">
        <v>0.83645206007288597</v>
      </c>
    </row>
    <row r="159" spans="1:4" x14ac:dyDescent="0.25">
      <c r="A159" s="1">
        <v>1994</v>
      </c>
      <c r="B159">
        <v>0.20474999999999999</v>
      </c>
      <c r="C159">
        <f t="shared" si="2"/>
        <v>0.37580857910444398</v>
      </c>
      <c r="D159" s="13">
        <v>0.87580857910444398</v>
      </c>
    </row>
    <row r="160" spans="1:4" x14ac:dyDescent="0.25">
      <c r="A160" s="1">
        <v>1995</v>
      </c>
      <c r="B160">
        <v>0.32350000000000001</v>
      </c>
      <c r="C160">
        <f t="shared" si="2"/>
        <v>0.42840649273982201</v>
      </c>
      <c r="D160" s="13">
        <v>0.92840649273982201</v>
      </c>
    </row>
    <row r="161" spans="1:4" x14ac:dyDescent="0.25">
      <c r="A161" s="1">
        <v>1996</v>
      </c>
      <c r="B161">
        <v>0.17899999999999999</v>
      </c>
      <c r="C161">
        <f t="shared" si="2"/>
        <v>0.41509594721117304</v>
      </c>
      <c r="D161" s="13">
        <v>0.91509594721117304</v>
      </c>
    </row>
    <row r="162" spans="1:4" x14ac:dyDescent="0.25">
      <c r="A162" s="1">
        <v>1997</v>
      </c>
      <c r="B162">
        <v>0.39258300000000002</v>
      </c>
      <c r="C162">
        <f t="shared" si="2"/>
        <v>0.44321353188775903</v>
      </c>
      <c r="D162" s="13">
        <v>0.94321353188775903</v>
      </c>
    </row>
    <row r="163" spans="1:4" x14ac:dyDescent="0.25">
      <c r="A163" s="1">
        <v>1998</v>
      </c>
      <c r="B163">
        <v>0.53133300000000006</v>
      </c>
      <c r="C163">
        <f t="shared" si="2"/>
        <v>0.49555536365403996</v>
      </c>
      <c r="D163" s="13">
        <v>0.99555536365403996</v>
      </c>
    </row>
    <row r="164" spans="1:4" x14ac:dyDescent="0.25">
      <c r="A164" s="1">
        <v>1999</v>
      </c>
      <c r="B164">
        <v>0.30283300000000002</v>
      </c>
      <c r="C164">
        <f t="shared" si="2"/>
        <v>0.48608408586000196</v>
      </c>
      <c r="D164" s="13">
        <v>0.98608408586000196</v>
      </c>
    </row>
    <row r="165" spans="1:4" x14ac:dyDescent="0.25">
      <c r="A165" s="1">
        <v>2000</v>
      </c>
      <c r="B165">
        <v>0.29525000000000001</v>
      </c>
      <c r="C165">
        <f t="shared" si="2"/>
        <v>0.49724644729627698</v>
      </c>
      <c r="D165" s="13">
        <v>0.99724644729627698</v>
      </c>
    </row>
    <row r="166" spans="1:4" x14ac:dyDescent="0.25">
      <c r="A166" s="1">
        <v>2001</v>
      </c>
      <c r="B166">
        <v>0.438083</v>
      </c>
      <c r="C166">
        <f t="shared" si="2"/>
        <v>0.53779946244363996</v>
      </c>
      <c r="D166" s="13">
        <v>1.03779946244364</v>
      </c>
    </row>
    <row r="167" spans="1:4" x14ac:dyDescent="0.25">
      <c r="A167" s="1">
        <v>2002</v>
      </c>
      <c r="B167">
        <v>0.49316700000000002</v>
      </c>
      <c r="C167">
        <f t="shared" si="2"/>
        <v>0.57343852123087991</v>
      </c>
      <c r="D167" s="13">
        <v>1.0734385212308799</v>
      </c>
    </row>
    <row r="168" spans="1:4" x14ac:dyDescent="0.25">
      <c r="A168" s="1">
        <v>2003</v>
      </c>
      <c r="B168">
        <v>0.50366699999999998</v>
      </c>
      <c r="C168">
        <f t="shared" si="2"/>
        <v>0.58561649761847989</v>
      </c>
      <c r="D168" s="13">
        <v>1.0856164976184799</v>
      </c>
    </row>
    <row r="169" spans="1:4" x14ac:dyDescent="0.25">
      <c r="A169" s="1">
        <v>2004</v>
      </c>
      <c r="B169">
        <v>0.44466699999999998</v>
      </c>
      <c r="C169">
        <f t="shared" si="2"/>
        <v>0.58190207127636007</v>
      </c>
      <c r="D169" s="13">
        <v>1.0819020712763601</v>
      </c>
    </row>
    <row r="170" spans="1:4" x14ac:dyDescent="0.25">
      <c r="A170" s="1">
        <v>2005</v>
      </c>
      <c r="B170">
        <v>0.54049999999999998</v>
      </c>
      <c r="C170">
        <f t="shared" si="2"/>
        <v>0.64931345678763996</v>
      </c>
      <c r="D170" s="13">
        <v>1.14931345678764</v>
      </c>
    </row>
    <row r="171" spans="1:4" x14ac:dyDescent="0.25">
      <c r="A171" s="1">
        <v>2006</v>
      </c>
      <c r="B171">
        <v>0.49525000000000002</v>
      </c>
      <c r="C171">
        <f t="shared" si="2"/>
        <v>0.65564387961774995</v>
      </c>
      <c r="D171" s="13">
        <v>1.1556438796177499</v>
      </c>
    </row>
    <row r="172" spans="1:4" x14ac:dyDescent="0.25">
      <c r="A172" s="1">
        <v>2007</v>
      </c>
      <c r="B172">
        <v>0.48358299999999999</v>
      </c>
      <c r="C172">
        <f t="shared" si="2"/>
        <v>0.70513621271864002</v>
      </c>
      <c r="D172" s="13">
        <v>1.20513621271864</v>
      </c>
    </row>
    <row r="173" spans="1:4" x14ac:dyDescent="0.25">
      <c r="A173" s="1">
        <v>2008</v>
      </c>
      <c r="B173">
        <v>0.38791700000000001</v>
      </c>
      <c r="C173">
        <f t="shared" si="2"/>
        <v>0.69304345325791994</v>
      </c>
      <c r="D173" s="13">
        <v>1.1930434532579199</v>
      </c>
    </row>
    <row r="174" spans="1:4" x14ac:dyDescent="0.25">
      <c r="A174" s="1">
        <v>2009</v>
      </c>
      <c r="B174">
        <v>0.49375000000000002</v>
      </c>
      <c r="C174">
        <f t="shared" si="2"/>
        <v>0.72025462562749998</v>
      </c>
      <c r="D174" s="13">
        <v>1.2202546256275</v>
      </c>
    </row>
    <row r="175" spans="1:4" x14ac:dyDescent="0.25">
      <c r="A175" s="1">
        <v>2010</v>
      </c>
      <c r="B175">
        <v>0.54666700000000001</v>
      </c>
    </row>
    <row r="176" spans="1:4" x14ac:dyDescent="0.25">
      <c r="A176" s="1">
        <v>2011</v>
      </c>
      <c r="B176">
        <v>0.40691699999999997</v>
      </c>
    </row>
    <row r="177" spans="1:9" x14ac:dyDescent="0.25">
      <c r="A177" s="1">
        <v>2012</v>
      </c>
      <c r="B177">
        <v>0.44958300000000001</v>
      </c>
    </row>
    <row r="178" spans="1:9" x14ac:dyDescent="0.25">
      <c r="A178" s="1" t="s">
        <v>7</v>
      </c>
      <c r="B178" t="s">
        <v>42</v>
      </c>
    </row>
    <row r="179" spans="1:9" x14ac:dyDescent="0.25">
      <c r="A179" s="1" t="s">
        <v>43</v>
      </c>
      <c r="B179" t="s">
        <v>26</v>
      </c>
      <c r="C179" t="s">
        <v>44</v>
      </c>
      <c r="D179">
        <v>162</v>
      </c>
    </row>
    <row r="180" spans="1:9" x14ac:dyDescent="0.25">
      <c r="A180" s="1" t="s">
        <v>45</v>
      </c>
      <c r="B180">
        <v>-0.11840000000000001</v>
      </c>
    </row>
    <row r="181" spans="1:9" x14ac:dyDescent="0.25">
      <c r="A181" s="1" t="s">
        <v>4</v>
      </c>
    </row>
    <row r="182" spans="1:9" x14ac:dyDescent="0.25">
      <c r="A182" s="1" t="s">
        <v>7</v>
      </c>
      <c r="B182" t="s">
        <v>8</v>
      </c>
      <c r="C182" t="s">
        <v>9</v>
      </c>
      <c r="D182" t="s">
        <v>10</v>
      </c>
    </row>
    <row r="183" spans="1:9" x14ac:dyDescent="0.25">
      <c r="A183" s="1" t="s">
        <v>11</v>
      </c>
      <c r="B183" t="s">
        <v>12</v>
      </c>
      <c r="C183" t="s">
        <v>13</v>
      </c>
      <c r="D183" t="s">
        <v>14</v>
      </c>
      <c r="E183" t="s">
        <v>15</v>
      </c>
      <c r="F183" t="s">
        <v>16</v>
      </c>
      <c r="G183" t="s">
        <v>17</v>
      </c>
      <c r="H183" t="s">
        <v>18</v>
      </c>
      <c r="I183" t="s">
        <v>19</v>
      </c>
    </row>
    <row r="184" spans="1:9" x14ac:dyDescent="0.25">
      <c r="A184" s="1" t="s">
        <v>0</v>
      </c>
    </row>
    <row r="185" spans="1:9" x14ac:dyDescent="0.25">
      <c r="A185" s="1" t="s">
        <v>1</v>
      </c>
    </row>
    <row r="186" spans="1:9" x14ac:dyDescent="0.25">
      <c r="A186" s="1" t="s">
        <v>7</v>
      </c>
      <c r="B186" t="s">
        <v>20</v>
      </c>
      <c r="C186" t="s">
        <v>21</v>
      </c>
      <c r="D186" t="s">
        <v>22</v>
      </c>
      <c r="E186" t="s">
        <v>46</v>
      </c>
      <c r="F186" t="s">
        <v>47</v>
      </c>
      <c r="G186" t="s">
        <v>48</v>
      </c>
    </row>
    <row r="187" spans="1:9" x14ac:dyDescent="0.25">
      <c r="A187" s="1" t="s">
        <v>5</v>
      </c>
    </row>
    <row r="188" spans="1:9" x14ac:dyDescent="0.25">
      <c r="A188" s="1" t="s">
        <v>23</v>
      </c>
      <c r="B188" t="s">
        <v>24</v>
      </c>
      <c r="C188" t="s">
        <v>18</v>
      </c>
      <c r="D188" t="s">
        <v>25</v>
      </c>
      <c r="E188" t="s">
        <v>26</v>
      </c>
      <c r="F188" t="s">
        <v>27</v>
      </c>
      <c r="G188" t="s">
        <v>28</v>
      </c>
      <c r="H188" t="s">
        <v>29</v>
      </c>
    </row>
    <row r="189" spans="1:9" x14ac:dyDescent="0.25">
      <c r="A189" s="1" t="s">
        <v>6</v>
      </c>
    </row>
    <row r="190" spans="1:9" x14ac:dyDescent="0.25">
      <c r="A190" s="1" t="s">
        <v>1</v>
      </c>
    </row>
    <row r="191" spans="1:9" x14ac:dyDescent="0.25">
      <c r="A191" s="1" t="s">
        <v>0</v>
      </c>
    </row>
    <row r="192" spans="1:9" x14ac:dyDescent="0.25">
      <c r="A192" s="1" t="s">
        <v>30</v>
      </c>
      <c r="B192" t="s">
        <v>49</v>
      </c>
    </row>
    <row r="193" spans="1:7" x14ac:dyDescent="0.25">
      <c r="A193" s="1" t="s">
        <v>0</v>
      </c>
    </row>
    <row r="194" spans="1:7" x14ac:dyDescent="0.25">
      <c r="A194" s="1" t="s">
        <v>32</v>
      </c>
      <c r="B194" t="s">
        <v>33</v>
      </c>
      <c r="C194" t="s">
        <v>50</v>
      </c>
      <c r="D194" t="s">
        <v>20</v>
      </c>
      <c r="E194">
        <v>1850</v>
      </c>
      <c r="F194" t="s">
        <v>35</v>
      </c>
      <c r="G194">
        <v>2013.33</v>
      </c>
    </row>
    <row r="195" spans="1:7" x14ac:dyDescent="0.25">
      <c r="A195" s="1" t="s">
        <v>36</v>
      </c>
      <c r="B195" t="s">
        <v>17</v>
      </c>
      <c r="C195" t="s">
        <v>20</v>
      </c>
      <c r="D195">
        <v>1851</v>
      </c>
    </row>
    <row r="196" spans="1:7" x14ac:dyDescent="0.25">
      <c r="A196" s="1" t="s">
        <v>37</v>
      </c>
      <c r="B196" t="s">
        <v>18</v>
      </c>
      <c r="C196" t="s">
        <v>38</v>
      </c>
      <c r="D196" t="s">
        <v>39</v>
      </c>
      <c r="E196" t="s">
        <v>40</v>
      </c>
      <c r="F196" t="s">
        <v>41</v>
      </c>
    </row>
    <row r="197" spans="1:7" x14ac:dyDescent="0.25">
      <c r="A197" s="1">
        <v>1851</v>
      </c>
      <c r="B197">
        <v>-0.30175000000000002</v>
      </c>
      <c r="C197" s="11">
        <f>-2.2979737161E-10*$A197^5 + 0.0000022285768284*$A197^4 - 0.0086436385146*$A197^3 + 16.759480306*$A197^2 - 16244.935412*$A197 + 6297344.9302</f>
        <v>0.67922292370349169</v>
      </c>
      <c r="D197">
        <f>+$B197/$C197</f>
        <v>-0.44425767957697215</v>
      </c>
      <c r="E197">
        <f>0.71*$D197+0.29*$B378</f>
        <v>-0.25872795249965019</v>
      </c>
    </row>
    <row r="198" spans="1:7" x14ac:dyDescent="0.25">
      <c r="A198" s="1">
        <v>1852</v>
      </c>
      <c r="B198">
        <v>-0.28508299999999998</v>
      </c>
      <c r="C198" s="11">
        <f t="shared" ref="C198:C261" si="3">-2.2979737161E-10*$A198^5 + 0.0000022285768284*$A198^4 - 0.0086436385146*$A198^3 + 16.759480306*$A198^2 - 16244.935412*$A198 + 6297344.9302</f>
        <v>0.65229031909257174</v>
      </c>
      <c r="D198">
        <f t="shared" ref="D198:D261" si="4">+$B198/$C198</f>
        <v>-0.43704925806133504</v>
      </c>
      <c r="E198">
        <f t="shared" ref="E198:E261" si="5">0.71*$D198+0.29*$B379</f>
        <v>-0.24374997322354788</v>
      </c>
    </row>
    <row r="199" spans="1:7" x14ac:dyDescent="0.25">
      <c r="A199" s="1">
        <v>1853</v>
      </c>
      <c r="B199">
        <v>-0.31166700000000003</v>
      </c>
      <c r="C199" s="11">
        <f t="shared" si="3"/>
        <v>0.62756678555160761</v>
      </c>
      <c r="D199">
        <f t="shared" si="4"/>
        <v>-0.49662762143483496</v>
      </c>
      <c r="E199">
        <f t="shared" si="5"/>
        <v>-0.43136468121873278</v>
      </c>
    </row>
    <row r="200" spans="1:7" x14ac:dyDescent="0.25">
      <c r="A200" s="1">
        <v>1854</v>
      </c>
      <c r="B200">
        <v>-0.33424999999999999</v>
      </c>
      <c r="C200" s="11">
        <f t="shared" si="3"/>
        <v>0.60495648998767138</v>
      </c>
      <c r="D200">
        <f t="shared" si="4"/>
        <v>-0.55251907456486959</v>
      </c>
      <c r="E200">
        <f t="shared" si="5"/>
        <v>-0.3549026129410574</v>
      </c>
    </row>
    <row r="201" spans="1:7" x14ac:dyDescent="0.25">
      <c r="A201" s="1">
        <v>1855</v>
      </c>
      <c r="B201">
        <v>-0.29333300000000001</v>
      </c>
      <c r="C201" s="11">
        <f t="shared" si="3"/>
        <v>0.58436600212007761</v>
      </c>
      <c r="D201">
        <f t="shared" si="4"/>
        <v>-0.50196794292581881</v>
      </c>
      <c r="E201">
        <f t="shared" si="5"/>
        <v>-0.42353223947733132</v>
      </c>
    </row>
    <row r="202" spans="1:7" x14ac:dyDescent="0.25">
      <c r="A202" s="1">
        <v>1856</v>
      </c>
      <c r="B202">
        <v>-0.39</v>
      </c>
      <c r="C202" s="11">
        <f t="shared" si="3"/>
        <v>0.56570426095277071</v>
      </c>
      <c r="D202">
        <f t="shared" si="4"/>
        <v>-0.68940615604194677</v>
      </c>
      <c r="E202">
        <f t="shared" si="5"/>
        <v>-0.63551744078978212</v>
      </c>
    </row>
    <row r="203" spans="1:7" x14ac:dyDescent="0.25">
      <c r="A203" s="1">
        <v>1857</v>
      </c>
      <c r="B203">
        <v>-0.50508299999999995</v>
      </c>
      <c r="C203" s="11">
        <f t="shared" si="3"/>
        <v>0.54888251889497042</v>
      </c>
      <c r="D203">
        <f t="shared" si="4"/>
        <v>-0.92020237958543627</v>
      </c>
      <c r="E203">
        <f t="shared" si="5"/>
        <v>-0.77487775950565962</v>
      </c>
    </row>
    <row r="204" spans="1:7" x14ac:dyDescent="0.25">
      <c r="A204" s="1">
        <v>1858</v>
      </c>
      <c r="B204">
        <v>-0.52916700000000005</v>
      </c>
      <c r="C204" s="11">
        <f t="shared" si="3"/>
        <v>0.53381431195884943</v>
      </c>
      <c r="D204">
        <f t="shared" si="4"/>
        <v>-0.9912941413245443</v>
      </c>
      <c r="E204">
        <f t="shared" si="5"/>
        <v>-0.84239041034042639</v>
      </c>
    </row>
    <row r="205" spans="1:7" x14ac:dyDescent="0.25">
      <c r="A205" s="1">
        <v>1859</v>
      </c>
      <c r="B205">
        <v>-0.40891699999999997</v>
      </c>
      <c r="C205" s="11">
        <f t="shared" si="3"/>
        <v>0.52041552681475878</v>
      </c>
      <c r="D205">
        <f t="shared" si="4"/>
        <v>-0.78575096039660142</v>
      </c>
      <c r="E205">
        <f t="shared" si="5"/>
        <v>-0.61750225188158703</v>
      </c>
    </row>
    <row r="206" spans="1:7" x14ac:dyDescent="0.25">
      <c r="A206" s="1">
        <v>1860</v>
      </c>
      <c r="B206">
        <v>-0.317</v>
      </c>
      <c r="C206" s="11">
        <f t="shared" si="3"/>
        <v>0.50860422942787409</v>
      </c>
      <c r="D206">
        <f t="shared" si="4"/>
        <v>-0.6232744079941912</v>
      </c>
      <c r="E206">
        <f t="shared" si="5"/>
        <v>-0.61186075967587572</v>
      </c>
    </row>
    <row r="207" spans="1:7" x14ac:dyDescent="0.25">
      <c r="A207" s="1">
        <v>1861</v>
      </c>
      <c r="B207">
        <v>-0.41866700000000001</v>
      </c>
      <c r="C207" s="11">
        <f t="shared" si="3"/>
        <v>0.49830075446516275</v>
      </c>
      <c r="D207">
        <f t="shared" si="4"/>
        <v>-0.84018937609148225</v>
      </c>
      <c r="E207">
        <f t="shared" si="5"/>
        <v>-0.72053352702495232</v>
      </c>
    </row>
    <row r="208" spans="1:7" x14ac:dyDescent="0.25">
      <c r="A208" s="1">
        <v>1862</v>
      </c>
      <c r="B208">
        <v>-0.49208299999999999</v>
      </c>
      <c r="C208" s="11">
        <f t="shared" si="3"/>
        <v>0.48942758608609438</v>
      </c>
      <c r="D208">
        <f t="shared" si="4"/>
        <v>-1.0054255501516387</v>
      </c>
      <c r="E208">
        <f t="shared" si="5"/>
        <v>-0.90621871060766335</v>
      </c>
    </row>
    <row r="209" spans="1:5" x14ac:dyDescent="0.25">
      <c r="A209" s="1">
        <v>1863</v>
      </c>
      <c r="B209">
        <v>-0.44766699999999998</v>
      </c>
      <c r="C209" s="11">
        <f t="shared" si="3"/>
        <v>0.48190940264612436</v>
      </c>
      <c r="D209">
        <f t="shared" si="4"/>
        <v>-0.92894431513869158</v>
      </c>
      <c r="E209">
        <f t="shared" si="5"/>
        <v>-0.71527889374847109</v>
      </c>
    </row>
    <row r="210" spans="1:5" x14ac:dyDescent="0.25">
      <c r="A210" s="1">
        <v>1864</v>
      </c>
      <c r="B210">
        <v>-0.40749999999999997</v>
      </c>
      <c r="C210" s="11">
        <f t="shared" si="3"/>
        <v>0.47567305434495211</v>
      </c>
      <c r="D210">
        <f t="shared" si="4"/>
        <v>-0.85668085731946064</v>
      </c>
      <c r="E210">
        <f t="shared" si="5"/>
        <v>-0.80959997869681699</v>
      </c>
    </row>
    <row r="211" spans="1:5" x14ac:dyDescent="0.25">
      <c r="A211" s="1">
        <v>1865</v>
      </c>
      <c r="B211">
        <v>-0.25708300000000001</v>
      </c>
      <c r="C211" s="11">
        <f t="shared" si="3"/>
        <v>0.47064743656665087</v>
      </c>
      <c r="D211">
        <f t="shared" si="4"/>
        <v>-0.54623265745460636</v>
      </c>
      <c r="E211">
        <f t="shared" si="5"/>
        <v>-0.49664768679277049</v>
      </c>
    </row>
    <row r="212" spans="1:5" x14ac:dyDescent="0.25">
      <c r="A212" s="1">
        <v>1866</v>
      </c>
      <c r="B212">
        <v>-0.26658300000000001</v>
      </c>
      <c r="C212" s="11">
        <f t="shared" si="3"/>
        <v>0.46676357928663492</v>
      </c>
      <c r="D212">
        <f t="shared" si="4"/>
        <v>-0.5711306790633166</v>
      </c>
      <c r="E212">
        <f t="shared" si="5"/>
        <v>-0.50664028213495471</v>
      </c>
    </row>
    <row r="213" spans="1:5" x14ac:dyDescent="0.25">
      <c r="A213" s="1">
        <v>1867</v>
      </c>
      <c r="B213">
        <v>-0.22733300000000001</v>
      </c>
      <c r="C213" s="11">
        <f t="shared" si="3"/>
        <v>0.4639545576646924</v>
      </c>
      <c r="D213">
        <f t="shared" si="4"/>
        <v>-0.48998979801874759</v>
      </c>
      <c r="E213">
        <f t="shared" si="5"/>
        <v>-0.49794368659331079</v>
      </c>
    </row>
    <row r="214" spans="1:5" x14ac:dyDescent="0.25">
      <c r="A214" s="1">
        <v>1868</v>
      </c>
      <c r="B214">
        <v>-0.192667</v>
      </c>
      <c r="C214" s="11">
        <f t="shared" si="3"/>
        <v>0.46215544734150171</v>
      </c>
      <c r="D214">
        <f t="shared" si="4"/>
        <v>-0.41688786988944021</v>
      </c>
      <c r="E214">
        <f t="shared" si="5"/>
        <v>-0.39202881762150255</v>
      </c>
    </row>
    <row r="215" spans="1:5" x14ac:dyDescent="0.25">
      <c r="A215" s="1">
        <v>1869</v>
      </c>
      <c r="B215">
        <v>-0.28149999999999997</v>
      </c>
      <c r="C215" s="11">
        <f t="shared" si="3"/>
        <v>0.46130338776856661</v>
      </c>
      <c r="D215">
        <f t="shared" si="4"/>
        <v>-0.61022747168990443</v>
      </c>
      <c r="E215">
        <f t="shared" si="5"/>
        <v>-0.52149400489983211</v>
      </c>
    </row>
    <row r="216" spans="1:5" x14ac:dyDescent="0.25">
      <c r="A216" s="1">
        <v>1870</v>
      </c>
      <c r="B216">
        <v>-0.23658299999999999</v>
      </c>
      <c r="C216" s="11">
        <f t="shared" si="3"/>
        <v>0.46133742947131395</v>
      </c>
      <c r="D216">
        <f t="shared" si="4"/>
        <v>-0.51281986868293061</v>
      </c>
      <c r="E216">
        <f t="shared" si="5"/>
        <v>-0.49786460676488065</v>
      </c>
    </row>
    <row r="217" spans="1:5" x14ac:dyDescent="0.25">
      <c r="A217" s="1">
        <v>1871</v>
      </c>
      <c r="B217">
        <v>-0.26966699999999999</v>
      </c>
      <c r="C217" s="11">
        <f t="shared" si="3"/>
        <v>0.46219861600548029</v>
      </c>
      <c r="D217">
        <f t="shared" si="4"/>
        <v>-0.58344397984264529</v>
      </c>
      <c r="E217">
        <f t="shared" si="5"/>
        <v>-0.58331522568827809</v>
      </c>
    </row>
    <row r="218" spans="1:5" x14ac:dyDescent="0.25">
      <c r="A218" s="1">
        <v>1872</v>
      </c>
      <c r="B218">
        <v>-0.28125</v>
      </c>
      <c r="C218" s="11">
        <f t="shared" si="3"/>
        <v>0.46382988709956408</v>
      </c>
      <c r="D218">
        <f t="shared" si="4"/>
        <v>-0.60636454834491482</v>
      </c>
      <c r="E218">
        <f t="shared" si="5"/>
        <v>-0.52044289932488952</v>
      </c>
    </row>
    <row r="219" spans="1:5" x14ac:dyDescent="0.25">
      <c r="A219" s="1">
        <v>1873</v>
      </c>
      <c r="B219">
        <v>-0.33</v>
      </c>
      <c r="C219" s="11">
        <f t="shared" si="3"/>
        <v>0.4661760563030839</v>
      </c>
      <c r="D219">
        <f t="shared" si="4"/>
        <v>-0.7078870644215387</v>
      </c>
      <c r="E219">
        <f t="shared" si="5"/>
        <v>-0.61064888573929244</v>
      </c>
    </row>
    <row r="220" spans="1:5" x14ac:dyDescent="0.25">
      <c r="A220" s="1">
        <v>1874</v>
      </c>
      <c r="B220">
        <v>-0.41483300000000001</v>
      </c>
      <c r="C220" s="11">
        <f t="shared" si="3"/>
        <v>0.46918386314064264</v>
      </c>
      <c r="D220">
        <f t="shared" si="4"/>
        <v>-0.88415871173226945</v>
      </c>
      <c r="E220">
        <f t="shared" si="5"/>
        <v>-0.76016175532991126</v>
      </c>
    </row>
    <row r="221" spans="1:5" x14ac:dyDescent="0.25">
      <c r="A221" s="1">
        <v>1875</v>
      </c>
      <c r="B221">
        <v>-0.29333300000000001</v>
      </c>
      <c r="C221" s="11">
        <f t="shared" si="3"/>
        <v>0.47280180919915438</v>
      </c>
      <c r="D221">
        <f t="shared" si="4"/>
        <v>-0.62041429261206948</v>
      </c>
      <c r="E221">
        <f t="shared" si="5"/>
        <v>-0.68554414775456929</v>
      </c>
    </row>
    <row r="222" spans="1:5" x14ac:dyDescent="0.25">
      <c r="A222" s="1">
        <v>1876</v>
      </c>
      <c r="B222">
        <v>-0.39408300000000002</v>
      </c>
      <c r="C222" s="11">
        <f t="shared" si="3"/>
        <v>0.47698025498539209</v>
      </c>
      <c r="D222">
        <f t="shared" si="4"/>
        <v>-0.8262040113422916</v>
      </c>
      <c r="E222">
        <f t="shared" si="5"/>
        <v>-0.7223248480530271</v>
      </c>
    </row>
    <row r="223" spans="1:5" x14ac:dyDescent="0.25">
      <c r="A223" s="1">
        <v>1877</v>
      </c>
      <c r="B223">
        <v>-5.7583299999999997E-2</v>
      </c>
      <c r="C223" s="11">
        <f t="shared" si="3"/>
        <v>0.48167133051902056</v>
      </c>
      <c r="D223">
        <f t="shared" si="4"/>
        <v>-0.11954894624504979</v>
      </c>
      <c r="E223">
        <f t="shared" si="5"/>
        <v>-0.16102882183398534</v>
      </c>
    </row>
    <row r="224" spans="1:5" x14ac:dyDescent="0.25">
      <c r="A224" s="1">
        <v>1878</v>
      </c>
      <c r="B224">
        <v>2.5000000000000001E-4</v>
      </c>
      <c r="C224" s="11">
        <f t="shared" si="3"/>
        <v>0.48682891298085451</v>
      </c>
      <c r="D224">
        <f t="shared" si="4"/>
        <v>5.1352742890566929E-4</v>
      </c>
      <c r="E224">
        <f t="shared" si="5"/>
        <v>-9.640395525476974E-3</v>
      </c>
    </row>
    <row r="225" spans="1:5" x14ac:dyDescent="0.25">
      <c r="A225" s="1">
        <v>1879</v>
      </c>
      <c r="B225">
        <v>-0.245833</v>
      </c>
      <c r="C225" s="11">
        <f t="shared" si="3"/>
        <v>0.49240859691053629</v>
      </c>
      <c r="D225">
        <f t="shared" si="4"/>
        <v>-0.49924595456375509</v>
      </c>
      <c r="E225">
        <f t="shared" si="5"/>
        <v>-0.50988055774026608</v>
      </c>
    </row>
    <row r="226" spans="1:5" x14ac:dyDescent="0.25">
      <c r="A226" s="1">
        <v>1880</v>
      </c>
      <c r="B226">
        <v>-0.24725</v>
      </c>
      <c r="C226" s="11">
        <f t="shared" si="3"/>
        <v>0.49836770910769701</v>
      </c>
      <c r="D226">
        <f t="shared" si="4"/>
        <v>-0.49611962308450724</v>
      </c>
      <c r="E226">
        <f t="shared" si="5"/>
        <v>-0.45260900239000007</v>
      </c>
    </row>
    <row r="227" spans="1:5" x14ac:dyDescent="0.25">
      <c r="A227" s="1">
        <v>1881</v>
      </c>
      <c r="B227">
        <v>-0.21675</v>
      </c>
      <c r="C227" s="11">
        <f t="shared" si="3"/>
        <v>0.50466521922498941</v>
      </c>
      <c r="D227">
        <f t="shared" si="4"/>
        <v>-0.42949264530823295</v>
      </c>
      <c r="E227">
        <f t="shared" si="5"/>
        <v>-0.43993477816884541</v>
      </c>
    </row>
    <row r="228" spans="1:5" x14ac:dyDescent="0.25">
      <c r="A228" s="1">
        <v>1882</v>
      </c>
      <c r="B228">
        <v>-0.27066699999999999</v>
      </c>
      <c r="C228" s="11">
        <f t="shared" si="3"/>
        <v>0.51126174349337816</v>
      </c>
      <c r="D228">
        <f t="shared" si="4"/>
        <v>-0.5294098442621018</v>
      </c>
      <c r="E228">
        <f t="shared" si="5"/>
        <v>-0.47547191942609224</v>
      </c>
    </row>
    <row r="229" spans="1:5" x14ac:dyDescent="0.25">
      <c r="A229" s="1">
        <v>1883</v>
      </c>
      <c r="B229">
        <v>-0.26174999999999998</v>
      </c>
      <c r="C229" s="11">
        <f t="shared" si="3"/>
        <v>0.51811951119452715</v>
      </c>
      <c r="D229">
        <f t="shared" si="4"/>
        <v>-0.50519232405769476</v>
      </c>
      <c r="E229">
        <f t="shared" si="5"/>
        <v>-0.53092248008096332</v>
      </c>
    </row>
    <row r="230" spans="1:5" x14ac:dyDescent="0.25">
      <c r="A230" s="1">
        <v>1884</v>
      </c>
      <c r="B230">
        <v>-0.32066699999999998</v>
      </c>
      <c r="C230" s="11">
        <f t="shared" si="3"/>
        <v>0.5252023646607995</v>
      </c>
      <c r="D230">
        <f t="shared" si="4"/>
        <v>-0.610558941803512</v>
      </c>
      <c r="E230">
        <f t="shared" si="5"/>
        <v>-0.62953684868049353</v>
      </c>
    </row>
    <row r="231" spans="1:5" x14ac:dyDescent="0.25">
      <c r="A231" s="1">
        <v>1885</v>
      </c>
      <c r="B231">
        <v>-0.29908299999999999</v>
      </c>
      <c r="C231" s="11">
        <f t="shared" si="3"/>
        <v>0.53247567731887102</v>
      </c>
      <c r="D231">
        <f t="shared" si="4"/>
        <v>-0.56168387165766309</v>
      </c>
      <c r="E231">
        <f t="shared" si="5"/>
        <v>-0.59174211887694073</v>
      </c>
    </row>
    <row r="232" spans="1:5" x14ac:dyDescent="0.25">
      <c r="A232" s="1">
        <v>1886</v>
      </c>
      <c r="B232">
        <v>-0.22</v>
      </c>
      <c r="C232" s="11">
        <f t="shared" si="3"/>
        <v>0.53990636859089136</v>
      </c>
      <c r="D232">
        <f t="shared" si="4"/>
        <v>-0.40747806063888609</v>
      </c>
      <c r="E232">
        <f t="shared" si="5"/>
        <v>-0.44605442305360909</v>
      </c>
    </row>
    <row r="233" spans="1:5" x14ac:dyDescent="0.25">
      <c r="A233" s="1">
        <v>1887</v>
      </c>
      <c r="B233">
        <v>-0.348333</v>
      </c>
      <c r="C233" s="11">
        <f t="shared" si="3"/>
        <v>0.54746288154274225</v>
      </c>
      <c r="D233">
        <f t="shared" si="4"/>
        <v>-0.63626779411674961</v>
      </c>
      <c r="E233">
        <f t="shared" si="5"/>
        <v>-0.61659106382289219</v>
      </c>
    </row>
    <row r="234" spans="1:5" x14ac:dyDescent="0.25">
      <c r="A234" s="1">
        <v>1888</v>
      </c>
      <c r="B234">
        <v>-0.25324999999999998</v>
      </c>
      <c r="C234" s="11">
        <f t="shared" si="3"/>
        <v>0.55511509347707033</v>
      </c>
      <c r="D234">
        <f t="shared" si="4"/>
        <v>-0.45621169911579923</v>
      </c>
      <c r="E234">
        <f t="shared" si="5"/>
        <v>-0.50537780637221741</v>
      </c>
    </row>
    <row r="235" spans="1:5" x14ac:dyDescent="0.25">
      <c r="A235" s="1">
        <v>1889</v>
      </c>
      <c r="B235">
        <v>-0.16308300000000001</v>
      </c>
      <c r="C235" s="11">
        <f t="shared" si="3"/>
        <v>0.56283437553793192</v>
      </c>
      <c r="D235">
        <f t="shared" si="4"/>
        <v>-0.28975309094106516</v>
      </c>
      <c r="E235">
        <f t="shared" si="5"/>
        <v>-0.29366719456815626</v>
      </c>
    </row>
    <row r="236" spans="1:5" x14ac:dyDescent="0.25">
      <c r="A236" s="1">
        <v>1890</v>
      </c>
      <c r="B236">
        <v>-0.44574999999999998</v>
      </c>
      <c r="C236" s="11">
        <f t="shared" si="3"/>
        <v>0.57059348840266466</v>
      </c>
      <c r="D236">
        <f t="shared" si="4"/>
        <v>-0.78120414806668226</v>
      </c>
      <c r="E236">
        <f t="shared" si="5"/>
        <v>-0.68496151512734438</v>
      </c>
    </row>
    <row r="237" spans="1:5" x14ac:dyDescent="0.25">
      <c r="A237" s="1">
        <v>1891</v>
      </c>
      <c r="B237">
        <v>-0.309917</v>
      </c>
      <c r="C237" s="11">
        <f t="shared" si="3"/>
        <v>0.57836661208420992</v>
      </c>
      <c r="D237">
        <f t="shared" si="4"/>
        <v>-0.5358487048261289</v>
      </c>
      <c r="E237">
        <f t="shared" si="5"/>
        <v>-0.54265915042655144</v>
      </c>
    </row>
    <row r="238" spans="1:5" x14ac:dyDescent="0.25">
      <c r="A238" s="1">
        <v>1892</v>
      </c>
      <c r="B238">
        <v>-0.44450000000000001</v>
      </c>
      <c r="C238" s="11">
        <f t="shared" si="3"/>
        <v>0.58612928632646799</v>
      </c>
      <c r="D238">
        <f t="shared" si="4"/>
        <v>-0.7583651088071004</v>
      </c>
      <c r="E238">
        <f t="shared" si="5"/>
        <v>-0.72017265725304125</v>
      </c>
    </row>
    <row r="239" spans="1:5" x14ac:dyDescent="0.25">
      <c r="A239" s="1">
        <v>1893</v>
      </c>
      <c r="B239">
        <v>-0.42241699999999999</v>
      </c>
      <c r="C239" s="11">
        <f t="shared" si="3"/>
        <v>0.59385838825255632</v>
      </c>
      <c r="D239">
        <f t="shared" si="4"/>
        <v>-0.71130930935062309</v>
      </c>
      <c r="E239">
        <f t="shared" si="5"/>
        <v>-0.70696617963894237</v>
      </c>
    </row>
    <row r="240" spans="1:5" x14ac:dyDescent="0.25">
      <c r="A240" s="1">
        <v>1894</v>
      </c>
      <c r="B240">
        <v>-0.46274999999999999</v>
      </c>
      <c r="C240" s="11">
        <f t="shared" si="3"/>
        <v>0.60153212491422892</v>
      </c>
      <c r="D240">
        <f t="shared" si="4"/>
        <v>-0.76928559728374013</v>
      </c>
      <c r="E240">
        <f t="shared" si="5"/>
        <v>-0.68198527407145548</v>
      </c>
    </row>
    <row r="241" spans="1:5" x14ac:dyDescent="0.25">
      <c r="A241" s="1">
        <v>1895</v>
      </c>
      <c r="B241">
        <v>-0.34675</v>
      </c>
      <c r="C241" s="11">
        <f t="shared" si="3"/>
        <v>0.60912994388490915</v>
      </c>
      <c r="D241">
        <f t="shared" si="4"/>
        <v>-0.569254562973046</v>
      </c>
      <c r="E241">
        <f t="shared" si="5"/>
        <v>-0.57229823971086269</v>
      </c>
    </row>
    <row r="242" spans="1:5" x14ac:dyDescent="0.25">
      <c r="A242" s="1">
        <v>1896</v>
      </c>
      <c r="B242">
        <v>-0.156333</v>
      </c>
      <c r="C242" s="11">
        <f t="shared" si="3"/>
        <v>0.61663260776549578</v>
      </c>
      <c r="D242">
        <f t="shared" si="4"/>
        <v>-0.25352697543275743</v>
      </c>
      <c r="E242">
        <f t="shared" si="5"/>
        <v>-0.30115165255725773</v>
      </c>
    </row>
    <row r="243" spans="1:5" x14ac:dyDescent="0.25">
      <c r="A243" s="1">
        <v>1897</v>
      </c>
      <c r="B243">
        <v>-0.20733299999999999</v>
      </c>
      <c r="C243" s="11">
        <f t="shared" si="3"/>
        <v>0.62402206752449274</v>
      </c>
      <c r="D243">
        <f t="shared" si="4"/>
        <v>-0.33225267308653667</v>
      </c>
      <c r="E243">
        <f t="shared" si="5"/>
        <v>-0.331091897891441</v>
      </c>
    </row>
    <row r="244" spans="1:5" x14ac:dyDescent="0.25">
      <c r="A244" s="1">
        <v>1898</v>
      </c>
      <c r="B244">
        <v>-0.42708299999999999</v>
      </c>
      <c r="C244" s="11">
        <f t="shared" si="3"/>
        <v>0.631281484849751</v>
      </c>
      <c r="D244">
        <f t="shared" si="4"/>
        <v>-0.67653338526417972</v>
      </c>
      <c r="E244">
        <f t="shared" si="5"/>
        <v>-0.59063527353756751</v>
      </c>
    </row>
    <row r="245" spans="1:5" x14ac:dyDescent="0.25">
      <c r="A245" s="1">
        <v>1899</v>
      </c>
      <c r="B245">
        <v>-0.313083</v>
      </c>
      <c r="C245" s="11">
        <f t="shared" si="3"/>
        <v>0.638395213522017</v>
      </c>
      <c r="D245">
        <f t="shared" si="4"/>
        <v>-0.49042191007781166</v>
      </c>
      <c r="E245">
        <f t="shared" si="5"/>
        <v>-0.44278798615524628</v>
      </c>
    </row>
    <row r="246" spans="1:5" x14ac:dyDescent="0.25">
      <c r="A246" s="1">
        <v>1900</v>
      </c>
      <c r="B246">
        <v>-0.22683300000000001</v>
      </c>
      <c r="C246" s="11">
        <f t="shared" si="3"/>
        <v>0.64534874353557825</v>
      </c>
      <c r="D246">
        <f t="shared" si="4"/>
        <v>-0.35148902399233484</v>
      </c>
      <c r="E246">
        <f t="shared" si="5"/>
        <v>-0.30886220703455769</v>
      </c>
    </row>
    <row r="247" spans="1:5" x14ac:dyDescent="0.25">
      <c r="A247" s="1">
        <v>1901</v>
      </c>
      <c r="B247">
        <v>-0.35175000000000001</v>
      </c>
      <c r="C247" s="11">
        <f t="shared" si="3"/>
        <v>0.65212867874652147</v>
      </c>
      <c r="D247">
        <f t="shared" si="4"/>
        <v>-0.53938741150919867</v>
      </c>
      <c r="E247">
        <f t="shared" si="5"/>
        <v>-0.43818599217153104</v>
      </c>
    </row>
    <row r="248" spans="1:5" x14ac:dyDescent="0.25">
      <c r="A248" s="1">
        <v>1902</v>
      </c>
      <c r="B248">
        <v>-0.43383300000000002</v>
      </c>
      <c r="C248" s="11">
        <f t="shared" si="3"/>
        <v>0.65872271452099085</v>
      </c>
      <c r="D248">
        <f t="shared" si="4"/>
        <v>-0.65859729812941725</v>
      </c>
      <c r="E248">
        <f t="shared" si="5"/>
        <v>-0.59010501167188623</v>
      </c>
    </row>
    <row r="249" spans="1:5" x14ac:dyDescent="0.25">
      <c r="A249" s="1">
        <v>1903</v>
      </c>
      <c r="B249">
        <v>-0.53716699999999995</v>
      </c>
      <c r="C249" s="11">
        <f t="shared" si="3"/>
        <v>0.66511963028460741</v>
      </c>
      <c r="D249">
        <f t="shared" si="4"/>
        <v>-0.80762463704483356</v>
      </c>
      <c r="E249">
        <f t="shared" si="5"/>
        <v>-0.69620442230183177</v>
      </c>
    </row>
    <row r="250" spans="1:5" x14ac:dyDescent="0.25">
      <c r="A250" s="1">
        <v>1904</v>
      </c>
      <c r="B250">
        <v>-0.56216699999999997</v>
      </c>
      <c r="C250" s="11">
        <f t="shared" si="3"/>
        <v>0.67130921501666307</v>
      </c>
      <c r="D250">
        <f t="shared" si="4"/>
        <v>-0.83741886365442786</v>
      </c>
      <c r="E250">
        <f t="shared" si="5"/>
        <v>-0.75546896319464385</v>
      </c>
    </row>
    <row r="251" spans="1:5" x14ac:dyDescent="0.25">
      <c r="A251" s="1">
        <v>1905</v>
      </c>
      <c r="B251">
        <v>-0.42083300000000001</v>
      </c>
      <c r="C251" s="11">
        <f t="shared" si="3"/>
        <v>0.67728228960186243</v>
      </c>
      <c r="D251">
        <f t="shared" si="4"/>
        <v>-0.62135538823462366</v>
      </c>
      <c r="E251">
        <f t="shared" si="5"/>
        <v>-0.56707075564658271</v>
      </c>
    </row>
    <row r="252" spans="1:5" x14ac:dyDescent="0.25">
      <c r="A252" s="1">
        <v>1906</v>
      </c>
      <c r="B252">
        <v>-0.3725</v>
      </c>
      <c r="C252" s="11">
        <f t="shared" si="3"/>
        <v>0.68303062487393618</v>
      </c>
      <c r="D252">
        <f t="shared" si="4"/>
        <v>-0.54536354071788595</v>
      </c>
      <c r="E252">
        <f t="shared" si="5"/>
        <v>-0.45439154390969899</v>
      </c>
    </row>
    <row r="253" spans="1:5" x14ac:dyDescent="0.25">
      <c r="A253" s="1">
        <v>1907</v>
      </c>
      <c r="B253">
        <v>-0.46391700000000002</v>
      </c>
      <c r="C253" s="11">
        <f t="shared" si="3"/>
        <v>0.6885469937697053</v>
      </c>
      <c r="D253">
        <f t="shared" si="4"/>
        <v>-0.67376229102405161</v>
      </c>
      <c r="E253">
        <f t="shared" si="5"/>
        <v>-0.66194122662707655</v>
      </c>
    </row>
    <row r="254" spans="1:5" x14ac:dyDescent="0.25">
      <c r="A254" s="1">
        <v>1908</v>
      </c>
      <c r="B254">
        <v>-0.57683300000000004</v>
      </c>
      <c r="C254" s="11">
        <f t="shared" si="3"/>
        <v>0.6938250744715333</v>
      </c>
      <c r="D254">
        <f t="shared" si="4"/>
        <v>-0.8313810227157864</v>
      </c>
      <c r="E254">
        <f t="shared" si="5"/>
        <v>-0.73354052612820841</v>
      </c>
    </row>
    <row r="255" spans="1:5" x14ac:dyDescent="0.25">
      <c r="A255" s="1">
        <v>1909</v>
      </c>
      <c r="B255">
        <v>-0.58741699999999997</v>
      </c>
      <c r="C255" s="11">
        <f t="shared" si="3"/>
        <v>0.69885941315442324</v>
      </c>
      <c r="D255">
        <f t="shared" si="4"/>
        <v>-0.84053672161127713</v>
      </c>
      <c r="E255">
        <f t="shared" si="5"/>
        <v>-0.73670607234400665</v>
      </c>
    </row>
    <row r="256" spans="1:5" x14ac:dyDescent="0.25">
      <c r="A256" s="1">
        <v>1910</v>
      </c>
      <c r="B256">
        <v>-0.61475000000000002</v>
      </c>
      <c r="C256" s="11">
        <f t="shared" si="3"/>
        <v>0.70364548359066248</v>
      </c>
      <c r="D256">
        <f t="shared" si="4"/>
        <v>-0.87366438687699111</v>
      </c>
      <c r="E256">
        <f t="shared" si="5"/>
        <v>-0.7209317146826637</v>
      </c>
    </row>
    <row r="257" spans="1:5" x14ac:dyDescent="0.25">
      <c r="A257" s="1">
        <v>1911</v>
      </c>
      <c r="B257">
        <v>-0.59141699999999997</v>
      </c>
      <c r="C257" s="11">
        <f t="shared" si="3"/>
        <v>0.70817953813821077</v>
      </c>
      <c r="D257">
        <f t="shared" si="4"/>
        <v>-0.83512297115336442</v>
      </c>
      <c r="E257">
        <f t="shared" si="5"/>
        <v>-0.72261573951888869</v>
      </c>
    </row>
    <row r="258" spans="1:5" x14ac:dyDescent="0.25">
      <c r="A258" s="1">
        <v>1912</v>
      </c>
      <c r="B258">
        <v>-0.47558299999999998</v>
      </c>
      <c r="C258" s="11">
        <f t="shared" si="3"/>
        <v>0.7124587083235383</v>
      </c>
      <c r="D258">
        <f t="shared" si="4"/>
        <v>-0.66752359742935519</v>
      </c>
      <c r="E258">
        <f t="shared" si="5"/>
        <v>-0.6123683241748421</v>
      </c>
    </row>
    <row r="259" spans="1:5" x14ac:dyDescent="0.25">
      <c r="A259" s="1">
        <v>1913</v>
      </c>
      <c r="B259">
        <v>-0.52249999999999996</v>
      </c>
      <c r="C259" s="11">
        <f t="shared" si="3"/>
        <v>0.71648089680820704</v>
      </c>
      <c r="D259">
        <f t="shared" si="4"/>
        <v>-0.72925880135484855</v>
      </c>
      <c r="E259">
        <f t="shared" si="5"/>
        <v>-0.61932217896194242</v>
      </c>
    </row>
    <row r="260" spans="1:5" x14ac:dyDescent="0.25">
      <c r="A260" s="1">
        <v>1914</v>
      </c>
      <c r="B260">
        <v>-0.35683300000000001</v>
      </c>
      <c r="C260" s="11">
        <f t="shared" si="3"/>
        <v>0.72024472523480654</v>
      </c>
      <c r="D260">
        <f t="shared" si="4"/>
        <v>-0.4954329931172618</v>
      </c>
      <c r="E260">
        <f t="shared" si="5"/>
        <v>-0.38435835511325589</v>
      </c>
    </row>
    <row r="261" spans="1:5" x14ac:dyDescent="0.25">
      <c r="A261" s="1">
        <v>1915</v>
      </c>
      <c r="B261">
        <v>-0.250083</v>
      </c>
      <c r="C261" s="11">
        <f t="shared" si="3"/>
        <v>0.72374959383159876</v>
      </c>
      <c r="D261">
        <f t="shared" si="4"/>
        <v>-0.3455380177500853</v>
      </c>
      <c r="E261">
        <f t="shared" si="5"/>
        <v>-0.28590792260256054</v>
      </c>
    </row>
    <row r="262" spans="1:5" x14ac:dyDescent="0.25">
      <c r="A262" s="1">
        <v>1916</v>
      </c>
      <c r="B262">
        <v>-0.44424999999999998</v>
      </c>
      <c r="C262" s="11">
        <f t="shared" ref="C262:C325" si="6">-2.2979737161E-10*$A262^5 + 0.0000022285768284*$A262^4 - 0.0086436385146*$A262^3 + 16.759480306*$A262^2 - 16244.935412*$A262 + 6297344.9302</f>
        <v>0.72699561435729265</v>
      </c>
      <c r="D262">
        <f t="shared" ref="D262:D325" si="7">+$B262/$C262</f>
        <v>-0.61107658867068049</v>
      </c>
      <c r="E262">
        <f t="shared" ref="E262:E325" si="8">0.71*$D262+0.29*$B443</f>
        <v>-0.54696437795618313</v>
      </c>
    </row>
    <row r="263" spans="1:5" x14ac:dyDescent="0.25">
      <c r="A263" s="1">
        <v>1917</v>
      </c>
      <c r="B263">
        <v>-0.44450000000000001</v>
      </c>
      <c r="C263" s="11">
        <f t="shared" si="6"/>
        <v>0.7299835504963994</v>
      </c>
      <c r="D263">
        <f t="shared" si="7"/>
        <v>-0.6089178306795181</v>
      </c>
      <c r="E263">
        <f t="shared" si="8"/>
        <v>-0.63509008978245785</v>
      </c>
    </row>
    <row r="264" spans="1:5" x14ac:dyDescent="0.25">
      <c r="A264" s="1">
        <v>1918</v>
      </c>
      <c r="B264">
        <v>-0.36658299999999999</v>
      </c>
      <c r="C264" s="11">
        <f t="shared" si="6"/>
        <v>0.73271480295807123</v>
      </c>
      <c r="D264">
        <f t="shared" si="7"/>
        <v>-0.5003078940401553</v>
      </c>
      <c r="E264">
        <f t="shared" si="8"/>
        <v>-0.48260110476851026</v>
      </c>
    </row>
    <row r="265" spans="1:5" x14ac:dyDescent="0.25">
      <c r="A265" s="1">
        <v>1919</v>
      </c>
      <c r="B265">
        <v>-0.35716700000000001</v>
      </c>
      <c r="C265" s="11">
        <f t="shared" si="6"/>
        <v>0.73519144672900438</v>
      </c>
      <c r="D265">
        <f t="shared" si="7"/>
        <v>-0.48581495553178511</v>
      </c>
      <c r="E265">
        <f t="shared" si="8"/>
        <v>-0.43958954842756737</v>
      </c>
    </row>
    <row r="266" spans="1:5" x14ac:dyDescent="0.25">
      <c r="A266" s="1">
        <v>1920</v>
      </c>
      <c r="B266">
        <v>-0.32091700000000001</v>
      </c>
      <c r="C266" s="11">
        <f t="shared" si="6"/>
        <v>0.73741611186414957</v>
      </c>
      <c r="D266">
        <f t="shared" si="7"/>
        <v>-0.43519119644502818</v>
      </c>
      <c r="E266">
        <f t="shared" si="8"/>
        <v>-0.39110417947596998</v>
      </c>
    </row>
    <row r="267" spans="1:5" x14ac:dyDescent="0.25">
      <c r="A267" s="1">
        <v>1921</v>
      </c>
      <c r="B267">
        <v>-0.32</v>
      </c>
      <c r="C267" s="11">
        <f t="shared" si="6"/>
        <v>0.73939200583845377</v>
      </c>
      <c r="D267">
        <f t="shared" si="7"/>
        <v>-0.43278801701017483</v>
      </c>
      <c r="E267">
        <f t="shared" si="8"/>
        <v>-0.33722199207722409</v>
      </c>
    </row>
    <row r="268" spans="1:5" x14ac:dyDescent="0.25">
      <c r="A268" s="1">
        <v>1922</v>
      </c>
      <c r="B268">
        <v>-0.41441699999999998</v>
      </c>
      <c r="C268" s="11">
        <f t="shared" si="6"/>
        <v>0.74112288374453783</v>
      </c>
      <c r="D268">
        <f t="shared" si="7"/>
        <v>-0.55917447577134582</v>
      </c>
      <c r="E268">
        <f t="shared" si="8"/>
        <v>-0.47799637779765553</v>
      </c>
    </row>
    <row r="269" spans="1:5" x14ac:dyDescent="0.25">
      <c r="A269" s="1">
        <v>1923</v>
      </c>
      <c r="B269">
        <v>-0.37783299999999997</v>
      </c>
      <c r="C269" s="11">
        <f t="shared" si="6"/>
        <v>0.7426129961386323</v>
      </c>
      <c r="D269">
        <f t="shared" si="7"/>
        <v>-0.50878856411700268</v>
      </c>
      <c r="E269">
        <f t="shared" si="8"/>
        <v>-0.43622895052307187</v>
      </c>
    </row>
    <row r="270" spans="1:5" x14ac:dyDescent="0.25">
      <c r="A270" s="1">
        <v>1924</v>
      </c>
      <c r="B270">
        <v>-0.35175000000000001</v>
      </c>
      <c r="C270" s="11">
        <f t="shared" si="6"/>
        <v>0.7438671262934804</v>
      </c>
      <c r="D270">
        <f t="shared" si="7"/>
        <v>-0.47286670907570516</v>
      </c>
      <c r="E270">
        <f t="shared" si="8"/>
        <v>-0.43433536344375068</v>
      </c>
    </row>
    <row r="271" spans="1:5" x14ac:dyDescent="0.25">
      <c r="A271" s="1">
        <v>1925</v>
      </c>
      <c r="B271">
        <v>-0.315417</v>
      </c>
      <c r="C271" s="11">
        <f t="shared" si="6"/>
        <v>0.74489045236259699</v>
      </c>
      <c r="D271">
        <f t="shared" si="7"/>
        <v>-0.42344078783609063</v>
      </c>
      <c r="E271">
        <f t="shared" si="8"/>
        <v>-0.36632795936362433</v>
      </c>
    </row>
    <row r="272" spans="1:5" x14ac:dyDescent="0.25">
      <c r="A272" s="1">
        <v>1926</v>
      </c>
      <c r="B272">
        <v>-0.187667</v>
      </c>
      <c r="C272" s="11">
        <f t="shared" si="6"/>
        <v>0.74568860325962305</v>
      </c>
      <c r="D272">
        <f t="shared" si="7"/>
        <v>-0.25166939548177703</v>
      </c>
      <c r="E272">
        <f t="shared" si="8"/>
        <v>-0.20389111379206168</v>
      </c>
    </row>
    <row r="273" spans="1:5" x14ac:dyDescent="0.25">
      <c r="A273" s="1">
        <v>1927</v>
      </c>
      <c r="B273">
        <v>-0.24249999999999999</v>
      </c>
      <c r="C273" s="11">
        <f t="shared" si="6"/>
        <v>0.74626765120774508</v>
      </c>
      <c r="D273">
        <f t="shared" si="7"/>
        <v>-0.32495043783224786</v>
      </c>
      <c r="E273">
        <f t="shared" si="8"/>
        <v>-0.30234481086089593</v>
      </c>
    </row>
    <row r="274" spans="1:5" x14ac:dyDescent="0.25">
      <c r="A274" s="1">
        <v>1928</v>
      </c>
      <c r="B274">
        <v>-0.26758300000000002</v>
      </c>
      <c r="C274" s="11">
        <f t="shared" si="6"/>
        <v>0.74663399253040552</v>
      </c>
      <c r="D274">
        <f t="shared" si="7"/>
        <v>-0.3583857722485132</v>
      </c>
      <c r="E274">
        <f t="shared" si="8"/>
        <v>-0.30232796829644437</v>
      </c>
    </row>
    <row r="275" spans="1:5" x14ac:dyDescent="0.25">
      <c r="A275" s="1">
        <v>1929</v>
      </c>
      <c r="B275">
        <v>-0.32816699999999999</v>
      </c>
      <c r="C275" s="11">
        <f t="shared" si="6"/>
        <v>0.7467943774536252</v>
      </c>
      <c r="D275">
        <f t="shared" si="7"/>
        <v>-0.43943421363048313</v>
      </c>
      <c r="E275">
        <f t="shared" si="8"/>
        <v>-0.44832236167764294</v>
      </c>
    </row>
    <row r="276" spans="1:5" x14ac:dyDescent="0.25">
      <c r="A276" s="1">
        <v>1930</v>
      </c>
      <c r="B276">
        <v>-0.17150000000000001</v>
      </c>
      <c r="C276" s="11">
        <f t="shared" si="6"/>
        <v>0.74675591010600328</v>
      </c>
      <c r="D276">
        <f t="shared" si="7"/>
        <v>-0.2296600504650245</v>
      </c>
      <c r="E276">
        <f t="shared" si="8"/>
        <v>-0.19706113583016738</v>
      </c>
    </row>
    <row r="277" spans="1:5" x14ac:dyDescent="0.25">
      <c r="A277" s="1">
        <v>1931</v>
      </c>
      <c r="B277">
        <v>-0.13850000000000001</v>
      </c>
      <c r="C277" s="11">
        <f t="shared" si="6"/>
        <v>0.74652595166116953</v>
      </c>
      <c r="D277">
        <f t="shared" si="7"/>
        <v>-0.18552603521928449</v>
      </c>
      <c r="E277">
        <f t="shared" si="8"/>
        <v>-0.16120691500569198</v>
      </c>
    </row>
    <row r="278" spans="1:5" x14ac:dyDescent="0.25">
      <c r="A278" s="1">
        <v>1932</v>
      </c>
      <c r="B278">
        <v>-0.186917</v>
      </c>
      <c r="C278" s="11">
        <f t="shared" si="6"/>
        <v>0.74611215759068727</v>
      </c>
      <c r="D278">
        <f t="shared" si="7"/>
        <v>-0.25052131653179893</v>
      </c>
      <c r="E278">
        <f t="shared" si="8"/>
        <v>-0.20235097773757724</v>
      </c>
    </row>
    <row r="279" spans="1:5" x14ac:dyDescent="0.25">
      <c r="A279" s="1">
        <v>1933</v>
      </c>
      <c r="B279">
        <v>-0.27374999999999999</v>
      </c>
      <c r="C279" s="11">
        <f t="shared" si="6"/>
        <v>0.74552237335592508</v>
      </c>
      <c r="D279">
        <f t="shared" si="7"/>
        <v>-0.3671921994342443</v>
      </c>
      <c r="E279">
        <f t="shared" si="8"/>
        <v>-0.35481146159831345</v>
      </c>
    </row>
    <row r="280" spans="1:5" x14ac:dyDescent="0.25">
      <c r="A280" s="1">
        <v>1934</v>
      </c>
      <c r="B280">
        <v>-0.20574999999999999</v>
      </c>
      <c r="C280" s="11">
        <f t="shared" si="6"/>
        <v>0.7447647238150239</v>
      </c>
      <c r="D280">
        <f t="shared" si="7"/>
        <v>-0.27626174202512555</v>
      </c>
      <c r="E280">
        <f t="shared" si="8"/>
        <v>-0.19945667983783913</v>
      </c>
    </row>
    <row r="281" spans="1:5" x14ac:dyDescent="0.25">
      <c r="A281" s="1">
        <v>1935</v>
      </c>
      <c r="B281">
        <v>-0.188167</v>
      </c>
      <c r="C281" s="11">
        <f t="shared" si="6"/>
        <v>0.74384744185954332</v>
      </c>
      <c r="D281">
        <f t="shared" si="7"/>
        <v>-0.25296450510013391</v>
      </c>
      <c r="E281">
        <f t="shared" si="8"/>
        <v>-0.22711636862109508</v>
      </c>
    </row>
    <row r="282" spans="1:5" x14ac:dyDescent="0.25">
      <c r="A282" s="1">
        <v>1936</v>
      </c>
      <c r="B282">
        <v>-0.155</v>
      </c>
      <c r="C282" s="11">
        <f t="shared" si="6"/>
        <v>0.74277898017317057</v>
      </c>
      <c r="D282">
        <f t="shared" si="7"/>
        <v>-0.20867580281265297</v>
      </c>
      <c r="E282">
        <f t="shared" si="8"/>
        <v>-0.1801082499969836</v>
      </c>
    </row>
    <row r="283" spans="1:5" x14ac:dyDescent="0.25">
      <c r="A283" s="1">
        <v>1937</v>
      </c>
      <c r="B283">
        <v>-1.6500000000000001E-2</v>
      </c>
      <c r="C283" s="11">
        <f t="shared" si="6"/>
        <v>0.74156786222010851</v>
      </c>
      <c r="D283">
        <f t="shared" si="7"/>
        <v>-2.225015516530374E-2</v>
      </c>
      <c r="E283">
        <f t="shared" si="8"/>
        <v>-2.7880953167365656E-2</v>
      </c>
    </row>
    <row r="284" spans="1:5" x14ac:dyDescent="0.25">
      <c r="A284" s="1">
        <v>1938</v>
      </c>
      <c r="B284">
        <v>-5.1499999999999997E-2</v>
      </c>
      <c r="C284" s="11">
        <f t="shared" si="6"/>
        <v>0.74022275302559137</v>
      </c>
      <c r="D284">
        <f t="shared" si="7"/>
        <v>-6.9573651700786762E-2</v>
      </c>
      <c r="E284">
        <f t="shared" si="8"/>
        <v>-2.9972927075586006E-3</v>
      </c>
    </row>
    <row r="285" spans="1:5" x14ac:dyDescent="0.25">
      <c r="A285" s="1">
        <v>1939</v>
      </c>
      <c r="B285">
        <v>-4.9166699999999997E-3</v>
      </c>
      <c r="C285" s="11">
        <f t="shared" si="6"/>
        <v>0.73875237349420786</v>
      </c>
      <c r="D285">
        <f t="shared" si="7"/>
        <v>-6.6553694802288831E-3</v>
      </c>
      <c r="E285">
        <f t="shared" si="8"/>
        <v>-4.1694780309625076E-3</v>
      </c>
    </row>
    <row r="286" spans="1:5" x14ac:dyDescent="0.25">
      <c r="A286" s="1">
        <v>1940</v>
      </c>
      <c r="B286">
        <v>2.1333299999999999E-2</v>
      </c>
      <c r="C286" s="11">
        <f t="shared" si="6"/>
        <v>0.73716547060757875</v>
      </c>
      <c r="D286">
        <f t="shared" si="7"/>
        <v>2.893963546938368E-2</v>
      </c>
      <c r="E286">
        <f t="shared" si="8"/>
        <v>7.3279841832624114E-3</v>
      </c>
    </row>
    <row r="287" spans="1:5" x14ac:dyDescent="0.25">
      <c r="A287" s="1">
        <v>1941</v>
      </c>
      <c r="B287">
        <v>0.13600000000000001</v>
      </c>
      <c r="C287" s="11">
        <f t="shared" si="6"/>
        <v>0.73547085467725992</v>
      </c>
      <c r="D287">
        <f t="shared" si="7"/>
        <v>0.18491555326101899</v>
      </c>
      <c r="E287">
        <f t="shared" si="8"/>
        <v>0.11550919981532347</v>
      </c>
    </row>
    <row r="288" spans="1:5" x14ac:dyDescent="0.25">
      <c r="A288" s="1">
        <v>1942</v>
      </c>
      <c r="B288">
        <v>-1.125E-2</v>
      </c>
      <c r="C288" s="11">
        <f t="shared" si="6"/>
        <v>0.73367728013545275</v>
      </c>
      <c r="D288">
        <f t="shared" si="7"/>
        <v>-1.5333717295870202E-2</v>
      </c>
      <c r="E288">
        <f t="shared" si="8"/>
        <v>-2.4927782280067839E-2</v>
      </c>
    </row>
    <row r="289" spans="1:5" x14ac:dyDescent="0.25">
      <c r="A289" s="1">
        <v>1943</v>
      </c>
      <c r="B289">
        <v>-2.5916700000000001E-2</v>
      </c>
      <c r="C289" s="11">
        <f t="shared" si="6"/>
        <v>0.73179346788674593</v>
      </c>
      <c r="D289">
        <f t="shared" si="7"/>
        <v>-3.5415320219845045E-2</v>
      </c>
      <c r="E289">
        <f t="shared" si="8"/>
        <v>-2.0287377356089979E-2</v>
      </c>
    </row>
    <row r="290" spans="1:5" x14ac:dyDescent="0.25">
      <c r="A290" s="1">
        <v>1944</v>
      </c>
      <c r="B290">
        <v>9.5333299999999996E-2</v>
      </c>
      <c r="C290" s="11">
        <f t="shared" si="6"/>
        <v>0.72982809785753489</v>
      </c>
      <c r="D290">
        <f t="shared" si="7"/>
        <v>0.13062432137082425</v>
      </c>
      <c r="E290">
        <f t="shared" si="8"/>
        <v>0.12505419817328522</v>
      </c>
    </row>
    <row r="291" spans="1:5" x14ac:dyDescent="0.25">
      <c r="A291" s="1">
        <v>1945</v>
      </c>
      <c r="B291">
        <v>5.8083299999999997E-2</v>
      </c>
      <c r="C291" s="11">
        <f t="shared" si="6"/>
        <v>0.72778974194079638</v>
      </c>
      <c r="D291">
        <f t="shared" si="7"/>
        <v>7.9807802518773216E-2</v>
      </c>
      <c r="E291">
        <f t="shared" si="8"/>
        <v>2.2733539788328976E-2</v>
      </c>
    </row>
    <row r="292" spans="1:5" x14ac:dyDescent="0.25">
      <c r="A292" s="1">
        <v>1946</v>
      </c>
      <c r="B292">
        <v>-0.26283299999999998</v>
      </c>
      <c r="C292" s="11">
        <f t="shared" si="6"/>
        <v>0.72568684164434671</v>
      </c>
      <c r="D292">
        <f t="shared" si="7"/>
        <v>-0.36218515331550177</v>
      </c>
      <c r="E292">
        <f t="shared" si="8"/>
        <v>-0.27820061585400624</v>
      </c>
    </row>
    <row r="293" spans="1:5" x14ac:dyDescent="0.25">
      <c r="A293" s="1">
        <v>1947</v>
      </c>
      <c r="B293">
        <v>-0.29383300000000001</v>
      </c>
      <c r="C293" s="11">
        <f t="shared" si="6"/>
        <v>0.72352771554142237</v>
      </c>
      <c r="D293">
        <f t="shared" si="7"/>
        <v>-0.40611160248384143</v>
      </c>
      <c r="E293">
        <f t="shared" si="8"/>
        <v>-0.29174673776352739</v>
      </c>
    </row>
    <row r="294" spans="1:5" x14ac:dyDescent="0.25">
      <c r="A294" s="1">
        <v>1948</v>
      </c>
      <c r="B294">
        <v>-0.29691699999999999</v>
      </c>
      <c r="C294" s="11">
        <f t="shared" si="6"/>
        <v>0.72132047731429338</v>
      </c>
      <c r="D294">
        <f t="shared" si="7"/>
        <v>-0.41162979471415651</v>
      </c>
      <c r="E294">
        <f t="shared" si="8"/>
        <v>-0.29162881994705114</v>
      </c>
    </row>
    <row r="295" spans="1:5" x14ac:dyDescent="0.25">
      <c r="A295" s="1">
        <v>1949</v>
      </c>
      <c r="B295">
        <v>-0.24166699999999999</v>
      </c>
      <c r="C295" s="11">
        <f t="shared" si="6"/>
        <v>0.719073043204844</v>
      </c>
      <c r="D295">
        <f t="shared" si="7"/>
        <v>-0.33608129561207284</v>
      </c>
      <c r="E295">
        <f t="shared" si="8"/>
        <v>-0.27121864988457167</v>
      </c>
    </row>
    <row r="296" spans="1:5" x14ac:dyDescent="0.25">
      <c r="A296" s="1">
        <v>1950</v>
      </c>
      <c r="B296">
        <v>-0.27324999999999999</v>
      </c>
      <c r="C296" s="11">
        <f t="shared" si="6"/>
        <v>0.71679310221225023</v>
      </c>
      <c r="D296">
        <f t="shared" si="7"/>
        <v>-0.38121181573408569</v>
      </c>
      <c r="E296">
        <f t="shared" si="8"/>
        <v>-0.35753945917120084</v>
      </c>
    </row>
    <row r="297" spans="1:5" x14ac:dyDescent="0.25">
      <c r="A297" s="1">
        <v>1951</v>
      </c>
      <c r="B297">
        <v>-0.17458299999999999</v>
      </c>
      <c r="C297" s="11">
        <f t="shared" si="6"/>
        <v>0.71448810119181871</v>
      </c>
      <c r="D297">
        <f t="shared" si="7"/>
        <v>-0.24434696632285785</v>
      </c>
      <c r="E297">
        <f t="shared" si="8"/>
        <v>-0.20267977608922905</v>
      </c>
    </row>
    <row r="298" spans="1:5" x14ac:dyDescent="0.25">
      <c r="A298" s="1">
        <v>1952</v>
      </c>
      <c r="B298">
        <v>-7.4583300000000005E-2</v>
      </c>
      <c r="C298" s="11">
        <f t="shared" si="6"/>
        <v>0.7121651703491807</v>
      </c>
      <c r="D298">
        <f t="shared" si="7"/>
        <v>-0.10472753106337841</v>
      </c>
      <c r="E298">
        <f t="shared" si="8"/>
        <v>-9.3206547054998673E-2</v>
      </c>
    </row>
    <row r="299" spans="1:5" x14ac:dyDescent="0.25">
      <c r="A299" s="1">
        <v>1953</v>
      </c>
      <c r="B299">
        <v>-7.6583300000000007E-2</v>
      </c>
      <c r="C299" s="11">
        <f t="shared" si="6"/>
        <v>0.70983115304261446</v>
      </c>
      <c r="D299">
        <f t="shared" si="7"/>
        <v>-0.10788946029169609</v>
      </c>
      <c r="E299">
        <f t="shared" si="8"/>
        <v>-4.2526516807104231E-2</v>
      </c>
    </row>
    <row r="300" spans="1:5" x14ac:dyDescent="0.25">
      <c r="A300" s="1">
        <v>1954</v>
      </c>
      <c r="B300">
        <v>-0.25916699999999998</v>
      </c>
      <c r="C300" s="11">
        <f t="shared" si="6"/>
        <v>0.70749252382665873</v>
      </c>
      <c r="D300">
        <f t="shared" si="7"/>
        <v>-0.36631765180814541</v>
      </c>
      <c r="E300">
        <f t="shared" si="8"/>
        <v>-0.30387553278378321</v>
      </c>
    </row>
    <row r="301" spans="1:5" x14ac:dyDescent="0.25">
      <c r="A301" s="1">
        <v>1955</v>
      </c>
      <c r="B301">
        <v>-0.30725000000000002</v>
      </c>
      <c r="C301" s="11">
        <f t="shared" si="6"/>
        <v>0.70515540707856417</v>
      </c>
      <c r="D301">
        <f t="shared" si="7"/>
        <v>-0.43571955474740914</v>
      </c>
      <c r="E301">
        <f t="shared" si="8"/>
        <v>-0.36272088387066048</v>
      </c>
    </row>
    <row r="302" spans="1:5" x14ac:dyDescent="0.25">
      <c r="A302" s="1">
        <v>1956</v>
      </c>
      <c r="B302">
        <v>-0.27366699999999999</v>
      </c>
      <c r="C302" s="11">
        <f t="shared" si="6"/>
        <v>0.70282551366835833</v>
      </c>
      <c r="D302">
        <f t="shared" si="7"/>
        <v>-0.3893811403795096</v>
      </c>
      <c r="E302">
        <f t="shared" si="8"/>
        <v>-0.3956746796694518</v>
      </c>
    </row>
    <row r="303" spans="1:5" x14ac:dyDescent="0.25">
      <c r="A303" s="1">
        <v>1957</v>
      </c>
      <c r="B303">
        <v>-5.4416699999999998E-2</v>
      </c>
      <c r="C303" s="11">
        <f t="shared" si="6"/>
        <v>0.70050814840942621</v>
      </c>
      <c r="D303">
        <f t="shared" si="7"/>
        <v>-7.7681751630667761E-2</v>
      </c>
      <c r="E303">
        <f t="shared" si="8"/>
        <v>-7.5671543657774107E-2</v>
      </c>
    </row>
    <row r="304" spans="1:5" x14ac:dyDescent="0.25">
      <c r="A304" s="1">
        <v>1958</v>
      </c>
      <c r="B304">
        <v>-2.3E-2</v>
      </c>
      <c r="C304" s="11">
        <f t="shared" si="6"/>
        <v>0.69820815790444613</v>
      </c>
      <c r="D304">
        <f t="shared" si="7"/>
        <v>-3.2941465578160266E-2</v>
      </c>
      <c r="E304">
        <f t="shared" si="8"/>
        <v>-1.1570940560493787E-2</v>
      </c>
    </row>
    <row r="305" spans="1:5" x14ac:dyDescent="0.25">
      <c r="A305" s="1">
        <v>1959</v>
      </c>
      <c r="B305">
        <v>-7.1499999999999994E-2</v>
      </c>
      <c r="C305" s="11">
        <f t="shared" si="6"/>
        <v>0.69592991564422846</v>
      </c>
      <c r="D305">
        <f t="shared" si="7"/>
        <v>-0.10274023057883898</v>
      </c>
      <c r="E305">
        <f t="shared" si="8"/>
        <v>-6.8450563710975673E-2</v>
      </c>
    </row>
    <row r="306" spans="1:5" x14ac:dyDescent="0.25">
      <c r="A306" s="1">
        <v>1960</v>
      </c>
      <c r="B306">
        <v>-0.10625</v>
      </c>
      <c r="C306" s="11">
        <f t="shared" si="6"/>
        <v>0.69367724750190973</v>
      </c>
      <c r="D306">
        <f t="shared" si="7"/>
        <v>-0.15316921577380624</v>
      </c>
      <c r="E306">
        <f t="shared" si="8"/>
        <v>-0.12982348619940243</v>
      </c>
    </row>
    <row r="307" spans="1:5" x14ac:dyDescent="0.25">
      <c r="A307" s="1">
        <v>1961</v>
      </c>
      <c r="B307">
        <v>-3.5499999999999997E-2</v>
      </c>
      <c r="C307" s="11">
        <f t="shared" si="6"/>
        <v>0.69145351368933916</v>
      </c>
      <c r="D307">
        <f t="shared" si="7"/>
        <v>-5.1341123151699933E-2</v>
      </c>
      <c r="E307">
        <f t="shared" si="8"/>
        <v>-2.4199697437706953E-2</v>
      </c>
    </row>
    <row r="308" spans="1:5" x14ac:dyDescent="0.25">
      <c r="A308" s="1">
        <v>1962</v>
      </c>
      <c r="B308">
        <v>-4.8083300000000002E-2</v>
      </c>
      <c r="C308" s="11">
        <f t="shared" si="6"/>
        <v>0.68926143739372492</v>
      </c>
      <c r="D308">
        <f t="shared" si="7"/>
        <v>-6.9760612434398406E-2</v>
      </c>
      <c r="E308">
        <f t="shared" si="8"/>
        <v>-4.2159191828422864E-2</v>
      </c>
    </row>
    <row r="309" spans="1:5" x14ac:dyDescent="0.25">
      <c r="A309" s="1">
        <v>1963</v>
      </c>
      <c r="B309">
        <v>-2.7916699999999999E-2</v>
      </c>
      <c r="C309" s="11">
        <f t="shared" si="6"/>
        <v>0.68710322398692369</v>
      </c>
      <c r="D309">
        <f t="shared" si="7"/>
        <v>-4.062955757653567E-2</v>
      </c>
      <c r="E309">
        <f t="shared" si="8"/>
        <v>-2.3771985879340325E-2</v>
      </c>
    </row>
    <row r="310" spans="1:5" x14ac:dyDescent="0.25">
      <c r="A310" s="1">
        <v>1964</v>
      </c>
      <c r="B310">
        <v>-0.26</v>
      </c>
      <c r="C310" s="11">
        <f t="shared" si="6"/>
        <v>0.68498040456324816</v>
      </c>
      <c r="D310">
        <f t="shared" si="7"/>
        <v>-0.37957290203911626</v>
      </c>
      <c r="E310">
        <f t="shared" si="8"/>
        <v>-0.35337926044777257</v>
      </c>
    </row>
    <row r="311" spans="1:5" x14ac:dyDescent="0.25">
      <c r="A311" s="1">
        <v>1965</v>
      </c>
      <c r="B311">
        <v>-0.216833</v>
      </c>
      <c r="C311" s="11">
        <f t="shared" si="6"/>
        <v>0.68289388809353113</v>
      </c>
      <c r="D311">
        <f t="shared" si="7"/>
        <v>-0.31752077999313111</v>
      </c>
      <c r="E311">
        <f t="shared" si="8"/>
        <v>-0.29189818379512306</v>
      </c>
    </row>
    <row r="312" spans="1:5" x14ac:dyDescent="0.25">
      <c r="A312" s="1">
        <v>1966</v>
      </c>
      <c r="B312">
        <v>-0.121333</v>
      </c>
      <c r="C312" s="11">
        <f t="shared" si="6"/>
        <v>0.68084390182048082</v>
      </c>
      <c r="D312">
        <f t="shared" si="7"/>
        <v>-0.17820971837387781</v>
      </c>
      <c r="E312">
        <f t="shared" si="8"/>
        <v>-0.17010140004545321</v>
      </c>
    </row>
    <row r="313" spans="1:5" x14ac:dyDescent="0.25">
      <c r="A313" s="1">
        <v>1967</v>
      </c>
      <c r="B313">
        <v>-0.152333</v>
      </c>
      <c r="C313" s="11">
        <f t="shared" si="6"/>
        <v>0.67883000615984201</v>
      </c>
      <c r="D313">
        <f t="shared" si="7"/>
        <v>-0.2244052246036552</v>
      </c>
      <c r="E313">
        <f t="shared" si="8"/>
        <v>-0.18711936646859517</v>
      </c>
    </row>
    <row r="314" spans="1:5" x14ac:dyDescent="0.25">
      <c r="A314" s="1">
        <v>1968</v>
      </c>
      <c r="B314">
        <v>-0.125583</v>
      </c>
      <c r="C314" s="11">
        <f t="shared" si="6"/>
        <v>0.67685096431523561</v>
      </c>
      <c r="D314">
        <f t="shared" si="7"/>
        <v>-0.1855401064945682</v>
      </c>
      <c r="E314">
        <f t="shared" si="8"/>
        <v>-0.19282690561114343</v>
      </c>
    </row>
    <row r="315" spans="1:5" x14ac:dyDescent="0.25">
      <c r="A315" s="1">
        <v>1969</v>
      </c>
      <c r="B315">
        <v>5.5416699999999999E-2</v>
      </c>
      <c r="C315" s="11">
        <f t="shared" si="6"/>
        <v>0.67490488011389971</v>
      </c>
      <c r="D315">
        <f t="shared" si="7"/>
        <v>8.211038567486377E-2</v>
      </c>
      <c r="E315">
        <f t="shared" si="8"/>
        <v>1.8326803829153276E-2</v>
      </c>
    </row>
    <row r="316" spans="1:5" x14ac:dyDescent="0.25">
      <c r="A316" s="1">
        <v>1970</v>
      </c>
      <c r="B316">
        <v>-6.7750000000000005E-2</v>
      </c>
      <c r="C316" s="11">
        <f t="shared" si="6"/>
        <v>0.67298896703869104</v>
      </c>
      <c r="D316">
        <f t="shared" si="7"/>
        <v>-0.10067029820431657</v>
      </c>
      <c r="E316">
        <f t="shared" si="8"/>
        <v>-9.0760911725064758E-2</v>
      </c>
    </row>
    <row r="317" spans="1:5" x14ac:dyDescent="0.25">
      <c r="A317" s="1">
        <v>1971</v>
      </c>
      <c r="B317">
        <v>-0.20233300000000001</v>
      </c>
      <c r="C317" s="11">
        <f t="shared" si="6"/>
        <v>0.67109971959143877</v>
      </c>
      <c r="D317">
        <f t="shared" si="7"/>
        <v>-0.30149468714303601</v>
      </c>
      <c r="E317">
        <f t="shared" si="8"/>
        <v>-0.27024872787155557</v>
      </c>
    </row>
    <row r="318" spans="1:5" x14ac:dyDescent="0.25">
      <c r="A318" s="1">
        <v>1972</v>
      </c>
      <c r="B318">
        <v>1.225E-2</v>
      </c>
      <c r="C318" s="11">
        <f t="shared" si="6"/>
        <v>0.6692327419295907</v>
      </c>
      <c r="D318">
        <f t="shared" si="7"/>
        <v>1.8304543744646629E-2</v>
      </c>
      <c r="E318">
        <f t="shared" si="8"/>
        <v>-5.4887843941300897E-2</v>
      </c>
    </row>
    <row r="319" spans="1:5" x14ac:dyDescent="0.25">
      <c r="A319" s="1">
        <v>1973</v>
      </c>
      <c r="B319">
        <v>3.5416700000000002E-2</v>
      </c>
      <c r="C319" s="11">
        <f t="shared" si="6"/>
        <v>0.66738278511911631</v>
      </c>
      <c r="D319">
        <f t="shared" si="7"/>
        <v>5.3068045490083676E-2</v>
      </c>
      <c r="E319">
        <f t="shared" si="8"/>
        <v>7.3179242297959413E-2</v>
      </c>
    </row>
    <row r="320" spans="1:5" x14ac:dyDescent="0.25">
      <c r="A320" s="1">
        <v>1974</v>
      </c>
      <c r="B320">
        <v>-0.16383300000000001</v>
      </c>
      <c r="C320" s="11">
        <f t="shared" si="6"/>
        <v>0.66554370988160372</v>
      </c>
      <c r="D320">
        <f t="shared" si="7"/>
        <v>-0.24616414754959509</v>
      </c>
      <c r="E320">
        <f t="shared" si="8"/>
        <v>-0.25387404476021247</v>
      </c>
    </row>
    <row r="321" spans="1:5" x14ac:dyDescent="0.25">
      <c r="A321" s="1">
        <v>1975</v>
      </c>
      <c r="B321">
        <v>-0.20558299999999999</v>
      </c>
      <c r="C321" s="11">
        <f t="shared" si="6"/>
        <v>0.66370844934135675</v>
      </c>
      <c r="D321">
        <f t="shared" si="7"/>
        <v>-0.30974895709707184</v>
      </c>
      <c r="E321">
        <f t="shared" si="8"/>
        <v>-0.23553341653892099</v>
      </c>
    </row>
    <row r="322" spans="1:5" x14ac:dyDescent="0.25">
      <c r="A322" s="1">
        <v>1976</v>
      </c>
      <c r="B322">
        <v>-0.20133300000000001</v>
      </c>
      <c r="C322" s="11">
        <f t="shared" si="6"/>
        <v>0.66186899412423372</v>
      </c>
      <c r="D322">
        <f t="shared" si="7"/>
        <v>-0.30418859591148867</v>
      </c>
      <c r="E322">
        <f t="shared" si="8"/>
        <v>-0.31496047309715691</v>
      </c>
    </row>
    <row r="323" spans="1:5" x14ac:dyDescent="0.25">
      <c r="A323" s="1">
        <v>1977</v>
      </c>
      <c r="B323">
        <v>-1.8833300000000001E-2</v>
      </c>
      <c r="C323" s="11">
        <f t="shared" si="6"/>
        <v>0.66001637745648623</v>
      </c>
      <c r="D323">
        <f t="shared" si="7"/>
        <v>-2.8534594963503992E-2</v>
      </c>
      <c r="E323">
        <f t="shared" si="8"/>
        <v>1.6354375759121652E-3</v>
      </c>
    </row>
    <row r="324" spans="1:5" x14ac:dyDescent="0.25">
      <c r="A324" s="1">
        <v>1978</v>
      </c>
      <c r="B324">
        <v>-5.9666700000000003E-2</v>
      </c>
      <c r="C324" s="11">
        <f t="shared" si="6"/>
        <v>0.6581405783072114</v>
      </c>
      <c r="D324">
        <f t="shared" si="7"/>
        <v>-9.0659506443847279E-2</v>
      </c>
      <c r="E324">
        <f t="shared" si="8"/>
        <v>-7.857824957513157E-2</v>
      </c>
    </row>
    <row r="325" spans="1:5" x14ac:dyDescent="0.25">
      <c r="A325" s="1">
        <v>1979</v>
      </c>
      <c r="B325">
        <v>5.0750000000000003E-2</v>
      </c>
      <c r="C325" s="11">
        <f t="shared" si="6"/>
        <v>0.65623060334473848</v>
      </c>
      <c r="D325">
        <f t="shared" si="7"/>
        <v>7.7335619127380809E-2</v>
      </c>
      <c r="E325">
        <f t="shared" si="8"/>
        <v>6.5348289580440366E-2</v>
      </c>
    </row>
    <row r="326" spans="1:5" x14ac:dyDescent="0.25">
      <c r="A326" s="1">
        <v>1980</v>
      </c>
      <c r="B326">
        <v>4.5999999999999999E-2</v>
      </c>
      <c r="C326" s="11">
        <f t="shared" ref="C326:C358" si="9">-2.2979737161E-10*$A326^5 + 0.0000022285768284*$A326^4 - 0.0086436385146*$A326^3 + 16.759480306*$A326^2 - 16244.935412*$A326 + 6297344.9302</f>
        <v>0.65427434537559748</v>
      </c>
      <c r="D326">
        <f t="shared" ref="D326:D358" si="10">+$B326/$C326</f>
        <v>7.0306898513028057E-2</v>
      </c>
      <c r="E326">
        <f t="shared" ref="E326:E358" si="11">0.71*$D326+0.29*$B507</f>
        <v>8.7762897944249907E-2</v>
      </c>
    </row>
    <row r="327" spans="1:5" x14ac:dyDescent="0.25">
      <c r="A327" s="1">
        <v>1981</v>
      </c>
      <c r="B327">
        <v>2.6749999999999999E-2</v>
      </c>
      <c r="C327" s="11">
        <f t="shared" si="9"/>
        <v>0.65225865412503481</v>
      </c>
      <c r="D327">
        <f t="shared" si="10"/>
        <v>4.1011337804146876E-2</v>
      </c>
      <c r="E327">
        <f t="shared" si="11"/>
        <v>0.11901804984094427</v>
      </c>
    </row>
    <row r="328" spans="1:5" x14ac:dyDescent="0.25">
      <c r="A328" s="1">
        <v>1982</v>
      </c>
      <c r="B328">
        <v>2.23333E-2</v>
      </c>
      <c r="C328" s="11">
        <f t="shared" si="9"/>
        <v>0.65016922820359468</v>
      </c>
      <c r="D328">
        <f t="shared" si="10"/>
        <v>3.4349980022441981E-2</v>
      </c>
      <c r="E328">
        <f t="shared" si="11"/>
        <v>2.6225151515933805E-2</v>
      </c>
    </row>
    <row r="329" spans="1:5" x14ac:dyDescent="0.25">
      <c r="A329" s="1">
        <v>1983</v>
      </c>
      <c r="B329">
        <v>0.11566700000000001</v>
      </c>
      <c r="C329" s="11">
        <f t="shared" si="9"/>
        <v>0.64799068961292505</v>
      </c>
      <c r="D329">
        <f t="shared" si="10"/>
        <v>0.17850102147160984</v>
      </c>
      <c r="E329">
        <f t="shared" si="11"/>
        <v>0.22006729524484298</v>
      </c>
    </row>
    <row r="330" spans="1:5" x14ac:dyDescent="0.25">
      <c r="A330" s="1">
        <v>1984</v>
      </c>
      <c r="B330">
        <v>-6.16667E-3</v>
      </c>
      <c r="C330" s="11">
        <f t="shared" si="9"/>
        <v>0.64570639748126268</v>
      </c>
      <c r="D330">
        <f t="shared" si="10"/>
        <v>-9.5502693237276559E-3</v>
      </c>
      <c r="E330">
        <f t="shared" si="11"/>
        <v>-1.7824848219846635E-2</v>
      </c>
    </row>
    <row r="331" spans="1:5" x14ac:dyDescent="0.25">
      <c r="A331" s="1">
        <v>1985</v>
      </c>
      <c r="B331">
        <v>-4.4499999999999998E-2</v>
      </c>
      <c r="C331" s="11">
        <f t="shared" si="9"/>
        <v>0.64329857472330332</v>
      </c>
      <c r="D331">
        <f t="shared" si="10"/>
        <v>-6.9174721891993016E-2</v>
      </c>
      <c r="E331">
        <f t="shared" si="11"/>
        <v>-5.7234052543315039E-2</v>
      </c>
    </row>
    <row r="332" spans="1:5" x14ac:dyDescent="0.25">
      <c r="A332" s="1">
        <v>1986</v>
      </c>
      <c r="B332">
        <v>-2.0083299999999998E-2</v>
      </c>
      <c r="C332" s="11">
        <f t="shared" si="9"/>
        <v>0.64074825588613749</v>
      </c>
      <c r="D332">
        <f t="shared" si="10"/>
        <v>-3.1343510989702714E-2</v>
      </c>
      <c r="E332">
        <f t="shared" si="11"/>
        <v>1.414110719731107E-2</v>
      </c>
    </row>
    <row r="333" spans="1:5" x14ac:dyDescent="0.25">
      <c r="A333" s="1">
        <v>1987</v>
      </c>
      <c r="B333">
        <v>0.13991700000000001</v>
      </c>
      <c r="C333" s="11">
        <f t="shared" si="9"/>
        <v>0.63803509343415499</v>
      </c>
      <c r="D333">
        <f t="shared" si="10"/>
        <v>0.21929358030592311</v>
      </c>
      <c r="E333">
        <f t="shared" si="11"/>
        <v>0.2272075120172054</v>
      </c>
    </row>
    <row r="334" spans="1:5" x14ac:dyDescent="0.25">
      <c r="A334" s="1">
        <v>1988</v>
      </c>
      <c r="B334">
        <v>0.106083</v>
      </c>
      <c r="C334" s="11">
        <f t="shared" si="9"/>
        <v>0.63513761851936579</v>
      </c>
      <c r="D334">
        <f t="shared" si="10"/>
        <v>0.16702364480835022</v>
      </c>
      <c r="E334">
        <f t="shared" si="11"/>
        <v>0.22554835781392865</v>
      </c>
    </row>
    <row r="335" spans="1:5" x14ac:dyDescent="0.25">
      <c r="A335" s="1">
        <v>1989</v>
      </c>
      <c r="B335">
        <v>0.06</v>
      </c>
      <c r="C335" s="11">
        <f t="shared" si="9"/>
        <v>0.63203293550759554</v>
      </c>
      <c r="D335">
        <f t="shared" si="10"/>
        <v>9.4931761668105255E-2</v>
      </c>
      <c r="E335">
        <f t="shared" si="11"/>
        <v>0.14036062078435474</v>
      </c>
    </row>
    <row r="336" spans="1:5" x14ac:dyDescent="0.25">
      <c r="A336" s="1">
        <v>1990</v>
      </c>
      <c r="B336">
        <v>0.182417</v>
      </c>
      <c r="C336" s="11">
        <f t="shared" si="9"/>
        <v>0.62869688589125872</v>
      </c>
      <c r="D336">
        <f t="shared" si="10"/>
        <v>0.29015095206237651</v>
      </c>
      <c r="E336">
        <f t="shared" si="11"/>
        <v>0.34619810596428729</v>
      </c>
    </row>
    <row r="337" spans="1:5" x14ac:dyDescent="0.25">
      <c r="A337" s="1">
        <v>1991</v>
      </c>
      <c r="B337">
        <v>0.155667</v>
      </c>
      <c r="C337" s="11">
        <f t="shared" si="9"/>
        <v>0.62510389927774668</v>
      </c>
      <c r="D337">
        <f t="shared" si="10"/>
        <v>0.24902580223841142</v>
      </c>
      <c r="E337">
        <f t="shared" si="11"/>
        <v>0.28983581958927207</v>
      </c>
    </row>
    <row r="338" spans="1:5" x14ac:dyDescent="0.25">
      <c r="A338" s="1">
        <v>1992</v>
      </c>
      <c r="B338">
        <v>5.5583300000000002E-2</v>
      </c>
      <c r="C338" s="11">
        <f t="shared" si="9"/>
        <v>0.62122703809291124</v>
      </c>
      <c r="D338">
        <f t="shared" si="10"/>
        <v>8.9473407613798864E-2</v>
      </c>
      <c r="E338">
        <f t="shared" si="11"/>
        <v>9.5764549405797192E-2</v>
      </c>
    </row>
    <row r="339" spans="1:5" x14ac:dyDescent="0.25">
      <c r="A339" s="1">
        <v>1993</v>
      </c>
      <c r="B339">
        <v>7.5083300000000006E-2</v>
      </c>
      <c r="C339" s="11">
        <f t="shared" si="9"/>
        <v>0.61703796032816172</v>
      </c>
      <c r="D339">
        <f t="shared" si="10"/>
        <v>0.12168343736918254</v>
      </c>
      <c r="E339">
        <f t="shared" si="11"/>
        <v>0.13973117053211959</v>
      </c>
    </row>
    <row r="340" spans="1:5" x14ac:dyDescent="0.25">
      <c r="A340" s="1">
        <v>1994</v>
      </c>
      <c r="B340">
        <v>0.12425</v>
      </c>
      <c r="C340" s="11">
        <f t="shared" si="9"/>
        <v>0.6125068562105298</v>
      </c>
      <c r="D340">
        <f t="shared" si="10"/>
        <v>0.20285487213761572</v>
      </c>
      <c r="E340">
        <f t="shared" si="11"/>
        <v>0.24311038921770711</v>
      </c>
    </row>
    <row r="341" spans="1:5" x14ac:dyDescent="0.25">
      <c r="A341" s="1">
        <v>1995</v>
      </c>
      <c r="B341">
        <v>0.18133299999999999</v>
      </c>
      <c r="C341" s="11">
        <f t="shared" si="9"/>
        <v>0.60760245937854052</v>
      </c>
      <c r="D341">
        <f t="shared" si="10"/>
        <v>0.2984402008271469</v>
      </c>
      <c r="E341">
        <f t="shared" si="11"/>
        <v>0.38072097258727422</v>
      </c>
    </row>
    <row r="342" spans="1:5" x14ac:dyDescent="0.25">
      <c r="A342" s="1">
        <v>1996</v>
      </c>
      <c r="B342">
        <v>0.113167</v>
      </c>
      <c r="C342" s="11">
        <f t="shared" si="9"/>
        <v>0.60229200217872858</v>
      </c>
      <c r="D342">
        <f t="shared" si="10"/>
        <v>0.18789391124343369</v>
      </c>
      <c r="E342">
        <f t="shared" si="11"/>
        <v>0.20273874698283792</v>
      </c>
    </row>
    <row r="343" spans="1:5" x14ac:dyDescent="0.25">
      <c r="A343" s="1">
        <v>1997</v>
      </c>
      <c r="B343">
        <v>0.30258299999999999</v>
      </c>
      <c r="C343" s="11">
        <f t="shared" si="9"/>
        <v>0.59654117841273546</v>
      </c>
      <c r="D343">
        <f t="shared" si="10"/>
        <v>0.5072290244993759</v>
      </c>
      <c r="E343">
        <f t="shared" si="11"/>
        <v>0.51110167739455692</v>
      </c>
    </row>
    <row r="344" spans="1:5" x14ac:dyDescent="0.25">
      <c r="A344" s="1">
        <v>1998</v>
      </c>
      <c r="B344">
        <v>0.45124999999999998</v>
      </c>
      <c r="C344" s="11">
        <f t="shared" si="9"/>
        <v>0.59031412843614817</v>
      </c>
      <c r="D344">
        <f t="shared" si="10"/>
        <v>0.76442351328341929</v>
      </c>
      <c r="E344">
        <f t="shared" si="11"/>
        <v>0.77834162443122756</v>
      </c>
    </row>
    <row r="345" spans="1:5" x14ac:dyDescent="0.25">
      <c r="A345" s="1">
        <v>1999</v>
      </c>
      <c r="B345">
        <v>0.20849999999999999</v>
      </c>
      <c r="C345" s="11">
        <f t="shared" si="9"/>
        <v>0.58357342425733805</v>
      </c>
      <c r="D345">
        <f t="shared" si="10"/>
        <v>0.35728151991386409</v>
      </c>
      <c r="E345">
        <f t="shared" si="11"/>
        <v>0.41838987913884346</v>
      </c>
    </row>
    <row r="346" spans="1:5" x14ac:dyDescent="0.25">
      <c r="A346" s="1">
        <v>2000</v>
      </c>
      <c r="B346">
        <v>0.219167</v>
      </c>
      <c r="C346" s="11">
        <f t="shared" si="9"/>
        <v>0.57628000248223543</v>
      </c>
      <c r="D346">
        <f t="shared" si="10"/>
        <v>0.38031338768649375</v>
      </c>
      <c r="E346">
        <f t="shared" si="11"/>
        <v>0.41424907525741056</v>
      </c>
    </row>
    <row r="347" spans="1:5" x14ac:dyDescent="0.25">
      <c r="A347" s="1">
        <v>2001</v>
      </c>
      <c r="B347">
        <v>0.33524999999999999</v>
      </c>
      <c r="C347" s="11">
        <f t="shared" si="9"/>
        <v>0.56839317921549082</v>
      </c>
      <c r="D347">
        <f t="shared" si="10"/>
        <v>0.5898205894425399</v>
      </c>
      <c r="E347">
        <f t="shared" si="11"/>
        <v>0.61631104850420337</v>
      </c>
    </row>
    <row r="348" spans="1:5" x14ac:dyDescent="0.25">
      <c r="A348" s="1">
        <v>2002</v>
      </c>
      <c r="B348">
        <v>0.376</v>
      </c>
      <c r="C348" s="11">
        <f t="shared" si="9"/>
        <v>0.55987061280757189</v>
      </c>
      <c r="D348">
        <f t="shared" si="10"/>
        <v>0.67158373988318543</v>
      </c>
      <c r="E348">
        <f t="shared" si="11"/>
        <v>0.7008735253170616</v>
      </c>
    </row>
    <row r="349" spans="1:5" x14ac:dyDescent="0.25">
      <c r="A349" s="1">
        <v>2003</v>
      </c>
      <c r="B349">
        <v>0.406333</v>
      </c>
      <c r="C349" s="11">
        <f t="shared" si="9"/>
        <v>0.55066824425011873</v>
      </c>
      <c r="D349">
        <f t="shared" si="10"/>
        <v>0.73789074318845183</v>
      </c>
      <c r="E349">
        <f t="shared" si="11"/>
        <v>0.74618742766380075</v>
      </c>
    </row>
    <row r="350" spans="1:5" x14ac:dyDescent="0.25">
      <c r="A350" s="1">
        <v>2004</v>
      </c>
      <c r="B350">
        <v>0.38274999999999998</v>
      </c>
      <c r="C350" s="11">
        <f t="shared" si="9"/>
        <v>0.54074032697826624</v>
      </c>
      <c r="D350">
        <f t="shared" si="10"/>
        <v>0.70782588407796654</v>
      </c>
      <c r="E350">
        <f t="shared" si="11"/>
        <v>0.7004088776953562</v>
      </c>
    </row>
    <row r="351" spans="1:5" x14ac:dyDescent="0.25">
      <c r="A351" s="1">
        <v>2005</v>
      </c>
      <c r="B351">
        <v>0.38333299999999998</v>
      </c>
      <c r="C351" s="11">
        <f t="shared" si="9"/>
        <v>0.53003933746367693</v>
      </c>
      <c r="D351">
        <f t="shared" si="10"/>
        <v>0.72321613304082244</v>
      </c>
      <c r="E351">
        <f t="shared" si="11"/>
        <v>0.76728188445898393</v>
      </c>
    </row>
    <row r="352" spans="1:5" x14ac:dyDescent="0.25">
      <c r="A352" s="1">
        <v>2006</v>
      </c>
      <c r="B352">
        <v>0.34041700000000003</v>
      </c>
      <c r="C352" s="11">
        <f t="shared" si="9"/>
        <v>0.51851599011570215</v>
      </c>
      <c r="D352">
        <f t="shared" si="10"/>
        <v>0.65652170133468601</v>
      </c>
      <c r="E352">
        <f t="shared" si="11"/>
        <v>0.70054697794762699</v>
      </c>
    </row>
    <row r="353" spans="1:9" x14ac:dyDescent="0.25">
      <c r="A353" s="1">
        <v>2007</v>
      </c>
      <c r="B353">
        <v>0.27825</v>
      </c>
      <c r="C353" s="11">
        <f t="shared" si="9"/>
        <v>0.50611915905028582</v>
      </c>
      <c r="D353">
        <f t="shared" si="10"/>
        <v>0.54977171882235398</v>
      </c>
      <c r="E353">
        <f t="shared" si="11"/>
        <v>0.65351292036387132</v>
      </c>
    </row>
    <row r="354" spans="1:9" x14ac:dyDescent="0.25">
      <c r="A354" s="1">
        <v>2008</v>
      </c>
      <c r="B354">
        <v>0.248417</v>
      </c>
      <c r="C354" s="11">
        <f t="shared" si="9"/>
        <v>0.49279597122222185</v>
      </c>
      <c r="D354">
        <f t="shared" si="10"/>
        <v>0.50409705944608585</v>
      </c>
      <c r="E354">
        <f t="shared" si="11"/>
        <v>0.56257641220672094</v>
      </c>
    </row>
    <row r="355" spans="1:9" x14ac:dyDescent="0.25">
      <c r="A355" s="1">
        <v>2009</v>
      </c>
      <c r="B355">
        <v>0.376417</v>
      </c>
      <c r="C355" s="11">
        <f t="shared" si="9"/>
        <v>0.47849161271005869</v>
      </c>
      <c r="D355">
        <f t="shared" si="10"/>
        <v>0.78667418613268225</v>
      </c>
      <c r="E355">
        <f t="shared" si="11"/>
        <v>0.77069774215420439</v>
      </c>
    </row>
    <row r="356" spans="1:9" x14ac:dyDescent="0.25">
      <c r="A356" s="1">
        <v>2010</v>
      </c>
      <c r="B356">
        <v>0.39141700000000001</v>
      </c>
      <c r="C356" s="11">
        <f t="shared" si="9"/>
        <v>0.46314943302422762</v>
      </c>
      <c r="D356">
        <f t="shared" si="10"/>
        <v>0.84512032637968226</v>
      </c>
      <c r="E356">
        <f t="shared" si="11"/>
        <v>0.85743450172957436</v>
      </c>
    </row>
    <row r="357" spans="1:9" x14ac:dyDescent="0.25">
      <c r="A357" s="1">
        <v>2011</v>
      </c>
      <c r="B357">
        <v>0.27300000000000002</v>
      </c>
      <c r="C357" s="11">
        <f t="shared" si="9"/>
        <v>0.44671081099659204</v>
      </c>
      <c r="D357">
        <f t="shared" si="10"/>
        <v>0.61113363115378627</v>
      </c>
      <c r="E357">
        <f t="shared" si="11"/>
        <v>0.63707394811918816</v>
      </c>
    </row>
    <row r="358" spans="1:9" x14ac:dyDescent="0.25">
      <c r="A358" s="1">
        <v>2012</v>
      </c>
      <c r="B358">
        <v>0.34175</v>
      </c>
      <c r="C358" s="11">
        <f t="shared" si="9"/>
        <v>0.42911526653915644</v>
      </c>
      <c r="D358">
        <f t="shared" si="10"/>
        <v>0.79640606300548755</v>
      </c>
      <c r="E358">
        <f t="shared" si="11"/>
        <v>0.78415673473389613</v>
      </c>
    </row>
    <row r="359" spans="1:9" x14ac:dyDescent="0.25">
      <c r="A359" s="1" t="s">
        <v>7</v>
      </c>
      <c r="B359" t="s">
        <v>42</v>
      </c>
    </row>
    <row r="360" spans="1:9" x14ac:dyDescent="0.25">
      <c r="A360" s="1" t="s">
        <v>43</v>
      </c>
      <c r="B360" t="s">
        <v>26</v>
      </c>
      <c r="C360" t="s">
        <v>44</v>
      </c>
      <c r="D360">
        <v>162</v>
      </c>
    </row>
    <row r="361" spans="1:9" x14ac:dyDescent="0.25">
      <c r="A361" s="1" t="s">
        <v>45</v>
      </c>
      <c r="B361">
        <v>-0.163107</v>
      </c>
    </row>
    <row r="362" spans="1:9" x14ac:dyDescent="0.25">
      <c r="A362" s="1" t="s">
        <v>4</v>
      </c>
    </row>
    <row r="363" spans="1:9" x14ac:dyDescent="0.25">
      <c r="A363" s="1" t="s">
        <v>7</v>
      </c>
      <c r="B363" t="s">
        <v>8</v>
      </c>
      <c r="C363" t="s">
        <v>9</v>
      </c>
      <c r="D363" t="s">
        <v>10</v>
      </c>
    </row>
    <row r="364" spans="1:9" x14ac:dyDescent="0.25">
      <c r="A364" s="1" t="s">
        <v>11</v>
      </c>
      <c r="B364" t="s">
        <v>12</v>
      </c>
      <c r="C364" t="s">
        <v>13</v>
      </c>
      <c r="D364" t="s">
        <v>14</v>
      </c>
      <c r="E364" t="s">
        <v>15</v>
      </c>
      <c r="F364" t="s">
        <v>16</v>
      </c>
      <c r="G364" t="s">
        <v>17</v>
      </c>
      <c r="H364" t="s">
        <v>18</v>
      </c>
      <c r="I364" t="s">
        <v>19</v>
      </c>
    </row>
    <row r="365" spans="1:9" x14ac:dyDescent="0.25">
      <c r="A365" s="1" t="s">
        <v>0</v>
      </c>
    </row>
    <row r="366" spans="1:9" x14ac:dyDescent="0.25">
      <c r="A366" s="1" t="s">
        <v>1</v>
      </c>
    </row>
    <row r="367" spans="1:9" x14ac:dyDescent="0.25">
      <c r="A367" s="1" t="s">
        <v>7</v>
      </c>
      <c r="B367" t="s">
        <v>20</v>
      </c>
      <c r="C367" t="s">
        <v>21</v>
      </c>
      <c r="D367" t="s">
        <v>22</v>
      </c>
      <c r="E367" t="s">
        <v>46</v>
      </c>
      <c r="F367" t="s">
        <v>47</v>
      </c>
      <c r="G367" t="s">
        <v>48</v>
      </c>
    </row>
    <row r="368" spans="1:9" x14ac:dyDescent="0.25">
      <c r="A368" s="1" t="s">
        <v>5</v>
      </c>
    </row>
    <row r="369" spans="1:8" x14ac:dyDescent="0.25">
      <c r="A369" s="1" t="s">
        <v>23</v>
      </c>
      <c r="B369" t="s">
        <v>24</v>
      </c>
      <c r="C369" t="s">
        <v>18</v>
      </c>
      <c r="D369" t="s">
        <v>25</v>
      </c>
      <c r="E369" t="s">
        <v>26</v>
      </c>
      <c r="F369" t="s">
        <v>27</v>
      </c>
      <c r="G369" t="s">
        <v>28</v>
      </c>
      <c r="H369" t="s">
        <v>29</v>
      </c>
    </row>
    <row r="370" spans="1:8" x14ac:dyDescent="0.25">
      <c r="A370" s="1" t="s">
        <v>6</v>
      </c>
    </row>
    <row r="371" spans="1:8" x14ac:dyDescent="0.25">
      <c r="A371" s="1" t="s">
        <v>1</v>
      </c>
    </row>
    <row r="372" spans="1:8" x14ac:dyDescent="0.25">
      <c r="A372" s="1" t="s">
        <v>0</v>
      </c>
    </row>
    <row r="373" spans="1:8" x14ac:dyDescent="0.25">
      <c r="A373" s="1" t="s">
        <v>30</v>
      </c>
      <c r="B373" t="s">
        <v>51</v>
      </c>
    </row>
    <row r="374" spans="1:8" x14ac:dyDescent="0.25">
      <c r="A374" s="1" t="s">
        <v>0</v>
      </c>
    </row>
    <row r="375" spans="1:8" x14ac:dyDescent="0.25">
      <c r="A375" s="1" t="s">
        <v>32</v>
      </c>
      <c r="B375" t="s">
        <v>33</v>
      </c>
      <c r="C375" t="s">
        <v>50</v>
      </c>
      <c r="D375" t="s">
        <v>20</v>
      </c>
      <c r="E375">
        <v>1851</v>
      </c>
      <c r="F375" t="s">
        <v>35</v>
      </c>
      <c r="G375">
        <v>2013.33</v>
      </c>
    </row>
    <row r="376" spans="1:8" x14ac:dyDescent="0.25">
      <c r="A376" s="1" t="s">
        <v>36</v>
      </c>
      <c r="B376" t="s">
        <v>17</v>
      </c>
      <c r="C376" t="s">
        <v>20</v>
      </c>
      <c r="D376">
        <v>1851</v>
      </c>
    </row>
    <row r="377" spans="1:8" x14ac:dyDescent="0.25">
      <c r="A377" s="1" t="s">
        <v>37</v>
      </c>
      <c r="B377" t="s">
        <v>18</v>
      </c>
      <c r="C377" t="s">
        <v>38</v>
      </c>
      <c r="D377" t="s">
        <v>39</v>
      </c>
      <c r="E377" t="s">
        <v>40</v>
      </c>
      <c r="F377" t="s">
        <v>41</v>
      </c>
    </row>
    <row r="378" spans="1:8" x14ac:dyDescent="0.25">
      <c r="A378" s="1">
        <v>1851</v>
      </c>
      <c r="B378">
        <v>0.19550000000000001</v>
      </c>
      <c r="C378" s="11"/>
    </row>
    <row r="379" spans="1:8" x14ac:dyDescent="0.25">
      <c r="A379" s="1">
        <v>1852</v>
      </c>
      <c r="B379">
        <v>0.22950000000000001</v>
      </c>
      <c r="C379" s="11"/>
    </row>
    <row r="380" spans="1:8" x14ac:dyDescent="0.25">
      <c r="A380" s="1">
        <v>1853</v>
      </c>
      <c r="B380">
        <v>-0.27158300000000002</v>
      </c>
      <c r="C380" s="11"/>
    </row>
    <row r="381" spans="1:8" x14ac:dyDescent="0.25">
      <c r="A381" s="1">
        <v>1854</v>
      </c>
      <c r="B381">
        <v>0.128917</v>
      </c>
      <c r="C381" s="11"/>
    </row>
    <row r="382" spans="1:8" x14ac:dyDescent="0.25">
      <c r="A382" s="1">
        <v>1855</v>
      </c>
      <c r="B382">
        <v>-0.23150000000000001</v>
      </c>
      <c r="C382" s="11"/>
    </row>
    <row r="383" spans="1:8" x14ac:dyDescent="0.25">
      <c r="A383" s="1">
        <v>1856</v>
      </c>
      <c r="B383">
        <v>-0.503583</v>
      </c>
      <c r="C383" s="11"/>
    </row>
    <row r="384" spans="1:8" x14ac:dyDescent="0.25">
      <c r="A384" s="1">
        <v>1857</v>
      </c>
      <c r="B384">
        <v>-0.41908299999999998</v>
      </c>
      <c r="C384" s="11"/>
    </row>
    <row r="385" spans="1:3" x14ac:dyDescent="0.25">
      <c r="A385" s="1">
        <v>1858</v>
      </c>
      <c r="B385">
        <v>-0.47783300000000001</v>
      </c>
      <c r="C385" s="11"/>
    </row>
    <row r="386" spans="1:3" x14ac:dyDescent="0.25">
      <c r="A386" s="1">
        <v>1859</v>
      </c>
      <c r="B386">
        <v>-0.20558299999999999</v>
      </c>
      <c r="C386" s="11"/>
    </row>
    <row r="387" spans="1:3" x14ac:dyDescent="0.25">
      <c r="A387" s="1">
        <v>1860</v>
      </c>
      <c r="B387">
        <v>-0.58391700000000002</v>
      </c>
      <c r="C387" s="11"/>
    </row>
    <row r="388" spans="1:3" x14ac:dyDescent="0.25">
      <c r="A388" s="1">
        <v>1861</v>
      </c>
      <c r="B388">
        <v>-0.42758299999999999</v>
      </c>
      <c r="C388" s="11"/>
    </row>
    <row r="389" spans="1:3" x14ac:dyDescent="0.25">
      <c r="A389" s="1">
        <v>1862</v>
      </c>
      <c r="B389">
        <v>-0.66333299999999995</v>
      </c>
      <c r="C389" s="11"/>
    </row>
    <row r="390" spans="1:3" x14ac:dyDescent="0.25">
      <c r="A390" s="1">
        <v>1863</v>
      </c>
      <c r="B390">
        <v>-0.192167</v>
      </c>
      <c r="C390" s="11"/>
    </row>
    <row r="391" spans="1:3" x14ac:dyDescent="0.25">
      <c r="A391" s="1">
        <v>1864</v>
      </c>
      <c r="B391">
        <v>-0.69433299999999998</v>
      </c>
      <c r="C391" s="11"/>
    </row>
    <row r="392" spans="1:3" x14ac:dyDescent="0.25">
      <c r="A392" s="1">
        <v>1865</v>
      </c>
      <c r="B392">
        <v>-0.37524999999999997</v>
      </c>
      <c r="C392" s="11"/>
    </row>
    <row r="393" spans="1:3" x14ac:dyDescent="0.25">
      <c r="A393" s="1">
        <v>1866</v>
      </c>
      <c r="B393">
        <v>-0.34875</v>
      </c>
      <c r="C393" s="11"/>
    </row>
    <row r="394" spans="1:3" x14ac:dyDescent="0.25">
      <c r="A394" s="1">
        <v>1867</v>
      </c>
      <c r="B394">
        <v>-0.51741700000000002</v>
      </c>
      <c r="C394" s="11"/>
    </row>
    <row r="395" spans="1:3" x14ac:dyDescent="0.25">
      <c r="A395" s="1">
        <v>1868</v>
      </c>
      <c r="B395">
        <v>-0.33116699999999999</v>
      </c>
      <c r="C395" s="11"/>
    </row>
    <row r="396" spans="1:3" x14ac:dyDescent="0.25">
      <c r="A396" s="1">
        <v>1869</v>
      </c>
      <c r="B396">
        <v>-0.30425000000000002</v>
      </c>
      <c r="C396" s="11"/>
    </row>
    <row r="397" spans="1:3" x14ac:dyDescent="0.25">
      <c r="A397" s="1">
        <v>1870</v>
      </c>
      <c r="B397">
        <v>-0.46124999999999999</v>
      </c>
      <c r="C397" s="11"/>
    </row>
    <row r="398" spans="1:3" x14ac:dyDescent="0.25">
      <c r="A398" s="1">
        <v>1871</v>
      </c>
      <c r="B398">
        <v>-0.58299999999999996</v>
      </c>
      <c r="C398" s="11"/>
    </row>
    <row r="399" spans="1:3" x14ac:dyDescent="0.25">
      <c r="A399" s="1">
        <v>1872</v>
      </c>
      <c r="B399">
        <v>-0.310083</v>
      </c>
      <c r="C399" s="11"/>
    </row>
    <row r="400" spans="1:3" x14ac:dyDescent="0.25">
      <c r="A400" s="1">
        <v>1873</v>
      </c>
      <c r="B400">
        <v>-0.372583</v>
      </c>
      <c r="C400" s="11"/>
    </row>
    <row r="401" spans="1:3" x14ac:dyDescent="0.25">
      <c r="A401" s="1">
        <v>1874</v>
      </c>
      <c r="B401">
        <v>-0.45658300000000002</v>
      </c>
      <c r="C401" s="11"/>
    </row>
    <row r="402" spans="1:3" x14ac:dyDescent="0.25">
      <c r="A402" s="1">
        <v>1875</v>
      </c>
      <c r="B402">
        <v>-0.84499999999999997</v>
      </c>
      <c r="C402" s="11"/>
    </row>
    <row r="403" spans="1:3" x14ac:dyDescent="0.25">
      <c r="A403" s="1">
        <v>1876</v>
      </c>
      <c r="B403">
        <v>-0.46800000000000003</v>
      </c>
      <c r="C403" s="11"/>
    </row>
    <row r="404" spans="1:3" x14ac:dyDescent="0.25">
      <c r="A404" s="1">
        <v>1877</v>
      </c>
      <c r="B404">
        <v>-0.26258300000000001</v>
      </c>
      <c r="C404" s="11"/>
    </row>
    <row r="405" spans="1:3" x14ac:dyDescent="0.25">
      <c r="A405" s="1">
        <v>1878</v>
      </c>
      <c r="B405">
        <v>-3.4500000000000003E-2</v>
      </c>
      <c r="C405" s="11"/>
    </row>
    <row r="406" spans="1:3" x14ac:dyDescent="0.25">
      <c r="A406" s="1">
        <v>1879</v>
      </c>
      <c r="B406">
        <v>-0.53591699999999998</v>
      </c>
      <c r="C406" s="11"/>
    </row>
    <row r="407" spans="1:3" x14ac:dyDescent="0.25">
      <c r="A407" s="1">
        <v>1880</v>
      </c>
      <c r="B407">
        <v>-0.34608299999999997</v>
      </c>
      <c r="C407" s="11"/>
    </row>
    <row r="408" spans="1:3" x14ac:dyDescent="0.25">
      <c r="A408" s="1">
        <v>1881</v>
      </c>
      <c r="B408">
        <v>-0.46550000000000002</v>
      </c>
      <c r="C408" s="11"/>
    </row>
    <row r="409" spans="1:3" x14ac:dyDescent="0.25">
      <c r="A409" s="1">
        <v>1882</v>
      </c>
      <c r="B409">
        <v>-0.34341699999999997</v>
      </c>
      <c r="C409" s="11"/>
    </row>
    <row r="410" spans="1:3" x14ac:dyDescent="0.25">
      <c r="A410" s="1">
        <v>1883</v>
      </c>
      <c r="B410">
        <v>-0.59391700000000003</v>
      </c>
      <c r="C410" s="11"/>
    </row>
    <row r="411" spans="1:3" x14ac:dyDescent="0.25">
      <c r="A411" s="1">
        <v>1884</v>
      </c>
      <c r="B411">
        <v>-0.67600000000000005</v>
      </c>
      <c r="C411" s="11"/>
    </row>
    <row r="412" spans="1:3" x14ac:dyDescent="0.25">
      <c r="A412" s="1">
        <v>1885</v>
      </c>
      <c r="B412">
        <v>-0.66533299999999995</v>
      </c>
      <c r="C412" s="11"/>
    </row>
    <row r="413" spans="1:3" x14ac:dyDescent="0.25">
      <c r="A413" s="1">
        <v>1886</v>
      </c>
      <c r="B413">
        <v>-0.54049999999999998</v>
      </c>
      <c r="C413" s="11"/>
    </row>
    <row r="414" spans="1:3" x14ac:dyDescent="0.25">
      <c r="A414" s="1">
        <v>1887</v>
      </c>
      <c r="B414">
        <v>-0.56841699999999995</v>
      </c>
      <c r="C414" s="11"/>
    </row>
    <row r="415" spans="1:3" x14ac:dyDescent="0.25">
      <c r="A415" s="1">
        <v>1888</v>
      </c>
      <c r="B415">
        <v>-0.62575000000000003</v>
      </c>
      <c r="C415" s="11"/>
    </row>
    <row r="416" spans="1:3" x14ac:dyDescent="0.25">
      <c r="A416" s="1">
        <v>1889</v>
      </c>
      <c r="B416">
        <v>-0.30325000000000002</v>
      </c>
      <c r="C416" s="11"/>
    </row>
    <row r="417" spans="1:3" x14ac:dyDescent="0.25">
      <c r="A417" s="1">
        <v>1890</v>
      </c>
      <c r="B417">
        <v>-0.44933299999999998</v>
      </c>
      <c r="C417" s="11"/>
    </row>
    <row r="418" spans="1:3" x14ac:dyDescent="0.25">
      <c r="A418" s="1">
        <v>1891</v>
      </c>
      <c r="B418">
        <v>-0.55933299999999997</v>
      </c>
      <c r="C418" s="11"/>
    </row>
    <row r="419" spans="1:3" x14ac:dyDescent="0.25">
      <c r="A419" s="1">
        <v>1892</v>
      </c>
      <c r="B419">
        <v>-0.62666699999999997</v>
      </c>
      <c r="C419" s="11"/>
    </row>
    <row r="420" spans="1:3" x14ac:dyDescent="0.25">
      <c r="A420" s="1">
        <v>1893</v>
      </c>
      <c r="B420">
        <v>-0.69633299999999998</v>
      </c>
      <c r="C420" s="11"/>
    </row>
    <row r="421" spans="1:3" x14ac:dyDescent="0.25">
      <c r="A421" s="1">
        <v>1894</v>
      </c>
      <c r="B421">
        <v>-0.46825</v>
      </c>
      <c r="C421" s="11"/>
    </row>
    <row r="422" spans="1:3" x14ac:dyDescent="0.25">
      <c r="A422" s="1">
        <v>1895</v>
      </c>
      <c r="B422">
        <v>-0.57974999999999999</v>
      </c>
      <c r="C422" s="11"/>
    </row>
    <row r="423" spans="1:3" x14ac:dyDescent="0.25">
      <c r="A423" s="1">
        <v>1896</v>
      </c>
      <c r="B423">
        <v>-0.41775000000000001</v>
      </c>
      <c r="C423" s="11"/>
    </row>
    <row r="424" spans="1:3" x14ac:dyDescent="0.25">
      <c r="A424" s="1">
        <v>1897</v>
      </c>
      <c r="B424">
        <v>-0.32824999999999999</v>
      </c>
      <c r="C424" s="11"/>
    </row>
    <row r="425" spans="1:3" x14ac:dyDescent="0.25">
      <c r="A425" s="1">
        <v>1898</v>
      </c>
      <c r="B425">
        <v>-0.38033299999999998</v>
      </c>
      <c r="C425" s="11"/>
    </row>
    <row r="426" spans="1:3" x14ac:dyDescent="0.25">
      <c r="A426" s="1">
        <v>1899</v>
      </c>
      <c r="B426">
        <v>-0.32616699999999998</v>
      </c>
      <c r="C426" s="11"/>
    </row>
    <row r="427" spans="1:3" x14ac:dyDescent="0.25">
      <c r="A427" s="1">
        <v>1900</v>
      </c>
      <c r="B427">
        <v>-0.20449999999999999</v>
      </c>
      <c r="C427" s="11"/>
    </row>
    <row r="428" spans="1:3" x14ac:dyDescent="0.25">
      <c r="A428" s="1">
        <v>1901</v>
      </c>
      <c r="B428">
        <v>-0.190417</v>
      </c>
      <c r="C428" s="11"/>
    </row>
    <row r="429" spans="1:3" x14ac:dyDescent="0.25">
      <c r="A429" s="1">
        <v>1902</v>
      </c>
      <c r="B429">
        <v>-0.42241699999999999</v>
      </c>
      <c r="C429" s="11"/>
    </row>
    <row r="430" spans="1:3" x14ac:dyDescent="0.25">
      <c r="A430" s="1">
        <v>1903</v>
      </c>
      <c r="B430">
        <v>-0.42341699999999999</v>
      </c>
      <c r="C430" s="11"/>
    </row>
    <row r="431" spans="1:3" x14ac:dyDescent="0.25">
      <c r="A431" s="1">
        <v>1904</v>
      </c>
      <c r="B431">
        <v>-0.55483300000000002</v>
      </c>
      <c r="C431" s="11"/>
    </row>
    <row r="432" spans="1:3" x14ac:dyDescent="0.25">
      <c r="A432" s="1">
        <v>1905</v>
      </c>
      <c r="B432">
        <v>-0.43416700000000003</v>
      </c>
      <c r="C432" s="11"/>
    </row>
    <row r="433" spans="1:3" x14ac:dyDescent="0.25">
      <c r="A433" s="1">
        <v>1906</v>
      </c>
      <c r="B433">
        <v>-0.23166700000000001</v>
      </c>
      <c r="C433" s="11"/>
    </row>
    <row r="434" spans="1:3" x14ac:dyDescent="0.25">
      <c r="A434" s="1">
        <v>1907</v>
      </c>
      <c r="B434">
        <v>-0.63300000000000001</v>
      </c>
      <c r="C434" s="11"/>
    </row>
    <row r="435" spans="1:3" x14ac:dyDescent="0.25">
      <c r="A435" s="1">
        <v>1908</v>
      </c>
      <c r="B435">
        <v>-0.49399999999999999</v>
      </c>
      <c r="C435" s="11"/>
    </row>
    <row r="436" spans="1:3" x14ac:dyDescent="0.25">
      <c r="A436" s="1">
        <v>1909</v>
      </c>
      <c r="B436">
        <v>-0.48249999999999998</v>
      </c>
      <c r="C436" s="11"/>
    </row>
    <row r="437" spans="1:3" x14ac:dyDescent="0.25">
      <c r="A437" s="1">
        <v>1910</v>
      </c>
      <c r="B437">
        <v>-0.34699999999999998</v>
      </c>
      <c r="C437" s="11"/>
    </row>
    <row r="438" spans="1:3" x14ac:dyDescent="0.25">
      <c r="A438" s="1">
        <v>1911</v>
      </c>
      <c r="B438">
        <v>-0.44716699999999998</v>
      </c>
      <c r="C438" s="11"/>
    </row>
    <row r="439" spans="1:3" x14ac:dyDescent="0.25">
      <c r="A439" s="1">
        <v>1912</v>
      </c>
      <c r="B439">
        <v>-0.47733300000000001</v>
      </c>
      <c r="C439" s="11"/>
    </row>
    <row r="440" spans="1:3" x14ac:dyDescent="0.25">
      <c r="A440" s="1">
        <v>1913</v>
      </c>
      <c r="B440">
        <v>-0.35016700000000001</v>
      </c>
      <c r="C440" s="11"/>
    </row>
    <row r="441" spans="1:3" x14ac:dyDescent="0.25">
      <c r="A441" s="1">
        <v>1914</v>
      </c>
      <c r="B441">
        <v>-0.112417</v>
      </c>
      <c r="C441" s="11"/>
    </row>
    <row r="442" spans="1:3" x14ac:dyDescent="0.25">
      <c r="A442" s="1">
        <v>1915</v>
      </c>
      <c r="B442">
        <v>-0.13991700000000001</v>
      </c>
      <c r="C442" s="11"/>
    </row>
    <row r="443" spans="1:3" x14ac:dyDescent="0.25">
      <c r="A443" s="1">
        <v>1916</v>
      </c>
      <c r="B443">
        <v>-0.39</v>
      </c>
      <c r="C443" s="11"/>
    </row>
    <row r="444" spans="1:3" x14ac:dyDescent="0.25">
      <c r="A444" s="1">
        <v>1917</v>
      </c>
      <c r="B444">
        <v>-0.69916699999999998</v>
      </c>
      <c r="C444" s="11"/>
    </row>
    <row r="445" spans="1:3" x14ac:dyDescent="0.25">
      <c r="A445" s="1">
        <v>1918</v>
      </c>
      <c r="B445">
        <v>-0.43924999999999997</v>
      </c>
      <c r="C445" s="11"/>
    </row>
    <row r="446" spans="1:3" x14ac:dyDescent="0.25">
      <c r="A446" s="1">
        <v>1919</v>
      </c>
      <c r="B446">
        <v>-0.32641700000000001</v>
      </c>
      <c r="C446" s="11"/>
    </row>
    <row r="447" spans="1:3" x14ac:dyDescent="0.25">
      <c r="A447" s="1">
        <v>1920</v>
      </c>
      <c r="B447">
        <v>-0.283167</v>
      </c>
      <c r="C447" s="11"/>
    </row>
    <row r="448" spans="1:3" x14ac:dyDescent="0.25">
      <c r="A448" s="1">
        <v>1921</v>
      </c>
      <c r="B448">
        <v>-0.10324999999999999</v>
      </c>
      <c r="C448" s="11"/>
    </row>
    <row r="449" spans="1:3" x14ac:dyDescent="0.25">
      <c r="A449" s="1">
        <v>1922</v>
      </c>
      <c r="B449">
        <v>-0.27925</v>
      </c>
      <c r="C449" s="11"/>
    </row>
    <row r="450" spans="1:3" x14ac:dyDescent="0.25">
      <c r="A450" s="1">
        <v>1923</v>
      </c>
      <c r="B450">
        <v>-0.25858300000000001</v>
      </c>
      <c r="C450" s="11"/>
    </row>
    <row r="451" spans="1:3" x14ac:dyDescent="0.25">
      <c r="A451" s="1">
        <v>1924</v>
      </c>
      <c r="B451">
        <v>-0.34</v>
      </c>
      <c r="C451" s="11"/>
    </row>
    <row r="452" spans="1:3" x14ac:dyDescent="0.25">
      <c r="A452" s="1">
        <v>1925</v>
      </c>
      <c r="B452">
        <v>-0.22650000000000001</v>
      </c>
      <c r="C452" s="11"/>
    </row>
    <row r="453" spans="1:3" x14ac:dyDescent="0.25">
      <c r="A453" s="1">
        <v>1926</v>
      </c>
      <c r="B453">
        <v>-8.69167E-2</v>
      </c>
      <c r="C453" s="11"/>
    </row>
    <row r="454" spans="1:3" x14ac:dyDescent="0.25">
      <c r="A454" s="1">
        <v>1927</v>
      </c>
      <c r="B454">
        <v>-0.247</v>
      </c>
      <c r="C454" s="11"/>
    </row>
    <row r="455" spans="1:3" x14ac:dyDescent="0.25">
      <c r="A455" s="1">
        <v>1928</v>
      </c>
      <c r="B455">
        <v>-0.16508300000000001</v>
      </c>
      <c r="C455" s="11"/>
    </row>
    <row r="456" spans="1:3" x14ac:dyDescent="0.25">
      <c r="A456" s="1">
        <v>1929</v>
      </c>
      <c r="B456">
        <v>-0.47008299999999997</v>
      </c>
      <c r="C456" s="11"/>
    </row>
    <row r="457" spans="1:3" x14ac:dyDescent="0.25">
      <c r="A457" s="1">
        <v>1930</v>
      </c>
      <c r="B457">
        <v>-0.11724999999999999</v>
      </c>
      <c r="C457" s="11"/>
    </row>
    <row r="458" spans="1:3" x14ac:dyDescent="0.25">
      <c r="A458" s="1">
        <v>1931</v>
      </c>
      <c r="B458">
        <v>-0.10166699999999999</v>
      </c>
      <c r="C458" s="11"/>
    </row>
    <row r="459" spans="1:3" x14ac:dyDescent="0.25">
      <c r="A459" s="1">
        <v>1932</v>
      </c>
      <c r="B459">
        <v>-8.4416699999999997E-2</v>
      </c>
      <c r="C459" s="11"/>
    </row>
    <row r="460" spans="1:3" x14ac:dyDescent="0.25">
      <c r="A460" s="1">
        <v>1933</v>
      </c>
      <c r="B460">
        <v>-0.32450000000000001</v>
      </c>
      <c r="C460" s="11"/>
    </row>
    <row r="461" spans="1:3" x14ac:dyDescent="0.25">
      <c r="A461" s="1">
        <v>1934</v>
      </c>
      <c r="B461">
        <v>-1.14167E-2</v>
      </c>
      <c r="C461" s="11"/>
    </row>
    <row r="462" spans="1:3" x14ac:dyDescent="0.25">
      <c r="A462" s="1">
        <v>1935</v>
      </c>
      <c r="B462">
        <v>-0.16383300000000001</v>
      </c>
      <c r="C462" s="11"/>
    </row>
    <row r="463" spans="1:3" x14ac:dyDescent="0.25">
      <c r="A463" s="1">
        <v>1936</v>
      </c>
      <c r="B463">
        <v>-0.110167</v>
      </c>
      <c r="C463" s="11"/>
    </row>
    <row r="464" spans="1:3" x14ac:dyDescent="0.25">
      <c r="A464" s="1">
        <v>1937</v>
      </c>
      <c r="B464">
        <v>-4.1666700000000001E-2</v>
      </c>
      <c r="C464" s="11"/>
    </row>
    <row r="465" spans="1:3" x14ac:dyDescent="0.25">
      <c r="A465" s="1">
        <v>1938</v>
      </c>
      <c r="B465">
        <v>0.16</v>
      </c>
      <c r="C465" s="11"/>
    </row>
    <row r="466" spans="1:3" x14ac:dyDescent="0.25">
      <c r="A466" s="1">
        <v>1939</v>
      </c>
      <c r="B466">
        <v>1.9166700000000001E-3</v>
      </c>
      <c r="C466" s="11"/>
    </row>
    <row r="467" spans="1:3" x14ac:dyDescent="0.25">
      <c r="A467" s="1">
        <v>1940</v>
      </c>
      <c r="B467">
        <v>-4.55833E-2</v>
      </c>
      <c r="C467" s="11"/>
    </row>
    <row r="468" spans="1:3" x14ac:dyDescent="0.25">
      <c r="A468" s="1">
        <v>1941</v>
      </c>
      <c r="B468">
        <v>-5.4416699999999998E-2</v>
      </c>
      <c r="C468" s="11"/>
    </row>
    <row r="469" spans="1:3" x14ac:dyDescent="0.25">
      <c r="A469" s="1">
        <v>1942</v>
      </c>
      <c r="B469">
        <v>-4.84167E-2</v>
      </c>
      <c r="C469" s="11"/>
    </row>
    <row r="470" spans="1:3" x14ac:dyDescent="0.25">
      <c r="A470" s="1">
        <v>1943</v>
      </c>
      <c r="B470">
        <v>1.6750000000000001E-2</v>
      </c>
      <c r="C470" s="11"/>
    </row>
    <row r="471" spans="1:3" x14ac:dyDescent="0.25">
      <c r="A471" s="1">
        <v>1944</v>
      </c>
      <c r="B471">
        <v>0.111417</v>
      </c>
      <c r="C471" s="11"/>
    </row>
    <row r="472" spans="1:3" x14ac:dyDescent="0.25">
      <c r="A472" s="1">
        <v>1945</v>
      </c>
      <c r="B472">
        <v>-0.11700000000000001</v>
      </c>
      <c r="C472" s="11"/>
    </row>
    <row r="473" spans="1:3" x14ac:dyDescent="0.25">
      <c r="A473" s="1">
        <v>1946</v>
      </c>
      <c r="B473">
        <v>-7.2583300000000003E-2</v>
      </c>
      <c r="C473" s="11"/>
    </row>
    <row r="474" spans="1:3" x14ac:dyDescent="0.25">
      <c r="A474" s="1">
        <v>1947</v>
      </c>
      <c r="B474">
        <v>-1.175E-2</v>
      </c>
      <c r="C474" s="11"/>
    </row>
    <row r="475" spans="1:3" x14ac:dyDescent="0.25">
      <c r="A475" s="1">
        <v>1948</v>
      </c>
      <c r="B475">
        <v>2.1666699999999999E-3</v>
      </c>
      <c r="C475" s="11"/>
    </row>
    <row r="476" spans="1:3" x14ac:dyDescent="0.25">
      <c r="A476" s="1">
        <v>1949</v>
      </c>
      <c r="B476">
        <v>-0.112417</v>
      </c>
      <c r="C476" s="11"/>
    </row>
    <row r="477" spans="1:3" x14ac:dyDescent="0.25">
      <c r="A477" s="1">
        <v>1950</v>
      </c>
      <c r="B477">
        <v>-0.29958299999999999</v>
      </c>
      <c r="C477" s="11"/>
    </row>
    <row r="478" spans="1:3" x14ac:dyDescent="0.25">
      <c r="A478" s="1">
        <v>1951</v>
      </c>
      <c r="B478">
        <v>-0.10066700000000001</v>
      </c>
      <c r="C478" s="11"/>
    </row>
    <row r="479" spans="1:3" x14ac:dyDescent="0.25">
      <c r="A479" s="1">
        <v>1952</v>
      </c>
      <c r="B479">
        <v>-6.5000000000000002E-2</v>
      </c>
      <c r="C479" s="11"/>
    </row>
    <row r="480" spans="1:3" x14ac:dyDescent="0.25">
      <c r="A480" s="1">
        <v>1953</v>
      </c>
      <c r="B480">
        <v>0.11749999999999999</v>
      </c>
      <c r="C480" s="11"/>
    </row>
    <row r="481" spans="1:3" x14ac:dyDescent="0.25">
      <c r="A481" s="1">
        <v>1954</v>
      </c>
      <c r="B481">
        <v>-0.151</v>
      </c>
      <c r="C481" s="11"/>
    </row>
    <row r="482" spans="1:3" x14ac:dyDescent="0.25">
      <c r="A482" s="1">
        <v>1955</v>
      </c>
      <c r="B482">
        <v>-0.184</v>
      </c>
      <c r="C482" s="11"/>
    </row>
    <row r="483" spans="1:3" x14ac:dyDescent="0.25">
      <c r="A483" s="1">
        <v>1956</v>
      </c>
      <c r="B483">
        <v>-0.41108299999999998</v>
      </c>
      <c r="C483" s="11"/>
    </row>
    <row r="484" spans="1:3" x14ac:dyDescent="0.25">
      <c r="A484" s="1">
        <v>1957</v>
      </c>
      <c r="B484">
        <v>-7.0749999999999993E-2</v>
      </c>
      <c r="C484" s="11"/>
    </row>
    <row r="485" spans="1:3" x14ac:dyDescent="0.25">
      <c r="A485" s="1">
        <v>1958</v>
      </c>
      <c r="B485">
        <v>4.0750000000000001E-2</v>
      </c>
      <c r="C485" s="11"/>
    </row>
    <row r="486" spans="1:3" x14ac:dyDescent="0.25">
      <c r="A486" s="1">
        <v>1959</v>
      </c>
      <c r="B486">
        <v>1.55E-2</v>
      </c>
      <c r="C486" s="11"/>
    </row>
    <row r="487" spans="1:3" x14ac:dyDescent="0.25">
      <c r="A487" s="1">
        <v>1960</v>
      </c>
      <c r="B487">
        <v>-7.2666700000000001E-2</v>
      </c>
      <c r="C487" s="11"/>
    </row>
    <row r="488" spans="1:3" x14ac:dyDescent="0.25">
      <c r="A488" s="1">
        <v>1961</v>
      </c>
      <c r="B488">
        <v>4.2250000000000003E-2</v>
      </c>
      <c r="C488" s="11"/>
    </row>
    <row r="489" spans="1:3" x14ac:dyDescent="0.25">
      <c r="A489" s="1">
        <v>1962</v>
      </c>
      <c r="B489">
        <v>2.54167E-2</v>
      </c>
      <c r="C489" s="11"/>
    </row>
    <row r="490" spans="1:3" x14ac:dyDescent="0.25">
      <c r="A490" s="1">
        <v>1963</v>
      </c>
      <c r="B490">
        <v>1.7500000000000002E-2</v>
      </c>
      <c r="C490" s="11"/>
    </row>
    <row r="491" spans="1:3" x14ac:dyDescent="0.25">
      <c r="A491" s="1">
        <v>1964</v>
      </c>
      <c r="B491">
        <v>-0.28925000000000001</v>
      </c>
      <c r="C491" s="11"/>
    </row>
    <row r="492" spans="1:3" x14ac:dyDescent="0.25">
      <c r="A492" s="1">
        <v>1965</v>
      </c>
      <c r="B492">
        <v>-0.22916700000000001</v>
      </c>
      <c r="C492" s="11"/>
    </row>
    <row r="493" spans="1:3" x14ac:dyDescent="0.25">
      <c r="A493" s="1">
        <v>1966</v>
      </c>
      <c r="B493">
        <v>-0.15024999999999999</v>
      </c>
      <c r="C493" s="11"/>
    </row>
    <row r="494" spans="1:3" x14ac:dyDescent="0.25">
      <c r="A494" s="1">
        <v>1967</v>
      </c>
      <c r="B494">
        <v>-9.5833299999999996E-2</v>
      </c>
      <c r="C494" s="11"/>
    </row>
    <row r="495" spans="1:3" x14ac:dyDescent="0.25">
      <c r="A495" s="1">
        <v>1968</v>
      </c>
      <c r="B495">
        <v>-0.21066699999999999</v>
      </c>
      <c r="C495" s="11"/>
    </row>
    <row r="496" spans="1:3" x14ac:dyDescent="0.25">
      <c r="A496" s="1">
        <v>1969</v>
      </c>
      <c r="B496">
        <v>-0.13783300000000001</v>
      </c>
      <c r="C496" s="11"/>
    </row>
    <row r="497" spans="1:3" x14ac:dyDescent="0.25">
      <c r="A497" s="1">
        <v>1970</v>
      </c>
      <c r="B497">
        <v>-6.6500000000000004E-2</v>
      </c>
      <c r="C497" s="11"/>
    </row>
    <row r="498" spans="1:3" x14ac:dyDescent="0.25">
      <c r="A498" s="1">
        <v>1971</v>
      </c>
      <c r="B498">
        <v>-0.19375000000000001</v>
      </c>
      <c r="C498" s="11"/>
    </row>
    <row r="499" spans="1:3" x14ac:dyDescent="0.25">
      <c r="A499" s="1">
        <v>1972</v>
      </c>
      <c r="B499">
        <v>-0.23408300000000001</v>
      </c>
      <c r="C499" s="11"/>
    </row>
    <row r="500" spans="1:3" x14ac:dyDescent="0.25">
      <c r="A500" s="1">
        <v>1973</v>
      </c>
      <c r="B500">
        <v>0.122417</v>
      </c>
      <c r="C500" s="11"/>
    </row>
    <row r="501" spans="1:3" x14ac:dyDescent="0.25">
      <c r="A501" s="1">
        <v>1974</v>
      </c>
      <c r="B501">
        <v>-0.27274999999999999</v>
      </c>
      <c r="C501" s="11"/>
    </row>
    <row r="502" spans="1:3" x14ac:dyDescent="0.25">
      <c r="A502" s="1">
        <v>1975</v>
      </c>
      <c r="B502">
        <v>-5.3833300000000001E-2</v>
      </c>
      <c r="C502" s="11"/>
    </row>
    <row r="503" spans="1:3" x14ac:dyDescent="0.25">
      <c r="A503" s="1">
        <v>1976</v>
      </c>
      <c r="B503">
        <v>-0.341333</v>
      </c>
      <c r="C503" s="11"/>
    </row>
    <row r="504" spans="1:3" x14ac:dyDescent="0.25">
      <c r="A504" s="1">
        <v>1977</v>
      </c>
      <c r="B504">
        <v>7.5499999999999998E-2</v>
      </c>
      <c r="C504" s="11"/>
    </row>
    <row r="505" spans="1:3" x14ac:dyDescent="0.25">
      <c r="A505" s="1">
        <v>1978</v>
      </c>
      <c r="B505">
        <v>-4.9000000000000002E-2</v>
      </c>
      <c r="C505" s="11"/>
    </row>
    <row r="506" spans="1:3" x14ac:dyDescent="0.25">
      <c r="A506" s="1">
        <v>1979</v>
      </c>
      <c r="B506">
        <v>3.5999999999999997E-2</v>
      </c>
      <c r="C506" s="11"/>
    </row>
    <row r="507" spans="1:3" x14ac:dyDescent="0.25">
      <c r="A507" s="1">
        <v>1980</v>
      </c>
      <c r="B507">
        <v>0.1305</v>
      </c>
      <c r="C507" s="11"/>
    </row>
    <row r="508" spans="1:3" x14ac:dyDescent="0.25">
      <c r="A508" s="1">
        <v>1981</v>
      </c>
      <c r="B508">
        <v>0.31</v>
      </c>
      <c r="C508" s="11"/>
    </row>
    <row r="509" spans="1:3" x14ac:dyDescent="0.25">
      <c r="A509" s="1">
        <v>1982</v>
      </c>
      <c r="B509">
        <v>6.3333299999999999E-3</v>
      </c>
      <c r="C509" s="11"/>
    </row>
    <row r="510" spans="1:3" x14ac:dyDescent="0.25">
      <c r="A510" s="1">
        <v>1983</v>
      </c>
      <c r="B510">
        <v>0.32183299999999998</v>
      </c>
      <c r="C510" s="11"/>
    </row>
    <row r="511" spans="1:3" x14ac:dyDescent="0.25">
      <c r="A511" s="1">
        <v>1984</v>
      </c>
      <c r="B511">
        <v>-3.80833E-2</v>
      </c>
      <c r="C511" s="11"/>
    </row>
    <row r="512" spans="1:3" x14ac:dyDescent="0.25">
      <c r="A512" s="1">
        <v>1985</v>
      </c>
      <c r="B512">
        <v>-2.8000000000000001E-2</v>
      </c>
      <c r="C512" s="11"/>
    </row>
    <row r="513" spans="1:3" x14ac:dyDescent="0.25">
      <c r="A513" s="1">
        <v>1986</v>
      </c>
      <c r="B513">
        <v>0.1255</v>
      </c>
      <c r="C513" s="11"/>
    </row>
    <row r="514" spans="1:3" x14ac:dyDescent="0.25">
      <c r="A514" s="1">
        <v>1987</v>
      </c>
      <c r="B514">
        <v>0.246583</v>
      </c>
      <c r="C514" s="11"/>
    </row>
    <row r="515" spans="1:3" x14ac:dyDescent="0.25">
      <c r="A515" s="1">
        <v>1988</v>
      </c>
      <c r="B515">
        <v>0.36883300000000002</v>
      </c>
      <c r="C515" s="11"/>
    </row>
    <row r="516" spans="1:3" x14ac:dyDescent="0.25">
      <c r="A516" s="1">
        <v>1989</v>
      </c>
      <c r="B516">
        <v>0.251583</v>
      </c>
      <c r="C516" s="11"/>
    </row>
    <row r="517" spans="1:3" x14ac:dyDescent="0.25">
      <c r="A517" s="1">
        <v>1990</v>
      </c>
      <c r="B517">
        <v>0.48341699999999999</v>
      </c>
      <c r="C517" s="11"/>
    </row>
    <row r="518" spans="1:3" x14ac:dyDescent="0.25">
      <c r="A518" s="1">
        <v>1991</v>
      </c>
      <c r="B518">
        <v>0.38974999999999999</v>
      </c>
      <c r="C518" s="11"/>
    </row>
    <row r="519" spans="1:3" x14ac:dyDescent="0.25">
      <c r="A519" s="1">
        <v>1992</v>
      </c>
      <c r="B519">
        <v>0.111167</v>
      </c>
      <c r="C519" s="11"/>
    </row>
    <row r="520" spans="1:3" x14ac:dyDescent="0.25">
      <c r="A520" s="1">
        <v>1993</v>
      </c>
      <c r="B520">
        <v>0.183917</v>
      </c>
      <c r="C520" s="11"/>
    </row>
    <row r="521" spans="1:3" x14ac:dyDescent="0.25">
      <c r="A521" s="1">
        <v>1994</v>
      </c>
      <c r="B521">
        <v>0.341667</v>
      </c>
      <c r="C521" s="11"/>
    </row>
    <row r="522" spans="1:3" x14ac:dyDescent="0.25">
      <c r="A522" s="1">
        <v>1995</v>
      </c>
      <c r="B522">
        <v>0.58216699999999999</v>
      </c>
      <c r="C522" s="11"/>
    </row>
    <row r="523" spans="1:3" x14ac:dyDescent="0.25">
      <c r="A523" s="1">
        <v>1996</v>
      </c>
      <c r="B523">
        <v>0.23908299999999999</v>
      </c>
      <c r="C523" s="11"/>
    </row>
    <row r="524" spans="1:3" x14ac:dyDescent="0.25">
      <c r="A524" s="1">
        <v>1997</v>
      </c>
      <c r="B524">
        <v>0.52058300000000002</v>
      </c>
      <c r="C524" s="11"/>
    </row>
    <row r="525" spans="1:3" x14ac:dyDescent="0.25">
      <c r="A525" s="1">
        <v>1998</v>
      </c>
      <c r="B525">
        <v>0.81241699999999994</v>
      </c>
      <c r="C525" s="11"/>
    </row>
    <row r="526" spans="1:3" x14ac:dyDescent="0.25">
      <c r="A526" s="1">
        <v>1999</v>
      </c>
      <c r="B526">
        <v>0.56799999999999995</v>
      </c>
      <c r="C526" s="11"/>
    </row>
    <row r="527" spans="1:3" x14ac:dyDescent="0.25">
      <c r="A527" s="1">
        <v>2000</v>
      </c>
      <c r="B527">
        <v>0.49733300000000003</v>
      </c>
      <c r="C527" s="11"/>
    </row>
    <row r="528" spans="1:3" x14ac:dyDescent="0.25">
      <c r="A528" s="1">
        <v>2001</v>
      </c>
      <c r="B528">
        <v>0.68116699999999997</v>
      </c>
      <c r="C528" s="11"/>
    </row>
    <row r="529" spans="1:4" x14ac:dyDescent="0.25">
      <c r="A529" s="1">
        <v>2002</v>
      </c>
      <c r="B529">
        <v>0.77258300000000002</v>
      </c>
      <c r="C529" s="11"/>
    </row>
    <row r="530" spans="1:4" x14ac:dyDescent="0.25">
      <c r="A530" s="1">
        <v>2003</v>
      </c>
      <c r="B530">
        <v>0.76649999999999996</v>
      </c>
      <c r="C530" s="11"/>
    </row>
    <row r="531" spans="1:4" x14ac:dyDescent="0.25">
      <c r="A531" s="1">
        <v>2004</v>
      </c>
      <c r="B531">
        <v>0.68225000000000002</v>
      </c>
      <c r="C531" s="11"/>
    </row>
    <row r="532" spans="1:4" x14ac:dyDescent="0.25">
      <c r="A532" s="1">
        <v>2005</v>
      </c>
      <c r="B532">
        <v>0.87516700000000003</v>
      </c>
      <c r="C532" s="11"/>
    </row>
    <row r="533" spans="1:4" x14ac:dyDescent="0.25">
      <c r="A533" s="1">
        <v>2006</v>
      </c>
      <c r="B533">
        <v>0.80833299999999997</v>
      </c>
      <c r="C533" s="11"/>
    </row>
    <row r="534" spans="1:4" x14ac:dyDescent="0.25">
      <c r="A534" s="1">
        <v>2007</v>
      </c>
      <c r="B534">
        <v>0.90749999999999997</v>
      </c>
      <c r="C534" s="11"/>
    </row>
    <row r="535" spans="1:4" x14ac:dyDescent="0.25">
      <c r="A535" s="1">
        <v>2008</v>
      </c>
      <c r="B535">
        <v>0.70574999999999999</v>
      </c>
      <c r="C535" s="11"/>
    </row>
    <row r="536" spans="1:4" x14ac:dyDescent="0.25">
      <c r="A536" s="1">
        <v>2009</v>
      </c>
      <c r="B536">
        <v>0.73158299999999998</v>
      </c>
      <c r="C536" s="11"/>
    </row>
    <row r="537" spans="1:4" x14ac:dyDescent="0.25">
      <c r="A537" s="1">
        <v>2010</v>
      </c>
      <c r="B537">
        <v>0.88758300000000001</v>
      </c>
      <c r="C537" s="11"/>
    </row>
    <row r="538" spans="1:4" x14ac:dyDescent="0.25">
      <c r="A538" s="1">
        <v>2011</v>
      </c>
      <c r="B538">
        <v>0.70058299999999996</v>
      </c>
      <c r="C538" s="11"/>
    </row>
    <row r="539" spans="1:4" x14ac:dyDescent="0.25">
      <c r="A539" s="1">
        <v>2012</v>
      </c>
      <c r="B539">
        <v>0.75416700000000003</v>
      </c>
      <c r="C539" s="11"/>
    </row>
    <row r="540" spans="1:4" x14ac:dyDescent="0.25">
      <c r="A540" s="1" t="s">
        <v>7</v>
      </c>
      <c r="B540" t="s">
        <v>42</v>
      </c>
    </row>
    <row r="541" spans="1:4" x14ac:dyDescent="0.25">
      <c r="A541" s="1" t="s">
        <v>43</v>
      </c>
      <c r="B541" t="s">
        <v>26</v>
      </c>
      <c r="C541" t="s">
        <v>44</v>
      </c>
      <c r="D541">
        <v>162</v>
      </c>
    </row>
    <row r="542" spans="1:4" x14ac:dyDescent="0.25">
      <c r="A542" s="1" t="s">
        <v>45</v>
      </c>
      <c r="B542">
        <v>-0.118247</v>
      </c>
    </row>
    <row r="543" spans="1:4" x14ac:dyDescent="0.25">
      <c r="A543" s="1" t="s">
        <v>4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0"/>
  <sheetViews>
    <sheetView workbookViewId="0">
      <selection activeCell="B102" sqref="B102:B260"/>
    </sheetView>
  </sheetViews>
  <sheetFormatPr defaultRowHeight="15" x14ac:dyDescent="0.25"/>
  <sheetData>
    <row r="1" spans="1:3" ht="30" x14ac:dyDescent="0.25">
      <c r="A1" s="12" t="s">
        <v>66</v>
      </c>
      <c r="B1" s="12" t="s">
        <v>67</v>
      </c>
      <c r="C1" s="12" t="s">
        <v>68</v>
      </c>
    </row>
    <row r="2" spans="1:3" x14ac:dyDescent="0.25">
      <c r="A2" s="13">
        <v>1751</v>
      </c>
      <c r="B2" s="13">
        <v>-3.1903078628895097E-2</v>
      </c>
      <c r="C2" s="13">
        <v>0</v>
      </c>
    </row>
    <row r="3" spans="1:3" x14ac:dyDescent="0.25">
      <c r="A3" s="13">
        <v>1752</v>
      </c>
      <c r="B3" s="13">
        <v>-3.1886221761375802E-2</v>
      </c>
      <c r="C3" s="13">
        <v>0</v>
      </c>
    </row>
    <row r="4" spans="1:3" x14ac:dyDescent="0.25">
      <c r="A4" s="13">
        <v>1753</v>
      </c>
      <c r="B4" s="13">
        <v>-3.1870326994205701E-2</v>
      </c>
      <c r="C4" s="13">
        <v>0</v>
      </c>
    </row>
    <row r="5" spans="1:3" x14ac:dyDescent="0.25">
      <c r="A5" s="13">
        <v>1754</v>
      </c>
      <c r="B5" s="13">
        <v>-3.1855123656611299E-2</v>
      </c>
      <c r="C5" s="13">
        <v>0</v>
      </c>
    </row>
    <row r="6" spans="1:3" x14ac:dyDescent="0.25">
      <c r="A6" s="13">
        <v>1755</v>
      </c>
      <c r="B6" s="13">
        <v>-3.1840467983072399E-2</v>
      </c>
      <c r="C6" s="13">
        <v>0</v>
      </c>
    </row>
    <row r="7" spans="1:3" x14ac:dyDescent="0.25">
      <c r="A7" s="13">
        <v>1756</v>
      </c>
      <c r="B7" s="13">
        <v>-3.1826268124258601E-2</v>
      </c>
      <c r="C7" s="13">
        <v>0</v>
      </c>
    </row>
    <row r="8" spans="1:3" x14ac:dyDescent="0.25">
      <c r="A8" s="13">
        <v>1757</v>
      </c>
      <c r="B8" s="13">
        <v>-3.1812459521461202E-2</v>
      </c>
      <c r="C8" s="13">
        <v>0</v>
      </c>
    </row>
    <row r="9" spans="1:3" x14ac:dyDescent="0.25">
      <c r="A9" s="13">
        <v>1758</v>
      </c>
      <c r="B9" s="13">
        <v>-3.1798993996655603E-2</v>
      </c>
      <c r="C9" s="13">
        <v>0</v>
      </c>
    </row>
    <row r="10" spans="1:3" x14ac:dyDescent="0.25">
      <c r="A10" s="13">
        <v>1759</v>
      </c>
      <c r="B10" s="13">
        <v>-3.1785834070916098E-2</v>
      </c>
      <c r="C10" s="13">
        <v>0</v>
      </c>
    </row>
    <row r="11" spans="1:3" x14ac:dyDescent="0.25">
      <c r="A11" s="13">
        <v>1760</v>
      </c>
      <c r="B11" s="13">
        <v>-3.1772949679864597E-2</v>
      </c>
      <c r="C11" s="13">
        <v>0</v>
      </c>
    </row>
    <row r="12" spans="1:3" x14ac:dyDescent="0.25">
      <c r="A12" s="13">
        <v>1761</v>
      </c>
      <c r="B12" s="13">
        <v>-3.1760316129070001E-2</v>
      </c>
      <c r="C12" s="13">
        <v>0</v>
      </c>
    </row>
    <row r="13" spans="1:3" x14ac:dyDescent="0.25">
      <c r="A13" s="13">
        <v>1762</v>
      </c>
      <c r="B13" s="13">
        <v>-3.1747912748620599E-2</v>
      </c>
      <c r="C13" s="13">
        <v>0</v>
      </c>
    </row>
    <row r="14" spans="1:3" x14ac:dyDescent="0.25">
      <c r="A14" s="13">
        <v>1763</v>
      </c>
      <c r="B14" s="13">
        <v>-3.1735721968554301E-2</v>
      </c>
      <c r="C14" s="13">
        <v>0</v>
      </c>
    </row>
    <row r="15" spans="1:3" x14ac:dyDescent="0.25">
      <c r="A15" s="13">
        <v>1764</v>
      </c>
      <c r="B15" s="13">
        <v>-3.1723728660914503E-2</v>
      </c>
      <c r="C15" s="13">
        <v>0</v>
      </c>
    </row>
    <row r="16" spans="1:3" x14ac:dyDescent="0.25">
      <c r="A16" s="13">
        <v>1765</v>
      </c>
      <c r="B16" s="13">
        <v>-3.1711919657893398E-2</v>
      </c>
      <c r="C16" s="13">
        <v>0</v>
      </c>
    </row>
    <row r="17" spans="1:3" x14ac:dyDescent="0.25">
      <c r="A17" s="13">
        <v>1766</v>
      </c>
      <c r="B17" s="13">
        <v>-3.1700283390327197E-2</v>
      </c>
      <c r="C17" s="13">
        <v>0</v>
      </c>
    </row>
    <row r="18" spans="1:3" x14ac:dyDescent="0.25">
      <c r="A18" s="13">
        <v>1767</v>
      </c>
      <c r="B18" s="13">
        <v>-3.1688809610852603E-2</v>
      </c>
      <c r="C18" s="13">
        <v>0</v>
      </c>
    </row>
    <row r="19" spans="1:3" x14ac:dyDescent="0.25">
      <c r="A19" s="13">
        <v>1768</v>
      </c>
      <c r="B19" s="13">
        <v>-3.1677489178101002E-2</v>
      </c>
      <c r="C19" s="13">
        <v>0</v>
      </c>
    </row>
    <row r="20" spans="1:3" x14ac:dyDescent="0.25">
      <c r="A20" s="13">
        <v>1769</v>
      </c>
      <c r="B20" s="13">
        <v>-3.1666313885873397E-2</v>
      </c>
      <c r="C20" s="13">
        <v>0</v>
      </c>
    </row>
    <row r="21" spans="1:3" x14ac:dyDescent="0.25">
      <c r="A21" s="13">
        <v>1770</v>
      </c>
      <c r="B21" s="13">
        <v>-3.1655276326052903E-2</v>
      </c>
      <c r="C21" s="13">
        <v>0</v>
      </c>
    </row>
    <row r="22" spans="1:3" x14ac:dyDescent="0.25">
      <c r="A22" s="13">
        <v>1771</v>
      </c>
      <c r="B22" s="13">
        <v>-3.1637967678443499E-2</v>
      </c>
      <c r="C22" s="13">
        <v>0</v>
      </c>
    </row>
    <row r="23" spans="1:3" x14ac:dyDescent="0.25">
      <c r="A23" s="13">
        <v>1772</v>
      </c>
      <c r="B23" s="13">
        <v>-3.1621567425660503E-2</v>
      </c>
      <c r="C23" s="13">
        <v>0</v>
      </c>
    </row>
    <row r="24" spans="1:3" x14ac:dyDescent="0.25">
      <c r="A24" s="13">
        <v>1773</v>
      </c>
      <c r="B24" s="13">
        <v>-3.1605607144886499E-2</v>
      </c>
      <c r="C24" s="13">
        <v>0</v>
      </c>
    </row>
    <row r="25" spans="1:3" x14ac:dyDescent="0.25">
      <c r="A25" s="13">
        <v>1774</v>
      </c>
      <c r="B25" s="13">
        <v>-3.1589991467400803E-2</v>
      </c>
      <c r="C25" s="13">
        <v>0</v>
      </c>
    </row>
    <row r="26" spans="1:3" x14ac:dyDescent="0.25">
      <c r="A26" s="13">
        <v>1775</v>
      </c>
      <c r="B26" s="13">
        <v>-3.15746677264436E-2</v>
      </c>
      <c r="C26" s="13">
        <v>0</v>
      </c>
    </row>
    <row r="27" spans="1:3" x14ac:dyDescent="0.25">
      <c r="A27" s="13">
        <v>1776</v>
      </c>
      <c r="B27" s="13">
        <v>-3.1559600917073299E-2</v>
      </c>
      <c r="C27" s="13">
        <v>0</v>
      </c>
    </row>
    <row r="28" spans="1:3" x14ac:dyDescent="0.25">
      <c r="A28" s="13">
        <v>1777</v>
      </c>
      <c r="B28" s="13">
        <v>-3.1544765449392602E-2</v>
      </c>
      <c r="C28" s="13">
        <v>0</v>
      </c>
    </row>
    <row r="29" spans="1:3" x14ac:dyDescent="0.25">
      <c r="A29" s="13">
        <v>1778</v>
      </c>
      <c r="B29" s="13">
        <v>-3.1530141478802502E-2</v>
      </c>
      <c r="C29" s="13">
        <v>0</v>
      </c>
    </row>
    <row r="30" spans="1:3" x14ac:dyDescent="0.25">
      <c r="A30" s="13">
        <v>1779</v>
      </c>
      <c r="B30" s="13">
        <v>-3.1515712983428999E-2</v>
      </c>
      <c r="C30" s="13">
        <v>0</v>
      </c>
    </row>
    <row r="31" spans="1:3" x14ac:dyDescent="0.25">
      <c r="A31" s="13">
        <v>1780</v>
      </c>
      <c r="B31" s="13">
        <v>-3.1501466644280197E-2</v>
      </c>
      <c r="C31" s="13">
        <v>0</v>
      </c>
    </row>
    <row r="32" spans="1:3" x14ac:dyDescent="0.25">
      <c r="A32" s="13">
        <v>1781</v>
      </c>
      <c r="B32" s="13">
        <v>-3.1480989275233802E-2</v>
      </c>
      <c r="C32" s="13">
        <v>0</v>
      </c>
    </row>
    <row r="33" spans="1:3" x14ac:dyDescent="0.25">
      <c r="A33" s="13">
        <v>1782</v>
      </c>
      <c r="B33" s="13">
        <v>-3.1461456445366798E-2</v>
      </c>
      <c r="C33" s="13">
        <v>0</v>
      </c>
    </row>
    <row r="34" spans="1:3" x14ac:dyDescent="0.25">
      <c r="A34" s="13">
        <v>1783</v>
      </c>
      <c r="B34" s="13">
        <v>-3.14423967730234E-2</v>
      </c>
      <c r="C34" s="13">
        <v>0</v>
      </c>
    </row>
    <row r="35" spans="1:3" x14ac:dyDescent="0.25">
      <c r="A35" s="13">
        <v>1784</v>
      </c>
      <c r="B35" s="13">
        <v>-3.1423712433936601E-2</v>
      </c>
      <c r="C35" s="13">
        <v>0</v>
      </c>
    </row>
    <row r="36" spans="1:3" x14ac:dyDescent="0.25">
      <c r="A36" s="13">
        <v>1785</v>
      </c>
      <c r="B36" s="13">
        <v>-3.1405348700166397E-2</v>
      </c>
      <c r="C36" s="13">
        <v>0</v>
      </c>
    </row>
    <row r="37" spans="1:3" x14ac:dyDescent="0.25">
      <c r="A37" s="13">
        <v>1786</v>
      </c>
      <c r="B37" s="13">
        <v>-3.13872688137906E-2</v>
      </c>
      <c r="C37" s="13">
        <v>0</v>
      </c>
    </row>
    <row r="38" spans="1:3" x14ac:dyDescent="0.25">
      <c r="A38" s="13">
        <v>1787</v>
      </c>
      <c r="B38" s="13">
        <v>-3.1369445676284601E-2</v>
      </c>
      <c r="C38" s="13">
        <v>0</v>
      </c>
    </row>
    <row r="39" spans="1:3" x14ac:dyDescent="0.25">
      <c r="A39" s="13">
        <v>1788</v>
      </c>
      <c r="B39" s="13">
        <v>-3.1351858130785497E-2</v>
      </c>
      <c r="C39" s="13">
        <v>0</v>
      </c>
    </row>
    <row r="40" spans="1:3" x14ac:dyDescent="0.25">
      <c r="A40" s="13">
        <v>1789</v>
      </c>
      <c r="B40" s="13">
        <v>-3.1334489002908597E-2</v>
      </c>
      <c r="C40" s="13">
        <v>0</v>
      </c>
    </row>
    <row r="41" spans="1:3" x14ac:dyDescent="0.25">
      <c r="A41" s="13">
        <v>1790</v>
      </c>
      <c r="B41" s="13">
        <v>-3.1317323952596197E-2</v>
      </c>
      <c r="C41" s="13">
        <v>0</v>
      </c>
    </row>
    <row r="42" spans="1:3" x14ac:dyDescent="0.25">
      <c r="A42" s="13">
        <v>1791</v>
      </c>
      <c r="B42" s="13">
        <v>-3.1293949158587901E-2</v>
      </c>
      <c r="C42" s="13">
        <v>0</v>
      </c>
    </row>
    <row r="43" spans="1:3" x14ac:dyDescent="0.25">
      <c r="A43" s="13">
        <v>1792</v>
      </c>
      <c r="B43" s="13">
        <v>-3.1271539067352E-2</v>
      </c>
      <c r="C43" s="13">
        <v>0</v>
      </c>
    </row>
    <row r="44" spans="1:3" x14ac:dyDescent="0.25">
      <c r="A44" s="13">
        <v>1793</v>
      </c>
      <c r="B44" s="13">
        <v>-3.1249621573764499E-2</v>
      </c>
      <c r="C44" s="13">
        <v>0</v>
      </c>
    </row>
    <row r="45" spans="1:3" x14ac:dyDescent="0.25">
      <c r="A45" s="13">
        <v>1794</v>
      </c>
      <c r="B45" s="13">
        <v>-3.1228098180768198E-2</v>
      </c>
      <c r="C45" s="13">
        <v>0</v>
      </c>
    </row>
    <row r="46" spans="1:3" x14ac:dyDescent="0.25">
      <c r="A46" s="13">
        <v>1795</v>
      </c>
      <c r="B46" s="13">
        <v>-3.1206913542941001E-2</v>
      </c>
      <c r="C46" s="13">
        <v>0</v>
      </c>
    </row>
    <row r="47" spans="1:3" x14ac:dyDescent="0.25">
      <c r="A47" s="13">
        <v>1796</v>
      </c>
      <c r="B47" s="13">
        <v>-3.1186030333590499E-2</v>
      </c>
      <c r="C47" s="13">
        <v>0</v>
      </c>
    </row>
    <row r="48" spans="1:3" x14ac:dyDescent="0.25">
      <c r="A48" s="13">
        <v>1797</v>
      </c>
      <c r="B48" s="13">
        <v>-3.1159019537726498E-2</v>
      </c>
      <c r="C48" s="13">
        <v>0</v>
      </c>
    </row>
    <row r="49" spans="1:3" x14ac:dyDescent="0.25">
      <c r="A49" s="13">
        <v>1798</v>
      </c>
      <c r="B49" s="13">
        <v>-3.11330443501165E-2</v>
      </c>
      <c r="C49" s="13">
        <v>0</v>
      </c>
    </row>
    <row r="50" spans="1:3" x14ac:dyDescent="0.25">
      <c r="A50" s="13">
        <v>1799</v>
      </c>
      <c r="B50" s="13">
        <v>-3.1107624372343101E-2</v>
      </c>
      <c r="C50" s="13">
        <v>0</v>
      </c>
    </row>
    <row r="51" spans="1:3" x14ac:dyDescent="0.25">
      <c r="A51" s="13">
        <v>1800</v>
      </c>
      <c r="B51" s="13">
        <v>-8.1840320547137801E-2</v>
      </c>
      <c r="C51" s="13">
        <v>-0.38591699999999901</v>
      </c>
    </row>
    <row r="52" spans="1:3" x14ac:dyDescent="0.25">
      <c r="A52" s="13">
        <v>1801</v>
      </c>
      <c r="B52" s="13">
        <v>2.53999220596824E-2</v>
      </c>
      <c r="C52" s="13">
        <v>0.43033329999999997</v>
      </c>
    </row>
    <row r="53" spans="1:3" x14ac:dyDescent="0.25">
      <c r="A53" s="13">
        <v>1802</v>
      </c>
      <c r="B53" s="13">
        <v>6.6817583111204596E-3</v>
      </c>
      <c r="C53" s="13">
        <v>0.28716700000000001</v>
      </c>
    </row>
    <row r="54" spans="1:3" x14ac:dyDescent="0.25">
      <c r="A54" s="13">
        <v>1803</v>
      </c>
      <c r="B54" s="13">
        <v>-3.9477499807676897E-2</v>
      </c>
      <c r="C54" s="13">
        <v>-6.4749999999999905E-2</v>
      </c>
    </row>
    <row r="55" spans="1:3" x14ac:dyDescent="0.25">
      <c r="A55" s="13">
        <v>1804</v>
      </c>
      <c r="B55" s="13">
        <v>-2.13932375206622E-2</v>
      </c>
      <c r="C55" s="13">
        <v>7.2666999999999995E-2</v>
      </c>
    </row>
    <row r="56" spans="1:3" x14ac:dyDescent="0.25">
      <c r="A56" s="13">
        <v>1805</v>
      </c>
      <c r="B56" s="13">
        <v>-7.02647566782795E-2</v>
      </c>
      <c r="C56" s="13">
        <v>-0.29933299999999902</v>
      </c>
    </row>
    <row r="57" spans="1:3" x14ac:dyDescent="0.25">
      <c r="A57" s="13">
        <v>1806</v>
      </c>
      <c r="B57" s="13">
        <v>-1.5852040631597401E-2</v>
      </c>
      <c r="C57" s="13">
        <v>0.114333</v>
      </c>
    </row>
    <row r="58" spans="1:3" x14ac:dyDescent="0.25">
      <c r="A58" s="13">
        <v>1807</v>
      </c>
      <c r="B58" s="13">
        <v>-3.2699101807473797E-2</v>
      </c>
      <c r="C58" s="13">
        <v>-1.42499999999999E-2</v>
      </c>
    </row>
    <row r="59" spans="1:3" x14ac:dyDescent="0.25">
      <c r="A59" s="13">
        <v>1808</v>
      </c>
      <c r="B59" s="13">
        <v>-0.10197701499593401</v>
      </c>
      <c r="C59" s="13">
        <v>-0.54091699999999998</v>
      </c>
    </row>
    <row r="60" spans="1:3" x14ac:dyDescent="0.25">
      <c r="A60" s="13">
        <v>1809</v>
      </c>
      <c r="B60" s="13">
        <v>-0.16241253682127599</v>
      </c>
      <c r="C60" s="13">
        <v>-0.99883</v>
      </c>
    </row>
    <row r="61" spans="1:3" x14ac:dyDescent="0.25">
      <c r="A61" s="13">
        <v>1810</v>
      </c>
      <c r="B61" s="13">
        <v>-0.118821688836121</v>
      </c>
      <c r="C61" s="13">
        <v>-0.66916999999999904</v>
      </c>
    </row>
    <row r="62" spans="1:3" x14ac:dyDescent="0.25">
      <c r="A62" s="13">
        <v>1811</v>
      </c>
      <c r="B62" s="13">
        <v>-2.1112770671621602E-2</v>
      </c>
      <c r="C62" s="13">
        <v>7.2832999999999995E-2</v>
      </c>
    </row>
    <row r="63" spans="1:3" x14ac:dyDescent="0.25">
      <c r="A63" s="13">
        <v>1812</v>
      </c>
      <c r="B63" s="13">
        <v>-0.189514626091075</v>
      </c>
      <c r="C63" s="13">
        <v>-1.2044999999999999</v>
      </c>
    </row>
    <row r="64" spans="1:3" x14ac:dyDescent="0.25">
      <c r="A64" s="13">
        <v>1813</v>
      </c>
      <c r="B64" s="13">
        <v>-5.63487990694077E-2</v>
      </c>
      <c r="C64" s="13">
        <v>-0.19591700000000001</v>
      </c>
    </row>
    <row r="65" spans="1:3" x14ac:dyDescent="0.25">
      <c r="A65" s="13">
        <v>1814</v>
      </c>
      <c r="B65" s="13">
        <v>-9.9511152107457604E-2</v>
      </c>
      <c r="C65" s="13">
        <v>-0.52400000000000002</v>
      </c>
    </row>
    <row r="66" spans="1:3" x14ac:dyDescent="0.25">
      <c r="A66" s="13">
        <v>1815</v>
      </c>
      <c r="B66" s="13">
        <v>-0.12209817962738199</v>
      </c>
      <c r="C66" s="13">
        <v>-0.69557999999999998</v>
      </c>
    </row>
    <row r="67" spans="1:3" x14ac:dyDescent="0.25">
      <c r="A67" s="13">
        <v>1816</v>
      </c>
      <c r="B67" s="13">
        <v>-0.140061025573092</v>
      </c>
      <c r="C67" s="13">
        <v>-0.83199999999999996</v>
      </c>
    </row>
    <row r="68" spans="1:3" x14ac:dyDescent="0.25">
      <c r="A68" s="13">
        <v>1817</v>
      </c>
      <c r="B68" s="13">
        <v>-0.129383949262667</v>
      </c>
      <c r="C68" s="13">
        <v>-0.75158000000000003</v>
      </c>
    </row>
    <row r="69" spans="1:3" x14ac:dyDescent="0.25">
      <c r="A69" s="13">
        <v>1818</v>
      </c>
      <c r="B69" s="13">
        <v>-5.5185966260225303E-2</v>
      </c>
      <c r="C69" s="13">
        <v>-0.188917</v>
      </c>
    </row>
    <row r="70" spans="1:3" x14ac:dyDescent="0.25">
      <c r="A70" s="13">
        <v>1819</v>
      </c>
      <c r="B70" s="13">
        <v>-8.4242775764678604E-2</v>
      </c>
      <c r="C70" s="13">
        <v>-0.41008299999999998</v>
      </c>
    </row>
    <row r="71" spans="1:3" x14ac:dyDescent="0.25">
      <c r="A71" s="13">
        <v>1820</v>
      </c>
      <c r="B71" s="13">
        <v>-0.10115726680353999</v>
      </c>
      <c r="C71" s="13">
        <v>-0.53883300000000001</v>
      </c>
    </row>
    <row r="72" spans="1:3" x14ac:dyDescent="0.25">
      <c r="A72" s="13">
        <v>1821</v>
      </c>
      <c r="B72" s="13">
        <v>-1.59375583253509E-2</v>
      </c>
      <c r="C72" s="13">
        <v>0.108667</v>
      </c>
    </row>
    <row r="73" spans="1:3" x14ac:dyDescent="0.25">
      <c r="A73" s="13">
        <v>1822</v>
      </c>
      <c r="B73" s="13">
        <v>3.5929436110004001E-2</v>
      </c>
      <c r="C73" s="13">
        <v>0.504</v>
      </c>
    </row>
    <row r="74" spans="1:3" x14ac:dyDescent="0.25">
      <c r="A74" s="13">
        <v>1823</v>
      </c>
      <c r="B74" s="13">
        <v>-7.3138513689756296E-2</v>
      </c>
      <c r="C74" s="13">
        <v>-0.32741699999999901</v>
      </c>
    </row>
    <row r="75" spans="1:3" x14ac:dyDescent="0.25">
      <c r="A75" s="13">
        <v>1824</v>
      </c>
      <c r="B75" s="13">
        <v>1.4101712414989699E-2</v>
      </c>
      <c r="C75" s="13">
        <v>0.33641670000000001</v>
      </c>
    </row>
    <row r="76" spans="1:3" x14ac:dyDescent="0.25">
      <c r="A76" s="13">
        <v>1825</v>
      </c>
      <c r="B76" s="13">
        <v>1.31933154522446E-2</v>
      </c>
      <c r="C76" s="13">
        <v>0.32900000000000001</v>
      </c>
    </row>
    <row r="77" spans="1:3" x14ac:dyDescent="0.25">
      <c r="A77" s="13">
        <v>1826</v>
      </c>
      <c r="B77" s="13">
        <v>1.44342440973239E-2</v>
      </c>
      <c r="C77" s="13">
        <v>0.33800000000000002</v>
      </c>
    </row>
    <row r="78" spans="1:3" x14ac:dyDescent="0.25">
      <c r="A78" s="13">
        <v>1827</v>
      </c>
      <c r="B78" s="13">
        <v>4.13519718848663E-2</v>
      </c>
      <c r="C78" s="13">
        <v>0.54308299999999998</v>
      </c>
    </row>
    <row r="79" spans="1:3" x14ac:dyDescent="0.25">
      <c r="A79" s="13">
        <v>1828</v>
      </c>
      <c r="B79" s="13">
        <v>-4.4034878720585598E-2</v>
      </c>
      <c r="C79" s="13">
        <v>-0.108582999999999</v>
      </c>
    </row>
    <row r="80" spans="1:3" x14ac:dyDescent="0.25">
      <c r="A80" s="13">
        <v>1829</v>
      </c>
      <c r="B80" s="13">
        <v>-8.6697701812636696E-2</v>
      </c>
      <c r="C80" s="13">
        <v>-0.43333299999999902</v>
      </c>
    </row>
    <row r="81" spans="1:3" x14ac:dyDescent="0.25">
      <c r="A81" s="13">
        <v>1830</v>
      </c>
      <c r="B81" s="13">
        <v>1.82570842066501E-2</v>
      </c>
      <c r="C81" s="13">
        <v>0.36491669999999998</v>
      </c>
    </row>
    <row r="82" spans="1:3" x14ac:dyDescent="0.25">
      <c r="A82" s="13">
        <v>1831</v>
      </c>
      <c r="B82" s="13">
        <v>-0.109731635876352</v>
      </c>
      <c r="C82" s="13">
        <v>-0.60957999999999901</v>
      </c>
    </row>
    <row r="83" spans="1:3" x14ac:dyDescent="0.25">
      <c r="A83" s="13">
        <v>1832</v>
      </c>
      <c r="B83" s="13">
        <v>-0.100655417780864</v>
      </c>
      <c r="C83" s="13">
        <v>-0.54141699999999904</v>
      </c>
    </row>
    <row r="84" spans="1:3" x14ac:dyDescent="0.25">
      <c r="A84" s="13">
        <v>1833</v>
      </c>
      <c r="B84" s="13">
        <v>-2.09309247701422E-2</v>
      </c>
      <c r="C84" s="13">
        <v>6.4000000000000001E-2</v>
      </c>
    </row>
    <row r="85" spans="1:3" x14ac:dyDescent="0.25">
      <c r="A85" s="13">
        <v>1834</v>
      </c>
      <c r="B85" s="13">
        <v>-1.30112518809771E-2</v>
      </c>
      <c r="C85" s="13">
        <v>0.123667</v>
      </c>
    </row>
    <row r="86" spans="1:3" x14ac:dyDescent="0.25">
      <c r="A86" s="13">
        <v>1835</v>
      </c>
      <c r="B86" s="13">
        <v>-0.11561352474474999</v>
      </c>
      <c r="C86" s="13">
        <v>-0.65699999999999903</v>
      </c>
    </row>
    <row r="87" spans="1:3" x14ac:dyDescent="0.25">
      <c r="A87" s="13">
        <v>1836</v>
      </c>
      <c r="B87" s="13">
        <v>-6.9832651770740106E-2</v>
      </c>
      <c r="C87" s="13">
        <v>-0.310416999999999</v>
      </c>
    </row>
    <row r="88" spans="1:3" x14ac:dyDescent="0.25">
      <c r="A88" s="13">
        <v>1837</v>
      </c>
      <c r="B88" s="13">
        <v>-8.9202510856077805E-2</v>
      </c>
      <c r="C88" s="13">
        <v>-0.45841699999999902</v>
      </c>
    </row>
    <row r="89" spans="1:3" x14ac:dyDescent="0.25">
      <c r="A89" s="13">
        <v>1838</v>
      </c>
      <c r="B89" s="13">
        <v>-9.1268257876160899E-2</v>
      </c>
      <c r="C89" s="13">
        <v>-0.47499999999999998</v>
      </c>
    </row>
    <row r="90" spans="1:3" x14ac:dyDescent="0.25">
      <c r="A90" s="13">
        <v>1839</v>
      </c>
      <c r="B90" s="13">
        <v>-5.4923293012530502E-2</v>
      </c>
      <c r="C90" s="13">
        <v>-0.19974999999999901</v>
      </c>
    </row>
    <row r="91" spans="1:3" x14ac:dyDescent="0.25">
      <c r="A91" s="13">
        <v>1840</v>
      </c>
      <c r="B91" s="13">
        <v>-5.57236276452747E-2</v>
      </c>
      <c r="C91" s="13">
        <v>-0.20683299999999899</v>
      </c>
    </row>
    <row r="92" spans="1:3" x14ac:dyDescent="0.25">
      <c r="A92" s="13">
        <v>1841</v>
      </c>
      <c r="B92" s="13">
        <v>-6.10032385400135E-2</v>
      </c>
      <c r="C92" s="13">
        <v>-0.248</v>
      </c>
    </row>
    <row r="93" spans="1:3" x14ac:dyDescent="0.25">
      <c r="A93" s="13">
        <v>1842</v>
      </c>
      <c r="B93" s="13">
        <v>-1.5927457904206001E-2</v>
      </c>
      <c r="C93" s="13">
        <v>9.4083E-2</v>
      </c>
    </row>
    <row r="94" spans="1:3" x14ac:dyDescent="0.25">
      <c r="A94" s="13">
        <v>1843</v>
      </c>
      <c r="B94" s="13">
        <v>1.8861076875145699E-3</v>
      </c>
      <c r="C94" s="13">
        <v>0.22883300000000001</v>
      </c>
    </row>
    <row r="95" spans="1:3" x14ac:dyDescent="0.25">
      <c r="A95" s="13">
        <v>1844</v>
      </c>
      <c r="B95" s="13">
        <v>-6.2094221860780799E-2</v>
      </c>
      <c r="C95" s="13">
        <v>-0.25966699999999998</v>
      </c>
    </row>
    <row r="96" spans="1:3" x14ac:dyDescent="0.25">
      <c r="A96" s="13">
        <v>1845</v>
      </c>
      <c r="B96" s="13">
        <v>-4.29144788483053E-2</v>
      </c>
      <c r="C96" s="13">
        <v>-0.11508299999999901</v>
      </c>
    </row>
    <row r="97" spans="1:3" x14ac:dyDescent="0.25">
      <c r="A97" s="13">
        <v>1846</v>
      </c>
      <c r="B97" s="13">
        <v>6.0837123158532201E-2</v>
      </c>
      <c r="C97" s="13">
        <v>0.67558300000000004</v>
      </c>
    </row>
    <row r="98" spans="1:3" x14ac:dyDescent="0.25">
      <c r="A98" s="13">
        <v>1847</v>
      </c>
      <c r="B98" s="13">
        <v>-2.0209876591135299E-2</v>
      </c>
      <c r="C98" s="13">
        <v>5.5167000000000001E-2</v>
      </c>
    </row>
    <row r="99" spans="1:3" x14ac:dyDescent="0.25">
      <c r="A99" s="13">
        <v>1848</v>
      </c>
      <c r="B99" s="13">
        <v>-3.2996819802519499E-2</v>
      </c>
      <c r="C99" s="13">
        <v>-4.36669999999999E-2</v>
      </c>
    </row>
    <row r="100" spans="1:3" x14ac:dyDescent="0.25">
      <c r="A100" s="13">
        <v>1849</v>
      </c>
      <c r="B100" s="13">
        <v>-2.5698200376018301E-2</v>
      </c>
      <c r="C100" s="13">
        <v>1.0416999999999999E-2</v>
      </c>
    </row>
    <row r="101" spans="1:3" x14ac:dyDescent="0.25">
      <c r="A101" s="13">
        <v>1850</v>
      </c>
      <c r="B101" s="13">
        <v>-5.2137065541104297E-2</v>
      </c>
      <c r="C101" s="13">
        <v>-0.192582999999999</v>
      </c>
    </row>
    <row r="102" spans="1:3" x14ac:dyDescent="0.25">
      <c r="A102" s="13">
        <v>1851</v>
      </c>
      <c r="B102" s="13">
        <v>-6.0315169880365898E-3</v>
      </c>
      <c r="C102" s="13">
        <v>0.157083</v>
      </c>
    </row>
    <row r="103" spans="1:3" x14ac:dyDescent="0.25">
      <c r="A103" s="13">
        <v>1852</v>
      </c>
      <c r="B103" s="13">
        <v>-1.5934977347553701E-2</v>
      </c>
      <c r="C103" s="13">
        <v>7.9833000000000001E-2</v>
      </c>
    </row>
    <row r="104" spans="1:3" x14ac:dyDescent="0.25">
      <c r="A104" s="13">
        <v>1853</v>
      </c>
      <c r="B104" s="13">
        <v>-2.7749930668078501E-2</v>
      </c>
      <c r="C104" s="13">
        <v>-1.19999999999999E-2</v>
      </c>
    </row>
    <row r="105" spans="1:3" x14ac:dyDescent="0.25">
      <c r="A105" s="13">
        <v>1854</v>
      </c>
      <c r="B105" s="13">
        <v>5.3826470376555496E-3</v>
      </c>
      <c r="C105" s="13">
        <v>0.23849999999999999</v>
      </c>
    </row>
    <row r="106" spans="1:3" x14ac:dyDescent="0.25">
      <c r="A106" s="13">
        <v>1855</v>
      </c>
      <c r="B106" s="13">
        <v>7.4180140616760702E-3</v>
      </c>
      <c r="C106" s="13">
        <v>0.25183299999999997</v>
      </c>
    </row>
    <row r="107" spans="1:3" x14ac:dyDescent="0.25">
      <c r="A107" s="13">
        <v>1856</v>
      </c>
      <c r="B107" s="13">
        <v>-3.33707572796932E-2</v>
      </c>
      <c r="C107" s="13">
        <v>-6.1666999999999902E-2</v>
      </c>
    </row>
    <row r="108" spans="1:3" x14ac:dyDescent="0.25">
      <c r="A108" s="13">
        <v>1857</v>
      </c>
      <c r="B108" s="13">
        <v>-5.1758935869526797E-2</v>
      </c>
      <c r="C108" s="13">
        <v>-0.20408299999999999</v>
      </c>
    </row>
    <row r="109" spans="1:3" x14ac:dyDescent="0.25">
      <c r="A109" s="13">
        <v>1858</v>
      </c>
      <c r="B109" s="13">
        <v>-6.95968490462439E-3</v>
      </c>
      <c r="C109" s="13">
        <v>0.13500000000000001</v>
      </c>
    </row>
    <row r="110" spans="1:3" x14ac:dyDescent="0.25">
      <c r="A110" s="13">
        <v>1859</v>
      </c>
      <c r="B110" s="13">
        <v>-5.5668720888794496E-4</v>
      </c>
      <c r="C110" s="13">
        <v>0.18133299999999999</v>
      </c>
    </row>
    <row r="111" spans="1:3" x14ac:dyDescent="0.25">
      <c r="A111" s="13">
        <v>1860</v>
      </c>
      <c r="B111" s="13">
        <v>-6.2952234593299003E-2</v>
      </c>
      <c r="C111" s="13">
        <v>-0.29708299999999999</v>
      </c>
    </row>
    <row r="112" spans="1:3" x14ac:dyDescent="0.25">
      <c r="A112" s="13">
        <v>1861</v>
      </c>
      <c r="B112" s="13">
        <v>-4.3264896481261E-2</v>
      </c>
      <c r="C112" s="13">
        <v>-0.150166999999999</v>
      </c>
    </row>
    <row r="113" spans="1:3" x14ac:dyDescent="0.25">
      <c r="A113" s="13">
        <v>1862</v>
      </c>
      <c r="B113" s="13">
        <v>-9.4046906081302006E-2</v>
      </c>
      <c r="C113" s="13">
        <v>-0.53949999999999998</v>
      </c>
    </row>
    <row r="114" spans="1:3" x14ac:dyDescent="0.25">
      <c r="A114" s="13">
        <v>1863</v>
      </c>
      <c r="B114" s="13">
        <v>3.6628471194314E-3</v>
      </c>
      <c r="C114" s="13">
        <v>0.20158300000000001</v>
      </c>
    </row>
    <row r="115" spans="1:3" x14ac:dyDescent="0.25">
      <c r="A115" s="13">
        <v>1864</v>
      </c>
      <c r="B115" s="13">
        <v>-2.90504957130777E-2</v>
      </c>
      <c r="C115" s="13">
        <v>-5.15829999999999E-2</v>
      </c>
    </row>
    <row r="116" spans="1:3" x14ac:dyDescent="0.25">
      <c r="A116" s="13">
        <v>1865</v>
      </c>
      <c r="B116" s="13">
        <v>-2.3939380163361399E-3</v>
      </c>
      <c r="C116" s="13">
        <v>0.14808299999999999</v>
      </c>
    </row>
    <row r="117" spans="1:3" x14ac:dyDescent="0.25">
      <c r="A117" s="13">
        <v>1866</v>
      </c>
      <c r="B117" s="13">
        <v>3.9245868334458903E-3</v>
      </c>
      <c r="C117" s="13">
        <v>0.192583</v>
      </c>
    </row>
    <row r="118" spans="1:3" x14ac:dyDescent="0.25">
      <c r="A118" s="13">
        <v>1867</v>
      </c>
      <c r="B118" s="13">
        <v>2.1504725739906298E-2</v>
      </c>
      <c r="C118" s="13">
        <v>0.3229167</v>
      </c>
    </row>
    <row r="119" spans="1:3" x14ac:dyDescent="0.25">
      <c r="A119" s="13">
        <v>1868</v>
      </c>
      <c r="B119" s="13">
        <v>7.2439139580328198E-4</v>
      </c>
      <c r="C119" s="13">
        <v>0.159917</v>
      </c>
    </row>
    <row r="120" spans="1:3" x14ac:dyDescent="0.25">
      <c r="A120" s="13">
        <v>1869</v>
      </c>
      <c r="B120" s="13">
        <v>2.5681013241719699E-2</v>
      </c>
      <c r="C120" s="13">
        <v>0.34633330000000001</v>
      </c>
    </row>
    <row r="121" spans="1:3" x14ac:dyDescent="0.25">
      <c r="A121" s="13">
        <v>1870</v>
      </c>
      <c r="B121" s="13">
        <v>-7.1416813012609697E-3</v>
      </c>
      <c r="C121" s="13">
        <v>9.0916999999999998E-2</v>
      </c>
    </row>
    <row r="122" spans="1:3" x14ac:dyDescent="0.25">
      <c r="A122" s="13">
        <v>1871</v>
      </c>
      <c r="B122" s="13">
        <v>-2.17647858128697E-2</v>
      </c>
      <c r="C122" s="13">
        <v>-2.5582999999999901E-2</v>
      </c>
    </row>
    <row r="123" spans="1:3" x14ac:dyDescent="0.25">
      <c r="A123" s="13">
        <v>1872</v>
      </c>
      <c r="B123" s="13">
        <v>-1.21572769329926E-2</v>
      </c>
      <c r="C123" s="13">
        <v>4.2250000000000003E-2</v>
      </c>
    </row>
    <row r="124" spans="1:3" x14ac:dyDescent="0.25">
      <c r="A124" s="13">
        <v>1873</v>
      </c>
      <c r="B124" s="13">
        <v>9.8141279498329594E-3</v>
      </c>
      <c r="C124" s="13">
        <v>0.20433299999999999</v>
      </c>
    </row>
    <row r="125" spans="1:3" x14ac:dyDescent="0.25">
      <c r="A125" s="13">
        <v>1874</v>
      </c>
      <c r="B125" s="13">
        <v>2.5538733141190598E-2</v>
      </c>
      <c r="C125" s="13">
        <v>0.31950000000000001</v>
      </c>
    </row>
    <row r="126" spans="1:3" x14ac:dyDescent="0.25">
      <c r="A126" s="13">
        <v>1875</v>
      </c>
      <c r="B126" s="13">
        <v>-3.61879657191988E-2</v>
      </c>
      <c r="C126" s="13">
        <v>-0.158082999999999</v>
      </c>
    </row>
    <row r="127" spans="1:3" x14ac:dyDescent="0.25">
      <c r="A127" s="13">
        <v>1876</v>
      </c>
      <c r="B127" s="13">
        <v>-2.3423924520866401E-2</v>
      </c>
      <c r="C127" s="13">
        <v>-6.6417000000000004E-2</v>
      </c>
    </row>
    <row r="128" spans="1:3" x14ac:dyDescent="0.25">
      <c r="A128" s="13">
        <v>1877</v>
      </c>
      <c r="B128" s="13">
        <v>2.7394940138420601E-2</v>
      </c>
      <c r="C128" s="13">
        <v>0.3165</v>
      </c>
    </row>
    <row r="129" spans="1:3" x14ac:dyDescent="0.25">
      <c r="A129" s="13">
        <v>1878</v>
      </c>
      <c r="B129" s="13">
        <v>6.4668484035045701E-2</v>
      </c>
      <c r="C129" s="13">
        <v>0.59658299999999997</v>
      </c>
    </row>
    <row r="130" spans="1:3" x14ac:dyDescent="0.25">
      <c r="A130" s="13">
        <v>1879</v>
      </c>
      <c r="B130" s="13">
        <v>-1.59440613136367E-3</v>
      </c>
      <c r="C130" s="13">
        <v>8.2583000000000004E-2</v>
      </c>
    </row>
    <row r="131" spans="1:3" x14ac:dyDescent="0.25">
      <c r="A131" s="13">
        <v>1880</v>
      </c>
      <c r="B131" s="13">
        <v>-1.0214009870146199E-2</v>
      </c>
      <c r="C131" s="13">
        <v>9.2500000000000308E-3</v>
      </c>
    </row>
    <row r="132" spans="1:3" x14ac:dyDescent="0.25">
      <c r="A132" s="13">
        <v>1881</v>
      </c>
      <c r="B132" s="13">
        <v>1.1647765528277799E-2</v>
      </c>
      <c r="C132" s="13">
        <v>0.16908300000000001</v>
      </c>
    </row>
    <row r="133" spans="1:3" x14ac:dyDescent="0.25">
      <c r="A133" s="13">
        <v>1882</v>
      </c>
      <c r="B133" s="13">
        <v>-1.3096933906996801E-3</v>
      </c>
      <c r="C133" s="13">
        <v>6.2E-2</v>
      </c>
    </row>
    <row r="134" spans="1:3" x14ac:dyDescent="0.25">
      <c r="A134" s="13">
        <v>1883</v>
      </c>
      <c r="B134" s="13">
        <v>-9.9297157803114201E-3</v>
      </c>
      <c r="C134" s="13">
        <v>-1.24169999999999E-2</v>
      </c>
    </row>
    <row r="135" spans="1:3" x14ac:dyDescent="0.25">
      <c r="A135" s="13">
        <v>1884</v>
      </c>
      <c r="B135" s="13">
        <v>-3.38540364612223E-2</v>
      </c>
      <c r="C135" s="13">
        <v>-0.20374999999999999</v>
      </c>
    </row>
    <row r="136" spans="1:3" x14ac:dyDescent="0.25">
      <c r="A136" s="13">
        <v>1885</v>
      </c>
      <c r="B136" s="13">
        <v>-9.6454465216819392E-3</v>
      </c>
      <c r="C136" s="13">
        <v>-2.6832999999999899E-2</v>
      </c>
    </row>
    <row r="137" spans="1:3" x14ac:dyDescent="0.25">
      <c r="A137" s="13">
        <v>1886</v>
      </c>
      <c r="B137" s="13">
        <v>-6.1490415681535E-3</v>
      </c>
      <c r="C137" s="13">
        <v>-8.3329999999999793E-3</v>
      </c>
    </row>
    <row r="138" spans="1:3" x14ac:dyDescent="0.25">
      <c r="A138" s="13">
        <v>1887</v>
      </c>
      <c r="B138" s="13">
        <v>-1.3968938983366701E-2</v>
      </c>
      <c r="C138" s="13">
        <v>-7.6999999999999902E-2</v>
      </c>
    </row>
    <row r="139" spans="1:3" x14ac:dyDescent="0.25">
      <c r="A139" s="13">
        <v>1888</v>
      </c>
      <c r="B139" s="13">
        <v>1.1451967824304301E-2</v>
      </c>
      <c r="C139" s="13">
        <v>0.107667</v>
      </c>
    </row>
    <row r="140" spans="1:3" x14ac:dyDescent="0.25">
      <c r="A140" s="13">
        <v>1889</v>
      </c>
      <c r="B140" s="13">
        <v>3.8844136142551902E-2</v>
      </c>
      <c r="C140" s="13">
        <v>0.30816670000000002</v>
      </c>
    </row>
    <row r="141" spans="1:3" x14ac:dyDescent="0.25">
      <c r="A141" s="13">
        <v>1890</v>
      </c>
      <c r="B141" s="13">
        <v>-1.8884506321592701E-3</v>
      </c>
      <c r="C141" s="13">
        <v>-1.5332999999999901E-2</v>
      </c>
    </row>
    <row r="142" spans="1:3" x14ac:dyDescent="0.25">
      <c r="A142" s="13">
        <v>1891</v>
      </c>
      <c r="B142" s="13">
        <v>4.9974106788188699E-3</v>
      </c>
      <c r="C142" s="13">
        <v>2.6082999999999999E-2</v>
      </c>
    </row>
    <row r="143" spans="1:3" x14ac:dyDescent="0.25">
      <c r="A143" s="13">
        <v>1892</v>
      </c>
      <c r="B143" s="13">
        <v>9.1448248523027693E-3</v>
      </c>
      <c r="C143" s="13">
        <v>4.675E-2</v>
      </c>
    </row>
    <row r="144" spans="1:3" x14ac:dyDescent="0.25">
      <c r="A144" s="13">
        <v>1893</v>
      </c>
      <c r="B144" s="13">
        <v>2.3007295372335299E-3</v>
      </c>
      <c r="C144" s="13">
        <v>-1.64999999999999E-2</v>
      </c>
    </row>
    <row r="145" spans="1:3" x14ac:dyDescent="0.25">
      <c r="A145" s="13">
        <v>1894</v>
      </c>
      <c r="B145" s="13">
        <v>2.7711528934353299E-2</v>
      </c>
      <c r="C145" s="13">
        <v>0.16750000000000001</v>
      </c>
    </row>
    <row r="146" spans="1:3" x14ac:dyDescent="0.25">
      <c r="A146" s="13">
        <v>1895</v>
      </c>
      <c r="B146" s="13">
        <v>2.0829009577849202E-2</v>
      </c>
      <c r="C146" s="13">
        <v>0.10258299999999999</v>
      </c>
    </row>
    <row r="147" spans="1:3" x14ac:dyDescent="0.25">
      <c r="A147" s="13">
        <v>1896</v>
      </c>
      <c r="B147" s="13">
        <v>3.33668866869819E-2</v>
      </c>
      <c r="C147" s="13">
        <v>0.186667</v>
      </c>
    </row>
    <row r="148" spans="1:3" x14ac:dyDescent="0.25">
      <c r="A148" s="13">
        <v>1897</v>
      </c>
      <c r="B148" s="13">
        <v>4.4814472096993199E-2</v>
      </c>
      <c r="C148" s="13">
        <v>0.26174999999999998</v>
      </c>
    </row>
    <row r="149" spans="1:3" x14ac:dyDescent="0.25">
      <c r="A149" s="13">
        <v>1898</v>
      </c>
      <c r="B149" s="13">
        <v>3.5221112019541603E-2</v>
      </c>
      <c r="C149" s="13">
        <v>0.17399999999999999</v>
      </c>
    </row>
    <row r="150" spans="1:3" x14ac:dyDescent="0.25">
      <c r="A150" s="13">
        <v>1899</v>
      </c>
      <c r="B150" s="13">
        <v>6.0132190515240803E-2</v>
      </c>
      <c r="C150" s="13">
        <v>0.35041670000000003</v>
      </c>
    </row>
    <row r="151" spans="1:3" x14ac:dyDescent="0.25">
      <c r="A151" s="13">
        <v>1900</v>
      </c>
      <c r="B151" s="13">
        <v>6.8829932333438398E-2</v>
      </c>
      <c r="C151" s="13">
        <v>0.40125</v>
      </c>
    </row>
    <row r="152" spans="1:3" x14ac:dyDescent="0.25">
      <c r="A152" s="13">
        <v>1901</v>
      </c>
      <c r="B152" s="13">
        <v>7.4265196540099901E-2</v>
      </c>
      <c r="C152" s="13">
        <v>0.4265833</v>
      </c>
    </row>
    <row r="153" spans="1:3" x14ac:dyDescent="0.25">
      <c r="A153" s="13">
        <v>1902</v>
      </c>
      <c r="B153" s="13">
        <v>4.2896686245857102E-2</v>
      </c>
      <c r="C153" s="13">
        <v>0.16758300000000001</v>
      </c>
    </row>
    <row r="154" spans="1:3" x14ac:dyDescent="0.25">
      <c r="A154" s="13">
        <v>1903</v>
      </c>
      <c r="B154" s="13">
        <v>4.2488065350823903E-2</v>
      </c>
      <c r="C154" s="13">
        <v>0.14541699999999999</v>
      </c>
    </row>
    <row r="155" spans="1:3" x14ac:dyDescent="0.25">
      <c r="A155" s="13">
        <v>1904</v>
      </c>
      <c r="B155" s="13">
        <v>3.0068689142292899E-2</v>
      </c>
      <c r="C155" s="13">
        <v>3.0832999999999999E-2</v>
      </c>
    </row>
    <row r="156" spans="1:3" x14ac:dyDescent="0.25">
      <c r="A156" s="13">
        <v>1905</v>
      </c>
      <c r="B156" s="13">
        <v>4.7927020199793502E-2</v>
      </c>
      <c r="C156" s="13">
        <v>0.14849999999999999</v>
      </c>
    </row>
    <row r="157" spans="1:3" x14ac:dyDescent="0.25">
      <c r="A157" s="13">
        <v>1906</v>
      </c>
      <c r="B157" s="13">
        <v>7.5009596083327995E-2</v>
      </c>
      <c r="C157" s="13">
        <v>0.33624999999999999</v>
      </c>
    </row>
    <row r="158" spans="1:3" x14ac:dyDescent="0.25">
      <c r="A158" s="13">
        <v>1907</v>
      </c>
      <c r="B158" s="13">
        <v>1.50107430003503E-2</v>
      </c>
      <c r="C158" s="13">
        <v>-0.152417</v>
      </c>
    </row>
    <row r="159" spans="1:3" x14ac:dyDescent="0.25">
      <c r="A159" s="13">
        <v>1908</v>
      </c>
      <c r="B159" s="13">
        <v>4.9281081494381998E-2</v>
      </c>
      <c r="C159" s="13">
        <v>9.0166999999999997E-2</v>
      </c>
    </row>
    <row r="160" spans="1:3" x14ac:dyDescent="0.25">
      <c r="A160" s="13">
        <v>1909</v>
      </c>
      <c r="B160" s="13">
        <v>5.1295766625091201E-2</v>
      </c>
      <c r="C160" s="13">
        <v>8.2167000000000004E-2</v>
      </c>
    </row>
    <row r="161" spans="1:3" x14ac:dyDescent="0.25">
      <c r="A161" s="13">
        <v>1910</v>
      </c>
      <c r="B161" s="13">
        <v>5.4875692520203301E-2</v>
      </c>
      <c r="C161" s="13">
        <v>8.5250000000000006E-2</v>
      </c>
    </row>
    <row r="162" spans="1:3" x14ac:dyDescent="0.25">
      <c r="A162" s="13">
        <v>1911</v>
      </c>
      <c r="B162" s="13">
        <v>5.0555798197172097E-2</v>
      </c>
      <c r="C162" s="13">
        <v>2.6917E-2</v>
      </c>
    </row>
    <row r="163" spans="1:3" x14ac:dyDescent="0.25">
      <c r="A163" s="13">
        <v>1912</v>
      </c>
      <c r="B163" s="13">
        <v>5.5977755681873902E-2</v>
      </c>
      <c r="C163" s="13">
        <v>4.2583000000000003E-2</v>
      </c>
    </row>
    <row r="164" spans="1:3" x14ac:dyDescent="0.25">
      <c r="A164" s="13">
        <v>1913</v>
      </c>
      <c r="B164" s="13">
        <v>7.7030879758776802E-2</v>
      </c>
      <c r="C164" s="13">
        <v>0.17733299999999999</v>
      </c>
    </row>
    <row r="165" spans="1:3" x14ac:dyDescent="0.25">
      <c r="A165" s="13">
        <v>1914</v>
      </c>
      <c r="B165" s="13">
        <v>0.11748281908184401</v>
      </c>
      <c r="C165" s="13">
        <v>0.46891670000000002</v>
      </c>
    </row>
    <row r="166" spans="1:3" x14ac:dyDescent="0.25">
      <c r="A166" s="13">
        <v>1915</v>
      </c>
      <c r="B166" s="13">
        <v>0.118162517455541</v>
      </c>
      <c r="C166" s="13">
        <v>0.45166669999999998</v>
      </c>
    </row>
    <row r="167" spans="1:3" x14ac:dyDescent="0.25">
      <c r="A167" s="13">
        <v>1916</v>
      </c>
      <c r="B167" s="13">
        <v>7.6030241097811702E-2</v>
      </c>
      <c r="C167" s="13">
        <v>9.7917000000000004E-2</v>
      </c>
    </row>
    <row r="168" spans="1:3" x14ac:dyDescent="0.25">
      <c r="A168" s="13">
        <v>1917</v>
      </c>
      <c r="B168" s="13">
        <v>5.3440344050950599E-2</v>
      </c>
      <c r="C168" s="13">
        <v>-0.105582999999999</v>
      </c>
    </row>
    <row r="169" spans="1:3" x14ac:dyDescent="0.25">
      <c r="A169" s="13">
        <v>1918</v>
      </c>
      <c r="B169" s="13">
        <v>6.8601136016746306E-2</v>
      </c>
      <c r="C169" s="13">
        <v>-1.3582999999999901E-2</v>
      </c>
    </row>
    <row r="170" spans="1:3" x14ac:dyDescent="0.25">
      <c r="A170" s="13">
        <v>1919</v>
      </c>
      <c r="B170" s="13">
        <v>9.3972319390439804E-2</v>
      </c>
      <c r="C170" s="13">
        <v>0.16500000000000001</v>
      </c>
    </row>
    <row r="171" spans="1:3" x14ac:dyDescent="0.25">
      <c r="A171" s="13">
        <v>1920</v>
      </c>
      <c r="B171" s="13">
        <v>0.104727519532618</v>
      </c>
      <c r="C171" s="13">
        <v>0.22325</v>
      </c>
    </row>
    <row r="172" spans="1:3" x14ac:dyDescent="0.25">
      <c r="A172" s="13">
        <v>1921</v>
      </c>
      <c r="B172" s="13">
        <v>0.137698941521889</v>
      </c>
      <c r="C172" s="13">
        <v>0.46250000000000002</v>
      </c>
    </row>
    <row r="173" spans="1:3" x14ac:dyDescent="0.25">
      <c r="A173" s="13">
        <v>1922</v>
      </c>
      <c r="B173" s="13">
        <v>0.113335974324525</v>
      </c>
      <c r="C173" s="13">
        <v>0.25074999999999997</v>
      </c>
    </row>
    <row r="174" spans="1:3" x14ac:dyDescent="0.25">
      <c r="A174" s="13">
        <v>1923</v>
      </c>
      <c r="B174" s="13">
        <v>0.120410894660317</v>
      </c>
      <c r="C174" s="13">
        <v>0.27925</v>
      </c>
    </row>
    <row r="175" spans="1:3" x14ac:dyDescent="0.25">
      <c r="A175" s="13">
        <v>1924</v>
      </c>
      <c r="B175" s="13">
        <v>0.137317277008841</v>
      </c>
      <c r="C175" s="13">
        <v>0.38616669999999997</v>
      </c>
    </row>
    <row r="176" spans="1:3" x14ac:dyDescent="0.25">
      <c r="A176" s="13">
        <v>1925</v>
      </c>
      <c r="B176" s="13">
        <v>0.13636807999239201</v>
      </c>
      <c r="C176" s="13">
        <v>0.35299999999999998</v>
      </c>
    </row>
    <row r="177" spans="1:3" x14ac:dyDescent="0.25">
      <c r="A177" s="13">
        <v>1926</v>
      </c>
      <c r="B177" s="13">
        <v>0.16133774606659901</v>
      </c>
      <c r="C177" s="13">
        <v>0.52349999999999997</v>
      </c>
    </row>
    <row r="178" spans="1:3" x14ac:dyDescent="0.25">
      <c r="A178" s="13">
        <v>1927</v>
      </c>
      <c r="B178" s="13">
        <v>0.13989698934849701</v>
      </c>
      <c r="C178" s="13">
        <v>0.3259167</v>
      </c>
    </row>
    <row r="179" spans="1:3" x14ac:dyDescent="0.25">
      <c r="A179" s="13">
        <v>1928</v>
      </c>
      <c r="B179" s="13">
        <v>0.16312948856182699</v>
      </c>
      <c r="C179" s="13">
        <v>0.48025000000000001</v>
      </c>
    </row>
    <row r="180" spans="1:3" x14ac:dyDescent="0.25">
      <c r="A180" s="13">
        <v>1929</v>
      </c>
      <c r="B180" s="13">
        <v>0.112581536929617</v>
      </c>
      <c r="C180" s="13">
        <v>5.0750000000000003E-2</v>
      </c>
    </row>
    <row r="181" spans="1:3" x14ac:dyDescent="0.25">
      <c r="A181" s="13">
        <v>1930</v>
      </c>
      <c r="B181" s="13">
        <v>0.16610608800861401</v>
      </c>
      <c r="C181" s="13">
        <v>0.44558330000000002</v>
      </c>
    </row>
    <row r="182" spans="1:3" x14ac:dyDescent="0.25">
      <c r="A182" s="13">
        <v>1931</v>
      </c>
      <c r="B182" s="13">
        <v>0.17686058658925399</v>
      </c>
      <c r="C182" s="13">
        <v>0.50949999999999995</v>
      </c>
    </row>
    <row r="183" spans="1:3" x14ac:dyDescent="0.25">
      <c r="A183" s="13">
        <v>1932</v>
      </c>
      <c r="B183" s="13">
        <v>0.17958495161764301</v>
      </c>
      <c r="C183" s="13">
        <v>0.51416700000000004</v>
      </c>
    </row>
    <row r="184" spans="1:3" x14ac:dyDescent="0.25">
      <c r="A184" s="13">
        <v>1933</v>
      </c>
      <c r="B184" s="13">
        <v>0.13162600392938301</v>
      </c>
      <c r="C184" s="13">
        <v>0.11608300000000001</v>
      </c>
    </row>
    <row r="185" spans="1:3" x14ac:dyDescent="0.25">
      <c r="A185" s="13">
        <v>1934</v>
      </c>
      <c r="B185" s="13">
        <v>0.17778236057774699</v>
      </c>
      <c r="C185" s="13">
        <v>0.45691670000000001</v>
      </c>
    </row>
    <row r="186" spans="1:3" x14ac:dyDescent="0.25">
      <c r="A186" s="13">
        <v>1935</v>
      </c>
      <c r="B186" s="13">
        <v>0.16487023749899199</v>
      </c>
      <c r="C186" s="13">
        <v>0.3293333</v>
      </c>
    </row>
    <row r="187" spans="1:3" x14ac:dyDescent="0.25">
      <c r="A187" s="13">
        <v>1936</v>
      </c>
      <c r="B187" s="13">
        <v>0.16893511864008201</v>
      </c>
      <c r="C187" s="13">
        <v>0.33150000000000002</v>
      </c>
    </row>
    <row r="188" spans="1:3" x14ac:dyDescent="0.25">
      <c r="A188" s="13">
        <v>1937</v>
      </c>
      <c r="B188" s="13">
        <v>0.191252244596436</v>
      </c>
      <c r="C188" s="13">
        <v>0.47541670000000003</v>
      </c>
    </row>
    <row r="189" spans="1:3" x14ac:dyDescent="0.25">
      <c r="A189" s="13">
        <v>1938</v>
      </c>
      <c r="B189" s="13">
        <v>0.222462173028392</v>
      </c>
      <c r="C189" s="13">
        <v>0.69458299999999995</v>
      </c>
    </row>
    <row r="190" spans="1:3" x14ac:dyDescent="0.25">
      <c r="A190" s="13">
        <v>1939</v>
      </c>
      <c r="B190" s="13">
        <v>0.210920742371245</v>
      </c>
      <c r="C190" s="13">
        <v>0.57233299999999998</v>
      </c>
    </row>
    <row r="191" spans="1:3" x14ac:dyDescent="0.25">
      <c r="A191" s="13">
        <v>1940</v>
      </c>
      <c r="B191" s="13">
        <v>0.214429356646926</v>
      </c>
      <c r="C191" s="13">
        <v>0.565083</v>
      </c>
    </row>
    <row r="192" spans="1:3" x14ac:dyDescent="0.25">
      <c r="A192" s="13">
        <v>1941</v>
      </c>
      <c r="B192" s="13">
        <v>0.209131357151771</v>
      </c>
      <c r="C192" s="13">
        <v>0.48716670000000001</v>
      </c>
    </row>
    <row r="193" spans="1:3" x14ac:dyDescent="0.25">
      <c r="A193" s="13">
        <v>1942</v>
      </c>
      <c r="B193" s="13">
        <v>0.213226561271354</v>
      </c>
      <c r="C193" s="13">
        <v>0.48441669999999998</v>
      </c>
    </row>
    <row r="194" spans="1:3" x14ac:dyDescent="0.25">
      <c r="A194" s="13">
        <v>1943</v>
      </c>
      <c r="B194" s="13">
        <v>0.22739588635226099</v>
      </c>
      <c r="C194" s="13">
        <v>0.56033299999999997</v>
      </c>
    </row>
    <row r="195" spans="1:3" x14ac:dyDescent="0.25">
      <c r="A195" s="13">
        <v>1944</v>
      </c>
      <c r="B195" s="13">
        <v>0.243709880728498</v>
      </c>
      <c r="C195" s="13">
        <v>0.654833</v>
      </c>
    </row>
    <row r="196" spans="1:3" x14ac:dyDescent="0.25">
      <c r="A196" s="13">
        <v>1945</v>
      </c>
      <c r="B196" s="13">
        <v>0.20956179467025801</v>
      </c>
      <c r="C196" s="13">
        <v>0.3576667</v>
      </c>
    </row>
    <row r="197" spans="1:3" x14ac:dyDescent="0.25">
      <c r="A197" s="13">
        <v>1946</v>
      </c>
      <c r="B197" s="13">
        <v>0.221228355438333</v>
      </c>
      <c r="C197" s="13">
        <v>0.42166670000000001</v>
      </c>
    </row>
    <row r="198" spans="1:3" x14ac:dyDescent="0.25">
      <c r="A198" s="13">
        <v>1947</v>
      </c>
      <c r="B198" s="13">
        <v>0.24373139250850001</v>
      </c>
      <c r="C198" s="13">
        <v>0.5655</v>
      </c>
    </row>
    <row r="199" spans="1:3" x14ac:dyDescent="0.25">
      <c r="A199" s="13">
        <v>1948</v>
      </c>
      <c r="B199" s="13">
        <v>0.24080976803686499</v>
      </c>
      <c r="C199" s="13">
        <v>0.503417</v>
      </c>
    </row>
    <row r="200" spans="1:3" x14ac:dyDescent="0.25">
      <c r="A200" s="13">
        <v>1949</v>
      </c>
      <c r="B200" s="13">
        <v>0.22681984269536401</v>
      </c>
      <c r="C200" s="13">
        <v>0.35599999999999998</v>
      </c>
    </row>
    <row r="201" spans="1:3" x14ac:dyDescent="0.25">
      <c r="A201" s="13">
        <v>1950</v>
      </c>
      <c r="B201" s="13">
        <v>0.204097098338229</v>
      </c>
      <c r="C201" s="13">
        <v>0.128583</v>
      </c>
    </row>
    <row r="202" spans="1:3" x14ac:dyDescent="0.25">
      <c r="A202" s="13">
        <v>1951</v>
      </c>
      <c r="B202" s="13">
        <v>0.24323844388999</v>
      </c>
      <c r="C202" s="13">
        <v>0.39241667000000002</v>
      </c>
    </row>
    <row r="203" spans="1:3" x14ac:dyDescent="0.25">
      <c r="A203" s="13">
        <v>1952</v>
      </c>
      <c r="B203" s="13">
        <v>0.249424577493434</v>
      </c>
      <c r="C203" s="13">
        <v>0.39241667000000002</v>
      </c>
    </row>
    <row r="204" spans="1:3" x14ac:dyDescent="0.25">
      <c r="A204" s="13">
        <v>1953</v>
      </c>
      <c r="B204" s="13">
        <v>0.28756927853199499</v>
      </c>
      <c r="C204" s="13">
        <v>0.64924999999999999</v>
      </c>
    </row>
    <row r="205" spans="1:3" x14ac:dyDescent="0.25">
      <c r="A205" s="13">
        <v>1954</v>
      </c>
      <c r="B205" s="13">
        <v>0.25202280604090499</v>
      </c>
      <c r="C205" s="13">
        <v>0.31183329999999998</v>
      </c>
    </row>
    <row r="206" spans="1:3" x14ac:dyDescent="0.25">
      <c r="A206" s="13">
        <v>1955</v>
      </c>
      <c r="B206" s="13">
        <v>0.26910745457846702</v>
      </c>
      <c r="C206" s="13">
        <v>0.39158333000000001</v>
      </c>
    </row>
    <row r="207" spans="1:3" x14ac:dyDescent="0.25">
      <c r="A207" s="13">
        <v>1956</v>
      </c>
      <c r="B207" s="13">
        <v>0.22995607825494899</v>
      </c>
      <c r="C207" s="13">
        <v>1.2E-2</v>
      </c>
    </row>
    <row r="208" spans="1:3" x14ac:dyDescent="0.25">
      <c r="A208" s="13">
        <v>1957</v>
      </c>
      <c r="B208" s="13">
        <v>0.29270975584717801</v>
      </c>
      <c r="C208" s="13">
        <v>0.45474999999999999</v>
      </c>
    </row>
    <row r="209" spans="1:3" x14ac:dyDescent="0.25">
      <c r="A209" s="13">
        <v>1958</v>
      </c>
      <c r="B209" s="13">
        <v>0.30365343111889198</v>
      </c>
      <c r="C209" s="13">
        <v>0.47741670000000003</v>
      </c>
    </row>
    <row r="210" spans="1:3" x14ac:dyDescent="0.25">
      <c r="A210" s="13">
        <v>1959</v>
      </c>
      <c r="B210" s="13">
        <v>0.31628530843370201</v>
      </c>
      <c r="C210" s="13">
        <v>0.50975000000000004</v>
      </c>
    </row>
    <row r="211" spans="1:3" x14ac:dyDescent="0.25">
      <c r="A211" s="13">
        <v>1960</v>
      </c>
      <c r="B211" s="13">
        <v>0.29788924612947698</v>
      </c>
      <c r="C211" s="13">
        <v>0.28549999999999998</v>
      </c>
    </row>
    <row r="212" spans="1:3" x14ac:dyDescent="0.25">
      <c r="A212" s="13">
        <v>1961</v>
      </c>
      <c r="B212" s="13">
        <v>0.34383659492886898</v>
      </c>
      <c r="C212" s="13">
        <v>0.58841699999999997</v>
      </c>
    </row>
    <row r="213" spans="1:3" x14ac:dyDescent="0.25">
      <c r="A213" s="13">
        <v>1962</v>
      </c>
      <c r="B213" s="13">
        <v>0.331166143947903</v>
      </c>
      <c r="C213" s="13">
        <v>0.40849999999999997</v>
      </c>
    </row>
    <row r="214" spans="1:3" x14ac:dyDescent="0.25">
      <c r="A214" s="13">
        <v>1963</v>
      </c>
      <c r="B214" s="13">
        <v>0.36752606588278602</v>
      </c>
      <c r="C214" s="13">
        <v>0.62583299999999997</v>
      </c>
    </row>
    <row r="215" spans="1:3" x14ac:dyDescent="0.25">
      <c r="A215" s="13">
        <v>1964</v>
      </c>
      <c r="B215" s="13">
        <v>0.31521342481644998</v>
      </c>
      <c r="C215" s="13">
        <v>0.108417</v>
      </c>
    </row>
    <row r="216" spans="1:3" x14ac:dyDescent="0.25">
      <c r="A216" s="13">
        <v>1965</v>
      </c>
      <c r="B216" s="13">
        <v>0.34988811421589899</v>
      </c>
      <c r="C216" s="13">
        <v>0.30266670000000001</v>
      </c>
    </row>
    <row r="217" spans="1:3" x14ac:dyDescent="0.25">
      <c r="A217" s="13">
        <v>1966</v>
      </c>
      <c r="B217" s="13">
        <v>0.36851521021906403</v>
      </c>
      <c r="C217" s="13">
        <v>0.36033330000000002</v>
      </c>
    </row>
    <row r="218" spans="1:3" x14ac:dyDescent="0.25">
      <c r="A218" s="13">
        <v>1967</v>
      </c>
      <c r="B218" s="13">
        <v>0.39594336951003201</v>
      </c>
      <c r="C218" s="13">
        <v>0.48933330000000003</v>
      </c>
    </row>
    <row r="219" spans="1:3" x14ac:dyDescent="0.25">
      <c r="A219" s="13">
        <v>1968</v>
      </c>
      <c r="B219" s="13">
        <v>0.38259691570640803</v>
      </c>
      <c r="C219" s="13">
        <v>0.27400000000000002</v>
      </c>
    </row>
    <row r="220" spans="1:3" x14ac:dyDescent="0.25">
      <c r="A220" s="13">
        <v>1969</v>
      </c>
      <c r="B220" s="13">
        <v>0.40328872110056602</v>
      </c>
      <c r="C220" s="13">
        <v>0.33450000000000002</v>
      </c>
    </row>
    <row r="221" spans="1:3" x14ac:dyDescent="0.25">
      <c r="A221" s="13">
        <v>1970</v>
      </c>
      <c r="B221" s="13">
        <v>0.43406741308716901</v>
      </c>
      <c r="C221" s="13">
        <v>0.47041670000000002</v>
      </c>
    </row>
    <row r="222" spans="1:3" x14ac:dyDescent="0.25">
      <c r="A222" s="13">
        <v>1971</v>
      </c>
      <c r="B222" s="13">
        <v>0.43552717393249801</v>
      </c>
      <c r="C222" s="13">
        <v>0.35749999999999998</v>
      </c>
    </row>
    <row r="223" spans="1:3" x14ac:dyDescent="0.25">
      <c r="A223" s="13">
        <v>1972</v>
      </c>
      <c r="B223" s="13">
        <v>0.439802708108254</v>
      </c>
      <c r="C223" s="13">
        <v>0.26341700000000001</v>
      </c>
    </row>
    <row r="224" spans="1:3" x14ac:dyDescent="0.25">
      <c r="A224" s="13">
        <v>1973</v>
      </c>
      <c r="B224" s="13">
        <v>0.51784057967805197</v>
      </c>
      <c r="C224" s="13">
        <v>0.78625</v>
      </c>
    </row>
    <row r="225" spans="1:3" x14ac:dyDescent="0.25">
      <c r="A225" s="13">
        <v>1974</v>
      </c>
      <c r="B225" s="13">
        <v>0.47284028698403602</v>
      </c>
      <c r="C225" s="13">
        <v>0.27033299999999999</v>
      </c>
    </row>
    <row r="226" spans="1:3" x14ac:dyDescent="0.25">
      <c r="A226" s="13">
        <v>1975</v>
      </c>
      <c r="B226" s="13">
        <v>0.522789824078841</v>
      </c>
      <c r="C226" s="13">
        <v>0.56583300000000003</v>
      </c>
    </row>
    <row r="227" spans="1:3" x14ac:dyDescent="0.25">
      <c r="A227" s="13">
        <v>1976</v>
      </c>
      <c r="B227" s="13">
        <v>0.49495326272359003</v>
      </c>
      <c r="C227" s="13">
        <v>0.187083</v>
      </c>
    </row>
    <row r="228" spans="1:3" x14ac:dyDescent="0.25">
      <c r="A228" s="13">
        <v>1977</v>
      </c>
      <c r="B228" s="13">
        <v>0.56862063244619199</v>
      </c>
      <c r="C228" s="13">
        <v>0.67458300000000004</v>
      </c>
    </row>
    <row r="229" spans="1:3" x14ac:dyDescent="0.25">
      <c r="A229" s="13">
        <v>1978</v>
      </c>
      <c r="B229" s="13">
        <v>0.56547330568617904</v>
      </c>
      <c r="C229" s="13">
        <v>0.50375000000000003</v>
      </c>
    </row>
    <row r="230" spans="1:3" x14ac:dyDescent="0.25">
      <c r="A230" s="13">
        <v>1979</v>
      </c>
      <c r="B230" s="13">
        <v>0.57403808321532901</v>
      </c>
      <c r="C230" s="13">
        <v>0.4230833</v>
      </c>
    </row>
    <row r="231" spans="1:3" x14ac:dyDescent="0.25">
      <c r="A231" s="13">
        <v>1980</v>
      </c>
      <c r="B231" s="13">
        <v>0.63897487637411798</v>
      </c>
      <c r="C231" s="13">
        <v>0.83991700000000002</v>
      </c>
    </row>
    <row r="232" spans="1:3" x14ac:dyDescent="0.25">
      <c r="A232" s="13">
        <v>1981</v>
      </c>
      <c r="B232" s="13">
        <v>0.66978943079805198</v>
      </c>
      <c r="C232" s="13">
        <v>0.97266699999999995</v>
      </c>
    </row>
    <row r="233" spans="1:3" x14ac:dyDescent="0.25">
      <c r="A233" s="13">
        <v>1982</v>
      </c>
      <c r="B233" s="13">
        <v>0.624775057019747</v>
      </c>
      <c r="C233" s="13">
        <v>0.44466670000000003</v>
      </c>
    </row>
    <row r="234" spans="1:3" x14ac:dyDescent="0.25">
      <c r="A234" s="13">
        <v>1983</v>
      </c>
      <c r="B234" s="13">
        <v>0.68317437869775899</v>
      </c>
      <c r="C234" s="13">
        <v>0.82616699999999998</v>
      </c>
    </row>
    <row r="235" spans="1:3" x14ac:dyDescent="0.25">
      <c r="A235" s="13">
        <v>1984</v>
      </c>
      <c r="B235" s="13">
        <v>0.66544867621009096</v>
      </c>
      <c r="C235" s="13">
        <v>0.530833</v>
      </c>
    </row>
    <row r="236" spans="1:3" x14ac:dyDescent="0.25">
      <c r="A236" s="13">
        <v>1985</v>
      </c>
      <c r="B236" s="13">
        <v>0.672984077670994</v>
      </c>
      <c r="C236" s="13">
        <v>0.45274999999999999</v>
      </c>
    </row>
    <row r="237" spans="1:3" x14ac:dyDescent="0.25">
      <c r="A237" s="13">
        <v>1986</v>
      </c>
      <c r="B237" s="13">
        <v>0.71123929043022005</v>
      </c>
      <c r="C237" s="13">
        <v>0.64266699999999999</v>
      </c>
    </row>
    <row r="238" spans="1:3" x14ac:dyDescent="0.25">
      <c r="A238" s="13">
        <v>1987</v>
      </c>
      <c r="B238" s="13">
        <v>0.74425030625556499</v>
      </c>
      <c r="C238" s="13">
        <v>0.78391699999999997</v>
      </c>
    </row>
    <row r="239" spans="1:3" x14ac:dyDescent="0.25">
      <c r="A239" s="13">
        <v>1988</v>
      </c>
      <c r="B239" s="13">
        <v>0.79018731742680604</v>
      </c>
      <c r="C239" s="13">
        <v>1.035917</v>
      </c>
    </row>
    <row r="240" spans="1:3" x14ac:dyDescent="0.25">
      <c r="A240" s="13">
        <v>1989</v>
      </c>
      <c r="B240" s="13">
        <v>0.78009276132059502</v>
      </c>
      <c r="C240" s="13">
        <v>0.78258300000000003</v>
      </c>
    </row>
    <row r="241" spans="1:3" x14ac:dyDescent="0.25">
      <c r="A241" s="13">
        <v>1990</v>
      </c>
      <c r="B241" s="13">
        <v>0.82790104429118905</v>
      </c>
      <c r="C241" s="13">
        <v>1.0533330000000001</v>
      </c>
    </row>
    <row r="242" spans="1:3" x14ac:dyDescent="0.25">
      <c r="A242" s="13">
        <v>1991</v>
      </c>
      <c r="B242" s="13">
        <v>0.84222175090468099</v>
      </c>
      <c r="C242" s="13">
        <v>1.0208330000000001</v>
      </c>
    </row>
    <row r="243" spans="1:3" x14ac:dyDescent="0.25">
      <c r="A243" s="13">
        <v>1992</v>
      </c>
      <c r="B243" s="13">
        <v>0.81538855437126101</v>
      </c>
      <c r="C243" s="13">
        <v>0.61916700000000002</v>
      </c>
    </row>
    <row r="244" spans="1:3" x14ac:dyDescent="0.25">
      <c r="A244" s="13">
        <v>1993</v>
      </c>
      <c r="B244" s="13">
        <v>0.83645206007288597</v>
      </c>
      <c r="C244" s="13">
        <v>0.65500000000000003</v>
      </c>
    </row>
    <row r="245" spans="1:3" x14ac:dyDescent="0.25">
      <c r="A245" s="13">
        <v>1994</v>
      </c>
      <c r="B245" s="13">
        <v>0.87580857910444398</v>
      </c>
      <c r="C245" s="13">
        <v>0.85691700000000004</v>
      </c>
    </row>
    <row r="246" spans="1:3" x14ac:dyDescent="0.25">
      <c r="A246" s="13">
        <v>1995</v>
      </c>
      <c r="B246" s="13">
        <v>0.92840649273982201</v>
      </c>
      <c r="C246" s="13">
        <v>1.179583</v>
      </c>
    </row>
    <row r="247" spans="1:3" x14ac:dyDescent="0.25">
      <c r="A247" s="13">
        <v>1996</v>
      </c>
      <c r="B247" s="13">
        <v>0.91509594721117304</v>
      </c>
      <c r="C247" s="13">
        <v>0.89075000000000004</v>
      </c>
    </row>
    <row r="248" spans="1:3" x14ac:dyDescent="0.25">
      <c r="A248" s="13">
        <v>1997</v>
      </c>
      <c r="B248" s="13">
        <v>0.94321353188775903</v>
      </c>
      <c r="C248" s="13">
        <v>0.98383299999999996</v>
      </c>
    </row>
    <row r="249" spans="1:3" x14ac:dyDescent="0.25">
      <c r="A249" s="13">
        <v>1998</v>
      </c>
      <c r="B249" s="13">
        <v>0.99555536365403996</v>
      </c>
      <c r="C249" s="13">
        <v>1.308333</v>
      </c>
    </row>
    <row r="250" spans="1:3" x14ac:dyDescent="0.25">
      <c r="A250" s="13">
        <v>1999</v>
      </c>
      <c r="B250" s="13">
        <v>0.98608408586000196</v>
      </c>
      <c r="C250" s="13">
        <v>1.0589999999999999</v>
      </c>
    </row>
    <row r="251" spans="1:3" x14ac:dyDescent="0.25">
      <c r="A251" s="13">
        <v>2000</v>
      </c>
      <c r="B251" s="13">
        <v>0.99724644729627698</v>
      </c>
      <c r="C251" s="13">
        <v>0.99733300000000003</v>
      </c>
    </row>
    <row r="252" spans="1:3" x14ac:dyDescent="0.25">
      <c r="A252" s="13">
        <v>2001</v>
      </c>
      <c r="B252" s="13">
        <v>1.03779946244364</v>
      </c>
      <c r="C252" s="13">
        <v>1.2090829999999999</v>
      </c>
    </row>
    <row r="253" spans="1:3" x14ac:dyDescent="0.25">
      <c r="A253" s="13">
        <v>2002</v>
      </c>
      <c r="B253" s="13">
        <v>1.0734385212308799</v>
      </c>
      <c r="C253" s="13">
        <v>1.37625</v>
      </c>
    </row>
    <row r="254" spans="1:3" x14ac:dyDescent="0.25">
      <c r="A254" s="13">
        <v>2003</v>
      </c>
      <c r="B254" s="13">
        <v>1.0856164976184799</v>
      </c>
      <c r="C254" s="13">
        <v>1.303917</v>
      </c>
    </row>
    <row r="255" spans="1:3" x14ac:dyDescent="0.25">
      <c r="A255" s="13">
        <v>2004</v>
      </c>
      <c r="B255" s="13">
        <v>1.0819020712763601</v>
      </c>
      <c r="C255" s="13">
        <v>1.065167</v>
      </c>
    </row>
    <row r="256" spans="1:3" x14ac:dyDescent="0.25">
      <c r="A256" s="13">
        <v>2005</v>
      </c>
      <c r="B256" s="13">
        <v>1.14931345678764</v>
      </c>
      <c r="C256" s="13">
        <v>1.5028299999999899</v>
      </c>
    </row>
    <row r="257" spans="1:3" x14ac:dyDescent="0.25">
      <c r="A257" s="13">
        <v>2006</v>
      </c>
      <c r="B257" s="13">
        <v>1.1556438796177499</v>
      </c>
      <c r="C257" s="13">
        <v>1.3458330000000001</v>
      </c>
    </row>
    <row r="258" spans="1:3" x14ac:dyDescent="0.25">
      <c r="A258" s="13">
        <v>2007</v>
      </c>
      <c r="B258" s="13">
        <v>1.20513621271864</v>
      </c>
      <c r="C258" s="13">
        <v>1.6050800000000001</v>
      </c>
    </row>
    <row r="259" spans="1:3" x14ac:dyDescent="0.25">
      <c r="A259" s="13">
        <v>2008</v>
      </c>
      <c r="B259" s="13">
        <v>1.1930434532579199</v>
      </c>
      <c r="C259" s="13">
        <v>1.2596669999999901</v>
      </c>
    </row>
    <row r="260" spans="1:3" x14ac:dyDescent="0.25">
      <c r="A260" s="13">
        <v>2009</v>
      </c>
      <c r="B260" s="13">
        <v>1.2202546256275</v>
      </c>
      <c r="C260" s="13">
        <v>1.3055829999999999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2"/>
  <sheetViews>
    <sheetView topLeftCell="Y28" zoomScale="96" zoomScaleNormal="96" workbookViewId="0">
      <selection activeCell="L23" sqref="L23"/>
    </sheetView>
  </sheetViews>
  <sheetFormatPr defaultRowHeight="15" x14ac:dyDescent="0.25"/>
  <cols>
    <col min="1" max="1" width="6.85546875" customWidth="1"/>
    <col min="2" max="2" width="9.140625" customWidth="1"/>
    <col min="3" max="5" width="13.42578125" customWidth="1"/>
    <col min="7" max="7" width="9.140625" style="8"/>
    <col min="10" max="11" width="9.140625" style="2"/>
    <col min="12" max="12" width="9.140625" style="6"/>
    <col min="13" max="13" width="9.140625" style="4"/>
    <col min="14" max="17" width="9.140625" style="5"/>
    <col min="22" max="22" width="9.5703125" customWidth="1"/>
    <col min="27" max="27" width="13.140625" bestFit="1" customWidth="1"/>
  </cols>
  <sheetData>
    <row r="1" spans="1:28" x14ac:dyDescent="0.25">
      <c r="C1">
        <v>0.5</v>
      </c>
      <c r="F1">
        <f>10000*SUM(F160:F171)</f>
        <v>402.46174644244513</v>
      </c>
      <c r="G1" s="8">
        <v>0.2863</v>
      </c>
      <c r="J1">
        <v>0.2863</v>
      </c>
      <c r="N1" s="5">
        <v>0</v>
      </c>
      <c r="AA1">
        <v>-0.5</v>
      </c>
    </row>
    <row r="2" spans="1:28" x14ac:dyDescent="0.25">
      <c r="F2">
        <f>10000*SUM(F161:F172)</f>
        <v>361.55228490398372</v>
      </c>
      <c r="G2" s="8">
        <f>1-$G$1</f>
        <v>0.7137</v>
      </c>
      <c r="N2" s="5">
        <v>-4.0000000000000001E-3</v>
      </c>
    </row>
    <row r="8" spans="1:28" x14ac:dyDescent="0.25">
      <c r="D8" t="s">
        <v>63</v>
      </c>
    </row>
    <row r="9" spans="1:28" x14ac:dyDescent="0.25">
      <c r="B9" t="s">
        <v>60</v>
      </c>
      <c r="C9" t="s">
        <v>59</v>
      </c>
      <c r="F9" t="s">
        <v>58</v>
      </c>
      <c r="G9" s="8" t="s">
        <v>57</v>
      </c>
      <c r="J9" s="3" t="s">
        <v>61</v>
      </c>
      <c r="K9" s="3" t="s">
        <v>62</v>
      </c>
      <c r="L9" s="6" t="s">
        <v>52</v>
      </c>
      <c r="M9" s="4" t="s">
        <v>53</v>
      </c>
      <c r="N9" s="5" t="s">
        <v>54</v>
      </c>
      <c r="S9" t="s">
        <v>55</v>
      </c>
      <c r="T9" t="s">
        <v>56</v>
      </c>
      <c r="Z9" t="s">
        <v>70</v>
      </c>
      <c r="AA9" t="s">
        <v>69</v>
      </c>
    </row>
    <row r="10" spans="1:28" x14ac:dyDescent="0.25">
      <c r="A10" s="1">
        <v>1851</v>
      </c>
      <c r="B10" s="1">
        <f>+$L10</f>
        <v>-0.219</v>
      </c>
      <c r="C10" s="1">
        <f t="shared" ref="C10:C73" si="0">1/2*($R10*($C$1*$G$2+$G$1 )+$M10*($G$2+$G$1/$C$1))</f>
        <v>-5.9491374999999999E-2</v>
      </c>
      <c r="D10" s="1">
        <f t="shared" ref="D10:D73" si="1">$B10 - (1/2*($R10*($E10*$G$2+$G$1 )+$M10*($G$2+$G$1/$E10)))</f>
        <v>-3.0531133177191805E-16</v>
      </c>
      <c r="E10" s="1">
        <f>+$G10</f>
        <v>0.14451094509678641</v>
      </c>
      <c r="F10" s="1">
        <f>+ABS($B10-$C10)</f>
        <v>0.15950862500000001</v>
      </c>
      <c r="G10" s="9">
        <f t="shared" ref="G10:G72" si="2">+IF($H10 &gt; 0,IF($I10&lt;1, $I10, IF($K10&gt;1,1,$K10)), $K10)</f>
        <v>0.14451094509678641</v>
      </c>
      <c r="H10" s="1">
        <f t="shared" ref="H10:H73" si="3">+$U10*$U10-4*$G$1*$G$2*$S10</f>
        <v>4.0964231192981</v>
      </c>
      <c r="I10" s="1">
        <f>+(-$U10+SQRT($U10*$U10-4*$G$1*$G$2*$S10))/2/$G$2</f>
        <v>0.14451094509678641</v>
      </c>
      <c r="J10" s="3">
        <f t="shared" ref="J10:J73" si="4">+IF($U10*$U10-4*$G$1*$G$2*$S10 &gt; 0,(-$U10+SQRT($U10*$U10-4*$G$1*$G$2*$S10))/2/$G$2)</f>
        <v>0.14451094509678641</v>
      </c>
      <c r="K10" s="3">
        <f t="shared" ref="K10:K73" si="5">-$U10/2/$G$2</f>
        <v>-1.2734253255181938</v>
      </c>
      <c r="L10" s="6">
        <v>-0.219</v>
      </c>
      <c r="M10" s="4">
        <v>-0.191</v>
      </c>
      <c r="N10" s="5">
        <v>0.19700000000000001</v>
      </c>
      <c r="O10" s="6">
        <v>-0.219</v>
      </c>
      <c r="P10" s="4">
        <v>-0.191</v>
      </c>
      <c r="Q10" s="5">
        <v>0.19700000000000001</v>
      </c>
      <c r="R10">
        <f>+$N10+$N$1</f>
        <v>0.19700000000000001</v>
      </c>
      <c r="S10">
        <f>+$M10/($R10)</f>
        <v>-0.96954314720812185</v>
      </c>
      <c r="T10">
        <f>+$L10/($R10)</f>
        <v>-1.1116751269035532</v>
      </c>
      <c r="U10">
        <f t="shared" ref="U10:U73" si="6">+$G$1+$S10*$G$2-2*$T10</f>
        <v>1.8176873096446697</v>
      </c>
      <c r="W10">
        <v>0.19700000000000001</v>
      </c>
      <c r="X10">
        <v>0.19550000000000001</v>
      </c>
      <c r="Y10" s="11">
        <f>-2.2979737161E-10*$A10^5 + 0.0000022285768284*$A10^4 - 0.0086436385146*$A10^3 + 16.759480306*$A10^2 - 16244.935412*$A10 + 6297344.9302</f>
        <v>0.67922292370349169</v>
      </c>
      <c r="Z10">
        <f>+$G$2*$M10/$Y10+$G$1*$N10</f>
        <v>-0.14429398145680278</v>
      </c>
      <c r="AA10" s="13">
        <f>+$AB10+$AA$1</f>
        <v>-0.50603151698803661</v>
      </c>
      <c r="AB10" s="13">
        <v>-6.0315169880365898E-3</v>
      </c>
    </row>
    <row r="11" spans="1:28" x14ac:dyDescent="0.25">
      <c r="A11" s="1">
        <v>1852</v>
      </c>
      <c r="B11" s="1">
        <f t="shared" ref="B11:B74" si="7">+$L11</f>
        <v>-0.23666666666666666</v>
      </c>
      <c r="C11" s="1">
        <f t="shared" si="0"/>
        <v>-0.11190809999999998</v>
      </c>
      <c r="D11" s="1">
        <f t="shared" si="1"/>
        <v>0</v>
      </c>
      <c r="E11" s="1">
        <f t="shared" ref="E11:E74" si="8">+$G11</f>
        <v>0.16111458575203624</v>
      </c>
      <c r="F11" s="1">
        <f t="shared" ref="F11:F74" si="9">+ABS($B11-$C11)</f>
        <v>0.12475856666666668</v>
      </c>
      <c r="G11" s="9">
        <f t="shared" si="2"/>
        <v>0.16111458575203624</v>
      </c>
      <c r="H11" s="1">
        <f t="shared" si="3"/>
        <v>56.788636595600522</v>
      </c>
      <c r="I11" s="1">
        <f t="shared" ref="I11:I74" si="10">+(-$U11+SQRT($U11*$U11-4*$G$1*$G$2*$S11))/2/$G$2</f>
        <v>0.16111458575203624</v>
      </c>
      <c r="J11" s="3">
        <f t="shared" si="4"/>
        <v>0.16111458575203624</v>
      </c>
      <c r="K11" s="3">
        <f t="shared" si="5"/>
        <v>-5.1182910127149306</v>
      </c>
      <c r="L11" s="6">
        <f>+(O10+O11+O12)/3</f>
        <v>-0.23666666666666666</v>
      </c>
      <c r="M11" s="6">
        <f t="shared" ref="M11:N11" si="11">+(P10+P11+P12)/3</f>
        <v>-0.19766666666666666</v>
      </c>
      <c r="N11" s="6">
        <f t="shared" si="11"/>
        <v>4.7333333333333359E-2</v>
      </c>
      <c r="O11" s="6">
        <v>-0.223</v>
      </c>
      <c r="P11" s="4">
        <v>-0.185</v>
      </c>
      <c r="Q11" s="5">
        <v>0.23200000000000001</v>
      </c>
      <c r="R11">
        <f t="shared" ref="R11:R74" si="12">+$N11+$N$1</f>
        <v>4.7333333333333359E-2</v>
      </c>
      <c r="S11">
        <f t="shared" ref="S11:S74" si="13">+$M11/($R11)</f>
        <v>-4.1760563380281663</v>
      </c>
      <c r="T11">
        <f t="shared" ref="T11:T74" si="14">+$L11/($R11)</f>
        <v>-4.9999999999999973</v>
      </c>
      <c r="U11">
        <f t="shared" si="6"/>
        <v>7.3058485915492923</v>
      </c>
      <c r="W11">
        <v>0.23200000000000001</v>
      </c>
      <c r="X11">
        <v>0.22950000000000001</v>
      </c>
      <c r="Y11" s="11">
        <f t="shared" ref="Y11:Y74" si="15">-2.2979737161E-10*$A11^5 + 0.0000022285768284*$A11^4 - 0.0086436385146*$A11^3 + 16.759480306*$A11^2 - 16244.935412*$A11 + 6297344.9302</f>
        <v>0.65229031909257174</v>
      </c>
      <c r="Z11">
        <f t="shared" ref="Z11:Z74" si="16">+$G$2*$M11/$Y11+$G$1*$N11</f>
        <v>-0.20272440373140019</v>
      </c>
      <c r="AA11" s="13">
        <f t="shared" ref="AA11:AA74" si="17">+$AB11+$AA$1</f>
        <v>-0.51593497734755367</v>
      </c>
      <c r="AB11" s="13">
        <v>-1.5934977347553701E-2</v>
      </c>
    </row>
    <row r="12" spans="1:28" x14ac:dyDescent="0.25">
      <c r="A12" s="1">
        <v>1853</v>
      </c>
      <c r="B12" s="1">
        <f t="shared" si="7"/>
        <v>-0.26179999999999998</v>
      </c>
      <c r="C12" s="1">
        <f t="shared" si="0"/>
        <v>-0.16123770500000001</v>
      </c>
      <c r="D12" s="1">
        <f t="shared" si="1"/>
        <v>-0.12569999999999998</v>
      </c>
      <c r="E12" s="1">
        <f t="shared" si="8"/>
        <v>1</v>
      </c>
      <c r="F12" s="1">
        <f t="shared" si="9"/>
        <v>0.10056229499999997</v>
      </c>
      <c r="G12" s="9">
        <f t="shared" si="2"/>
        <v>1</v>
      </c>
      <c r="H12" s="1">
        <f t="shared" si="3"/>
        <v>61.031000729226378</v>
      </c>
      <c r="I12" s="1">
        <f t="shared" si="10"/>
        <v>11.138077099233476</v>
      </c>
      <c r="J12" s="3">
        <f t="shared" si="4"/>
        <v>11.138077099233476</v>
      </c>
      <c r="K12" s="3">
        <f t="shared" si="5"/>
        <v>5.6650253673128237</v>
      </c>
      <c r="L12" s="6">
        <f>+(O10+O11+O12+O13+O15)/5</f>
        <v>-0.26179999999999998</v>
      </c>
      <c r="M12" s="6">
        <f t="shared" ref="M12:N12" si="18">+(P10+P11+P12+P13+P15)/5</f>
        <v>-0.22919999999999999</v>
      </c>
      <c r="N12" s="6">
        <f t="shared" si="18"/>
        <v>-4.2999999999999997E-2</v>
      </c>
      <c r="O12" s="6">
        <v>-0.26800000000000002</v>
      </c>
      <c r="P12" s="4">
        <v>-0.217</v>
      </c>
      <c r="Q12" s="5">
        <v>-0.28699999999999998</v>
      </c>
      <c r="R12">
        <f t="shared" si="12"/>
        <v>-4.2999999999999997E-2</v>
      </c>
      <c r="S12">
        <f t="shared" si="13"/>
        <v>5.3302325581395351</v>
      </c>
      <c r="T12">
        <f t="shared" si="14"/>
        <v>6.0883720930232554</v>
      </c>
      <c r="U12">
        <f t="shared" si="6"/>
        <v>-8.0862572093023246</v>
      </c>
      <c r="W12">
        <v>-0.28699999999999998</v>
      </c>
      <c r="X12">
        <v>-0.27158300000000002</v>
      </c>
      <c r="Y12" s="11">
        <f t="shared" si="15"/>
        <v>0.62756678555160761</v>
      </c>
      <c r="Z12">
        <f t="shared" si="16"/>
        <v>-0.27296848062103191</v>
      </c>
      <c r="AA12" s="13">
        <f t="shared" si="17"/>
        <v>-0.52774993066807852</v>
      </c>
      <c r="AB12" s="13">
        <v>-2.7749930668078501E-2</v>
      </c>
    </row>
    <row r="13" spans="1:28" x14ac:dyDescent="0.25">
      <c r="A13" s="1">
        <v>1854</v>
      </c>
      <c r="B13" s="1">
        <f t="shared" si="7"/>
        <v>-0.3045714285714286</v>
      </c>
      <c r="C13" s="1">
        <f t="shared" si="0"/>
        <v>-0.21559306785714286</v>
      </c>
      <c r="D13" s="1">
        <f t="shared" si="1"/>
        <v>-0.10800000000000004</v>
      </c>
      <c r="E13" s="1">
        <f t="shared" si="8"/>
        <v>1</v>
      </c>
      <c r="F13" s="1">
        <f t="shared" si="9"/>
        <v>8.8978360714285748E-2</v>
      </c>
      <c r="G13" s="9">
        <f t="shared" si="2"/>
        <v>1</v>
      </c>
      <c r="H13" s="1">
        <f t="shared" si="3"/>
        <v>8.6928396339568952</v>
      </c>
      <c r="I13" s="1">
        <f t="shared" si="10"/>
        <v>4.3517170123925162</v>
      </c>
      <c r="J13" s="3">
        <f t="shared" si="4"/>
        <v>4.3517170123925162</v>
      </c>
      <c r="K13" s="3">
        <f t="shared" si="5"/>
        <v>2.2861697269936445</v>
      </c>
      <c r="L13" s="6">
        <f>+(O10+O11+O12+O13+O14+O16+O17)/7</f>
        <v>-0.3045714285714286</v>
      </c>
      <c r="M13" s="6">
        <f t="shared" ref="M13:N13" si="19">+(P10+P11+P12+P13+P14+P16+P17)/7</f>
        <v>-0.2772857142857143</v>
      </c>
      <c r="N13" s="6">
        <f t="shared" si="19"/>
        <v>-0.11585714285714285</v>
      </c>
      <c r="O13" s="6">
        <v>-0.24299999999999999</v>
      </c>
      <c r="P13" s="4">
        <v>-0.247</v>
      </c>
      <c r="Q13" s="5">
        <v>0.161</v>
      </c>
      <c r="R13">
        <f t="shared" si="12"/>
        <v>-0.11585714285714285</v>
      </c>
      <c r="S13">
        <f t="shared" si="13"/>
        <v>2.3933415536374847</v>
      </c>
      <c r="T13">
        <f t="shared" si="14"/>
        <v>2.6288532675709004</v>
      </c>
      <c r="U13">
        <f t="shared" si="6"/>
        <v>-3.2632786683107282</v>
      </c>
      <c r="W13">
        <v>0.161</v>
      </c>
      <c r="X13">
        <v>0.128917</v>
      </c>
      <c r="Y13" s="11">
        <f t="shared" si="15"/>
        <v>0.60495648998767138</v>
      </c>
      <c r="Z13">
        <f t="shared" si="16"/>
        <v>-0.36029890441773477</v>
      </c>
      <c r="AA13" s="13">
        <f t="shared" si="17"/>
        <v>-0.49461735296234444</v>
      </c>
      <c r="AB13" s="13">
        <v>5.3826470376555496E-3</v>
      </c>
    </row>
    <row r="14" spans="1:28" x14ac:dyDescent="0.25">
      <c r="A14" s="1">
        <v>1855</v>
      </c>
      <c r="B14" s="1">
        <f t="shared" si="7"/>
        <v>-0.29488888888888887</v>
      </c>
      <c r="C14" s="1">
        <f t="shared" si="0"/>
        <v>-0.23167692222222219</v>
      </c>
      <c r="D14" s="1">
        <f t="shared" si="1"/>
        <v>-6.7888888888888888E-2</v>
      </c>
      <c r="E14" s="1">
        <f t="shared" si="8"/>
        <v>1</v>
      </c>
      <c r="F14" s="1">
        <f t="shared" si="9"/>
        <v>6.3211966666666675E-2</v>
      </c>
      <c r="G14" s="9">
        <f t="shared" si="2"/>
        <v>1</v>
      </c>
      <c r="H14" s="1">
        <f t="shared" si="3"/>
        <v>2.2405381234962283</v>
      </c>
      <c r="I14" s="1">
        <f t="shared" si="10"/>
        <v>2.3407585547220906</v>
      </c>
      <c r="J14" s="3">
        <f t="shared" si="4"/>
        <v>2.3407585547220906</v>
      </c>
      <c r="K14" s="3">
        <f t="shared" si="5"/>
        <v>1.2921087590402327</v>
      </c>
      <c r="L14" s="6">
        <f>+(O10+O11+O12+O13+O14+O15+O17+O18+O19)/9</f>
        <v>-0.29488888888888887</v>
      </c>
      <c r="M14" s="6">
        <f t="shared" ref="M14:N14" si="20">+(P10+P11+P12+P13+P14+P15+P17+P18+P19)/9</f>
        <v>-0.26644444444444443</v>
      </c>
      <c r="N14" s="6">
        <f t="shared" si="20"/>
        <v>-0.18755555555555553</v>
      </c>
      <c r="O14" s="6">
        <v>-0.26400000000000001</v>
      </c>
      <c r="P14" s="4">
        <v>-0.21299999999999999</v>
      </c>
      <c r="Q14" s="5">
        <v>-0.21199999999999999</v>
      </c>
      <c r="R14">
        <f t="shared" si="12"/>
        <v>-0.18755555555555553</v>
      </c>
      <c r="S14">
        <f t="shared" si="13"/>
        <v>1.420616113744076</v>
      </c>
      <c r="T14">
        <f t="shared" si="14"/>
        <v>1.5722748815165877</v>
      </c>
      <c r="U14">
        <f t="shared" si="6"/>
        <v>-1.8443560426540282</v>
      </c>
      <c r="W14">
        <v>-0.21199999999999999</v>
      </c>
      <c r="X14">
        <v>-0.23150000000000001</v>
      </c>
      <c r="Y14" s="11">
        <f t="shared" si="15"/>
        <v>0.58436600212007761</v>
      </c>
      <c r="Z14">
        <f t="shared" si="16"/>
        <v>-0.379112048465299</v>
      </c>
      <c r="AA14" s="13">
        <f t="shared" si="17"/>
        <v>-0.49258198593832392</v>
      </c>
      <c r="AB14" s="13">
        <v>7.4180140616760702E-3</v>
      </c>
    </row>
    <row r="15" spans="1:28" x14ac:dyDescent="0.25">
      <c r="A15" s="1">
        <v>1856</v>
      </c>
      <c r="B15" s="1">
        <f t="shared" si="7"/>
        <v>-0.32190909090909092</v>
      </c>
      <c r="C15" s="1">
        <f t="shared" si="0"/>
        <v>-0.26556248181818176</v>
      </c>
      <c r="D15" s="1">
        <f t="shared" si="1"/>
        <v>-5.3681818181818219E-2</v>
      </c>
      <c r="E15" s="7">
        <f t="shared" si="8"/>
        <v>1</v>
      </c>
      <c r="F15" s="1">
        <f t="shared" si="9"/>
        <v>5.6346609090909161E-2</v>
      </c>
      <c r="G15" s="9">
        <f t="shared" si="2"/>
        <v>1</v>
      </c>
      <c r="H15" s="1">
        <f t="shared" si="3"/>
        <v>1.243587299589104</v>
      </c>
      <c r="I15" s="1">
        <f t="shared" si="10"/>
        <v>1.820550517223944</v>
      </c>
      <c r="J15" s="3">
        <f t="shared" si="4"/>
        <v>1.820550517223944</v>
      </c>
      <c r="K15" s="3">
        <f t="shared" si="5"/>
        <v>1.0392961706156076</v>
      </c>
      <c r="L15" s="6">
        <f>+(O10+O11+O12+O13+O14+O15+O16+O18+O19+O20+O21)/11</f>
        <v>-0.32190909090909092</v>
      </c>
      <c r="M15" s="6">
        <f t="shared" ref="M15:N15" si="21">+(P10+P11+P12+P13+P14+P15+P16+P18+P19+P20+P21)/11</f>
        <v>-0.28936363636363632</v>
      </c>
      <c r="N15" s="6">
        <f t="shared" si="21"/>
        <v>-0.24709090909090908</v>
      </c>
      <c r="O15" s="6">
        <v>-0.35599999999999998</v>
      </c>
      <c r="P15" s="4">
        <v>-0.30599999999999999</v>
      </c>
      <c r="Q15" s="5">
        <v>-0.51800000000000002</v>
      </c>
      <c r="R15">
        <f t="shared" si="12"/>
        <v>-0.24709090909090908</v>
      </c>
      <c r="S15">
        <f t="shared" si="13"/>
        <v>1.1710816777041941</v>
      </c>
      <c r="T15">
        <f t="shared" si="14"/>
        <v>1.302796173657101</v>
      </c>
      <c r="U15">
        <f t="shared" si="6"/>
        <v>-1.4834913539367185</v>
      </c>
      <c r="W15">
        <v>-0.51800000000000002</v>
      </c>
      <c r="X15">
        <v>-0.503583</v>
      </c>
      <c r="Y15" s="11">
        <f t="shared" si="15"/>
        <v>0.56570426095277071</v>
      </c>
      <c r="Z15">
        <f t="shared" si="16"/>
        <v>-0.43580712947883404</v>
      </c>
      <c r="AA15" s="13">
        <f t="shared" si="17"/>
        <v>-0.53337075727969319</v>
      </c>
      <c r="AB15" s="13">
        <v>-3.33707572796932E-2</v>
      </c>
    </row>
    <row r="16" spans="1:28" x14ac:dyDescent="0.25">
      <c r="A16" s="1">
        <v>1857</v>
      </c>
      <c r="B16" s="1">
        <f t="shared" si="7"/>
        <v>-0.34407692307692306</v>
      </c>
      <c r="C16" s="1">
        <f t="shared" si="0"/>
        <v>-0.29693740769230775</v>
      </c>
      <c r="D16" s="1">
        <f t="shared" si="1"/>
        <v>-4.4664833793207848E-2</v>
      </c>
      <c r="E16" s="1">
        <f t="shared" si="8"/>
        <v>0.88780828513467291</v>
      </c>
      <c r="F16" s="1">
        <f t="shared" si="9"/>
        <v>4.7139515384615305E-2</v>
      </c>
      <c r="G16" s="9">
        <f t="shared" si="2"/>
        <v>0.88780828513467291</v>
      </c>
      <c r="H16" s="1">
        <f t="shared" si="3"/>
        <v>0.75546613938959417</v>
      </c>
      <c r="I16" s="1">
        <f t="shared" si="10"/>
        <v>1.496730487416422</v>
      </c>
      <c r="J16" s="3">
        <f t="shared" si="4"/>
        <v>1.496730487416422</v>
      </c>
      <c r="K16" s="3">
        <f t="shared" si="5"/>
        <v>0.88780828513467291</v>
      </c>
      <c r="L16" s="6">
        <f>+(O10+O11+O12+O13+O14+O15+O16+O17+O19+O20+O21+O22+O23)/13</f>
        <v>-0.34407692307692306</v>
      </c>
      <c r="M16" s="6">
        <f t="shared" ref="M16:N16" si="22">+(P10+P11+P12+P13+P14+P15+P16+P17+P19+P20+P21+P22+P23)/13</f>
        <v>-0.31184615384615388</v>
      </c>
      <c r="N16" s="6">
        <f t="shared" si="22"/>
        <v>-0.2996923076923077</v>
      </c>
      <c r="O16" s="6">
        <v>-0.45400000000000001</v>
      </c>
      <c r="P16" s="4">
        <v>-0.435</v>
      </c>
      <c r="Q16" s="5">
        <v>-0.42199999999999999</v>
      </c>
      <c r="R16">
        <f t="shared" si="12"/>
        <v>-0.2996923076923077</v>
      </c>
      <c r="S16">
        <f t="shared" si="13"/>
        <v>1.0405544147843944</v>
      </c>
      <c r="T16">
        <f t="shared" si="14"/>
        <v>1.1481006160164271</v>
      </c>
      <c r="U16">
        <f t="shared" si="6"/>
        <v>-1.2672575462012321</v>
      </c>
      <c r="W16">
        <v>-0.42199999999999999</v>
      </c>
      <c r="X16">
        <v>-0.41908299999999998</v>
      </c>
      <c r="Y16" s="11">
        <f t="shared" si="15"/>
        <v>0.54888251889497042</v>
      </c>
      <c r="Z16">
        <f t="shared" si="16"/>
        <v>-0.49128867824582234</v>
      </c>
      <c r="AA16" s="13">
        <f t="shared" si="17"/>
        <v>-0.55175893586952685</v>
      </c>
      <c r="AB16" s="13">
        <v>-5.1758935869526797E-2</v>
      </c>
    </row>
    <row r="17" spans="1:28" x14ac:dyDescent="0.25">
      <c r="A17" s="1">
        <v>1858</v>
      </c>
      <c r="B17" s="1">
        <f t="shared" si="7"/>
        <v>-0.34369230769230769</v>
      </c>
      <c r="C17" s="1">
        <f t="shared" si="0"/>
        <v>-0.30698044230769228</v>
      </c>
      <c r="D17" s="1">
        <f t="shared" si="1"/>
        <v>-3.6595741101841883E-2</v>
      </c>
      <c r="E17" s="1">
        <f t="shared" si="8"/>
        <v>0.82645148204598617</v>
      </c>
      <c r="F17" s="1">
        <f t="shared" si="9"/>
        <v>3.6711865384615405E-2</v>
      </c>
      <c r="G17" s="9">
        <f t="shared" si="2"/>
        <v>0.82645148204598617</v>
      </c>
      <c r="H17" s="1">
        <f t="shared" si="3"/>
        <v>0.552386741604045</v>
      </c>
      <c r="I17" s="1">
        <f t="shared" si="10"/>
        <v>1.3471375179290546</v>
      </c>
      <c r="J17" s="3">
        <f t="shared" si="4"/>
        <v>1.3471375179290546</v>
      </c>
      <c r="K17" s="3">
        <f t="shared" si="5"/>
        <v>0.82645148204598617</v>
      </c>
      <c r="L17" s="6">
        <f t="shared" ref="L17:L80" si="23">+(O11+O12+O13+O14+O15+O16+O17+O18+O20+O21+O22+O23+O24)/13</f>
        <v>-0.34369230769230769</v>
      </c>
      <c r="M17" s="6">
        <f t="shared" ref="M17:M80" si="24">+(P11+P12+P13+P14+P15+P16+P17+P18+P20+P21+P22+P23+P24)/13</f>
        <v>-0.32100000000000001</v>
      </c>
      <c r="N17" s="6">
        <f t="shared" ref="N17:N80" si="25">+(Q11+Q12+Q13+Q14+Q15+Q16+Q17+Q18+Q20+Q21+Q22+Q23+Q24)/13</f>
        <v>-0.31261538461538463</v>
      </c>
      <c r="O17" s="6">
        <v>-0.46100000000000002</v>
      </c>
      <c r="P17" s="4">
        <v>-0.45300000000000001</v>
      </c>
      <c r="Q17" s="5">
        <v>-0.48</v>
      </c>
      <c r="R17">
        <f t="shared" si="12"/>
        <v>-0.31261538461538463</v>
      </c>
      <c r="S17">
        <f t="shared" si="13"/>
        <v>1.0268208661417322</v>
      </c>
      <c r="T17">
        <f t="shared" si="14"/>
        <v>1.0994094488188975</v>
      </c>
      <c r="U17">
        <f t="shared" si="6"/>
        <v>-1.1796768454724407</v>
      </c>
      <c r="W17">
        <v>-0.48</v>
      </c>
      <c r="X17">
        <v>-0.47783300000000001</v>
      </c>
      <c r="Y17" s="11">
        <f t="shared" si="15"/>
        <v>0.53381431195884943</v>
      </c>
      <c r="Z17">
        <f t="shared" si="16"/>
        <v>-0.51867293058807007</v>
      </c>
      <c r="AA17" s="13">
        <f t="shared" si="17"/>
        <v>-0.5069596849046244</v>
      </c>
      <c r="AB17" s="13">
        <v>-6.95968490462439E-3</v>
      </c>
    </row>
    <row r="18" spans="1:28" x14ac:dyDescent="0.25">
      <c r="A18" s="1">
        <v>1859</v>
      </c>
      <c r="B18" s="1">
        <f t="shared" si="7"/>
        <v>-0.34099999999999997</v>
      </c>
      <c r="C18" s="1">
        <f t="shared" si="0"/>
        <v>-0.31957134038461538</v>
      </c>
      <c r="D18" s="1">
        <f t="shared" si="1"/>
        <v>-2.1672004553877411E-2</v>
      </c>
      <c r="E18" s="1">
        <f t="shared" si="8"/>
        <v>0.6696758431574803</v>
      </c>
      <c r="F18" s="1">
        <f t="shared" si="9"/>
        <v>2.1428659615384593E-2</v>
      </c>
      <c r="G18" s="9">
        <f t="shared" si="2"/>
        <v>0.6696758431574803</v>
      </c>
      <c r="H18" s="1">
        <f t="shared" si="3"/>
        <v>0.22409833527278011</v>
      </c>
      <c r="I18" s="1">
        <f t="shared" si="10"/>
        <v>1.0013209719523777</v>
      </c>
      <c r="J18" s="3">
        <f t="shared" si="4"/>
        <v>1.0013209719523777</v>
      </c>
      <c r="K18" s="3">
        <f t="shared" si="5"/>
        <v>0.6696758431574803</v>
      </c>
      <c r="L18" s="6">
        <f t="shared" si="23"/>
        <v>-0.34099999999999997</v>
      </c>
      <c r="M18" s="6">
        <f t="shared" si="24"/>
        <v>-0.312</v>
      </c>
      <c r="N18" s="6">
        <f t="shared" si="25"/>
        <v>-0.36976923076923074</v>
      </c>
      <c r="O18" s="6">
        <v>-0.28199999999999997</v>
      </c>
      <c r="P18" s="4">
        <v>-0.33</v>
      </c>
      <c r="Q18" s="5">
        <v>-0.193</v>
      </c>
      <c r="R18">
        <f t="shared" si="12"/>
        <v>-0.36976923076923074</v>
      </c>
      <c r="S18">
        <f t="shared" si="13"/>
        <v>0.84376950280840446</v>
      </c>
      <c r="T18">
        <f t="shared" si="14"/>
        <v>0.9221967963386728</v>
      </c>
      <c r="U18">
        <f t="shared" si="6"/>
        <v>-0.95589529852298738</v>
      </c>
      <c r="W18">
        <v>-0.193</v>
      </c>
      <c r="X18">
        <v>-0.20558299999999999</v>
      </c>
      <c r="Y18" s="11">
        <f t="shared" si="15"/>
        <v>0.52041552681475878</v>
      </c>
      <c r="Z18">
        <f t="shared" si="16"/>
        <v>-0.53374301765663579</v>
      </c>
      <c r="AA18" s="13">
        <f t="shared" si="17"/>
        <v>-0.50055668720888791</v>
      </c>
      <c r="AB18" s="13">
        <v>-5.5668720888794496E-4</v>
      </c>
    </row>
    <row r="19" spans="1:28" x14ac:dyDescent="0.25">
      <c r="A19" s="1">
        <v>1860</v>
      </c>
      <c r="B19" s="1">
        <f t="shared" si="7"/>
        <v>-0.33546153846153842</v>
      </c>
      <c r="C19" s="1">
        <f t="shared" si="0"/>
        <v>-0.31947239423076923</v>
      </c>
      <c r="D19" s="1">
        <f t="shared" si="1"/>
        <v>0</v>
      </c>
      <c r="E19" s="7">
        <f t="shared" si="8"/>
        <v>0.93996638959301115</v>
      </c>
      <c r="F19" s="1">
        <f t="shared" si="9"/>
        <v>1.5989144230769192E-2</v>
      </c>
      <c r="G19" s="9">
        <f t="shared" si="2"/>
        <v>0.93996638959301115</v>
      </c>
      <c r="H19" s="1">
        <f t="shared" si="3"/>
        <v>0.17025068701064583</v>
      </c>
      <c r="I19" s="1">
        <f t="shared" si="10"/>
        <v>0.93996638959301115</v>
      </c>
      <c r="J19" s="3">
        <f t="shared" si="4"/>
        <v>0.93996638959301115</v>
      </c>
      <c r="K19" s="3">
        <f t="shared" si="5"/>
        <v>0.65089923727019916</v>
      </c>
      <c r="L19" s="6">
        <f t="shared" si="23"/>
        <v>-0.33546153846153842</v>
      </c>
      <c r="M19" s="6">
        <f t="shared" si="24"/>
        <v>-0.31246153846153846</v>
      </c>
      <c r="N19" s="6">
        <f t="shared" si="25"/>
        <v>-0.36853846153846148</v>
      </c>
      <c r="O19" s="6">
        <v>-0.33800000000000002</v>
      </c>
      <c r="P19" s="4">
        <v>-0.25600000000000001</v>
      </c>
      <c r="Q19" s="5">
        <v>-0.58799999999999997</v>
      </c>
      <c r="R19">
        <f t="shared" si="12"/>
        <v>-0.36853846153846148</v>
      </c>
      <c r="S19">
        <f t="shared" si="13"/>
        <v>0.84783969943644344</v>
      </c>
      <c r="T19">
        <f t="shared" si="14"/>
        <v>0.91024838238363603</v>
      </c>
      <c r="U19">
        <f t="shared" si="6"/>
        <v>-0.92909357127948233</v>
      </c>
      <c r="W19">
        <v>-0.58799999999999997</v>
      </c>
      <c r="X19">
        <v>-0.58391700000000002</v>
      </c>
      <c r="Y19" s="11">
        <f t="shared" si="15"/>
        <v>0.50860422942787409</v>
      </c>
      <c r="Z19">
        <f t="shared" si="16"/>
        <v>-0.54397490042002306</v>
      </c>
      <c r="AA19" s="13">
        <f t="shared" si="17"/>
        <v>-0.56295223459329902</v>
      </c>
      <c r="AB19" s="13">
        <v>-6.2952234593299003E-2</v>
      </c>
    </row>
    <row r="20" spans="1:28" x14ac:dyDescent="0.25">
      <c r="A20" s="1">
        <v>1861</v>
      </c>
      <c r="B20" s="1">
        <f t="shared" si="7"/>
        <v>-0.35200000000000004</v>
      </c>
      <c r="C20" s="1">
        <f t="shared" si="0"/>
        <v>-0.34445629807692313</v>
      </c>
      <c r="D20" s="1">
        <f t="shared" si="1"/>
        <v>0</v>
      </c>
      <c r="E20" s="1">
        <f t="shared" si="8"/>
        <v>0.7223005791552024</v>
      </c>
      <c r="F20" s="1">
        <f t="shared" si="9"/>
        <v>7.5437019230769065E-3</v>
      </c>
      <c r="G20" s="9">
        <f t="shared" si="2"/>
        <v>0.7223005791552024</v>
      </c>
      <c r="H20" s="1">
        <f t="shared" si="3"/>
        <v>5.5296311080105687E-2</v>
      </c>
      <c r="I20" s="1">
        <f t="shared" si="10"/>
        <v>0.7223005791552024</v>
      </c>
      <c r="J20" s="3">
        <f t="shared" si="4"/>
        <v>0.7223005791552024</v>
      </c>
      <c r="K20" s="3">
        <f t="shared" si="5"/>
        <v>0.5575593175930883</v>
      </c>
      <c r="L20" s="6">
        <f t="shared" si="23"/>
        <v>-0.35200000000000004</v>
      </c>
      <c r="M20" s="6">
        <f t="shared" si="24"/>
        <v>-0.3137692307692308</v>
      </c>
      <c r="N20" s="6">
        <f t="shared" si="25"/>
        <v>-0.44361538461538458</v>
      </c>
      <c r="O20" s="6">
        <v>-0.39100000000000001</v>
      </c>
      <c r="P20" s="4">
        <v>-0.40400000000000003</v>
      </c>
      <c r="Q20" s="5">
        <v>-0.41799999999999998</v>
      </c>
      <c r="R20">
        <f t="shared" si="12"/>
        <v>-0.44361538461538458</v>
      </c>
      <c r="S20">
        <f t="shared" si="13"/>
        <v>0.70730015606034347</v>
      </c>
      <c r="T20">
        <f t="shared" si="14"/>
        <v>0.79348014565632063</v>
      </c>
      <c r="U20">
        <f t="shared" si="6"/>
        <v>-0.79586016993237418</v>
      </c>
      <c r="W20">
        <v>-0.41799999999999998</v>
      </c>
      <c r="X20">
        <v>-0.42758299999999999</v>
      </c>
      <c r="Y20" s="11">
        <f t="shared" si="15"/>
        <v>0.49830075446516275</v>
      </c>
      <c r="Z20">
        <f t="shared" si="16"/>
        <v>-0.57640857155544889</v>
      </c>
      <c r="AA20" s="13">
        <f t="shared" si="17"/>
        <v>-0.54326489648126097</v>
      </c>
      <c r="AB20" s="13">
        <v>-4.3264896481261E-2</v>
      </c>
    </row>
    <row r="21" spans="1:28" x14ac:dyDescent="0.25">
      <c r="A21" s="1">
        <v>1862</v>
      </c>
      <c r="B21" s="1">
        <f t="shared" si="7"/>
        <v>-0.33600000000000002</v>
      </c>
      <c r="C21" s="1">
        <f t="shared" si="0"/>
        <v>-0.33424010769230766</v>
      </c>
      <c r="D21" s="1">
        <f t="shared" si="1"/>
        <v>0</v>
      </c>
      <c r="E21" s="1">
        <f t="shared" si="8"/>
        <v>0.6660486173465392</v>
      </c>
      <c r="F21" s="1">
        <f t="shared" si="9"/>
        <v>1.7598923076923567E-3</v>
      </c>
      <c r="G21" s="9">
        <f t="shared" si="2"/>
        <v>0.6660486173465392</v>
      </c>
      <c r="H21" s="1">
        <f t="shared" si="3"/>
        <v>2.0853633376697545E-2</v>
      </c>
      <c r="I21" s="1">
        <f t="shared" si="10"/>
        <v>0.6660486173465392</v>
      </c>
      <c r="J21" s="3">
        <f t="shared" si="4"/>
        <v>0.6660486173465392</v>
      </c>
      <c r="K21" s="3">
        <f t="shared" si="5"/>
        <v>0.56488014909067552</v>
      </c>
      <c r="L21" s="6">
        <f t="shared" si="23"/>
        <v>-0.33600000000000002</v>
      </c>
      <c r="M21" s="6">
        <f t="shared" si="24"/>
        <v>-0.31507692307692309</v>
      </c>
      <c r="N21" s="6">
        <f t="shared" si="25"/>
        <v>-0.40923076923076918</v>
      </c>
      <c r="O21" s="6">
        <v>-0.503</v>
      </c>
      <c r="P21" s="4">
        <v>-0.39900000000000002</v>
      </c>
      <c r="Q21" s="5">
        <v>-0.67</v>
      </c>
      <c r="R21">
        <f t="shared" si="12"/>
        <v>-0.40923076923076918</v>
      </c>
      <c r="S21">
        <f t="shared" si="13"/>
        <v>0.76992481203007535</v>
      </c>
      <c r="T21">
        <f t="shared" si="14"/>
        <v>0.82105263157894748</v>
      </c>
      <c r="U21">
        <f t="shared" si="6"/>
        <v>-0.80630992481203023</v>
      </c>
      <c r="W21">
        <v>-0.67</v>
      </c>
      <c r="X21">
        <v>-0.66333299999999995</v>
      </c>
      <c r="Y21" s="11">
        <f t="shared" si="15"/>
        <v>0.48942758608609438</v>
      </c>
      <c r="Z21">
        <f t="shared" si="16"/>
        <v>-0.57661868547420592</v>
      </c>
      <c r="AA21" s="13">
        <f t="shared" si="17"/>
        <v>-0.59404690608130206</v>
      </c>
      <c r="AB21" s="13">
        <v>-9.4046906081302006E-2</v>
      </c>
    </row>
    <row r="22" spans="1:28" x14ac:dyDescent="0.25">
      <c r="A22" s="1">
        <v>1863</v>
      </c>
      <c r="B22" s="1">
        <f t="shared" si="7"/>
        <v>-0.34546153846153849</v>
      </c>
      <c r="C22" s="1">
        <f t="shared" si="0"/>
        <v>-0.34527260384615388</v>
      </c>
      <c r="D22" s="1">
        <f t="shared" si="1"/>
        <v>0</v>
      </c>
      <c r="E22" s="1">
        <f t="shared" si="8"/>
        <v>0.6043941318651781</v>
      </c>
      <c r="F22" s="1">
        <f t="shared" si="9"/>
        <v>1.889346153846061E-4</v>
      </c>
      <c r="G22" s="9">
        <f t="shared" si="2"/>
        <v>0.6043941318651781</v>
      </c>
      <c r="H22" s="1">
        <f t="shared" si="3"/>
        <v>6.1939209065763334E-3</v>
      </c>
      <c r="I22" s="1">
        <f t="shared" si="10"/>
        <v>0.6043941318651781</v>
      </c>
      <c r="J22" s="3">
        <f t="shared" si="4"/>
        <v>0.6043941318651781</v>
      </c>
      <c r="K22" s="3">
        <f t="shared" si="5"/>
        <v>0.54925789325563645</v>
      </c>
      <c r="L22" s="6">
        <f t="shared" si="23"/>
        <v>-0.34546153846153849</v>
      </c>
      <c r="M22" s="6">
        <f t="shared" si="24"/>
        <v>-0.32115384615384623</v>
      </c>
      <c r="N22" s="6">
        <f t="shared" si="25"/>
        <v>-0.43138461538461537</v>
      </c>
      <c r="O22" s="6">
        <v>-0.27500000000000002</v>
      </c>
      <c r="P22" s="4">
        <v>-0.35799999999999998</v>
      </c>
      <c r="Q22" s="5">
        <v>-0.182</v>
      </c>
      <c r="R22">
        <f t="shared" si="12"/>
        <v>-0.43138461538461537</v>
      </c>
      <c r="S22">
        <f t="shared" si="13"/>
        <v>0.74447218259629122</v>
      </c>
      <c r="T22">
        <f t="shared" si="14"/>
        <v>0.8008202567760343</v>
      </c>
      <c r="U22">
        <f t="shared" si="6"/>
        <v>-0.78401071683309553</v>
      </c>
      <c r="W22">
        <v>-0.182</v>
      </c>
      <c r="X22">
        <v>-0.192167</v>
      </c>
      <c r="Y22" s="11">
        <f t="shared" si="15"/>
        <v>0.48190940264612436</v>
      </c>
      <c r="Z22">
        <f t="shared" si="16"/>
        <v>-0.59912904659297272</v>
      </c>
      <c r="AA22" s="13">
        <f t="shared" si="17"/>
        <v>-0.49633715288056862</v>
      </c>
      <c r="AB22" s="13">
        <v>3.6628471194314E-3</v>
      </c>
    </row>
    <row r="23" spans="1:28" x14ac:dyDescent="0.25">
      <c r="A23" s="1">
        <v>1864</v>
      </c>
      <c r="B23" s="1">
        <f t="shared" si="7"/>
        <v>-0.3378461538461538</v>
      </c>
      <c r="C23" s="1">
        <f t="shared" si="0"/>
        <v>-0.34086950000000005</v>
      </c>
      <c r="D23" s="1">
        <f t="shared" si="1"/>
        <v>2.8458297667210974E-3</v>
      </c>
      <c r="E23" s="7">
        <f t="shared" si="8"/>
        <v>0.51630697564971184</v>
      </c>
      <c r="F23" s="1">
        <f t="shared" si="9"/>
        <v>3.0233461538462514E-3</v>
      </c>
      <c r="G23" s="9">
        <f t="shared" si="2"/>
        <v>0.51630697564971184</v>
      </c>
      <c r="H23" s="1">
        <f t="shared" si="3"/>
        <v>-1.8796986173185815E-2</v>
      </c>
      <c r="I23" s="1" t="e">
        <f t="shared" si="10"/>
        <v>#NUM!</v>
      </c>
      <c r="J23" s="3" t="b">
        <f t="shared" si="4"/>
        <v>0</v>
      </c>
      <c r="K23" s="3">
        <f t="shared" si="5"/>
        <v>0.51630697564971184</v>
      </c>
      <c r="L23" s="6">
        <f t="shared" si="23"/>
        <v>-0.3378461538461538</v>
      </c>
      <c r="M23" s="6">
        <f t="shared" si="24"/>
        <v>-0.30684615384615388</v>
      </c>
      <c r="N23" s="6">
        <f t="shared" si="25"/>
        <v>-0.44630769230769235</v>
      </c>
      <c r="O23" s="6">
        <v>-0.47799999999999998</v>
      </c>
      <c r="P23" s="4">
        <v>-0.39</v>
      </c>
      <c r="Q23" s="5">
        <v>-0.70899999999999996</v>
      </c>
      <c r="R23">
        <f t="shared" si="12"/>
        <v>-0.44630769230769235</v>
      </c>
      <c r="S23">
        <f t="shared" si="13"/>
        <v>0.68752154429507073</v>
      </c>
      <c r="T23">
        <f t="shared" si="14"/>
        <v>0.75698035160289534</v>
      </c>
      <c r="U23">
        <f t="shared" si="6"/>
        <v>-0.73697657704239872</v>
      </c>
      <c r="W23">
        <v>-0.70899999999999996</v>
      </c>
      <c r="X23">
        <v>-0.69433299999999998</v>
      </c>
      <c r="Y23" s="11">
        <f t="shared" si="15"/>
        <v>0.47567305434495211</v>
      </c>
      <c r="Z23">
        <f t="shared" si="16"/>
        <v>-0.58816995782332016</v>
      </c>
      <c r="AA23" s="13">
        <f t="shared" si="17"/>
        <v>-0.52905049571307772</v>
      </c>
      <c r="AB23" s="13">
        <v>-2.90504957130777E-2</v>
      </c>
    </row>
    <row r="24" spans="1:28" x14ac:dyDescent="0.25">
      <c r="A24" s="1">
        <v>1865</v>
      </c>
      <c r="B24" s="1">
        <f t="shared" si="7"/>
        <v>-0.31484615384615383</v>
      </c>
      <c r="C24" s="1">
        <f t="shared" si="0"/>
        <v>-0.32058553846153848</v>
      </c>
      <c r="D24" s="1">
        <f t="shared" si="1"/>
        <v>5.6240892873881676E-3</v>
      </c>
      <c r="E24" s="1">
        <f t="shared" si="8"/>
        <v>0.50838480416340193</v>
      </c>
      <c r="F24" s="1">
        <f t="shared" si="9"/>
        <v>5.7393846153846462E-3</v>
      </c>
      <c r="G24" s="9">
        <f t="shared" si="2"/>
        <v>0.50838480416340193</v>
      </c>
      <c r="H24" s="1">
        <f t="shared" si="3"/>
        <v>-3.9040408718850061E-2</v>
      </c>
      <c r="I24" s="1" t="e">
        <f t="shared" si="10"/>
        <v>#NUM!</v>
      </c>
      <c r="J24" s="3" t="b">
        <f t="shared" si="4"/>
        <v>0</v>
      </c>
      <c r="K24" s="3">
        <f t="shared" si="5"/>
        <v>0.50838480416340193</v>
      </c>
      <c r="L24" s="6">
        <f t="shared" si="23"/>
        <v>-0.31484615384615383</v>
      </c>
      <c r="M24" s="6">
        <f t="shared" si="24"/>
        <v>-0.28938461538461541</v>
      </c>
      <c r="N24" s="6">
        <f t="shared" si="25"/>
        <v>-0.41815384615384621</v>
      </c>
      <c r="O24" s="6">
        <v>-0.27</v>
      </c>
      <c r="P24" s="4">
        <v>-0.23599999999999999</v>
      </c>
      <c r="Q24" s="5">
        <v>-0.36599999999999999</v>
      </c>
      <c r="R24">
        <f t="shared" si="12"/>
        <v>-0.41815384615384621</v>
      </c>
      <c r="S24">
        <f t="shared" si="13"/>
        <v>0.69205298013245031</v>
      </c>
      <c r="T24">
        <f t="shared" si="14"/>
        <v>0.75294334069168489</v>
      </c>
      <c r="U24">
        <f t="shared" si="6"/>
        <v>-0.72566846946283992</v>
      </c>
      <c r="W24">
        <v>-0.36599999999999999</v>
      </c>
      <c r="X24">
        <v>-0.37524999999999997</v>
      </c>
      <c r="Y24" s="11">
        <f t="shared" si="15"/>
        <v>0.47064743656665087</v>
      </c>
      <c r="Z24">
        <f t="shared" si="16"/>
        <v>-0.55854656526400981</v>
      </c>
      <c r="AA24" s="13">
        <f t="shared" si="17"/>
        <v>-0.50239393801633614</v>
      </c>
      <c r="AB24" s="13">
        <v>-2.3939380163361399E-3</v>
      </c>
    </row>
    <row r="25" spans="1:28" x14ac:dyDescent="0.25">
      <c r="A25" s="1">
        <v>1866</v>
      </c>
      <c r="B25" s="1">
        <f t="shared" si="7"/>
        <v>-0.32269230769230767</v>
      </c>
      <c r="C25" s="1">
        <f t="shared" si="0"/>
        <v>-0.32699230192307693</v>
      </c>
      <c r="D25" s="1">
        <f t="shared" si="1"/>
        <v>4.3432825157770916E-3</v>
      </c>
      <c r="E25" s="7">
        <f t="shared" si="8"/>
        <v>0.49344102716427624</v>
      </c>
      <c r="F25" s="1">
        <f t="shared" si="9"/>
        <v>4.2999942307692662E-3</v>
      </c>
      <c r="G25" s="9">
        <f t="shared" si="2"/>
        <v>0.49344102716427624</v>
      </c>
      <c r="H25" s="1">
        <f t="shared" si="3"/>
        <v>-2.7450416069703998E-2</v>
      </c>
      <c r="I25" s="1" t="e">
        <f t="shared" si="10"/>
        <v>#NUM!</v>
      </c>
      <c r="J25" s="3" t="b">
        <f t="shared" si="4"/>
        <v>0</v>
      </c>
      <c r="K25" s="3">
        <f t="shared" si="5"/>
        <v>0.49344102716427624</v>
      </c>
      <c r="L25" s="6">
        <f t="shared" si="23"/>
        <v>-0.32269230769230767</v>
      </c>
      <c r="M25" s="6">
        <f t="shared" si="24"/>
        <v>-0.28553846153846157</v>
      </c>
      <c r="N25" s="6">
        <f t="shared" si="25"/>
        <v>-0.44576923076923081</v>
      </c>
      <c r="O25" s="6">
        <v>-0.24099999999999999</v>
      </c>
      <c r="P25" s="4">
        <v>-0.216</v>
      </c>
      <c r="Q25" s="5">
        <v>-0.34100000000000003</v>
      </c>
      <c r="R25">
        <f t="shared" si="12"/>
        <v>-0.44576923076923081</v>
      </c>
      <c r="S25">
        <f t="shared" si="13"/>
        <v>0.64055220017256254</v>
      </c>
      <c r="T25">
        <f t="shared" si="14"/>
        <v>0.72389991371872286</v>
      </c>
      <c r="U25">
        <f t="shared" si="6"/>
        <v>-0.70433772217428792</v>
      </c>
      <c r="W25">
        <v>-0.34100000000000003</v>
      </c>
      <c r="X25">
        <v>-0.34875</v>
      </c>
      <c r="Y25" s="11">
        <f t="shared" si="15"/>
        <v>0.46676357928663492</v>
      </c>
      <c r="Z25">
        <f t="shared" si="16"/>
        <v>-0.56422334788471984</v>
      </c>
      <c r="AA25" s="13">
        <f t="shared" si="17"/>
        <v>-0.49607541316655412</v>
      </c>
      <c r="AB25" s="13">
        <v>3.9245868334458903E-3</v>
      </c>
    </row>
    <row r="26" spans="1:28" x14ac:dyDescent="0.25">
      <c r="A26" s="1">
        <v>1867</v>
      </c>
      <c r="B26" s="1">
        <f t="shared" si="7"/>
        <v>-0.32315384615384612</v>
      </c>
      <c r="C26" s="1">
        <f t="shared" si="0"/>
        <v>-0.32983700384615389</v>
      </c>
      <c r="D26" s="1">
        <f t="shared" si="1"/>
        <v>6.7211483306178765E-3</v>
      </c>
      <c r="E26" s="1">
        <f t="shared" si="8"/>
        <v>0.49695826138443322</v>
      </c>
      <c r="F26" s="1">
        <f t="shared" si="9"/>
        <v>6.6831576923077618E-3</v>
      </c>
      <c r="G26" s="9">
        <f t="shared" si="2"/>
        <v>0.49695826138443322</v>
      </c>
      <c r="H26" s="1">
        <f t="shared" si="3"/>
        <v>-4.3464322448172554E-2</v>
      </c>
      <c r="I26" s="1" t="e">
        <f t="shared" si="10"/>
        <v>#NUM!</v>
      </c>
      <c r="J26" s="3" t="b">
        <f t="shared" si="4"/>
        <v>0</v>
      </c>
      <c r="K26" s="3">
        <f t="shared" si="5"/>
        <v>0.49695826138443322</v>
      </c>
      <c r="L26" s="6">
        <f t="shared" si="23"/>
        <v>-0.32315384615384612</v>
      </c>
      <c r="M26" s="6">
        <f t="shared" si="24"/>
        <v>-0.2934615384615385</v>
      </c>
      <c r="N26" s="6">
        <f t="shared" si="25"/>
        <v>-0.4387692307692308</v>
      </c>
      <c r="O26" s="6">
        <v>-0.308</v>
      </c>
      <c r="P26" s="4">
        <v>-0.218</v>
      </c>
      <c r="Q26" s="5">
        <v>-0.52300000000000002</v>
      </c>
      <c r="R26">
        <f t="shared" si="12"/>
        <v>-0.4387692307692308</v>
      </c>
      <c r="S26">
        <f t="shared" si="13"/>
        <v>0.66882889200561013</v>
      </c>
      <c r="T26">
        <f t="shared" si="14"/>
        <v>0.73650070126227196</v>
      </c>
      <c r="U26">
        <f t="shared" si="6"/>
        <v>-0.70935822230014001</v>
      </c>
      <c r="W26">
        <v>-0.52300000000000002</v>
      </c>
      <c r="X26">
        <v>-0.51741700000000002</v>
      </c>
      <c r="Y26" s="11">
        <f t="shared" si="15"/>
        <v>0.4639545576646924</v>
      </c>
      <c r="Z26">
        <f t="shared" si="16"/>
        <v>-0.57705069560073152</v>
      </c>
      <c r="AA26" s="13">
        <f t="shared" si="17"/>
        <v>-0.47849527426009369</v>
      </c>
      <c r="AB26" s="13">
        <v>2.1504725739906298E-2</v>
      </c>
    </row>
    <row r="27" spans="1:28" x14ac:dyDescent="0.25">
      <c r="A27" s="1">
        <v>1868</v>
      </c>
      <c r="B27" s="1">
        <f t="shared" si="7"/>
        <v>-0.32353846153846155</v>
      </c>
      <c r="C27" s="1">
        <f t="shared" si="0"/>
        <v>-0.33075225576923079</v>
      </c>
      <c r="D27" s="1">
        <f t="shared" si="1"/>
        <v>7.3773321021790017E-3</v>
      </c>
      <c r="E27" s="7">
        <f t="shared" si="8"/>
        <v>0.47514451584901524</v>
      </c>
      <c r="F27" s="1">
        <f t="shared" si="9"/>
        <v>7.2137942307692327E-3</v>
      </c>
      <c r="G27" s="9">
        <f t="shared" si="2"/>
        <v>0.47514451584901524</v>
      </c>
      <c r="H27" s="1">
        <f t="shared" si="3"/>
        <v>-4.3428494249132754E-2</v>
      </c>
      <c r="I27" s="1" t="e">
        <f t="shared" si="10"/>
        <v>#NUM!</v>
      </c>
      <c r="J27" s="3" t="b">
        <f t="shared" si="4"/>
        <v>0</v>
      </c>
      <c r="K27" s="3">
        <f t="shared" si="5"/>
        <v>0.47514451584901524</v>
      </c>
      <c r="L27" s="6">
        <f t="shared" si="23"/>
        <v>-0.32353846153846155</v>
      </c>
      <c r="M27" s="6">
        <f t="shared" si="24"/>
        <v>-0.28384615384615386</v>
      </c>
      <c r="N27" s="6">
        <f t="shared" si="25"/>
        <v>-0.46084615384615391</v>
      </c>
      <c r="O27" s="6">
        <v>-0.23</v>
      </c>
      <c r="P27" s="4">
        <v>-0.223</v>
      </c>
      <c r="Q27" s="5">
        <v>-0.32700000000000001</v>
      </c>
      <c r="R27">
        <f t="shared" si="12"/>
        <v>-0.46084615384615391</v>
      </c>
      <c r="S27">
        <f t="shared" si="13"/>
        <v>0.61592388582874302</v>
      </c>
      <c r="T27">
        <f t="shared" si="14"/>
        <v>0.70205307961942909</v>
      </c>
      <c r="U27">
        <f t="shared" si="6"/>
        <v>-0.67822128192288433</v>
      </c>
      <c r="W27">
        <v>-0.32700000000000001</v>
      </c>
      <c r="X27">
        <v>-0.33116699999999999</v>
      </c>
      <c r="Y27" s="11">
        <f t="shared" si="15"/>
        <v>0.46215544734150171</v>
      </c>
      <c r="Z27">
        <f t="shared" si="16"/>
        <v>-0.5702797804390457</v>
      </c>
      <c r="AA27" s="13">
        <f t="shared" si="17"/>
        <v>-0.49927560860419673</v>
      </c>
      <c r="AB27" s="13">
        <v>7.2439139580328198E-4</v>
      </c>
    </row>
    <row r="28" spans="1:28" x14ac:dyDescent="0.25">
      <c r="A28" s="1">
        <v>1869</v>
      </c>
      <c r="B28" s="1">
        <f t="shared" si="7"/>
        <v>-0.31015384615384617</v>
      </c>
      <c r="C28" s="1">
        <f t="shared" si="0"/>
        <v>-0.32070922115384615</v>
      </c>
      <c r="D28" s="1">
        <f t="shared" si="1"/>
        <v>1.0910238132062988E-2</v>
      </c>
      <c r="E28" s="7">
        <f t="shared" si="8"/>
        <v>0.47437392044218452</v>
      </c>
      <c r="F28" s="1">
        <f t="shared" si="9"/>
        <v>1.0555374999999978E-2</v>
      </c>
      <c r="G28" s="9">
        <f t="shared" si="2"/>
        <v>0.47437392044218452</v>
      </c>
      <c r="H28" s="1">
        <f t="shared" si="3"/>
        <v>-6.7787693652852365E-2</v>
      </c>
      <c r="I28" s="1" t="e">
        <f t="shared" si="10"/>
        <v>#NUM!</v>
      </c>
      <c r="J28" s="3" t="b">
        <f t="shared" si="4"/>
        <v>0</v>
      </c>
      <c r="K28" s="3">
        <f t="shared" si="5"/>
        <v>0.47437392044218452</v>
      </c>
      <c r="L28" s="6">
        <f t="shared" si="23"/>
        <v>-0.31015384615384617</v>
      </c>
      <c r="M28" s="6">
        <f t="shared" si="24"/>
        <v>-0.28069230769230769</v>
      </c>
      <c r="N28" s="6">
        <f t="shared" si="25"/>
        <v>-0.43592307692307691</v>
      </c>
      <c r="O28" s="6">
        <v>-0.25900000000000001</v>
      </c>
      <c r="P28" s="4">
        <v>-0.26200000000000001</v>
      </c>
      <c r="Q28" s="5">
        <v>-0.29199999999999998</v>
      </c>
      <c r="R28">
        <f t="shared" si="12"/>
        <v>-0.43592307692307691</v>
      </c>
      <c r="S28">
        <f t="shared" si="13"/>
        <v>0.64390329980589378</v>
      </c>
      <c r="T28">
        <f t="shared" si="14"/>
        <v>0.71148755955532028</v>
      </c>
      <c r="U28">
        <f t="shared" si="6"/>
        <v>-0.67712133403917418</v>
      </c>
      <c r="W28">
        <v>-0.29199999999999998</v>
      </c>
      <c r="X28">
        <v>-0.30425000000000002</v>
      </c>
      <c r="Y28" s="11">
        <f t="shared" si="15"/>
        <v>0.46130338776856661</v>
      </c>
      <c r="Z28">
        <f t="shared" si="16"/>
        <v>-0.55907451200792846</v>
      </c>
      <c r="AA28" s="13">
        <f t="shared" si="17"/>
        <v>-0.47431898675828033</v>
      </c>
      <c r="AB28" s="13">
        <v>2.5681013241719699E-2</v>
      </c>
    </row>
    <row r="29" spans="1:28" x14ac:dyDescent="0.25">
      <c r="A29" s="1">
        <v>1870</v>
      </c>
      <c r="B29" s="1">
        <f t="shared" si="7"/>
        <v>-0.30207692307692308</v>
      </c>
      <c r="C29" s="1">
        <f t="shared" si="0"/>
        <v>-0.31358509807692309</v>
      </c>
      <c r="D29" s="1">
        <f t="shared" si="1"/>
        <v>1.1654620818827732E-2</v>
      </c>
      <c r="E29" s="7">
        <f t="shared" si="8"/>
        <v>0.43652722061358601</v>
      </c>
      <c r="F29" s="1">
        <f t="shared" si="9"/>
        <v>1.1508175000000009E-2</v>
      </c>
      <c r="G29" s="9">
        <f t="shared" si="2"/>
        <v>0.43652722061358601</v>
      </c>
      <c r="H29" s="1">
        <f t="shared" si="3"/>
        <v>-6.265522923235689E-2</v>
      </c>
      <c r="I29" s="1" t="e">
        <f t="shared" si="10"/>
        <v>#NUM!</v>
      </c>
      <c r="J29" s="3" t="b">
        <f t="shared" si="4"/>
        <v>0</v>
      </c>
      <c r="K29" s="3">
        <f t="shared" si="5"/>
        <v>0.43652722061358601</v>
      </c>
      <c r="L29" s="6">
        <f t="shared" si="23"/>
        <v>-0.30207692307692308</v>
      </c>
      <c r="M29" s="6">
        <f t="shared" si="24"/>
        <v>-0.2557692307692308</v>
      </c>
      <c r="N29" s="6">
        <f t="shared" si="25"/>
        <v>-0.46361538461538465</v>
      </c>
      <c r="O29" s="6">
        <v>-0.27100000000000002</v>
      </c>
      <c r="P29" s="4">
        <v>-0.23100000000000001</v>
      </c>
      <c r="Q29" s="5">
        <v>-0.46300000000000002</v>
      </c>
      <c r="R29">
        <f t="shared" si="12"/>
        <v>-0.46361538461538465</v>
      </c>
      <c r="S29">
        <f t="shared" si="13"/>
        <v>0.55168408826945414</v>
      </c>
      <c r="T29">
        <f t="shared" si="14"/>
        <v>0.65156794425087106</v>
      </c>
      <c r="U29">
        <f t="shared" si="6"/>
        <v>-0.6230989547038327</v>
      </c>
      <c r="W29">
        <v>-0.46300000000000002</v>
      </c>
      <c r="X29">
        <v>-0.46124999999999999</v>
      </c>
      <c r="Y29" s="11">
        <f t="shared" si="15"/>
        <v>0.46133742947131395</v>
      </c>
      <c r="Z29">
        <f t="shared" si="16"/>
        <v>-0.52841418122441353</v>
      </c>
      <c r="AA29" s="13">
        <f t="shared" si="17"/>
        <v>-0.50714168130126092</v>
      </c>
      <c r="AB29" s="13">
        <v>-7.1416813012609697E-3</v>
      </c>
    </row>
    <row r="30" spans="1:28" x14ac:dyDescent="0.25">
      <c r="A30" s="1">
        <v>1871</v>
      </c>
      <c r="B30" s="1">
        <f t="shared" si="7"/>
        <v>-0.25692307692307687</v>
      </c>
      <c r="C30" s="1">
        <f t="shared" si="0"/>
        <v>-0.27173087499999998</v>
      </c>
      <c r="D30" s="1">
        <f t="shared" si="1"/>
        <v>1.5364695530141859E-2</v>
      </c>
      <c r="E30" s="7">
        <f t="shared" si="8"/>
        <v>0.41681816939025451</v>
      </c>
      <c r="F30" s="1">
        <f t="shared" si="9"/>
        <v>1.4807798076923118E-2</v>
      </c>
      <c r="G30" s="9">
        <f t="shared" si="2"/>
        <v>0.41681816939025451</v>
      </c>
      <c r="H30" s="1">
        <f t="shared" si="3"/>
        <v>-9.0320486157493274E-2</v>
      </c>
      <c r="I30" s="1" t="e">
        <f t="shared" si="10"/>
        <v>#NUM!</v>
      </c>
      <c r="J30" s="3" t="b">
        <f t="shared" si="4"/>
        <v>0</v>
      </c>
      <c r="K30" s="3">
        <f t="shared" si="5"/>
        <v>0.41681816939025451</v>
      </c>
      <c r="L30" s="6">
        <f t="shared" si="23"/>
        <v>-0.25692307692307687</v>
      </c>
      <c r="M30" s="6">
        <f t="shared" si="24"/>
        <v>-0.22007692307692306</v>
      </c>
      <c r="N30" s="6">
        <f t="shared" si="25"/>
        <v>-0.40484615384615386</v>
      </c>
      <c r="O30" s="6">
        <v>-0.32600000000000001</v>
      </c>
      <c r="P30" s="4">
        <v>-0.22900000000000001</v>
      </c>
      <c r="Q30" s="5">
        <v>-0.59099999999999997</v>
      </c>
      <c r="R30">
        <f t="shared" si="12"/>
        <v>-0.40484615384615386</v>
      </c>
      <c r="S30">
        <f t="shared" si="13"/>
        <v>0.5436063081892456</v>
      </c>
      <c r="T30">
        <f t="shared" si="14"/>
        <v>0.63461903857115698</v>
      </c>
      <c r="U30">
        <f t="shared" si="6"/>
        <v>-0.59496625498764932</v>
      </c>
      <c r="W30">
        <v>-0.59099999999999997</v>
      </c>
      <c r="X30">
        <v>-0.58299999999999996</v>
      </c>
      <c r="Y30" s="11">
        <f t="shared" si="15"/>
        <v>0.46219861600548029</v>
      </c>
      <c r="Z30">
        <f t="shared" si="16"/>
        <v>-0.45573733338464562</v>
      </c>
      <c r="AA30" s="13">
        <f t="shared" si="17"/>
        <v>-0.52176478581286967</v>
      </c>
      <c r="AB30" s="13">
        <v>-2.17647858128697E-2</v>
      </c>
    </row>
    <row r="31" spans="1:28" x14ac:dyDescent="0.25">
      <c r="A31" s="1">
        <v>1872</v>
      </c>
      <c r="B31" s="1">
        <f t="shared" si="7"/>
        <v>-0.24899999999999997</v>
      </c>
      <c r="C31" s="1">
        <f t="shared" si="0"/>
        <v>-0.26571989615384611</v>
      </c>
      <c r="D31" s="1">
        <f t="shared" si="1"/>
        <v>1.7091125871870588E-2</v>
      </c>
      <c r="E31" s="7">
        <f t="shared" si="8"/>
        <v>0.39561174257202281</v>
      </c>
      <c r="F31" s="1">
        <f t="shared" si="9"/>
        <v>1.6719896153846142E-2</v>
      </c>
      <c r="G31" s="9">
        <f t="shared" si="2"/>
        <v>0.39561174257202281</v>
      </c>
      <c r="H31" s="1">
        <f t="shared" si="3"/>
        <v>-9.3912290520749897E-2</v>
      </c>
      <c r="I31" s="1" t="e">
        <f t="shared" si="10"/>
        <v>#NUM!</v>
      </c>
      <c r="J31" s="3" t="b">
        <f t="shared" si="4"/>
        <v>0</v>
      </c>
      <c r="K31" s="3">
        <f t="shared" si="5"/>
        <v>0.39561174257202281</v>
      </c>
      <c r="L31" s="6">
        <f t="shared" si="23"/>
        <v>-0.24899999999999997</v>
      </c>
      <c r="M31" s="6">
        <f t="shared" si="24"/>
        <v>-0.20761538461538459</v>
      </c>
      <c r="N31" s="6">
        <f t="shared" si="25"/>
        <v>-0.41107692307692301</v>
      </c>
      <c r="O31" s="6">
        <v>-0.22900000000000001</v>
      </c>
      <c r="P31" s="4">
        <v>-0.22800000000000001</v>
      </c>
      <c r="Q31" s="5">
        <v>-0.29599999999999999</v>
      </c>
      <c r="R31">
        <f t="shared" si="12"/>
        <v>-0.41107692307692301</v>
      </c>
      <c r="S31">
        <f t="shared" si="13"/>
        <v>0.5050523952095809</v>
      </c>
      <c r="T31">
        <f t="shared" si="14"/>
        <v>0.6057260479041916</v>
      </c>
      <c r="U31">
        <f t="shared" si="6"/>
        <v>-0.56469620134730536</v>
      </c>
      <c r="W31">
        <v>-0.29599999999999999</v>
      </c>
      <c r="X31">
        <v>-0.310083</v>
      </c>
      <c r="Y31" s="11">
        <f t="shared" si="15"/>
        <v>0.46382988709956408</v>
      </c>
      <c r="Z31">
        <f t="shared" si="16"/>
        <v>-0.43715133227678998</v>
      </c>
      <c r="AA31" s="13">
        <f t="shared" si="17"/>
        <v>-0.51215727693299262</v>
      </c>
      <c r="AB31" s="13">
        <v>-1.21572769329926E-2</v>
      </c>
    </row>
    <row r="32" spans="1:28" x14ac:dyDescent="0.25">
      <c r="A32" s="1">
        <v>1873</v>
      </c>
      <c r="B32" s="1">
        <f t="shared" si="7"/>
        <v>-0.24546153846153848</v>
      </c>
      <c r="C32" s="1">
        <f t="shared" si="0"/>
        <v>-0.26141573846153843</v>
      </c>
      <c r="D32" s="1">
        <f t="shared" si="1"/>
        <v>1.6933263877834809E-2</v>
      </c>
      <c r="E32" s="1">
        <f t="shared" si="8"/>
        <v>0.42028243776279384</v>
      </c>
      <c r="F32" s="1">
        <f t="shared" si="9"/>
        <v>1.5954199999999946E-2</v>
      </c>
      <c r="G32" s="9">
        <f t="shared" si="2"/>
        <v>0.42028243776279384</v>
      </c>
      <c r="H32" s="1">
        <f t="shared" si="3"/>
        <v>-0.10710454164368544</v>
      </c>
      <c r="I32" s="1" t="e">
        <f t="shared" si="10"/>
        <v>#NUM!</v>
      </c>
      <c r="J32" s="3" t="b">
        <f t="shared" si="4"/>
        <v>0</v>
      </c>
      <c r="K32" s="3">
        <f t="shared" si="5"/>
        <v>0.42028243776279384</v>
      </c>
      <c r="L32" s="6">
        <f t="shared" si="23"/>
        <v>-0.24546153846153848</v>
      </c>
      <c r="M32" s="6">
        <f t="shared" si="24"/>
        <v>-0.21676923076923074</v>
      </c>
      <c r="N32" s="6">
        <f t="shared" si="25"/>
        <v>-0.37938461538461532</v>
      </c>
      <c r="O32" s="6">
        <v>-0.30599999999999999</v>
      </c>
      <c r="P32" s="4">
        <v>-0.28499999999999998</v>
      </c>
      <c r="Q32" s="5">
        <v>-0.35599999999999998</v>
      </c>
      <c r="R32">
        <f t="shared" si="12"/>
        <v>-0.37938461538461532</v>
      </c>
      <c r="S32">
        <f t="shared" si="13"/>
        <v>0.57137064071370647</v>
      </c>
      <c r="T32">
        <f t="shared" si="14"/>
        <v>0.64699918896999209</v>
      </c>
      <c r="U32">
        <f t="shared" si="6"/>
        <v>-0.59991115166261189</v>
      </c>
      <c r="W32">
        <v>-0.35599999999999998</v>
      </c>
      <c r="X32">
        <v>-0.372583</v>
      </c>
      <c r="Y32" s="11">
        <f t="shared" si="15"/>
        <v>0.4661760563030839</v>
      </c>
      <c r="Z32">
        <f t="shared" si="16"/>
        <v>-0.44048428065716166</v>
      </c>
      <c r="AA32" s="13">
        <f t="shared" si="17"/>
        <v>-0.49018587205016706</v>
      </c>
      <c r="AB32" s="13">
        <v>9.8141279498329594E-3</v>
      </c>
    </row>
    <row r="33" spans="1:28" x14ac:dyDescent="0.25">
      <c r="A33" s="1">
        <v>1874</v>
      </c>
      <c r="B33" s="1">
        <f t="shared" si="7"/>
        <v>-0.23953846153846153</v>
      </c>
      <c r="C33" s="1">
        <f t="shared" si="0"/>
        <v>-0.26099521730769232</v>
      </c>
      <c r="D33" s="1">
        <f t="shared" si="1"/>
        <v>2.2642918760139741E-2</v>
      </c>
      <c r="E33" s="7">
        <f t="shared" si="8"/>
        <v>0.37676907015944311</v>
      </c>
      <c r="F33" s="1">
        <f t="shared" si="9"/>
        <v>2.1456755769230784E-2</v>
      </c>
      <c r="G33" s="9">
        <f t="shared" si="2"/>
        <v>0.37676907015944311</v>
      </c>
      <c r="H33" s="1">
        <f t="shared" si="3"/>
        <v>-0.12013337315876438</v>
      </c>
      <c r="I33" s="1" t="e">
        <f t="shared" si="10"/>
        <v>#NUM!</v>
      </c>
      <c r="J33" s="3" t="b">
        <f t="shared" si="4"/>
        <v>0</v>
      </c>
      <c r="K33" s="3">
        <f t="shared" si="5"/>
        <v>0.37676907015944311</v>
      </c>
      <c r="L33" s="6">
        <f t="shared" si="23"/>
        <v>-0.23953846153846153</v>
      </c>
      <c r="M33" s="6">
        <f t="shared" si="24"/>
        <v>-0.2030769230769231</v>
      </c>
      <c r="N33" s="6">
        <f t="shared" si="25"/>
        <v>-0.40546153846153843</v>
      </c>
      <c r="O33" s="6">
        <v>-0.373</v>
      </c>
      <c r="P33" s="4">
        <v>-0.39800000000000002</v>
      </c>
      <c r="Q33" s="5">
        <v>-0.46200000000000002</v>
      </c>
      <c r="R33">
        <f t="shared" si="12"/>
        <v>-0.40546153846153843</v>
      </c>
      <c r="S33">
        <f t="shared" si="13"/>
        <v>0.50085372794536154</v>
      </c>
      <c r="T33">
        <f t="shared" si="14"/>
        <v>0.59077973819009677</v>
      </c>
      <c r="U33">
        <f t="shared" si="6"/>
        <v>-0.53780017074558906</v>
      </c>
      <c r="W33">
        <v>-0.46200000000000002</v>
      </c>
      <c r="X33">
        <v>-0.45658300000000002</v>
      </c>
      <c r="Y33" s="11">
        <f t="shared" si="15"/>
        <v>0.46918386314064264</v>
      </c>
      <c r="Z33">
        <f t="shared" si="16"/>
        <v>-0.42499451836653207</v>
      </c>
      <c r="AA33" s="13">
        <f t="shared" si="17"/>
        <v>-0.47446126685880941</v>
      </c>
      <c r="AB33" s="13">
        <v>2.5538733141190598E-2</v>
      </c>
    </row>
    <row r="34" spans="1:28" x14ac:dyDescent="0.25">
      <c r="A34" s="1">
        <v>1875</v>
      </c>
      <c r="B34" s="1">
        <f t="shared" si="7"/>
        <v>-0.26223076923076921</v>
      </c>
      <c r="C34" s="1">
        <f t="shared" si="0"/>
        <v>-0.28147707115384613</v>
      </c>
      <c r="D34" s="1">
        <f t="shared" si="1"/>
        <v>2.0297340452740953E-2</v>
      </c>
      <c r="E34" s="7">
        <f t="shared" si="8"/>
        <v>0.40059199752668295</v>
      </c>
      <c r="F34" s="1">
        <f t="shared" si="9"/>
        <v>1.9246301923076914E-2</v>
      </c>
      <c r="G34" s="9">
        <f t="shared" si="2"/>
        <v>0.40059199752668295</v>
      </c>
      <c r="H34" s="1">
        <f t="shared" si="3"/>
        <v>-0.10971065217624509</v>
      </c>
      <c r="I34" s="1" t="e">
        <f t="shared" si="10"/>
        <v>#NUM!</v>
      </c>
      <c r="J34" s="3" t="b">
        <f t="shared" si="4"/>
        <v>0</v>
      </c>
      <c r="K34" s="3">
        <f t="shared" si="5"/>
        <v>0.40059199752668295</v>
      </c>
      <c r="L34" s="6">
        <f t="shared" si="23"/>
        <v>-0.26223076923076921</v>
      </c>
      <c r="M34" s="6">
        <f t="shared" si="24"/>
        <v>-0.22607692307692309</v>
      </c>
      <c r="N34" s="6">
        <f t="shared" si="25"/>
        <v>-0.42315384615384616</v>
      </c>
      <c r="O34" s="6">
        <v>-0.40799999999999997</v>
      </c>
      <c r="P34" s="4">
        <v>-0.248</v>
      </c>
      <c r="Q34" s="5">
        <v>-0.876</v>
      </c>
      <c r="R34">
        <f t="shared" si="12"/>
        <v>-0.42315384615384616</v>
      </c>
      <c r="S34">
        <f t="shared" si="13"/>
        <v>0.5342664970005454</v>
      </c>
      <c r="T34">
        <f t="shared" si="14"/>
        <v>0.61970550808943825</v>
      </c>
      <c r="U34">
        <f t="shared" si="6"/>
        <v>-0.57180501726958721</v>
      </c>
      <c r="W34">
        <v>-0.876</v>
      </c>
      <c r="X34">
        <v>-0.84499999999999997</v>
      </c>
      <c r="Y34" s="11">
        <f t="shared" si="15"/>
        <v>0.47280180919915438</v>
      </c>
      <c r="Z34">
        <f t="shared" si="16"/>
        <v>-0.46241477225823696</v>
      </c>
      <c r="AA34" s="13">
        <f t="shared" si="17"/>
        <v>-0.5361879657191988</v>
      </c>
      <c r="AB34" s="13">
        <v>-3.61879657191988E-2</v>
      </c>
    </row>
    <row r="35" spans="1:28" x14ac:dyDescent="0.25">
      <c r="A35" s="1">
        <v>1876</v>
      </c>
      <c r="B35" s="1">
        <f t="shared" si="7"/>
        <v>-0.27284615384615379</v>
      </c>
      <c r="C35" s="1">
        <f t="shared" si="0"/>
        <v>-0.29599741923076922</v>
      </c>
      <c r="D35" s="1">
        <f t="shared" si="1"/>
        <v>2.404281181833684E-2</v>
      </c>
      <c r="E35" s="1">
        <f t="shared" si="8"/>
        <v>0.37686268513103599</v>
      </c>
      <c r="F35" s="1">
        <f t="shared" si="9"/>
        <v>2.3151265384615427E-2</v>
      </c>
      <c r="G35" s="9">
        <f t="shared" si="2"/>
        <v>0.37686268513103599</v>
      </c>
      <c r="H35" s="1">
        <f t="shared" si="3"/>
        <v>-0.11131064786473083</v>
      </c>
      <c r="I35" s="1" t="e">
        <f t="shared" si="10"/>
        <v>#NUM!</v>
      </c>
      <c r="J35" s="3" t="b">
        <f t="shared" si="4"/>
        <v>0</v>
      </c>
      <c r="K35" s="3">
        <f t="shared" si="5"/>
        <v>0.37686268513103599</v>
      </c>
      <c r="L35" s="6">
        <f t="shared" si="23"/>
        <v>-0.27284615384615379</v>
      </c>
      <c r="M35" s="6">
        <f t="shared" si="24"/>
        <v>-0.22784615384615384</v>
      </c>
      <c r="N35" s="6">
        <f t="shared" si="25"/>
        <v>-0.46476923076923077</v>
      </c>
      <c r="O35" s="6">
        <v>-0.38400000000000001</v>
      </c>
      <c r="P35" s="4">
        <v>-0.35599999999999998</v>
      </c>
      <c r="Q35" s="5">
        <v>-0.47399999999999998</v>
      </c>
      <c r="R35">
        <f t="shared" si="12"/>
        <v>-0.46476923076923077</v>
      </c>
      <c r="S35">
        <f t="shared" si="13"/>
        <v>0.49023502151605425</v>
      </c>
      <c r="T35">
        <f t="shared" si="14"/>
        <v>0.58705726580602435</v>
      </c>
      <c r="U35">
        <f t="shared" si="6"/>
        <v>-0.53793379675604081</v>
      </c>
      <c r="W35">
        <v>-0.47399999999999998</v>
      </c>
      <c r="X35">
        <v>-0.46800000000000003</v>
      </c>
      <c r="Y35" s="11">
        <f t="shared" si="15"/>
        <v>0.47698025498539209</v>
      </c>
      <c r="Z35">
        <f t="shared" si="16"/>
        <v>-0.47398697697552011</v>
      </c>
      <c r="AA35" s="13">
        <f t="shared" si="17"/>
        <v>-0.52342392452086639</v>
      </c>
      <c r="AB35" s="13">
        <v>-2.3423924520866401E-2</v>
      </c>
    </row>
    <row r="36" spans="1:28" x14ac:dyDescent="0.25">
      <c r="A36" s="1">
        <v>1877</v>
      </c>
      <c r="B36" s="1">
        <f t="shared" si="7"/>
        <v>-0.2625384615384615</v>
      </c>
      <c r="C36" s="1">
        <f t="shared" si="0"/>
        <v>-0.28325810192307693</v>
      </c>
      <c r="D36" s="1">
        <f t="shared" si="1"/>
        <v>2.1504802243092702E-2</v>
      </c>
      <c r="E36" s="7">
        <f t="shared" si="8"/>
        <v>0.38480406108441384</v>
      </c>
      <c r="F36" s="1">
        <f t="shared" si="9"/>
        <v>2.0719640384615434E-2</v>
      </c>
      <c r="G36" s="9">
        <f t="shared" si="2"/>
        <v>0.38480406108441384</v>
      </c>
      <c r="H36" s="1">
        <f t="shared" si="3"/>
        <v>-0.1073248746919499</v>
      </c>
      <c r="I36" s="1" t="e">
        <f t="shared" si="10"/>
        <v>#NUM!</v>
      </c>
      <c r="J36" s="3" t="b">
        <f t="shared" si="4"/>
        <v>0</v>
      </c>
      <c r="K36" s="3">
        <f t="shared" si="5"/>
        <v>0.38480406108441384</v>
      </c>
      <c r="L36" s="6">
        <f t="shared" si="23"/>
        <v>-0.2625384615384615</v>
      </c>
      <c r="M36" s="6">
        <f t="shared" si="24"/>
        <v>-0.22030769230769234</v>
      </c>
      <c r="N36" s="6">
        <f t="shared" si="25"/>
        <v>-0.4402307692307692</v>
      </c>
      <c r="O36" s="6">
        <v>-7.2999999999999995E-2</v>
      </c>
      <c r="P36" s="4">
        <v>-3.3000000000000002E-2</v>
      </c>
      <c r="Q36" s="5">
        <v>-0.247</v>
      </c>
      <c r="R36">
        <f t="shared" si="12"/>
        <v>-0.4402307692307692</v>
      </c>
      <c r="S36">
        <f t="shared" si="13"/>
        <v>0.50043683382841175</v>
      </c>
      <c r="T36">
        <f t="shared" si="14"/>
        <v>0.59636554254761487</v>
      </c>
      <c r="U36">
        <f t="shared" si="6"/>
        <v>-0.54926931679189228</v>
      </c>
      <c r="W36">
        <v>-0.247</v>
      </c>
      <c r="X36">
        <v>-0.26258300000000001</v>
      </c>
      <c r="Y36" s="11">
        <f t="shared" si="15"/>
        <v>0.48167133051902056</v>
      </c>
      <c r="Z36">
        <f t="shared" si="16"/>
        <v>-0.45247144825412605</v>
      </c>
      <c r="AA36" s="13">
        <f t="shared" si="17"/>
        <v>-0.47260505986157941</v>
      </c>
      <c r="AB36" s="13">
        <v>2.7394940138420601E-2</v>
      </c>
    </row>
    <row r="37" spans="1:28" x14ac:dyDescent="0.25">
      <c r="A37" s="1">
        <v>1878</v>
      </c>
      <c r="B37" s="1">
        <f t="shared" si="7"/>
        <v>-0.26738461538461539</v>
      </c>
      <c r="C37" s="1">
        <f t="shared" si="0"/>
        <v>-0.29513164038461537</v>
      </c>
      <c r="D37" s="1">
        <f t="shared" si="1"/>
        <v>2.9714225226464608E-2</v>
      </c>
      <c r="E37" s="1">
        <f t="shared" si="8"/>
        <v>0.36356161195132253</v>
      </c>
      <c r="F37" s="1">
        <f t="shared" si="9"/>
        <v>2.7747024999999981E-2</v>
      </c>
      <c r="G37" s="9">
        <f t="shared" si="2"/>
        <v>0.36356161195132253</v>
      </c>
      <c r="H37" s="1">
        <f t="shared" si="3"/>
        <v>-0.13344099242712448</v>
      </c>
      <c r="I37" s="1" t="e">
        <f t="shared" si="10"/>
        <v>#NUM!</v>
      </c>
      <c r="J37" s="3" t="b">
        <f t="shared" si="4"/>
        <v>0</v>
      </c>
      <c r="K37" s="3">
        <f t="shared" si="5"/>
        <v>0.36356161195132253</v>
      </c>
      <c r="L37" s="6">
        <f t="shared" si="23"/>
        <v>-0.26738461538461539</v>
      </c>
      <c r="M37" s="6">
        <f t="shared" si="24"/>
        <v>-0.22776923076923075</v>
      </c>
      <c r="N37" s="6">
        <f t="shared" si="25"/>
        <v>-0.46223076923076917</v>
      </c>
      <c r="O37" s="6">
        <v>3.2000000000000001E-2</v>
      </c>
      <c r="P37" s="4">
        <v>1.7000000000000001E-2</v>
      </c>
      <c r="Q37" s="5">
        <v>-5.0000000000000001E-3</v>
      </c>
      <c r="R37">
        <f t="shared" si="12"/>
        <v>-0.46223076923076917</v>
      </c>
      <c r="S37">
        <f t="shared" si="13"/>
        <v>0.49276085871193215</v>
      </c>
      <c r="T37">
        <f t="shared" si="14"/>
        <v>0.57846563488101188</v>
      </c>
      <c r="U37">
        <f t="shared" si="6"/>
        <v>-0.51894784489931778</v>
      </c>
      <c r="W37">
        <v>-5.0000000000000001E-3</v>
      </c>
      <c r="X37">
        <v>-3.4500000000000003E-2</v>
      </c>
      <c r="Y37" s="11">
        <f t="shared" si="15"/>
        <v>0.48682891298085451</v>
      </c>
      <c r="Z37">
        <f t="shared" si="16"/>
        <v>-0.46625048508170436</v>
      </c>
      <c r="AA37" s="13">
        <f t="shared" si="17"/>
        <v>-0.43533151596495429</v>
      </c>
      <c r="AB37" s="13">
        <v>6.4668484035045701E-2</v>
      </c>
    </row>
    <row r="38" spans="1:28" x14ac:dyDescent="0.25">
      <c r="A38" s="1">
        <v>1879</v>
      </c>
      <c r="B38" s="1">
        <f t="shared" si="7"/>
        <v>-0.27969230769230768</v>
      </c>
      <c r="C38" s="1">
        <f t="shared" si="0"/>
        <v>-0.3053230942307692</v>
      </c>
      <c r="D38" s="1">
        <f t="shared" si="1"/>
        <v>2.7236025310946488E-2</v>
      </c>
      <c r="E38" s="7">
        <f t="shared" si="8"/>
        <v>0.37696956180409036</v>
      </c>
      <c r="F38" s="1">
        <f t="shared" si="9"/>
        <v>2.5630786538461514E-2</v>
      </c>
      <c r="G38" s="9">
        <f t="shared" si="2"/>
        <v>0.37696956180409036</v>
      </c>
      <c r="H38" s="1">
        <f t="shared" si="3"/>
        <v>-0.12425849386396642</v>
      </c>
      <c r="I38" s="1" t="e">
        <f t="shared" si="10"/>
        <v>#NUM!</v>
      </c>
      <c r="J38" s="3" t="b">
        <f t="shared" si="4"/>
        <v>0</v>
      </c>
      <c r="K38" s="3">
        <f t="shared" si="5"/>
        <v>0.37696956180409036</v>
      </c>
      <c r="L38" s="6">
        <f t="shared" si="23"/>
        <v>-0.27969230769230768</v>
      </c>
      <c r="M38" s="6">
        <f t="shared" si="24"/>
        <v>-0.23884615384615385</v>
      </c>
      <c r="N38" s="6">
        <f t="shared" si="25"/>
        <v>-0.47176923076923077</v>
      </c>
      <c r="O38" s="6">
        <v>-0.23400000000000001</v>
      </c>
      <c r="P38" s="4">
        <v>-0.187</v>
      </c>
      <c r="Q38" s="5">
        <v>-0.55300000000000005</v>
      </c>
      <c r="R38">
        <f t="shared" si="12"/>
        <v>-0.47176923076923077</v>
      </c>
      <c r="S38">
        <f t="shared" si="13"/>
        <v>0.50627751508234142</v>
      </c>
      <c r="T38">
        <f t="shared" si="14"/>
        <v>0.59285830751671287</v>
      </c>
      <c r="U38">
        <f t="shared" si="6"/>
        <v>-0.53808635251915859</v>
      </c>
      <c r="W38">
        <v>-0.55300000000000005</v>
      </c>
      <c r="X38">
        <v>-0.53591699999999998</v>
      </c>
      <c r="Y38" s="11">
        <f t="shared" si="15"/>
        <v>0.49240859691053629</v>
      </c>
      <c r="Z38">
        <f t="shared" si="16"/>
        <v>-0.48125259144754989</v>
      </c>
      <c r="AA38" s="13">
        <f t="shared" si="17"/>
        <v>-0.50159440613136363</v>
      </c>
      <c r="AB38" s="13">
        <v>-1.59440613136367E-3</v>
      </c>
    </row>
    <row r="39" spans="1:28" x14ac:dyDescent="0.25">
      <c r="A39" s="1">
        <v>1880</v>
      </c>
      <c r="B39" s="1">
        <f t="shared" si="7"/>
        <v>-0.28776923076923078</v>
      </c>
      <c r="C39" s="1">
        <f t="shared" si="0"/>
        <v>-0.3169987403846154</v>
      </c>
      <c r="D39" s="1">
        <f t="shared" si="1"/>
        <v>3.1112057179370101E-2</v>
      </c>
      <c r="E39" s="1">
        <f t="shared" si="8"/>
        <v>0.36397224795176308</v>
      </c>
      <c r="F39" s="1">
        <f t="shared" si="9"/>
        <v>2.9229509615384619E-2</v>
      </c>
      <c r="G39" s="9">
        <f t="shared" si="2"/>
        <v>0.36397224795176308</v>
      </c>
      <c r="H39" s="1">
        <f t="shared" si="3"/>
        <v>-0.12972929422536239</v>
      </c>
      <c r="I39" s="1" t="e">
        <f t="shared" si="10"/>
        <v>#NUM!</v>
      </c>
      <c r="J39" s="3" t="b">
        <f t="shared" si="4"/>
        <v>0</v>
      </c>
      <c r="K39" s="3">
        <f t="shared" si="5"/>
        <v>0.36397224795176308</v>
      </c>
      <c r="L39" s="6">
        <f t="shared" si="23"/>
        <v>-0.28776923076923078</v>
      </c>
      <c r="M39" s="6">
        <f t="shared" si="24"/>
        <v>-0.24369230769230771</v>
      </c>
      <c r="N39" s="6">
        <f t="shared" si="25"/>
        <v>-0.49838461538461537</v>
      </c>
      <c r="O39" s="6">
        <v>-0.23</v>
      </c>
      <c r="P39" s="4">
        <v>-0.185</v>
      </c>
      <c r="Q39" s="5">
        <v>-0.34300000000000003</v>
      </c>
      <c r="R39">
        <f t="shared" si="12"/>
        <v>-0.49838461538461537</v>
      </c>
      <c r="S39">
        <f t="shared" si="13"/>
        <v>0.48896434634974539</v>
      </c>
      <c r="T39">
        <f t="shared" si="14"/>
        <v>0.57740392035807997</v>
      </c>
      <c r="U39">
        <f t="shared" si="6"/>
        <v>-0.51953398672634665</v>
      </c>
      <c r="W39">
        <v>-0.34300000000000003</v>
      </c>
      <c r="X39">
        <v>-0.34608299999999997</v>
      </c>
      <c r="Y39" s="11">
        <f t="shared" si="15"/>
        <v>0.49836770910769701</v>
      </c>
      <c r="Z39">
        <f t="shared" si="16"/>
        <v>-0.491673207718898</v>
      </c>
      <c r="AA39" s="13">
        <f t="shared" si="17"/>
        <v>-0.5102140098701462</v>
      </c>
      <c r="AB39" s="13">
        <v>-1.0214009870146199E-2</v>
      </c>
    </row>
    <row r="40" spans="1:28" x14ac:dyDescent="0.25">
      <c r="A40" s="1">
        <v>1881</v>
      </c>
      <c r="B40" s="1">
        <f t="shared" si="7"/>
        <v>-0.27684615384615391</v>
      </c>
      <c r="C40" s="1">
        <f t="shared" si="0"/>
        <v>-0.30472941730769226</v>
      </c>
      <c r="D40" s="1">
        <f t="shared" si="1"/>
        <v>2.9013515394992084E-2</v>
      </c>
      <c r="E40" s="7">
        <f t="shared" si="8"/>
        <v>0.35695882718455502</v>
      </c>
      <c r="F40" s="1">
        <f t="shared" si="9"/>
        <v>2.7883263461538355E-2</v>
      </c>
      <c r="G40" s="9">
        <f t="shared" si="2"/>
        <v>0.35695882718455502</v>
      </c>
      <c r="H40" s="1">
        <f t="shared" si="3"/>
        <v>-0.12043221403487381</v>
      </c>
      <c r="I40" s="1" t="e">
        <f t="shared" si="10"/>
        <v>#NUM!</v>
      </c>
      <c r="J40" s="3" t="b">
        <f t="shared" si="4"/>
        <v>0</v>
      </c>
      <c r="K40" s="3">
        <f t="shared" si="5"/>
        <v>0.35695882718455502</v>
      </c>
      <c r="L40" s="6">
        <f t="shared" si="23"/>
        <v>-0.27684615384615391</v>
      </c>
      <c r="M40" s="6">
        <f t="shared" si="24"/>
        <v>-0.22830769230769229</v>
      </c>
      <c r="N40" s="6">
        <f t="shared" si="25"/>
        <v>-0.49099999999999994</v>
      </c>
      <c r="O40" s="6">
        <v>-0.20699999999999999</v>
      </c>
      <c r="P40" s="4">
        <v>-0.14799999999999999</v>
      </c>
      <c r="Q40" s="5">
        <v>-0.46</v>
      </c>
      <c r="R40">
        <f t="shared" si="12"/>
        <v>-0.49099999999999994</v>
      </c>
      <c r="S40">
        <f t="shared" si="13"/>
        <v>0.46498511671627762</v>
      </c>
      <c r="T40">
        <f t="shared" si="14"/>
        <v>0.56384145386182061</v>
      </c>
      <c r="U40">
        <f t="shared" si="6"/>
        <v>-0.50952302992323384</v>
      </c>
      <c r="W40">
        <v>-0.46</v>
      </c>
      <c r="X40">
        <v>-0.46550000000000002</v>
      </c>
      <c r="Y40" s="11">
        <f t="shared" si="15"/>
        <v>0.50466521922498941</v>
      </c>
      <c r="Z40">
        <f t="shared" si="16"/>
        <v>-0.46344714545784749</v>
      </c>
      <c r="AA40" s="13">
        <f t="shared" si="17"/>
        <v>-0.48835223447172221</v>
      </c>
      <c r="AB40" s="13">
        <v>1.1647765528277799E-2</v>
      </c>
    </row>
    <row r="41" spans="1:28" x14ac:dyDescent="0.25">
      <c r="A41" s="1">
        <v>1882</v>
      </c>
      <c r="B41" s="1">
        <f t="shared" si="7"/>
        <v>-0.25023076923076926</v>
      </c>
      <c r="C41" s="1">
        <f t="shared" si="0"/>
        <v>-0.27761817115384613</v>
      </c>
      <c r="D41" s="1">
        <f t="shared" si="1"/>
        <v>2.9438249934607641E-2</v>
      </c>
      <c r="E41" s="7">
        <f t="shared" si="8"/>
        <v>0.35752953961724621</v>
      </c>
      <c r="F41" s="1">
        <f t="shared" si="9"/>
        <v>2.7387401923076871E-2</v>
      </c>
      <c r="G41" s="9">
        <f t="shared" si="2"/>
        <v>0.35752953961724621</v>
      </c>
      <c r="H41" s="1">
        <f t="shared" si="3"/>
        <v>-0.13736931280151021</v>
      </c>
      <c r="I41" s="1" t="e">
        <f t="shared" si="10"/>
        <v>#NUM!</v>
      </c>
      <c r="J41" s="3" t="b">
        <f t="shared" si="4"/>
        <v>0</v>
      </c>
      <c r="K41" s="3">
        <f t="shared" si="5"/>
        <v>0.35752953961724621</v>
      </c>
      <c r="L41" s="6">
        <f t="shared" si="23"/>
        <v>-0.25023076923076926</v>
      </c>
      <c r="M41" s="6">
        <f t="shared" si="24"/>
        <v>-0.21292307692307694</v>
      </c>
      <c r="N41" s="6">
        <f t="shared" si="25"/>
        <v>-0.4374615384615384</v>
      </c>
      <c r="O41" s="6">
        <v>-0.214</v>
      </c>
      <c r="P41" s="4">
        <v>-0.19900000000000001</v>
      </c>
      <c r="Q41" s="5">
        <v>-0.33</v>
      </c>
      <c r="R41">
        <f t="shared" si="12"/>
        <v>-0.4374615384615384</v>
      </c>
      <c r="S41">
        <f t="shared" si="13"/>
        <v>0.48672410761385626</v>
      </c>
      <c r="T41">
        <f t="shared" si="14"/>
        <v>0.57200633022683323</v>
      </c>
      <c r="U41">
        <f t="shared" si="6"/>
        <v>-0.51033766484965726</v>
      </c>
      <c r="W41">
        <v>-0.33</v>
      </c>
      <c r="X41">
        <v>-0.34341699999999997</v>
      </c>
      <c r="Y41" s="11">
        <f t="shared" si="15"/>
        <v>0.51126174349337816</v>
      </c>
      <c r="Z41">
        <f t="shared" si="16"/>
        <v>-0.42247694400957586</v>
      </c>
      <c r="AA41" s="13">
        <f t="shared" si="17"/>
        <v>-0.50130969339069964</v>
      </c>
      <c r="AB41" s="13">
        <v>-1.3096933906996801E-3</v>
      </c>
    </row>
    <row r="42" spans="1:28" x14ac:dyDescent="0.25">
      <c r="A42" s="1">
        <v>1883</v>
      </c>
      <c r="B42" s="1">
        <f t="shared" si="7"/>
        <v>-0.25430769230769235</v>
      </c>
      <c r="C42" s="1">
        <f t="shared" si="0"/>
        <v>-0.2815018076923077</v>
      </c>
      <c r="D42" s="1">
        <f t="shared" si="1"/>
        <v>2.9421073102777806E-2</v>
      </c>
      <c r="E42" s="7">
        <f t="shared" si="8"/>
        <v>0.36385170815438128</v>
      </c>
      <c r="F42" s="1">
        <f t="shared" si="9"/>
        <v>2.7194115384615358E-2</v>
      </c>
      <c r="G42" s="9">
        <f t="shared" si="2"/>
        <v>0.36385170815438128</v>
      </c>
      <c r="H42" s="1">
        <f t="shared" si="3"/>
        <v>-0.13979057589044092</v>
      </c>
      <c r="I42" s="1" t="e">
        <f t="shared" si="10"/>
        <v>#NUM!</v>
      </c>
      <c r="J42" s="3" t="b">
        <f t="shared" si="4"/>
        <v>0</v>
      </c>
      <c r="K42" s="3">
        <f t="shared" si="5"/>
        <v>0.36385170815438128</v>
      </c>
      <c r="L42" s="6">
        <f t="shared" si="23"/>
        <v>-0.25430769230769235</v>
      </c>
      <c r="M42" s="6">
        <f t="shared" si="24"/>
        <v>-0.21907692307692311</v>
      </c>
      <c r="N42" s="6">
        <f t="shared" si="25"/>
        <v>-0.4372307692307692</v>
      </c>
      <c r="O42" s="6">
        <v>-0.29199999999999998</v>
      </c>
      <c r="P42" s="4">
        <v>-0.23499999999999999</v>
      </c>
      <c r="Q42" s="5">
        <v>-0.59099999999999997</v>
      </c>
      <c r="R42">
        <f t="shared" si="12"/>
        <v>-0.4372307692307692</v>
      </c>
      <c r="S42">
        <f t="shared" si="13"/>
        <v>0.50105559465165384</v>
      </c>
      <c r="T42">
        <f t="shared" si="14"/>
        <v>0.58163265306122458</v>
      </c>
      <c r="U42">
        <f t="shared" si="6"/>
        <v>-0.51936192821956384</v>
      </c>
      <c r="W42">
        <v>-0.59099999999999997</v>
      </c>
      <c r="X42">
        <v>-0.59391700000000003</v>
      </c>
      <c r="Y42" s="11">
        <f t="shared" si="15"/>
        <v>0.51811951119452715</v>
      </c>
      <c r="Z42">
        <f t="shared" si="16"/>
        <v>-0.42695356031579579</v>
      </c>
      <c r="AA42" s="13">
        <f t="shared" si="17"/>
        <v>-0.50992971578031143</v>
      </c>
      <c r="AB42" s="13">
        <v>-9.9297157803114201E-3</v>
      </c>
    </row>
    <row r="43" spans="1:28" x14ac:dyDescent="0.25">
      <c r="A43" s="1">
        <v>1884</v>
      </c>
      <c r="B43" s="1">
        <f t="shared" si="7"/>
        <v>-0.27623076923076922</v>
      </c>
      <c r="C43" s="1">
        <f t="shared" si="0"/>
        <v>-0.30373995576923074</v>
      </c>
      <c r="D43" s="1">
        <f t="shared" si="1"/>
        <v>2.9464283165187732E-2</v>
      </c>
      <c r="E43" s="7">
        <f t="shared" si="8"/>
        <v>0.36940201746707785</v>
      </c>
      <c r="F43" s="1">
        <f t="shared" si="9"/>
        <v>2.7509186538461516E-2</v>
      </c>
      <c r="G43" s="9">
        <f t="shared" si="2"/>
        <v>0.36940201746707785</v>
      </c>
      <c r="H43" s="1">
        <f t="shared" si="3"/>
        <v>-0.1317688824213914</v>
      </c>
      <c r="I43" s="1" t="e">
        <f t="shared" si="10"/>
        <v>#NUM!</v>
      </c>
      <c r="J43" s="3" t="b">
        <f t="shared" si="4"/>
        <v>0</v>
      </c>
      <c r="K43" s="3">
        <f t="shared" si="5"/>
        <v>0.36940201746707785</v>
      </c>
      <c r="L43" s="6">
        <f t="shared" si="23"/>
        <v>-0.27623076923076922</v>
      </c>
      <c r="M43" s="6">
        <f t="shared" si="24"/>
        <v>-0.23646153846153847</v>
      </c>
      <c r="N43" s="6">
        <f t="shared" si="25"/>
        <v>-0.47161538461538455</v>
      </c>
      <c r="O43" s="6">
        <v>-0.40300000000000002</v>
      </c>
      <c r="P43" s="4">
        <v>-0.33700000000000002</v>
      </c>
      <c r="Q43" s="5">
        <v>-0.69199999999999995</v>
      </c>
      <c r="R43">
        <f t="shared" si="12"/>
        <v>-0.47161538461538455</v>
      </c>
      <c r="S43">
        <f t="shared" si="13"/>
        <v>0.50138639699885834</v>
      </c>
      <c r="T43">
        <f t="shared" si="14"/>
        <v>0.5857119556352961</v>
      </c>
      <c r="U43">
        <f t="shared" si="6"/>
        <v>-0.52728443973250694</v>
      </c>
      <c r="W43">
        <v>-0.69199999999999995</v>
      </c>
      <c r="X43">
        <v>-0.67600000000000005</v>
      </c>
      <c r="Y43" s="11">
        <f t="shared" si="15"/>
        <v>0.5252023646607995</v>
      </c>
      <c r="Z43">
        <f t="shared" si="16"/>
        <v>-0.45635219780386171</v>
      </c>
      <c r="AA43" s="13">
        <f t="shared" si="17"/>
        <v>-0.53385403646122231</v>
      </c>
      <c r="AB43" s="13">
        <v>-3.38540364612223E-2</v>
      </c>
    </row>
    <row r="44" spans="1:28" x14ac:dyDescent="0.25">
      <c r="A44" s="1">
        <v>1885</v>
      </c>
      <c r="B44" s="1">
        <f t="shared" si="7"/>
        <v>-0.3097692307692308</v>
      </c>
      <c r="C44" s="1">
        <f t="shared" si="0"/>
        <v>-0.33607061153846152</v>
      </c>
      <c r="D44" s="1">
        <f t="shared" si="1"/>
        <v>2.7780248370571303E-2</v>
      </c>
      <c r="E44" s="7">
        <f t="shared" si="8"/>
        <v>0.38383988122195895</v>
      </c>
      <c r="F44" s="1">
        <f t="shared" si="9"/>
        <v>2.630138076923072E-2</v>
      </c>
      <c r="G44" s="9">
        <f t="shared" si="2"/>
        <v>0.38383988122195895</v>
      </c>
      <c r="H44" s="1">
        <f t="shared" si="3"/>
        <v>-0.11784863838226134</v>
      </c>
      <c r="I44" s="1" t="e">
        <f t="shared" si="10"/>
        <v>#NUM!</v>
      </c>
      <c r="J44" s="3" t="b">
        <f t="shared" si="4"/>
        <v>0</v>
      </c>
      <c r="K44" s="3">
        <f t="shared" si="5"/>
        <v>0.38383988122195895</v>
      </c>
      <c r="L44" s="6">
        <f t="shared" si="23"/>
        <v>-0.3097692307692308</v>
      </c>
      <c r="M44" s="6">
        <f t="shared" si="24"/>
        <v>-0.26423076923076921</v>
      </c>
      <c r="N44" s="6">
        <f t="shared" si="25"/>
        <v>-0.51661538461538459</v>
      </c>
      <c r="O44" s="6">
        <v>-0.38500000000000001</v>
      </c>
      <c r="P44" s="4">
        <v>-0.32400000000000001</v>
      </c>
      <c r="Q44" s="5">
        <v>-0.66700000000000004</v>
      </c>
      <c r="R44">
        <f t="shared" si="12"/>
        <v>-0.51661538461538459</v>
      </c>
      <c r="S44">
        <f t="shared" si="13"/>
        <v>0.51146515783204283</v>
      </c>
      <c r="T44">
        <f t="shared" si="14"/>
        <v>0.5996128648004766</v>
      </c>
      <c r="U44">
        <f t="shared" si="6"/>
        <v>-0.54789304645622416</v>
      </c>
      <c r="W44">
        <v>-0.66700000000000004</v>
      </c>
      <c r="X44">
        <v>-0.66533299999999995</v>
      </c>
      <c r="Y44" s="11">
        <f t="shared" si="15"/>
        <v>0.53247567731887102</v>
      </c>
      <c r="Z44">
        <f t="shared" si="16"/>
        <v>-0.50206682333242836</v>
      </c>
      <c r="AA44" s="13">
        <f t="shared" si="17"/>
        <v>-0.50964544652168198</v>
      </c>
      <c r="AB44" s="13">
        <v>-9.6454465216819392E-3</v>
      </c>
    </row>
    <row r="45" spans="1:28" x14ac:dyDescent="0.25">
      <c r="A45" s="1">
        <v>1886</v>
      </c>
      <c r="B45" s="1">
        <f t="shared" si="7"/>
        <v>-0.33669230769230768</v>
      </c>
      <c r="C45" s="1">
        <f t="shared" si="0"/>
        <v>-0.35689877692307692</v>
      </c>
      <c r="D45" s="1">
        <f t="shared" si="1"/>
        <v>2.1216530921533472E-2</v>
      </c>
      <c r="E45" s="7">
        <f t="shared" si="8"/>
        <v>0.42043447718786281</v>
      </c>
      <c r="F45" s="1">
        <f t="shared" si="9"/>
        <v>2.0206469230769242E-2</v>
      </c>
      <c r="G45" s="9">
        <f t="shared" si="2"/>
        <v>0.42043447718786281</v>
      </c>
      <c r="H45" s="1">
        <f t="shared" si="3"/>
        <v>-9.725281618044479E-2</v>
      </c>
      <c r="I45" s="1" t="e">
        <f t="shared" si="10"/>
        <v>#NUM!</v>
      </c>
      <c r="J45" s="3" t="b">
        <f t="shared" si="4"/>
        <v>0</v>
      </c>
      <c r="K45" s="3">
        <f t="shared" si="5"/>
        <v>0.42043447718786281</v>
      </c>
      <c r="L45" s="6">
        <f t="shared" si="23"/>
        <v>-0.33669230769230768</v>
      </c>
      <c r="M45" s="6">
        <f t="shared" si="24"/>
        <v>-0.29307692307692307</v>
      </c>
      <c r="N45" s="6">
        <f t="shared" si="25"/>
        <v>-0.52369230769230768</v>
      </c>
      <c r="O45" s="6">
        <v>-0.36599999999999999</v>
      </c>
      <c r="P45" s="4">
        <v>-0.33500000000000002</v>
      </c>
      <c r="Q45" s="5">
        <v>-0.53700000000000003</v>
      </c>
      <c r="R45">
        <f t="shared" si="12"/>
        <v>-0.52369230769230768</v>
      </c>
      <c r="S45">
        <f t="shared" si="13"/>
        <v>0.55963572267920092</v>
      </c>
      <c r="T45">
        <f t="shared" si="14"/>
        <v>0.64292009400705052</v>
      </c>
      <c r="U45">
        <f t="shared" si="6"/>
        <v>-0.60012817273795538</v>
      </c>
      <c r="W45">
        <v>-0.53700000000000003</v>
      </c>
      <c r="X45">
        <v>-0.54049999999999998</v>
      </c>
      <c r="Y45" s="11">
        <f t="shared" si="15"/>
        <v>0.53990636859089136</v>
      </c>
      <c r="Z45">
        <f t="shared" si="16"/>
        <v>-0.53735028253674022</v>
      </c>
      <c r="AA45" s="13">
        <f t="shared" si="17"/>
        <v>-0.50614904156815355</v>
      </c>
      <c r="AB45" s="13">
        <v>-6.1490415681535E-3</v>
      </c>
    </row>
    <row r="46" spans="1:28" x14ac:dyDescent="0.25">
      <c r="A46" s="1">
        <v>1887</v>
      </c>
      <c r="B46" s="1">
        <f t="shared" si="7"/>
        <v>-0.36084615384615393</v>
      </c>
      <c r="C46" s="1">
        <f t="shared" si="0"/>
        <v>-0.38428212500000003</v>
      </c>
      <c r="D46" s="1">
        <f t="shared" si="1"/>
        <v>2.483238720847758E-2</v>
      </c>
      <c r="E46" s="7">
        <f t="shared" si="8"/>
        <v>0.41874838122651326</v>
      </c>
      <c r="F46" s="1">
        <f t="shared" si="9"/>
        <v>2.3435971153846102E-2</v>
      </c>
      <c r="G46" s="9">
        <f t="shared" si="2"/>
        <v>0.41874838122651326</v>
      </c>
      <c r="H46" s="1">
        <f t="shared" si="3"/>
        <v>-0.10600579751453304</v>
      </c>
      <c r="I46" s="1" t="e">
        <f t="shared" si="10"/>
        <v>#NUM!</v>
      </c>
      <c r="J46" s="3" t="b">
        <f t="shared" si="4"/>
        <v>0</v>
      </c>
      <c r="K46" s="3">
        <f t="shared" si="5"/>
        <v>0.41874838122651326</v>
      </c>
      <c r="L46" s="6">
        <f t="shared" si="23"/>
        <v>-0.36084615384615393</v>
      </c>
      <c r="M46" s="6">
        <f t="shared" si="24"/>
        <v>-0.31746153846153852</v>
      </c>
      <c r="N46" s="6">
        <f t="shared" si="25"/>
        <v>-0.56007692307692303</v>
      </c>
      <c r="O46" s="6">
        <v>-0.41799999999999998</v>
      </c>
      <c r="P46" s="4">
        <v>-0.39900000000000002</v>
      </c>
      <c r="Q46" s="5">
        <v>-0.57199999999999995</v>
      </c>
      <c r="R46">
        <f t="shared" si="12"/>
        <v>-0.56007692307692303</v>
      </c>
      <c r="S46">
        <f t="shared" si="13"/>
        <v>0.56681774481527281</v>
      </c>
      <c r="T46">
        <f t="shared" si="14"/>
        <v>0.64427963191869264</v>
      </c>
      <c r="U46">
        <f t="shared" si="6"/>
        <v>-0.59772143936272504</v>
      </c>
      <c r="W46">
        <v>-0.57199999999999995</v>
      </c>
      <c r="X46">
        <v>-0.56841699999999995</v>
      </c>
      <c r="Y46" s="11">
        <f t="shared" si="15"/>
        <v>0.54746288154274225</v>
      </c>
      <c r="Z46">
        <f t="shared" si="16"/>
        <v>-0.57420876608708415</v>
      </c>
      <c r="AA46" s="13">
        <f t="shared" si="17"/>
        <v>-0.51396893898336671</v>
      </c>
      <c r="AB46" s="13">
        <v>-1.3968938983366701E-2</v>
      </c>
    </row>
    <row r="47" spans="1:28" x14ac:dyDescent="0.25">
      <c r="A47" s="1">
        <v>1888</v>
      </c>
      <c r="B47" s="1">
        <f t="shared" si="7"/>
        <v>-0.35623076923076924</v>
      </c>
      <c r="C47" s="1">
        <f t="shared" si="0"/>
        <v>-0.37869166730769233</v>
      </c>
      <c r="D47" s="1">
        <f t="shared" si="1"/>
        <v>2.3656919486602646E-2</v>
      </c>
      <c r="E47" s="7">
        <f t="shared" si="8"/>
        <v>0.41728603356618349</v>
      </c>
      <c r="F47" s="1">
        <f t="shared" si="9"/>
        <v>2.2460898076923086E-2</v>
      </c>
      <c r="G47" s="9">
        <f t="shared" si="2"/>
        <v>0.41728603356618349</v>
      </c>
      <c r="H47" s="1">
        <f t="shared" si="3"/>
        <v>-0.10127506758186727</v>
      </c>
      <c r="I47" s="1" t="e">
        <f t="shared" si="10"/>
        <v>#NUM!</v>
      </c>
      <c r="J47" s="3" t="b">
        <f t="shared" si="4"/>
        <v>0</v>
      </c>
      <c r="K47" s="3">
        <f t="shared" si="5"/>
        <v>0.41728603356618349</v>
      </c>
      <c r="L47" s="6">
        <f t="shared" si="23"/>
        <v>-0.35623076923076924</v>
      </c>
      <c r="M47" s="6">
        <f t="shared" si="24"/>
        <v>-0.3105384615384616</v>
      </c>
      <c r="N47" s="6">
        <f t="shared" si="25"/>
        <v>-0.55653846153846154</v>
      </c>
      <c r="O47" s="6">
        <v>-0.309</v>
      </c>
      <c r="P47" s="4">
        <v>-0.23400000000000001</v>
      </c>
      <c r="Q47" s="5">
        <v>-0.627</v>
      </c>
      <c r="R47">
        <f t="shared" si="12"/>
        <v>-0.55653846153846154</v>
      </c>
      <c r="S47">
        <f t="shared" si="13"/>
        <v>0.55798203178991024</v>
      </c>
      <c r="T47">
        <f t="shared" si="14"/>
        <v>0.64008293020041462</v>
      </c>
      <c r="U47">
        <f t="shared" si="6"/>
        <v>-0.5956340843123703</v>
      </c>
      <c r="W47">
        <v>-0.627</v>
      </c>
      <c r="X47">
        <v>-0.62575000000000003</v>
      </c>
      <c r="Y47" s="11">
        <f t="shared" si="15"/>
        <v>0.55511509347707033</v>
      </c>
      <c r="Z47">
        <f t="shared" si="16"/>
        <v>-0.55858984189480287</v>
      </c>
      <c r="AA47" s="13">
        <f t="shared" si="17"/>
        <v>-0.4885480321756957</v>
      </c>
      <c r="AB47" s="13">
        <v>1.1451967824304301E-2</v>
      </c>
    </row>
    <row r="48" spans="1:28" x14ac:dyDescent="0.25">
      <c r="A48" s="1">
        <v>1889</v>
      </c>
      <c r="B48" s="1">
        <f t="shared" si="7"/>
        <v>-0.36061538461538462</v>
      </c>
      <c r="C48" s="1">
        <f t="shared" si="0"/>
        <v>-0.38183320769230772</v>
      </c>
      <c r="D48" s="1">
        <f t="shared" si="1"/>
        <v>2.2359033351050994E-2</v>
      </c>
      <c r="E48" s="7">
        <f t="shared" si="8"/>
        <v>0.4257569512555851</v>
      </c>
      <c r="F48" s="1">
        <f t="shared" si="9"/>
        <v>2.1217823076923104E-2</v>
      </c>
      <c r="G48" s="9">
        <f t="shared" si="2"/>
        <v>0.4257569512555851</v>
      </c>
      <c r="H48" s="1">
        <f t="shared" si="3"/>
        <v>-9.8136668512277092E-2</v>
      </c>
      <c r="I48" s="1" t="e">
        <f t="shared" si="10"/>
        <v>#NUM!</v>
      </c>
      <c r="J48" s="3" t="b">
        <f t="shared" si="4"/>
        <v>0</v>
      </c>
      <c r="K48" s="3">
        <f t="shared" si="5"/>
        <v>0.4257569512555851</v>
      </c>
      <c r="L48" s="6">
        <f t="shared" si="23"/>
        <v>-0.36061538461538462</v>
      </c>
      <c r="M48" s="6">
        <f t="shared" si="24"/>
        <v>-0.3167692307692308</v>
      </c>
      <c r="N48" s="6">
        <f t="shared" si="25"/>
        <v>-0.55384615384615388</v>
      </c>
      <c r="O48" s="6">
        <v>-0.17299999999999999</v>
      </c>
      <c r="P48" s="4">
        <v>-0.15</v>
      </c>
      <c r="Q48" s="5">
        <v>-0.28100000000000003</v>
      </c>
      <c r="R48">
        <f t="shared" si="12"/>
        <v>-0.55384615384615388</v>
      </c>
      <c r="S48">
        <f t="shared" si="13"/>
        <v>0.57194444444444448</v>
      </c>
      <c r="T48">
        <f t="shared" si="14"/>
        <v>0.65111111111111108</v>
      </c>
      <c r="U48">
        <f t="shared" si="6"/>
        <v>-0.60772547222222217</v>
      </c>
      <c r="W48">
        <v>-0.28100000000000003</v>
      </c>
      <c r="X48">
        <v>-0.30325000000000002</v>
      </c>
      <c r="Y48" s="11">
        <f t="shared" si="15"/>
        <v>0.56283437553793192</v>
      </c>
      <c r="Z48">
        <f t="shared" si="16"/>
        <v>-0.56024417819199201</v>
      </c>
      <c r="AA48" s="13">
        <f t="shared" si="17"/>
        <v>-0.46115586385744811</v>
      </c>
      <c r="AB48" s="13">
        <v>3.8844136142551902E-2</v>
      </c>
    </row>
    <row r="49" spans="1:28" x14ac:dyDescent="0.25">
      <c r="A49" s="1">
        <v>1890</v>
      </c>
      <c r="B49" s="1">
        <f t="shared" si="7"/>
        <v>-0.34530769230769232</v>
      </c>
      <c r="C49" s="1">
        <f t="shared" si="0"/>
        <v>-0.36382500769230769</v>
      </c>
      <c r="D49" s="1">
        <f t="shared" si="1"/>
        <v>1.9383428032633598E-2</v>
      </c>
      <c r="E49" s="1">
        <f t="shared" si="8"/>
        <v>0.42996115393125134</v>
      </c>
      <c r="F49" s="1">
        <f t="shared" si="9"/>
        <v>1.8517315384615374E-2</v>
      </c>
      <c r="G49" s="9">
        <f t="shared" si="2"/>
        <v>0.42996115393125134</v>
      </c>
      <c r="H49" s="1">
        <f t="shared" si="3"/>
        <v>-9.0095903093464991E-2</v>
      </c>
      <c r="I49" s="1" t="e">
        <f t="shared" si="10"/>
        <v>#NUM!</v>
      </c>
      <c r="J49" s="3" t="b">
        <f t="shared" si="4"/>
        <v>0</v>
      </c>
      <c r="K49" s="3">
        <f t="shared" si="5"/>
        <v>0.42996115393125134</v>
      </c>
      <c r="L49" s="6">
        <f t="shared" si="23"/>
        <v>-0.34530769230769232</v>
      </c>
      <c r="M49" s="6">
        <f t="shared" si="24"/>
        <v>-0.30161538461538462</v>
      </c>
      <c r="N49" s="6">
        <f t="shared" si="25"/>
        <v>-0.52815384615384608</v>
      </c>
      <c r="O49" s="6">
        <v>-0.41899999999999998</v>
      </c>
      <c r="P49" s="4">
        <v>-0.42299999999999999</v>
      </c>
      <c r="Q49" s="5">
        <v>-0.44600000000000001</v>
      </c>
      <c r="R49">
        <f t="shared" si="12"/>
        <v>-0.52815384615384608</v>
      </c>
      <c r="S49">
        <f t="shared" si="13"/>
        <v>0.57107486163705223</v>
      </c>
      <c r="T49">
        <f t="shared" si="14"/>
        <v>0.65380133993591616</v>
      </c>
      <c r="U49">
        <f t="shared" si="6"/>
        <v>-0.61372655112146812</v>
      </c>
      <c r="W49">
        <v>-0.44600000000000001</v>
      </c>
      <c r="X49">
        <v>-0.44933299999999998</v>
      </c>
      <c r="Y49" s="11">
        <f t="shared" si="15"/>
        <v>0.57059348840266466</v>
      </c>
      <c r="Z49">
        <f t="shared" si="16"/>
        <v>-0.52847184919336021</v>
      </c>
      <c r="AA49" s="13">
        <f t="shared" si="17"/>
        <v>-0.50188845063215926</v>
      </c>
      <c r="AB49" s="13">
        <v>-1.8884506321592701E-3</v>
      </c>
    </row>
    <row r="50" spans="1:28" x14ac:dyDescent="0.25">
      <c r="A50" s="1">
        <v>1891</v>
      </c>
      <c r="B50" s="1">
        <f t="shared" si="7"/>
        <v>-0.34423076923076923</v>
      </c>
      <c r="C50" s="1">
        <f t="shared" si="0"/>
        <v>-0.35823455000000004</v>
      </c>
      <c r="D50" s="1">
        <f t="shared" si="1"/>
        <v>1.4602195887116698E-2</v>
      </c>
      <c r="E50" s="7">
        <f t="shared" si="8"/>
        <v>0.45794256810164968</v>
      </c>
      <c r="F50" s="1">
        <f t="shared" si="9"/>
        <v>1.4003780769230811E-2</v>
      </c>
      <c r="G50" s="9">
        <f t="shared" si="2"/>
        <v>0.45794256810164968</v>
      </c>
      <c r="H50" s="1">
        <f t="shared" si="3"/>
        <v>-7.6524636825676118E-2</v>
      </c>
      <c r="I50" s="1" t="e">
        <f t="shared" si="10"/>
        <v>#NUM!</v>
      </c>
      <c r="J50" s="3" t="b">
        <f t="shared" si="4"/>
        <v>0</v>
      </c>
      <c r="K50" s="3">
        <f t="shared" si="5"/>
        <v>0.45794256810164968</v>
      </c>
      <c r="L50" s="6">
        <f t="shared" si="23"/>
        <v>-0.34423076923076923</v>
      </c>
      <c r="M50" s="6">
        <f t="shared" si="24"/>
        <v>-0.30753846153846154</v>
      </c>
      <c r="N50" s="6">
        <f t="shared" si="25"/>
        <v>-0.49892307692307697</v>
      </c>
      <c r="O50" s="6">
        <v>-0.33900000000000002</v>
      </c>
      <c r="P50" s="4">
        <v>-0.27</v>
      </c>
      <c r="Q50" s="5">
        <v>-0.56399999999999995</v>
      </c>
      <c r="R50">
        <f t="shared" si="12"/>
        <v>-0.49892307692307697</v>
      </c>
      <c r="S50">
        <f t="shared" si="13"/>
        <v>0.61640456367560892</v>
      </c>
      <c r="T50">
        <f t="shared" si="14"/>
        <v>0.68994757940178841</v>
      </c>
      <c r="U50">
        <f t="shared" si="6"/>
        <v>-0.65366722170829472</v>
      </c>
      <c r="W50">
        <v>-0.56399999999999995</v>
      </c>
      <c r="X50">
        <v>-0.55933299999999997</v>
      </c>
      <c r="Y50" s="11">
        <f t="shared" si="15"/>
        <v>0.57836661208420992</v>
      </c>
      <c r="Z50">
        <f t="shared" si="16"/>
        <v>-0.52234179918816082</v>
      </c>
      <c r="AA50" s="13">
        <f t="shared" si="17"/>
        <v>-0.49500258932118113</v>
      </c>
      <c r="AB50" s="13">
        <v>4.9974106788188699E-3</v>
      </c>
    </row>
    <row r="51" spans="1:28" x14ac:dyDescent="0.25">
      <c r="A51" s="1">
        <v>1892</v>
      </c>
      <c r="B51" s="1">
        <f t="shared" si="7"/>
        <v>-0.34192307692307694</v>
      </c>
      <c r="C51" s="1">
        <f t="shared" si="0"/>
        <v>-0.35227304423076922</v>
      </c>
      <c r="D51" s="1">
        <f t="shared" si="1"/>
        <v>1.0674664549958024E-2</v>
      </c>
      <c r="E51" s="7">
        <f t="shared" si="8"/>
        <v>0.46791290897751858</v>
      </c>
      <c r="F51" s="1">
        <f t="shared" si="9"/>
        <v>1.0349967307692276E-2</v>
      </c>
      <c r="G51" s="9">
        <f t="shared" si="2"/>
        <v>0.46791290897751858</v>
      </c>
      <c r="H51" s="1">
        <f t="shared" si="3"/>
        <v>-5.8155140602680955E-2</v>
      </c>
      <c r="I51" s="1" t="e">
        <f t="shared" si="10"/>
        <v>#NUM!</v>
      </c>
      <c r="J51" s="3" t="b">
        <f t="shared" si="4"/>
        <v>0</v>
      </c>
      <c r="K51" s="3">
        <f t="shared" si="5"/>
        <v>0.46791290897751858</v>
      </c>
      <c r="L51" s="6">
        <f t="shared" si="23"/>
        <v>-0.34192307692307694</v>
      </c>
      <c r="M51" s="6">
        <f t="shared" si="24"/>
        <v>-0.30253846153846153</v>
      </c>
      <c r="N51" s="6">
        <f t="shared" si="25"/>
        <v>-0.49038461538461531</v>
      </c>
      <c r="O51" s="6">
        <v>-0.45600000000000002</v>
      </c>
      <c r="P51" s="4">
        <v>-0.40799999999999997</v>
      </c>
      <c r="Q51" s="5">
        <v>-0.625</v>
      </c>
      <c r="R51">
        <f t="shared" si="12"/>
        <v>-0.49038461538461531</v>
      </c>
      <c r="S51">
        <f t="shared" si="13"/>
        <v>0.61694117647058833</v>
      </c>
      <c r="T51">
        <f t="shared" si="14"/>
        <v>0.69725490196078443</v>
      </c>
      <c r="U51">
        <f t="shared" si="6"/>
        <v>-0.66789888627451</v>
      </c>
      <c r="W51">
        <v>-0.625</v>
      </c>
      <c r="X51">
        <v>-0.62666699999999997</v>
      </c>
      <c r="Y51" s="11">
        <f t="shared" si="15"/>
        <v>0.58612928632646799</v>
      </c>
      <c r="Z51">
        <f t="shared" si="16"/>
        <v>-0.50878290506811163</v>
      </c>
      <c r="AA51" s="13">
        <f t="shared" si="17"/>
        <v>-0.49085517514769722</v>
      </c>
      <c r="AB51" s="13">
        <v>9.1448248523027693E-3</v>
      </c>
    </row>
    <row r="52" spans="1:28" x14ac:dyDescent="0.25">
      <c r="A52" s="1">
        <v>1893</v>
      </c>
      <c r="B52" s="1">
        <f t="shared" si="7"/>
        <v>-0.33015384615384613</v>
      </c>
      <c r="C52" s="1">
        <f t="shared" si="0"/>
        <v>-0.33874215769230764</v>
      </c>
      <c r="D52" s="1">
        <f t="shared" si="1"/>
        <v>8.7641827731744226E-3</v>
      </c>
      <c r="E52" s="7">
        <f t="shared" si="8"/>
        <v>0.48666915817628126</v>
      </c>
      <c r="F52" s="1">
        <f t="shared" si="9"/>
        <v>8.5883115384615127E-3</v>
      </c>
      <c r="G52" s="9">
        <f t="shared" si="2"/>
        <v>0.48666915817628126</v>
      </c>
      <c r="H52" s="1">
        <f t="shared" si="3"/>
        <v>-5.344157348873213E-2</v>
      </c>
      <c r="I52" s="1" t="e">
        <f t="shared" si="10"/>
        <v>#NUM!</v>
      </c>
      <c r="J52" s="3" t="b">
        <f t="shared" si="4"/>
        <v>0</v>
      </c>
      <c r="K52" s="3">
        <f t="shared" si="5"/>
        <v>0.48666915817628126</v>
      </c>
      <c r="L52" s="6">
        <f t="shared" si="23"/>
        <v>-0.33015384615384613</v>
      </c>
      <c r="M52" s="6">
        <f t="shared" si="24"/>
        <v>-0.29884615384615382</v>
      </c>
      <c r="N52" s="6">
        <f t="shared" si="25"/>
        <v>-0.45569230769230756</v>
      </c>
      <c r="O52" s="6">
        <v>-0.47499999999999998</v>
      </c>
      <c r="P52" s="4">
        <v>-0.39700000000000002</v>
      </c>
      <c r="Q52" s="5">
        <v>-0.7</v>
      </c>
      <c r="R52">
        <f t="shared" si="12"/>
        <v>-0.45569230769230756</v>
      </c>
      <c r="S52">
        <f t="shared" si="13"/>
        <v>0.65580688723835256</v>
      </c>
      <c r="T52">
        <f t="shared" si="14"/>
        <v>0.7245104659014181</v>
      </c>
      <c r="U52">
        <f t="shared" si="6"/>
        <v>-0.6946715563808239</v>
      </c>
      <c r="W52">
        <v>-0.7</v>
      </c>
      <c r="X52">
        <v>-0.69633299999999998</v>
      </c>
      <c r="Y52" s="11">
        <f t="shared" si="15"/>
        <v>0.59385838825255632</v>
      </c>
      <c r="Z52">
        <f t="shared" si="16"/>
        <v>-0.48961851307611481</v>
      </c>
      <c r="AA52" s="13">
        <f t="shared" si="17"/>
        <v>-0.49769927046276646</v>
      </c>
      <c r="AB52" s="13">
        <v>2.3007295372335299E-3</v>
      </c>
    </row>
    <row r="53" spans="1:28" x14ac:dyDescent="0.25">
      <c r="A53" s="1">
        <v>1894</v>
      </c>
      <c r="B53" s="1">
        <f t="shared" si="7"/>
        <v>-0.33407692307692305</v>
      </c>
      <c r="C53" s="1">
        <f t="shared" si="0"/>
        <v>-0.33931109807692306</v>
      </c>
      <c r="D53" s="1">
        <f t="shared" si="1"/>
        <v>4.9983934449067124E-3</v>
      </c>
      <c r="E53" s="7">
        <f t="shared" si="8"/>
        <v>0.51578898032646636</v>
      </c>
      <c r="F53" s="1">
        <f t="shared" si="9"/>
        <v>5.2341750000000076E-3</v>
      </c>
      <c r="G53" s="9">
        <f t="shared" si="2"/>
        <v>0.51578898032646636</v>
      </c>
      <c r="H53" s="1">
        <f t="shared" si="3"/>
        <v>-3.3601433475513587E-2</v>
      </c>
      <c r="I53" s="1" t="e">
        <f t="shared" si="10"/>
        <v>#NUM!</v>
      </c>
      <c r="J53" s="3" t="b">
        <f t="shared" si="4"/>
        <v>0</v>
      </c>
      <c r="K53" s="3">
        <f t="shared" si="5"/>
        <v>0.51578898032646636</v>
      </c>
      <c r="L53" s="6">
        <f t="shared" si="23"/>
        <v>-0.33407692307692305</v>
      </c>
      <c r="M53" s="6">
        <f t="shared" si="24"/>
        <v>-0.30853846153846154</v>
      </c>
      <c r="N53" s="6">
        <f t="shared" si="25"/>
        <v>-0.43807692307692303</v>
      </c>
      <c r="O53" s="6">
        <v>-0.40799999999999997</v>
      </c>
      <c r="P53" s="4">
        <v>-0.41799999999999998</v>
      </c>
      <c r="Q53" s="5">
        <v>-0.47</v>
      </c>
      <c r="R53">
        <f t="shared" si="12"/>
        <v>-0.43807692307692303</v>
      </c>
      <c r="S53">
        <f t="shared" si="13"/>
        <v>0.70430201931518888</v>
      </c>
      <c r="T53">
        <f t="shared" si="14"/>
        <v>0.7625987708516242</v>
      </c>
      <c r="U53">
        <f t="shared" si="6"/>
        <v>-0.73623719051799807</v>
      </c>
      <c r="W53">
        <v>-0.47</v>
      </c>
      <c r="X53">
        <v>-0.46825</v>
      </c>
      <c r="Y53" s="11">
        <f t="shared" si="15"/>
        <v>0.60153212491422892</v>
      </c>
      <c r="Z53">
        <f t="shared" si="16"/>
        <v>-0.49149314373755837</v>
      </c>
      <c r="AA53" s="13">
        <f t="shared" si="17"/>
        <v>-0.4722884710656467</v>
      </c>
      <c r="AB53" s="13">
        <v>2.7711528934353299E-2</v>
      </c>
    </row>
    <row r="54" spans="1:28" x14ac:dyDescent="0.25">
      <c r="A54" s="1">
        <v>1895</v>
      </c>
      <c r="B54" s="1">
        <f t="shared" si="7"/>
        <v>-0.34053846153846151</v>
      </c>
      <c r="C54" s="1">
        <f t="shared" si="0"/>
        <v>-0.34292263269230766</v>
      </c>
      <c r="D54" s="1">
        <f t="shared" si="1"/>
        <v>1.7659153211466161E-3</v>
      </c>
      <c r="E54" s="7">
        <f t="shared" si="8"/>
        <v>0.53951261341372447</v>
      </c>
      <c r="F54" s="1">
        <f t="shared" si="9"/>
        <v>2.3841711538461485E-3</v>
      </c>
      <c r="G54" s="9">
        <f t="shared" si="2"/>
        <v>0.53951261341372447</v>
      </c>
      <c r="H54" s="1">
        <f t="shared" si="3"/>
        <v>-1.2661854999012179E-2</v>
      </c>
      <c r="I54" s="1" t="e">
        <f t="shared" si="10"/>
        <v>#NUM!</v>
      </c>
      <c r="J54" s="3" t="b">
        <f t="shared" si="4"/>
        <v>0</v>
      </c>
      <c r="K54" s="3">
        <f t="shared" si="5"/>
        <v>0.53951261341372447</v>
      </c>
      <c r="L54" s="6">
        <f t="shared" si="23"/>
        <v>-0.34053846153846151</v>
      </c>
      <c r="M54" s="6">
        <f t="shared" si="24"/>
        <v>-0.31838461538461538</v>
      </c>
      <c r="N54" s="6">
        <f t="shared" si="25"/>
        <v>-0.42961538461538457</v>
      </c>
      <c r="O54" s="6">
        <v>-0.39300000000000002</v>
      </c>
      <c r="P54" s="4">
        <v>-0.33100000000000002</v>
      </c>
      <c r="Q54" s="5">
        <v>-0.57899999999999996</v>
      </c>
      <c r="R54">
        <f t="shared" si="12"/>
        <v>-0.42961538461538457</v>
      </c>
      <c r="S54">
        <f t="shared" si="13"/>
        <v>0.74109221128021496</v>
      </c>
      <c r="T54">
        <f t="shared" si="14"/>
        <v>0.79265890778871984</v>
      </c>
      <c r="U54">
        <f t="shared" si="6"/>
        <v>-0.77010030438675026</v>
      </c>
      <c r="W54">
        <v>-0.57899999999999996</v>
      </c>
      <c r="X54">
        <v>-0.57974999999999999</v>
      </c>
      <c r="Y54" s="11">
        <f t="shared" si="15"/>
        <v>0.60912994388490915</v>
      </c>
      <c r="Z54">
        <f t="shared" si="16"/>
        <v>-0.49604096255160524</v>
      </c>
      <c r="AA54" s="13">
        <f t="shared" si="17"/>
        <v>-0.47917099042215078</v>
      </c>
      <c r="AB54" s="13">
        <v>2.0829009577849202E-2</v>
      </c>
    </row>
    <row r="55" spans="1:28" x14ac:dyDescent="0.25">
      <c r="A55" s="1">
        <v>1896</v>
      </c>
      <c r="B55" s="1">
        <f t="shared" si="7"/>
        <v>-0.34899999999999998</v>
      </c>
      <c r="C55" s="1">
        <f t="shared" si="0"/>
        <v>-0.35195146923076925</v>
      </c>
      <c r="D55" s="1">
        <f t="shared" si="1"/>
        <v>2.1707486933293385E-3</v>
      </c>
      <c r="E55" s="7">
        <f t="shared" si="8"/>
        <v>0.54360356466534832</v>
      </c>
      <c r="F55" s="1">
        <f t="shared" si="9"/>
        <v>2.9514692307692769E-3</v>
      </c>
      <c r="G55" s="9">
        <f t="shared" si="2"/>
        <v>0.54360356466534832</v>
      </c>
      <c r="H55" s="1">
        <f t="shared" si="3"/>
        <v>-1.5458391785594938E-2</v>
      </c>
      <c r="I55" s="1" t="e">
        <f t="shared" si="10"/>
        <v>#NUM!</v>
      </c>
      <c r="J55" s="3" t="b">
        <f t="shared" si="4"/>
        <v>0</v>
      </c>
      <c r="K55" s="3">
        <f t="shared" si="5"/>
        <v>0.54360356466534832</v>
      </c>
      <c r="L55" s="6">
        <f t="shared" si="23"/>
        <v>-0.34899999999999998</v>
      </c>
      <c r="M55" s="6">
        <f t="shared" si="24"/>
        <v>-0.32930769230769236</v>
      </c>
      <c r="N55" s="6">
        <f t="shared" si="25"/>
        <v>-0.43584615384615372</v>
      </c>
      <c r="O55" s="6">
        <v>-0.191</v>
      </c>
      <c r="P55" s="4">
        <v>-0.127</v>
      </c>
      <c r="Q55" s="5">
        <v>-0.41299999999999998</v>
      </c>
      <c r="R55">
        <f t="shared" si="12"/>
        <v>-0.43584615384615372</v>
      </c>
      <c r="S55">
        <f t="shared" si="13"/>
        <v>0.7555594775855986</v>
      </c>
      <c r="T55">
        <f t="shared" si="14"/>
        <v>0.80074126367807996</v>
      </c>
      <c r="U55">
        <f t="shared" si="6"/>
        <v>-0.77593972820331825</v>
      </c>
      <c r="W55">
        <v>-0.41299999999999998</v>
      </c>
      <c r="X55">
        <v>-0.41775000000000001</v>
      </c>
      <c r="Y55" s="11">
        <f t="shared" si="15"/>
        <v>0.61663260776549578</v>
      </c>
      <c r="Z55">
        <f t="shared" si="16"/>
        <v>-0.50592850747678297</v>
      </c>
      <c r="AA55" s="13">
        <f t="shared" si="17"/>
        <v>-0.4666331133130181</v>
      </c>
      <c r="AB55" s="13">
        <v>3.33668866869819E-2</v>
      </c>
    </row>
    <row r="56" spans="1:28" x14ac:dyDescent="0.25">
      <c r="A56" s="1">
        <v>1897</v>
      </c>
      <c r="B56" s="1">
        <f t="shared" si="7"/>
        <v>-0.36661538461538462</v>
      </c>
      <c r="C56" s="1">
        <f t="shared" si="0"/>
        <v>-0.36803021923076917</v>
      </c>
      <c r="D56" s="1">
        <f t="shared" si="1"/>
        <v>3.9511763231153685E-4</v>
      </c>
      <c r="E56" s="7">
        <f t="shared" si="8"/>
        <v>0.55513080384034574</v>
      </c>
      <c r="F56" s="1">
        <f t="shared" si="9"/>
        <v>1.4148346153845526E-3</v>
      </c>
      <c r="G56" s="9">
        <f t="shared" si="2"/>
        <v>0.55513080384034574</v>
      </c>
      <c r="H56" s="1">
        <f t="shared" si="3"/>
        <v>-2.783010900599292E-3</v>
      </c>
      <c r="I56" s="1" t="e">
        <f t="shared" si="10"/>
        <v>#NUM!</v>
      </c>
      <c r="J56" s="3" t="b">
        <f t="shared" si="4"/>
        <v>0</v>
      </c>
      <c r="K56" s="3">
        <f t="shared" si="5"/>
        <v>0.55513080384034574</v>
      </c>
      <c r="L56" s="6">
        <f t="shared" si="23"/>
        <v>-0.36661538461538462</v>
      </c>
      <c r="M56" s="6">
        <f t="shared" si="24"/>
        <v>-0.34723076923076923</v>
      </c>
      <c r="N56" s="6">
        <f t="shared" si="25"/>
        <v>-0.4499999999999999</v>
      </c>
      <c r="O56" s="6">
        <v>-0.21</v>
      </c>
      <c r="P56" s="4">
        <v>-0.17599999999999999</v>
      </c>
      <c r="Q56" s="5">
        <v>-0.318</v>
      </c>
      <c r="R56">
        <f t="shared" si="12"/>
        <v>-0.4499999999999999</v>
      </c>
      <c r="S56">
        <f t="shared" si="13"/>
        <v>0.77162393162393184</v>
      </c>
      <c r="T56">
        <f t="shared" si="14"/>
        <v>0.81470085470085485</v>
      </c>
      <c r="U56">
        <f t="shared" si="6"/>
        <v>-0.7923937094017095</v>
      </c>
      <c r="W56">
        <v>-0.318</v>
      </c>
      <c r="X56">
        <v>-0.32824999999999999</v>
      </c>
      <c r="Y56" s="11">
        <f t="shared" si="15"/>
        <v>0.62402206752449274</v>
      </c>
      <c r="Z56">
        <f t="shared" si="16"/>
        <v>-0.52596614791452967</v>
      </c>
      <c r="AA56" s="13">
        <f t="shared" si="17"/>
        <v>-0.45518552790300681</v>
      </c>
      <c r="AB56" s="13">
        <v>4.4814472096993199E-2</v>
      </c>
    </row>
    <row r="57" spans="1:28" x14ac:dyDescent="0.25">
      <c r="A57" s="1">
        <v>1898</v>
      </c>
      <c r="B57" s="1">
        <f t="shared" si="7"/>
        <v>-0.37684615384615378</v>
      </c>
      <c r="C57" s="1">
        <f t="shared" si="0"/>
        <v>-0.37809799038461545</v>
      </c>
      <c r="D57" s="1">
        <f t="shared" si="1"/>
        <v>0</v>
      </c>
      <c r="E57" s="1">
        <f t="shared" si="8"/>
        <v>0.60172625828199844</v>
      </c>
      <c r="F57" s="1">
        <f t="shared" si="9"/>
        <v>1.2518365384616703E-3</v>
      </c>
      <c r="G57" s="9">
        <f t="shared" si="2"/>
        <v>0.60172625828199844</v>
      </c>
      <c r="H57" s="1">
        <f t="shared" si="3"/>
        <v>2.0459446110411283E-3</v>
      </c>
      <c r="I57" s="1">
        <f t="shared" si="10"/>
        <v>0.60172625828199844</v>
      </c>
      <c r="J57" s="3">
        <f t="shared" si="4"/>
        <v>0.60172625828199844</v>
      </c>
      <c r="K57" s="3">
        <f t="shared" si="5"/>
        <v>0.57003779026945778</v>
      </c>
      <c r="L57" s="6">
        <f t="shared" si="23"/>
        <v>-0.37684615384615378</v>
      </c>
      <c r="M57" s="6">
        <f t="shared" si="24"/>
        <v>-0.36307692307692313</v>
      </c>
      <c r="N57" s="6">
        <f t="shared" si="25"/>
        <v>-0.44961538461538458</v>
      </c>
      <c r="O57" s="6">
        <v>-0.40799999999999997</v>
      </c>
      <c r="P57" s="4">
        <v>-0.40300000000000002</v>
      </c>
      <c r="Q57" s="5">
        <v>-0.38700000000000001</v>
      </c>
      <c r="R57">
        <f t="shared" si="12"/>
        <v>-0.44961538461538458</v>
      </c>
      <c r="S57">
        <f t="shared" si="13"/>
        <v>0.80752780153977777</v>
      </c>
      <c r="T57">
        <f t="shared" si="14"/>
        <v>0.83815226689478173</v>
      </c>
      <c r="U57">
        <f t="shared" si="6"/>
        <v>-0.81367194183062408</v>
      </c>
      <c r="W57">
        <v>-0.38700000000000001</v>
      </c>
      <c r="X57">
        <v>-0.38033299999999998</v>
      </c>
      <c r="Y57" s="11">
        <f t="shared" si="15"/>
        <v>0.631281484849751</v>
      </c>
      <c r="Z57">
        <f t="shared" si="16"/>
        <v>-0.53920421312234079</v>
      </c>
      <c r="AA57" s="13">
        <f t="shared" si="17"/>
        <v>-0.46477888798045841</v>
      </c>
      <c r="AB57" s="13">
        <v>3.5221112019541603E-2</v>
      </c>
    </row>
    <row r="58" spans="1:28" x14ac:dyDescent="0.25">
      <c r="A58" s="1">
        <v>1899</v>
      </c>
      <c r="B58" s="1">
        <f t="shared" si="7"/>
        <v>-0.35907692307692302</v>
      </c>
      <c r="C58" s="1">
        <f t="shared" si="0"/>
        <v>-0.35922401153846151</v>
      </c>
      <c r="D58" s="1">
        <f t="shared" si="1"/>
        <v>0</v>
      </c>
      <c r="E58" s="1">
        <f t="shared" si="8"/>
        <v>0.66376228390075087</v>
      </c>
      <c r="F58" s="1">
        <f t="shared" si="9"/>
        <v>1.4708846153849153E-4</v>
      </c>
      <c r="G58" s="9">
        <f t="shared" si="2"/>
        <v>0.66376228390075087</v>
      </c>
      <c r="H58" s="1">
        <f t="shared" si="3"/>
        <v>1.3164048563832464E-2</v>
      </c>
      <c r="I58" s="1">
        <f t="shared" si="10"/>
        <v>0.66376228390075087</v>
      </c>
      <c r="J58" s="3">
        <f t="shared" si="4"/>
        <v>0.66376228390075087</v>
      </c>
      <c r="K58" s="3">
        <f t="shared" si="5"/>
        <v>0.58338209074560388</v>
      </c>
      <c r="L58" s="6">
        <f t="shared" si="23"/>
        <v>-0.35907692307692302</v>
      </c>
      <c r="M58" s="6">
        <f t="shared" si="24"/>
        <v>-0.34892307692307689</v>
      </c>
      <c r="N58" s="6">
        <f t="shared" si="25"/>
        <v>-0.41923076923076918</v>
      </c>
      <c r="O58" s="6">
        <v>-0.28799999999999998</v>
      </c>
      <c r="P58" s="4">
        <v>-0.28000000000000003</v>
      </c>
      <c r="Q58" s="5">
        <v>-0.32600000000000001</v>
      </c>
      <c r="R58">
        <f t="shared" si="12"/>
        <v>-0.41923076923076918</v>
      </c>
      <c r="S58">
        <f t="shared" si="13"/>
        <v>0.83229357798165138</v>
      </c>
      <c r="T58">
        <f t="shared" si="14"/>
        <v>0.85651376146788982</v>
      </c>
      <c r="U58">
        <f t="shared" si="6"/>
        <v>-0.83271959633027504</v>
      </c>
      <c r="W58">
        <v>-0.32600000000000001</v>
      </c>
      <c r="X58">
        <v>-0.32616699999999998</v>
      </c>
      <c r="Y58" s="11">
        <f t="shared" si="15"/>
        <v>0.638395213522017</v>
      </c>
      <c r="Z58">
        <f t="shared" si="16"/>
        <v>-0.51010764128323183</v>
      </c>
      <c r="AA58" s="13">
        <f t="shared" si="17"/>
        <v>-0.43986780948475918</v>
      </c>
      <c r="AB58" s="13">
        <v>6.0132190515240803E-2</v>
      </c>
    </row>
    <row r="59" spans="1:28" x14ac:dyDescent="0.25">
      <c r="A59" s="1">
        <v>1900</v>
      </c>
      <c r="B59" s="1">
        <f t="shared" si="7"/>
        <v>-0.34799999999999998</v>
      </c>
      <c r="C59" s="1">
        <f t="shared" si="0"/>
        <v>-0.3493541326923077</v>
      </c>
      <c r="D59" s="1">
        <f t="shared" si="1"/>
        <v>0</v>
      </c>
      <c r="E59" s="1">
        <f t="shared" si="8"/>
        <v>0.65852558108529191</v>
      </c>
      <c r="F59" s="1">
        <f t="shared" si="9"/>
        <v>1.354132692307719E-3</v>
      </c>
      <c r="G59" s="9">
        <f t="shared" si="2"/>
        <v>0.65852558108529191</v>
      </c>
      <c r="H59" s="1">
        <f t="shared" si="3"/>
        <v>8.3886944221872595E-3</v>
      </c>
      <c r="I59" s="1">
        <f t="shared" si="10"/>
        <v>0.65852558108529191</v>
      </c>
      <c r="J59" s="3">
        <f t="shared" si="4"/>
        <v>0.65852558108529191</v>
      </c>
      <c r="K59" s="3">
        <f t="shared" si="5"/>
        <v>0.59436009408172685</v>
      </c>
      <c r="L59" s="6">
        <f t="shared" si="23"/>
        <v>-0.34799999999999998</v>
      </c>
      <c r="M59" s="6">
        <f t="shared" si="24"/>
        <v>-0.34500000000000003</v>
      </c>
      <c r="N59" s="6">
        <f t="shared" si="25"/>
        <v>-0.39638461538461534</v>
      </c>
      <c r="O59" s="6">
        <v>-0.19800000000000001</v>
      </c>
      <c r="P59" s="4">
        <v>-0.2</v>
      </c>
      <c r="Q59" s="5">
        <v>-0.19500000000000001</v>
      </c>
      <c r="R59">
        <f t="shared" si="12"/>
        <v>-0.39638461538461534</v>
      </c>
      <c r="S59">
        <f t="shared" si="13"/>
        <v>0.87036677663497009</v>
      </c>
      <c r="T59">
        <f t="shared" si="14"/>
        <v>0.87793518338831755</v>
      </c>
      <c r="U59">
        <f t="shared" si="6"/>
        <v>-0.84838959829225691</v>
      </c>
      <c r="W59">
        <v>-0.19500000000000001</v>
      </c>
      <c r="X59">
        <v>-0.20449999999999999</v>
      </c>
      <c r="Y59" s="11">
        <f t="shared" si="15"/>
        <v>0.64534874353557825</v>
      </c>
      <c r="Z59">
        <f t="shared" si="16"/>
        <v>-0.49502513292813255</v>
      </c>
      <c r="AA59" s="13">
        <f t="shared" si="17"/>
        <v>-0.43117006766656163</v>
      </c>
      <c r="AB59" s="13">
        <v>6.8829932333438398E-2</v>
      </c>
    </row>
    <row r="60" spans="1:28" x14ac:dyDescent="0.25">
      <c r="A60" s="1">
        <v>1901</v>
      </c>
      <c r="B60" s="1">
        <f t="shared" si="7"/>
        <v>-0.35153846153846158</v>
      </c>
      <c r="C60" s="1">
        <f t="shared" si="0"/>
        <v>-0.35039306730769226</v>
      </c>
      <c r="D60" s="1">
        <f t="shared" si="1"/>
        <v>0</v>
      </c>
      <c r="E60" s="1">
        <f t="shared" si="8"/>
        <v>0.72422314082090966</v>
      </c>
      <c r="F60" s="1">
        <f t="shared" si="9"/>
        <v>1.1453942307693143E-3</v>
      </c>
      <c r="G60" s="9">
        <f t="shared" si="2"/>
        <v>0.72422314082090966</v>
      </c>
      <c r="H60" s="1">
        <f t="shared" si="3"/>
        <v>2.9885883606397212E-2</v>
      </c>
      <c r="I60" s="1">
        <f t="shared" si="10"/>
        <v>0.72422314082090966</v>
      </c>
      <c r="J60" s="3">
        <f t="shared" si="4"/>
        <v>0.72422314082090966</v>
      </c>
      <c r="K60" s="3">
        <f t="shared" si="5"/>
        <v>0.60311109007625774</v>
      </c>
      <c r="L60" s="6">
        <f t="shared" si="23"/>
        <v>-0.35153846153846158</v>
      </c>
      <c r="M60" s="6">
        <f t="shared" si="24"/>
        <v>-0.34599999999999997</v>
      </c>
      <c r="N60" s="6">
        <f t="shared" si="25"/>
        <v>-0.39761538461538459</v>
      </c>
      <c r="O60" s="6">
        <v>-0.26700000000000002</v>
      </c>
      <c r="P60" s="4">
        <v>-0.32100000000000001</v>
      </c>
      <c r="Q60" s="5">
        <v>-0.17699999999999999</v>
      </c>
      <c r="R60">
        <f t="shared" si="12"/>
        <v>-0.39761538461538459</v>
      </c>
      <c r="S60">
        <f t="shared" si="13"/>
        <v>0.8701876571870768</v>
      </c>
      <c r="T60">
        <f t="shared" si="14"/>
        <v>0.88411685045463351</v>
      </c>
      <c r="U60">
        <f t="shared" si="6"/>
        <v>-0.8608807699748503</v>
      </c>
      <c r="W60">
        <v>-0.17699999999999999</v>
      </c>
      <c r="X60">
        <v>-0.190417</v>
      </c>
      <c r="Y60" s="11">
        <f t="shared" si="15"/>
        <v>0.65212867874652147</v>
      </c>
      <c r="Z60">
        <f t="shared" si="16"/>
        <v>-0.49250518873923338</v>
      </c>
      <c r="AA60" s="13">
        <f t="shared" si="17"/>
        <v>-0.42573480345990011</v>
      </c>
      <c r="AB60" s="13">
        <v>7.4265196540099901E-2</v>
      </c>
    </row>
    <row r="61" spans="1:28" x14ac:dyDescent="0.25">
      <c r="A61" s="1">
        <v>1902</v>
      </c>
      <c r="B61" s="1">
        <f t="shared" si="7"/>
        <v>-0.35892307692307696</v>
      </c>
      <c r="C61" s="1">
        <f t="shared" si="0"/>
        <v>-0.35509300961538459</v>
      </c>
      <c r="D61" s="1">
        <f t="shared" si="1"/>
        <v>0</v>
      </c>
      <c r="E61" s="1">
        <f t="shared" si="8"/>
        <v>0.83695051963881451</v>
      </c>
      <c r="F61" s="1">
        <f t="shared" si="9"/>
        <v>3.8300673076923641E-3</v>
      </c>
      <c r="G61" s="9">
        <f t="shared" si="2"/>
        <v>0.83695051963881451</v>
      </c>
      <c r="H61" s="1">
        <f t="shared" si="3"/>
        <v>7.3142637557606416E-2</v>
      </c>
      <c r="I61" s="1">
        <f t="shared" si="10"/>
        <v>0.83695051963881451</v>
      </c>
      <c r="J61" s="3">
        <f t="shared" si="4"/>
        <v>0.83695051963881451</v>
      </c>
      <c r="K61" s="3">
        <f t="shared" si="5"/>
        <v>0.64748088565456785</v>
      </c>
      <c r="L61" s="6">
        <f t="shared" si="23"/>
        <v>-0.35892307692307696</v>
      </c>
      <c r="M61" s="6">
        <f t="shared" si="24"/>
        <v>-0.36246153846153845</v>
      </c>
      <c r="N61" s="6">
        <f t="shared" si="25"/>
        <v>-0.37930769230769229</v>
      </c>
      <c r="O61" s="6">
        <v>-0.41199999999999998</v>
      </c>
      <c r="P61" s="4">
        <v>-0.41099999999999998</v>
      </c>
      <c r="Q61" s="5">
        <v>-0.42199999999999999</v>
      </c>
      <c r="R61">
        <f t="shared" si="12"/>
        <v>-0.37930769230769229</v>
      </c>
      <c r="S61">
        <f t="shared" si="13"/>
        <v>0.95558710200770636</v>
      </c>
      <c r="T61">
        <f t="shared" si="14"/>
        <v>0.94625836544311515</v>
      </c>
      <c r="U61">
        <f t="shared" si="6"/>
        <v>-0.92421421618333022</v>
      </c>
      <c r="W61">
        <v>-0.42199999999999999</v>
      </c>
      <c r="X61">
        <v>-0.42241699999999999</v>
      </c>
      <c r="Y61" s="11">
        <f t="shared" si="15"/>
        <v>0.65872271452099085</v>
      </c>
      <c r="Z61">
        <f t="shared" si="16"/>
        <v>-0.5013085290896826</v>
      </c>
      <c r="AA61" s="13">
        <f t="shared" si="17"/>
        <v>-0.45710331375414293</v>
      </c>
      <c r="AB61" s="13">
        <v>4.2896686245857102E-2</v>
      </c>
    </row>
    <row r="62" spans="1:28" x14ac:dyDescent="0.25">
      <c r="A62" s="1">
        <v>1903</v>
      </c>
      <c r="B62" s="1">
        <f t="shared" si="7"/>
        <v>-0.3936153846153847</v>
      </c>
      <c r="C62" s="1">
        <f t="shared" si="0"/>
        <v>-0.38549421538461537</v>
      </c>
      <c r="D62" s="1">
        <f t="shared" si="1"/>
        <v>0</v>
      </c>
      <c r="E62" s="1">
        <f t="shared" si="8"/>
        <v>0.97015270659437824</v>
      </c>
      <c r="F62" s="1">
        <f t="shared" si="9"/>
        <v>8.1211692307693317E-3</v>
      </c>
      <c r="G62" s="9">
        <f t="shared" si="2"/>
        <v>0.97015270659437824</v>
      </c>
      <c r="H62" s="1">
        <f t="shared" si="3"/>
        <v>0.14472174390195514</v>
      </c>
      <c r="I62" s="1">
        <f t="shared" si="10"/>
        <v>0.97015270659437824</v>
      </c>
      <c r="J62" s="3">
        <f t="shared" si="4"/>
        <v>0.97015270659437824</v>
      </c>
      <c r="K62" s="3">
        <f t="shared" si="5"/>
        <v>0.70363798634624619</v>
      </c>
      <c r="L62" s="6">
        <f t="shared" si="23"/>
        <v>-0.3936153846153847</v>
      </c>
      <c r="M62" s="6">
        <f t="shared" si="24"/>
        <v>-0.40692307692307683</v>
      </c>
      <c r="N62" s="6">
        <f t="shared" si="25"/>
        <v>-0.38492307692307698</v>
      </c>
      <c r="O62" s="6">
        <v>-0.48099999999999998</v>
      </c>
      <c r="P62" s="4">
        <v>-0.51900000000000002</v>
      </c>
      <c r="Q62" s="5">
        <v>-0.43099999999999999</v>
      </c>
      <c r="R62">
        <f t="shared" si="12"/>
        <v>-0.38492307692307698</v>
      </c>
      <c r="S62">
        <f t="shared" si="13"/>
        <v>1.0571542765787367</v>
      </c>
      <c r="T62">
        <f t="shared" si="14"/>
        <v>1.0225819344524381</v>
      </c>
      <c r="U62">
        <f t="shared" si="6"/>
        <v>-1.0043728617106318</v>
      </c>
      <c r="W62">
        <v>-0.43099999999999999</v>
      </c>
      <c r="X62">
        <v>-0.42341699999999999</v>
      </c>
      <c r="Y62" s="11">
        <f t="shared" si="15"/>
        <v>0.66511963028460741</v>
      </c>
      <c r="Z62">
        <f t="shared" si="16"/>
        <v>-0.54684823491304579</v>
      </c>
      <c r="AA62" s="13">
        <f t="shared" si="17"/>
        <v>-0.45751193464917611</v>
      </c>
      <c r="AB62" s="13">
        <v>4.2488065350823903E-2</v>
      </c>
    </row>
    <row r="63" spans="1:28" x14ac:dyDescent="0.25">
      <c r="A63" s="1">
        <v>1904</v>
      </c>
      <c r="B63" s="1">
        <f t="shared" si="7"/>
        <v>-0.42684615384615393</v>
      </c>
      <c r="C63" s="1">
        <f t="shared" si="0"/>
        <v>-0.41651383461538455</v>
      </c>
      <c r="D63" s="1">
        <f t="shared" si="1"/>
        <v>-1.6751054746950211E-2</v>
      </c>
      <c r="E63" s="1">
        <f t="shared" si="8"/>
        <v>0.71537164023247712</v>
      </c>
      <c r="F63" s="1">
        <f t="shared" si="9"/>
        <v>1.0332319230769382E-2</v>
      </c>
      <c r="G63" s="9">
        <f t="shared" si="2"/>
        <v>0.71537164023247712</v>
      </c>
      <c r="H63" s="1">
        <f t="shared" si="3"/>
        <v>0.16612865403999344</v>
      </c>
      <c r="I63" s="1">
        <f t="shared" si="10"/>
        <v>1.0009179689637584</v>
      </c>
      <c r="J63" s="3">
        <f t="shared" si="4"/>
        <v>1.0009179689637584</v>
      </c>
      <c r="K63" s="3">
        <f t="shared" si="5"/>
        <v>0.71537164023247712</v>
      </c>
      <c r="L63" s="6">
        <f t="shared" si="23"/>
        <v>-0.42684615384615393</v>
      </c>
      <c r="M63" s="6">
        <f t="shared" si="24"/>
        <v>-0.44169230769230761</v>
      </c>
      <c r="N63" s="6">
        <f t="shared" si="25"/>
        <v>-0.41184615384615386</v>
      </c>
      <c r="O63" s="6">
        <v>-0.52800000000000002</v>
      </c>
      <c r="P63" s="4">
        <v>-0.53300000000000003</v>
      </c>
      <c r="Q63" s="5">
        <v>-0.56899999999999995</v>
      </c>
      <c r="R63">
        <f t="shared" si="12"/>
        <v>-0.41184615384615386</v>
      </c>
      <c r="S63">
        <f t="shared" si="13"/>
        <v>1.0724691819200596</v>
      </c>
      <c r="T63">
        <f t="shared" si="14"/>
        <v>1.0364213672020921</v>
      </c>
      <c r="U63">
        <f t="shared" si="6"/>
        <v>-1.0211214792678378</v>
      </c>
      <c r="W63">
        <v>-0.56899999999999995</v>
      </c>
      <c r="X63">
        <v>-0.55483300000000002</v>
      </c>
      <c r="Y63" s="11">
        <f t="shared" si="15"/>
        <v>0.67130921501666307</v>
      </c>
      <c r="Z63">
        <f t="shared" si="16"/>
        <v>-0.58749515697332866</v>
      </c>
      <c r="AA63" s="13">
        <f t="shared" si="17"/>
        <v>-0.46993131085770712</v>
      </c>
      <c r="AB63" s="13">
        <v>3.0068689142292899E-2</v>
      </c>
    </row>
    <row r="64" spans="1:28" x14ac:dyDescent="0.25">
      <c r="A64" s="1">
        <v>1905</v>
      </c>
      <c r="B64" s="1">
        <f t="shared" si="7"/>
        <v>-0.41600000000000004</v>
      </c>
      <c r="C64" s="1">
        <f t="shared" si="0"/>
        <v>-0.40535765576923077</v>
      </c>
      <c r="D64" s="1">
        <f t="shared" si="1"/>
        <v>-1.8161207925214362E-2</v>
      </c>
      <c r="E64" s="7">
        <f t="shared" si="8"/>
        <v>0.74403009469960535</v>
      </c>
      <c r="F64" s="1">
        <f t="shared" si="9"/>
        <v>1.0642344230769263E-2</v>
      </c>
      <c r="G64" s="9">
        <f t="shared" si="2"/>
        <v>0.74403009469960535</v>
      </c>
      <c r="H64" s="1">
        <f t="shared" si="3"/>
        <v>0.20015196874207408</v>
      </c>
      <c r="I64" s="1">
        <f t="shared" si="10"/>
        <v>1.0574555321772134</v>
      </c>
      <c r="J64" s="3">
        <f t="shared" si="4"/>
        <v>1.0574555321772134</v>
      </c>
      <c r="K64" s="3">
        <f t="shared" si="5"/>
        <v>0.74403009469960535</v>
      </c>
      <c r="L64" s="6">
        <f t="shared" si="23"/>
        <v>-0.41600000000000004</v>
      </c>
      <c r="M64" s="6">
        <f t="shared" si="24"/>
        <v>-0.43753846153846154</v>
      </c>
      <c r="N64" s="6">
        <f t="shared" si="25"/>
        <v>-0.38546153846153852</v>
      </c>
      <c r="O64" s="6">
        <v>-0.38200000000000001</v>
      </c>
      <c r="P64" s="4">
        <v>-0.39600000000000002</v>
      </c>
      <c r="Q64" s="5">
        <v>-0.42799999999999999</v>
      </c>
      <c r="R64">
        <f t="shared" si="12"/>
        <v>-0.38546153846153852</v>
      </c>
      <c r="S64">
        <f t="shared" si="13"/>
        <v>1.1351027738974255</v>
      </c>
      <c r="T64">
        <f t="shared" si="14"/>
        <v>1.0792257034524046</v>
      </c>
      <c r="U64">
        <f t="shared" si="6"/>
        <v>-1.0620285571742167</v>
      </c>
      <c r="W64">
        <v>-0.42799999999999999</v>
      </c>
      <c r="X64">
        <v>-0.43416700000000003</v>
      </c>
      <c r="Y64" s="11">
        <f t="shared" si="15"/>
        <v>0.67728228960186243</v>
      </c>
      <c r="Z64">
        <f t="shared" si="16"/>
        <v>-0.57142269921127009</v>
      </c>
      <c r="AA64" s="13">
        <f t="shared" si="17"/>
        <v>-0.4520729798002065</v>
      </c>
      <c r="AB64" s="13">
        <v>4.7927020199793502E-2</v>
      </c>
    </row>
    <row r="65" spans="1:28" x14ac:dyDescent="0.25">
      <c r="A65" s="1">
        <v>1906</v>
      </c>
      <c r="B65" s="1">
        <f t="shared" si="7"/>
        <v>-0.42400000000000004</v>
      </c>
      <c r="C65" s="1">
        <f t="shared" si="0"/>
        <v>-0.41426280961538464</v>
      </c>
      <c r="D65" s="1">
        <f t="shared" si="1"/>
        <v>-1.7013359601180444E-2</v>
      </c>
      <c r="E65" s="1">
        <f t="shared" si="8"/>
        <v>0.7301537231656039</v>
      </c>
      <c r="F65" s="1">
        <f t="shared" si="9"/>
        <v>9.7371903846154018E-3</v>
      </c>
      <c r="G65" s="9">
        <f t="shared" si="2"/>
        <v>0.7301537231656039</v>
      </c>
      <c r="H65" s="1">
        <f t="shared" si="3"/>
        <v>0.17748753987767851</v>
      </c>
      <c r="I65" s="1">
        <f t="shared" si="10"/>
        <v>1.0253006343010018</v>
      </c>
      <c r="J65" s="3">
        <f t="shared" si="4"/>
        <v>1.0253006343010018</v>
      </c>
      <c r="K65" s="3">
        <f t="shared" si="5"/>
        <v>0.7301537231656039</v>
      </c>
      <c r="L65" s="6">
        <f t="shared" si="23"/>
        <v>-0.42400000000000004</v>
      </c>
      <c r="M65" s="6">
        <f t="shared" si="24"/>
        <v>-0.44430769230769229</v>
      </c>
      <c r="N65" s="6">
        <f t="shared" si="25"/>
        <v>-0.39961538461538471</v>
      </c>
      <c r="O65" s="6">
        <v>-0.29399999999999998</v>
      </c>
      <c r="P65" s="4">
        <v>-0.34499999999999997</v>
      </c>
      <c r="Q65" s="5">
        <v>-0.21199999999999999</v>
      </c>
      <c r="R65">
        <f t="shared" si="12"/>
        <v>-0.39961538461538471</v>
      </c>
      <c r="S65">
        <f t="shared" si="13"/>
        <v>1.1118383060635224</v>
      </c>
      <c r="T65">
        <f t="shared" si="14"/>
        <v>1.0610202117420595</v>
      </c>
      <c r="U65">
        <f t="shared" si="6"/>
        <v>-1.0422214244465831</v>
      </c>
      <c r="W65">
        <v>-0.21199999999999999</v>
      </c>
      <c r="X65">
        <v>-0.23166700000000001</v>
      </c>
      <c r="Y65" s="11">
        <f t="shared" si="15"/>
        <v>0.68303062487393618</v>
      </c>
      <c r="Z65">
        <f t="shared" si="16"/>
        <v>-0.5786678379956246</v>
      </c>
      <c r="AA65" s="13">
        <f t="shared" si="17"/>
        <v>-0.42499040391667198</v>
      </c>
      <c r="AB65" s="13">
        <v>7.5009596083327995E-2</v>
      </c>
    </row>
    <row r="66" spans="1:28" x14ac:dyDescent="0.25">
      <c r="A66" s="1">
        <v>1907</v>
      </c>
      <c r="B66" s="1">
        <f t="shared" si="7"/>
        <v>-0.42761538461538462</v>
      </c>
      <c r="C66" s="1">
        <f t="shared" si="0"/>
        <v>-0.41705803846153844</v>
      </c>
      <c r="D66" s="1">
        <f t="shared" si="1"/>
        <v>-1.8605262277343715E-2</v>
      </c>
      <c r="E66" s="7">
        <f t="shared" si="8"/>
        <v>0.74801563239636037</v>
      </c>
      <c r="F66" s="1">
        <f t="shared" si="9"/>
        <v>1.0557346153846181E-2</v>
      </c>
      <c r="G66" s="9">
        <f t="shared" si="2"/>
        <v>0.74801563239636037</v>
      </c>
      <c r="H66" s="1">
        <f t="shared" si="3"/>
        <v>0.20191332051783206</v>
      </c>
      <c r="I66" s="1">
        <f t="shared" si="10"/>
        <v>1.062817132382166</v>
      </c>
      <c r="J66" s="3">
        <f t="shared" si="4"/>
        <v>1.062817132382166</v>
      </c>
      <c r="K66" s="3">
        <f t="shared" si="5"/>
        <v>0.74801563239636037</v>
      </c>
      <c r="L66" s="6">
        <f t="shared" si="23"/>
        <v>-0.42761538461538462</v>
      </c>
      <c r="M66" s="6">
        <f t="shared" si="24"/>
        <v>-0.45169230769230767</v>
      </c>
      <c r="N66" s="6">
        <f t="shared" si="25"/>
        <v>-0.39353846153846156</v>
      </c>
      <c r="O66" s="6">
        <v>-0.47599999999999998</v>
      </c>
      <c r="P66" s="4">
        <v>-0.436</v>
      </c>
      <c r="Q66" s="5">
        <v>-0.64800000000000002</v>
      </c>
      <c r="R66">
        <f t="shared" si="12"/>
        <v>-0.39353846153846156</v>
      </c>
      <c r="S66">
        <f t="shared" si="13"/>
        <v>1.1477716966379983</v>
      </c>
      <c r="T66">
        <f t="shared" si="14"/>
        <v>1.086591086786552</v>
      </c>
      <c r="U66">
        <f t="shared" si="6"/>
        <v>-1.0677175136825647</v>
      </c>
      <c r="W66">
        <v>-0.64800000000000002</v>
      </c>
      <c r="X66">
        <v>-0.63300000000000001</v>
      </c>
      <c r="Y66" s="11">
        <f t="shared" si="15"/>
        <v>0.6885469937697053</v>
      </c>
      <c r="Z66">
        <f t="shared" si="16"/>
        <v>-0.58086294149724371</v>
      </c>
      <c r="AA66" s="13">
        <f t="shared" si="17"/>
        <v>-0.48498925699964968</v>
      </c>
      <c r="AB66" s="13">
        <v>1.50107430003503E-2</v>
      </c>
    </row>
    <row r="67" spans="1:28" x14ac:dyDescent="0.25">
      <c r="A67" s="1">
        <v>1908</v>
      </c>
      <c r="B67" s="1">
        <f t="shared" si="7"/>
        <v>-0.42276923076923073</v>
      </c>
      <c r="C67" s="1">
        <f t="shared" si="0"/>
        <v>-0.41201178461538457</v>
      </c>
      <c r="D67" s="1">
        <f t="shared" si="1"/>
        <v>-1.7749305780285551E-2</v>
      </c>
      <c r="E67" s="1">
        <f t="shared" si="8"/>
        <v>0.7308734260359393</v>
      </c>
      <c r="F67" s="1">
        <f t="shared" si="9"/>
        <v>1.0757446153846162E-2</v>
      </c>
      <c r="G67" s="9">
        <f t="shared" si="2"/>
        <v>0.7308734260359393</v>
      </c>
      <c r="H67" s="1">
        <f t="shared" si="3"/>
        <v>0.18552618796982578</v>
      </c>
      <c r="I67" s="1">
        <f t="shared" si="10"/>
        <v>1.032630123608415</v>
      </c>
      <c r="J67" s="3">
        <f t="shared" si="4"/>
        <v>1.032630123608415</v>
      </c>
      <c r="K67" s="3">
        <f t="shared" si="5"/>
        <v>0.7308734260359393</v>
      </c>
      <c r="L67" s="6">
        <f t="shared" si="23"/>
        <v>-0.42276923076923073</v>
      </c>
      <c r="M67" s="6">
        <f t="shared" si="24"/>
        <v>-0.44099999999999995</v>
      </c>
      <c r="N67" s="6">
        <f t="shared" si="25"/>
        <v>-0.39923076923076917</v>
      </c>
      <c r="O67" s="6">
        <v>-0.52300000000000002</v>
      </c>
      <c r="P67" s="4">
        <v>-0.53900000000000003</v>
      </c>
      <c r="Q67" s="5">
        <v>-0.495</v>
      </c>
      <c r="R67">
        <f t="shared" si="12"/>
        <v>-0.39923076923076917</v>
      </c>
      <c r="S67">
        <f t="shared" si="13"/>
        <v>1.1046242774566475</v>
      </c>
      <c r="T67">
        <f t="shared" si="14"/>
        <v>1.0589595375722545</v>
      </c>
      <c r="U67">
        <f t="shared" si="6"/>
        <v>-1.0432487283236997</v>
      </c>
      <c r="W67">
        <v>-0.495</v>
      </c>
      <c r="X67">
        <v>-0.49399999999999999</v>
      </c>
      <c r="Y67" s="11">
        <f t="shared" si="15"/>
        <v>0.6938250744715333</v>
      </c>
      <c r="Z67">
        <f t="shared" si="16"/>
        <v>-0.56793240889823826</v>
      </c>
      <c r="AA67" s="13">
        <f t="shared" si="17"/>
        <v>-0.45071891850561802</v>
      </c>
      <c r="AB67" s="13">
        <v>4.9281081494381998E-2</v>
      </c>
    </row>
    <row r="68" spans="1:28" x14ac:dyDescent="0.25">
      <c r="A68" s="1">
        <v>1909</v>
      </c>
      <c r="B68" s="1">
        <f t="shared" si="7"/>
        <v>-0.41723076923076918</v>
      </c>
      <c r="C68" s="1">
        <f t="shared" si="0"/>
        <v>-0.40763341730769226</v>
      </c>
      <c r="D68" s="1">
        <f t="shared" si="1"/>
        <v>-1.7171560959972465E-2</v>
      </c>
      <c r="E68" s="1">
        <f t="shared" si="8"/>
        <v>0.73841421674345542</v>
      </c>
      <c r="F68" s="1">
        <f t="shared" si="9"/>
        <v>9.5973519230769244E-3</v>
      </c>
      <c r="G68" s="9">
        <f t="shared" si="2"/>
        <v>0.73841421674345542</v>
      </c>
      <c r="H68" s="1">
        <f t="shared" si="3"/>
        <v>0.18632944617368741</v>
      </c>
      <c r="I68" s="1">
        <f t="shared" si="10"/>
        <v>1.0408234549337978</v>
      </c>
      <c r="J68" s="3">
        <f t="shared" si="4"/>
        <v>1.0408234549337978</v>
      </c>
      <c r="K68" s="3">
        <f t="shared" si="5"/>
        <v>0.73841421674345542</v>
      </c>
      <c r="L68" s="6">
        <f t="shared" si="23"/>
        <v>-0.41723076923076918</v>
      </c>
      <c r="M68" s="6">
        <f t="shared" si="24"/>
        <v>-0.43953846153846154</v>
      </c>
      <c r="N68" s="6">
        <f t="shared" si="25"/>
        <v>-0.3885384615384615</v>
      </c>
      <c r="O68" s="6">
        <v>-0.53600000000000003</v>
      </c>
      <c r="P68" s="4">
        <v>-0.55900000000000005</v>
      </c>
      <c r="Q68" s="5">
        <v>-0.47899999999999998</v>
      </c>
      <c r="R68">
        <f t="shared" si="12"/>
        <v>-0.3885384615384615</v>
      </c>
      <c r="S68">
        <f t="shared" si="13"/>
        <v>1.131261136408632</v>
      </c>
      <c r="T68">
        <f t="shared" si="14"/>
        <v>1.0738467630172244</v>
      </c>
      <c r="U68">
        <f t="shared" si="6"/>
        <v>-1.0540124529796082</v>
      </c>
      <c r="W68">
        <v>-0.47899999999999998</v>
      </c>
      <c r="X68">
        <v>-0.48249999999999998</v>
      </c>
      <c r="Y68" s="11">
        <f t="shared" si="15"/>
        <v>0.69885941315442324</v>
      </c>
      <c r="Z68">
        <f t="shared" si="16"/>
        <v>-0.56011081552165809</v>
      </c>
      <c r="AA68" s="13">
        <f t="shared" si="17"/>
        <v>-0.44870423337490878</v>
      </c>
      <c r="AB68" s="13">
        <v>5.1295766625091201E-2</v>
      </c>
    </row>
    <row r="69" spans="1:28" x14ac:dyDescent="0.25">
      <c r="A69" s="1">
        <v>1910</v>
      </c>
      <c r="B69" s="1">
        <f t="shared" si="7"/>
        <v>-0.42530769230769222</v>
      </c>
      <c r="C69" s="1">
        <f t="shared" si="0"/>
        <v>-0.41587068461538462</v>
      </c>
      <c r="D69" s="1">
        <f t="shared" si="1"/>
        <v>0</v>
      </c>
      <c r="E69" s="1">
        <f t="shared" si="8"/>
        <v>0.99766661916049382</v>
      </c>
      <c r="F69" s="1">
        <f t="shared" si="9"/>
        <v>9.4370076923075974E-3</v>
      </c>
      <c r="G69" s="9">
        <f t="shared" si="2"/>
        <v>0.99766661916049382</v>
      </c>
      <c r="H69" s="1">
        <f t="shared" si="3"/>
        <v>0.16126163141756755</v>
      </c>
      <c r="I69" s="1">
        <f t="shared" si="10"/>
        <v>0.99766661916049382</v>
      </c>
      <c r="J69" s="3">
        <f t="shared" si="4"/>
        <v>0.99766661916049382</v>
      </c>
      <c r="K69" s="3">
        <f t="shared" si="5"/>
        <v>0.71633416669263816</v>
      </c>
      <c r="L69" s="6">
        <f t="shared" si="23"/>
        <v>-0.42530769230769222</v>
      </c>
      <c r="M69" s="6">
        <f t="shared" si="24"/>
        <v>-0.44223076923076921</v>
      </c>
      <c r="N69" s="6">
        <f t="shared" si="25"/>
        <v>-0.40876923076923077</v>
      </c>
      <c r="O69" s="6">
        <v>-0.496</v>
      </c>
      <c r="P69" s="4">
        <v>-0.56799999999999995</v>
      </c>
      <c r="Q69" s="5">
        <v>-0.34499999999999997</v>
      </c>
      <c r="R69">
        <f t="shared" si="12"/>
        <v>-0.40876923076923077</v>
      </c>
      <c r="S69">
        <f t="shared" si="13"/>
        <v>1.0818592397440723</v>
      </c>
      <c r="T69">
        <f t="shared" si="14"/>
        <v>1.040459164471208</v>
      </c>
      <c r="U69">
        <f t="shared" si="6"/>
        <v>-1.0224953895370716</v>
      </c>
      <c r="W69">
        <v>-0.34499999999999997</v>
      </c>
      <c r="X69">
        <v>-0.34699999999999998</v>
      </c>
      <c r="Y69" s="11">
        <f t="shared" si="15"/>
        <v>0.70364548359066248</v>
      </c>
      <c r="Z69">
        <f t="shared" si="16"/>
        <v>-0.56558051470994586</v>
      </c>
      <c r="AA69" s="13">
        <f t="shared" si="17"/>
        <v>-0.4451243074797967</v>
      </c>
      <c r="AB69" s="13">
        <v>5.4875692520203301E-2</v>
      </c>
    </row>
    <row r="70" spans="1:28" x14ac:dyDescent="0.25">
      <c r="A70" s="1">
        <v>1911</v>
      </c>
      <c r="B70" s="1">
        <f t="shared" si="7"/>
        <v>-0.41184615384615381</v>
      </c>
      <c r="C70" s="1">
        <f t="shared" si="0"/>
        <v>-0.4052339730769231</v>
      </c>
      <c r="D70" s="1">
        <f t="shared" si="1"/>
        <v>0</v>
      </c>
      <c r="E70" s="1">
        <f t="shared" si="8"/>
        <v>0.93227069420967357</v>
      </c>
      <c r="F70" s="1">
        <f t="shared" si="9"/>
        <v>6.6121807692307022E-3</v>
      </c>
      <c r="G70" s="9">
        <f t="shared" si="2"/>
        <v>0.93227069420967357</v>
      </c>
      <c r="H70" s="1">
        <f t="shared" si="3"/>
        <v>0.11964960930212676</v>
      </c>
      <c r="I70" s="1">
        <f t="shared" si="10"/>
        <v>0.93227069420967357</v>
      </c>
      <c r="J70" s="3">
        <f t="shared" si="4"/>
        <v>0.93227069420967357</v>
      </c>
      <c r="K70" s="3">
        <f t="shared" si="5"/>
        <v>0.68993914987725058</v>
      </c>
      <c r="L70" s="6">
        <f t="shared" si="23"/>
        <v>-0.41184615384615381</v>
      </c>
      <c r="M70" s="6">
        <f t="shared" si="24"/>
        <v>-0.42553846153846153</v>
      </c>
      <c r="N70" s="6">
        <f t="shared" si="25"/>
        <v>-0.40907692307692312</v>
      </c>
      <c r="O70" s="6">
        <v>-0.55400000000000005</v>
      </c>
      <c r="P70" s="4">
        <v>-0.57699999999999996</v>
      </c>
      <c r="Q70" s="5">
        <v>-0.45200000000000001</v>
      </c>
      <c r="R70">
        <f t="shared" si="12"/>
        <v>-0.40907692307692312</v>
      </c>
      <c r="S70">
        <f t="shared" si="13"/>
        <v>1.0402406919894696</v>
      </c>
      <c r="T70">
        <f t="shared" si="14"/>
        <v>1.0067694622038359</v>
      </c>
      <c r="U70">
        <f t="shared" si="6"/>
        <v>-0.98481914253478742</v>
      </c>
      <c r="W70">
        <v>-0.45200000000000001</v>
      </c>
      <c r="X70">
        <v>-0.44716699999999998</v>
      </c>
      <c r="Y70" s="11">
        <f t="shared" si="15"/>
        <v>0.70817953813821077</v>
      </c>
      <c r="Z70">
        <f t="shared" si="16"/>
        <v>-0.54597437852051134</v>
      </c>
      <c r="AA70" s="13">
        <f t="shared" si="17"/>
        <v>-0.4494442018028279</v>
      </c>
      <c r="AB70" s="13">
        <v>5.0555798197172097E-2</v>
      </c>
    </row>
    <row r="71" spans="1:28" x14ac:dyDescent="0.25">
      <c r="A71" s="1">
        <v>1912</v>
      </c>
      <c r="B71" s="1">
        <f t="shared" si="7"/>
        <v>-0.41823076923076924</v>
      </c>
      <c r="C71" s="1">
        <f t="shared" si="0"/>
        <v>-0.41307545576923077</v>
      </c>
      <c r="D71" s="1">
        <f t="shared" si="1"/>
        <v>0</v>
      </c>
      <c r="E71" s="1">
        <f t="shared" si="8"/>
        <v>0.90217906480898502</v>
      </c>
      <c r="F71" s="1">
        <f t="shared" si="9"/>
        <v>5.1553134615384688E-3</v>
      </c>
      <c r="G71" s="9">
        <f t="shared" si="2"/>
        <v>0.90217906480898502</v>
      </c>
      <c r="H71" s="1">
        <f t="shared" si="3"/>
        <v>0.10083074012367577</v>
      </c>
      <c r="I71" s="1">
        <f t="shared" si="10"/>
        <v>0.90217906480898502</v>
      </c>
      <c r="J71" s="3">
        <f t="shared" si="4"/>
        <v>0.90217906480898502</v>
      </c>
      <c r="K71" s="3">
        <f t="shared" si="5"/>
        <v>0.67971965274384227</v>
      </c>
      <c r="L71" s="6">
        <f t="shared" si="23"/>
        <v>-0.41823076923076924</v>
      </c>
      <c r="M71" s="6">
        <f t="shared" si="24"/>
        <v>-0.43215384615384617</v>
      </c>
      <c r="N71" s="6">
        <f t="shared" si="25"/>
        <v>-0.42023076923076924</v>
      </c>
      <c r="O71" s="6">
        <v>-0.44900000000000001</v>
      </c>
      <c r="P71" s="4">
        <v>-0.44</v>
      </c>
      <c r="Q71" s="5">
        <v>-0.48</v>
      </c>
      <c r="R71">
        <f t="shared" si="12"/>
        <v>-0.42023076923076924</v>
      </c>
      <c r="S71">
        <f t="shared" si="13"/>
        <v>1.0283726889987186</v>
      </c>
      <c r="T71">
        <f t="shared" si="14"/>
        <v>0.99524071023247296</v>
      </c>
      <c r="U71">
        <f t="shared" si="6"/>
        <v>-0.97023183232656041</v>
      </c>
      <c r="W71">
        <v>-0.48</v>
      </c>
      <c r="X71">
        <v>-0.47733300000000001</v>
      </c>
      <c r="Y71" s="11">
        <f t="shared" si="15"/>
        <v>0.7124587083235383</v>
      </c>
      <c r="Z71">
        <f t="shared" si="16"/>
        <v>-0.55321884178710667</v>
      </c>
      <c r="AA71" s="13">
        <f t="shared" si="17"/>
        <v>-0.44402224431812609</v>
      </c>
      <c r="AB71" s="13">
        <v>5.5977755681873902E-2</v>
      </c>
    </row>
    <row r="72" spans="1:28" x14ac:dyDescent="0.25">
      <c r="A72" s="1">
        <v>1913</v>
      </c>
      <c r="B72" s="1">
        <f t="shared" si="7"/>
        <v>-0.42223076923076913</v>
      </c>
      <c r="C72" s="1">
        <f t="shared" si="0"/>
        <v>-0.4168601461538462</v>
      </c>
      <c r="D72" s="1">
        <f t="shared" si="1"/>
        <v>0</v>
      </c>
      <c r="E72" s="1">
        <f t="shared" si="8"/>
        <v>0.90465046249088965</v>
      </c>
      <c r="F72" s="1">
        <f t="shared" si="9"/>
        <v>5.3706230769229313E-3</v>
      </c>
      <c r="G72" s="9">
        <f t="shared" si="2"/>
        <v>0.90465046249088965</v>
      </c>
      <c r="H72" s="1">
        <f t="shared" si="3"/>
        <v>0.10246498130360748</v>
      </c>
      <c r="I72" s="1">
        <f t="shared" si="10"/>
        <v>0.90465046249088965</v>
      </c>
      <c r="J72" s="3">
        <f t="shared" si="4"/>
        <v>0.90465046249088965</v>
      </c>
      <c r="K72" s="3">
        <f t="shared" si="5"/>
        <v>0.68039551140207766</v>
      </c>
      <c r="L72" s="6">
        <f t="shared" si="23"/>
        <v>-0.42223076923076913</v>
      </c>
      <c r="M72" s="6">
        <f t="shared" si="24"/>
        <v>-0.43615384615384617</v>
      </c>
      <c r="N72" s="6">
        <f t="shared" si="25"/>
        <v>-0.42400000000000004</v>
      </c>
      <c r="O72" s="6">
        <v>-0.439</v>
      </c>
      <c r="P72" s="4">
        <v>-0.47099999999999997</v>
      </c>
      <c r="Q72" s="5">
        <v>-0.35699999999999998</v>
      </c>
      <c r="R72">
        <f t="shared" si="12"/>
        <v>-0.42400000000000004</v>
      </c>
      <c r="S72">
        <f t="shared" si="13"/>
        <v>1.0286647314949202</v>
      </c>
      <c r="T72">
        <f t="shared" si="14"/>
        <v>0.99582728592162517</v>
      </c>
      <c r="U72">
        <f t="shared" si="6"/>
        <v>-0.9711965529753257</v>
      </c>
      <c r="W72">
        <v>-0.35699999999999998</v>
      </c>
      <c r="X72">
        <v>-0.35016700000000001</v>
      </c>
      <c r="Y72" s="11">
        <f t="shared" si="15"/>
        <v>0.71648089680820704</v>
      </c>
      <c r="Z72">
        <f t="shared" si="16"/>
        <v>-0.55585219035816524</v>
      </c>
      <c r="AA72" s="13">
        <f t="shared" si="17"/>
        <v>-0.42296912024122318</v>
      </c>
      <c r="AB72" s="13">
        <v>7.7030879758776802E-2</v>
      </c>
    </row>
    <row r="73" spans="1:28" x14ac:dyDescent="0.25">
      <c r="A73" s="1">
        <v>1914</v>
      </c>
      <c r="B73" s="1">
        <f t="shared" si="7"/>
        <v>-0.38223076923076926</v>
      </c>
      <c r="C73" s="1">
        <f t="shared" si="0"/>
        <v>-0.376292223076923</v>
      </c>
      <c r="D73" s="1">
        <f t="shared" si="1"/>
        <v>0</v>
      </c>
      <c r="E73" s="1">
        <f t="shared" si="8"/>
        <v>0.99235448967583417</v>
      </c>
      <c r="F73" s="1">
        <f t="shared" si="9"/>
        <v>5.9385461538462581E-3</v>
      </c>
      <c r="G73" s="9">
        <f>+IF($H73 &gt; 0,IF($I73&lt;1, $I73, IF($K73&gt;1,1,$K73)), $K73)</f>
        <v>0.99235448967583417</v>
      </c>
      <c r="H73" s="1">
        <f t="shared" si="3"/>
        <v>0.14808023513376212</v>
      </c>
      <c r="I73" s="1">
        <f t="shared" si="10"/>
        <v>0.99235448967583417</v>
      </c>
      <c r="J73" s="3">
        <f t="shared" si="4"/>
        <v>0.99235448967583417</v>
      </c>
      <c r="K73" s="3">
        <f t="shared" si="5"/>
        <v>0.72276506291851605</v>
      </c>
      <c r="L73" s="6">
        <f t="shared" si="23"/>
        <v>-0.38223076923076926</v>
      </c>
      <c r="M73" s="6">
        <f t="shared" si="24"/>
        <v>-0.40461538461538454</v>
      </c>
      <c r="N73" s="6">
        <f t="shared" si="25"/>
        <v>-0.36092307692307685</v>
      </c>
      <c r="O73" s="6">
        <v>-0.25800000000000001</v>
      </c>
      <c r="P73" s="4">
        <v>-0.316</v>
      </c>
      <c r="Q73" s="5">
        <v>-0.1</v>
      </c>
      <c r="R73">
        <f t="shared" si="12"/>
        <v>-0.36092307692307685</v>
      </c>
      <c r="S73">
        <f t="shared" si="13"/>
        <v>1.1210571184995737</v>
      </c>
      <c r="T73">
        <f t="shared" si="14"/>
        <v>1.0590366581415178</v>
      </c>
      <c r="U73">
        <f t="shared" si="6"/>
        <v>-1.0316748508098899</v>
      </c>
      <c r="W73">
        <v>-0.1</v>
      </c>
      <c r="X73">
        <v>-0.112417</v>
      </c>
      <c r="Y73" s="11">
        <f t="shared" si="15"/>
        <v>0.72024472523480654</v>
      </c>
      <c r="Z73">
        <f t="shared" si="16"/>
        <v>-0.50427099939113385</v>
      </c>
      <c r="AA73" s="13">
        <f t="shared" si="17"/>
        <v>-0.38251718091815601</v>
      </c>
      <c r="AB73" s="13">
        <v>0.11748281908184401</v>
      </c>
    </row>
    <row r="74" spans="1:28" x14ac:dyDescent="0.25">
      <c r="A74" s="1">
        <v>1915</v>
      </c>
      <c r="B74" s="1">
        <f t="shared" si="7"/>
        <v>-0.35938461538461541</v>
      </c>
      <c r="C74" s="1">
        <f t="shared" ref="C74:C137" si="26">1/2*($R74*($C$1*$G$2+$G$1 )+$M74*($G$2+$G$1/$C$1))</f>
        <v>-0.35138252884615384</v>
      </c>
      <c r="D74" s="1">
        <f t="shared" ref="D74:D137" si="27">$B74 - (1/2*($R74*($E74*$G$2+$G$1 )+$M74*($G$2+$G$1/$E74)))</f>
        <v>-1.6099975460584948E-2</v>
      </c>
      <c r="E74" s="1">
        <f t="shared" si="8"/>
        <v>0.77231180883796613</v>
      </c>
      <c r="F74" s="1">
        <f t="shared" si="9"/>
        <v>8.0020865384615725E-3</v>
      </c>
      <c r="G74" s="9">
        <f t="shared" ref="G74:G137" si="28">+IF($H74 &gt; 0,IF($I74&lt;1, $I74, IF($K74&gt;1,1,$K74)), $K74)</f>
        <v>0.77231180883796613</v>
      </c>
      <c r="H74" s="1">
        <f t="shared" ref="H74:H137" si="29">+$U74*$U74-4*$G$1*$G$2*$S74</f>
        <v>0.22276758267407548</v>
      </c>
      <c r="I74" s="1">
        <f t="shared" si="10"/>
        <v>1.102970775101453</v>
      </c>
      <c r="J74" s="3">
        <f t="shared" ref="J74:J137" si="30">+IF($U74*$U74-4*$G$1*$G$2*$S74 &gt; 0,(-$U74+SQRT($U74*$U74-4*$G$1*$G$2*$S74))/2/$G$2)</f>
        <v>1.102970775101453</v>
      </c>
      <c r="K74" s="3">
        <f t="shared" ref="K74:K137" si="31">-$U74/2/$G$2</f>
        <v>0.77231180883796613</v>
      </c>
      <c r="L74" s="6">
        <f t="shared" si="23"/>
        <v>-0.35938461538461541</v>
      </c>
      <c r="M74" s="6">
        <f t="shared" si="24"/>
        <v>-0.38699999999999996</v>
      </c>
      <c r="N74" s="6">
        <f t="shared" si="25"/>
        <v>-0.31869230769230772</v>
      </c>
      <c r="O74" s="6">
        <v>-0.16400000000000001</v>
      </c>
      <c r="P74" s="4">
        <v>-0.191</v>
      </c>
      <c r="Q74" s="5">
        <v>-0.11700000000000001</v>
      </c>
      <c r="R74">
        <f t="shared" si="12"/>
        <v>-0.31869230769230772</v>
      </c>
      <c r="S74">
        <f t="shared" si="13"/>
        <v>1.2143374366401156</v>
      </c>
      <c r="T74">
        <f t="shared" si="14"/>
        <v>1.1276852522326817</v>
      </c>
      <c r="U74">
        <f t="shared" ref="U74:U137" si="32">+$G$1+$S74*$G$2-2*$T74</f>
        <v>-1.1023978759353128</v>
      </c>
      <c r="W74">
        <v>-0.11700000000000001</v>
      </c>
      <c r="X74">
        <v>-0.13991700000000001</v>
      </c>
      <c r="Y74" s="11">
        <f t="shared" si="15"/>
        <v>0.72374959383159876</v>
      </c>
      <c r="Z74">
        <f t="shared" si="16"/>
        <v>-0.47286793585058823</v>
      </c>
      <c r="AA74" s="13">
        <f t="shared" si="17"/>
        <v>-0.38183748254445898</v>
      </c>
      <c r="AB74" s="13">
        <v>0.118162517455541</v>
      </c>
    </row>
    <row r="75" spans="1:28" x14ac:dyDescent="0.25">
      <c r="A75" s="1">
        <v>1916</v>
      </c>
      <c r="B75" s="1">
        <f t="shared" ref="B75:B138" si="33">+$L75</f>
        <v>-0.34992307692307695</v>
      </c>
      <c r="C75" s="1">
        <f t="shared" si="26"/>
        <v>-0.34363999230769227</v>
      </c>
      <c r="D75" s="1">
        <f t="shared" si="27"/>
        <v>-1.3253788411304368E-2</v>
      </c>
      <c r="E75" s="1">
        <f t="shared" ref="E75:E138" si="34">+$G75</f>
        <v>0.74075692496827406</v>
      </c>
      <c r="F75" s="1">
        <f t="shared" ref="F75:F138" si="35">+ABS($B75-$C75)</f>
        <v>6.283084615384682E-3</v>
      </c>
      <c r="G75" s="9">
        <f t="shared" si="28"/>
        <v>0.74075692496827406</v>
      </c>
      <c r="H75" s="1">
        <f t="shared" si="29"/>
        <v>0.17367180170727847</v>
      </c>
      <c r="I75" s="1">
        <f t="shared" ref="I75:I138" si="36">+(-$U75+SQRT($U75*$U75-4*$G$1*$G$2*$S75))/2/$G$2</f>
        <v>1.0327139720597365</v>
      </c>
      <c r="J75" s="3">
        <f t="shared" si="30"/>
        <v>1.0327139720597365</v>
      </c>
      <c r="K75" s="3">
        <f t="shared" si="31"/>
        <v>0.74075692496827406</v>
      </c>
      <c r="L75" s="6">
        <f t="shared" si="23"/>
        <v>-0.34992307692307695</v>
      </c>
      <c r="M75" s="6">
        <f t="shared" si="24"/>
        <v>-0.37292307692307686</v>
      </c>
      <c r="N75" s="6">
        <f t="shared" si="25"/>
        <v>-0.32276923076923075</v>
      </c>
      <c r="O75" s="6">
        <v>-0.39800000000000002</v>
      </c>
      <c r="P75" s="4">
        <v>-0.40100000000000002</v>
      </c>
      <c r="Q75" s="5">
        <v>-0.39</v>
      </c>
      <c r="R75">
        <f t="shared" ref="R75:R138" si="37">+$N75+$N$1</f>
        <v>-0.32276923076923075</v>
      </c>
      <c r="S75">
        <f t="shared" ref="S75:S138" si="38">+$M75/($R75)</f>
        <v>1.1553860819828408</v>
      </c>
      <c r="T75">
        <f t="shared" ref="T75:T138" si="39">+$L75/($R75)</f>
        <v>1.0841277407054339</v>
      </c>
      <c r="U75">
        <f t="shared" si="32"/>
        <v>-1.0573564346997144</v>
      </c>
      <c r="W75">
        <v>-0.39</v>
      </c>
      <c r="X75">
        <v>-0.39</v>
      </c>
      <c r="Y75" s="11">
        <f t="shared" ref="Y75:Y138" si="40">-2.2979737161E-10*$A75^5 + 0.0000022285768284*$A75^4 - 0.0086436385146*$A75^3 + 16.759480306*$A75^2 - 16244.935412*$A75 + 6297344.9302</f>
        <v>0.72699561435729265</v>
      </c>
      <c r="Z75">
        <f t="shared" ref="Z75:Z138" si="41">+$G$2*$M75/$Y75+$G$1*$N75</f>
        <v>-0.4585117270505199</v>
      </c>
      <c r="AA75" s="13">
        <f t="shared" ref="AA75:AA138" si="42">+$AB75+$AA$1</f>
        <v>-0.4239697589021883</v>
      </c>
      <c r="AB75" s="13">
        <v>7.6030241097811702E-2</v>
      </c>
    </row>
    <row r="76" spans="1:28" x14ac:dyDescent="0.25">
      <c r="A76" s="1">
        <v>1917</v>
      </c>
      <c r="B76" s="1">
        <f t="shared" si="33"/>
        <v>-0.3393846153846154</v>
      </c>
      <c r="C76" s="1">
        <f t="shared" si="26"/>
        <v>-0.33381958653846144</v>
      </c>
      <c r="D76" s="1">
        <f t="shared" si="27"/>
        <v>0</v>
      </c>
      <c r="E76" s="7">
        <f t="shared" si="34"/>
        <v>0.94898026767562382</v>
      </c>
      <c r="F76" s="1">
        <f t="shared" si="35"/>
        <v>5.5650288461539521E-3</v>
      </c>
      <c r="G76" s="9">
        <f t="shared" si="28"/>
        <v>0.94898026767562382</v>
      </c>
      <c r="H76" s="1">
        <f t="shared" si="29"/>
        <v>0.12793219111670506</v>
      </c>
      <c r="I76" s="1">
        <f t="shared" si="36"/>
        <v>0.94898026767562382</v>
      </c>
      <c r="J76" s="3">
        <f t="shared" si="30"/>
        <v>0.94898026767562382</v>
      </c>
      <c r="K76" s="3">
        <f t="shared" si="31"/>
        <v>0.6984015244707733</v>
      </c>
      <c r="L76" s="6">
        <f t="shared" si="23"/>
        <v>-0.3393846153846154</v>
      </c>
      <c r="M76" s="6">
        <f t="shared" si="24"/>
        <v>-0.3526153846153845</v>
      </c>
      <c r="N76" s="6">
        <f t="shared" si="25"/>
        <v>-0.33284615384615385</v>
      </c>
      <c r="O76" s="6">
        <v>-0.48099999999999998</v>
      </c>
      <c r="P76" s="4">
        <v>-0.41699999999999998</v>
      </c>
      <c r="Q76" s="5">
        <v>-0.72199999999999998</v>
      </c>
      <c r="R76">
        <f t="shared" si="37"/>
        <v>-0.33284615384615385</v>
      </c>
      <c r="S76">
        <f t="shared" si="38"/>
        <v>1.0593944996533391</v>
      </c>
      <c r="T76">
        <f t="shared" si="39"/>
        <v>1.019644095216085</v>
      </c>
      <c r="U76">
        <f t="shared" si="32"/>
        <v>-0.99689833602958178</v>
      </c>
      <c r="W76">
        <v>-0.72199999999999998</v>
      </c>
      <c r="X76">
        <v>-0.69916699999999998</v>
      </c>
      <c r="Y76" s="11">
        <f t="shared" si="40"/>
        <v>0.7299835504963994</v>
      </c>
      <c r="Z76">
        <f t="shared" si="41"/>
        <v>-0.44004354009438013</v>
      </c>
      <c r="AA76" s="13">
        <f t="shared" si="42"/>
        <v>-0.44655965594904939</v>
      </c>
      <c r="AB76" s="13">
        <v>5.3440344050950599E-2</v>
      </c>
    </row>
    <row r="77" spans="1:28" x14ac:dyDescent="0.25">
      <c r="A77" s="1">
        <v>1918</v>
      </c>
      <c r="B77" s="1">
        <f t="shared" si="33"/>
        <v>-0.31607692307692303</v>
      </c>
      <c r="C77" s="1">
        <f t="shared" si="26"/>
        <v>-0.3157371769230769</v>
      </c>
      <c r="D77" s="1">
        <f t="shared" si="27"/>
        <v>0</v>
      </c>
      <c r="E77" s="7">
        <f t="shared" si="34"/>
        <v>0.84120014649230856</v>
      </c>
      <c r="F77" s="1">
        <f t="shared" si="35"/>
        <v>3.3974615384613216E-4</v>
      </c>
      <c r="G77" s="9">
        <f t="shared" si="28"/>
        <v>0.84120014649230856</v>
      </c>
      <c r="H77" s="1">
        <f t="shared" si="29"/>
        <v>6.0829679064731024E-2</v>
      </c>
      <c r="I77" s="1">
        <f t="shared" si="36"/>
        <v>0.84120014649230856</v>
      </c>
      <c r="J77" s="3">
        <f t="shared" si="30"/>
        <v>0.84120014649230856</v>
      </c>
      <c r="K77" s="3">
        <f t="shared" si="31"/>
        <v>0.66841274630532288</v>
      </c>
      <c r="L77" s="6">
        <f t="shared" si="23"/>
        <v>-0.31607692307692303</v>
      </c>
      <c r="M77" s="6">
        <f t="shared" si="24"/>
        <v>-0.33146153846153847</v>
      </c>
      <c r="N77" s="6">
        <f t="shared" si="25"/>
        <v>-0.31892307692307692</v>
      </c>
      <c r="O77" s="6">
        <v>-0.34300000000000003</v>
      </c>
      <c r="P77" s="4">
        <v>-0.34699999999999998</v>
      </c>
      <c r="Q77" s="5">
        <v>-0.45</v>
      </c>
      <c r="R77">
        <f t="shared" si="37"/>
        <v>-0.31892307692307692</v>
      </c>
      <c r="S77">
        <f t="shared" si="38"/>
        <v>1.0393150024119633</v>
      </c>
      <c r="T77">
        <f t="shared" si="39"/>
        <v>0.99107573564881801</v>
      </c>
      <c r="U77">
        <f t="shared" si="32"/>
        <v>-0.95409235407621784</v>
      </c>
      <c r="W77">
        <v>-0.45</v>
      </c>
      <c r="X77">
        <v>-0.43924999999999997</v>
      </c>
      <c r="Y77" s="11">
        <f t="shared" si="40"/>
        <v>0.73271480295807123</v>
      </c>
      <c r="Z77">
        <f t="shared" si="41"/>
        <v>-0.41416740221449722</v>
      </c>
      <c r="AA77" s="13">
        <f t="shared" si="42"/>
        <v>-0.43139886398325367</v>
      </c>
      <c r="AB77" s="13">
        <v>6.8601136016746306E-2</v>
      </c>
    </row>
    <row r="78" spans="1:28" x14ac:dyDescent="0.25">
      <c r="A78" s="1">
        <v>1919</v>
      </c>
      <c r="B78" s="1">
        <f t="shared" si="33"/>
        <v>-0.2949230769230769</v>
      </c>
      <c r="C78" s="1">
        <f t="shared" si="26"/>
        <v>-0.29639320384615381</v>
      </c>
      <c r="D78" s="1">
        <f t="shared" si="27"/>
        <v>0</v>
      </c>
      <c r="E78" s="7">
        <f t="shared" si="34"/>
        <v>0.78892447456440506</v>
      </c>
      <c r="F78" s="1">
        <f t="shared" si="35"/>
        <v>1.4701269230769087E-3</v>
      </c>
      <c r="G78" s="9">
        <f t="shared" si="28"/>
        <v>0.78892447456440506</v>
      </c>
      <c r="H78" s="1">
        <f t="shared" si="29"/>
        <v>3.5839708333747722E-2</v>
      </c>
      <c r="I78" s="1">
        <f t="shared" si="36"/>
        <v>0.78892447456440506</v>
      </c>
      <c r="J78" s="3">
        <f t="shared" si="30"/>
        <v>0.78892447456440506</v>
      </c>
      <c r="K78" s="3">
        <f t="shared" si="31"/>
        <v>0.65629607135869794</v>
      </c>
      <c r="L78" s="6">
        <f t="shared" si="23"/>
        <v>-0.2949230769230769</v>
      </c>
      <c r="M78" s="6">
        <f t="shared" si="24"/>
        <v>-0.3102307692307692</v>
      </c>
      <c r="N78" s="6">
        <f t="shared" si="25"/>
        <v>-0.30123076923076925</v>
      </c>
      <c r="O78" s="6">
        <v>-0.28399999999999997</v>
      </c>
      <c r="P78" s="4">
        <v>-0.32700000000000001</v>
      </c>
      <c r="Q78" s="5">
        <v>-0.316</v>
      </c>
      <c r="R78">
        <f t="shared" si="37"/>
        <v>-0.30123076923076925</v>
      </c>
      <c r="S78">
        <f t="shared" si="38"/>
        <v>1.0298774259448416</v>
      </c>
      <c r="T78">
        <f t="shared" si="39"/>
        <v>0.97906026557711934</v>
      </c>
      <c r="U78">
        <f t="shared" si="32"/>
        <v>-0.93679701225740541</v>
      </c>
      <c r="W78">
        <v>-0.316</v>
      </c>
      <c r="X78">
        <v>-0.32641700000000001</v>
      </c>
      <c r="Y78" s="11">
        <f t="shared" si="40"/>
        <v>0.73519144672900438</v>
      </c>
      <c r="Z78">
        <f t="shared" si="41"/>
        <v>-0.38740433321321144</v>
      </c>
      <c r="AA78" s="13">
        <f t="shared" si="42"/>
        <v>-0.40602768060956018</v>
      </c>
      <c r="AB78" s="13">
        <v>9.3972319390439804E-2</v>
      </c>
    </row>
    <row r="79" spans="1:28" x14ac:dyDescent="0.25">
      <c r="A79" s="1">
        <v>1920</v>
      </c>
      <c r="B79" s="1">
        <f t="shared" si="33"/>
        <v>-0.26838461538461539</v>
      </c>
      <c r="C79" s="1">
        <f t="shared" si="26"/>
        <v>-0.27093930576923075</v>
      </c>
      <c r="D79" s="1">
        <f t="shared" si="27"/>
        <v>0</v>
      </c>
      <c r="E79" s="7">
        <f t="shared" si="34"/>
        <v>0.72926445211302393</v>
      </c>
      <c r="F79" s="1">
        <f t="shared" si="35"/>
        <v>2.5546903846153657E-3</v>
      </c>
      <c r="G79" s="9">
        <f t="shared" si="28"/>
        <v>0.72926445211302393</v>
      </c>
      <c r="H79" s="1">
        <f t="shared" si="29"/>
        <v>1.5293029576332717E-2</v>
      </c>
      <c r="I79" s="1">
        <f t="shared" si="36"/>
        <v>0.72926445211302393</v>
      </c>
      <c r="J79" s="3">
        <f t="shared" si="30"/>
        <v>0.72926445211302393</v>
      </c>
      <c r="K79" s="3">
        <f t="shared" si="31"/>
        <v>0.64262791765109473</v>
      </c>
      <c r="L79" s="6">
        <f t="shared" si="23"/>
        <v>-0.26838461538461539</v>
      </c>
      <c r="M79" s="6">
        <f t="shared" si="24"/>
        <v>-0.2818461538461538</v>
      </c>
      <c r="N79" s="6">
        <f t="shared" si="25"/>
        <v>-0.27884615384615385</v>
      </c>
      <c r="O79" s="6">
        <v>-0.252</v>
      </c>
      <c r="P79" s="4">
        <v>-0.27200000000000002</v>
      </c>
      <c r="Q79" s="5">
        <v>-0.27800000000000002</v>
      </c>
      <c r="R79">
        <f t="shared" si="37"/>
        <v>-0.27884615384615385</v>
      </c>
      <c r="S79">
        <f t="shared" si="38"/>
        <v>1.0107586206896551</v>
      </c>
      <c r="T79">
        <f t="shared" si="39"/>
        <v>0.96248275862068966</v>
      </c>
      <c r="U79">
        <f t="shared" si="32"/>
        <v>-0.91728708965517258</v>
      </c>
      <c r="W79">
        <v>-0.27800000000000002</v>
      </c>
      <c r="X79">
        <v>-0.283167</v>
      </c>
      <c r="Y79" s="11">
        <f t="shared" si="40"/>
        <v>0.73741611186414957</v>
      </c>
      <c r="Z79">
        <f t="shared" si="41"/>
        <v>-0.35261532590847711</v>
      </c>
      <c r="AA79" s="13">
        <f t="shared" si="42"/>
        <v>-0.395272480467382</v>
      </c>
      <c r="AB79" s="13">
        <v>0.104727519532618</v>
      </c>
    </row>
    <row r="80" spans="1:28" x14ac:dyDescent="0.25">
      <c r="A80" s="1">
        <v>1921</v>
      </c>
      <c r="B80" s="1">
        <f t="shared" si="33"/>
        <v>-0.26738461538461539</v>
      </c>
      <c r="C80" s="1">
        <f t="shared" si="26"/>
        <v>-0.26930669423076925</v>
      </c>
      <c r="D80" s="1">
        <f t="shared" si="27"/>
        <v>0</v>
      </c>
      <c r="E80" s="1">
        <f t="shared" si="34"/>
        <v>0.71545744053376636</v>
      </c>
      <c r="F80" s="1">
        <f t="shared" si="35"/>
        <v>1.9220788461538629E-3</v>
      </c>
      <c r="G80" s="9">
        <f t="shared" si="28"/>
        <v>0.71545744053376636</v>
      </c>
      <c r="H80" s="1">
        <f t="shared" si="29"/>
        <v>1.4994882058919301E-2</v>
      </c>
      <c r="I80" s="1">
        <f t="shared" si="36"/>
        <v>0.71545744053376636</v>
      </c>
      <c r="J80" s="3">
        <f t="shared" si="30"/>
        <v>0.71545744053376636</v>
      </c>
      <c r="K80" s="3">
        <f t="shared" si="31"/>
        <v>0.62966958047375787</v>
      </c>
      <c r="L80" s="6">
        <f t="shared" si="23"/>
        <v>-0.26738461538461539</v>
      </c>
      <c r="M80" s="6">
        <f t="shared" si="24"/>
        <v>-0.27630769230769231</v>
      </c>
      <c r="N80" s="6">
        <f t="shared" si="25"/>
        <v>-0.28484615384615386</v>
      </c>
      <c r="O80" s="6">
        <v>-0.19</v>
      </c>
      <c r="P80" s="4">
        <v>-0.23599999999999999</v>
      </c>
      <c r="Q80" s="5">
        <v>-0.10100000000000001</v>
      </c>
      <c r="R80">
        <f t="shared" si="37"/>
        <v>-0.28484615384615386</v>
      </c>
      <c r="S80">
        <f t="shared" si="38"/>
        <v>0.97002430461787736</v>
      </c>
      <c r="T80">
        <f t="shared" si="39"/>
        <v>0.93869835268701052</v>
      </c>
      <c r="U80">
        <f t="shared" si="32"/>
        <v>-0.89879035916824201</v>
      </c>
      <c r="W80">
        <v>-0.10100000000000001</v>
      </c>
      <c r="X80">
        <v>-0.10324999999999999</v>
      </c>
      <c r="Y80" s="11">
        <f t="shared" si="40"/>
        <v>0.73939200583845377</v>
      </c>
      <c r="Z80">
        <f t="shared" si="41"/>
        <v>-0.34825815129871662</v>
      </c>
      <c r="AA80" s="13">
        <f t="shared" si="42"/>
        <v>-0.362301058478111</v>
      </c>
      <c r="AB80" s="13">
        <v>0.137698941521889</v>
      </c>
    </row>
    <row r="81" spans="1:28" x14ac:dyDescent="0.25">
      <c r="A81" s="1">
        <v>1922</v>
      </c>
      <c r="B81" s="1">
        <f t="shared" si="33"/>
        <v>-0.27969230769230768</v>
      </c>
      <c r="C81" s="1">
        <f t="shared" si="26"/>
        <v>-0.28263968846153853</v>
      </c>
      <c r="D81" s="1">
        <f t="shared" si="27"/>
        <v>2.0913392950899778E-4</v>
      </c>
      <c r="E81" s="1">
        <f t="shared" si="34"/>
        <v>0.61091011337776635</v>
      </c>
      <c r="F81" s="1">
        <f t="shared" si="35"/>
        <v>2.9473807692308451E-3</v>
      </c>
      <c r="G81" s="9">
        <f t="shared" si="28"/>
        <v>0.61091011337776635</v>
      </c>
      <c r="H81" s="1">
        <f t="shared" si="29"/>
        <v>-2.379104695534151E-3</v>
      </c>
      <c r="I81" s="1" t="e">
        <f t="shared" si="36"/>
        <v>#NUM!</v>
      </c>
      <c r="J81" s="3" t="b">
        <f t="shared" si="30"/>
        <v>0</v>
      </c>
      <c r="K81" s="3">
        <f t="shared" si="31"/>
        <v>0.61091011337776635</v>
      </c>
      <c r="L81" s="6">
        <f t="shared" ref="L81:L144" si="43">+(O75+O76+O77+O78+O79+O80+O81+O82+O84+O85+O86+O87+O88)/13</f>
        <v>-0.27969230769230768</v>
      </c>
      <c r="M81" s="6">
        <f t="shared" ref="M81:M144" si="44">+(P75+P76+P77+P78+P79+P80+P81+P82+P84+P85+P86+P87+P88)/13</f>
        <v>-0.2861538461538462</v>
      </c>
      <c r="N81" s="6">
        <f t="shared" ref="N81:N144" si="45">+(Q75+Q76+Q77+Q78+Q79+Q80+Q81+Q82+Q84+Q85+Q86+Q87+Q88)/13</f>
        <v>-0.30661538461538462</v>
      </c>
      <c r="O81" s="6">
        <v>-0.309</v>
      </c>
      <c r="P81" s="4">
        <v>-0.32600000000000001</v>
      </c>
      <c r="Q81" s="5">
        <v>-0.27800000000000002</v>
      </c>
      <c r="R81">
        <f t="shared" si="37"/>
        <v>-0.30661538461538462</v>
      </c>
      <c r="S81">
        <f t="shared" si="38"/>
        <v>0.93326643251379848</v>
      </c>
      <c r="T81">
        <f t="shared" si="39"/>
        <v>0.91219267436026086</v>
      </c>
      <c r="U81">
        <f t="shared" si="32"/>
        <v>-0.87201309583542375</v>
      </c>
      <c r="W81">
        <v>-0.27800000000000002</v>
      </c>
      <c r="X81">
        <v>-0.27925</v>
      </c>
      <c r="Y81" s="11">
        <f t="shared" si="40"/>
        <v>0.74112288374453783</v>
      </c>
      <c r="Z81">
        <f t="shared" si="41"/>
        <v>-0.36334962221671474</v>
      </c>
      <c r="AA81" s="13">
        <f t="shared" si="42"/>
        <v>-0.38666402567547498</v>
      </c>
      <c r="AB81" s="13">
        <v>0.113335974324525</v>
      </c>
    </row>
    <row r="82" spans="1:28" x14ac:dyDescent="0.25">
      <c r="A82" s="1">
        <v>1923</v>
      </c>
      <c r="B82" s="1">
        <f t="shared" si="33"/>
        <v>-0.26592307692307693</v>
      </c>
      <c r="C82" s="1">
        <f t="shared" si="26"/>
        <v>-0.26735250769230767</v>
      </c>
      <c r="D82" s="1">
        <f t="shared" si="27"/>
        <v>0</v>
      </c>
      <c r="E82" s="1">
        <f t="shared" si="34"/>
        <v>0.68293958160253121</v>
      </c>
      <c r="F82" s="1">
        <f t="shared" si="35"/>
        <v>1.429430769230744E-3</v>
      </c>
      <c r="G82" s="9">
        <f t="shared" si="28"/>
        <v>0.68293958160253121</v>
      </c>
      <c r="H82" s="1">
        <f t="shared" si="29"/>
        <v>1.0810370713744133E-2</v>
      </c>
      <c r="I82" s="1">
        <f t="shared" si="36"/>
        <v>0.68293958160253121</v>
      </c>
      <c r="J82" s="3">
        <f t="shared" si="30"/>
        <v>0.68293958160253121</v>
      </c>
      <c r="K82" s="3">
        <f t="shared" si="31"/>
        <v>0.61009879934006606</v>
      </c>
      <c r="L82" s="6">
        <f t="shared" si="43"/>
        <v>-0.26592307692307693</v>
      </c>
      <c r="M82" s="6">
        <f t="shared" si="44"/>
        <v>-0.26876923076923076</v>
      </c>
      <c r="N82" s="6">
        <f t="shared" si="45"/>
        <v>-0.29384615384615387</v>
      </c>
      <c r="O82" s="6">
        <v>-0.27500000000000002</v>
      </c>
      <c r="P82" s="4">
        <v>-0.30599999999999999</v>
      </c>
      <c r="Q82" s="5">
        <v>-0.26</v>
      </c>
      <c r="R82">
        <f t="shared" si="37"/>
        <v>-0.29384615384615387</v>
      </c>
      <c r="S82">
        <f t="shared" si="38"/>
        <v>0.91465968586387425</v>
      </c>
      <c r="T82">
        <f t="shared" si="39"/>
        <v>0.90497382198952869</v>
      </c>
      <c r="U82">
        <f t="shared" si="32"/>
        <v>-0.87085502617801036</v>
      </c>
      <c r="W82">
        <v>-0.26</v>
      </c>
      <c r="X82">
        <v>-0.25858300000000001</v>
      </c>
      <c r="Y82" s="11">
        <f t="shared" si="40"/>
        <v>0.7426129961386323</v>
      </c>
      <c r="Z82">
        <f t="shared" si="41"/>
        <v>-0.34243308655997695</v>
      </c>
      <c r="AA82" s="13">
        <f t="shared" si="42"/>
        <v>-0.37958910533968299</v>
      </c>
      <c r="AB82" s="13">
        <v>0.120410894660317</v>
      </c>
    </row>
    <row r="83" spans="1:28" x14ac:dyDescent="0.25">
      <c r="A83" s="1">
        <v>1924</v>
      </c>
      <c r="B83" s="1">
        <f t="shared" si="33"/>
        <v>-0.24384615384615388</v>
      </c>
      <c r="C83" s="1">
        <f t="shared" si="26"/>
        <v>-0.24578224615384617</v>
      </c>
      <c r="D83" s="1">
        <f t="shared" si="27"/>
        <v>0</v>
      </c>
      <c r="E83" s="1">
        <f t="shared" si="34"/>
        <v>0.71881422476411183</v>
      </c>
      <c r="F83" s="1">
        <f t="shared" si="35"/>
        <v>1.9360923076922887E-3</v>
      </c>
      <c r="G83" s="9">
        <f t="shared" si="28"/>
        <v>0.71881422476411183</v>
      </c>
      <c r="H83" s="1">
        <f t="shared" si="29"/>
        <v>1.4847970879765859E-2</v>
      </c>
      <c r="I83" s="1">
        <f t="shared" si="36"/>
        <v>0.71881422476411183</v>
      </c>
      <c r="J83" s="3">
        <f t="shared" si="30"/>
        <v>0.71881422476411183</v>
      </c>
      <c r="K83" s="3">
        <f t="shared" si="31"/>
        <v>0.63344764902924466</v>
      </c>
      <c r="L83" s="6">
        <f t="shared" si="43"/>
        <v>-0.24384615384615388</v>
      </c>
      <c r="M83" s="6">
        <f t="shared" si="44"/>
        <v>-0.25323076923076926</v>
      </c>
      <c r="N83" s="6">
        <f t="shared" si="45"/>
        <v>-0.25784615384615384</v>
      </c>
      <c r="O83" s="6">
        <v>-0.3</v>
      </c>
      <c r="P83" s="4">
        <v>-0.28399999999999997</v>
      </c>
      <c r="Q83" s="5">
        <v>-0.34200000000000003</v>
      </c>
      <c r="R83">
        <f t="shared" si="37"/>
        <v>-0.25784615384615384</v>
      </c>
      <c r="S83">
        <f t="shared" si="38"/>
        <v>0.98210023866348461</v>
      </c>
      <c r="T83">
        <f t="shared" si="39"/>
        <v>0.94570405727923645</v>
      </c>
      <c r="U83">
        <f t="shared" si="32"/>
        <v>-0.90418317422434391</v>
      </c>
      <c r="W83">
        <v>-0.34200000000000003</v>
      </c>
      <c r="X83">
        <v>-0.34</v>
      </c>
      <c r="Y83" s="11">
        <f t="shared" si="40"/>
        <v>0.7438671262934804</v>
      </c>
      <c r="Z83">
        <f t="shared" si="41"/>
        <v>-0.31678248710733214</v>
      </c>
      <c r="AA83" s="13">
        <f t="shared" si="42"/>
        <v>-0.362682722991159</v>
      </c>
      <c r="AB83" s="13">
        <v>0.137317277008841</v>
      </c>
    </row>
    <row r="84" spans="1:28" x14ac:dyDescent="0.25">
      <c r="A84" s="1">
        <v>1925</v>
      </c>
      <c r="B84" s="1">
        <f t="shared" si="33"/>
        <v>-0.22007692307692311</v>
      </c>
      <c r="C84" s="1">
        <f t="shared" si="26"/>
        <v>-0.22020466538461542</v>
      </c>
      <c r="D84" s="1">
        <f t="shared" si="27"/>
        <v>0</v>
      </c>
      <c r="E84" s="7">
        <f t="shared" si="34"/>
        <v>0.86666743713000483</v>
      </c>
      <c r="F84" s="1">
        <f t="shared" si="35"/>
        <v>1.2774230769230233E-4</v>
      </c>
      <c r="G84" s="9">
        <f t="shared" si="28"/>
        <v>0.86666743713000483</v>
      </c>
      <c r="H84" s="1">
        <f t="shared" si="29"/>
        <v>6.7640381607374844E-2</v>
      </c>
      <c r="I84" s="1">
        <f t="shared" si="36"/>
        <v>0.86666743713000483</v>
      </c>
      <c r="J84" s="3">
        <f t="shared" si="30"/>
        <v>0.86666743713000483</v>
      </c>
      <c r="K84" s="3">
        <f t="shared" si="31"/>
        <v>0.6844636783073802</v>
      </c>
      <c r="L84" s="6">
        <f t="shared" si="43"/>
        <v>-0.22007692307692311</v>
      </c>
      <c r="M84" s="6">
        <f t="shared" si="44"/>
        <v>-0.23438461538461544</v>
      </c>
      <c r="N84" s="6">
        <f t="shared" si="45"/>
        <v>-0.21600000000000005</v>
      </c>
      <c r="O84" s="6">
        <v>-0.219</v>
      </c>
      <c r="P84" s="4">
        <v>-0.247</v>
      </c>
      <c r="Q84" s="5">
        <v>-0.23300000000000001</v>
      </c>
      <c r="R84">
        <f t="shared" si="37"/>
        <v>-0.21600000000000005</v>
      </c>
      <c r="S84">
        <f t="shared" si="38"/>
        <v>1.0851139601139601</v>
      </c>
      <c r="T84">
        <f t="shared" si="39"/>
        <v>1.0188746438746439</v>
      </c>
      <c r="U84">
        <f t="shared" si="32"/>
        <v>-0.97700345441595449</v>
      </c>
      <c r="W84">
        <v>-0.23300000000000001</v>
      </c>
      <c r="X84">
        <v>-0.22650000000000001</v>
      </c>
      <c r="Y84" s="11">
        <f t="shared" si="40"/>
        <v>0.74489045236259699</v>
      </c>
      <c r="Z84">
        <f t="shared" si="41"/>
        <v>-0.28641113711390831</v>
      </c>
      <c r="AA84" s="13">
        <f t="shared" si="42"/>
        <v>-0.36363192000760802</v>
      </c>
      <c r="AB84" s="13">
        <v>0.13636807999239201</v>
      </c>
    </row>
    <row r="85" spans="1:28" x14ac:dyDescent="0.25">
      <c r="A85" s="1">
        <v>1926</v>
      </c>
      <c r="B85" s="1">
        <f t="shared" si="33"/>
        <v>-0.21938461538461546</v>
      </c>
      <c r="C85" s="1">
        <f t="shared" si="26"/>
        <v>-0.21674155000000003</v>
      </c>
      <c r="D85" s="1">
        <f t="shared" si="27"/>
        <v>0</v>
      </c>
      <c r="E85" s="1">
        <f t="shared" si="34"/>
        <v>0.88299400334428613</v>
      </c>
      <c r="F85" s="1">
        <f t="shared" si="35"/>
        <v>2.6430653846154228E-3</v>
      </c>
      <c r="G85" s="9">
        <f t="shared" si="28"/>
        <v>0.88299400334428613</v>
      </c>
      <c r="H85" s="1">
        <f t="shared" si="29"/>
        <v>9.2520792370218596E-2</v>
      </c>
      <c r="I85" s="1">
        <f t="shared" si="36"/>
        <v>0.88299400334428613</v>
      </c>
      <c r="J85" s="3">
        <f t="shared" si="30"/>
        <v>0.88299400334428613</v>
      </c>
      <c r="K85" s="3">
        <f t="shared" si="31"/>
        <v>0.6698986502265194</v>
      </c>
      <c r="L85" s="6">
        <f t="shared" si="43"/>
        <v>-0.21938461538461546</v>
      </c>
      <c r="M85" s="6">
        <f t="shared" si="44"/>
        <v>-0.22507692307692309</v>
      </c>
      <c r="N85" s="6">
        <f t="shared" si="45"/>
        <v>-0.22384615384615386</v>
      </c>
      <c r="O85" s="6">
        <v>-0.112</v>
      </c>
      <c r="P85" s="4">
        <v>-0.128</v>
      </c>
      <c r="Q85" s="5">
        <v>-7.2999999999999995E-2</v>
      </c>
      <c r="R85">
        <f t="shared" si="37"/>
        <v>-0.22384615384615386</v>
      </c>
      <c r="S85">
        <f t="shared" si="38"/>
        <v>1.0054982817869416</v>
      </c>
      <c r="T85">
        <f t="shared" si="39"/>
        <v>0.98006872852233706</v>
      </c>
      <c r="U85">
        <f t="shared" si="32"/>
        <v>-0.9562133333333338</v>
      </c>
      <c r="W85">
        <v>-7.2999999999999995E-2</v>
      </c>
      <c r="X85">
        <v>-8.69167E-2</v>
      </c>
      <c r="Y85" s="11">
        <f t="shared" si="40"/>
        <v>0.74568860325962305</v>
      </c>
      <c r="Z85">
        <f t="shared" si="41"/>
        <v>-0.27950871091140461</v>
      </c>
      <c r="AA85" s="13">
        <f t="shared" si="42"/>
        <v>-0.33866225393340099</v>
      </c>
      <c r="AB85" s="13">
        <v>0.16133774606659901</v>
      </c>
    </row>
    <row r="86" spans="1:28" x14ac:dyDescent="0.25">
      <c r="A86" s="1">
        <v>1927</v>
      </c>
      <c r="B86" s="1">
        <f t="shared" si="33"/>
        <v>-0.19907692307692315</v>
      </c>
      <c r="C86" s="1">
        <f t="shared" si="26"/>
        <v>-0.19440445576923077</v>
      </c>
      <c r="D86" s="1">
        <f t="shared" si="27"/>
        <v>-8.9255278494388968E-3</v>
      </c>
      <c r="E86" s="1">
        <f t="shared" si="34"/>
        <v>0.76586514180092558</v>
      </c>
      <c r="F86" s="1">
        <f t="shared" si="35"/>
        <v>4.6724673076923851E-3</v>
      </c>
      <c r="G86" s="9">
        <f t="shared" si="28"/>
        <v>0.76586514180092558</v>
      </c>
      <c r="H86" s="1">
        <f t="shared" si="29"/>
        <v>0.21879354247473926</v>
      </c>
      <c r="I86" s="1">
        <f t="shared" si="36"/>
        <v>1.0935614567049954</v>
      </c>
      <c r="J86" s="3">
        <f t="shared" si="30"/>
        <v>1.0935614567049954</v>
      </c>
      <c r="K86" s="3">
        <f t="shared" si="31"/>
        <v>0.76586514180092558</v>
      </c>
      <c r="L86" s="6">
        <f t="shared" si="43"/>
        <v>-0.19907692307692315</v>
      </c>
      <c r="M86" s="6">
        <f t="shared" si="44"/>
        <v>-0.21307692307692308</v>
      </c>
      <c r="N86" s="6">
        <f t="shared" si="45"/>
        <v>-0.17838461538461542</v>
      </c>
      <c r="O86" s="6">
        <v>-0.21299999999999999</v>
      </c>
      <c r="P86" s="4">
        <v>-0.192</v>
      </c>
      <c r="Q86" s="5">
        <v>-0.24299999999999999</v>
      </c>
      <c r="R86">
        <f t="shared" si="37"/>
        <v>-0.17838461538461542</v>
      </c>
      <c r="S86">
        <f t="shared" si="38"/>
        <v>1.1944803794739109</v>
      </c>
      <c r="T86">
        <f t="shared" si="39"/>
        <v>1.1159982751185857</v>
      </c>
      <c r="U86">
        <f t="shared" si="32"/>
        <v>-1.0931959034066412</v>
      </c>
      <c r="W86">
        <v>-0.24299999999999999</v>
      </c>
      <c r="X86">
        <v>-0.247</v>
      </c>
      <c r="Y86" s="11">
        <f t="shared" si="40"/>
        <v>0.74626765120774508</v>
      </c>
      <c r="Z86">
        <f t="shared" si="41"/>
        <v>-0.25484960995147493</v>
      </c>
      <c r="AA86" s="13">
        <f t="shared" si="42"/>
        <v>-0.36010301065150296</v>
      </c>
      <c r="AB86" s="13">
        <v>0.13989698934849701</v>
      </c>
    </row>
    <row r="87" spans="1:28" x14ac:dyDescent="0.25">
      <c r="A87" s="1">
        <v>1928</v>
      </c>
      <c r="B87" s="1">
        <f t="shared" si="33"/>
        <v>-0.21423076923076931</v>
      </c>
      <c r="C87" s="1">
        <f t="shared" si="26"/>
        <v>-0.21045846923076922</v>
      </c>
      <c r="D87" s="1">
        <f t="shared" si="27"/>
        <v>0</v>
      </c>
      <c r="E87" s="1">
        <f t="shared" si="34"/>
        <v>0.94506685074387597</v>
      </c>
      <c r="F87" s="1">
        <f t="shared" si="35"/>
        <v>3.7723000000000895E-3</v>
      </c>
      <c r="G87" s="9">
        <f t="shared" si="28"/>
        <v>0.94506685074387597</v>
      </c>
      <c r="H87" s="1">
        <f t="shared" si="29"/>
        <v>0.12793679664802571</v>
      </c>
      <c r="I87" s="1">
        <f t="shared" si="36"/>
        <v>0.94506685074387597</v>
      </c>
      <c r="J87" s="3">
        <f t="shared" si="30"/>
        <v>0.94506685074387597</v>
      </c>
      <c r="K87" s="3">
        <f t="shared" si="31"/>
        <v>0.69448359718923047</v>
      </c>
      <c r="L87" s="6">
        <f t="shared" si="43"/>
        <v>-0.21423076923076931</v>
      </c>
      <c r="M87" s="6">
        <f t="shared" si="44"/>
        <v>-0.2213846153846154</v>
      </c>
      <c r="N87" s="6">
        <f t="shared" si="45"/>
        <v>-0.21169230769230768</v>
      </c>
      <c r="O87" s="6">
        <v>-0.21099999999999999</v>
      </c>
      <c r="P87" s="4">
        <v>-0.224</v>
      </c>
      <c r="Q87" s="5">
        <v>-0.16</v>
      </c>
      <c r="R87">
        <f t="shared" si="37"/>
        <v>-0.21169230769230768</v>
      </c>
      <c r="S87">
        <f t="shared" si="38"/>
        <v>1.0457848837209305</v>
      </c>
      <c r="T87">
        <f t="shared" si="39"/>
        <v>1.0119912790697678</v>
      </c>
      <c r="U87">
        <f t="shared" si="32"/>
        <v>-0.99130588662790764</v>
      </c>
      <c r="W87">
        <v>-0.16</v>
      </c>
      <c r="X87">
        <v>-0.16508300000000001</v>
      </c>
      <c r="Y87" s="11">
        <f t="shared" si="40"/>
        <v>0.74663399253040552</v>
      </c>
      <c r="Z87">
        <f t="shared" si="41"/>
        <v>-0.2722268574415968</v>
      </c>
      <c r="AA87" s="13">
        <f t="shared" si="42"/>
        <v>-0.33687051143817304</v>
      </c>
      <c r="AB87" s="13">
        <v>0.16312948856182699</v>
      </c>
    </row>
    <row r="88" spans="1:28" x14ac:dyDescent="0.25">
      <c r="A88" s="1">
        <v>1929</v>
      </c>
      <c r="B88" s="1">
        <f t="shared" si="33"/>
        <v>-0.20538461538461539</v>
      </c>
      <c r="C88" s="1">
        <f t="shared" si="26"/>
        <v>-0.20029175192307691</v>
      </c>
      <c r="D88" s="1">
        <f t="shared" si="27"/>
        <v>0</v>
      </c>
      <c r="E88" s="1">
        <f t="shared" si="34"/>
        <v>0.98874056583733938</v>
      </c>
      <c r="F88" s="1">
        <f t="shared" si="35"/>
        <v>5.0928634615384771E-3</v>
      </c>
      <c r="G88" s="9">
        <f t="shared" si="28"/>
        <v>0.98874056583733938</v>
      </c>
      <c r="H88" s="1">
        <f t="shared" si="29"/>
        <v>0.16062152625021686</v>
      </c>
      <c r="I88" s="1">
        <f t="shared" si="36"/>
        <v>0.98874056583733938</v>
      </c>
      <c r="J88" s="3">
        <f t="shared" si="30"/>
        <v>0.98874056583733938</v>
      </c>
      <c r="K88" s="3">
        <f t="shared" si="31"/>
        <v>0.70796702317764781</v>
      </c>
      <c r="L88" s="6">
        <f t="shared" si="43"/>
        <v>-0.20538461538461539</v>
      </c>
      <c r="M88" s="6">
        <f t="shared" si="44"/>
        <v>-0.21115384615384614</v>
      </c>
      <c r="N88" s="6">
        <f t="shared" si="45"/>
        <v>-0.20053846153846153</v>
      </c>
      <c r="O88" s="6">
        <v>-0.34899999999999998</v>
      </c>
      <c r="P88" s="4">
        <v>-0.29699999999999999</v>
      </c>
      <c r="Q88" s="5">
        <v>-0.48199999999999998</v>
      </c>
      <c r="R88">
        <f t="shared" si="37"/>
        <v>-0.20053846153846153</v>
      </c>
      <c r="S88">
        <f t="shared" si="38"/>
        <v>1.0529344073647871</v>
      </c>
      <c r="T88">
        <f t="shared" si="39"/>
        <v>1.0241657077100115</v>
      </c>
      <c r="U88">
        <f t="shared" si="32"/>
        <v>-1.0105521288837744</v>
      </c>
      <c r="W88">
        <v>-0.48199999999999998</v>
      </c>
      <c r="X88">
        <v>-0.47008299999999997</v>
      </c>
      <c r="Y88" s="11">
        <f t="shared" si="40"/>
        <v>0.7467943774536252</v>
      </c>
      <c r="Z88">
        <f t="shared" si="41"/>
        <v>-0.25921067280016857</v>
      </c>
      <c r="AA88" s="13">
        <f t="shared" si="42"/>
        <v>-0.38741846307038297</v>
      </c>
      <c r="AB88" s="13">
        <v>0.112581536929617</v>
      </c>
    </row>
    <row r="89" spans="1:28" x14ac:dyDescent="0.25">
      <c r="A89" s="1">
        <v>1930</v>
      </c>
      <c r="B89" s="1">
        <f t="shared" si="33"/>
        <v>-0.18246153846153843</v>
      </c>
      <c r="C89" s="1">
        <f t="shared" si="26"/>
        <v>-0.17708887884615385</v>
      </c>
      <c r="D89" s="1">
        <f t="shared" si="27"/>
        <v>0</v>
      </c>
      <c r="E89" s="1">
        <f t="shared" si="34"/>
        <v>0.96330326261124177</v>
      </c>
      <c r="F89" s="1">
        <f t="shared" si="35"/>
        <v>5.3726596153845785E-3</v>
      </c>
      <c r="G89" s="9">
        <f t="shared" si="28"/>
        <v>0.96330326261124177</v>
      </c>
      <c r="H89" s="1">
        <f t="shared" si="29"/>
        <v>0.15475967748042918</v>
      </c>
      <c r="I89" s="1">
        <f t="shared" si="36"/>
        <v>0.96330326261124177</v>
      </c>
      <c r="J89" s="3">
        <f t="shared" si="30"/>
        <v>0.96330326261124177</v>
      </c>
      <c r="K89" s="3">
        <f t="shared" si="31"/>
        <v>0.68770072274912519</v>
      </c>
      <c r="L89" s="6">
        <f t="shared" si="43"/>
        <v>-0.18246153846153843</v>
      </c>
      <c r="M89" s="6">
        <f t="shared" si="44"/>
        <v>-0.18292307692307691</v>
      </c>
      <c r="N89" s="6">
        <f t="shared" si="45"/>
        <v>-0.18484615384615383</v>
      </c>
      <c r="O89" s="6">
        <v>-0.13800000000000001</v>
      </c>
      <c r="P89" s="4">
        <v>-0.13800000000000001</v>
      </c>
      <c r="Q89" s="5">
        <v>-0.115</v>
      </c>
      <c r="R89">
        <f t="shared" si="37"/>
        <v>-0.18484615384615383</v>
      </c>
      <c r="S89">
        <f t="shared" si="38"/>
        <v>0.9895963379109447</v>
      </c>
      <c r="T89">
        <f t="shared" si="39"/>
        <v>0.9870994590095713</v>
      </c>
      <c r="U89">
        <f t="shared" si="32"/>
        <v>-0.98162401165210134</v>
      </c>
      <c r="W89">
        <v>-0.115</v>
      </c>
      <c r="X89">
        <v>-0.11724999999999999</v>
      </c>
      <c r="Y89" s="11">
        <f t="shared" si="40"/>
        <v>0.74675591010600328</v>
      </c>
      <c r="Z89">
        <f t="shared" si="41"/>
        <v>-0.22774725466434606</v>
      </c>
      <c r="AA89" s="13">
        <f t="shared" si="42"/>
        <v>-0.33389391199138596</v>
      </c>
      <c r="AB89" s="13">
        <v>0.16610608800861401</v>
      </c>
    </row>
    <row r="90" spans="1:28" x14ac:dyDescent="0.25">
      <c r="A90" s="1">
        <v>1931</v>
      </c>
      <c r="B90" s="1">
        <f t="shared" si="33"/>
        <v>-0.14915384615384614</v>
      </c>
      <c r="C90" s="1">
        <f t="shared" si="26"/>
        <v>-0.14473348653846152</v>
      </c>
      <c r="D90" s="1">
        <f t="shared" si="27"/>
        <v>-8.2117411830247011E-3</v>
      </c>
      <c r="E90" s="7">
        <f t="shared" si="34"/>
        <v>0.81644558935880951</v>
      </c>
      <c r="F90" s="1">
        <f t="shared" si="35"/>
        <v>4.420359615384617E-3</v>
      </c>
      <c r="G90" s="9">
        <f t="shared" si="28"/>
        <v>0.81644558935880951</v>
      </c>
      <c r="H90" s="1">
        <f t="shared" si="29"/>
        <v>0.30436434767623832</v>
      </c>
      <c r="I90" s="1">
        <f t="shared" si="36"/>
        <v>1.2029471012868369</v>
      </c>
      <c r="J90" s="3">
        <f t="shared" si="30"/>
        <v>1.2029471012868369</v>
      </c>
      <c r="K90" s="3">
        <f t="shared" si="31"/>
        <v>0.81644558935880951</v>
      </c>
      <c r="L90" s="6">
        <f t="shared" si="43"/>
        <v>-0.14915384615384614</v>
      </c>
      <c r="M90" s="6">
        <f t="shared" si="44"/>
        <v>-0.16215384615384612</v>
      </c>
      <c r="N90" s="6">
        <f t="shared" si="45"/>
        <v>-0.12576923076923077</v>
      </c>
      <c r="O90" s="6">
        <v>-8.6999999999999994E-2</v>
      </c>
      <c r="P90" s="4">
        <v>-9.6000000000000002E-2</v>
      </c>
      <c r="Q90" s="5">
        <v>-9.4E-2</v>
      </c>
      <c r="R90">
        <f t="shared" si="37"/>
        <v>-0.12576923076923077</v>
      </c>
      <c r="S90">
        <f t="shared" si="38"/>
        <v>1.2892966360856266</v>
      </c>
      <c r="T90">
        <f t="shared" si="39"/>
        <v>1.1859327217125382</v>
      </c>
      <c r="U90">
        <f t="shared" si="32"/>
        <v>-1.1653944342507647</v>
      </c>
      <c r="W90">
        <v>-9.4E-2</v>
      </c>
      <c r="X90">
        <v>-0.10166699999999999</v>
      </c>
      <c r="Y90" s="11">
        <f t="shared" si="40"/>
        <v>0.74652595166116953</v>
      </c>
      <c r="Z90">
        <f t="shared" si="41"/>
        <v>-0.19103141044504027</v>
      </c>
      <c r="AA90" s="13">
        <f t="shared" si="42"/>
        <v>-0.32313941341074603</v>
      </c>
      <c r="AB90" s="13">
        <v>0.17686058658925399</v>
      </c>
    </row>
    <row r="91" spans="1:28" x14ac:dyDescent="0.25">
      <c r="A91" s="1">
        <v>1932</v>
      </c>
      <c r="B91" s="1">
        <f t="shared" si="33"/>
        <v>-0.14784615384615385</v>
      </c>
      <c r="C91" s="1">
        <f t="shared" si="26"/>
        <v>-0.14127037115384616</v>
      </c>
      <c r="D91" s="1">
        <f t="shared" si="27"/>
        <v>-8.9859350835935214E-3</v>
      </c>
      <c r="E91" s="1">
        <f t="shared" si="34"/>
        <v>0.77952262459371324</v>
      </c>
      <c r="F91" s="1">
        <f t="shared" si="35"/>
        <v>6.5757826923076856E-3</v>
      </c>
      <c r="G91" s="9">
        <f t="shared" si="28"/>
        <v>0.77952262459371324</v>
      </c>
      <c r="H91" s="1">
        <f t="shared" si="29"/>
        <v>0.30001465859394805</v>
      </c>
      <c r="I91" s="1">
        <f t="shared" si="36"/>
        <v>1.1632524401646727</v>
      </c>
      <c r="J91" s="3">
        <f t="shared" si="30"/>
        <v>1.1632524401646727</v>
      </c>
      <c r="K91" s="3">
        <f t="shared" si="31"/>
        <v>0.77952262459371324</v>
      </c>
      <c r="L91" s="6">
        <f t="shared" si="43"/>
        <v>-0.14784615384615385</v>
      </c>
      <c r="M91" s="6">
        <f t="shared" si="44"/>
        <v>-0.153</v>
      </c>
      <c r="N91" s="6">
        <f t="shared" si="45"/>
        <v>-0.13330769230769232</v>
      </c>
      <c r="O91" s="6">
        <v>-0.13500000000000001</v>
      </c>
      <c r="P91" s="4">
        <v>-0.16600000000000001</v>
      </c>
      <c r="Q91" s="5">
        <v>-7.5999999999999998E-2</v>
      </c>
      <c r="R91">
        <f t="shared" si="37"/>
        <v>-0.13330769230769232</v>
      </c>
      <c r="S91">
        <f t="shared" si="38"/>
        <v>1.1477207155222158</v>
      </c>
      <c r="T91">
        <f t="shared" si="39"/>
        <v>1.1090594345066358</v>
      </c>
      <c r="U91">
        <f t="shared" si="32"/>
        <v>-1.1126905943450662</v>
      </c>
      <c r="W91">
        <v>-7.5999999999999998E-2</v>
      </c>
      <c r="X91">
        <v>-8.4416699999999997E-2</v>
      </c>
      <c r="Y91" s="11">
        <f t="shared" si="40"/>
        <v>0.74611215759068727</v>
      </c>
      <c r="Z91">
        <f t="shared" si="41"/>
        <v>-0.18451945792151003</v>
      </c>
      <c r="AA91" s="13">
        <f t="shared" si="42"/>
        <v>-0.32041504838235702</v>
      </c>
      <c r="AB91" s="13">
        <v>0.17958495161764301</v>
      </c>
    </row>
    <row r="92" spans="1:28" x14ac:dyDescent="0.25">
      <c r="A92" s="1">
        <v>1933</v>
      </c>
      <c r="B92" s="1">
        <f t="shared" si="33"/>
        <v>-0.13399999999999998</v>
      </c>
      <c r="C92" s="1">
        <f t="shared" si="26"/>
        <v>-0.12969367115384614</v>
      </c>
      <c r="D92" s="1">
        <f t="shared" si="27"/>
        <v>-7.0414970822007261E-3</v>
      </c>
      <c r="E92" s="1">
        <f t="shared" si="34"/>
        <v>0.78085042032201035</v>
      </c>
      <c r="F92" s="1">
        <f t="shared" si="35"/>
        <v>4.3063288461538396E-3</v>
      </c>
      <c r="G92" s="9">
        <f t="shared" si="28"/>
        <v>0.78085042032201035</v>
      </c>
      <c r="H92" s="1">
        <f t="shared" si="29"/>
        <v>0.26415169656155268</v>
      </c>
      <c r="I92" s="1">
        <f t="shared" si="36"/>
        <v>1.1409155047153843</v>
      </c>
      <c r="J92" s="3">
        <f t="shared" si="30"/>
        <v>1.1409155047153843</v>
      </c>
      <c r="K92" s="3">
        <f t="shared" si="31"/>
        <v>0.78085042032201035</v>
      </c>
      <c r="L92" s="6">
        <f t="shared" si="43"/>
        <v>-0.13399999999999998</v>
      </c>
      <c r="M92" s="6">
        <f t="shared" si="44"/>
        <v>-0.14223076923076922</v>
      </c>
      <c r="N92" s="6">
        <f t="shared" si="45"/>
        <v>-0.11884615384615384</v>
      </c>
      <c r="O92" s="6">
        <v>-0.27300000000000002</v>
      </c>
      <c r="P92" s="4">
        <v>-0.23799999999999999</v>
      </c>
      <c r="Q92" s="5">
        <v>-0.33500000000000002</v>
      </c>
      <c r="R92">
        <f t="shared" si="37"/>
        <v>-0.11884615384615384</v>
      </c>
      <c r="S92">
        <f t="shared" si="38"/>
        <v>1.1967637540453073</v>
      </c>
      <c r="T92">
        <f t="shared" si="39"/>
        <v>1.1275080906148867</v>
      </c>
      <c r="U92">
        <f t="shared" si="32"/>
        <v>-1.1145858899676375</v>
      </c>
      <c r="W92">
        <v>-0.33500000000000002</v>
      </c>
      <c r="X92">
        <v>-0.32450000000000001</v>
      </c>
      <c r="Y92" s="11">
        <f t="shared" si="40"/>
        <v>0.74552237335592508</v>
      </c>
      <c r="Z92">
        <f t="shared" si="41"/>
        <v>-0.17018535022529568</v>
      </c>
      <c r="AA92" s="13">
        <f t="shared" si="42"/>
        <v>-0.36837399607061699</v>
      </c>
      <c r="AB92" s="13">
        <v>0.13162600392938301</v>
      </c>
    </row>
    <row r="93" spans="1:28" x14ac:dyDescent="0.25">
      <c r="A93" s="1">
        <v>1934</v>
      </c>
      <c r="B93" s="1">
        <f t="shared" si="33"/>
        <v>-0.11876923076923074</v>
      </c>
      <c r="C93" s="1">
        <f t="shared" si="26"/>
        <v>-0.11534647884615384</v>
      </c>
      <c r="D93" s="1">
        <f t="shared" si="27"/>
        <v>-5.6582061491042418E-3</v>
      </c>
      <c r="E93" s="1">
        <f t="shared" si="34"/>
        <v>0.7584688598879934</v>
      </c>
      <c r="F93" s="1">
        <f t="shared" si="35"/>
        <v>3.4227519230768944E-3</v>
      </c>
      <c r="G93" s="9">
        <f t="shared" si="28"/>
        <v>0.7584688598879934</v>
      </c>
      <c r="H93" s="1">
        <f t="shared" si="29"/>
        <v>0.22639741293544857</v>
      </c>
      <c r="I93" s="1">
        <f t="shared" si="36"/>
        <v>1.0918108604247714</v>
      </c>
      <c r="J93" s="3">
        <f t="shared" si="30"/>
        <v>1.0918108604247714</v>
      </c>
      <c r="K93" s="3">
        <f t="shared" si="31"/>
        <v>0.7584688598879934</v>
      </c>
      <c r="L93" s="6">
        <f t="shared" si="43"/>
        <v>-0.11876923076923074</v>
      </c>
      <c r="M93" s="6">
        <f t="shared" si="44"/>
        <v>-0.12523076923076923</v>
      </c>
      <c r="N93" s="6">
        <f t="shared" si="45"/>
        <v>-0.10823076923076921</v>
      </c>
      <c r="O93" s="6">
        <v>-0.126</v>
      </c>
      <c r="P93" s="4">
        <v>-0.189</v>
      </c>
      <c r="Q93" s="5">
        <v>-8.9999999999999993E-3</v>
      </c>
      <c r="R93">
        <f t="shared" si="37"/>
        <v>-0.10823076923076921</v>
      </c>
      <c r="S93">
        <f t="shared" si="38"/>
        <v>1.1570717839374558</v>
      </c>
      <c r="T93">
        <f t="shared" si="39"/>
        <v>1.097370291400142</v>
      </c>
      <c r="U93">
        <f t="shared" si="32"/>
        <v>-1.0826384506041218</v>
      </c>
      <c r="W93">
        <v>-8.9999999999999993E-3</v>
      </c>
      <c r="X93">
        <v>-1.14167E-2</v>
      </c>
      <c r="Y93" s="11">
        <f t="shared" si="40"/>
        <v>0.7447647238150239</v>
      </c>
      <c r="Z93">
        <f t="shared" si="41"/>
        <v>-0.15099376434293471</v>
      </c>
      <c r="AA93" s="13">
        <f t="shared" si="42"/>
        <v>-0.32221763942225301</v>
      </c>
      <c r="AB93" s="13">
        <v>0.17778236057774699</v>
      </c>
    </row>
    <row r="94" spans="1:28" x14ac:dyDescent="0.25">
      <c r="A94" s="1">
        <v>1935</v>
      </c>
      <c r="B94" s="1">
        <f t="shared" si="33"/>
        <v>-0.11338461538461536</v>
      </c>
      <c r="C94" s="1">
        <f t="shared" si="26"/>
        <v>-0.10960760192307693</v>
      </c>
      <c r="D94" s="1">
        <f t="shared" si="27"/>
        <v>-5.6432080676220436E-3</v>
      </c>
      <c r="E94" s="1">
        <f t="shared" si="34"/>
        <v>0.74989629755360576</v>
      </c>
      <c r="F94" s="1">
        <f t="shared" si="35"/>
        <v>3.7770134615384282E-3</v>
      </c>
      <c r="G94" s="9">
        <f t="shared" si="28"/>
        <v>0.74989629755360576</v>
      </c>
      <c r="H94" s="1">
        <f t="shared" si="29"/>
        <v>0.22977765560009566</v>
      </c>
      <c r="I94" s="1">
        <f t="shared" si="36"/>
        <v>1.0857175713516289</v>
      </c>
      <c r="J94" s="3">
        <f t="shared" si="30"/>
        <v>1.0857175713516289</v>
      </c>
      <c r="K94" s="3">
        <f t="shared" si="31"/>
        <v>0.74989629755360576</v>
      </c>
      <c r="L94" s="6">
        <f t="shared" si="43"/>
        <v>-0.11338461538461536</v>
      </c>
      <c r="M94" s="6">
        <f t="shared" si="44"/>
        <v>-0.11784615384615386</v>
      </c>
      <c r="N94" s="6">
        <f t="shared" si="45"/>
        <v>-0.10515384615384614</v>
      </c>
      <c r="O94" s="6">
        <v>-0.17599999999999999</v>
      </c>
      <c r="P94" s="4">
        <v>-0.185</v>
      </c>
      <c r="Q94" s="5">
        <v>-0.16700000000000001</v>
      </c>
      <c r="R94">
        <f t="shared" si="37"/>
        <v>-0.10515384615384614</v>
      </c>
      <c r="S94">
        <f t="shared" si="38"/>
        <v>1.1207022677395759</v>
      </c>
      <c r="T94">
        <f t="shared" si="39"/>
        <v>1.0782735918068762</v>
      </c>
      <c r="U94">
        <f t="shared" si="32"/>
        <v>-1.0704019751280169</v>
      </c>
      <c r="W94">
        <v>-0.16700000000000001</v>
      </c>
      <c r="X94">
        <v>-0.16383300000000001</v>
      </c>
      <c r="Y94" s="11">
        <f t="shared" si="40"/>
        <v>0.74384744185954332</v>
      </c>
      <c r="Z94">
        <f t="shared" si="41"/>
        <v>-0.14317550548548211</v>
      </c>
      <c r="AA94" s="13">
        <f t="shared" si="42"/>
        <v>-0.33512976250100801</v>
      </c>
      <c r="AB94" s="13">
        <v>0.16487023749899199</v>
      </c>
    </row>
    <row r="95" spans="1:28" x14ac:dyDescent="0.25">
      <c r="A95" s="1">
        <v>1936</v>
      </c>
      <c r="B95" s="1">
        <f t="shared" si="33"/>
        <v>-8.8307692307692282E-2</v>
      </c>
      <c r="C95" s="1">
        <f t="shared" si="26"/>
        <v>-8.4104230769230764E-2</v>
      </c>
      <c r="D95" s="1">
        <f t="shared" si="27"/>
        <v>-5.3073263514392538E-3</v>
      </c>
      <c r="E95" s="1">
        <f t="shared" si="34"/>
        <v>0.75306095153870289</v>
      </c>
      <c r="F95" s="1">
        <f t="shared" si="35"/>
        <v>4.203461538461517E-3</v>
      </c>
      <c r="G95" s="9">
        <f t="shared" si="28"/>
        <v>0.75306095153870289</v>
      </c>
      <c r="H95" s="1">
        <f t="shared" si="29"/>
        <v>0.27519224897725891</v>
      </c>
      <c r="I95" s="1">
        <f t="shared" si="36"/>
        <v>1.1205736979782781</v>
      </c>
      <c r="J95" s="3">
        <f t="shared" si="30"/>
        <v>1.1205736979782781</v>
      </c>
      <c r="K95" s="3">
        <f t="shared" si="31"/>
        <v>0.75306095153870289</v>
      </c>
      <c r="L95" s="6">
        <f t="shared" si="43"/>
        <v>-8.8307692307692282E-2</v>
      </c>
      <c r="M95" s="6">
        <f t="shared" si="44"/>
        <v>-8.9307692307692296E-2</v>
      </c>
      <c r="N95" s="6">
        <f t="shared" si="45"/>
        <v>-8.2923076923076947E-2</v>
      </c>
      <c r="O95" s="6">
        <v>-0.14299999999999999</v>
      </c>
      <c r="P95" s="4">
        <v>-0.151</v>
      </c>
      <c r="Q95" s="5">
        <v>-0.112</v>
      </c>
      <c r="R95">
        <f t="shared" si="37"/>
        <v>-8.2923076923076947E-2</v>
      </c>
      <c r="S95">
        <f t="shared" si="38"/>
        <v>1.0769944341372908</v>
      </c>
      <c r="T95">
        <f t="shared" si="39"/>
        <v>1.0649350649350644</v>
      </c>
      <c r="U95">
        <f t="shared" si="32"/>
        <v>-1.0749192022263445</v>
      </c>
      <c r="W95">
        <v>-0.112</v>
      </c>
      <c r="X95">
        <v>-0.110167</v>
      </c>
      <c r="Y95" s="11">
        <f t="shared" si="40"/>
        <v>0.74277898017317057</v>
      </c>
      <c r="Z95">
        <f t="shared" si="41"/>
        <v>-0.10955227129659566</v>
      </c>
      <c r="AA95" s="13">
        <f t="shared" si="42"/>
        <v>-0.33106488135991796</v>
      </c>
      <c r="AB95" s="13">
        <v>0.16893511864008201</v>
      </c>
    </row>
    <row r="96" spans="1:28" x14ac:dyDescent="0.25">
      <c r="A96" s="1">
        <v>1937</v>
      </c>
      <c r="B96" s="1">
        <f t="shared" si="33"/>
        <v>-6.23076923076923E-2</v>
      </c>
      <c r="C96" s="1">
        <f t="shared" si="26"/>
        <v>-6.0357153846153852E-2</v>
      </c>
      <c r="D96" s="1">
        <f t="shared" si="27"/>
        <v>-3.5844080029390907E-3</v>
      </c>
      <c r="E96" s="1">
        <f t="shared" si="34"/>
        <v>0.82825437630370202</v>
      </c>
      <c r="F96" s="1">
        <f t="shared" si="35"/>
        <v>1.950538461538448E-3</v>
      </c>
      <c r="G96" s="9">
        <f t="shared" si="28"/>
        <v>0.82825437630370202</v>
      </c>
      <c r="H96" s="1">
        <f t="shared" si="29"/>
        <v>0.32694170045260917</v>
      </c>
      <c r="I96" s="1">
        <f t="shared" si="36"/>
        <v>1.2288345643862826</v>
      </c>
      <c r="J96" s="3">
        <f t="shared" si="30"/>
        <v>1.2288345643862826</v>
      </c>
      <c r="K96" s="3">
        <f t="shared" si="31"/>
        <v>0.82825437630370202</v>
      </c>
      <c r="L96" s="6">
        <f t="shared" si="43"/>
        <v>-6.23076923076923E-2</v>
      </c>
      <c r="M96" s="6">
        <f t="shared" si="44"/>
        <v>-6.7923076923076919E-2</v>
      </c>
      <c r="N96" s="6">
        <f t="shared" si="45"/>
        <v>-5.1846153846153861E-2</v>
      </c>
      <c r="O96" s="6">
        <v>-2.5000000000000001E-2</v>
      </c>
      <c r="P96" s="4">
        <v>-8.9999999999999993E-3</v>
      </c>
      <c r="Q96" s="5">
        <v>-3.7999999999999999E-2</v>
      </c>
      <c r="R96">
        <f t="shared" si="37"/>
        <v>-5.1846153846153861E-2</v>
      </c>
      <c r="S96">
        <f t="shared" si="38"/>
        <v>1.3100890207715128</v>
      </c>
      <c r="T96">
        <f t="shared" si="39"/>
        <v>1.2017804154302665</v>
      </c>
      <c r="U96">
        <f t="shared" si="32"/>
        <v>-1.1822502967359043</v>
      </c>
      <c r="W96">
        <v>-3.7999999999999999E-2</v>
      </c>
      <c r="X96">
        <v>-4.1666700000000001E-2</v>
      </c>
      <c r="Y96" s="11">
        <f t="shared" si="40"/>
        <v>0.74156786222010851</v>
      </c>
      <c r="Z96">
        <f t="shared" si="41"/>
        <v>-8.0214105173540509E-2</v>
      </c>
      <c r="AA96" s="13">
        <f t="shared" si="42"/>
        <v>-0.30874775540356403</v>
      </c>
      <c r="AB96" s="13">
        <v>0.191252244596436</v>
      </c>
    </row>
    <row r="97" spans="1:28" x14ac:dyDescent="0.25">
      <c r="A97" s="1">
        <v>1938</v>
      </c>
      <c r="B97" s="1">
        <f t="shared" si="33"/>
        <v>-5.8692307692307696E-2</v>
      </c>
      <c r="C97" s="1">
        <f t="shared" si="26"/>
        <v>-5.3381449999999997E-2</v>
      </c>
      <c r="D97" s="1">
        <f t="shared" si="27"/>
        <v>-5.7379244756899303E-3</v>
      </c>
      <c r="E97" s="1">
        <f t="shared" si="34"/>
        <v>0.84939024622546977</v>
      </c>
      <c r="F97" s="1">
        <f t="shared" si="35"/>
        <v>5.3108576923076994E-3</v>
      </c>
      <c r="G97" s="9">
        <f t="shared" si="28"/>
        <v>0.84939024622546977</v>
      </c>
      <c r="H97" s="1">
        <f t="shared" si="29"/>
        <v>0.54645341428291094</v>
      </c>
      <c r="I97" s="1">
        <f t="shared" si="36"/>
        <v>1.3672723212998512</v>
      </c>
      <c r="J97" s="3">
        <f t="shared" si="30"/>
        <v>1.3672723212998512</v>
      </c>
      <c r="K97" s="3">
        <f t="shared" si="31"/>
        <v>0.84939024622546977</v>
      </c>
      <c r="L97" s="6">
        <f t="shared" si="43"/>
        <v>-5.8692307692307696E-2</v>
      </c>
      <c r="M97" s="6">
        <f t="shared" si="44"/>
        <v>-5.7538461538461531E-2</v>
      </c>
      <c r="N97" s="6">
        <f t="shared" si="45"/>
        <v>-5.0923076923076932E-2</v>
      </c>
      <c r="O97" s="6">
        <v>-5.0000000000000001E-3</v>
      </c>
      <c r="P97" s="4">
        <v>-8.5999999999999993E-2</v>
      </c>
      <c r="Q97" s="5">
        <v>0.16700000000000001</v>
      </c>
      <c r="R97">
        <f t="shared" si="37"/>
        <v>-5.0923076923076932E-2</v>
      </c>
      <c r="S97">
        <f t="shared" si="38"/>
        <v>1.1299093655589121</v>
      </c>
      <c r="T97">
        <f t="shared" si="39"/>
        <v>1.1525679758308156</v>
      </c>
      <c r="U97">
        <f t="shared" si="32"/>
        <v>-1.2124196374622356</v>
      </c>
      <c r="W97">
        <v>0.16700000000000001</v>
      </c>
      <c r="X97">
        <v>0.16</v>
      </c>
      <c r="Y97" s="11">
        <f t="shared" si="40"/>
        <v>0.74022275302559137</v>
      </c>
      <c r="Z97">
        <f t="shared" si="41"/>
        <v>-7.00560909390604E-2</v>
      </c>
      <c r="AA97" s="13">
        <f t="shared" si="42"/>
        <v>-0.277537826971608</v>
      </c>
      <c r="AB97" s="13">
        <v>0.222462173028392</v>
      </c>
    </row>
    <row r="98" spans="1:28" x14ac:dyDescent="0.25">
      <c r="A98" s="1">
        <v>1939</v>
      </c>
      <c r="B98" s="1">
        <f t="shared" si="33"/>
        <v>-5.3538461538461535E-2</v>
      </c>
      <c r="C98" s="1">
        <f t="shared" si="26"/>
        <v>-4.8186776923076921E-2</v>
      </c>
      <c r="D98" s="1">
        <f t="shared" si="27"/>
        <v>-5.3279358252391745E-3</v>
      </c>
      <c r="E98" s="1">
        <f t="shared" si="34"/>
        <v>0.79363233339142991</v>
      </c>
      <c r="F98" s="1">
        <f t="shared" si="35"/>
        <v>5.3516846153846137E-3</v>
      </c>
      <c r="G98" s="9">
        <f t="shared" si="28"/>
        <v>0.79363233339142991</v>
      </c>
      <c r="H98" s="1">
        <f t="shared" si="29"/>
        <v>0.47843565204575089</v>
      </c>
      <c r="I98" s="1">
        <f t="shared" si="36"/>
        <v>1.2782129910833806</v>
      </c>
      <c r="J98" s="3">
        <f t="shared" si="30"/>
        <v>1.2782129910833806</v>
      </c>
      <c r="K98" s="3">
        <f t="shared" si="31"/>
        <v>0.79363233339142991</v>
      </c>
      <c r="L98" s="6">
        <f t="shared" si="43"/>
        <v>-5.3538461538461535E-2</v>
      </c>
      <c r="M98" s="6">
        <f t="shared" si="44"/>
        <v>-4.9692307692307688E-2</v>
      </c>
      <c r="N98" s="6">
        <f t="shared" si="45"/>
        <v>-5.046153846153846E-2</v>
      </c>
      <c r="O98" s="6">
        <v>-5.5E-2</v>
      </c>
      <c r="P98" s="4">
        <v>-7.9000000000000001E-2</v>
      </c>
      <c r="Q98" s="5">
        <v>-5.0000000000000001E-3</v>
      </c>
      <c r="R98">
        <f t="shared" si="37"/>
        <v>-5.046153846153846E-2</v>
      </c>
      <c r="S98">
        <f t="shared" si="38"/>
        <v>0.9847560975609756</v>
      </c>
      <c r="T98">
        <f t="shared" si="39"/>
        <v>1.0609756097560976</v>
      </c>
      <c r="U98">
        <f t="shared" si="32"/>
        <v>-1.1328307926829271</v>
      </c>
      <c r="W98">
        <v>-5.0000000000000001E-3</v>
      </c>
      <c r="X98">
        <v>1.9166700000000001E-3</v>
      </c>
      <c r="Y98" s="11">
        <f t="shared" si="40"/>
        <v>0.73875237349420786</v>
      </c>
      <c r="Z98">
        <f t="shared" si="41"/>
        <v>-6.2454293866336705E-2</v>
      </c>
      <c r="AA98" s="13">
        <f t="shared" si="42"/>
        <v>-0.28907925762875497</v>
      </c>
      <c r="AB98" s="13">
        <v>0.210920742371245</v>
      </c>
    </row>
    <row r="99" spans="1:28" x14ac:dyDescent="0.25">
      <c r="A99" s="1">
        <v>1940</v>
      </c>
      <c r="B99" s="1">
        <f t="shared" si="33"/>
        <v>-3.2307692307692301E-2</v>
      </c>
      <c r="C99" s="1">
        <f t="shared" si="26"/>
        <v>-2.8620174999999998E-2</v>
      </c>
      <c r="D99" s="1">
        <f t="shared" si="27"/>
        <v>-3.9196457419779229E-3</v>
      </c>
      <c r="E99" s="1">
        <f t="shared" si="34"/>
        <v>0.96450979711620377</v>
      </c>
      <c r="F99" s="1">
        <f t="shared" si="35"/>
        <v>3.6875173076923035E-3</v>
      </c>
      <c r="G99" s="9">
        <f t="shared" si="28"/>
        <v>0.96450979711620377</v>
      </c>
      <c r="H99" s="1">
        <f t="shared" si="29"/>
        <v>0.85813327794293315</v>
      </c>
      <c r="I99" s="1">
        <f t="shared" si="36"/>
        <v>1.6134903447641837</v>
      </c>
      <c r="J99" s="3">
        <f t="shared" si="30"/>
        <v>1.6134903447641837</v>
      </c>
      <c r="K99" s="3">
        <f t="shared" si="31"/>
        <v>0.96450979711620377</v>
      </c>
      <c r="L99" s="6">
        <f t="shared" si="43"/>
        <v>-3.2307692307692301E-2</v>
      </c>
      <c r="M99" s="6">
        <f t="shared" si="44"/>
        <v>-3.1923076923076915E-2</v>
      </c>
      <c r="N99" s="6">
        <f t="shared" si="45"/>
        <v>-2.5153846153846155E-2</v>
      </c>
      <c r="O99" s="6">
        <v>1.7999999999999999E-2</v>
      </c>
      <c r="P99" s="4">
        <v>1.6E-2</v>
      </c>
      <c r="Q99" s="5">
        <v>-4.2999999999999997E-2</v>
      </c>
      <c r="R99">
        <f t="shared" si="37"/>
        <v>-2.5153846153846155E-2</v>
      </c>
      <c r="S99">
        <f t="shared" si="38"/>
        <v>1.2691131498470944</v>
      </c>
      <c r="T99">
        <f t="shared" si="39"/>
        <v>1.2844036697247703</v>
      </c>
      <c r="U99">
        <f t="shared" si="32"/>
        <v>-1.3767412844036693</v>
      </c>
      <c r="W99">
        <v>-4.2999999999999997E-2</v>
      </c>
      <c r="X99">
        <v>-4.55833E-2</v>
      </c>
      <c r="Y99" s="11">
        <f t="shared" si="40"/>
        <v>0.73716547060757875</v>
      </c>
      <c r="Z99">
        <f t="shared" si="41"/>
        <v>-3.8108446854473954E-2</v>
      </c>
      <c r="AA99" s="13">
        <f t="shared" si="42"/>
        <v>-0.28557064335307403</v>
      </c>
      <c r="AB99" s="13">
        <v>0.214429356646926</v>
      </c>
    </row>
    <row r="100" spans="1:28" x14ac:dyDescent="0.25">
      <c r="A100" s="1">
        <v>1941</v>
      </c>
      <c r="B100" s="1">
        <f t="shared" si="33"/>
        <v>-2.6846153846153846E-2</v>
      </c>
      <c r="C100" s="1">
        <f t="shared" si="26"/>
        <v>-2.1842363461538457E-2</v>
      </c>
      <c r="D100" s="1">
        <f t="shared" si="27"/>
        <v>-4.2191062583086525E-3</v>
      </c>
      <c r="E100" s="1">
        <f t="shared" si="34"/>
        <v>0.77639295658754559</v>
      </c>
      <c r="F100" s="1">
        <f t="shared" si="35"/>
        <v>5.0037903846153892E-3</v>
      </c>
      <c r="G100" s="9">
        <f t="shared" si="28"/>
        <v>0.77639295658754559</v>
      </c>
      <c r="H100" s="1">
        <f t="shared" si="29"/>
        <v>0.65890790818545775</v>
      </c>
      <c r="I100" s="1">
        <f t="shared" si="36"/>
        <v>1.3450712711043893</v>
      </c>
      <c r="J100" s="3">
        <f t="shared" si="30"/>
        <v>1.3450712711043893</v>
      </c>
      <c r="K100" s="3">
        <f t="shared" si="31"/>
        <v>0.77639295658754559</v>
      </c>
      <c r="L100" s="6">
        <f t="shared" si="43"/>
        <v>-2.6846153846153846E-2</v>
      </c>
      <c r="M100" s="6">
        <f t="shared" si="44"/>
        <v>-1.9769230769230761E-2</v>
      </c>
      <c r="N100" s="6">
        <f t="shared" si="45"/>
        <v>-2.8384615384615383E-2</v>
      </c>
      <c r="O100" s="6">
        <v>1.7999999999999999E-2</v>
      </c>
      <c r="P100" s="4">
        <v>6.3E-2</v>
      </c>
      <c r="Q100" s="5">
        <v>-0.05</v>
      </c>
      <c r="R100">
        <f t="shared" si="37"/>
        <v>-2.8384615384615383E-2</v>
      </c>
      <c r="S100">
        <f t="shared" si="38"/>
        <v>0.69647696476964749</v>
      </c>
      <c r="T100">
        <f t="shared" si="39"/>
        <v>0.94579945799457998</v>
      </c>
      <c r="U100">
        <f t="shared" si="32"/>
        <v>-1.1082233062330626</v>
      </c>
      <c r="W100">
        <v>-0.05</v>
      </c>
      <c r="X100">
        <v>-5.4416699999999998E-2</v>
      </c>
      <c r="Y100" s="11">
        <f t="shared" si="40"/>
        <v>0.73547085467725992</v>
      </c>
      <c r="Z100">
        <f t="shared" si="41"/>
        <v>-2.7310552264216074E-2</v>
      </c>
      <c r="AA100" s="13">
        <f t="shared" si="42"/>
        <v>-0.290868642848229</v>
      </c>
      <c r="AB100" s="13">
        <v>0.209131357151771</v>
      </c>
    </row>
    <row r="101" spans="1:28" x14ac:dyDescent="0.25">
      <c r="A101" s="1">
        <v>1942</v>
      </c>
      <c r="B101" s="1">
        <f t="shared" si="33"/>
        <v>-3.0923076923076921E-2</v>
      </c>
      <c r="C101" s="1">
        <f t="shared" si="26"/>
        <v>-2.406865192307692E-2</v>
      </c>
      <c r="D101" s="1">
        <f t="shared" si="27"/>
        <v>-5.6009737393392656E-3</v>
      </c>
      <c r="E101" s="1">
        <f t="shared" si="34"/>
        <v>0.80595478363179807</v>
      </c>
      <c r="F101" s="1">
        <f t="shared" si="35"/>
        <v>6.8544250000000008E-3</v>
      </c>
      <c r="G101" s="9">
        <f t="shared" si="28"/>
        <v>0.80595478363179807</v>
      </c>
      <c r="H101" s="1">
        <f t="shared" si="29"/>
        <v>0.79210523301846036</v>
      </c>
      <c r="I101" s="1">
        <f t="shared" si="36"/>
        <v>1.4294681224948749</v>
      </c>
      <c r="J101" s="3">
        <f t="shared" si="30"/>
        <v>1.4294681224948749</v>
      </c>
      <c r="K101" s="3">
        <f t="shared" si="31"/>
        <v>0.80595478363179807</v>
      </c>
      <c r="L101" s="6">
        <f t="shared" si="43"/>
        <v>-3.0923076923076921E-2</v>
      </c>
      <c r="M101" s="6">
        <f t="shared" si="44"/>
        <v>-2.1153846153846152E-2</v>
      </c>
      <c r="N101" s="6">
        <f t="shared" si="45"/>
        <v>-3.2538461538461537E-2</v>
      </c>
      <c r="O101" s="6">
        <v>-2.3E-2</v>
      </c>
      <c r="P101" s="4">
        <v>1.4E-2</v>
      </c>
      <c r="Q101" s="5">
        <v>-4.5999999999999999E-2</v>
      </c>
      <c r="R101">
        <f t="shared" si="37"/>
        <v>-3.2538461538461537E-2</v>
      </c>
      <c r="S101">
        <f t="shared" si="38"/>
        <v>0.65011820330969261</v>
      </c>
      <c r="T101">
        <f t="shared" si="39"/>
        <v>0.95035460992907805</v>
      </c>
      <c r="U101">
        <f t="shared" si="32"/>
        <v>-1.1504198581560285</v>
      </c>
      <c r="W101">
        <v>-4.5999999999999999E-2</v>
      </c>
      <c r="X101">
        <v>-4.84167E-2</v>
      </c>
      <c r="Y101" s="11">
        <f t="shared" si="40"/>
        <v>0.73367728013545275</v>
      </c>
      <c r="Z101">
        <f t="shared" si="41"/>
        <v>-2.9893610149519349E-2</v>
      </c>
      <c r="AA101" s="13">
        <f t="shared" si="42"/>
        <v>-0.28677343872864602</v>
      </c>
      <c r="AB101" s="13">
        <v>0.213226561271354</v>
      </c>
    </row>
    <row r="102" spans="1:28" x14ac:dyDescent="0.25">
      <c r="A102" s="1">
        <v>1943</v>
      </c>
      <c r="B102" s="1">
        <f t="shared" si="33"/>
        <v>-2.4307692307692308E-2</v>
      </c>
      <c r="C102" s="1">
        <f t="shared" si="26"/>
        <v>-1.9146080769230772E-2</v>
      </c>
      <c r="D102" s="1">
        <f t="shared" si="27"/>
        <v>-4.2969067980149281E-3</v>
      </c>
      <c r="E102" s="1">
        <f t="shared" si="34"/>
        <v>0.69185611067054376</v>
      </c>
      <c r="F102" s="1">
        <f t="shared" si="35"/>
        <v>5.1616115384615358E-3</v>
      </c>
      <c r="G102" s="9">
        <f t="shared" si="28"/>
        <v>0.69185611067054376</v>
      </c>
      <c r="H102" s="1">
        <f t="shared" si="29"/>
        <v>0.5687075911633146</v>
      </c>
      <c r="I102" s="1">
        <f t="shared" si="36"/>
        <v>1.2201782622334061</v>
      </c>
      <c r="J102" s="3">
        <f t="shared" si="30"/>
        <v>1.2201782622334061</v>
      </c>
      <c r="K102" s="3">
        <f t="shared" si="31"/>
        <v>0.69185611067054376</v>
      </c>
      <c r="L102" s="6">
        <f t="shared" si="43"/>
        <v>-2.4307692307692308E-2</v>
      </c>
      <c r="M102" s="6">
        <f t="shared" si="44"/>
        <v>-1.4846153846153846E-2</v>
      </c>
      <c r="N102" s="6">
        <f t="shared" si="45"/>
        <v>-2.9846153846153849E-2</v>
      </c>
      <c r="O102" s="6">
        <v>-3.0000000000000001E-3</v>
      </c>
      <c r="P102" s="4">
        <v>-3.0000000000000001E-3</v>
      </c>
      <c r="Q102" s="5">
        <v>1.2E-2</v>
      </c>
      <c r="R102">
        <f t="shared" si="37"/>
        <v>-2.9846153846153849E-2</v>
      </c>
      <c r="S102">
        <f t="shared" si="38"/>
        <v>0.49742268041237109</v>
      </c>
      <c r="T102">
        <f t="shared" si="39"/>
        <v>0.81443298969072164</v>
      </c>
      <c r="U102">
        <f t="shared" si="32"/>
        <v>-0.98755541237113409</v>
      </c>
      <c r="W102">
        <v>1.2E-2</v>
      </c>
      <c r="X102">
        <v>1.6750000000000001E-2</v>
      </c>
      <c r="Y102" s="11">
        <f t="shared" si="40"/>
        <v>0.73179346788674593</v>
      </c>
      <c r="Z102">
        <f t="shared" si="41"/>
        <v>-2.3024039086690342E-2</v>
      </c>
      <c r="AA102" s="13">
        <f t="shared" si="42"/>
        <v>-0.27260411364773901</v>
      </c>
      <c r="AB102" s="13">
        <v>0.22739588635226099</v>
      </c>
    </row>
    <row r="103" spans="1:28" x14ac:dyDescent="0.25">
      <c r="A103" s="1">
        <v>1944</v>
      </c>
      <c r="B103" s="1">
        <f t="shared" si="33"/>
        <v>-1.8307692307692306E-2</v>
      </c>
      <c r="C103" s="1">
        <f t="shared" si="26"/>
        <v>-1.362983269230769E-2</v>
      </c>
      <c r="D103" s="1">
        <f t="shared" si="27"/>
        <v>0</v>
      </c>
      <c r="E103" s="1">
        <f t="shared" si="34"/>
        <v>0.86560013860324403</v>
      </c>
      <c r="F103" s="1">
        <f t="shared" si="35"/>
        <v>4.677859615384616E-3</v>
      </c>
      <c r="G103" s="9">
        <f t="shared" si="28"/>
        <v>0.86560013860324403</v>
      </c>
      <c r="H103" s="1">
        <f t="shared" si="29"/>
        <v>0.35799011245452556</v>
      </c>
      <c r="I103" s="1">
        <f t="shared" si="36"/>
        <v>0.86560013860324403</v>
      </c>
      <c r="J103" s="3">
        <f t="shared" si="30"/>
        <v>0.86560013860324403</v>
      </c>
      <c r="K103" s="3">
        <f t="shared" si="31"/>
        <v>0.44643049491252196</v>
      </c>
      <c r="L103" s="6">
        <f t="shared" si="43"/>
        <v>-1.8307692307692306E-2</v>
      </c>
      <c r="M103" s="6">
        <f t="shared" si="44"/>
        <v>-2.2307692307692293E-3</v>
      </c>
      <c r="N103" s="6">
        <f t="shared" si="45"/>
        <v>-3.792307692307692E-2</v>
      </c>
      <c r="O103" s="6">
        <v>0.15</v>
      </c>
      <c r="P103" s="4">
        <v>0.14699999999999999</v>
      </c>
      <c r="Q103" s="5">
        <v>0.11700000000000001</v>
      </c>
      <c r="R103">
        <f t="shared" si="37"/>
        <v>-3.792307692307692E-2</v>
      </c>
      <c r="S103">
        <f t="shared" si="38"/>
        <v>5.882352941176467E-2</v>
      </c>
      <c r="T103">
        <f t="shared" si="39"/>
        <v>0.48275862068965514</v>
      </c>
      <c r="U103">
        <f t="shared" si="32"/>
        <v>-0.63723488843813381</v>
      </c>
      <c r="W103">
        <v>0.11700000000000001</v>
      </c>
      <c r="X103">
        <v>0.111417</v>
      </c>
      <c r="Y103" s="11">
        <f t="shared" si="40"/>
        <v>0.72982809785753489</v>
      </c>
      <c r="Z103">
        <f t="shared" si="41"/>
        <v>-1.3038849525561984E-2</v>
      </c>
      <c r="AA103" s="13">
        <f t="shared" si="42"/>
        <v>-0.25629011927150203</v>
      </c>
      <c r="AB103" s="13">
        <v>0.243709880728498</v>
      </c>
    </row>
    <row r="104" spans="1:28" x14ac:dyDescent="0.25">
      <c r="A104" s="1">
        <v>1945</v>
      </c>
      <c r="B104" s="1">
        <f t="shared" si="33"/>
        <v>-1.7692307692307695E-2</v>
      </c>
      <c r="C104" s="1">
        <f t="shared" si="26"/>
        <v>-1.0562501923076921E-2</v>
      </c>
      <c r="D104" s="1">
        <f t="shared" si="27"/>
        <v>0</v>
      </c>
      <c r="E104" s="1">
        <f t="shared" si="34"/>
        <v>0.7636213939906592</v>
      </c>
      <c r="F104" s="1">
        <f t="shared" si="35"/>
        <v>7.129805769230774E-3</v>
      </c>
      <c r="G104" s="9">
        <f t="shared" si="28"/>
        <v>0.7636213939906592</v>
      </c>
      <c r="H104" s="1">
        <f t="shared" si="29"/>
        <v>0.39881437268565278</v>
      </c>
      <c r="I104" s="1">
        <f t="shared" si="36"/>
        <v>0.7636213939906592</v>
      </c>
      <c r="J104" s="3">
        <f t="shared" si="30"/>
        <v>0.7636213939906592</v>
      </c>
      <c r="K104" s="3">
        <f t="shared" si="31"/>
        <v>0.32119634443244727</v>
      </c>
      <c r="L104" s="6">
        <f t="shared" si="43"/>
        <v>-1.7692307692307695E-2</v>
      </c>
      <c r="M104" s="6">
        <f t="shared" si="44"/>
        <v>1.4076923076923081E-2</v>
      </c>
      <c r="N104" s="6">
        <f t="shared" si="45"/>
        <v>-6.1000000000000006E-2</v>
      </c>
      <c r="O104" s="6">
        <v>3.3000000000000002E-2</v>
      </c>
      <c r="P104" s="4">
        <v>0.13400000000000001</v>
      </c>
      <c r="Q104" s="5">
        <v>-0.12</v>
      </c>
      <c r="R104">
        <f t="shared" si="37"/>
        <v>-6.1000000000000006E-2</v>
      </c>
      <c r="S104">
        <f t="shared" si="38"/>
        <v>-0.23076923076923081</v>
      </c>
      <c r="T104">
        <f t="shared" si="39"/>
        <v>0.2900378310214376</v>
      </c>
      <c r="U104">
        <f t="shared" si="32"/>
        <v>-0.45847566204287526</v>
      </c>
      <c r="W104">
        <v>-0.12</v>
      </c>
      <c r="X104">
        <v>-0.11700000000000001</v>
      </c>
      <c r="Y104" s="11">
        <f t="shared" si="40"/>
        <v>0.72778974194079638</v>
      </c>
      <c r="Z104">
        <f t="shared" si="41"/>
        <v>-3.6599009805682713E-3</v>
      </c>
      <c r="AA104" s="13">
        <f t="shared" si="42"/>
        <v>-0.29043820532974196</v>
      </c>
      <c r="AB104" s="13">
        <v>0.20956179467025801</v>
      </c>
    </row>
    <row r="105" spans="1:28" x14ac:dyDescent="0.25">
      <c r="A105" s="1">
        <v>1946</v>
      </c>
      <c r="B105" s="1">
        <f t="shared" si="33"/>
        <v>-5.9230769230769198E-3</v>
      </c>
      <c r="C105" s="1">
        <f t="shared" si="26"/>
        <v>5.689403846153851E-4</v>
      </c>
      <c r="D105" s="1">
        <f t="shared" si="27"/>
        <v>0</v>
      </c>
      <c r="E105" s="1">
        <f t="shared" si="34"/>
        <v>0.72632262272086201</v>
      </c>
      <c r="F105" s="1">
        <f t="shared" si="35"/>
        <v>6.4920173076923049E-3</v>
      </c>
      <c r="G105" s="9">
        <f t="shared" si="28"/>
        <v>0.72632262272086201</v>
      </c>
      <c r="H105" s="1">
        <f t="shared" si="29"/>
        <v>0.52169097528473041</v>
      </c>
      <c r="I105" s="1">
        <f t="shared" si="36"/>
        <v>0.72632262272086201</v>
      </c>
      <c r="J105" s="3">
        <f t="shared" si="30"/>
        <v>0.72632262272086201</v>
      </c>
      <c r="K105" s="3">
        <f t="shared" si="31"/>
        <v>0.22031044403779507</v>
      </c>
      <c r="L105" s="6">
        <f t="shared" si="43"/>
        <v>-5.9230769230769198E-3</v>
      </c>
      <c r="M105" s="6">
        <f t="shared" si="44"/>
        <v>2.646153846153846E-2</v>
      </c>
      <c r="N105" s="6">
        <f t="shared" si="45"/>
        <v>-5.1153846153846154E-2</v>
      </c>
      <c r="O105" s="6">
        <v>-6.8000000000000005E-2</v>
      </c>
      <c r="P105" s="4">
        <v>-1.7000000000000001E-2</v>
      </c>
      <c r="Q105" s="5">
        <v>-7.6999999999999999E-2</v>
      </c>
      <c r="R105">
        <f t="shared" si="37"/>
        <v>-5.1153846153846154E-2</v>
      </c>
      <c r="S105">
        <f t="shared" si="38"/>
        <v>-0.51729323308270669</v>
      </c>
      <c r="T105">
        <f t="shared" si="39"/>
        <v>0.11578947368421046</v>
      </c>
      <c r="U105">
        <f t="shared" si="32"/>
        <v>-0.31447112781954867</v>
      </c>
      <c r="W105">
        <v>-7.6999999999999999E-2</v>
      </c>
      <c r="X105">
        <v>-7.2583300000000003E-2</v>
      </c>
      <c r="Y105" s="11">
        <f t="shared" si="40"/>
        <v>0.72568684164434671</v>
      </c>
      <c r="Z105">
        <f t="shared" si="41"/>
        <v>1.1379102570078316E-2</v>
      </c>
      <c r="AA105" s="13">
        <f t="shared" si="42"/>
        <v>-0.27877164456166703</v>
      </c>
      <c r="AB105" s="13">
        <v>0.221228355438333</v>
      </c>
    </row>
    <row r="106" spans="1:28" x14ac:dyDescent="0.25">
      <c r="A106" s="1">
        <v>1947</v>
      </c>
      <c r="B106" s="1">
        <f t="shared" si="33"/>
        <v>-1.4E-2</v>
      </c>
      <c r="C106" s="1">
        <f t="shared" si="26"/>
        <v>-4.4525769230769237E-3</v>
      </c>
      <c r="D106" s="1">
        <f t="shared" si="27"/>
        <v>0</v>
      </c>
      <c r="E106" s="1">
        <f t="shared" si="34"/>
        <v>0.90372108788780481</v>
      </c>
      <c r="F106" s="1">
        <f t="shared" si="35"/>
        <v>9.5474230769230766E-3</v>
      </c>
      <c r="G106" s="9">
        <f t="shared" si="28"/>
        <v>0.90372108788780481</v>
      </c>
      <c r="H106" s="1">
        <f t="shared" si="29"/>
        <v>0.5770774562475065</v>
      </c>
      <c r="I106" s="1">
        <f t="shared" si="36"/>
        <v>0.90372108788780481</v>
      </c>
      <c r="J106" s="3">
        <f t="shared" si="30"/>
        <v>0.90372108788780481</v>
      </c>
      <c r="K106" s="3">
        <f t="shared" si="31"/>
        <v>0.37152538701367027</v>
      </c>
      <c r="L106" s="6">
        <f t="shared" si="43"/>
        <v>-1.4E-2</v>
      </c>
      <c r="M106" s="6">
        <f t="shared" si="44"/>
        <v>1.8153846153846152E-2</v>
      </c>
      <c r="N106" s="6">
        <f t="shared" si="45"/>
        <v>-5.0153846153846153E-2</v>
      </c>
      <c r="O106" s="6">
        <v>-3.7999999999999999E-2</v>
      </c>
      <c r="P106" s="4">
        <v>-5.6000000000000001E-2</v>
      </c>
      <c r="Q106" s="5">
        <v>-2E-3</v>
      </c>
      <c r="R106">
        <f t="shared" si="37"/>
        <v>-5.0153846153846153E-2</v>
      </c>
      <c r="S106">
        <f t="shared" si="38"/>
        <v>-0.36196319018404904</v>
      </c>
      <c r="T106">
        <f t="shared" si="39"/>
        <v>0.27914110429447853</v>
      </c>
      <c r="U106">
        <f t="shared" si="32"/>
        <v>-0.53031533742331294</v>
      </c>
      <c r="W106">
        <v>-2E-3</v>
      </c>
      <c r="X106">
        <v>-1.175E-2</v>
      </c>
      <c r="Y106" s="11">
        <f t="shared" si="40"/>
        <v>0.72352771554142237</v>
      </c>
      <c r="Z106">
        <f t="shared" si="41"/>
        <v>3.5482153396608467E-3</v>
      </c>
      <c r="AA106" s="13">
        <f t="shared" si="42"/>
        <v>-0.25626860749149999</v>
      </c>
      <c r="AB106" s="13">
        <v>0.24373139250850001</v>
      </c>
    </row>
    <row r="107" spans="1:28" x14ac:dyDescent="0.25">
      <c r="A107" s="1">
        <v>1948</v>
      </c>
      <c r="B107" s="1">
        <f t="shared" si="33"/>
        <v>-2.2076923076923081E-2</v>
      </c>
      <c r="C107" s="1">
        <f t="shared" si="26"/>
        <v>-1.2689844230769229E-2</v>
      </c>
      <c r="D107" s="1">
        <f t="shared" si="27"/>
        <v>-9.1840281662907766E-3</v>
      </c>
      <c r="E107" s="1">
        <f t="shared" si="34"/>
        <v>0.51128007596920888</v>
      </c>
      <c r="F107" s="1">
        <f t="shared" si="35"/>
        <v>9.3870788461538519E-3</v>
      </c>
      <c r="G107" s="9">
        <f t="shared" si="28"/>
        <v>0.51128007596920888</v>
      </c>
      <c r="H107" s="1">
        <f t="shared" si="29"/>
        <v>0.58774158354270911</v>
      </c>
      <c r="I107" s="1">
        <f t="shared" si="36"/>
        <v>1.0483706331832725</v>
      </c>
      <c r="J107" s="3">
        <f t="shared" si="30"/>
        <v>1.0483706331832725</v>
      </c>
      <c r="K107" s="3">
        <f t="shared" si="31"/>
        <v>0.51128007596920888</v>
      </c>
      <c r="L107" s="6">
        <f t="shared" si="43"/>
        <v>-2.2076923076923081E-2</v>
      </c>
      <c r="M107" s="6">
        <f t="shared" si="44"/>
        <v>3.0769230769230795E-3</v>
      </c>
      <c r="N107" s="6">
        <f t="shared" si="45"/>
        <v>-4.5615384615384613E-2</v>
      </c>
      <c r="O107" s="6">
        <v>-3.5000000000000003E-2</v>
      </c>
      <c r="P107" s="4">
        <v>-4.8000000000000001E-2</v>
      </c>
      <c r="Q107" s="5">
        <v>7.0000000000000001E-3</v>
      </c>
      <c r="R107">
        <f t="shared" si="37"/>
        <v>-4.5615384615384613E-2</v>
      </c>
      <c r="S107">
        <f t="shared" si="38"/>
        <v>-6.7453625632377806E-2</v>
      </c>
      <c r="T107">
        <f t="shared" si="39"/>
        <v>0.4839797639123104</v>
      </c>
      <c r="U107">
        <f t="shared" si="32"/>
        <v>-0.72980118043844877</v>
      </c>
      <c r="W107">
        <v>7.0000000000000001E-3</v>
      </c>
      <c r="X107">
        <v>2.1666699999999999E-3</v>
      </c>
      <c r="Y107" s="11">
        <f t="shared" si="40"/>
        <v>0.72132047731429338</v>
      </c>
      <c r="Z107">
        <f t="shared" si="41"/>
        <v>-1.0015268063983757E-2</v>
      </c>
      <c r="AA107" s="13">
        <f t="shared" si="42"/>
        <v>-0.25919023196313501</v>
      </c>
      <c r="AB107" s="13">
        <v>0.24080976803686499</v>
      </c>
    </row>
    <row r="108" spans="1:28" x14ac:dyDescent="0.25">
      <c r="A108" s="1">
        <v>1949</v>
      </c>
      <c r="B108" s="1">
        <f t="shared" si="33"/>
        <v>-5.0153846153846153E-2</v>
      </c>
      <c r="C108" s="1">
        <f t="shared" si="26"/>
        <v>-4.0419503846153851E-2</v>
      </c>
      <c r="D108" s="1">
        <f t="shared" si="27"/>
        <v>0</v>
      </c>
      <c r="E108" s="1">
        <f t="shared" si="34"/>
        <v>0.86171876926194568</v>
      </c>
      <c r="F108" s="1">
        <f t="shared" si="35"/>
        <v>9.7343423076923022E-3</v>
      </c>
      <c r="G108" s="9">
        <f t="shared" si="28"/>
        <v>0.86171876926194568</v>
      </c>
      <c r="H108" s="1">
        <f t="shared" si="29"/>
        <v>0.30541452086981619</v>
      </c>
      <c r="I108" s="1">
        <f t="shared" si="36"/>
        <v>0.86171876926194568</v>
      </c>
      <c r="J108" s="3">
        <f t="shared" si="30"/>
        <v>0.86171876926194568</v>
      </c>
      <c r="K108" s="3">
        <f t="shared" si="31"/>
        <v>0.47455104262936676</v>
      </c>
      <c r="L108" s="6">
        <f t="shared" si="43"/>
        <v>-5.0153846153846153E-2</v>
      </c>
      <c r="M108" s="6">
        <f t="shared" si="44"/>
        <v>-1.7153846153846155E-2</v>
      </c>
      <c r="N108" s="6">
        <f t="shared" si="45"/>
        <v>-9.1384615384615397E-2</v>
      </c>
      <c r="O108" s="6">
        <v>-7.5999999999999998E-2</v>
      </c>
      <c r="P108" s="4">
        <v>-5.2999999999999999E-2</v>
      </c>
      <c r="Q108" s="5">
        <v>-0.11600000000000001</v>
      </c>
      <c r="R108">
        <f t="shared" si="37"/>
        <v>-9.1384615384615397E-2</v>
      </c>
      <c r="S108">
        <f t="shared" si="38"/>
        <v>0.18771043771043769</v>
      </c>
      <c r="T108">
        <f t="shared" si="39"/>
        <v>0.54882154882154877</v>
      </c>
      <c r="U108">
        <f t="shared" si="32"/>
        <v>-0.67737415824915814</v>
      </c>
      <c r="W108">
        <v>-0.11600000000000001</v>
      </c>
      <c r="X108">
        <v>-0.112417</v>
      </c>
      <c r="Y108" s="11">
        <f t="shared" si="40"/>
        <v>0.719073043204844</v>
      </c>
      <c r="Z108">
        <f t="shared" si="41"/>
        <v>-4.318908491247779E-2</v>
      </c>
      <c r="AA108" s="13">
        <f t="shared" si="42"/>
        <v>-0.27318015730463596</v>
      </c>
      <c r="AB108" s="13">
        <v>0.22681984269536401</v>
      </c>
    </row>
    <row r="109" spans="1:28" x14ac:dyDescent="0.25">
      <c r="A109" s="1">
        <v>1950</v>
      </c>
      <c r="B109" s="1">
        <f t="shared" si="33"/>
        <v>-5.623076923076923E-2</v>
      </c>
      <c r="C109" s="1">
        <f t="shared" si="26"/>
        <v>-4.4872080769230771E-2</v>
      </c>
      <c r="D109" s="1">
        <f t="shared" si="27"/>
        <v>0</v>
      </c>
      <c r="E109" s="1">
        <f t="shared" si="34"/>
        <v>0.88279705138838516</v>
      </c>
      <c r="F109" s="1">
        <f t="shared" si="35"/>
        <v>1.1358688461538459E-2</v>
      </c>
      <c r="G109" s="9">
        <f t="shared" si="28"/>
        <v>0.88279705138838516</v>
      </c>
      <c r="H109" s="1">
        <f t="shared" si="29"/>
        <v>0.32224455721715506</v>
      </c>
      <c r="I109" s="1">
        <f t="shared" si="36"/>
        <v>0.88279705138838516</v>
      </c>
      <c r="J109" s="3">
        <f t="shared" si="30"/>
        <v>0.88279705138838516</v>
      </c>
      <c r="K109" s="3">
        <f t="shared" si="31"/>
        <v>0.4851048241237203</v>
      </c>
      <c r="L109" s="6">
        <f t="shared" si="43"/>
        <v>-5.623076923076923E-2</v>
      </c>
      <c r="M109" s="6">
        <f t="shared" si="44"/>
        <v>-1.9384615384615382E-2</v>
      </c>
      <c r="N109" s="6">
        <f t="shared" si="45"/>
        <v>-0.10076923076923078</v>
      </c>
      <c r="O109" s="6">
        <v>-0.17399999999999999</v>
      </c>
      <c r="P109" s="4">
        <v>-8.2000000000000003E-2</v>
      </c>
      <c r="Q109" s="5">
        <v>-0.314</v>
      </c>
      <c r="R109">
        <f t="shared" si="37"/>
        <v>-0.10076923076923078</v>
      </c>
      <c r="S109">
        <f t="shared" si="38"/>
        <v>0.19236641221374043</v>
      </c>
      <c r="T109">
        <f t="shared" si="39"/>
        <v>0.55801526717557248</v>
      </c>
      <c r="U109">
        <f t="shared" si="32"/>
        <v>-0.69243862595419836</v>
      </c>
      <c r="W109">
        <v>-0.314</v>
      </c>
      <c r="X109">
        <v>-0.29958299999999999</v>
      </c>
      <c r="Y109" s="11">
        <f t="shared" si="40"/>
        <v>0.71679310221225023</v>
      </c>
      <c r="Z109">
        <f t="shared" si="41"/>
        <v>-4.8151197753010924E-2</v>
      </c>
      <c r="AA109" s="13">
        <f t="shared" si="42"/>
        <v>-0.29590290166177102</v>
      </c>
      <c r="AB109" s="13">
        <v>0.204097098338229</v>
      </c>
    </row>
    <row r="110" spans="1:28" x14ac:dyDescent="0.25">
      <c r="A110" s="1">
        <v>1951</v>
      </c>
      <c r="B110" s="1">
        <f t="shared" si="33"/>
        <v>-6.9230769230769221E-2</v>
      </c>
      <c r="C110" s="1">
        <f t="shared" si="26"/>
        <v>-5.4519330769230781E-2</v>
      </c>
      <c r="D110" s="1">
        <f t="shared" si="27"/>
        <v>0</v>
      </c>
      <c r="E110" s="1">
        <f t="shared" si="34"/>
        <v>0.91650327816578347</v>
      </c>
      <c r="F110" s="1">
        <f t="shared" si="35"/>
        <v>1.471143846153844E-2</v>
      </c>
      <c r="G110" s="9">
        <f t="shared" si="28"/>
        <v>0.91650327816578347</v>
      </c>
      <c r="H110" s="1">
        <f t="shared" si="29"/>
        <v>0.34866051923140406</v>
      </c>
      <c r="I110" s="1">
        <f t="shared" si="36"/>
        <v>0.91650327816578347</v>
      </c>
      <c r="J110" s="3">
        <f t="shared" si="30"/>
        <v>0.91650327816578347</v>
      </c>
      <c r="K110" s="3">
        <f t="shared" si="31"/>
        <v>0.50283168980172921</v>
      </c>
      <c r="L110" s="6">
        <f t="shared" si="43"/>
        <v>-6.9230769230769221E-2</v>
      </c>
      <c r="M110" s="6">
        <f t="shared" si="44"/>
        <v>-2.4538461538461544E-2</v>
      </c>
      <c r="N110" s="6">
        <f t="shared" si="45"/>
        <v>-0.12046153846153848</v>
      </c>
      <c r="O110" s="6">
        <v>-4.8000000000000001E-2</v>
      </c>
      <c r="P110" s="4">
        <v>4.0000000000000001E-3</v>
      </c>
      <c r="Q110" s="5">
        <v>-0.1</v>
      </c>
      <c r="R110">
        <f t="shared" si="37"/>
        <v>-0.12046153846153848</v>
      </c>
      <c r="S110">
        <f t="shared" si="38"/>
        <v>0.20370370370370372</v>
      </c>
      <c r="T110">
        <f t="shared" si="39"/>
        <v>0.57471264367816077</v>
      </c>
      <c r="U110">
        <f t="shared" si="32"/>
        <v>-0.71774195402298824</v>
      </c>
      <c r="W110">
        <v>-0.1</v>
      </c>
      <c r="X110">
        <v>-0.10066700000000001</v>
      </c>
      <c r="Y110" s="11">
        <f t="shared" si="40"/>
        <v>0.71448810119181871</v>
      </c>
      <c r="Z110">
        <f t="shared" si="41"/>
        <v>-5.8999533362008978E-2</v>
      </c>
      <c r="AA110" s="13">
        <f t="shared" si="42"/>
        <v>-0.25676155611001</v>
      </c>
      <c r="AB110" s="13">
        <v>0.24323844388999</v>
      </c>
    </row>
    <row r="111" spans="1:28" x14ac:dyDescent="0.25">
      <c r="A111" s="1">
        <v>1952</v>
      </c>
      <c r="B111" s="1">
        <f t="shared" si="33"/>
        <v>-5.2846153846153841E-2</v>
      </c>
      <c r="C111" s="1">
        <f t="shared" si="26"/>
        <v>-3.9380569230769241E-2</v>
      </c>
      <c r="D111" s="1">
        <f t="shared" si="27"/>
        <v>-1.2491384078193703E-2</v>
      </c>
      <c r="E111" s="1">
        <f t="shared" si="34"/>
        <v>0.54381197660891001</v>
      </c>
      <c r="F111" s="1">
        <f t="shared" si="35"/>
        <v>1.34655846153846E-2</v>
      </c>
      <c r="G111" s="9">
        <f t="shared" si="28"/>
        <v>0.54381197660891001</v>
      </c>
      <c r="H111" s="1">
        <f t="shared" si="29"/>
        <v>0.44151174611353239</v>
      </c>
      <c r="I111" s="1">
        <f t="shared" si="36"/>
        <v>1.009318143394059</v>
      </c>
      <c r="J111" s="3">
        <f t="shared" si="30"/>
        <v>1.009318143394059</v>
      </c>
      <c r="K111" s="3">
        <f t="shared" si="31"/>
        <v>0.54381197660891001</v>
      </c>
      <c r="L111" s="6">
        <f t="shared" si="43"/>
        <v>-5.2846153846153841E-2</v>
      </c>
      <c r="M111" s="6">
        <f t="shared" si="44"/>
        <v>-1.7307692307692309E-2</v>
      </c>
      <c r="N111" s="6">
        <f t="shared" si="45"/>
        <v>-8.7846153846153879E-2</v>
      </c>
      <c r="O111" s="6">
        <v>3.3000000000000002E-2</v>
      </c>
      <c r="P111" s="4">
        <v>8.6999999999999994E-2</v>
      </c>
      <c r="Q111" s="5">
        <v>-5.8000000000000003E-2</v>
      </c>
      <c r="R111">
        <f t="shared" si="37"/>
        <v>-8.7846153846153879E-2</v>
      </c>
      <c r="S111">
        <f t="shared" si="38"/>
        <v>0.19702276707530642</v>
      </c>
      <c r="T111">
        <f t="shared" si="39"/>
        <v>0.60157618213660213</v>
      </c>
      <c r="U111">
        <f t="shared" si="32"/>
        <v>-0.7762372154115581</v>
      </c>
      <c r="W111">
        <v>-5.8000000000000003E-2</v>
      </c>
      <c r="X111">
        <v>-6.5000000000000002E-2</v>
      </c>
      <c r="Y111" s="11">
        <f t="shared" si="40"/>
        <v>0.7121651703491807</v>
      </c>
      <c r="Z111">
        <f t="shared" si="41"/>
        <v>-4.2495346994222957E-2</v>
      </c>
      <c r="AA111" s="13">
        <f t="shared" si="42"/>
        <v>-0.250575422506566</v>
      </c>
      <c r="AB111" s="13">
        <v>0.249424577493434</v>
      </c>
    </row>
    <row r="112" spans="1:28" x14ac:dyDescent="0.25">
      <c r="A112" s="1">
        <v>1953</v>
      </c>
      <c r="B112" s="1">
        <f t="shared" si="33"/>
        <v>-4.7076923076923079E-2</v>
      </c>
      <c r="C112" s="1">
        <f t="shared" si="26"/>
        <v>-3.4507471153846163E-2</v>
      </c>
      <c r="D112" s="1">
        <f t="shared" si="27"/>
        <v>0</v>
      </c>
      <c r="E112" s="1">
        <f t="shared" si="34"/>
        <v>0.96512993019304383</v>
      </c>
      <c r="F112" s="1">
        <f t="shared" si="35"/>
        <v>1.2569451923076916E-2</v>
      </c>
      <c r="G112" s="9">
        <f t="shared" si="28"/>
        <v>0.96512993019304383</v>
      </c>
      <c r="H112" s="1">
        <f t="shared" si="29"/>
        <v>0.4223532373415772</v>
      </c>
      <c r="I112" s="1">
        <f t="shared" si="36"/>
        <v>0.96512993019304383</v>
      </c>
      <c r="J112" s="3">
        <f t="shared" si="30"/>
        <v>0.96512993019304383</v>
      </c>
      <c r="K112" s="3">
        <f t="shared" si="31"/>
        <v>0.50983562177093789</v>
      </c>
      <c r="L112" s="6">
        <f t="shared" si="43"/>
        <v>-4.7076923076923079E-2</v>
      </c>
      <c r="M112" s="6">
        <f t="shared" si="44"/>
        <v>-1.1153846153846153E-2</v>
      </c>
      <c r="N112" s="6">
        <f t="shared" si="45"/>
        <v>-8.5000000000000034E-2</v>
      </c>
      <c r="O112" s="6">
        <v>0.10100000000000001</v>
      </c>
      <c r="P112" s="4">
        <v>0.09</v>
      </c>
      <c r="Q112" s="5">
        <v>0.13200000000000001</v>
      </c>
      <c r="R112">
        <f t="shared" si="37"/>
        <v>-8.5000000000000034E-2</v>
      </c>
      <c r="S112">
        <f t="shared" si="38"/>
        <v>0.13122171945701352</v>
      </c>
      <c r="T112">
        <f t="shared" si="39"/>
        <v>0.55384615384615365</v>
      </c>
      <c r="U112">
        <f t="shared" si="32"/>
        <v>-0.72773936651583671</v>
      </c>
      <c r="W112">
        <v>0.13200000000000001</v>
      </c>
      <c r="X112">
        <v>0.11749999999999999</v>
      </c>
      <c r="Y112" s="11">
        <f t="shared" si="40"/>
        <v>0.70983115304261446</v>
      </c>
      <c r="Z112">
        <f t="shared" si="41"/>
        <v>-3.555013881358008E-2</v>
      </c>
      <c r="AA112" s="13">
        <f t="shared" si="42"/>
        <v>-0.21243072146800501</v>
      </c>
      <c r="AB112" s="13">
        <v>0.28756927853199499</v>
      </c>
    </row>
    <row r="113" spans="1:28" x14ac:dyDescent="0.25">
      <c r="A113" s="1">
        <v>1954</v>
      </c>
      <c r="B113" s="1">
        <f t="shared" si="33"/>
        <v>-3.5230769230769232E-2</v>
      </c>
      <c r="C113" s="1">
        <f t="shared" si="26"/>
        <v>-2.2064992307692308E-2</v>
      </c>
      <c r="D113" s="1">
        <f t="shared" si="27"/>
        <v>-1.1919598857335512E-2</v>
      </c>
      <c r="E113" s="1">
        <f t="shared" si="34"/>
        <v>0.55882481785916027</v>
      </c>
      <c r="F113" s="1">
        <f t="shared" si="35"/>
        <v>1.3165776923076924E-2</v>
      </c>
      <c r="G113" s="9">
        <f t="shared" si="28"/>
        <v>0.55882481785916027</v>
      </c>
      <c r="H113" s="1">
        <f t="shared" si="29"/>
        <v>0.6014707936739806</v>
      </c>
      <c r="I113" s="1">
        <f t="shared" si="36"/>
        <v>1.1021521832580381</v>
      </c>
      <c r="J113" s="3">
        <f t="shared" si="30"/>
        <v>1.1021521832580381</v>
      </c>
      <c r="K113" s="3">
        <f t="shared" si="31"/>
        <v>0.55882481785916027</v>
      </c>
      <c r="L113" s="6">
        <f t="shared" si="43"/>
        <v>-3.5230769230769232E-2</v>
      </c>
      <c r="M113" s="6">
        <f t="shared" si="44"/>
        <v>-2.6923076923076922E-3</v>
      </c>
      <c r="N113" s="6">
        <f t="shared" si="45"/>
        <v>-6.3230769230769229E-2</v>
      </c>
      <c r="O113" s="6">
        <v>-0.128</v>
      </c>
      <c r="P113" s="4">
        <v>-9.7000000000000003E-2</v>
      </c>
      <c r="Q113" s="5">
        <v>-0.153</v>
      </c>
      <c r="R113">
        <f t="shared" si="37"/>
        <v>-6.3230769230769229E-2</v>
      </c>
      <c r="S113">
        <f t="shared" si="38"/>
        <v>4.2579075425790751E-2</v>
      </c>
      <c r="T113">
        <f t="shared" si="39"/>
        <v>0.55717761557177614</v>
      </c>
      <c r="U113">
        <f t="shared" si="32"/>
        <v>-0.79766654501216538</v>
      </c>
      <c r="W113">
        <v>-0.153</v>
      </c>
      <c r="X113">
        <v>-0.151</v>
      </c>
      <c r="Y113" s="11">
        <f t="shared" si="40"/>
        <v>0.70749252382665873</v>
      </c>
      <c r="Z113">
        <f t="shared" si="41"/>
        <v>-2.0818898990149673E-2</v>
      </c>
      <c r="AA113" s="13">
        <f t="shared" si="42"/>
        <v>-0.24797719395909501</v>
      </c>
      <c r="AB113" s="13">
        <v>0.25202280604090499</v>
      </c>
    </row>
    <row r="114" spans="1:28" x14ac:dyDescent="0.25">
      <c r="A114" s="1">
        <v>1955</v>
      </c>
      <c r="B114" s="1">
        <f t="shared" si="33"/>
        <v>-5.1230769230769233E-2</v>
      </c>
      <c r="C114" s="1">
        <f t="shared" si="26"/>
        <v>-3.8094269230769237E-2</v>
      </c>
      <c r="D114" s="1">
        <f t="shared" si="27"/>
        <v>0</v>
      </c>
      <c r="E114" s="1">
        <f t="shared" si="34"/>
        <v>0.97793776924779241</v>
      </c>
      <c r="F114" s="1">
        <f t="shared" si="35"/>
        <v>1.3136499999999995E-2</v>
      </c>
      <c r="G114" s="9">
        <f t="shared" si="28"/>
        <v>0.97793776924779241</v>
      </c>
      <c r="H114" s="1">
        <f t="shared" si="29"/>
        <v>0.4220667716878973</v>
      </c>
      <c r="I114" s="1">
        <f t="shared" si="36"/>
        <v>0.97793776924779241</v>
      </c>
      <c r="J114" s="3">
        <f t="shared" si="30"/>
        <v>0.97793776924779241</v>
      </c>
      <c r="K114" s="3">
        <f t="shared" si="31"/>
        <v>0.52279789116194431</v>
      </c>
      <c r="L114" s="6">
        <f t="shared" si="43"/>
        <v>-5.1230769230769233E-2</v>
      </c>
      <c r="M114" s="6">
        <f t="shared" si="44"/>
        <v>-1.4692307692307692E-2</v>
      </c>
      <c r="N114" s="6">
        <f t="shared" si="45"/>
        <v>-8.9076923076923109E-2</v>
      </c>
      <c r="O114" s="6">
        <v>-0.185</v>
      </c>
      <c r="P114" s="4">
        <v>-0.16200000000000001</v>
      </c>
      <c r="Q114" s="5">
        <v>-0.189</v>
      </c>
      <c r="R114">
        <f t="shared" si="37"/>
        <v>-8.9076923076923109E-2</v>
      </c>
      <c r="S114">
        <f t="shared" si="38"/>
        <v>0.16493955094991358</v>
      </c>
      <c r="T114">
        <f t="shared" si="39"/>
        <v>0.5751295336787563</v>
      </c>
      <c r="U114">
        <f t="shared" si="32"/>
        <v>-0.74624170984455929</v>
      </c>
      <c r="W114">
        <v>-0.189</v>
      </c>
      <c r="X114">
        <v>-0.184</v>
      </c>
      <c r="Y114" s="11">
        <f t="shared" si="40"/>
        <v>0.70515540707856417</v>
      </c>
      <c r="Z114">
        <f t="shared" si="41"/>
        <v>-4.037306214649463E-2</v>
      </c>
      <c r="AA114" s="13">
        <f t="shared" si="42"/>
        <v>-0.23089254542153298</v>
      </c>
      <c r="AB114" s="13">
        <v>0.26910745457846702</v>
      </c>
    </row>
    <row r="115" spans="1:28" x14ac:dyDescent="0.25">
      <c r="A115" s="1">
        <v>1956</v>
      </c>
      <c r="B115" s="1">
        <f t="shared" si="33"/>
        <v>-4.5384615384615384E-2</v>
      </c>
      <c r="C115" s="1">
        <f t="shared" si="26"/>
        <v>-3.361695576923078E-2</v>
      </c>
      <c r="D115" s="1">
        <f t="shared" si="27"/>
        <v>0</v>
      </c>
      <c r="E115" s="1">
        <f t="shared" si="34"/>
        <v>0.91244426365074582</v>
      </c>
      <c r="F115" s="1">
        <f t="shared" si="35"/>
        <v>1.1767659615384604E-2</v>
      </c>
      <c r="G115" s="9">
        <f t="shared" si="28"/>
        <v>0.91244426365074582</v>
      </c>
      <c r="H115" s="1">
        <f t="shared" si="29"/>
        <v>0.38511869038146762</v>
      </c>
      <c r="I115" s="1">
        <f t="shared" si="36"/>
        <v>0.91244426365074582</v>
      </c>
      <c r="J115" s="3">
        <f t="shared" si="30"/>
        <v>0.91244426365074582</v>
      </c>
      <c r="K115" s="3">
        <f t="shared" si="31"/>
        <v>0.47768223593302511</v>
      </c>
      <c r="L115" s="6">
        <f t="shared" si="43"/>
        <v>-4.5384615384615384E-2</v>
      </c>
      <c r="M115" s="6">
        <f t="shared" si="44"/>
        <v>-8.5384615384615434E-3</v>
      </c>
      <c r="N115" s="6">
        <f t="shared" si="45"/>
        <v>-8.7461538461538479E-2</v>
      </c>
      <c r="O115" s="6">
        <v>-0.26200000000000001</v>
      </c>
      <c r="P115" s="4">
        <v>-0.16300000000000001</v>
      </c>
      <c r="Q115" s="5">
        <v>-0.42699999999999999</v>
      </c>
      <c r="R115">
        <f t="shared" si="37"/>
        <v>-8.7461538461538479E-2</v>
      </c>
      <c r="S115">
        <f t="shared" si="38"/>
        <v>9.762532981530346E-2</v>
      </c>
      <c r="T115">
        <f t="shared" si="39"/>
        <v>0.51890941072999108</v>
      </c>
      <c r="U115">
        <f t="shared" si="32"/>
        <v>-0.68184362357080008</v>
      </c>
      <c r="W115">
        <v>-0.42699999999999999</v>
      </c>
      <c r="X115">
        <v>-0.41108299999999998</v>
      </c>
      <c r="Y115" s="11">
        <f t="shared" si="40"/>
        <v>0.70282551366835833</v>
      </c>
      <c r="Z115">
        <f t="shared" si="41"/>
        <v>-3.3710811571773518E-2</v>
      </c>
      <c r="AA115" s="13">
        <f t="shared" si="42"/>
        <v>-0.27004392174505099</v>
      </c>
      <c r="AB115" s="13">
        <v>0.22995607825494899</v>
      </c>
    </row>
    <row r="116" spans="1:28" x14ac:dyDescent="0.25">
      <c r="A116" s="1">
        <v>1957</v>
      </c>
      <c r="B116" s="1">
        <f t="shared" si="33"/>
        <v>-4.6769230769230771E-2</v>
      </c>
      <c r="C116" s="1">
        <f t="shared" si="26"/>
        <v>-3.371590192307692E-2</v>
      </c>
      <c r="D116" s="1">
        <f t="shared" si="27"/>
        <v>0</v>
      </c>
      <c r="E116" s="1">
        <f t="shared" si="34"/>
        <v>0.98511747052874621</v>
      </c>
      <c r="F116" s="1">
        <f t="shared" si="35"/>
        <v>1.3053328846153851E-2</v>
      </c>
      <c r="G116" s="9">
        <f t="shared" si="28"/>
        <v>0.98511747052874621</v>
      </c>
      <c r="H116" s="1">
        <f t="shared" si="29"/>
        <v>0.44468902650551473</v>
      </c>
      <c r="I116" s="1">
        <f t="shared" si="36"/>
        <v>0.98511747052874621</v>
      </c>
      <c r="J116" s="3">
        <f t="shared" si="30"/>
        <v>0.98511747052874621</v>
      </c>
      <c r="K116" s="3">
        <f t="shared" si="31"/>
        <v>0.51793932986552205</v>
      </c>
      <c r="L116" s="6">
        <f t="shared" si="43"/>
        <v>-4.6769230769230771E-2</v>
      </c>
      <c r="M116" s="6">
        <f t="shared" si="44"/>
        <v>-1.0461538461538463E-2</v>
      </c>
      <c r="N116" s="6">
        <f t="shared" si="45"/>
        <v>-8.3923076923076906E-2</v>
      </c>
      <c r="O116" s="6">
        <v>-1E-3</v>
      </c>
      <c r="P116" s="4">
        <v>5.0999999999999997E-2</v>
      </c>
      <c r="Q116" s="5">
        <v>-6.8000000000000005E-2</v>
      </c>
      <c r="R116">
        <f t="shared" si="37"/>
        <v>-8.3923076923076906E-2</v>
      </c>
      <c r="S116">
        <f t="shared" si="38"/>
        <v>0.12465627864344643</v>
      </c>
      <c r="T116">
        <f t="shared" si="39"/>
        <v>0.55728689275893695</v>
      </c>
      <c r="U116">
        <f t="shared" si="32"/>
        <v>-0.73930659945004618</v>
      </c>
      <c r="W116">
        <v>-6.8000000000000005E-2</v>
      </c>
      <c r="X116">
        <v>-7.0749999999999993E-2</v>
      </c>
      <c r="Y116" s="11">
        <f t="shared" si="40"/>
        <v>0.70050814840942621</v>
      </c>
      <c r="Z116">
        <f t="shared" si="41"/>
        <v>-3.4685725316772567E-2</v>
      </c>
      <c r="AA116" s="13">
        <f t="shared" si="42"/>
        <v>-0.20729024415282199</v>
      </c>
      <c r="AB116" s="13">
        <v>0.29270975584717801</v>
      </c>
    </row>
    <row r="117" spans="1:28" x14ac:dyDescent="0.25">
      <c r="A117" s="1">
        <v>1958</v>
      </c>
      <c r="B117" s="1">
        <f t="shared" si="33"/>
        <v>-4.8769230769230773E-2</v>
      </c>
      <c r="C117" s="1">
        <f t="shared" si="26"/>
        <v>-3.8143742307692304E-2</v>
      </c>
      <c r="D117" s="1">
        <f t="shared" si="27"/>
        <v>0</v>
      </c>
      <c r="E117" s="7">
        <f t="shared" si="34"/>
        <v>0.90830005006617631</v>
      </c>
      <c r="F117" s="1">
        <f t="shared" si="35"/>
        <v>1.062548846153847E-2</v>
      </c>
      <c r="G117" s="9">
        <f t="shared" si="28"/>
        <v>0.90830005006617631</v>
      </c>
      <c r="H117" s="1">
        <f t="shared" si="29"/>
        <v>0.34903487916848641</v>
      </c>
      <c r="I117" s="1">
        <f t="shared" si="36"/>
        <v>0.90830005006617631</v>
      </c>
      <c r="J117" s="3">
        <f t="shared" si="30"/>
        <v>0.90830005006617631</v>
      </c>
      <c r="K117" s="3">
        <f t="shared" si="31"/>
        <v>0.49440643982933274</v>
      </c>
      <c r="L117" s="6">
        <f t="shared" si="43"/>
        <v>-4.8769230769230773E-2</v>
      </c>
      <c r="M117" s="6">
        <f t="shared" si="44"/>
        <v>-1.5846153846153847E-2</v>
      </c>
      <c r="N117" s="6">
        <f t="shared" si="45"/>
        <v>-8.6923076923076908E-2</v>
      </c>
      <c r="O117" s="6">
        <v>4.9000000000000002E-2</v>
      </c>
      <c r="P117" s="4">
        <v>8.3000000000000004E-2</v>
      </c>
      <c r="Q117" s="5">
        <v>5.0999999999999997E-2</v>
      </c>
      <c r="R117">
        <f t="shared" si="37"/>
        <v>-8.6923076923076908E-2</v>
      </c>
      <c r="S117">
        <f t="shared" si="38"/>
        <v>0.18230088495575225</v>
      </c>
      <c r="T117">
        <f t="shared" si="39"/>
        <v>0.56106194690265498</v>
      </c>
      <c r="U117">
        <f t="shared" si="32"/>
        <v>-0.70571575221238958</v>
      </c>
      <c r="W117">
        <v>5.0999999999999997E-2</v>
      </c>
      <c r="X117">
        <v>4.0750000000000001E-2</v>
      </c>
      <c r="Y117" s="11">
        <f t="shared" si="40"/>
        <v>0.69820815790444613</v>
      </c>
      <c r="Z117">
        <f t="shared" si="41"/>
        <v>-4.1083825219148475E-2</v>
      </c>
      <c r="AA117" s="13">
        <f t="shared" si="42"/>
        <v>-0.19634656888110802</v>
      </c>
      <c r="AB117" s="13">
        <v>0.30365343111889198</v>
      </c>
    </row>
    <row r="118" spans="1:28" x14ac:dyDescent="0.25">
      <c r="A118" s="1">
        <v>1959</v>
      </c>
      <c r="B118" s="1">
        <f t="shared" si="33"/>
        <v>-6.3769230769230772E-2</v>
      </c>
      <c r="C118" s="1">
        <f t="shared" si="26"/>
        <v>-5.0363592307692301E-2</v>
      </c>
      <c r="D118" s="1">
        <f t="shared" si="27"/>
        <v>0</v>
      </c>
      <c r="E118" s="7">
        <f t="shared" si="34"/>
        <v>0.96594200983914946</v>
      </c>
      <c r="F118" s="1">
        <f t="shared" si="35"/>
        <v>1.3405638461538472E-2</v>
      </c>
      <c r="G118" s="9">
        <f t="shared" si="28"/>
        <v>0.96594200983914946</v>
      </c>
      <c r="H118" s="1">
        <f t="shared" si="29"/>
        <v>0.37464451200038146</v>
      </c>
      <c r="I118" s="1">
        <f t="shared" si="36"/>
        <v>0.96594200983914946</v>
      </c>
      <c r="J118" s="3">
        <f t="shared" si="30"/>
        <v>0.96594200983914946</v>
      </c>
      <c r="K118" s="3">
        <f t="shared" si="31"/>
        <v>0.5371329078783319</v>
      </c>
      <c r="L118" s="6">
        <f t="shared" si="43"/>
        <v>-6.3769230769230772E-2</v>
      </c>
      <c r="M118" s="6">
        <f t="shared" si="44"/>
        <v>-2.6846153846153846E-2</v>
      </c>
      <c r="N118" s="6">
        <f t="shared" si="45"/>
        <v>-0.10292307692307691</v>
      </c>
      <c r="O118" s="6">
        <v>1.7000000000000001E-2</v>
      </c>
      <c r="P118" s="4">
        <v>4.1000000000000002E-2</v>
      </c>
      <c r="Q118" s="5">
        <v>1.9E-2</v>
      </c>
      <c r="R118">
        <f t="shared" si="37"/>
        <v>-0.10292307692307691</v>
      </c>
      <c r="S118">
        <f t="shared" si="38"/>
        <v>0.26083707025411063</v>
      </c>
      <c r="T118">
        <f t="shared" si="39"/>
        <v>0.61958146487294485</v>
      </c>
      <c r="U118">
        <f t="shared" si="32"/>
        <v>-0.76670351270553094</v>
      </c>
      <c r="W118">
        <v>1.9E-2</v>
      </c>
      <c r="X118">
        <v>1.55E-2</v>
      </c>
      <c r="Y118" s="11">
        <f t="shared" si="40"/>
        <v>0.69592991564422846</v>
      </c>
      <c r="Z118">
        <f t="shared" si="41"/>
        <v>-5.6998528558232342E-2</v>
      </c>
      <c r="AA118" s="13">
        <f t="shared" si="42"/>
        <v>-0.18371469156629799</v>
      </c>
      <c r="AB118" s="13">
        <v>0.31628530843370201</v>
      </c>
    </row>
    <row r="119" spans="1:28" x14ac:dyDescent="0.25">
      <c r="A119" s="1">
        <v>1960</v>
      </c>
      <c r="B119" s="1">
        <f t="shared" si="33"/>
        <v>-7.5769230769230755E-2</v>
      </c>
      <c r="C119" s="1">
        <f t="shared" si="26"/>
        <v>-6.0752938461538453E-2</v>
      </c>
      <c r="D119" s="1">
        <f t="shared" si="27"/>
        <v>0</v>
      </c>
      <c r="E119" s="1">
        <f t="shared" si="34"/>
        <v>0.96507705527223164</v>
      </c>
      <c r="F119" s="1">
        <f t="shared" si="35"/>
        <v>1.5016292307692303E-2</v>
      </c>
      <c r="G119" s="9">
        <f t="shared" si="28"/>
        <v>0.96507705527223164</v>
      </c>
      <c r="H119" s="1">
        <f t="shared" si="29"/>
        <v>0.36285807377039248</v>
      </c>
      <c r="I119" s="1">
        <f t="shared" si="36"/>
        <v>0.96507705527223164</v>
      </c>
      <c r="J119" s="3">
        <f t="shared" si="30"/>
        <v>0.96507705527223164</v>
      </c>
      <c r="K119" s="3">
        <f t="shared" si="31"/>
        <v>0.54306709336707637</v>
      </c>
      <c r="L119" s="6">
        <f t="shared" si="43"/>
        <v>-7.5769230769230755E-2</v>
      </c>
      <c r="M119" s="6">
        <f t="shared" si="44"/>
        <v>-3.4769230769230768E-2</v>
      </c>
      <c r="N119" s="6">
        <f t="shared" si="45"/>
        <v>-0.11938461538461537</v>
      </c>
      <c r="O119" s="6">
        <v>-0.05</v>
      </c>
      <c r="P119" s="4">
        <v>-2E-3</v>
      </c>
      <c r="Q119" s="5">
        <v>-7.5999999999999998E-2</v>
      </c>
      <c r="R119">
        <f t="shared" si="37"/>
        <v>-0.11938461538461537</v>
      </c>
      <c r="S119">
        <f t="shared" si="38"/>
        <v>0.29123711340206188</v>
      </c>
      <c r="T119">
        <f t="shared" si="39"/>
        <v>0.63466494845360821</v>
      </c>
      <c r="U119">
        <f t="shared" si="32"/>
        <v>-0.77517396907216485</v>
      </c>
      <c r="W119">
        <v>-7.5999999999999998E-2</v>
      </c>
      <c r="X119">
        <v>-7.2666700000000001E-2</v>
      </c>
      <c r="Y119" s="11">
        <f t="shared" si="40"/>
        <v>0.69367724750190973</v>
      </c>
      <c r="Z119">
        <f t="shared" si="41"/>
        <v>-6.9952647907757459E-2</v>
      </c>
      <c r="AA119" s="13">
        <f t="shared" si="42"/>
        <v>-0.20211075387052302</v>
      </c>
      <c r="AB119" s="13">
        <v>0.29788924612947698</v>
      </c>
    </row>
    <row r="120" spans="1:28" x14ac:dyDescent="0.25">
      <c r="A120" s="1">
        <v>1961</v>
      </c>
      <c r="B120" s="1">
        <f t="shared" si="33"/>
        <v>-7.7076923076923071E-2</v>
      </c>
      <c r="C120" s="1">
        <f t="shared" si="26"/>
        <v>-6.2410286538461535E-2</v>
      </c>
      <c r="D120" s="1">
        <f t="shared" si="27"/>
        <v>0</v>
      </c>
      <c r="E120" s="7">
        <f t="shared" si="34"/>
        <v>0.93854922321205947</v>
      </c>
      <c r="F120" s="1">
        <f t="shared" si="35"/>
        <v>1.4666636538461536E-2</v>
      </c>
      <c r="G120" s="9">
        <f t="shared" si="28"/>
        <v>0.93854922321205947</v>
      </c>
      <c r="H120" s="1">
        <f t="shared" si="29"/>
        <v>0.34012385251297361</v>
      </c>
      <c r="I120" s="1">
        <f t="shared" si="36"/>
        <v>0.93854922321205947</v>
      </c>
      <c r="J120" s="3">
        <f t="shared" si="30"/>
        <v>0.93854922321205947</v>
      </c>
      <c r="K120" s="3">
        <f t="shared" si="31"/>
        <v>0.52997322316418782</v>
      </c>
      <c r="L120" s="6">
        <f t="shared" si="43"/>
        <v>-7.7076923076923071E-2</v>
      </c>
      <c r="M120" s="6">
        <f t="shared" si="44"/>
        <v>-3.5153846153846154E-2</v>
      </c>
      <c r="N120" s="6">
        <f t="shared" si="45"/>
        <v>-0.12376923076923076</v>
      </c>
      <c r="O120" s="6">
        <v>3.9E-2</v>
      </c>
      <c r="P120" s="4">
        <v>5.2999999999999999E-2</v>
      </c>
      <c r="Q120" s="5">
        <v>4.2999999999999997E-2</v>
      </c>
      <c r="R120">
        <f t="shared" si="37"/>
        <v>-0.12376923076923076</v>
      </c>
      <c r="S120">
        <f t="shared" si="38"/>
        <v>0.28402734617775016</v>
      </c>
      <c r="T120">
        <f t="shared" si="39"/>
        <v>0.62274704785581103</v>
      </c>
      <c r="U120">
        <f t="shared" si="32"/>
        <v>-0.75648377874456174</v>
      </c>
      <c r="W120">
        <v>4.2999999999999997E-2</v>
      </c>
      <c r="X120">
        <v>4.2250000000000003E-2</v>
      </c>
      <c r="Y120" s="11">
        <f t="shared" si="40"/>
        <v>0.69145351368933916</v>
      </c>
      <c r="Z120">
        <f t="shared" si="41"/>
        <v>-7.1719999532327813E-2</v>
      </c>
      <c r="AA120" s="13">
        <f t="shared" si="42"/>
        <v>-0.15616340507113102</v>
      </c>
      <c r="AB120" s="13">
        <v>0.34383659492886898</v>
      </c>
    </row>
    <row r="121" spans="1:28" x14ac:dyDescent="0.25">
      <c r="A121" s="1">
        <v>1962</v>
      </c>
      <c r="B121" s="1">
        <f t="shared" si="33"/>
        <v>-3.9538461538461536E-2</v>
      </c>
      <c r="C121" s="1">
        <f t="shared" si="26"/>
        <v>-2.8941750000000006E-2</v>
      </c>
      <c r="D121" s="1">
        <f t="shared" si="27"/>
        <v>0</v>
      </c>
      <c r="E121" s="1">
        <f t="shared" si="34"/>
        <v>0.80863481497052392</v>
      </c>
      <c r="F121" s="1">
        <f t="shared" si="35"/>
        <v>1.0596711538461531E-2</v>
      </c>
      <c r="G121" s="9">
        <f t="shared" si="28"/>
        <v>0.80863481497052392</v>
      </c>
      <c r="H121" s="1">
        <f t="shared" si="29"/>
        <v>0.34214623017670126</v>
      </c>
      <c r="I121" s="1">
        <f t="shared" si="36"/>
        <v>0.80863481497052392</v>
      </c>
      <c r="J121" s="3">
        <f t="shared" si="30"/>
        <v>0.80863481497052392</v>
      </c>
      <c r="K121" s="3">
        <f t="shared" si="31"/>
        <v>0.39884591803187092</v>
      </c>
      <c r="L121" s="6">
        <f t="shared" si="43"/>
        <v>-3.9538461538461536E-2</v>
      </c>
      <c r="M121" s="6">
        <f t="shared" si="44"/>
        <v>2.0769230769230756E-3</v>
      </c>
      <c r="N121" s="6">
        <f t="shared" si="45"/>
        <v>-9.4153846153846171E-2</v>
      </c>
      <c r="O121" s="6">
        <v>1.7999999999999999E-2</v>
      </c>
      <c r="P121" s="4">
        <v>0.01</v>
      </c>
      <c r="Q121" s="5">
        <v>0.03</v>
      </c>
      <c r="R121">
        <f t="shared" si="37"/>
        <v>-9.4153846153846171E-2</v>
      </c>
      <c r="S121">
        <f t="shared" si="38"/>
        <v>-2.2058823529411745E-2</v>
      </c>
      <c r="T121">
        <f t="shared" si="39"/>
        <v>0.41993464052287571</v>
      </c>
      <c r="U121">
        <f t="shared" si="32"/>
        <v>-0.56931266339869258</v>
      </c>
      <c r="W121">
        <v>0.03</v>
      </c>
      <c r="X121">
        <v>2.54167E-2</v>
      </c>
      <c r="Y121" s="11">
        <f t="shared" si="40"/>
        <v>0.68926143739372492</v>
      </c>
      <c r="Z121">
        <f t="shared" si="41"/>
        <v>-2.4805683363615272E-2</v>
      </c>
      <c r="AA121" s="13">
        <f t="shared" si="42"/>
        <v>-0.168833856052097</v>
      </c>
      <c r="AB121" s="13">
        <v>0.331166143947903</v>
      </c>
    </row>
    <row r="122" spans="1:28" x14ac:dyDescent="0.25">
      <c r="A122" s="1">
        <v>1963</v>
      </c>
      <c r="B122" s="1">
        <f t="shared" si="33"/>
        <v>-2.8000000000000001E-2</v>
      </c>
      <c r="C122" s="1">
        <f t="shared" si="26"/>
        <v>-1.5955067307692306E-2</v>
      </c>
      <c r="D122" s="1">
        <f t="shared" si="27"/>
        <v>0</v>
      </c>
      <c r="E122" s="1">
        <f t="shared" si="34"/>
        <v>0.91900956882105111</v>
      </c>
      <c r="F122" s="1">
        <f t="shared" si="35"/>
        <v>1.2044932692307695E-2</v>
      </c>
      <c r="G122" s="9">
        <f t="shared" si="28"/>
        <v>0.91900956882105111</v>
      </c>
      <c r="H122" s="1">
        <f t="shared" si="29"/>
        <v>0.49427616978261513</v>
      </c>
      <c r="I122" s="1">
        <f t="shared" si="36"/>
        <v>0.91900956882105111</v>
      </c>
      <c r="J122" s="3">
        <f t="shared" si="30"/>
        <v>0.91900956882105111</v>
      </c>
      <c r="K122" s="3">
        <f t="shared" si="31"/>
        <v>0.42647224778372322</v>
      </c>
      <c r="L122" s="6">
        <f t="shared" si="43"/>
        <v>-2.8000000000000001E-2</v>
      </c>
      <c r="M122" s="6">
        <f t="shared" si="44"/>
        <v>1.0769230769230772E-2</v>
      </c>
      <c r="N122" s="6">
        <f t="shared" si="45"/>
        <v>-7.1153846153846151E-2</v>
      </c>
      <c r="O122" s="6">
        <v>0.05</v>
      </c>
      <c r="P122" s="4">
        <v>5.8999999999999997E-2</v>
      </c>
      <c r="Q122" s="5">
        <v>2.4E-2</v>
      </c>
      <c r="R122">
        <f t="shared" si="37"/>
        <v>-7.1153846153846151E-2</v>
      </c>
      <c r="S122">
        <f t="shared" si="38"/>
        <v>-0.15135135135135139</v>
      </c>
      <c r="T122">
        <f t="shared" si="39"/>
        <v>0.39351351351351355</v>
      </c>
      <c r="U122">
        <f t="shared" si="32"/>
        <v>-0.60874648648648655</v>
      </c>
      <c r="W122">
        <v>2.4E-2</v>
      </c>
      <c r="X122">
        <v>1.7500000000000002E-2</v>
      </c>
      <c r="Y122" s="11">
        <f t="shared" si="40"/>
        <v>0.68710322398692369</v>
      </c>
      <c r="Z122">
        <f t="shared" si="41"/>
        <v>-9.1852539748546094E-3</v>
      </c>
      <c r="AA122" s="13">
        <f t="shared" si="42"/>
        <v>-0.13247393411721398</v>
      </c>
      <c r="AB122" s="13">
        <v>0.36752606588278602</v>
      </c>
    </row>
    <row r="123" spans="1:28" x14ac:dyDescent="0.25">
      <c r="A123" s="1">
        <v>1964</v>
      </c>
      <c r="B123" s="1">
        <f t="shared" si="33"/>
        <v>-4.7307692307692308E-2</v>
      </c>
      <c r="C123" s="1">
        <f t="shared" si="26"/>
        <v>-3.8687946153846152E-2</v>
      </c>
      <c r="D123" s="1">
        <f t="shared" si="27"/>
        <v>0</v>
      </c>
      <c r="E123" s="1">
        <f t="shared" si="34"/>
        <v>0.83244404753404588</v>
      </c>
      <c r="F123" s="1">
        <f t="shared" si="35"/>
        <v>8.6197461538461556E-3</v>
      </c>
      <c r="G123" s="9">
        <f t="shared" si="28"/>
        <v>0.83244404753404588</v>
      </c>
      <c r="H123" s="1">
        <f t="shared" si="29"/>
        <v>0.28237761896775043</v>
      </c>
      <c r="I123" s="1">
        <f t="shared" si="36"/>
        <v>0.83244404753404588</v>
      </c>
      <c r="J123" s="3">
        <f t="shared" si="30"/>
        <v>0.83244404753404588</v>
      </c>
      <c r="K123" s="3">
        <f t="shared" si="31"/>
        <v>0.46016427187571296</v>
      </c>
      <c r="L123" s="6">
        <f t="shared" si="43"/>
        <v>-4.7307692307692308E-2</v>
      </c>
      <c r="M123" s="6">
        <f t="shared" si="44"/>
        <v>-1.6076923076923075E-2</v>
      </c>
      <c r="N123" s="6">
        <f t="shared" si="45"/>
        <v>-8.8153846153846152E-2</v>
      </c>
      <c r="O123" s="6">
        <v>-0.224</v>
      </c>
      <c r="P123" s="4">
        <v>-0.14899999999999999</v>
      </c>
      <c r="Q123" s="5">
        <v>-0.3</v>
      </c>
      <c r="R123">
        <f t="shared" si="37"/>
        <v>-8.8153846153846152E-2</v>
      </c>
      <c r="S123">
        <f t="shared" si="38"/>
        <v>0.18237347294938916</v>
      </c>
      <c r="T123">
        <f t="shared" si="39"/>
        <v>0.53664921465968585</v>
      </c>
      <c r="U123">
        <f t="shared" si="32"/>
        <v>-0.65683848167539272</v>
      </c>
      <c r="W123">
        <v>-0.3</v>
      </c>
      <c r="X123">
        <v>-0.28925000000000001</v>
      </c>
      <c r="Y123" s="11">
        <f t="shared" si="40"/>
        <v>0.68498040456324816</v>
      </c>
      <c r="Z123">
        <f t="shared" si="41"/>
        <v>-4.1989436289565474E-2</v>
      </c>
      <c r="AA123" s="13">
        <f t="shared" si="42"/>
        <v>-0.18478657518355002</v>
      </c>
      <c r="AB123" s="13">
        <v>0.31521342481644998</v>
      </c>
    </row>
    <row r="124" spans="1:28" x14ac:dyDescent="0.25">
      <c r="A124" s="1">
        <v>1965</v>
      </c>
      <c r="B124" s="1">
        <f t="shared" si="33"/>
        <v>-5.6153846153846151E-2</v>
      </c>
      <c r="C124" s="1">
        <f t="shared" si="26"/>
        <v>-4.8310459615384618E-2</v>
      </c>
      <c r="D124" s="1">
        <f t="shared" si="27"/>
        <v>0</v>
      </c>
      <c r="E124" s="7">
        <f t="shared" si="34"/>
        <v>0.73145146625861968</v>
      </c>
      <c r="F124" s="1">
        <f t="shared" si="35"/>
        <v>7.8433865384615331E-3</v>
      </c>
      <c r="G124" s="9">
        <f t="shared" si="28"/>
        <v>0.73145146625861968</v>
      </c>
      <c r="H124" s="1">
        <f t="shared" si="29"/>
        <v>0.21256807622014767</v>
      </c>
      <c r="I124" s="1">
        <f t="shared" si="36"/>
        <v>0.73145146625861968</v>
      </c>
      <c r="J124" s="3">
        <f t="shared" si="30"/>
        <v>0.73145146625861968</v>
      </c>
      <c r="K124" s="3">
        <f t="shared" si="31"/>
        <v>0.40845086658097923</v>
      </c>
      <c r="L124" s="6">
        <f t="shared" si="43"/>
        <v>-5.6153846153846151E-2</v>
      </c>
      <c r="M124" s="6">
        <f t="shared" si="44"/>
        <v>-1.7846153846153848E-2</v>
      </c>
      <c r="N124" s="6">
        <f t="shared" si="45"/>
        <v>-0.11453846153846153</v>
      </c>
      <c r="O124" s="6">
        <v>-0.14099999999999999</v>
      </c>
      <c r="P124" s="4">
        <v>-0.109</v>
      </c>
      <c r="Q124" s="5">
        <v>-0.23400000000000001</v>
      </c>
      <c r="R124">
        <f t="shared" si="37"/>
        <v>-0.11453846153846153</v>
      </c>
      <c r="S124">
        <f t="shared" si="38"/>
        <v>0.15580926796507727</v>
      </c>
      <c r="T124">
        <f t="shared" si="39"/>
        <v>0.49026192075218267</v>
      </c>
      <c r="U124">
        <f t="shared" si="32"/>
        <v>-0.58302276695768973</v>
      </c>
      <c r="W124">
        <v>-0.23400000000000001</v>
      </c>
      <c r="X124">
        <v>-0.22916700000000001</v>
      </c>
      <c r="Y124" s="11">
        <f t="shared" si="40"/>
        <v>0.68289388809353113</v>
      </c>
      <c r="Z124">
        <f t="shared" si="41"/>
        <v>-5.1443575470918837E-2</v>
      </c>
      <c r="AA124" s="13">
        <f t="shared" si="42"/>
        <v>-0.15011188578410101</v>
      </c>
      <c r="AB124" s="13">
        <v>0.34988811421589899</v>
      </c>
    </row>
    <row r="125" spans="1:28" x14ac:dyDescent="0.25">
      <c r="A125" s="1">
        <v>1966</v>
      </c>
      <c r="B125" s="1">
        <f t="shared" si="33"/>
        <v>-4.9769230769230774E-2</v>
      </c>
      <c r="C125" s="1">
        <f t="shared" si="26"/>
        <v>-4.3783673076923081E-2</v>
      </c>
      <c r="D125" s="1">
        <f t="shared" si="27"/>
        <v>0</v>
      </c>
      <c r="E125" s="1">
        <f t="shared" si="34"/>
        <v>0.72713383492705064</v>
      </c>
      <c r="F125" s="1">
        <f t="shared" si="35"/>
        <v>5.9855576923076928E-3</v>
      </c>
      <c r="G125" s="9">
        <f t="shared" si="28"/>
        <v>0.72713383492705064</v>
      </c>
      <c r="H125" s="1">
        <f t="shared" si="29"/>
        <v>0.19062937193926324</v>
      </c>
      <c r="I125" s="1">
        <f t="shared" si="36"/>
        <v>0.72713383492705064</v>
      </c>
      <c r="J125" s="3">
        <f t="shared" si="30"/>
        <v>0.72713383492705064</v>
      </c>
      <c r="K125" s="3">
        <f t="shared" si="31"/>
        <v>0.42125514877327624</v>
      </c>
      <c r="L125" s="6">
        <f t="shared" si="43"/>
        <v>-4.9769230769230774E-2</v>
      </c>
      <c r="M125" s="6">
        <f t="shared" si="44"/>
        <v>-2.0076923076923079E-2</v>
      </c>
      <c r="N125" s="6">
        <f t="shared" si="45"/>
        <v>-9.6000000000000002E-2</v>
      </c>
      <c r="O125" s="6">
        <v>-7.2999999999999995E-2</v>
      </c>
      <c r="P125" s="4">
        <v>-1E-3</v>
      </c>
      <c r="Q125" s="5">
        <v>-0.14699999999999999</v>
      </c>
      <c r="R125">
        <f t="shared" si="37"/>
        <v>-9.6000000000000002E-2</v>
      </c>
      <c r="S125">
        <f t="shared" si="38"/>
        <v>0.20913461538461539</v>
      </c>
      <c r="T125">
        <f t="shared" si="39"/>
        <v>0.51842948717948723</v>
      </c>
      <c r="U125">
        <f t="shared" si="32"/>
        <v>-0.60129959935897448</v>
      </c>
      <c r="W125">
        <v>-0.14699999999999999</v>
      </c>
      <c r="X125">
        <v>-0.15024999999999999</v>
      </c>
      <c r="Y125" s="11">
        <f t="shared" si="40"/>
        <v>0.68084390182048082</v>
      </c>
      <c r="Z125">
        <f t="shared" si="41"/>
        <v>-4.8530593259933058E-2</v>
      </c>
      <c r="AA125" s="13">
        <f t="shared" si="42"/>
        <v>-0.13148478978093597</v>
      </c>
      <c r="AB125" s="13">
        <v>0.36851521021906403</v>
      </c>
    </row>
    <row r="126" spans="1:28" x14ac:dyDescent="0.25">
      <c r="A126" s="1">
        <v>1967</v>
      </c>
      <c r="B126" s="1">
        <f t="shared" si="33"/>
        <v>-7.3076923076923081E-2</v>
      </c>
      <c r="C126" s="1">
        <f t="shared" si="26"/>
        <v>-6.7209174999999996E-2</v>
      </c>
      <c r="D126" s="1">
        <f t="shared" si="27"/>
        <v>0</v>
      </c>
      <c r="E126" s="1">
        <f t="shared" si="34"/>
        <v>0.73722332832462711</v>
      </c>
      <c r="F126" s="1">
        <f t="shared" si="35"/>
        <v>5.867748076923085E-3</v>
      </c>
      <c r="G126" s="9">
        <f t="shared" si="28"/>
        <v>0.73722332832462711</v>
      </c>
      <c r="H126" s="1">
        <f t="shared" si="29"/>
        <v>0.14286417298546195</v>
      </c>
      <c r="I126" s="1">
        <f t="shared" si="36"/>
        <v>0.73722332832462711</v>
      </c>
      <c r="J126" s="3">
        <f t="shared" si="30"/>
        <v>0.73722332832462711</v>
      </c>
      <c r="K126" s="3">
        <f t="shared" si="31"/>
        <v>0.47242455231200026</v>
      </c>
      <c r="L126" s="6">
        <f t="shared" si="43"/>
        <v>-7.3076923076923081E-2</v>
      </c>
      <c r="M126" s="6">
        <f t="shared" si="44"/>
        <v>-4.5230769230769227E-2</v>
      </c>
      <c r="N126" s="6">
        <f t="shared" si="45"/>
        <v>-0.11853846153846154</v>
      </c>
      <c r="O126" s="6">
        <v>-7.5999999999999998E-2</v>
      </c>
      <c r="P126" s="4">
        <v>-5.6000000000000001E-2</v>
      </c>
      <c r="Q126" s="5">
        <v>-9.5000000000000001E-2</v>
      </c>
      <c r="R126">
        <f t="shared" si="37"/>
        <v>-0.11853846153846154</v>
      </c>
      <c r="S126">
        <f t="shared" si="38"/>
        <v>0.38157040882543802</v>
      </c>
      <c r="T126">
        <f t="shared" si="39"/>
        <v>0.61648280337443218</v>
      </c>
      <c r="U126">
        <f t="shared" si="32"/>
        <v>-0.67433880597014917</v>
      </c>
      <c r="W126">
        <v>-9.5000000000000001E-2</v>
      </c>
      <c r="X126">
        <v>-9.5833299999999996E-2</v>
      </c>
      <c r="Y126" s="11">
        <f t="shared" si="40"/>
        <v>0.67883000615984201</v>
      </c>
      <c r="Z126">
        <f t="shared" si="41"/>
        <v>-8.1491735200606402E-2</v>
      </c>
      <c r="AA126" s="13">
        <f t="shared" si="42"/>
        <v>-0.10405663048996799</v>
      </c>
      <c r="AB126" s="13">
        <v>0.39594336951003201</v>
      </c>
    </row>
    <row r="127" spans="1:28" x14ac:dyDescent="0.25">
      <c r="A127" s="1">
        <v>1968</v>
      </c>
      <c r="B127" s="1">
        <f t="shared" si="33"/>
        <v>-8.2769230769230762E-2</v>
      </c>
      <c r="C127" s="1">
        <f t="shared" si="26"/>
        <v>-7.7202736538461533E-2</v>
      </c>
      <c r="D127" s="1">
        <f t="shared" si="27"/>
        <v>0</v>
      </c>
      <c r="E127" s="1">
        <f t="shared" si="34"/>
        <v>0.72048721424333328</v>
      </c>
      <c r="F127" s="1">
        <f t="shared" si="35"/>
        <v>5.5664942307692283E-3</v>
      </c>
      <c r="G127" s="9">
        <f t="shared" si="28"/>
        <v>0.72048721424333328</v>
      </c>
      <c r="H127" s="1">
        <f t="shared" si="29"/>
        <v>0.12224130832971764</v>
      </c>
      <c r="I127" s="1">
        <f t="shared" si="36"/>
        <v>0.72048721424333328</v>
      </c>
      <c r="J127" s="3">
        <f t="shared" si="30"/>
        <v>0.72048721424333328</v>
      </c>
      <c r="K127" s="3">
        <f t="shared" si="31"/>
        <v>0.47554519017252017</v>
      </c>
      <c r="L127" s="6">
        <f t="shared" si="43"/>
        <v>-8.2769230769230762E-2</v>
      </c>
      <c r="M127" s="6">
        <f t="shared" si="44"/>
        <v>-5.4384615384615392E-2</v>
      </c>
      <c r="N127" s="6">
        <f t="shared" si="45"/>
        <v>-0.13130769230769229</v>
      </c>
      <c r="O127" s="6">
        <v>-0.113</v>
      </c>
      <c r="P127" s="4">
        <v>-5.2999999999999999E-2</v>
      </c>
      <c r="Q127" s="5">
        <v>-0.216</v>
      </c>
      <c r="R127">
        <f t="shared" si="37"/>
        <v>-0.13130769230769229</v>
      </c>
      <c r="S127">
        <f t="shared" si="38"/>
        <v>0.4141769185705918</v>
      </c>
      <c r="T127">
        <f t="shared" si="39"/>
        <v>0.63034563561804335</v>
      </c>
      <c r="U127">
        <f t="shared" si="32"/>
        <v>-0.67879320445225533</v>
      </c>
      <c r="W127">
        <v>-0.216</v>
      </c>
      <c r="X127">
        <v>-0.21066699999999999</v>
      </c>
      <c r="Y127" s="11">
        <f t="shared" si="40"/>
        <v>0.67685096431523561</v>
      </c>
      <c r="Z127">
        <f t="shared" si="41"/>
        <v>-9.4938808132382896E-2</v>
      </c>
      <c r="AA127" s="13">
        <f t="shared" si="42"/>
        <v>-0.11740308429359197</v>
      </c>
      <c r="AB127" s="13">
        <v>0.38259691570640803</v>
      </c>
    </row>
    <row r="128" spans="1:28" x14ac:dyDescent="0.25">
      <c r="A128" s="1">
        <v>1969</v>
      </c>
      <c r="B128" s="1">
        <f t="shared" si="33"/>
        <v>-9.053846153846154E-2</v>
      </c>
      <c r="C128" s="1">
        <f t="shared" si="26"/>
        <v>-8.3733182692307687E-2</v>
      </c>
      <c r="D128" s="1">
        <f t="shared" si="27"/>
        <v>0</v>
      </c>
      <c r="E128" s="1">
        <f t="shared" si="34"/>
        <v>0.71602720744099935</v>
      </c>
      <c r="F128" s="1">
        <f t="shared" si="35"/>
        <v>6.8052788461538533E-3</v>
      </c>
      <c r="G128" s="9">
        <f t="shared" si="28"/>
        <v>0.71602720744099935</v>
      </c>
      <c r="H128" s="1">
        <f t="shared" si="29"/>
        <v>0.13255715280196712</v>
      </c>
      <c r="I128" s="1">
        <f t="shared" si="36"/>
        <v>0.71602720744099935</v>
      </c>
      <c r="J128" s="3">
        <f t="shared" si="30"/>
        <v>0.71602720744099935</v>
      </c>
      <c r="K128" s="3">
        <f t="shared" si="31"/>
        <v>0.46095925773434576</v>
      </c>
      <c r="L128" s="6">
        <f t="shared" si="43"/>
        <v>-9.053846153846154E-2</v>
      </c>
      <c r="M128" s="6">
        <f t="shared" si="44"/>
        <v>-5.5153846153846144E-2</v>
      </c>
      <c r="N128" s="6">
        <f t="shared" si="45"/>
        <v>-0.15007692307692308</v>
      </c>
      <c r="O128" s="6">
        <v>2.9000000000000001E-2</v>
      </c>
      <c r="P128" s="4">
        <v>0.114</v>
      </c>
      <c r="Q128" s="5">
        <v>-0.128</v>
      </c>
      <c r="R128">
        <f t="shared" si="37"/>
        <v>-0.15007692307692308</v>
      </c>
      <c r="S128">
        <f t="shared" si="38"/>
        <v>0.36750384418247045</v>
      </c>
      <c r="T128">
        <f t="shared" si="39"/>
        <v>0.60328036904151716</v>
      </c>
      <c r="U128">
        <f t="shared" si="32"/>
        <v>-0.65797324449000516</v>
      </c>
      <c r="W128">
        <v>-0.128</v>
      </c>
      <c r="X128">
        <v>-0.13783300000000001</v>
      </c>
      <c r="Y128" s="11">
        <f t="shared" si="40"/>
        <v>0.67490488011389971</v>
      </c>
      <c r="Z128">
        <f t="shared" si="41"/>
        <v>-0.10129124202960998</v>
      </c>
      <c r="AA128" s="13">
        <f t="shared" si="42"/>
        <v>-9.6711278899433983E-2</v>
      </c>
      <c r="AB128" s="13">
        <v>0.40328872110056602</v>
      </c>
    </row>
    <row r="129" spans="1:28" x14ac:dyDescent="0.25">
      <c r="A129" s="1">
        <v>1970</v>
      </c>
      <c r="B129" s="1">
        <f t="shared" si="33"/>
        <v>-9.9692307692307677E-2</v>
      </c>
      <c r="C129" s="1">
        <f t="shared" si="26"/>
        <v>-9.3603061538461541E-2</v>
      </c>
      <c r="D129" s="1">
        <f t="shared" si="27"/>
        <v>0</v>
      </c>
      <c r="E129" s="1">
        <f t="shared" si="34"/>
        <v>0.76459760854721537</v>
      </c>
      <c r="F129" s="1">
        <f t="shared" si="35"/>
        <v>6.0892461538461368E-3</v>
      </c>
      <c r="G129" s="9">
        <f t="shared" si="28"/>
        <v>0.76459760854721537</v>
      </c>
      <c r="H129" s="1">
        <f t="shared" si="29"/>
        <v>0.12276844199824799</v>
      </c>
      <c r="I129" s="1">
        <f t="shared" si="36"/>
        <v>0.76459760854721537</v>
      </c>
      <c r="J129" s="3">
        <f t="shared" si="30"/>
        <v>0.76459760854721537</v>
      </c>
      <c r="K129" s="3">
        <f t="shared" si="31"/>
        <v>0.5191280283958114</v>
      </c>
      <c r="L129" s="6">
        <f t="shared" si="43"/>
        <v>-9.9692307692307677E-2</v>
      </c>
      <c r="M129" s="6">
        <f t="shared" si="44"/>
        <v>-7.4307692307692297E-2</v>
      </c>
      <c r="N129" s="6">
        <f t="shared" si="45"/>
        <v>-0.14246153846153847</v>
      </c>
      <c r="O129" s="6">
        <v>-2.9000000000000001E-2</v>
      </c>
      <c r="P129" s="4">
        <v>-0.01</v>
      </c>
      <c r="Q129" s="5">
        <v>-6.2E-2</v>
      </c>
      <c r="R129">
        <f t="shared" si="37"/>
        <v>-0.14246153846153847</v>
      </c>
      <c r="S129">
        <f t="shared" si="38"/>
        <v>0.52159827213822885</v>
      </c>
      <c r="T129">
        <f t="shared" si="39"/>
        <v>0.6997840172786175</v>
      </c>
      <c r="U129">
        <f t="shared" si="32"/>
        <v>-0.74100334773218113</v>
      </c>
      <c r="W129">
        <v>-6.2E-2</v>
      </c>
      <c r="X129">
        <v>-6.6500000000000004E-2</v>
      </c>
      <c r="Y129" s="11">
        <f t="shared" si="40"/>
        <v>0.67298896703869104</v>
      </c>
      <c r="Z129">
        <f t="shared" si="41"/>
        <v>-0.1195895162148787</v>
      </c>
      <c r="AA129" s="13">
        <f t="shared" si="42"/>
        <v>-6.5932586912830993E-2</v>
      </c>
      <c r="AB129" s="13">
        <v>0.43406741308716901</v>
      </c>
    </row>
    <row r="130" spans="1:28" x14ac:dyDescent="0.25">
      <c r="A130" s="1">
        <v>1971</v>
      </c>
      <c r="B130" s="1">
        <f t="shared" si="33"/>
        <v>-9.7384615384615375E-2</v>
      </c>
      <c r="C130" s="1">
        <f t="shared" si="26"/>
        <v>-9.3009384615384605E-2</v>
      </c>
      <c r="D130" s="1">
        <f t="shared" si="27"/>
        <v>0</v>
      </c>
      <c r="E130" s="7">
        <f t="shared" si="34"/>
        <v>0.6728726107655647</v>
      </c>
      <c r="F130" s="1">
        <f t="shared" si="35"/>
        <v>4.3752307692307701E-3</v>
      </c>
      <c r="G130" s="9">
        <f t="shared" si="28"/>
        <v>0.6728726107655647</v>
      </c>
      <c r="H130" s="1">
        <f t="shared" si="29"/>
        <v>8.3741724274599028E-2</v>
      </c>
      <c r="I130" s="1">
        <f t="shared" si="36"/>
        <v>0.6728726107655647</v>
      </c>
      <c r="J130" s="3">
        <f t="shared" si="30"/>
        <v>0.6728726107655647</v>
      </c>
      <c r="K130" s="3">
        <f t="shared" si="31"/>
        <v>0.470139232636958</v>
      </c>
      <c r="L130" s="6">
        <f t="shared" si="43"/>
        <v>-9.7384615384615375E-2</v>
      </c>
      <c r="M130" s="6">
        <f t="shared" si="44"/>
        <v>-6.8384615384615363E-2</v>
      </c>
      <c r="N130" s="6">
        <f t="shared" si="45"/>
        <v>-0.15246153846153845</v>
      </c>
      <c r="O130" s="6">
        <v>-0.184</v>
      </c>
      <c r="P130" s="4">
        <v>-0.19</v>
      </c>
      <c r="Q130" s="5">
        <v>-0.20200000000000001</v>
      </c>
      <c r="R130">
        <f t="shared" si="37"/>
        <v>-0.15246153846153845</v>
      </c>
      <c r="S130">
        <f t="shared" si="38"/>
        <v>0.44853683148335005</v>
      </c>
      <c r="T130">
        <f t="shared" si="39"/>
        <v>0.63874873864783044</v>
      </c>
      <c r="U130">
        <f t="shared" si="32"/>
        <v>-0.67107674066599388</v>
      </c>
      <c r="W130">
        <v>-0.20200000000000001</v>
      </c>
      <c r="X130">
        <v>-0.19375000000000001</v>
      </c>
      <c r="Y130" s="11">
        <f t="shared" si="40"/>
        <v>0.67109971959143877</v>
      </c>
      <c r="Z130">
        <f t="shared" si="41"/>
        <v>-0.11637529410580669</v>
      </c>
      <c r="AA130" s="13">
        <f t="shared" si="42"/>
        <v>-6.4472826067501987E-2</v>
      </c>
      <c r="AB130" s="13">
        <v>0.43552717393249801</v>
      </c>
    </row>
    <row r="131" spans="1:28" x14ac:dyDescent="0.25">
      <c r="A131" s="1">
        <v>1972</v>
      </c>
      <c r="B131" s="1">
        <f t="shared" si="33"/>
        <v>-6.0999999999999992E-2</v>
      </c>
      <c r="C131" s="1">
        <f t="shared" si="26"/>
        <v>-5.8699805769230756E-2</v>
      </c>
      <c r="D131" s="1">
        <f t="shared" si="27"/>
        <v>0</v>
      </c>
      <c r="E131" s="1">
        <f t="shared" si="34"/>
        <v>0.63677887277892087</v>
      </c>
      <c r="F131" s="1">
        <f t="shared" si="35"/>
        <v>2.3001942307692355E-3</v>
      </c>
      <c r="G131" s="9">
        <f t="shared" si="28"/>
        <v>0.63677887277892087</v>
      </c>
      <c r="H131" s="1">
        <f t="shared" si="29"/>
        <v>7.1128000905829381E-2</v>
      </c>
      <c r="I131" s="1">
        <f t="shared" si="36"/>
        <v>0.63677887277892087</v>
      </c>
      <c r="J131" s="3">
        <f t="shared" si="30"/>
        <v>0.63677887277892087</v>
      </c>
      <c r="K131" s="3">
        <f t="shared" si="31"/>
        <v>0.449936829096998</v>
      </c>
      <c r="L131" s="6">
        <f t="shared" si="43"/>
        <v>-6.0999999999999992E-2</v>
      </c>
      <c r="M131" s="6">
        <f t="shared" si="44"/>
        <v>-4.1538461538461538E-2</v>
      </c>
      <c r="N131" s="6">
        <f t="shared" si="45"/>
        <v>-9.9461538461538435E-2</v>
      </c>
      <c r="O131" s="6">
        <v>-6.9000000000000006E-2</v>
      </c>
      <c r="P131" s="4">
        <v>5.0000000000000001E-3</v>
      </c>
      <c r="Q131" s="5">
        <v>-0.24</v>
      </c>
      <c r="R131">
        <f t="shared" si="37"/>
        <v>-9.9461538461538435E-2</v>
      </c>
      <c r="S131">
        <f t="shared" si="38"/>
        <v>0.41763341067285392</v>
      </c>
      <c r="T131">
        <f t="shared" si="39"/>
        <v>0.61330239752513538</v>
      </c>
      <c r="U131">
        <f t="shared" si="32"/>
        <v>-0.64223982985305494</v>
      </c>
      <c r="W131">
        <v>-0.24</v>
      </c>
      <c r="X131">
        <v>-0.23408300000000001</v>
      </c>
      <c r="Y131" s="11">
        <f t="shared" si="40"/>
        <v>0.6692327419295907</v>
      </c>
      <c r="Z131">
        <f t="shared" si="41"/>
        <v>-7.2774328572052238E-2</v>
      </c>
      <c r="AA131" s="13">
        <f t="shared" si="42"/>
        <v>-6.0197291891745996E-2</v>
      </c>
      <c r="AB131" s="13">
        <v>0.439802708108254</v>
      </c>
    </row>
    <row r="132" spans="1:28" x14ac:dyDescent="0.25">
      <c r="A132" s="1">
        <v>1973</v>
      </c>
      <c r="B132" s="1">
        <f t="shared" si="33"/>
        <v>-5.3307692307692292E-2</v>
      </c>
      <c r="C132" s="1">
        <f t="shared" si="26"/>
        <v>-5.3158821153846153E-2</v>
      </c>
      <c r="D132" s="1">
        <f t="shared" si="27"/>
        <v>0</v>
      </c>
      <c r="E132" s="1">
        <f t="shared" si="34"/>
        <v>0.51049462502439136</v>
      </c>
      <c r="F132" s="1">
        <f t="shared" si="35"/>
        <v>1.4887115384613903E-4</v>
      </c>
      <c r="G132" s="9">
        <f t="shared" si="28"/>
        <v>0.51049462502439136</v>
      </c>
      <c r="H132" s="1">
        <f t="shared" si="29"/>
        <v>2.4589600658368183E-2</v>
      </c>
      <c r="I132" s="1">
        <f t="shared" si="36"/>
        <v>0.51049462502439136</v>
      </c>
      <c r="J132" s="3">
        <f t="shared" si="30"/>
        <v>0.51049462502439136</v>
      </c>
      <c r="K132" s="3">
        <f t="shared" si="31"/>
        <v>0.40063704059190863</v>
      </c>
      <c r="L132" s="6">
        <f t="shared" si="43"/>
        <v>-5.3307692307692292E-2</v>
      </c>
      <c r="M132" s="6">
        <f t="shared" si="44"/>
        <v>-3.5153846153846147E-2</v>
      </c>
      <c r="N132" s="6">
        <f t="shared" si="45"/>
        <v>-9.5000000000000001E-2</v>
      </c>
      <c r="O132" s="6">
        <v>6.3E-2</v>
      </c>
      <c r="P132" s="4">
        <v>1.4999999999999999E-2</v>
      </c>
      <c r="Q132" s="5">
        <v>0.13900000000000001</v>
      </c>
      <c r="R132">
        <f t="shared" si="37"/>
        <v>-9.5000000000000001E-2</v>
      </c>
      <c r="S132">
        <f t="shared" si="38"/>
        <v>0.37004048582995941</v>
      </c>
      <c r="T132">
        <f t="shared" si="39"/>
        <v>0.56113360323886619</v>
      </c>
      <c r="U132">
        <f t="shared" si="32"/>
        <v>-0.5718693117408904</v>
      </c>
      <c r="W132">
        <v>0.13900000000000001</v>
      </c>
      <c r="X132">
        <v>0.122417</v>
      </c>
      <c r="Y132" s="11">
        <f t="shared" si="40"/>
        <v>0.66738278511911631</v>
      </c>
      <c r="Z132">
        <f t="shared" si="41"/>
        <v>-6.4792067828576799E-2</v>
      </c>
      <c r="AA132" s="13">
        <f t="shared" si="42"/>
        <v>1.7840579678051971E-2</v>
      </c>
      <c r="AB132" s="13">
        <v>0.51784057967805197</v>
      </c>
    </row>
    <row r="133" spans="1:28" x14ac:dyDescent="0.25">
      <c r="A133" s="1">
        <v>1974</v>
      </c>
      <c r="B133" s="1">
        <f t="shared" si="33"/>
        <v>-2.9384615384615384E-2</v>
      </c>
      <c r="C133" s="1">
        <f t="shared" si="26"/>
        <v>-3.2009080769230765E-2</v>
      </c>
      <c r="D133" s="1">
        <f t="shared" si="27"/>
        <v>2.8296633590504106E-3</v>
      </c>
      <c r="E133" s="1">
        <f t="shared" si="34"/>
        <v>0.45197095839120432</v>
      </c>
      <c r="F133" s="1">
        <f t="shared" si="35"/>
        <v>2.6244653846153806E-3</v>
      </c>
      <c r="G133" s="9">
        <f t="shared" si="28"/>
        <v>0.45197095839120432</v>
      </c>
      <c r="H133" s="1">
        <f t="shared" si="29"/>
        <v>-0.18047148545952624</v>
      </c>
      <c r="I133" s="1" t="e">
        <f t="shared" si="36"/>
        <v>#NUM!</v>
      </c>
      <c r="J133" s="3" t="b">
        <f t="shared" si="30"/>
        <v>0</v>
      </c>
      <c r="K133" s="3">
        <f t="shared" si="31"/>
        <v>0.45197095839120432</v>
      </c>
      <c r="L133" s="6">
        <f t="shared" si="43"/>
        <v>-2.9384615384615384E-2</v>
      </c>
      <c r="M133" s="6">
        <f t="shared" si="44"/>
        <v>-2.9538461538461538E-2</v>
      </c>
      <c r="N133" s="6">
        <f t="shared" si="45"/>
        <v>-4.0461538461538445E-2</v>
      </c>
      <c r="O133" s="6">
        <v>-0.21099999999999999</v>
      </c>
      <c r="P133" s="4">
        <v>-0.16200000000000001</v>
      </c>
      <c r="Q133" s="5">
        <v>-0.28100000000000003</v>
      </c>
      <c r="R133">
        <f t="shared" si="37"/>
        <v>-4.0461538461538445E-2</v>
      </c>
      <c r="S133">
        <f t="shared" si="38"/>
        <v>0.73003802281368846</v>
      </c>
      <c r="T133">
        <f t="shared" si="39"/>
        <v>0.72623574144486724</v>
      </c>
      <c r="U133">
        <f t="shared" si="32"/>
        <v>-0.64514334600760503</v>
      </c>
      <c r="W133">
        <v>-0.28100000000000003</v>
      </c>
      <c r="X133">
        <v>-0.27274999999999999</v>
      </c>
      <c r="Y133" s="11">
        <f t="shared" si="40"/>
        <v>0.66554370988160372</v>
      </c>
      <c r="Z133">
        <f t="shared" si="41"/>
        <v>-4.3259894218812892E-2</v>
      </c>
      <c r="AA133" s="13">
        <f t="shared" si="42"/>
        <v>-2.7159713015963982E-2</v>
      </c>
      <c r="AB133" s="13">
        <v>0.47284028698403602</v>
      </c>
    </row>
    <row r="134" spans="1:28" x14ac:dyDescent="0.25">
      <c r="A134" s="1">
        <v>1975</v>
      </c>
      <c r="B134" s="1">
        <f t="shared" si="33"/>
        <v>-4.1538461538461538E-2</v>
      </c>
      <c r="C134" s="1">
        <f t="shared" si="26"/>
        <v>-4.3462098076923077E-2</v>
      </c>
      <c r="D134" s="1">
        <f t="shared" si="27"/>
        <v>2.0034680459399545E-3</v>
      </c>
      <c r="E134" s="1">
        <f t="shared" si="34"/>
        <v>0.47202263779068471</v>
      </c>
      <c r="F134" s="1">
        <f t="shared" si="35"/>
        <v>1.9236365384615386E-3</v>
      </c>
      <c r="G134" s="9">
        <f t="shared" si="28"/>
        <v>0.47202263779068471</v>
      </c>
      <c r="H134" s="1">
        <f t="shared" si="29"/>
        <v>-9.3466148450020381E-2</v>
      </c>
      <c r="I134" s="1" t="e">
        <f t="shared" si="36"/>
        <v>#NUM!</v>
      </c>
      <c r="J134" s="3" t="b">
        <f t="shared" si="30"/>
        <v>0</v>
      </c>
      <c r="K134" s="3">
        <f t="shared" si="31"/>
        <v>0.47202263779068471</v>
      </c>
      <c r="L134" s="6">
        <f t="shared" si="43"/>
        <v>-4.1538461538461538E-2</v>
      </c>
      <c r="M134" s="6">
        <f t="shared" si="44"/>
        <v>-3.8692307692307686E-2</v>
      </c>
      <c r="N134" s="6">
        <f t="shared" si="45"/>
        <v>-5.7769230769230781E-2</v>
      </c>
      <c r="O134" s="6">
        <v>-0.14499999999999999</v>
      </c>
      <c r="P134" s="4">
        <v>-0.19</v>
      </c>
      <c r="Q134" s="5">
        <v>-5.7000000000000002E-2</v>
      </c>
      <c r="R134">
        <f t="shared" si="37"/>
        <v>-5.7769230769230781E-2</v>
      </c>
      <c r="S134">
        <f t="shared" si="38"/>
        <v>0.66977363515312893</v>
      </c>
      <c r="T134">
        <f t="shared" si="39"/>
        <v>0.71904127829560571</v>
      </c>
      <c r="U134">
        <f t="shared" si="32"/>
        <v>-0.67376511318242338</v>
      </c>
      <c r="W134">
        <v>-5.7000000000000002E-2</v>
      </c>
      <c r="X134">
        <v>-5.3833300000000001E-2</v>
      </c>
      <c r="Y134" s="11">
        <f t="shared" si="40"/>
        <v>0.66370844934135675</v>
      </c>
      <c r="Z134">
        <f t="shared" si="41"/>
        <v>-5.8146003137804582E-2</v>
      </c>
      <c r="AA134" s="13">
        <f t="shared" si="42"/>
        <v>2.2789824078841003E-2</v>
      </c>
      <c r="AB134" s="13">
        <v>0.522789824078841</v>
      </c>
    </row>
    <row r="135" spans="1:28" x14ac:dyDescent="0.25">
      <c r="A135" s="1">
        <v>1976</v>
      </c>
      <c r="B135" s="1">
        <f t="shared" si="33"/>
        <v>-2.0769230769230766E-2</v>
      </c>
      <c r="C135" s="1">
        <f t="shared" si="26"/>
        <v>-2.5181796153846144E-2</v>
      </c>
      <c r="D135" s="1">
        <f t="shared" si="27"/>
        <v>2.0190816950458254E-3</v>
      </c>
      <c r="E135" s="1">
        <f t="shared" si="34"/>
        <v>0.84308074929134258</v>
      </c>
      <c r="F135" s="1">
        <f t="shared" si="35"/>
        <v>4.412565384615378E-3</v>
      </c>
      <c r="G135" s="9">
        <f t="shared" si="28"/>
        <v>0.84308074929134258</v>
      </c>
      <c r="H135" s="1">
        <f t="shared" si="29"/>
        <v>-0.80993003058801571</v>
      </c>
      <c r="I135" s="1" t="e">
        <f t="shared" si="36"/>
        <v>#NUM!</v>
      </c>
      <c r="J135" s="3" t="b">
        <f t="shared" si="30"/>
        <v>0</v>
      </c>
      <c r="K135" s="3">
        <f t="shared" si="31"/>
        <v>0.84308074929134258</v>
      </c>
      <c r="L135" s="6">
        <f t="shared" si="43"/>
        <v>-2.0769230769230766E-2</v>
      </c>
      <c r="M135" s="6">
        <f t="shared" si="44"/>
        <v>-3.3153846153846138E-2</v>
      </c>
      <c r="N135" s="6">
        <f t="shared" si="45"/>
        <v>-1.1999999999999993E-2</v>
      </c>
      <c r="O135" s="6">
        <v>-0.23799999999999999</v>
      </c>
      <c r="P135" s="4">
        <v>-0.18</v>
      </c>
      <c r="Q135" s="5">
        <v>-0.35399999999999998</v>
      </c>
      <c r="R135">
        <f t="shared" si="37"/>
        <v>-1.1999999999999993E-2</v>
      </c>
      <c r="S135">
        <f t="shared" si="38"/>
        <v>2.7628205128205132</v>
      </c>
      <c r="T135">
        <f t="shared" si="39"/>
        <v>1.7307692307692315</v>
      </c>
      <c r="U135">
        <f t="shared" si="32"/>
        <v>-1.2034134615384624</v>
      </c>
      <c r="W135">
        <v>-0.35399999999999998</v>
      </c>
      <c r="X135">
        <v>-0.341333</v>
      </c>
      <c r="Y135" s="11">
        <f t="shared" si="40"/>
        <v>0.66186899412423372</v>
      </c>
      <c r="Z135">
        <f t="shared" si="41"/>
        <v>-3.9185726097550076E-2</v>
      </c>
      <c r="AA135" s="13">
        <f t="shared" si="42"/>
        <v>-5.0467372764099738E-3</v>
      </c>
      <c r="AB135" s="13">
        <v>0.49495326272359003</v>
      </c>
    </row>
    <row r="136" spans="1:28" x14ac:dyDescent="0.25">
      <c r="A136" s="1">
        <v>1977</v>
      </c>
      <c r="B136" s="1">
        <f t="shared" si="33"/>
        <v>-2.8846153846153851E-2</v>
      </c>
      <c r="C136" s="1">
        <f t="shared" si="26"/>
        <v>-3.3072751923076918E-2</v>
      </c>
      <c r="D136" s="1">
        <f t="shared" si="27"/>
        <v>1.2561764919009587E-3</v>
      </c>
      <c r="E136" s="1">
        <f t="shared" si="34"/>
        <v>0.89911821026575156</v>
      </c>
      <c r="F136" s="1">
        <f t="shared" si="35"/>
        <v>4.2265980769230667E-3</v>
      </c>
      <c r="G136" s="9">
        <f t="shared" si="28"/>
        <v>0.89911821026575156</v>
      </c>
      <c r="H136" s="1">
        <f t="shared" si="29"/>
        <v>-0.37259238399821926</v>
      </c>
      <c r="I136" s="1" t="e">
        <f t="shared" si="36"/>
        <v>#NUM!</v>
      </c>
      <c r="J136" s="3" t="b">
        <f t="shared" si="30"/>
        <v>0</v>
      </c>
      <c r="K136" s="3">
        <f t="shared" si="31"/>
        <v>0.89911821026575156</v>
      </c>
      <c r="L136" s="6">
        <f t="shared" si="43"/>
        <v>-2.8846153846153851E-2</v>
      </c>
      <c r="M136" s="6">
        <f t="shared" si="44"/>
        <v>-4.2769230769230754E-2</v>
      </c>
      <c r="N136" s="6">
        <f t="shared" si="45"/>
        <v>-1.7307692307692316E-2</v>
      </c>
      <c r="O136" s="6">
        <v>4.5999999999999999E-2</v>
      </c>
      <c r="P136" s="4">
        <v>5.0000000000000001E-3</v>
      </c>
      <c r="Q136" s="5">
        <v>8.5000000000000006E-2</v>
      </c>
      <c r="R136">
        <f t="shared" si="37"/>
        <v>-1.7307692307692316E-2</v>
      </c>
      <c r="S136">
        <f t="shared" si="38"/>
        <v>2.4711111111111093</v>
      </c>
      <c r="T136">
        <f t="shared" si="39"/>
        <v>1.6666666666666663</v>
      </c>
      <c r="U136">
        <f t="shared" si="32"/>
        <v>-1.2834013333333338</v>
      </c>
      <c r="W136">
        <v>8.5000000000000006E-2</v>
      </c>
      <c r="X136">
        <v>7.5499999999999998E-2</v>
      </c>
      <c r="Y136" s="11">
        <f t="shared" si="40"/>
        <v>0.66001637745648623</v>
      </c>
      <c r="Z136">
        <f t="shared" si="41"/>
        <v>-5.1203135605148456E-2</v>
      </c>
      <c r="AA136" s="13">
        <f t="shared" si="42"/>
        <v>6.8620632446191987E-2</v>
      </c>
      <c r="AB136" s="13">
        <v>0.56862063244619199</v>
      </c>
    </row>
    <row r="137" spans="1:28" x14ac:dyDescent="0.25">
      <c r="A137" s="1">
        <v>1978</v>
      </c>
      <c r="B137" s="1">
        <f t="shared" si="33"/>
        <v>-1.9615384615384604E-2</v>
      </c>
      <c r="C137" s="1">
        <f t="shared" si="26"/>
        <v>-2.3499711538461535E-2</v>
      </c>
      <c r="D137" s="1">
        <f t="shared" si="27"/>
        <v>1.8486492719131178E-3</v>
      </c>
      <c r="E137" s="1">
        <f t="shared" si="34"/>
        <v>0.81732924844526267</v>
      </c>
      <c r="F137" s="1">
        <f t="shared" si="35"/>
        <v>3.8843269230769313E-3</v>
      </c>
      <c r="G137" s="9">
        <f t="shared" si="28"/>
        <v>0.81732924844526267</v>
      </c>
      <c r="H137" s="1">
        <f t="shared" si="29"/>
        <v>-0.71891244612056493</v>
      </c>
      <c r="I137" s="1" t="e">
        <f t="shared" si="36"/>
        <v>#NUM!</v>
      </c>
      <c r="J137" s="3" t="b">
        <f t="shared" si="30"/>
        <v>0</v>
      </c>
      <c r="K137" s="3">
        <f t="shared" si="31"/>
        <v>0.81732924844526267</v>
      </c>
      <c r="L137" s="6">
        <f t="shared" si="43"/>
        <v>-1.9615384615384604E-2</v>
      </c>
      <c r="M137" s="6">
        <f t="shared" si="44"/>
        <v>-3.0538461538461535E-2</v>
      </c>
      <c r="N137" s="6">
        <f t="shared" si="45"/>
        <v>-1.1999999999999999E-2</v>
      </c>
      <c r="O137" s="6">
        <v>-6.2E-2</v>
      </c>
      <c r="P137" s="4">
        <v>-6.2E-2</v>
      </c>
      <c r="Q137" s="5">
        <v>-5.0999999999999997E-2</v>
      </c>
      <c r="R137">
        <f t="shared" si="37"/>
        <v>-1.1999999999999999E-2</v>
      </c>
      <c r="S137">
        <f t="shared" si="38"/>
        <v>2.5448717948717947</v>
      </c>
      <c r="T137">
        <f t="shared" si="39"/>
        <v>1.6346153846153839</v>
      </c>
      <c r="U137">
        <f t="shared" si="32"/>
        <v>-1.166655769230768</v>
      </c>
      <c r="W137">
        <v>-5.0999999999999997E-2</v>
      </c>
      <c r="X137">
        <v>-4.9000000000000002E-2</v>
      </c>
      <c r="Y137" s="11">
        <f t="shared" si="40"/>
        <v>0.6581405783072114</v>
      </c>
      <c r="Z137">
        <f t="shared" si="41"/>
        <v>-3.6552081065579022E-2</v>
      </c>
      <c r="AA137" s="13">
        <f t="shared" si="42"/>
        <v>6.547330568617904E-2</v>
      </c>
      <c r="AB137" s="13">
        <v>0.56547330568617904</v>
      </c>
    </row>
    <row r="138" spans="1:28" x14ac:dyDescent="0.25">
      <c r="A138" s="1">
        <v>1979</v>
      </c>
      <c r="B138" s="1">
        <f t="shared" si="33"/>
        <v>-1.4461538461538453E-2</v>
      </c>
      <c r="C138" s="1">
        <f t="shared" ref="C138:C171" si="46">1/2*($R138*($C$1*$G$2+$G$1 )+$M138*($G$2+$G$1/$C$1))</f>
        <v>-1.8651350000000004E-2</v>
      </c>
      <c r="D138" s="1">
        <f t="shared" ref="D138:D171" si="47">$B138 - (1/2*($R138*($E138*$G$2+$G$1 )+$M138*($G$2+$G$1/$E138)))</f>
        <v>0</v>
      </c>
      <c r="E138" s="1">
        <f t="shared" si="34"/>
        <v>0.92626897710551004</v>
      </c>
      <c r="F138" s="1">
        <f t="shared" si="35"/>
        <v>4.1898115384615513E-3</v>
      </c>
      <c r="G138" s="9">
        <f t="shared" ref="G138:G171" si="48">+IF($H138 &gt; 0,IF($I138&lt;1, $I138, IF($K138&gt;1,1,$K138)), $K138)</f>
        <v>0.92626897710551004</v>
      </c>
      <c r="H138" s="1">
        <f t="shared" ref="H138:H171" si="49">+$U138*$U138-4*$G$1*$G$2*$S138</f>
        <v>37.360122069503632</v>
      </c>
      <c r="I138" s="1">
        <f t="shared" si="36"/>
        <v>0.92626897710551004</v>
      </c>
      <c r="J138" s="3">
        <f t="shared" ref="J138:J171" si="50">+IF($U138*$U138-4*$G$1*$G$2*$S138 &gt; 0,(-$U138+SQRT($U138*$U138-4*$G$1*$G$2*$S138))/2/$G$2)</f>
        <v>0.92626897710551004</v>
      </c>
      <c r="K138" s="3">
        <f t="shared" ref="K138:K171" si="51">-$U138/2/$G$2</f>
        <v>-3.3558472492898428</v>
      </c>
      <c r="L138" s="6">
        <f t="shared" si="43"/>
        <v>-1.4461538461538453E-2</v>
      </c>
      <c r="M138" s="6">
        <f t="shared" si="44"/>
        <v>-2.9846153846153856E-2</v>
      </c>
      <c r="N138" s="6">
        <f t="shared" si="45"/>
        <v>1.6923076923077035E-3</v>
      </c>
      <c r="O138" s="6">
        <v>5.8000000000000003E-2</v>
      </c>
      <c r="P138" s="4">
        <v>6.3E-2</v>
      </c>
      <c r="Q138" s="5">
        <v>3.5000000000000003E-2</v>
      </c>
      <c r="R138">
        <f t="shared" si="37"/>
        <v>1.6923076923077035E-3</v>
      </c>
      <c r="S138">
        <f t="shared" si="38"/>
        <v>-17.636363636363527</v>
      </c>
      <c r="T138">
        <f t="shared" si="39"/>
        <v>-8.5454545454544846</v>
      </c>
      <c r="U138">
        <f t="shared" ref="U138:U171" si="52">+$G$1+$S138*$G$2-2*$T138</f>
        <v>4.7901363636363214</v>
      </c>
      <c r="W138">
        <v>3.5000000000000003E-2</v>
      </c>
      <c r="X138">
        <v>3.5999999999999997E-2</v>
      </c>
      <c r="Y138" s="11">
        <f t="shared" si="40"/>
        <v>0.65623060334473848</v>
      </c>
      <c r="Z138">
        <f t="shared" si="41"/>
        <v>-3.1975423148207859E-2</v>
      </c>
      <c r="AA138" s="13">
        <f t="shared" si="42"/>
        <v>7.4038083215329009E-2</v>
      </c>
      <c r="AB138" s="13">
        <v>0.57403808321532901</v>
      </c>
    </row>
    <row r="139" spans="1:28" x14ac:dyDescent="0.25">
      <c r="A139" s="1">
        <v>1980</v>
      </c>
      <c r="B139" s="1">
        <f t="shared" ref="B139:B171" si="53">+$L139</f>
        <v>4.9230769230769345E-3</v>
      </c>
      <c r="C139" s="1">
        <f t="shared" si="46"/>
        <v>-8.4104230769230758E-4</v>
      </c>
      <c r="D139" s="1">
        <f t="shared" si="47"/>
        <v>0</v>
      </c>
      <c r="E139" s="1">
        <f t="shared" ref="E139:E171" si="54">+$G139</f>
        <v>0.80061941332559738</v>
      </c>
      <c r="F139" s="1">
        <f t="shared" ref="F139:F171" si="55">+ABS($B139-$C139)</f>
        <v>5.7641192307692421E-3</v>
      </c>
      <c r="G139" s="9">
        <f t="shared" si="48"/>
        <v>0.80061941332559738</v>
      </c>
      <c r="H139" s="1">
        <f t="shared" si="49"/>
        <v>0.58307178835704221</v>
      </c>
      <c r="I139" s="1">
        <f t="shared" ref="I139:I171" si="56">+(-$U139+SQRT($U139*$U139-4*$G$1*$G$2*$S139))/2/$G$2</f>
        <v>0.80061941332559738</v>
      </c>
      <c r="J139" s="3">
        <f t="shared" si="50"/>
        <v>0.80061941332559738</v>
      </c>
      <c r="K139" s="3">
        <f t="shared" si="51"/>
        <v>0.2656667894986669</v>
      </c>
      <c r="L139" s="6">
        <f t="shared" si="43"/>
        <v>4.9230769230769345E-3</v>
      </c>
      <c r="M139" s="6">
        <f t="shared" si="44"/>
        <v>-1.8769230769230771E-2</v>
      </c>
      <c r="N139" s="6">
        <f t="shared" si="45"/>
        <v>3.4923076923076925E-2</v>
      </c>
      <c r="O139" s="6">
        <v>9.2999999999999999E-2</v>
      </c>
      <c r="P139" s="4">
        <v>5.3999999999999999E-2</v>
      </c>
      <c r="Q139" s="5">
        <v>0.13500000000000001</v>
      </c>
      <c r="R139">
        <f t="shared" ref="R139:R170" si="57">+$N139+$N$1</f>
        <v>3.4923076923076925E-2</v>
      </c>
      <c r="S139">
        <f t="shared" ref="S139:S171" si="58">+$M139/($R139)</f>
        <v>-0.53744493392070491</v>
      </c>
      <c r="T139">
        <f t="shared" ref="T139:T171" si="59">+$L139/($R139)</f>
        <v>0.14096916299559503</v>
      </c>
      <c r="U139">
        <f t="shared" si="52"/>
        <v>-0.37921277533039716</v>
      </c>
      <c r="W139">
        <v>0.13500000000000001</v>
      </c>
      <c r="X139">
        <v>0.1305</v>
      </c>
      <c r="Y139" s="11">
        <f t="shared" ref="Y139:Y171" si="60">-2.2979737161E-10*$A139^5 + 0.0000022285768284*$A139^4 - 0.0086436385146*$A139^3 + 16.759480306*$A139^2 - 16244.935412*$A139 + 6297344.9302</f>
        <v>0.65427434537559748</v>
      </c>
      <c r="Z139">
        <f t="shared" ref="Z139:Z171" si="61">+$G$2*$M139/$Y139+$G$1*$N139</f>
        <v>-1.0475503288251743E-2</v>
      </c>
      <c r="AA139" s="13">
        <f t="shared" ref="AA139:AA168" si="62">+$AB139+$AA$1</f>
        <v>0.13897487637411798</v>
      </c>
      <c r="AB139" s="13">
        <v>0.63897487637411798</v>
      </c>
    </row>
    <row r="140" spans="1:28" x14ac:dyDescent="0.25">
      <c r="A140" s="1">
        <v>1981</v>
      </c>
      <c r="B140" s="1">
        <f t="shared" si="53"/>
        <v>2.2923076923076921E-2</v>
      </c>
      <c r="C140" s="1">
        <f t="shared" si="46"/>
        <v>1.5262444230769234E-2</v>
      </c>
      <c r="D140" s="1">
        <f t="shared" si="47"/>
        <v>0</v>
      </c>
      <c r="E140" s="1">
        <f t="shared" si="54"/>
        <v>0.82653669421119935</v>
      </c>
      <c r="F140" s="1">
        <f t="shared" si="55"/>
        <v>7.6606326923076874E-3</v>
      </c>
      <c r="G140" s="9">
        <f t="shared" si="48"/>
        <v>0.82653669421119935</v>
      </c>
      <c r="H140" s="1">
        <f t="shared" si="49"/>
        <v>0.39132917304156323</v>
      </c>
      <c r="I140" s="1">
        <f t="shared" si="56"/>
        <v>0.82653669421119935</v>
      </c>
      <c r="J140" s="3">
        <f t="shared" si="50"/>
        <v>0.82653669421119935</v>
      </c>
      <c r="K140" s="3">
        <f t="shared" si="51"/>
        <v>0.38828316697169152</v>
      </c>
      <c r="L140" s="6">
        <f t="shared" si="43"/>
        <v>2.2923076923076921E-2</v>
      </c>
      <c r="M140" s="6">
        <f t="shared" si="44"/>
        <v>-6.1538461538461521E-3</v>
      </c>
      <c r="N140" s="6">
        <f t="shared" si="45"/>
        <v>5.9769230769230769E-2</v>
      </c>
      <c r="O140" s="6">
        <v>0.14199999999999999</v>
      </c>
      <c r="P140" s="4">
        <v>2.7E-2</v>
      </c>
      <c r="Q140" s="5">
        <v>0.317</v>
      </c>
      <c r="R140">
        <f t="shared" si="57"/>
        <v>5.9769230769230769E-2</v>
      </c>
      <c r="S140">
        <f t="shared" si="58"/>
        <v>-0.10296010296010293</v>
      </c>
      <c r="T140">
        <f t="shared" si="59"/>
        <v>0.38352638352638352</v>
      </c>
      <c r="U140">
        <f t="shared" si="52"/>
        <v>-0.55423539253539245</v>
      </c>
      <c r="W140">
        <v>0.317</v>
      </c>
      <c r="X140">
        <v>0.31</v>
      </c>
      <c r="Y140" s="11">
        <f t="shared" si="60"/>
        <v>0.65225865412503481</v>
      </c>
      <c r="Z140">
        <f t="shared" si="61"/>
        <v>1.0378405698733089E-2</v>
      </c>
      <c r="AA140" s="13">
        <f t="shared" si="62"/>
        <v>0.16978943079805198</v>
      </c>
      <c r="AB140" s="13">
        <v>0.66978943079805198</v>
      </c>
    </row>
    <row r="141" spans="1:28" x14ac:dyDescent="0.25">
      <c r="A141" s="1">
        <v>1982</v>
      </c>
      <c r="B141" s="1">
        <f t="shared" si="53"/>
        <v>5.9153846153846154E-2</v>
      </c>
      <c r="C141" s="1">
        <f t="shared" si="46"/>
        <v>5.1229371153846161E-2</v>
      </c>
      <c r="D141" s="1">
        <f t="shared" si="47"/>
        <v>0</v>
      </c>
      <c r="E141" s="1">
        <f t="shared" si="54"/>
        <v>0.75590661220481237</v>
      </c>
      <c r="F141" s="1">
        <f t="shared" si="55"/>
        <v>7.9244749999999933E-3</v>
      </c>
      <c r="G141" s="9">
        <f t="shared" si="48"/>
        <v>0.75590661220481237</v>
      </c>
      <c r="H141" s="1">
        <f t="shared" si="49"/>
        <v>0.21097044156758188</v>
      </c>
      <c r="I141" s="1">
        <f t="shared" si="56"/>
        <v>0.75590661220481237</v>
      </c>
      <c r="J141" s="3">
        <f t="shared" si="50"/>
        <v>0.75590661220481237</v>
      </c>
      <c r="K141" s="3">
        <f t="shared" si="51"/>
        <v>0.43412211759347136</v>
      </c>
      <c r="L141" s="6">
        <f t="shared" si="43"/>
        <v>5.9153846153846154E-2</v>
      </c>
      <c r="M141" s="6">
        <f t="shared" si="44"/>
        <v>2.3692307692307693E-2</v>
      </c>
      <c r="N141" s="6">
        <f t="shared" si="45"/>
        <v>0.11192307692307693</v>
      </c>
      <c r="O141" s="6">
        <v>1.2999999999999999E-2</v>
      </c>
      <c r="P141" s="4">
        <v>1.2999999999999999E-2</v>
      </c>
      <c r="Q141" s="5">
        <v>-2E-3</v>
      </c>
      <c r="R141">
        <f t="shared" si="57"/>
        <v>0.11192307692307693</v>
      </c>
      <c r="S141">
        <f t="shared" si="58"/>
        <v>0.21168384879725086</v>
      </c>
      <c r="T141">
        <f t="shared" si="59"/>
        <v>0.52852233676975946</v>
      </c>
      <c r="U141">
        <f t="shared" si="52"/>
        <v>-0.61966591065292098</v>
      </c>
      <c r="W141">
        <v>-2E-3</v>
      </c>
      <c r="X141">
        <v>6.3333299999999999E-3</v>
      </c>
      <c r="Y141" s="11">
        <f t="shared" si="60"/>
        <v>0.65016922820359468</v>
      </c>
      <c r="Z141">
        <f t="shared" si="61"/>
        <v>5.8050959718968079E-2</v>
      </c>
      <c r="AA141" s="13">
        <f t="shared" si="62"/>
        <v>0.124775057019747</v>
      </c>
      <c r="AB141" s="13">
        <v>0.624775057019747</v>
      </c>
    </row>
    <row r="142" spans="1:28" x14ac:dyDescent="0.25">
      <c r="A142" s="1">
        <v>1983</v>
      </c>
      <c r="B142" s="1">
        <f t="shared" si="53"/>
        <v>0.10099999999999999</v>
      </c>
      <c r="C142" s="1">
        <f t="shared" si="46"/>
        <v>9.2044659615384605E-2</v>
      </c>
      <c r="D142" s="1">
        <f t="shared" si="47"/>
        <v>0</v>
      </c>
      <c r="E142" s="1">
        <f t="shared" si="54"/>
        <v>0.71895444124757724</v>
      </c>
      <c r="F142" s="1">
        <f t="shared" si="55"/>
        <v>8.9553403846153873E-3</v>
      </c>
      <c r="G142" s="9">
        <f t="shared" si="48"/>
        <v>0.71895444124757724</v>
      </c>
      <c r="H142" s="1">
        <f t="shared" si="49"/>
        <v>0.15097523363151888</v>
      </c>
      <c r="I142" s="1">
        <f t="shared" si="56"/>
        <v>0.71895444124757724</v>
      </c>
      <c r="J142" s="3">
        <f t="shared" si="50"/>
        <v>0.71895444124757724</v>
      </c>
      <c r="K142" s="3">
        <f t="shared" si="51"/>
        <v>0.44674250622513512</v>
      </c>
      <c r="L142" s="6">
        <f t="shared" si="43"/>
        <v>0.10099999999999999</v>
      </c>
      <c r="M142" s="6">
        <f t="shared" si="44"/>
        <v>5.5076923076923072E-2</v>
      </c>
      <c r="N142" s="6">
        <f t="shared" si="45"/>
        <v>0.17607692307692308</v>
      </c>
      <c r="O142" s="6">
        <v>0.191</v>
      </c>
      <c r="P142" s="4">
        <v>0.11899999999999999</v>
      </c>
      <c r="Q142" s="5">
        <v>0.33100000000000002</v>
      </c>
      <c r="R142">
        <f t="shared" si="57"/>
        <v>0.17607692307692308</v>
      </c>
      <c r="S142">
        <f t="shared" si="58"/>
        <v>0.31280034949759716</v>
      </c>
      <c r="T142">
        <f t="shared" si="59"/>
        <v>0.57361293141109648</v>
      </c>
      <c r="U142">
        <f t="shared" si="52"/>
        <v>-0.63768025338575784</v>
      </c>
      <c r="W142">
        <v>0.33100000000000002</v>
      </c>
      <c r="X142">
        <v>0.32183299999999998</v>
      </c>
      <c r="Y142" s="11">
        <f t="shared" si="60"/>
        <v>0.64799068961292505</v>
      </c>
      <c r="Z142">
        <f t="shared" si="61"/>
        <v>0.11107280577220027</v>
      </c>
      <c r="AA142" s="13">
        <f t="shared" si="62"/>
        <v>0.18317437869775899</v>
      </c>
      <c r="AB142" s="13">
        <v>0.68317437869775899</v>
      </c>
    </row>
    <row r="143" spans="1:28" x14ac:dyDescent="0.25">
      <c r="A143" s="1">
        <v>1984</v>
      </c>
      <c r="B143" s="1">
        <f t="shared" si="53"/>
        <v>0.11107692307692307</v>
      </c>
      <c r="C143" s="1">
        <f t="shared" si="46"/>
        <v>0.10300294615384616</v>
      </c>
      <c r="D143" s="1">
        <f t="shared" si="47"/>
        <v>0</v>
      </c>
      <c r="E143" s="7">
        <f t="shared" si="54"/>
        <v>0.70069378827007389</v>
      </c>
      <c r="F143" s="1">
        <f t="shared" si="55"/>
        <v>8.0739769230769171E-3</v>
      </c>
      <c r="G143" s="9">
        <f t="shared" si="48"/>
        <v>0.70069378827007389</v>
      </c>
      <c r="H143" s="1">
        <f t="shared" si="49"/>
        <v>0.12736091064414995</v>
      </c>
      <c r="I143" s="1">
        <f t="shared" si="56"/>
        <v>0.70069378827007389</v>
      </c>
      <c r="J143" s="3">
        <f t="shared" si="50"/>
        <v>0.70069378827007389</v>
      </c>
      <c r="K143" s="3">
        <f t="shared" si="51"/>
        <v>0.45067515002825187</v>
      </c>
      <c r="L143" s="6">
        <f t="shared" si="43"/>
        <v>0.11107692307692307</v>
      </c>
      <c r="M143" s="6">
        <f t="shared" si="44"/>
        <v>6.5999999999999989E-2</v>
      </c>
      <c r="N143" s="6">
        <f t="shared" si="45"/>
        <v>0.18830769230769234</v>
      </c>
      <c r="O143" s="6">
        <v>-1.4E-2</v>
      </c>
      <c r="P143" s="4">
        <v>-0.01</v>
      </c>
      <c r="Q143" s="5">
        <v>-4.4999999999999998E-2</v>
      </c>
      <c r="R143">
        <f t="shared" si="57"/>
        <v>0.18830769230769234</v>
      </c>
      <c r="S143">
        <f t="shared" si="58"/>
        <v>0.35049019607843124</v>
      </c>
      <c r="T143">
        <f t="shared" si="59"/>
        <v>0.58986928104575154</v>
      </c>
      <c r="U143">
        <f t="shared" si="52"/>
        <v>-0.64329370915032669</v>
      </c>
      <c r="W143">
        <v>-4.4999999999999998E-2</v>
      </c>
      <c r="X143">
        <v>-3.80833E-2</v>
      </c>
      <c r="Y143" s="11">
        <f t="shared" si="60"/>
        <v>0.64570639748126268</v>
      </c>
      <c r="Z143">
        <f t="shared" si="61"/>
        <v>0.12686236578539295</v>
      </c>
      <c r="AA143" s="13">
        <f t="shared" si="62"/>
        <v>0.16544867621009096</v>
      </c>
      <c r="AB143" s="13">
        <v>0.66544867621009096</v>
      </c>
    </row>
    <row r="144" spans="1:28" x14ac:dyDescent="0.25">
      <c r="A144" s="1">
        <v>1985</v>
      </c>
      <c r="B144" s="1">
        <f t="shared" si="53"/>
        <v>0.113</v>
      </c>
      <c r="C144" s="1">
        <f t="shared" si="46"/>
        <v>0.10300294615384614</v>
      </c>
      <c r="D144" s="1">
        <f t="shared" si="47"/>
        <v>0</v>
      </c>
      <c r="E144" s="7">
        <f t="shared" si="54"/>
        <v>0.73753831462977626</v>
      </c>
      <c r="F144" s="1">
        <f t="shared" si="55"/>
        <v>9.9970538461538611E-3</v>
      </c>
      <c r="G144" s="9">
        <f t="shared" si="48"/>
        <v>0.73753831462977626</v>
      </c>
      <c r="H144" s="1">
        <f t="shared" si="49"/>
        <v>0.15361472927744085</v>
      </c>
      <c r="I144" s="1">
        <f t="shared" si="56"/>
        <v>0.73753831462977626</v>
      </c>
      <c r="J144" s="3">
        <f t="shared" si="50"/>
        <v>0.73753831462977626</v>
      </c>
      <c r="K144" s="3">
        <f t="shared" si="51"/>
        <v>0.46295715332100784</v>
      </c>
      <c r="L144" s="6">
        <f t="shared" si="43"/>
        <v>0.113</v>
      </c>
      <c r="M144" s="6">
        <f t="shared" si="44"/>
        <v>6.5538461538461532E-2</v>
      </c>
      <c r="N144" s="6">
        <f t="shared" si="45"/>
        <v>0.18923076923076923</v>
      </c>
      <c r="O144" s="6">
        <v>-2.9000000000000001E-2</v>
      </c>
      <c r="P144" s="4">
        <v>-0.04</v>
      </c>
      <c r="Q144" s="5">
        <v>-3.3000000000000002E-2</v>
      </c>
      <c r="R144">
        <f t="shared" si="57"/>
        <v>0.18923076923076923</v>
      </c>
      <c r="S144">
        <f t="shared" si="58"/>
        <v>0.34634146341463412</v>
      </c>
      <c r="T144">
        <f t="shared" si="59"/>
        <v>0.59715447154471546</v>
      </c>
      <c r="U144">
        <f t="shared" si="52"/>
        <v>-0.66082504065040659</v>
      </c>
      <c r="W144">
        <v>-3.3000000000000002E-2</v>
      </c>
      <c r="X144">
        <v>-2.8000000000000001E-2</v>
      </c>
      <c r="Y144" s="11">
        <f t="shared" si="60"/>
        <v>0.64329857472330332</v>
      </c>
      <c r="Z144">
        <f t="shared" si="61"/>
        <v>0.12688764072635564</v>
      </c>
      <c r="AA144" s="13">
        <f t="shared" si="62"/>
        <v>0.172984077670994</v>
      </c>
      <c r="AB144" s="13">
        <v>0.672984077670994</v>
      </c>
    </row>
    <row r="145" spans="1:28" x14ac:dyDescent="0.25">
      <c r="A145" s="1">
        <v>1986</v>
      </c>
      <c r="B145" s="1">
        <f t="shared" si="53"/>
        <v>0.11838461538461539</v>
      </c>
      <c r="C145" s="1">
        <f t="shared" si="46"/>
        <v>0.10728236730769228</v>
      </c>
      <c r="D145" s="1">
        <f t="shared" si="47"/>
        <v>0</v>
      </c>
      <c r="E145" s="1">
        <f t="shared" si="54"/>
        <v>0.76853563858650742</v>
      </c>
      <c r="F145" s="1">
        <f t="shared" si="55"/>
        <v>1.1102248076923116E-2</v>
      </c>
      <c r="G145" s="9">
        <f t="shared" si="48"/>
        <v>0.76853563858650742</v>
      </c>
      <c r="H145" s="1">
        <f t="shared" si="49"/>
        <v>0.16698436227109559</v>
      </c>
      <c r="I145" s="1">
        <f t="shared" si="56"/>
        <v>0.76853563858650742</v>
      </c>
      <c r="J145" s="3">
        <f t="shared" si="50"/>
        <v>0.76853563858650742</v>
      </c>
      <c r="K145" s="3">
        <f t="shared" si="51"/>
        <v>0.48225484744078784</v>
      </c>
      <c r="L145" s="6">
        <f t="shared" ref="L145:L165" si="63">+(O139+O140+O141+O142+O143+O144+O145+O146+O148+O149+O150+O151+O152)/13</f>
        <v>0.11838461538461539</v>
      </c>
      <c r="M145" s="6">
        <f t="shared" ref="M145:M165" si="64">+(P139+P140+P141+P142+P143+P144+P145+P146+P148+P149+P150+P151+P152)/13</f>
        <v>7.1538461538461537E-2</v>
      </c>
      <c r="N145" s="6">
        <f t="shared" ref="N145:N165" si="65">+(Q139+Q140+Q141+Q142+Q143+Q144+Q145+Q146+Q148+Q149+Q150+Q151+Q152)/13</f>
        <v>0.19053846153846149</v>
      </c>
      <c r="O145" s="6">
        <v>4.7E-2</v>
      </c>
      <c r="P145" s="4">
        <v>-1.2999999999999999E-2</v>
      </c>
      <c r="Q145" s="5">
        <v>0.12</v>
      </c>
      <c r="R145">
        <f t="shared" si="57"/>
        <v>0.19053846153846149</v>
      </c>
      <c r="S145">
        <f t="shared" si="58"/>
        <v>0.3754541784416634</v>
      </c>
      <c r="T145">
        <f t="shared" si="59"/>
        <v>0.62131610819539784</v>
      </c>
      <c r="U145">
        <f t="shared" si="52"/>
        <v>-0.68837056923698059</v>
      </c>
      <c r="W145">
        <v>0.12</v>
      </c>
      <c r="X145">
        <v>0.1255</v>
      </c>
      <c r="Y145" s="11">
        <f t="shared" si="60"/>
        <v>0.64074825588613749</v>
      </c>
      <c r="Z145">
        <f t="shared" si="61"/>
        <v>0.13423456220474903</v>
      </c>
      <c r="AA145" s="13">
        <f t="shared" si="62"/>
        <v>0.21123929043022005</v>
      </c>
      <c r="AB145" s="13">
        <v>0.71123929043022005</v>
      </c>
    </row>
    <row r="146" spans="1:28" x14ac:dyDescent="0.25">
      <c r="A146" s="1">
        <v>1987</v>
      </c>
      <c r="B146" s="1">
        <f t="shared" si="53"/>
        <v>0.13299999999999998</v>
      </c>
      <c r="C146" s="1">
        <f t="shared" si="46"/>
        <v>0.12212429038461536</v>
      </c>
      <c r="D146" s="1">
        <f t="shared" si="47"/>
        <v>0</v>
      </c>
      <c r="E146" s="1">
        <f t="shared" si="54"/>
        <v>0.73836836138831008</v>
      </c>
      <c r="F146" s="1">
        <f t="shared" si="55"/>
        <v>1.0875709615384616E-2</v>
      </c>
      <c r="G146" s="9">
        <f t="shared" si="48"/>
        <v>0.73836836138831008</v>
      </c>
      <c r="H146" s="1">
        <f t="shared" si="49"/>
        <v>0.14503001491268119</v>
      </c>
      <c r="I146" s="1">
        <f t="shared" si="56"/>
        <v>0.73836836138831008</v>
      </c>
      <c r="J146" s="3">
        <f t="shared" si="50"/>
        <v>0.73836836138831008</v>
      </c>
      <c r="K146" s="3">
        <f t="shared" si="51"/>
        <v>0.47156994134835328</v>
      </c>
      <c r="L146" s="6">
        <f t="shared" si="63"/>
        <v>0.13299999999999998</v>
      </c>
      <c r="M146" s="6">
        <f t="shared" si="64"/>
        <v>8.161538461538459E-2</v>
      </c>
      <c r="N146" s="6">
        <f t="shared" si="65"/>
        <v>0.21653846153846151</v>
      </c>
      <c r="O146" s="6">
        <v>0.186</v>
      </c>
      <c r="P146" s="4">
        <v>0.14499999999999999</v>
      </c>
      <c r="Q146" s="5">
        <v>0.252</v>
      </c>
      <c r="R146">
        <f t="shared" si="57"/>
        <v>0.21653846153846151</v>
      </c>
      <c r="S146">
        <f t="shared" si="58"/>
        <v>0.37690941385435162</v>
      </c>
      <c r="T146">
        <f t="shared" si="59"/>
        <v>0.61420959147424514</v>
      </c>
      <c r="U146">
        <f t="shared" si="52"/>
        <v>-0.67311893428063951</v>
      </c>
      <c r="W146">
        <v>0.252</v>
      </c>
      <c r="X146">
        <v>0.246583</v>
      </c>
      <c r="Y146" s="11">
        <f t="shared" si="60"/>
        <v>0.63803509343415499</v>
      </c>
      <c r="Z146">
        <f t="shared" si="61"/>
        <v>0.15328915616728919</v>
      </c>
      <c r="AA146" s="13">
        <f t="shared" si="62"/>
        <v>0.24425030625556499</v>
      </c>
      <c r="AB146" s="13">
        <v>0.74425030625556499</v>
      </c>
    </row>
    <row r="147" spans="1:28" x14ac:dyDescent="0.25">
      <c r="A147" s="1">
        <v>1988</v>
      </c>
      <c r="B147" s="1">
        <f t="shared" si="53"/>
        <v>0.13392307692307692</v>
      </c>
      <c r="C147" s="1">
        <f t="shared" si="46"/>
        <v>0.12440005192307692</v>
      </c>
      <c r="D147" s="1">
        <f t="shared" si="47"/>
        <v>0</v>
      </c>
      <c r="E147" s="1">
        <f t="shared" si="54"/>
        <v>0.71467973519416306</v>
      </c>
      <c r="F147" s="1">
        <f t="shared" si="55"/>
        <v>9.5230250000000044E-3</v>
      </c>
      <c r="G147" s="9">
        <f t="shared" si="48"/>
        <v>0.71467973519416306</v>
      </c>
      <c r="H147" s="1">
        <f t="shared" si="49"/>
        <v>0.12677545908256577</v>
      </c>
      <c r="I147" s="1">
        <f t="shared" si="56"/>
        <v>0.71467973519416306</v>
      </c>
      <c r="J147" s="3">
        <f t="shared" si="50"/>
        <v>0.71467973519416306</v>
      </c>
      <c r="K147" s="3">
        <f t="shared" si="51"/>
        <v>0.46523640063712612</v>
      </c>
      <c r="L147" s="6">
        <f t="shared" si="63"/>
        <v>0.13392307692307692</v>
      </c>
      <c r="M147" s="6">
        <f t="shared" si="64"/>
        <v>8.4076923076923077E-2</v>
      </c>
      <c r="N147" s="6">
        <f t="shared" si="65"/>
        <v>0.21869230769230769</v>
      </c>
      <c r="O147" s="6">
        <v>0.20100000000000001</v>
      </c>
      <c r="P147" s="4">
        <v>0.108</v>
      </c>
      <c r="Q147" s="5">
        <v>0.375</v>
      </c>
      <c r="R147">
        <f t="shared" si="57"/>
        <v>0.21869230769230769</v>
      </c>
      <c r="S147">
        <f t="shared" si="58"/>
        <v>0.38445304256067536</v>
      </c>
      <c r="T147">
        <f t="shared" si="59"/>
        <v>0.61238128737249387</v>
      </c>
      <c r="U147">
        <f t="shared" si="52"/>
        <v>-0.6640784382694338</v>
      </c>
      <c r="W147">
        <v>0.375</v>
      </c>
      <c r="X147">
        <v>0.36883300000000002</v>
      </c>
      <c r="Y147" s="11">
        <f t="shared" si="60"/>
        <v>0.63513761851936579</v>
      </c>
      <c r="Z147">
        <f t="shared" si="61"/>
        <v>0.1570882978620467</v>
      </c>
      <c r="AA147" s="13">
        <f t="shared" si="62"/>
        <v>0.29018731742680604</v>
      </c>
      <c r="AB147" s="13">
        <v>0.79018731742680604</v>
      </c>
    </row>
    <row r="148" spans="1:28" x14ac:dyDescent="0.25">
      <c r="A148" s="1">
        <v>1989</v>
      </c>
      <c r="B148" s="1">
        <f t="shared" si="53"/>
        <v>0.14961538461538465</v>
      </c>
      <c r="C148" s="1">
        <f t="shared" si="46"/>
        <v>0.139885125</v>
      </c>
      <c r="D148" s="1">
        <f t="shared" si="47"/>
        <v>0</v>
      </c>
      <c r="E148" s="1">
        <f t="shared" si="54"/>
        <v>0.70289474324197354</v>
      </c>
      <c r="F148" s="1">
        <f t="shared" si="55"/>
        <v>9.730259615384651E-3</v>
      </c>
      <c r="G148" s="9">
        <f t="shared" si="48"/>
        <v>0.70289474324197354</v>
      </c>
      <c r="H148" s="1">
        <f t="shared" si="49"/>
        <v>0.1167329896155872</v>
      </c>
      <c r="I148" s="1">
        <f t="shared" si="56"/>
        <v>0.70289474324197354</v>
      </c>
      <c r="J148" s="3">
        <f t="shared" si="50"/>
        <v>0.70289474324197354</v>
      </c>
      <c r="K148" s="3">
        <f t="shared" si="51"/>
        <v>0.46353499923615943</v>
      </c>
      <c r="L148" s="6">
        <f t="shared" si="63"/>
        <v>0.14961538461538465</v>
      </c>
      <c r="M148" s="6">
        <f t="shared" si="64"/>
        <v>9.5692307692307715E-2</v>
      </c>
      <c r="N148" s="6">
        <f t="shared" si="65"/>
        <v>0.24361538461538459</v>
      </c>
      <c r="O148" s="6">
        <v>0.121</v>
      </c>
      <c r="P148" s="4">
        <v>6.9000000000000006E-2</v>
      </c>
      <c r="Q148" s="5">
        <v>0.245</v>
      </c>
      <c r="R148">
        <f t="shared" si="57"/>
        <v>0.24361538461538459</v>
      </c>
      <c r="S148">
        <f t="shared" si="58"/>
        <v>0.39280075781496698</v>
      </c>
      <c r="T148">
        <f t="shared" si="59"/>
        <v>0.61414587938111798</v>
      </c>
      <c r="U148">
        <f t="shared" si="52"/>
        <v>-0.66164985790969399</v>
      </c>
      <c r="W148">
        <v>0.245</v>
      </c>
      <c r="X148">
        <v>0.251583</v>
      </c>
      <c r="Y148" s="11">
        <f t="shared" si="60"/>
        <v>0.63203293550759554</v>
      </c>
      <c r="Z148">
        <f t="shared" si="61"/>
        <v>0.17780411165172211</v>
      </c>
      <c r="AA148" s="13">
        <f t="shared" si="62"/>
        <v>0.28009276132059502</v>
      </c>
      <c r="AB148" s="13">
        <v>0.78009276132059502</v>
      </c>
    </row>
    <row r="149" spans="1:28" x14ac:dyDescent="0.25">
      <c r="A149" s="1">
        <v>1990</v>
      </c>
      <c r="B149" s="1">
        <f t="shared" si="53"/>
        <v>0.1766923076923077</v>
      </c>
      <c r="C149" s="1">
        <f t="shared" si="46"/>
        <v>0.16603164615384619</v>
      </c>
      <c r="D149" s="1">
        <f t="shared" si="47"/>
        <v>0</v>
      </c>
      <c r="E149" s="1">
        <f t="shared" si="54"/>
        <v>0.70281721011730358</v>
      </c>
      <c r="F149" s="1">
        <f t="shared" si="55"/>
        <v>1.0660661538461513E-2</v>
      </c>
      <c r="G149" s="9">
        <f t="shared" si="48"/>
        <v>0.70281721011730358</v>
      </c>
      <c r="H149" s="1">
        <f t="shared" si="49"/>
        <v>0.10992643633823745</v>
      </c>
      <c r="I149" s="1">
        <f t="shared" si="56"/>
        <v>0.70281721011730358</v>
      </c>
      <c r="J149" s="3">
        <f t="shared" si="50"/>
        <v>0.70281721011730358</v>
      </c>
      <c r="K149" s="3">
        <f t="shared" si="51"/>
        <v>0.47054065197321826</v>
      </c>
      <c r="L149" s="6">
        <f t="shared" si="63"/>
        <v>0.1766923076923077</v>
      </c>
      <c r="M149" s="6">
        <f t="shared" si="64"/>
        <v>0.11746153846153848</v>
      </c>
      <c r="N149" s="6">
        <f t="shared" si="65"/>
        <v>0.2813846153846154</v>
      </c>
      <c r="O149" s="6">
        <v>0.29099999999999998</v>
      </c>
      <c r="P149" s="4">
        <v>0.19800000000000001</v>
      </c>
      <c r="Q149" s="5">
        <v>0.49199999999999999</v>
      </c>
      <c r="R149">
        <f t="shared" si="57"/>
        <v>0.2813846153846154</v>
      </c>
      <c r="S149">
        <f t="shared" si="58"/>
        <v>0.41744122471295791</v>
      </c>
      <c r="T149">
        <f t="shared" si="59"/>
        <v>0.62793876435210494</v>
      </c>
      <c r="U149">
        <f t="shared" si="52"/>
        <v>-0.67164972662657174</v>
      </c>
      <c r="W149">
        <v>0.49199999999999999</v>
      </c>
      <c r="X149">
        <v>0.48341699999999999</v>
      </c>
      <c r="Y149" s="11">
        <f t="shared" si="60"/>
        <v>0.62869688589125872</v>
      </c>
      <c r="Z149">
        <f t="shared" si="61"/>
        <v>0.21390336948746091</v>
      </c>
      <c r="AA149" s="13">
        <f t="shared" si="62"/>
        <v>0.32790104429118905</v>
      </c>
      <c r="AB149" s="13">
        <v>0.82790104429118905</v>
      </c>
    </row>
    <row r="150" spans="1:28" x14ac:dyDescent="0.25">
      <c r="A150" s="1">
        <v>1991</v>
      </c>
      <c r="B150" s="1">
        <f t="shared" si="53"/>
        <v>0.21546153846153848</v>
      </c>
      <c r="C150" s="1">
        <f t="shared" si="46"/>
        <v>0.20615431153846156</v>
      </c>
      <c r="D150" s="1">
        <f t="shared" si="47"/>
        <v>0</v>
      </c>
      <c r="E150" s="1">
        <f t="shared" si="54"/>
        <v>0.66120799717209766</v>
      </c>
      <c r="F150" s="1">
        <f t="shared" si="55"/>
        <v>9.3072269230769222E-3</v>
      </c>
      <c r="G150" s="9">
        <f t="shared" si="48"/>
        <v>0.66120799717209766</v>
      </c>
      <c r="H150" s="1">
        <f t="shared" si="49"/>
        <v>8.0365997756653151E-2</v>
      </c>
      <c r="I150" s="1">
        <f t="shared" si="56"/>
        <v>0.66120799717209766</v>
      </c>
      <c r="J150" s="3">
        <f t="shared" si="50"/>
        <v>0.66120799717209766</v>
      </c>
      <c r="K150" s="3">
        <f t="shared" si="51"/>
        <v>0.46260285992862438</v>
      </c>
      <c r="L150" s="6">
        <f t="shared" si="63"/>
        <v>0.21546153846153848</v>
      </c>
      <c r="M150" s="6">
        <f t="shared" si="64"/>
        <v>0.14915384615384616</v>
      </c>
      <c r="N150" s="6">
        <f t="shared" si="65"/>
        <v>0.34276923076923083</v>
      </c>
      <c r="O150" s="6">
        <v>0.253</v>
      </c>
      <c r="P150" s="4">
        <v>0.17399999999999999</v>
      </c>
      <c r="Q150" s="5">
        <v>0.39700000000000002</v>
      </c>
      <c r="R150">
        <f t="shared" si="57"/>
        <v>0.34276923076923083</v>
      </c>
      <c r="S150">
        <f t="shared" si="58"/>
        <v>0.4351436265709156</v>
      </c>
      <c r="T150">
        <f t="shared" si="59"/>
        <v>0.62859066427289045</v>
      </c>
      <c r="U150">
        <f t="shared" si="52"/>
        <v>-0.66031932226211842</v>
      </c>
      <c r="W150">
        <v>0.39700000000000002</v>
      </c>
      <c r="X150">
        <v>0.38974999999999999</v>
      </c>
      <c r="Y150" s="11">
        <f t="shared" si="60"/>
        <v>0.62510389927774668</v>
      </c>
      <c r="Z150">
        <f t="shared" si="61"/>
        <v>0.26842828138279279</v>
      </c>
      <c r="AA150" s="13">
        <f t="shared" si="62"/>
        <v>0.34222175090468099</v>
      </c>
      <c r="AB150" s="13">
        <v>0.84222175090468099</v>
      </c>
    </row>
    <row r="151" spans="1:28" x14ac:dyDescent="0.25">
      <c r="A151" s="1">
        <v>1992</v>
      </c>
      <c r="B151" s="1">
        <f t="shared" si="53"/>
        <v>0.23623076923076924</v>
      </c>
      <c r="C151" s="1">
        <f t="shared" si="46"/>
        <v>0.2263393269230769</v>
      </c>
      <c r="D151" s="1">
        <f t="shared" si="47"/>
        <v>0</v>
      </c>
      <c r="E151" s="1">
        <f t="shared" si="54"/>
        <v>0.65803477725539039</v>
      </c>
      <c r="F151" s="1">
        <f t="shared" si="55"/>
        <v>9.8914423076923441E-3</v>
      </c>
      <c r="G151" s="9">
        <f t="shared" si="48"/>
        <v>0.65803477725539039</v>
      </c>
      <c r="H151" s="1">
        <f t="shared" si="49"/>
        <v>7.8096515718043269E-2</v>
      </c>
      <c r="I151" s="1">
        <f t="shared" si="56"/>
        <v>0.65803477725539039</v>
      </c>
      <c r="J151" s="3">
        <f t="shared" si="50"/>
        <v>0.65803477725539039</v>
      </c>
      <c r="K151" s="3">
        <f t="shared" si="51"/>
        <v>0.46225396016868225</v>
      </c>
      <c r="L151" s="6">
        <f t="shared" si="63"/>
        <v>0.23623076923076924</v>
      </c>
      <c r="M151" s="6">
        <f t="shared" si="64"/>
        <v>0.16415384615384615</v>
      </c>
      <c r="N151" s="6">
        <f t="shared" si="65"/>
        <v>0.37553846153846149</v>
      </c>
      <c r="O151" s="6">
        <v>0.10199999999999999</v>
      </c>
      <c r="P151" s="4">
        <v>0.09</v>
      </c>
      <c r="Q151" s="5">
        <v>9.2999999999999999E-2</v>
      </c>
      <c r="R151">
        <f t="shared" si="57"/>
        <v>0.37553846153846149</v>
      </c>
      <c r="S151">
        <f t="shared" si="58"/>
        <v>0.43711593609176574</v>
      </c>
      <c r="T151">
        <f t="shared" si="59"/>
        <v>0.62904547316673509</v>
      </c>
      <c r="U151">
        <f t="shared" si="52"/>
        <v>-0.65982130274477702</v>
      </c>
      <c r="W151">
        <v>9.2999999999999999E-2</v>
      </c>
      <c r="X151">
        <v>0.111167</v>
      </c>
      <c r="Y151" s="11">
        <f t="shared" si="60"/>
        <v>0.62122703809291124</v>
      </c>
      <c r="Z151">
        <f t="shared" si="61"/>
        <v>0.29610568425655831</v>
      </c>
      <c r="AA151" s="13">
        <f t="shared" si="62"/>
        <v>0.31538855437126101</v>
      </c>
      <c r="AB151" s="13">
        <v>0.81538855437126101</v>
      </c>
    </row>
    <row r="152" spans="1:28" x14ac:dyDescent="0.25">
      <c r="A152" s="1">
        <v>1993</v>
      </c>
      <c r="B152" s="1">
        <f t="shared" si="53"/>
        <v>0.24592307692307697</v>
      </c>
      <c r="C152" s="1">
        <f t="shared" si="46"/>
        <v>0.23843549423076926</v>
      </c>
      <c r="D152" s="1">
        <f t="shared" si="47"/>
        <v>0</v>
      </c>
      <c r="E152" s="1">
        <f t="shared" si="54"/>
        <v>0.63278470623092653</v>
      </c>
      <c r="F152" s="1">
        <f t="shared" si="55"/>
        <v>7.4875826923077038E-3</v>
      </c>
      <c r="G152" s="9">
        <f t="shared" si="48"/>
        <v>0.63278470623092653</v>
      </c>
      <c r="H152" s="1">
        <f t="shared" si="49"/>
        <v>5.8306596099487351E-2</v>
      </c>
      <c r="I152" s="1">
        <f t="shared" si="56"/>
        <v>0.63278470623092653</v>
      </c>
      <c r="J152" s="3">
        <f t="shared" si="50"/>
        <v>0.63278470623092653</v>
      </c>
      <c r="K152" s="3">
        <f t="shared" si="51"/>
        <v>0.46361867842297094</v>
      </c>
      <c r="L152" s="6">
        <f t="shared" si="63"/>
        <v>0.24592307692307697</v>
      </c>
      <c r="M152" s="6">
        <f t="shared" si="64"/>
        <v>0.17853846153846156</v>
      </c>
      <c r="N152" s="6">
        <f t="shared" si="65"/>
        <v>0.38438461538461538</v>
      </c>
      <c r="O152" s="6">
        <v>0.14299999999999999</v>
      </c>
      <c r="P152" s="4">
        <v>0.104</v>
      </c>
      <c r="Q152" s="5">
        <v>0.17499999999999999</v>
      </c>
      <c r="R152">
        <f t="shared" si="57"/>
        <v>0.38438461538461538</v>
      </c>
      <c r="S152">
        <f t="shared" si="58"/>
        <v>0.46447868721232749</v>
      </c>
      <c r="T152">
        <f t="shared" si="59"/>
        <v>0.63978387032219342</v>
      </c>
      <c r="U152">
        <f t="shared" si="52"/>
        <v>-0.66176930158094871</v>
      </c>
      <c r="W152">
        <v>0.17499999999999999</v>
      </c>
      <c r="X152">
        <v>0.183917</v>
      </c>
      <c r="Y152" s="11">
        <f t="shared" si="60"/>
        <v>0.61703796032816172</v>
      </c>
      <c r="Z152">
        <f t="shared" si="61"/>
        <v>0.31655670746180975</v>
      </c>
      <c r="AA152" s="13">
        <f t="shared" si="62"/>
        <v>0.33645206007288597</v>
      </c>
      <c r="AB152" s="13">
        <v>0.83645206007288597</v>
      </c>
    </row>
    <row r="153" spans="1:28" x14ac:dyDescent="0.25">
      <c r="A153" s="1">
        <v>1994</v>
      </c>
      <c r="B153" s="1">
        <f t="shared" si="53"/>
        <v>0.2763846153846154</v>
      </c>
      <c r="C153" s="1">
        <f t="shared" si="46"/>
        <v>0.26955405961538464</v>
      </c>
      <c r="D153" s="1">
        <f t="shared" si="47"/>
        <v>0</v>
      </c>
      <c r="E153" s="1">
        <f t="shared" si="54"/>
        <v>0.6037498554281967</v>
      </c>
      <c r="F153" s="1">
        <f t="shared" si="55"/>
        <v>6.8305557692307506E-3</v>
      </c>
      <c r="G153" s="9">
        <f t="shared" si="48"/>
        <v>0.6037498554281967</v>
      </c>
      <c r="H153" s="1">
        <f t="shared" si="49"/>
        <v>4.9213336515332495E-2</v>
      </c>
      <c r="I153" s="1">
        <f t="shared" si="56"/>
        <v>0.6037498554281967</v>
      </c>
      <c r="J153" s="3">
        <f t="shared" si="50"/>
        <v>0.6037498554281967</v>
      </c>
      <c r="K153" s="3">
        <f t="shared" si="51"/>
        <v>0.44833386066956538</v>
      </c>
      <c r="L153" s="6">
        <f t="shared" si="63"/>
        <v>0.2763846153846154</v>
      </c>
      <c r="M153" s="6">
        <f t="shared" si="64"/>
        <v>0.19638461538461541</v>
      </c>
      <c r="N153" s="6">
        <f t="shared" si="65"/>
        <v>0.44546153846153846</v>
      </c>
      <c r="O153" s="6">
        <v>0.20300000000000001</v>
      </c>
      <c r="P153" s="4">
        <v>0.14599999999999999</v>
      </c>
      <c r="Q153" s="5">
        <v>0.34300000000000003</v>
      </c>
      <c r="R153">
        <f t="shared" si="57"/>
        <v>0.44546153846153846</v>
      </c>
      <c r="S153">
        <f t="shared" si="58"/>
        <v>0.44085650146779493</v>
      </c>
      <c r="T153">
        <f t="shared" si="59"/>
        <v>0.62044551890865141</v>
      </c>
      <c r="U153">
        <f t="shared" si="52"/>
        <v>-0.63995175271973759</v>
      </c>
      <c r="W153">
        <v>0.34300000000000003</v>
      </c>
      <c r="X153">
        <v>0.341667</v>
      </c>
      <c r="Y153" s="11">
        <f t="shared" si="60"/>
        <v>0.6125068562105298</v>
      </c>
      <c r="Z153">
        <f t="shared" si="61"/>
        <v>0.35636524025104821</v>
      </c>
      <c r="AA153" s="13">
        <f t="shared" si="62"/>
        <v>0.37580857910444398</v>
      </c>
      <c r="AB153" s="13">
        <v>0.87580857910444398</v>
      </c>
    </row>
    <row r="154" spans="1:28" x14ac:dyDescent="0.25">
      <c r="A154" s="1">
        <v>1995</v>
      </c>
      <c r="B154" s="1">
        <f t="shared" si="53"/>
        <v>0.2823846153846154</v>
      </c>
      <c r="C154" s="1">
        <f t="shared" si="46"/>
        <v>0.27638134423076921</v>
      </c>
      <c r="D154" s="1">
        <f t="shared" si="47"/>
        <v>0</v>
      </c>
      <c r="E154" s="1">
        <f t="shared" si="54"/>
        <v>0.59343664375310756</v>
      </c>
      <c r="F154" s="1">
        <f t="shared" si="55"/>
        <v>6.0032711538461903E-3</v>
      </c>
      <c r="G154" s="9">
        <f t="shared" si="48"/>
        <v>0.59343664375310756</v>
      </c>
      <c r="H154" s="1">
        <f t="shared" si="49"/>
        <v>4.3339245292955908E-2</v>
      </c>
      <c r="I154" s="1">
        <f t="shared" si="56"/>
        <v>0.59343664375310756</v>
      </c>
      <c r="J154" s="3">
        <f t="shared" si="50"/>
        <v>0.59343664375310756</v>
      </c>
      <c r="K154" s="3">
        <f t="shared" si="51"/>
        <v>0.44759049023621378</v>
      </c>
      <c r="L154" s="6">
        <f t="shared" si="63"/>
        <v>0.2823846153846154</v>
      </c>
      <c r="M154" s="6">
        <f t="shared" si="64"/>
        <v>0.20269230769230767</v>
      </c>
      <c r="N154" s="6">
        <f t="shared" si="65"/>
        <v>0.45407692307692299</v>
      </c>
      <c r="O154" s="6">
        <v>0.32400000000000001</v>
      </c>
      <c r="P154" s="4">
        <v>0.188</v>
      </c>
      <c r="Q154" s="5">
        <v>0.59199999999999997</v>
      </c>
      <c r="R154">
        <f t="shared" si="57"/>
        <v>0.45407692307692299</v>
      </c>
      <c r="S154">
        <f t="shared" si="58"/>
        <v>0.44638319498560058</v>
      </c>
      <c r="T154">
        <f t="shared" si="59"/>
        <v>0.62188717601219734</v>
      </c>
      <c r="U154">
        <f t="shared" si="52"/>
        <v>-0.63889066576317155</v>
      </c>
      <c r="W154">
        <v>0.59199999999999997</v>
      </c>
      <c r="X154">
        <v>0.58216699999999999</v>
      </c>
      <c r="Y154" s="11">
        <f t="shared" si="60"/>
        <v>0.60760245937854052</v>
      </c>
      <c r="Z154">
        <f t="shared" si="61"/>
        <v>0.36808799407258469</v>
      </c>
      <c r="AA154" s="13">
        <f t="shared" si="62"/>
        <v>0.42840649273982201</v>
      </c>
      <c r="AB154" s="13">
        <v>0.92840649273982201</v>
      </c>
    </row>
    <row r="155" spans="1:28" x14ac:dyDescent="0.25">
      <c r="A155" s="1">
        <v>1996</v>
      </c>
      <c r="B155" s="1">
        <f t="shared" si="53"/>
        <v>0.30107692307692308</v>
      </c>
      <c r="C155" s="1">
        <f t="shared" si="46"/>
        <v>0.29270745961538458</v>
      </c>
      <c r="D155" s="1">
        <f t="shared" si="47"/>
        <v>0</v>
      </c>
      <c r="E155" s="1">
        <f t="shared" si="54"/>
        <v>0.62503099088254588</v>
      </c>
      <c r="F155" s="1">
        <f t="shared" si="55"/>
        <v>8.3694634615384955E-3</v>
      </c>
      <c r="G155" s="9">
        <f t="shared" si="48"/>
        <v>0.62503099088254588</v>
      </c>
      <c r="H155" s="1">
        <f t="shared" si="49"/>
        <v>5.3654751888753405E-2</v>
      </c>
      <c r="I155" s="1">
        <f t="shared" si="56"/>
        <v>0.62503099088254588</v>
      </c>
      <c r="J155" s="3">
        <f t="shared" si="50"/>
        <v>0.62503099088254588</v>
      </c>
      <c r="K155" s="3">
        <f t="shared" si="51"/>
        <v>0.46275345554259423</v>
      </c>
      <c r="L155" s="6">
        <f t="shared" si="63"/>
        <v>0.30107692307692308</v>
      </c>
      <c r="M155" s="6">
        <f t="shared" si="64"/>
        <v>0.22007692307692306</v>
      </c>
      <c r="N155" s="6">
        <f t="shared" si="65"/>
        <v>0.470076923076923</v>
      </c>
      <c r="O155" s="6">
        <v>0.17899999999999999</v>
      </c>
      <c r="P155" s="4">
        <v>0.14000000000000001</v>
      </c>
      <c r="Q155" s="5">
        <v>0.22700000000000001</v>
      </c>
      <c r="R155">
        <f t="shared" si="57"/>
        <v>0.470076923076923</v>
      </c>
      <c r="S155">
        <f t="shared" si="58"/>
        <v>0.46817214858451978</v>
      </c>
      <c r="T155">
        <f t="shared" si="59"/>
        <v>0.64048437244313539</v>
      </c>
      <c r="U155">
        <f t="shared" si="52"/>
        <v>-0.66053428244149903</v>
      </c>
      <c r="W155">
        <v>0.22700000000000001</v>
      </c>
      <c r="X155">
        <v>0.23908299999999999</v>
      </c>
      <c r="Y155" s="11">
        <f t="shared" si="60"/>
        <v>0.60229200217872858</v>
      </c>
      <c r="Z155">
        <f t="shared" si="61"/>
        <v>0.39536832228697333</v>
      </c>
      <c r="AA155" s="13">
        <f t="shared" si="62"/>
        <v>0.41509594721117304</v>
      </c>
      <c r="AB155" s="13">
        <v>0.91509594721117304</v>
      </c>
    </row>
    <row r="156" spans="1:28" x14ac:dyDescent="0.25">
      <c r="A156" s="1">
        <v>1997</v>
      </c>
      <c r="B156" s="1">
        <f t="shared" si="53"/>
        <v>0.33061538461538464</v>
      </c>
      <c r="C156" s="1">
        <f t="shared" si="46"/>
        <v>0.32253972500000005</v>
      </c>
      <c r="D156" s="1">
        <f t="shared" si="47"/>
        <v>0</v>
      </c>
      <c r="E156" s="1">
        <f t="shared" si="54"/>
        <v>0.62269999715788205</v>
      </c>
      <c r="F156" s="1">
        <f t="shared" si="55"/>
        <v>8.0756596153845894E-3</v>
      </c>
      <c r="G156" s="9">
        <f t="shared" si="48"/>
        <v>0.62269999715788205</v>
      </c>
      <c r="H156" s="1">
        <f t="shared" si="49"/>
        <v>4.7463240754932801E-2</v>
      </c>
      <c r="I156" s="1">
        <f t="shared" si="56"/>
        <v>0.62269999715788205</v>
      </c>
      <c r="J156" s="3">
        <f t="shared" si="50"/>
        <v>0.62269999715788205</v>
      </c>
      <c r="K156" s="3">
        <f t="shared" si="51"/>
        <v>0.47007242299276231</v>
      </c>
      <c r="L156" s="6">
        <f t="shared" si="63"/>
        <v>0.33061538461538464</v>
      </c>
      <c r="M156" s="6">
        <f t="shared" si="64"/>
        <v>0.24892307692307691</v>
      </c>
      <c r="N156" s="6">
        <f t="shared" si="65"/>
        <v>0.50515384615384629</v>
      </c>
      <c r="O156" s="6">
        <v>0.39200000000000002</v>
      </c>
      <c r="P156" s="4">
        <v>0.318</v>
      </c>
      <c r="Q156" s="5">
        <v>0.51800000000000002</v>
      </c>
      <c r="R156">
        <f t="shared" si="57"/>
        <v>0.50515384615384629</v>
      </c>
      <c r="S156">
        <f t="shared" si="58"/>
        <v>0.49276686462616098</v>
      </c>
      <c r="T156">
        <f t="shared" si="59"/>
        <v>0.65448454393178002</v>
      </c>
      <c r="U156">
        <f t="shared" si="52"/>
        <v>-0.67098137657986889</v>
      </c>
      <c r="W156">
        <v>0.51800000000000002</v>
      </c>
      <c r="X156">
        <v>0.52058300000000002</v>
      </c>
      <c r="Y156" s="11">
        <f t="shared" si="60"/>
        <v>0.59654117841273546</v>
      </c>
      <c r="Z156">
        <f t="shared" si="61"/>
        <v>0.44243633680656269</v>
      </c>
      <c r="AA156" s="13">
        <f t="shared" si="62"/>
        <v>0.44321353188775903</v>
      </c>
      <c r="AB156" s="13">
        <v>0.94321353188775903</v>
      </c>
    </row>
    <row r="157" spans="1:28" x14ac:dyDescent="0.25">
      <c r="A157" s="1">
        <v>1998</v>
      </c>
      <c r="B157" s="1">
        <f t="shared" si="53"/>
        <v>0.35315384615384615</v>
      </c>
      <c r="C157" s="1">
        <f t="shared" si="46"/>
        <v>0.34613838269230773</v>
      </c>
      <c r="D157" s="1">
        <f t="shared" si="47"/>
        <v>0</v>
      </c>
      <c r="E157" s="7">
        <f t="shared" si="54"/>
        <v>0.60047972798516691</v>
      </c>
      <c r="F157" s="1">
        <f t="shared" si="55"/>
        <v>7.0154634615384182E-3</v>
      </c>
      <c r="G157" s="9">
        <f t="shared" si="48"/>
        <v>0.60047972798516691</v>
      </c>
      <c r="H157" s="1">
        <f t="shared" si="49"/>
        <v>3.9613425039530914E-2</v>
      </c>
      <c r="I157" s="1">
        <f t="shared" si="56"/>
        <v>0.60047972798516691</v>
      </c>
      <c r="J157" s="3">
        <f t="shared" si="50"/>
        <v>0.60047972798516691</v>
      </c>
      <c r="K157" s="3">
        <f t="shared" si="51"/>
        <v>0.46104353893941097</v>
      </c>
      <c r="L157" s="6">
        <f t="shared" si="63"/>
        <v>0.35315384615384615</v>
      </c>
      <c r="M157" s="6">
        <f t="shared" si="64"/>
        <v>0.26400000000000001</v>
      </c>
      <c r="N157" s="6">
        <f t="shared" si="65"/>
        <v>0.54838461538461547</v>
      </c>
      <c r="O157" s="6">
        <v>0.53100000000000003</v>
      </c>
      <c r="P157" s="4">
        <v>0.41599999999999998</v>
      </c>
      <c r="Q157" s="5">
        <v>0.83499999999999996</v>
      </c>
      <c r="R157">
        <f t="shared" si="57"/>
        <v>0.54838461538461547</v>
      </c>
      <c r="S157">
        <f t="shared" si="58"/>
        <v>0.48141394304951601</v>
      </c>
      <c r="T157">
        <f t="shared" si="59"/>
        <v>0.6439893393182774</v>
      </c>
      <c r="U157">
        <f t="shared" si="52"/>
        <v>-0.65809354748211524</v>
      </c>
      <c r="W157">
        <v>0.83499999999999996</v>
      </c>
      <c r="X157">
        <v>0.81241699999999994</v>
      </c>
      <c r="Y157" s="11">
        <f t="shared" si="60"/>
        <v>0.59031412843614817</v>
      </c>
      <c r="Z157">
        <f t="shared" si="61"/>
        <v>0.47618308539596022</v>
      </c>
      <c r="AA157" s="13">
        <f t="shared" si="62"/>
        <v>0.49555536365403996</v>
      </c>
      <c r="AB157" s="13">
        <v>0.99555536365403996</v>
      </c>
    </row>
    <row r="158" spans="1:28" x14ac:dyDescent="0.25">
      <c r="A158" s="1">
        <v>1999</v>
      </c>
      <c r="B158" s="1">
        <f t="shared" si="53"/>
        <v>0.37238461538461542</v>
      </c>
      <c r="C158" s="1">
        <f t="shared" si="46"/>
        <v>0.36701602115384613</v>
      </c>
      <c r="D158" s="1">
        <f t="shared" si="47"/>
        <v>0</v>
      </c>
      <c r="E158" s="1">
        <f t="shared" si="54"/>
        <v>0.57439261856548696</v>
      </c>
      <c r="F158" s="1">
        <f t="shared" si="55"/>
        <v>5.3685942307692969E-3</v>
      </c>
      <c r="G158" s="9">
        <f t="shared" si="48"/>
        <v>0.57439261856548696</v>
      </c>
      <c r="H158" s="1">
        <f t="shared" si="49"/>
        <v>3.0886143667457622E-2</v>
      </c>
      <c r="I158" s="1">
        <f t="shared" si="56"/>
        <v>0.57439261856548696</v>
      </c>
      <c r="J158" s="3">
        <f t="shared" si="50"/>
        <v>0.57439261856548696</v>
      </c>
      <c r="K158" s="3">
        <f t="shared" si="51"/>
        <v>0.4512704797591498</v>
      </c>
      <c r="L158" s="6">
        <f t="shared" si="63"/>
        <v>0.37238461538461542</v>
      </c>
      <c r="M158" s="6">
        <f t="shared" si="64"/>
        <v>0.27646153846153848</v>
      </c>
      <c r="N158" s="6">
        <f t="shared" si="65"/>
        <v>0.58838461538461528</v>
      </c>
      <c r="O158" s="6">
        <v>0.30099999999999999</v>
      </c>
      <c r="P158" s="4">
        <v>0.19700000000000001</v>
      </c>
      <c r="Q158" s="5">
        <v>0.56100000000000005</v>
      </c>
      <c r="R158">
        <f t="shared" si="57"/>
        <v>0.58838461538461528</v>
      </c>
      <c r="S158">
        <f t="shared" si="58"/>
        <v>0.46986534187475498</v>
      </c>
      <c r="T158">
        <f t="shared" si="59"/>
        <v>0.63289318865211153</v>
      </c>
      <c r="U158">
        <f t="shared" si="52"/>
        <v>-0.64414348280821043</v>
      </c>
      <c r="V158" s="3">
        <f t="shared" ref="V158:V171" si="66">+$U158*$U158-4*$G$1*$G$2*$S158</f>
        <v>3.0886143667457622E-2</v>
      </c>
      <c r="W158">
        <v>0.56100000000000005</v>
      </c>
      <c r="X158">
        <v>0.56799999999999995</v>
      </c>
      <c r="Y158" s="11">
        <f t="shared" si="60"/>
        <v>0.58357342425733805</v>
      </c>
      <c r="Z158">
        <f t="shared" si="61"/>
        <v>0.50656209842114519</v>
      </c>
      <c r="AA158" s="13">
        <f t="shared" si="62"/>
        <v>0.48608408586000196</v>
      </c>
      <c r="AB158" s="13">
        <v>0.98608408586000196</v>
      </c>
    </row>
    <row r="159" spans="1:28" x14ac:dyDescent="0.25">
      <c r="A159" s="1">
        <v>2000</v>
      </c>
      <c r="B159" s="1">
        <f t="shared" si="53"/>
        <v>0.39430769230769225</v>
      </c>
      <c r="C159" s="1">
        <f t="shared" si="46"/>
        <v>0.39034257692307689</v>
      </c>
      <c r="D159" s="1">
        <f t="shared" si="47"/>
        <v>0</v>
      </c>
      <c r="E159" s="1">
        <f t="shared" si="54"/>
        <v>0.5510343007219668</v>
      </c>
      <c r="F159" s="1">
        <f t="shared" si="55"/>
        <v>3.9651153846153586E-3</v>
      </c>
      <c r="G159" s="9">
        <f t="shared" si="48"/>
        <v>0.5510343007219668</v>
      </c>
      <c r="H159" s="1">
        <f t="shared" si="49"/>
        <v>2.5065196644156629E-2</v>
      </c>
      <c r="I159" s="1">
        <f t="shared" si="56"/>
        <v>0.5510343007219668</v>
      </c>
      <c r="J159" s="3">
        <f t="shared" si="50"/>
        <v>0.5510343007219668</v>
      </c>
      <c r="K159" s="3">
        <f t="shared" si="51"/>
        <v>0.44011940744826145</v>
      </c>
      <c r="L159" s="6">
        <f t="shared" si="63"/>
        <v>0.39430769230769225</v>
      </c>
      <c r="M159" s="6">
        <f t="shared" si="64"/>
        <v>0.28823076923076923</v>
      </c>
      <c r="N159" s="6">
        <f t="shared" si="65"/>
        <v>0.63738461538461533</v>
      </c>
      <c r="O159" s="6">
        <v>0.29399999999999998</v>
      </c>
      <c r="P159" s="4">
        <v>0.216</v>
      </c>
      <c r="Q159" s="5">
        <v>0.48399999999999999</v>
      </c>
      <c r="R159">
        <f t="shared" si="57"/>
        <v>0.63738461538461533</v>
      </c>
      <c r="S159">
        <f t="shared" si="58"/>
        <v>0.45220854453294718</v>
      </c>
      <c r="T159">
        <f t="shared" si="59"/>
        <v>0.61863384021240642</v>
      </c>
      <c r="U159">
        <f t="shared" si="52"/>
        <v>-0.62822644219164836</v>
      </c>
      <c r="V159" s="3">
        <f t="shared" si="66"/>
        <v>2.5065196644156629E-2</v>
      </c>
      <c r="W159">
        <v>0.48399999999999999</v>
      </c>
      <c r="X159">
        <v>0.49733300000000003</v>
      </c>
      <c r="Y159" s="11">
        <f t="shared" si="60"/>
        <v>0.57628000248223543</v>
      </c>
      <c r="Z159">
        <f t="shared" si="61"/>
        <v>0.5394456279513109</v>
      </c>
      <c r="AA159" s="13">
        <f t="shared" si="62"/>
        <v>0.49724644729627698</v>
      </c>
      <c r="AB159" s="13">
        <v>0.99724644729627698</v>
      </c>
    </row>
    <row r="160" spans="1:28" x14ac:dyDescent="0.25">
      <c r="A160" s="1">
        <v>2001</v>
      </c>
      <c r="B160" s="1">
        <f t="shared" si="53"/>
        <v>0.40769230769230763</v>
      </c>
      <c r="C160" s="1">
        <f t="shared" si="46"/>
        <v>0.40360136153846149</v>
      </c>
      <c r="D160" s="1">
        <f t="shared" si="47"/>
        <v>0</v>
      </c>
      <c r="E160" s="1">
        <f t="shared" si="54"/>
        <v>0.54899829463116434</v>
      </c>
      <c r="F160" s="1">
        <f t="shared" si="55"/>
        <v>4.0909461538461422E-3</v>
      </c>
      <c r="G160" s="9">
        <f t="shared" si="48"/>
        <v>0.54899829463116434</v>
      </c>
      <c r="H160" s="1">
        <f t="shared" si="49"/>
        <v>2.576244696738389E-2</v>
      </c>
      <c r="I160" s="1">
        <f t="shared" si="56"/>
        <v>0.54899829463116434</v>
      </c>
      <c r="J160" s="3">
        <f t="shared" si="50"/>
        <v>0.54899829463116434</v>
      </c>
      <c r="K160" s="3">
        <f t="shared" si="51"/>
        <v>0.43655129730089054</v>
      </c>
      <c r="L160" s="6">
        <f t="shared" si="63"/>
        <v>0.40769230769230763</v>
      </c>
      <c r="M160" s="6">
        <f t="shared" si="64"/>
        <v>0.29499999999999998</v>
      </c>
      <c r="N160" s="6">
        <f t="shared" si="65"/>
        <v>0.66507692307692301</v>
      </c>
      <c r="O160" s="6">
        <v>0.437</v>
      </c>
      <c r="P160" s="4">
        <v>0.32900000000000001</v>
      </c>
      <c r="Q160" s="5">
        <v>0.68100000000000005</v>
      </c>
      <c r="R160">
        <f t="shared" si="57"/>
        <v>0.66507692307692301</v>
      </c>
      <c r="S160">
        <f t="shared" si="58"/>
        <v>0.44355771455008097</v>
      </c>
      <c r="T160">
        <f t="shared" si="59"/>
        <v>0.61300023132084203</v>
      </c>
      <c r="U160">
        <f t="shared" si="52"/>
        <v>-0.62313332176729119</v>
      </c>
      <c r="V160" s="3">
        <f t="shared" si="66"/>
        <v>2.576244696738389E-2</v>
      </c>
      <c r="W160">
        <v>0.68100000000000005</v>
      </c>
      <c r="X160">
        <v>0.68116699999999997</v>
      </c>
      <c r="Y160" s="11">
        <f t="shared" si="60"/>
        <v>0.56839317921549082</v>
      </c>
      <c r="Z160">
        <f t="shared" si="61"/>
        <v>0.56082677030173</v>
      </c>
      <c r="AA160" s="13">
        <f t="shared" si="62"/>
        <v>0.53779946244363996</v>
      </c>
      <c r="AB160" s="13">
        <v>1.03779946244364</v>
      </c>
    </row>
    <row r="161" spans="1:28" x14ac:dyDescent="0.25">
      <c r="A161" s="1">
        <v>2002</v>
      </c>
      <c r="B161" s="1">
        <f t="shared" si="53"/>
        <v>0.42523076923076919</v>
      </c>
      <c r="C161" s="1">
        <f t="shared" si="46"/>
        <v>0.42158482499999994</v>
      </c>
      <c r="D161" s="1">
        <f t="shared" si="47"/>
        <v>0</v>
      </c>
      <c r="E161" s="1">
        <f t="shared" si="54"/>
        <v>0.54604181553064379</v>
      </c>
      <c r="F161" s="1">
        <f t="shared" si="55"/>
        <v>3.6459442307692491E-3</v>
      </c>
      <c r="G161" s="9">
        <f t="shared" si="48"/>
        <v>0.54604181553064379</v>
      </c>
      <c r="H161" s="1">
        <f t="shared" si="49"/>
        <v>2.2133967857484838E-2</v>
      </c>
      <c r="I161" s="1">
        <f t="shared" si="56"/>
        <v>0.54604181553064379</v>
      </c>
      <c r="J161" s="3">
        <f t="shared" si="50"/>
        <v>0.54604181553064379</v>
      </c>
      <c r="K161" s="3">
        <f t="shared" si="51"/>
        <v>0.44181392574813055</v>
      </c>
      <c r="L161" s="6">
        <f t="shared" si="63"/>
        <v>0.42523076923076919</v>
      </c>
      <c r="M161" s="6">
        <f t="shared" si="64"/>
        <v>0.31392307692307686</v>
      </c>
      <c r="N161" s="6">
        <f t="shared" si="65"/>
        <v>0.683153846153846</v>
      </c>
      <c r="O161" s="6">
        <v>0.49199999999999999</v>
      </c>
      <c r="P161" s="4">
        <v>0.36799999999999999</v>
      </c>
      <c r="Q161" s="5">
        <v>0.77800000000000002</v>
      </c>
      <c r="R161">
        <f t="shared" si="57"/>
        <v>0.683153846153846</v>
      </c>
      <c r="S161">
        <f t="shared" si="58"/>
        <v>0.45952032428780543</v>
      </c>
      <c r="T161">
        <f t="shared" si="59"/>
        <v>0.62245242652854416</v>
      </c>
      <c r="U161">
        <f t="shared" si="52"/>
        <v>-0.63064519761288151</v>
      </c>
      <c r="V161" s="3">
        <f t="shared" si="66"/>
        <v>2.2133967857484838E-2</v>
      </c>
      <c r="W161">
        <v>0.77800000000000002</v>
      </c>
      <c r="X161">
        <v>0.77258300000000002</v>
      </c>
      <c r="Y161" s="11">
        <f t="shared" si="60"/>
        <v>0.55987061280757189</v>
      </c>
      <c r="Z161">
        <f t="shared" si="61"/>
        <v>0.5957631562901069</v>
      </c>
      <c r="AA161" s="13">
        <f t="shared" si="62"/>
        <v>0.57343852123087991</v>
      </c>
      <c r="AB161" s="13">
        <v>1.0734385212308799</v>
      </c>
    </row>
    <row r="162" spans="1:28" x14ac:dyDescent="0.25">
      <c r="A162" s="1">
        <v>2003</v>
      </c>
      <c r="B162" s="1">
        <f t="shared" si="53"/>
        <v>0.44630769230769229</v>
      </c>
      <c r="C162" s="1">
        <f t="shared" si="46"/>
        <v>0.44454033269230775</v>
      </c>
      <c r="D162" s="1">
        <f t="shared" si="47"/>
        <v>0</v>
      </c>
      <c r="E162" s="1">
        <f t="shared" si="54"/>
        <v>0.52350925189795461</v>
      </c>
      <c r="F162" s="1">
        <f t="shared" si="55"/>
        <v>1.767359615384545E-3</v>
      </c>
      <c r="G162" s="9">
        <f t="shared" si="48"/>
        <v>0.52350925189795461</v>
      </c>
      <c r="H162" s="1">
        <f t="shared" si="49"/>
        <v>1.4722556767107875E-2</v>
      </c>
      <c r="I162" s="1">
        <f t="shared" si="56"/>
        <v>0.52350925189795461</v>
      </c>
      <c r="J162" s="3">
        <f t="shared" si="50"/>
        <v>0.52350925189795461</v>
      </c>
      <c r="K162" s="3">
        <f t="shared" si="51"/>
        <v>0.43850396717626833</v>
      </c>
      <c r="L162" s="6">
        <f t="shared" si="63"/>
        <v>0.44630769230769229</v>
      </c>
      <c r="M162" s="6">
        <f t="shared" si="64"/>
        <v>0.33169230769230773</v>
      </c>
      <c r="N162" s="6">
        <f t="shared" si="65"/>
        <v>0.71900000000000008</v>
      </c>
      <c r="O162" s="6">
        <v>0.503</v>
      </c>
      <c r="P162" s="4">
        <v>0.39300000000000002</v>
      </c>
      <c r="Q162" s="5">
        <v>0.77</v>
      </c>
      <c r="R162">
        <f t="shared" si="57"/>
        <v>0.71900000000000008</v>
      </c>
      <c r="S162">
        <f t="shared" si="58"/>
        <v>0.46132448914090085</v>
      </c>
      <c r="T162">
        <f t="shared" si="59"/>
        <v>0.62073392532363314</v>
      </c>
      <c r="U162">
        <f t="shared" si="52"/>
        <v>-0.62592056274740537</v>
      </c>
      <c r="V162" s="3">
        <f t="shared" si="66"/>
        <v>1.4722556767107875E-2</v>
      </c>
      <c r="W162">
        <v>0.77</v>
      </c>
      <c r="X162">
        <v>0.76649999999999996</v>
      </c>
      <c r="Y162" s="11">
        <f t="shared" si="60"/>
        <v>0.55066824425011873</v>
      </c>
      <c r="Z162">
        <f t="shared" si="61"/>
        <v>0.63574338366859295</v>
      </c>
      <c r="AA162" s="13">
        <f t="shared" si="62"/>
        <v>0.58561649761847989</v>
      </c>
      <c r="AB162" s="13">
        <v>1.0856164976184799</v>
      </c>
    </row>
    <row r="163" spans="1:28" x14ac:dyDescent="0.25">
      <c r="A163" s="1">
        <v>2004</v>
      </c>
      <c r="B163" s="1">
        <f t="shared" si="53"/>
        <v>0.4507692307692307</v>
      </c>
      <c r="C163" s="1">
        <f t="shared" si="46"/>
        <v>0.45050183846153846</v>
      </c>
      <c r="D163" s="1">
        <f t="shared" si="47"/>
        <v>0</v>
      </c>
      <c r="E163" s="1">
        <f t="shared" si="54"/>
        <v>0.50356509995387089</v>
      </c>
      <c r="F163" s="1">
        <f t="shared" si="55"/>
        <v>2.6739230769223798E-4</v>
      </c>
      <c r="G163" s="9">
        <f t="shared" si="48"/>
        <v>0.50356509995387089</v>
      </c>
      <c r="H163" s="1">
        <f t="shared" si="49"/>
        <v>1.0847842285515163E-2</v>
      </c>
      <c r="I163" s="1">
        <f t="shared" si="56"/>
        <v>0.50356509995387089</v>
      </c>
      <c r="J163" s="3">
        <f t="shared" si="50"/>
        <v>0.50356509995387089</v>
      </c>
      <c r="K163" s="3">
        <f t="shared" si="51"/>
        <v>0.43059818430020486</v>
      </c>
      <c r="L163" s="6">
        <f t="shared" si="63"/>
        <v>0.4507692307692307</v>
      </c>
      <c r="M163" s="6">
        <f t="shared" si="64"/>
        <v>0.33138461538461539</v>
      </c>
      <c r="N163" s="6">
        <f t="shared" si="65"/>
        <v>0.73815384615384616</v>
      </c>
      <c r="O163" s="6">
        <v>0.44500000000000001</v>
      </c>
      <c r="P163" s="4">
        <v>0.35399999999999998</v>
      </c>
      <c r="Q163" s="5">
        <v>0.67400000000000004</v>
      </c>
      <c r="R163">
        <f t="shared" si="57"/>
        <v>0.73815384615384616</v>
      </c>
      <c r="S163">
        <f t="shared" si="58"/>
        <v>0.44893705710712795</v>
      </c>
      <c r="T163">
        <f t="shared" si="59"/>
        <v>0.61067111296373477</v>
      </c>
      <c r="U163">
        <f t="shared" si="52"/>
        <v>-0.61463584827011242</v>
      </c>
      <c r="V163" s="3">
        <f t="shared" si="66"/>
        <v>1.0847842285515163E-2</v>
      </c>
      <c r="W163">
        <v>0.67400000000000004</v>
      </c>
      <c r="X163">
        <v>0.68225000000000002</v>
      </c>
      <c r="Y163" s="11">
        <f t="shared" si="60"/>
        <v>0.54074032697826624</v>
      </c>
      <c r="Z163">
        <f t="shared" si="61"/>
        <v>0.64871380822457803</v>
      </c>
      <c r="AA163" s="13">
        <f t="shared" si="62"/>
        <v>0.58190207127636007</v>
      </c>
      <c r="AB163" s="13">
        <v>1.0819020712763601</v>
      </c>
    </row>
    <row r="164" spans="1:28" x14ac:dyDescent="0.25">
      <c r="A164" s="1">
        <v>2005</v>
      </c>
      <c r="B164" s="1">
        <f t="shared" si="53"/>
        <v>0.44530769230769229</v>
      </c>
      <c r="C164" s="1">
        <f t="shared" si="46"/>
        <v>0.4459255788461538</v>
      </c>
      <c r="D164" s="1">
        <f t="shared" si="47"/>
        <v>0</v>
      </c>
      <c r="E164" s="1">
        <f t="shared" si="54"/>
        <v>0.49049459350948726</v>
      </c>
      <c r="F164" s="1">
        <f t="shared" si="55"/>
        <v>6.1788653846150954E-4</v>
      </c>
      <c r="G164" s="9">
        <f t="shared" si="48"/>
        <v>0.49049459350948726</v>
      </c>
      <c r="H164" s="1">
        <f t="shared" si="49"/>
        <v>6.8874332710313624E-3</v>
      </c>
      <c r="I164" s="1">
        <f t="shared" si="56"/>
        <v>0.49049459350948726</v>
      </c>
      <c r="J164" s="3">
        <f t="shared" si="50"/>
        <v>0.49049459350948726</v>
      </c>
      <c r="K164" s="3">
        <f t="shared" si="51"/>
        <v>0.43235352489732104</v>
      </c>
      <c r="L164" s="6">
        <f t="shared" si="63"/>
        <v>0.44530769230769229</v>
      </c>
      <c r="M164" s="6">
        <f t="shared" si="64"/>
        <v>0.33130769230769225</v>
      </c>
      <c r="N164" s="6">
        <f t="shared" si="65"/>
        <v>0.72407692307692306</v>
      </c>
      <c r="O164" s="6">
        <v>0.53900000000000003</v>
      </c>
      <c r="P164" s="4">
        <v>0.38900000000000001</v>
      </c>
      <c r="Q164" s="5">
        <v>0.88200000000000001</v>
      </c>
      <c r="R164">
        <f t="shared" si="57"/>
        <v>0.72407692307692306</v>
      </c>
      <c r="S164">
        <f t="shared" si="58"/>
        <v>0.4575586954212259</v>
      </c>
      <c r="T164">
        <f t="shared" si="59"/>
        <v>0.61500053118028253</v>
      </c>
      <c r="U164">
        <f t="shared" si="52"/>
        <v>-0.61714142143843609</v>
      </c>
      <c r="V164" s="3">
        <f t="shared" si="66"/>
        <v>6.8874332710313624E-3</v>
      </c>
      <c r="W164">
        <v>0.88200000000000001</v>
      </c>
      <c r="X164">
        <v>0.87516700000000003</v>
      </c>
      <c r="Y164" s="11">
        <f t="shared" si="60"/>
        <v>0.53003933746367693</v>
      </c>
      <c r="Z164">
        <f t="shared" si="61"/>
        <v>0.6534103009618808</v>
      </c>
      <c r="AA164" s="13">
        <f t="shared" si="62"/>
        <v>0.64931345678763996</v>
      </c>
      <c r="AB164" s="13">
        <v>1.14931345678764</v>
      </c>
    </row>
    <row r="165" spans="1:28" x14ac:dyDescent="0.25">
      <c r="A165" s="1">
        <v>2006</v>
      </c>
      <c r="B165" s="1">
        <f t="shared" si="53"/>
        <v>0.42946153846153845</v>
      </c>
      <c r="C165" s="1">
        <f t="shared" si="46"/>
        <v>0.42942630769230766</v>
      </c>
      <c r="D165" s="1">
        <f t="shared" si="47"/>
        <v>0</v>
      </c>
      <c r="E165" s="1">
        <f t="shared" si="54"/>
        <v>0.50053061632925655</v>
      </c>
      <c r="F165" s="1">
        <f t="shared" si="55"/>
        <v>3.5230769230787384E-5</v>
      </c>
      <c r="G165" s="9">
        <f t="shared" si="48"/>
        <v>0.50053061632925655</v>
      </c>
      <c r="H165" s="1">
        <f t="shared" si="49"/>
        <v>9.1366376010392769E-3</v>
      </c>
      <c r="I165" s="1">
        <f t="shared" si="56"/>
        <v>0.50053061632925655</v>
      </c>
      <c r="J165" s="3">
        <f t="shared" si="50"/>
        <v>0.50053061632925655</v>
      </c>
      <c r="K165" s="3">
        <f t="shared" si="51"/>
        <v>0.43356567275967089</v>
      </c>
      <c r="L165" s="6">
        <f t="shared" si="63"/>
        <v>0.42946153846153845</v>
      </c>
      <c r="M165" s="6">
        <f t="shared" si="64"/>
        <v>0.31900000000000001</v>
      </c>
      <c r="N165" s="6">
        <f t="shared" si="65"/>
        <v>0.69738461538461527</v>
      </c>
      <c r="O165" s="6">
        <v>0.495</v>
      </c>
      <c r="P165" s="4">
        <v>0.36499999999999999</v>
      </c>
      <c r="Q165" s="5">
        <v>0.81</v>
      </c>
      <c r="R165">
        <f t="shared" si="57"/>
        <v>0.69738461538461527</v>
      </c>
      <c r="S165">
        <f t="shared" si="58"/>
        <v>0.45742333995146711</v>
      </c>
      <c r="T165">
        <f t="shared" si="59"/>
        <v>0.61581733951025819</v>
      </c>
      <c r="U165">
        <f t="shared" si="52"/>
        <v>-0.61887164129715422</v>
      </c>
      <c r="V165" s="3">
        <f t="shared" si="66"/>
        <v>9.1366376010392769E-3</v>
      </c>
      <c r="W165">
        <v>0.81</v>
      </c>
      <c r="X165">
        <v>0.80833299999999997</v>
      </c>
      <c r="Y165" s="11">
        <f t="shared" si="60"/>
        <v>0.51851599011570215</v>
      </c>
      <c r="Z165">
        <f t="shared" si="61"/>
        <v>0.63874179214599436</v>
      </c>
      <c r="AA165" s="13">
        <f t="shared" si="62"/>
        <v>0.65564387961774995</v>
      </c>
      <c r="AB165" s="13">
        <v>1.1556438796177499</v>
      </c>
    </row>
    <row r="166" spans="1:28" x14ac:dyDescent="0.25">
      <c r="A166" s="1">
        <v>2007</v>
      </c>
      <c r="B166" s="1">
        <f t="shared" si="53"/>
        <v>0.43145454545454548</v>
      </c>
      <c r="C166" s="1">
        <f t="shared" si="46"/>
        <v>0.43257684318181822</v>
      </c>
      <c r="D166" s="1">
        <f t="shared" si="47"/>
        <v>0</v>
      </c>
      <c r="E166" s="1">
        <f t="shared" si="54"/>
        <v>0.48364617485946637</v>
      </c>
      <c r="F166" s="1">
        <f t="shared" si="55"/>
        <v>1.1222977272727364E-3</v>
      </c>
      <c r="G166" s="9">
        <f t="shared" si="48"/>
        <v>0.48364617485946637</v>
      </c>
      <c r="H166" s="1">
        <f t="shared" si="49"/>
        <v>7.1079577576642072E-3</v>
      </c>
      <c r="I166" s="1">
        <f t="shared" si="56"/>
        <v>0.48364617485946637</v>
      </c>
      <c r="J166" s="3">
        <f t="shared" si="50"/>
        <v>0.48364617485946637</v>
      </c>
      <c r="K166" s="3">
        <f t="shared" si="51"/>
        <v>0.42458164836933604</v>
      </c>
      <c r="L166" s="6">
        <f t="shared" ref="L144:L166" si="67">+(O161+O162+O163+O164+O165+O166+O167+O169+O170+O171+O172)/11</f>
        <v>0.43145454545454548</v>
      </c>
      <c r="M166" s="6">
        <f t="shared" ref="M144:M166" si="68">+(P161+P162+P163+P164+P165+P166+P167+P169+P170+P171+P172)/11</f>
        <v>0.31509090909090909</v>
      </c>
      <c r="N166" s="6">
        <f t="shared" ref="N144:N166" si="69">+(Q161+Q162+Q163+Q164+Q165+Q166+Q167+Q169+Q170+Q171+Q172)/11</f>
        <v>0.71500000000000008</v>
      </c>
      <c r="O166" s="6">
        <v>0.48299999999999998</v>
      </c>
      <c r="P166" s="4">
        <v>0.29599999999999999</v>
      </c>
      <c r="Q166" s="5">
        <v>0.90900000000000003</v>
      </c>
      <c r="R166">
        <f t="shared" si="57"/>
        <v>0.71500000000000008</v>
      </c>
      <c r="S166">
        <f t="shared" si="58"/>
        <v>0.44068658614113154</v>
      </c>
      <c r="T166">
        <f t="shared" si="59"/>
        <v>0.60343293070565795</v>
      </c>
      <c r="U166">
        <f t="shared" si="52"/>
        <v>-0.60604784488239027</v>
      </c>
      <c r="V166" s="3">
        <f t="shared" si="66"/>
        <v>7.1079577576642072E-3</v>
      </c>
      <c r="W166">
        <v>0.90900000000000003</v>
      </c>
      <c r="X166">
        <v>0.90749999999999997</v>
      </c>
      <c r="Y166" s="11">
        <f t="shared" si="60"/>
        <v>0.50611915905028582</v>
      </c>
      <c r="Z166">
        <f t="shared" si="61"/>
        <v>0.64902749745412058</v>
      </c>
      <c r="AA166" s="13">
        <f t="shared" si="62"/>
        <v>0.70513621271864002</v>
      </c>
      <c r="AB166" s="13">
        <v>1.20513621271864</v>
      </c>
    </row>
    <row r="167" spans="1:28" x14ac:dyDescent="0.25">
      <c r="A167" s="1">
        <v>2008</v>
      </c>
      <c r="B167" s="1">
        <f t="shared" si="53"/>
        <v>0.41088888888888891</v>
      </c>
      <c r="C167" s="1">
        <f t="shared" si="46"/>
        <v>0.4121519583333334</v>
      </c>
      <c r="D167" s="1">
        <f t="shared" si="47"/>
        <v>0</v>
      </c>
      <c r="E167" s="1">
        <f t="shared" si="54"/>
        <v>0.48070154545338406</v>
      </c>
      <c r="F167" s="1">
        <f t="shared" si="55"/>
        <v>1.2630694444444868E-3</v>
      </c>
      <c r="G167" s="9">
        <f t="shared" si="48"/>
        <v>0.48070154545338406</v>
      </c>
      <c r="H167" s="1">
        <f t="shared" si="49"/>
        <v>6.7326673811420323E-3</v>
      </c>
      <c r="I167" s="1">
        <f t="shared" si="56"/>
        <v>0.48070154545338406</v>
      </c>
      <c r="J167" s="3">
        <f t="shared" si="50"/>
        <v>0.48070154545338406</v>
      </c>
      <c r="K167" s="3">
        <f t="shared" si="51"/>
        <v>0.4232174254696236</v>
      </c>
      <c r="L167" s="6">
        <f t="shared" ref="L143:L167" si="70">+(O163+O164+O165+O166+O167+O168+O170+O171+O172)/9</f>
        <v>0.41088888888888891</v>
      </c>
      <c r="M167" s="6">
        <f t="shared" ref="M143:M167" si="71">+(P163+P164+P165+P166+P167+P168+P170+P171+P172)/9</f>
        <v>0.2993333333333334</v>
      </c>
      <c r="N167" s="6">
        <f t="shared" ref="N143:N167" si="72">+(Q163+Q164+Q165+Q166+Q167+Q168+Q170+Q171+Q172)/9</f>
        <v>0.68300000000000016</v>
      </c>
      <c r="O167" s="6">
        <v>0.38800000000000001</v>
      </c>
      <c r="P167" s="4">
        <v>0.25900000000000001</v>
      </c>
      <c r="Q167" s="5">
        <v>0.69499999999999995</v>
      </c>
      <c r="R167">
        <f t="shared" si="57"/>
        <v>0.68300000000000016</v>
      </c>
      <c r="S167">
        <f t="shared" si="58"/>
        <v>0.43826256710590533</v>
      </c>
      <c r="T167">
        <f t="shared" si="59"/>
        <v>0.60159427362941265</v>
      </c>
      <c r="U167">
        <f t="shared" si="52"/>
        <v>-0.60410055311534072</v>
      </c>
      <c r="V167" s="3">
        <f t="shared" si="66"/>
        <v>6.7326673811420323E-3</v>
      </c>
      <c r="W167">
        <v>0.69499999999999995</v>
      </c>
      <c r="X167">
        <v>0.70574999999999999</v>
      </c>
      <c r="Y167" s="11">
        <f t="shared" si="60"/>
        <v>0.49279597122222185</v>
      </c>
      <c r="Z167">
        <f t="shared" si="61"/>
        <v>0.62905740189446391</v>
      </c>
      <c r="AA167" s="13">
        <f t="shared" si="62"/>
        <v>0.69304345325791994</v>
      </c>
      <c r="AB167" s="13">
        <v>1.1930434532579199</v>
      </c>
    </row>
    <row r="168" spans="1:28" x14ac:dyDescent="0.25">
      <c r="A168" s="1">
        <v>2009</v>
      </c>
      <c r="B168" s="1">
        <f t="shared" si="53"/>
        <v>0.40785714285714286</v>
      </c>
      <c r="C168" s="1">
        <f t="shared" si="46"/>
        <v>0.41028376071428574</v>
      </c>
      <c r="D168" s="1">
        <f t="shared" si="47"/>
        <v>0</v>
      </c>
      <c r="E168" s="1">
        <f t="shared" si="54"/>
        <v>0.46008523575192256</v>
      </c>
      <c r="F168" s="1">
        <f t="shared" si="55"/>
        <v>2.4266178571428765E-3</v>
      </c>
      <c r="G168" s="9">
        <f t="shared" si="48"/>
        <v>0.46008523575192256</v>
      </c>
      <c r="H168" s="1">
        <f t="shared" si="49"/>
        <v>3.6273693326690504E-3</v>
      </c>
      <c r="I168" s="1">
        <f t="shared" si="56"/>
        <v>0.46008523575192256</v>
      </c>
      <c r="J168" s="3">
        <f t="shared" si="50"/>
        <v>0.46008523575192256</v>
      </c>
      <c r="K168" s="3">
        <f t="shared" si="51"/>
        <v>0.41789128457025393</v>
      </c>
      <c r="L168" s="6">
        <f t="shared" ref="L142:L168" si="73">+(O165+O166+O167+O168+O169+O171+O172)/7</f>
        <v>0.40785714285714286</v>
      </c>
      <c r="M168" s="6">
        <f t="shared" ref="M142:M168" si="74">+(P165+P166+P167+P168+P169+P171+P172)/7</f>
        <v>0.29528571428571432</v>
      </c>
      <c r="N168" s="6">
        <f t="shared" ref="N142:N168" si="75">+(Q165+Q166+Q167+Q168+Q169+Q171+Q172)/7</f>
        <v>0.68528571428571439</v>
      </c>
      <c r="O168" s="6">
        <v>0.49399999999999999</v>
      </c>
      <c r="P168" s="4">
        <v>0.39500000000000002</v>
      </c>
      <c r="Q168" s="5">
        <v>0.73099999999999998</v>
      </c>
      <c r="R168">
        <f t="shared" si="57"/>
        <v>0.68528571428571439</v>
      </c>
      <c r="S168">
        <f t="shared" si="58"/>
        <v>0.43089430894308939</v>
      </c>
      <c r="T168">
        <f t="shared" si="59"/>
        <v>0.59516364394413168</v>
      </c>
      <c r="U168">
        <f t="shared" si="52"/>
        <v>-0.59649801959558046</v>
      </c>
      <c r="V168" s="3">
        <f t="shared" si="66"/>
        <v>3.6273693326690504E-3</v>
      </c>
      <c r="W168">
        <v>0.73099999999999998</v>
      </c>
      <c r="X168">
        <v>0.73158299999999998</v>
      </c>
      <c r="Y168" s="11">
        <f t="shared" si="60"/>
        <v>0.47849161271005869</v>
      </c>
      <c r="Z168">
        <f t="shared" si="61"/>
        <v>0.6366343080639536</v>
      </c>
      <c r="AA168" s="13">
        <f t="shared" si="62"/>
        <v>0.72025462562749998</v>
      </c>
      <c r="AB168" s="13">
        <v>1.2202546256275</v>
      </c>
    </row>
    <row r="169" spans="1:28" x14ac:dyDescent="0.25">
      <c r="A169" s="1">
        <v>2010</v>
      </c>
      <c r="B169" s="1">
        <f t="shared" si="53"/>
        <v>0.36699999999999999</v>
      </c>
      <c r="C169" s="1">
        <f t="shared" si="46"/>
        <v>0.36801043</v>
      </c>
      <c r="D169" s="1">
        <f t="shared" si="47"/>
        <v>0</v>
      </c>
      <c r="E169" s="7">
        <f t="shared" si="54"/>
        <v>0.48169626832283274</v>
      </c>
      <c r="F169" s="1">
        <f t="shared" si="55"/>
        <v>1.0104300000000066E-3</v>
      </c>
      <c r="G169" s="9">
        <f t="shared" si="48"/>
        <v>0.48169626832283274</v>
      </c>
      <c r="H169" s="1">
        <f t="shared" si="49"/>
        <v>6.126608954689472E-3</v>
      </c>
      <c r="I169" s="1">
        <f t="shared" si="56"/>
        <v>0.48169626832283274</v>
      </c>
      <c r="J169" s="3">
        <f t="shared" si="50"/>
        <v>0.48169626832283274</v>
      </c>
      <c r="K169" s="3">
        <f t="shared" si="51"/>
        <v>0.42686044250527649</v>
      </c>
      <c r="L169" s="6">
        <f t="shared" ref="L141:L169" si="76">+(O167+O168+O169+O170+O172)/5</f>
        <v>0.36699999999999999</v>
      </c>
      <c r="M169" s="6">
        <f t="shared" ref="M141:M169" si="77">+(P167+P168+P169+P170+P172)/5</f>
        <v>0.27</v>
      </c>
      <c r="N169" s="6">
        <f t="shared" ref="N141:N169" si="78">+(Q167+Q168+Q169+Q170+Q172)/5</f>
        <v>0.60439999999999994</v>
      </c>
      <c r="O169" s="6">
        <v>0.54700000000000004</v>
      </c>
      <c r="P169" s="4">
        <v>0.40600000000000003</v>
      </c>
      <c r="Q169" s="5">
        <v>0.90100000000000002</v>
      </c>
      <c r="R169">
        <f t="shared" si="57"/>
        <v>0.60439999999999994</v>
      </c>
      <c r="S169">
        <f t="shared" si="58"/>
        <v>0.44672402382528137</v>
      </c>
      <c r="T169">
        <f t="shared" si="59"/>
        <v>0.60721376571806751</v>
      </c>
      <c r="U169">
        <f t="shared" si="52"/>
        <v>-0.60930059563203165</v>
      </c>
      <c r="V169" s="3">
        <f t="shared" si="66"/>
        <v>6.126608954689472E-3</v>
      </c>
      <c r="W169">
        <v>0.90100000000000002</v>
      </c>
      <c r="X169">
        <v>0.88758300000000001</v>
      </c>
      <c r="Y169" s="11">
        <f t="shared" si="60"/>
        <v>0.46314943302422762</v>
      </c>
      <c r="Z169">
        <f t="shared" si="61"/>
        <v>0.58910198038480288</v>
      </c>
    </row>
    <row r="170" spans="1:28" x14ac:dyDescent="0.25">
      <c r="A170" s="1">
        <v>2011</v>
      </c>
      <c r="B170" s="1">
        <f t="shared" si="53"/>
        <v>0.46700000000000003</v>
      </c>
      <c r="C170" s="1">
        <f t="shared" si="46"/>
        <v>0.47496627499999999</v>
      </c>
      <c r="D170" s="1">
        <f t="shared" si="47"/>
        <v>-4.6159708863481863E-3</v>
      </c>
      <c r="E170" s="1">
        <f t="shared" si="54"/>
        <v>0.41383101164684916</v>
      </c>
      <c r="F170" s="1">
        <f t="shared" si="55"/>
        <v>7.9662749999999671E-3</v>
      </c>
      <c r="G170" s="9">
        <f t="shared" si="48"/>
        <v>0.41383101164684916</v>
      </c>
      <c r="H170" s="1">
        <f t="shared" si="49"/>
        <v>-1.3941193096138838E-2</v>
      </c>
      <c r="I170" s="1" t="e">
        <f t="shared" si="56"/>
        <v>#NUM!</v>
      </c>
      <c r="J170" s="3" t="b">
        <f t="shared" si="50"/>
        <v>0</v>
      </c>
      <c r="K170" s="3">
        <f t="shared" si="51"/>
        <v>0.41383101164684916</v>
      </c>
      <c r="L170" s="6">
        <f t="shared" ref="L140:L170" si="79">+(O169+O170+O171)/3</f>
        <v>0.46700000000000003</v>
      </c>
      <c r="M170" s="6">
        <f t="shared" ref="M140:M170" si="80">+(P169+P170+P171)/3</f>
        <v>0.34733333333333327</v>
      </c>
      <c r="N170" s="6">
        <f t="shared" ref="N140:N170" si="81">+(Q169+Q170+Q171)/3</f>
        <v>0.78233333333333333</v>
      </c>
      <c r="O170" s="6">
        <v>0.40600000000000003</v>
      </c>
      <c r="P170" s="4">
        <v>0.28999999999999998</v>
      </c>
      <c r="Q170" s="5">
        <v>0.69499999999999995</v>
      </c>
      <c r="R170">
        <f t="shared" si="57"/>
        <v>0.78233333333333333</v>
      </c>
      <c r="S170">
        <f t="shared" si="58"/>
        <v>0.44397102684277795</v>
      </c>
      <c r="T170">
        <f t="shared" si="59"/>
        <v>0.59693225394120153</v>
      </c>
      <c r="U170">
        <f t="shared" si="52"/>
        <v>-0.59070238602471248</v>
      </c>
      <c r="V170" s="3">
        <f t="shared" si="66"/>
        <v>-1.3941193096138838E-2</v>
      </c>
      <c r="W170">
        <v>0.69499999999999995</v>
      </c>
      <c r="X170">
        <v>0.70058299999999996</v>
      </c>
      <c r="Y170" s="11">
        <f t="shared" si="60"/>
        <v>0.44671081099659204</v>
      </c>
      <c r="Z170">
        <f t="shared" si="61"/>
        <v>0.77890883138186129</v>
      </c>
    </row>
    <row r="171" spans="1:28" x14ac:dyDescent="0.25">
      <c r="A171" s="1">
        <v>2012</v>
      </c>
      <c r="B171" s="1">
        <f t="shared" si="53"/>
        <v>0.44800000000000001</v>
      </c>
      <c r="C171" s="1">
        <f t="shared" si="46"/>
        <v>0.46403272499999998</v>
      </c>
      <c r="D171" s="1">
        <f t="shared" si="47"/>
        <v>-1.3812761330122048E-2</v>
      </c>
      <c r="E171" s="7">
        <f t="shared" si="54"/>
        <v>0.40490452503942714</v>
      </c>
      <c r="F171" s="1">
        <f t="shared" si="55"/>
        <v>1.603272499999997E-2</v>
      </c>
      <c r="G171" s="9">
        <f t="shared" si="48"/>
        <v>0.40490452503942714</v>
      </c>
      <c r="H171" s="1">
        <f t="shared" si="49"/>
        <v>-4.2520551106806415E-2</v>
      </c>
      <c r="I171" s="1" t="e">
        <f t="shared" si="56"/>
        <v>#NUM!</v>
      </c>
      <c r="J171" s="3" t="b">
        <f t="shared" si="50"/>
        <v>0</v>
      </c>
      <c r="K171" s="3">
        <f t="shared" si="51"/>
        <v>0.40490452503942714</v>
      </c>
      <c r="L171" s="6">
        <v>0.44800000000000001</v>
      </c>
      <c r="M171" s="4">
        <v>0.34599999999999997</v>
      </c>
      <c r="N171" s="5">
        <v>0.751</v>
      </c>
      <c r="O171" s="6">
        <v>0.44800000000000001</v>
      </c>
      <c r="P171" s="4">
        <v>0.34599999999999997</v>
      </c>
      <c r="Q171" s="5">
        <v>0.751</v>
      </c>
      <c r="R171">
        <f>+$N171+$N$1</f>
        <v>0.751</v>
      </c>
      <c r="S171">
        <f t="shared" si="58"/>
        <v>0.46071904127829555</v>
      </c>
      <c r="T171">
        <f t="shared" si="59"/>
        <v>0.59653794940079896</v>
      </c>
      <c r="U171">
        <f t="shared" si="52"/>
        <v>-0.57796071904127833</v>
      </c>
      <c r="V171" s="3">
        <f t="shared" si="66"/>
        <v>-4.2520551106806415E-2</v>
      </c>
      <c r="W171">
        <v>0.751</v>
      </c>
      <c r="X171">
        <v>0.75416700000000003</v>
      </c>
      <c r="Y171" s="11">
        <f t="shared" si="60"/>
        <v>0.42911526653915644</v>
      </c>
      <c r="Z171">
        <f t="shared" si="61"/>
        <v>0.79047486248657695</v>
      </c>
    </row>
    <row r="172" spans="1:28" x14ac:dyDescent="0.25">
      <c r="A172" s="1"/>
      <c r="B172" s="1"/>
      <c r="C172" s="1"/>
      <c r="D172" s="1"/>
      <c r="E172" s="1"/>
      <c r="F172" s="1"/>
      <c r="G172" s="9"/>
      <c r="H172" s="1"/>
      <c r="I172" s="1"/>
      <c r="J172" s="3"/>
      <c r="K172" s="3"/>
    </row>
    <row r="173" spans="1:28" x14ac:dyDescent="0.25">
      <c r="A173" s="1"/>
      <c r="B173" s="1"/>
      <c r="C173" s="1"/>
      <c r="D173" s="1"/>
      <c r="E173" s="1"/>
      <c r="F173" s="1"/>
      <c r="G173" s="9"/>
      <c r="H173" s="1"/>
      <c r="I173" s="1"/>
      <c r="J173" s="3"/>
      <c r="K173" s="3"/>
    </row>
    <row r="174" spans="1:28" x14ac:dyDescent="0.25">
      <c r="A174" s="1"/>
      <c r="B174" s="1"/>
      <c r="C174" s="1"/>
      <c r="D174" s="1"/>
      <c r="E174" s="1"/>
      <c r="F174" s="1"/>
      <c r="G174" s="9"/>
      <c r="H174" s="1"/>
      <c r="I174" s="1"/>
      <c r="J174" s="3"/>
      <c r="K174" s="3"/>
    </row>
    <row r="175" spans="1:28" x14ac:dyDescent="0.25">
      <c r="A175" s="1"/>
      <c r="B175" s="1"/>
      <c r="C175" s="1"/>
      <c r="D175" s="1"/>
      <c r="E175" s="1"/>
      <c r="F175" s="1"/>
      <c r="G175" s="9"/>
      <c r="H175" s="1"/>
      <c r="I175" s="1"/>
      <c r="J175" s="3"/>
      <c r="K175" s="3"/>
    </row>
    <row r="176" spans="1:28" x14ac:dyDescent="0.25">
      <c r="A176" s="1"/>
      <c r="B176" s="1"/>
      <c r="C176" s="1"/>
      <c r="D176" s="1"/>
      <c r="E176" s="1"/>
      <c r="F176" s="1"/>
      <c r="G176" s="9"/>
      <c r="H176" s="1"/>
      <c r="I176" s="1"/>
      <c r="J176" s="3"/>
      <c r="K176" s="3"/>
    </row>
    <row r="177" spans="1:11" x14ac:dyDescent="0.25">
      <c r="A177" s="1"/>
      <c r="B177" s="1"/>
      <c r="C177" s="1"/>
      <c r="D177" s="1"/>
      <c r="E177" s="1"/>
      <c r="F177" s="1"/>
      <c r="G177" s="9"/>
      <c r="H177" s="1"/>
      <c r="I177" s="1"/>
      <c r="J177" s="3"/>
      <c r="K177" s="3"/>
    </row>
    <row r="178" spans="1:11" x14ac:dyDescent="0.25">
      <c r="A178" s="1"/>
      <c r="B178" s="1"/>
      <c r="C178" s="1"/>
      <c r="D178" s="1"/>
      <c r="E178" s="1"/>
      <c r="F178" s="1"/>
      <c r="G178" s="9"/>
      <c r="H178" s="1"/>
      <c r="I178" s="1"/>
      <c r="J178" s="3"/>
      <c r="K178" s="3"/>
    </row>
    <row r="179" spans="1:11" x14ac:dyDescent="0.25">
      <c r="A179" s="1"/>
      <c r="B179" s="1"/>
      <c r="C179" s="1"/>
      <c r="D179" s="1"/>
      <c r="E179" s="1"/>
      <c r="F179" s="1"/>
      <c r="G179" s="9"/>
      <c r="H179" s="1"/>
      <c r="I179" s="1"/>
      <c r="J179" s="3"/>
      <c r="K179" s="3"/>
    </row>
    <row r="180" spans="1:11" x14ac:dyDescent="0.25">
      <c r="A180" s="1"/>
      <c r="B180" s="1"/>
      <c r="C180" s="1"/>
      <c r="D180" s="1"/>
      <c r="E180" s="1"/>
      <c r="F180" s="1"/>
      <c r="G180" s="9"/>
      <c r="H180" s="1"/>
      <c r="I180" s="1"/>
      <c r="J180" s="3"/>
      <c r="K180" s="3"/>
    </row>
    <row r="181" spans="1:11" x14ac:dyDescent="0.25">
      <c r="A181" s="1"/>
      <c r="B181" s="1"/>
      <c r="C181" s="1"/>
      <c r="D181" s="1"/>
      <c r="E181" s="1"/>
      <c r="F181" s="1"/>
      <c r="G181" s="9"/>
      <c r="H181" s="1"/>
      <c r="I181" s="1"/>
      <c r="J181" s="3"/>
      <c r="K181" s="3"/>
    </row>
    <row r="182" spans="1:11" x14ac:dyDescent="0.25">
      <c r="A182" s="1"/>
      <c r="B182" s="1"/>
      <c r="C182" s="1"/>
      <c r="D182" s="1"/>
      <c r="E182" s="1"/>
      <c r="F182" s="1"/>
      <c r="G182" s="9"/>
      <c r="H182" s="1"/>
      <c r="I182" s="1"/>
      <c r="J182" s="3"/>
      <c r="K182" s="3"/>
    </row>
    <row r="183" spans="1:11" x14ac:dyDescent="0.25">
      <c r="A183" s="1"/>
      <c r="B183" s="1"/>
      <c r="C183" s="1"/>
      <c r="D183" s="1"/>
      <c r="E183" s="1"/>
      <c r="F183" s="1"/>
      <c r="G183" s="9"/>
      <c r="H183" s="1"/>
      <c r="I183" s="1"/>
      <c r="J183" s="3"/>
      <c r="K183" s="3"/>
    </row>
    <row r="184" spans="1:11" x14ac:dyDescent="0.25">
      <c r="A184" s="1"/>
      <c r="B184" s="1"/>
      <c r="C184" s="1"/>
      <c r="D184" s="1"/>
      <c r="E184" s="1"/>
      <c r="F184" s="1"/>
      <c r="G184" s="9"/>
      <c r="H184" s="1"/>
      <c r="I184" s="1"/>
      <c r="J184" s="3"/>
      <c r="K184" s="3"/>
    </row>
    <row r="185" spans="1:11" x14ac:dyDescent="0.25">
      <c r="A185" s="1"/>
      <c r="B185" s="1"/>
      <c r="C185" s="1"/>
      <c r="D185" s="1"/>
      <c r="E185" s="1"/>
      <c r="F185" s="1"/>
      <c r="G185" s="9"/>
      <c r="H185" s="1"/>
      <c r="I185" s="1"/>
      <c r="J185" s="3"/>
      <c r="K185" s="3"/>
    </row>
    <row r="186" spans="1:11" x14ac:dyDescent="0.25">
      <c r="A186" s="1"/>
      <c r="B186" s="1"/>
      <c r="C186" s="1"/>
      <c r="D186" s="1"/>
      <c r="E186" s="1"/>
      <c r="F186" s="1"/>
      <c r="G186" s="9"/>
      <c r="H186" s="1"/>
      <c r="I186" s="1"/>
      <c r="J186" s="3"/>
      <c r="K186" s="3"/>
    </row>
    <row r="187" spans="1:11" x14ac:dyDescent="0.25">
      <c r="A187" s="1"/>
      <c r="B187" s="1"/>
      <c r="C187" s="1"/>
      <c r="D187" s="1"/>
      <c r="E187" s="1"/>
      <c r="F187" s="1"/>
      <c r="G187" s="9"/>
      <c r="H187" s="1"/>
      <c r="I187" s="1"/>
      <c r="J187" s="3"/>
      <c r="K187" s="3"/>
    </row>
    <row r="188" spans="1:11" x14ac:dyDescent="0.25">
      <c r="A188" s="1"/>
      <c r="B188" s="1"/>
      <c r="C188" s="1"/>
      <c r="D188" s="1"/>
      <c r="E188" s="1"/>
      <c r="F188" s="1"/>
      <c r="G188" s="9"/>
      <c r="H188" s="1"/>
      <c r="I188" s="1"/>
      <c r="J188" s="3"/>
      <c r="K188" s="3"/>
    </row>
    <row r="189" spans="1:11" x14ac:dyDescent="0.25">
      <c r="A189" s="1"/>
      <c r="B189" s="1"/>
      <c r="C189" s="1"/>
      <c r="D189" s="1"/>
      <c r="E189" s="1"/>
      <c r="F189" s="1"/>
      <c r="G189" s="9"/>
      <c r="H189" s="1"/>
      <c r="I189" s="1"/>
      <c r="J189" s="3"/>
      <c r="K189" s="3"/>
    </row>
    <row r="190" spans="1:11" x14ac:dyDescent="0.25">
      <c r="A190" s="1"/>
      <c r="B190" s="1"/>
      <c r="C190" s="1"/>
      <c r="D190" s="1"/>
      <c r="E190" s="1"/>
      <c r="F190" s="1"/>
      <c r="G190" s="9"/>
      <c r="H190" s="1"/>
      <c r="I190" s="1"/>
      <c r="J190" s="3"/>
      <c r="K190" s="3"/>
    </row>
    <row r="191" spans="1:11" x14ac:dyDescent="0.25">
      <c r="A191" s="1"/>
      <c r="B191" s="1"/>
      <c r="C191" s="1"/>
      <c r="D191" s="1"/>
      <c r="E191" s="1"/>
      <c r="F191" s="1"/>
      <c r="G191" s="9"/>
      <c r="H191" s="1"/>
      <c r="I191" s="1"/>
      <c r="J191" s="3"/>
      <c r="K191" s="3"/>
    </row>
    <row r="192" spans="1:11" x14ac:dyDescent="0.25">
      <c r="A192" s="1"/>
      <c r="B192" s="1"/>
      <c r="C192" s="1"/>
      <c r="D192" s="1"/>
      <c r="E192" s="1"/>
      <c r="F192" s="1"/>
      <c r="G192" s="9"/>
      <c r="H192" s="1"/>
      <c r="I192" s="1"/>
      <c r="J192" s="3"/>
      <c r="K192" s="3"/>
    </row>
    <row r="193" spans="1:11" x14ac:dyDescent="0.25">
      <c r="A193" s="1"/>
      <c r="B193" s="1"/>
      <c r="C193" s="1"/>
      <c r="D193" s="1"/>
      <c r="E193" s="1"/>
      <c r="F193" s="1"/>
      <c r="G193" s="9"/>
      <c r="H193" s="1"/>
      <c r="I193" s="1"/>
      <c r="J193" s="3"/>
      <c r="K193" s="3"/>
    </row>
    <row r="194" spans="1:11" x14ac:dyDescent="0.25">
      <c r="A194" s="1"/>
      <c r="B194" s="1"/>
      <c r="C194" s="1"/>
      <c r="D194" s="1"/>
      <c r="E194" s="1"/>
      <c r="F194" s="1"/>
      <c r="G194" s="9"/>
      <c r="H194" s="1"/>
      <c r="I194" s="1"/>
      <c r="J194" s="3"/>
      <c r="K194" s="3"/>
    </row>
    <row r="195" spans="1:11" x14ac:dyDescent="0.25">
      <c r="A195" s="1"/>
      <c r="B195" s="1"/>
      <c r="C195" s="1"/>
      <c r="D195" s="1"/>
      <c r="E195" s="1"/>
      <c r="F195" s="1"/>
      <c r="G195" s="9"/>
      <c r="H195" s="1"/>
      <c r="I195" s="1"/>
      <c r="J195" s="3"/>
      <c r="K195" s="3"/>
    </row>
    <row r="196" spans="1:11" x14ac:dyDescent="0.25">
      <c r="A196" s="1"/>
      <c r="B196" s="1"/>
      <c r="C196" s="1"/>
      <c r="D196" s="1"/>
      <c r="E196" s="1"/>
      <c r="F196" s="1"/>
      <c r="G196" s="9"/>
      <c r="H196" s="1"/>
      <c r="I196" s="1"/>
      <c r="J196" s="3"/>
      <c r="K196" s="3"/>
    </row>
    <row r="197" spans="1:11" x14ac:dyDescent="0.25">
      <c r="A197" s="1"/>
      <c r="B197" s="1"/>
      <c r="C197" s="1"/>
      <c r="D197" s="1"/>
      <c r="E197" s="1"/>
      <c r="F197" s="1"/>
      <c r="G197" s="9"/>
      <c r="H197" s="1"/>
      <c r="I197" s="1"/>
      <c r="J197" s="3"/>
      <c r="K197" s="3"/>
    </row>
    <row r="198" spans="1:11" x14ac:dyDescent="0.25">
      <c r="A198" s="1"/>
      <c r="B198" s="1"/>
      <c r="C198" s="1"/>
      <c r="D198" s="1"/>
      <c r="E198" s="1"/>
      <c r="F198" s="1"/>
      <c r="G198" s="9"/>
      <c r="H198" s="1"/>
      <c r="I198" s="1"/>
      <c r="J198" s="3"/>
      <c r="K198" s="3"/>
    </row>
    <row r="199" spans="1:11" x14ac:dyDescent="0.25">
      <c r="A199" s="1"/>
      <c r="B199" s="1"/>
      <c r="C199" s="1"/>
      <c r="D199" s="1"/>
      <c r="E199" s="1"/>
      <c r="F199" s="1"/>
      <c r="G199" s="9"/>
      <c r="H199" s="1"/>
      <c r="I199" s="1"/>
      <c r="J199" s="3"/>
      <c r="K199" s="3"/>
    </row>
    <row r="200" spans="1:11" x14ac:dyDescent="0.25">
      <c r="A200" s="1"/>
      <c r="B200" s="1"/>
      <c r="C200" s="1"/>
      <c r="D200" s="1"/>
      <c r="E200" s="1"/>
      <c r="F200" s="1"/>
      <c r="G200" s="9"/>
      <c r="H200" s="1"/>
      <c r="I200" s="1"/>
      <c r="J200" s="3"/>
      <c r="K200" s="3"/>
    </row>
    <row r="201" spans="1:11" x14ac:dyDescent="0.25">
      <c r="A201" s="1"/>
      <c r="B201" s="1"/>
      <c r="C201" s="1"/>
      <c r="D201" s="1"/>
      <c r="E201" s="1"/>
      <c r="F201" s="1"/>
      <c r="G201" s="9"/>
      <c r="H201" s="1"/>
      <c r="I201" s="1"/>
      <c r="J201" s="3"/>
      <c r="K201" s="3"/>
    </row>
    <row r="202" spans="1:11" x14ac:dyDescent="0.25">
      <c r="A202" s="1"/>
      <c r="B202" s="1"/>
      <c r="C202" s="1"/>
      <c r="D202" s="1"/>
      <c r="E202" s="1"/>
      <c r="F202" s="1"/>
      <c r="G202" s="9"/>
      <c r="H202" s="1"/>
      <c r="I202" s="1"/>
      <c r="J202" s="3"/>
      <c r="K202" s="3"/>
    </row>
    <row r="203" spans="1:11" x14ac:dyDescent="0.25">
      <c r="A203" s="1"/>
      <c r="B203" s="1"/>
      <c r="C203" s="1"/>
      <c r="D203" s="1"/>
      <c r="E203" s="1"/>
      <c r="F203" s="1"/>
      <c r="G203" s="9"/>
      <c r="H203" s="1"/>
      <c r="I203" s="1"/>
      <c r="J203" s="3"/>
      <c r="K203" s="3"/>
    </row>
    <row r="204" spans="1:11" x14ac:dyDescent="0.25">
      <c r="A204" s="1"/>
      <c r="B204" s="1"/>
      <c r="C204" s="1"/>
      <c r="D204" s="1"/>
      <c r="E204" s="1"/>
      <c r="F204" s="1"/>
      <c r="G204" s="9"/>
      <c r="H204" s="1"/>
      <c r="I204" s="1"/>
      <c r="J204" s="3"/>
      <c r="K204" s="3"/>
    </row>
    <row r="205" spans="1:11" x14ac:dyDescent="0.25">
      <c r="A205" s="1"/>
      <c r="B205" s="1"/>
      <c r="C205" s="1"/>
      <c r="D205" s="1"/>
      <c r="E205" s="1"/>
      <c r="F205" s="1"/>
      <c r="G205" s="9"/>
      <c r="H205" s="1"/>
      <c r="I205" s="1"/>
      <c r="J205" s="3"/>
      <c r="K205" s="3"/>
    </row>
    <row r="206" spans="1:11" x14ac:dyDescent="0.25">
      <c r="A206" s="1"/>
      <c r="B206" s="1"/>
      <c r="C206" s="1"/>
      <c r="D206" s="1"/>
      <c r="E206" s="1"/>
      <c r="F206" s="1"/>
      <c r="G206" s="9"/>
      <c r="H206" s="1"/>
      <c r="I206" s="1"/>
      <c r="J206" s="3"/>
      <c r="K206" s="3"/>
    </row>
    <row r="207" spans="1:11" x14ac:dyDescent="0.25">
      <c r="A207" s="1"/>
      <c r="B207" s="1"/>
      <c r="C207" s="1"/>
      <c r="D207" s="1"/>
      <c r="E207" s="1"/>
      <c r="F207" s="1"/>
      <c r="G207" s="9"/>
      <c r="H207" s="1"/>
      <c r="I207" s="1"/>
      <c r="J207" s="3"/>
      <c r="K207" s="3"/>
    </row>
    <row r="208" spans="1:11" x14ac:dyDescent="0.25">
      <c r="A208" s="1"/>
      <c r="B208" s="1"/>
      <c r="C208" s="1"/>
      <c r="D208" s="1"/>
      <c r="E208" s="1"/>
      <c r="F208" s="1"/>
      <c r="G208" s="9"/>
      <c r="H208" s="1"/>
      <c r="I208" s="1"/>
      <c r="J208" s="3"/>
      <c r="K208" s="3"/>
    </row>
    <row r="209" spans="1:11" x14ac:dyDescent="0.25">
      <c r="A209" s="1"/>
      <c r="B209" s="1"/>
      <c r="C209" s="1"/>
      <c r="D209" s="1"/>
      <c r="E209" s="1"/>
      <c r="F209" s="1"/>
      <c r="G209" s="9"/>
      <c r="H209" s="1"/>
      <c r="I209" s="1"/>
      <c r="J209" s="3"/>
      <c r="K209" s="3"/>
    </row>
    <row r="210" spans="1:11" x14ac:dyDescent="0.25">
      <c r="A210" s="1"/>
      <c r="B210" s="1"/>
      <c r="C210" s="1"/>
      <c r="D210" s="1"/>
      <c r="E210" s="1"/>
      <c r="F210" s="1"/>
      <c r="G210" s="9"/>
      <c r="H210" s="1"/>
      <c r="I210" s="1"/>
      <c r="J210" s="3"/>
      <c r="K210" s="3"/>
    </row>
    <row r="211" spans="1:11" x14ac:dyDescent="0.25">
      <c r="A211" s="1"/>
      <c r="B211" s="1"/>
      <c r="C211" s="1"/>
      <c r="D211" s="1"/>
      <c r="E211" s="1"/>
      <c r="F211" s="1"/>
      <c r="G211" s="9"/>
      <c r="H211" s="1"/>
      <c r="I211" s="1"/>
      <c r="J211" s="3"/>
      <c r="K211" s="3"/>
    </row>
    <row r="212" spans="1:11" x14ac:dyDescent="0.25">
      <c r="A212" s="1"/>
      <c r="B212" s="1"/>
      <c r="C212" s="1"/>
      <c r="D212" s="1"/>
      <c r="E212" s="1"/>
      <c r="F212" s="1"/>
      <c r="G212" s="9"/>
      <c r="H212" s="1"/>
      <c r="I212" s="1"/>
      <c r="J212" s="3"/>
      <c r="K212" s="3"/>
    </row>
    <row r="213" spans="1:11" x14ac:dyDescent="0.25">
      <c r="A213" s="1"/>
      <c r="B213" s="1"/>
      <c r="C213" s="1"/>
      <c r="D213" s="1"/>
      <c r="E213" s="1"/>
      <c r="F213" s="1"/>
      <c r="G213" s="9"/>
      <c r="H213" s="1"/>
      <c r="I213" s="1"/>
      <c r="J213" s="3"/>
      <c r="K213" s="3"/>
    </row>
    <row r="214" spans="1:11" x14ac:dyDescent="0.25">
      <c r="A214" s="1"/>
      <c r="B214" s="1"/>
      <c r="C214" s="1"/>
      <c r="D214" s="1"/>
      <c r="E214" s="1"/>
      <c r="F214" s="1"/>
      <c r="G214" s="9"/>
      <c r="H214" s="1"/>
      <c r="I214" s="1"/>
      <c r="J214" s="3"/>
      <c r="K214" s="3"/>
    </row>
    <row r="215" spans="1:11" x14ac:dyDescent="0.25">
      <c r="A215" s="1"/>
      <c r="B215" s="1"/>
      <c r="C215" s="1"/>
      <c r="D215" s="1"/>
      <c r="E215" s="1"/>
      <c r="F215" s="1"/>
      <c r="G215" s="9"/>
      <c r="H215" s="1"/>
      <c r="I215" s="1"/>
      <c r="J215" s="3"/>
      <c r="K215" s="3"/>
    </row>
    <row r="216" spans="1:11" x14ac:dyDescent="0.25">
      <c r="A216" s="1"/>
      <c r="B216" s="1"/>
      <c r="C216" s="1"/>
      <c r="D216" s="1"/>
      <c r="E216" s="1"/>
      <c r="F216" s="1"/>
      <c r="G216" s="9"/>
      <c r="H216" s="1"/>
      <c r="I216" s="1"/>
      <c r="J216" s="3"/>
      <c r="K216" s="3"/>
    </row>
    <row r="217" spans="1:11" x14ac:dyDescent="0.25">
      <c r="A217" s="1"/>
      <c r="B217" s="1"/>
      <c r="C217" s="1"/>
      <c r="D217" s="1"/>
      <c r="E217" s="1"/>
      <c r="F217" s="1"/>
      <c r="G217" s="9"/>
      <c r="H217" s="1"/>
      <c r="I217" s="1"/>
      <c r="J217" s="3"/>
      <c r="K217" s="3"/>
    </row>
    <row r="218" spans="1:11" x14ac:dyDescent="0.25">
      <c r="A218" s="1"/>
      <c r="B218" s="1"/>
      <c r="C218" s="1"/>
      <c r="D218" s="1"/>
      <c r="E218" s="1"/>
      <c r="F218" s="1"/>
      <c r="G218" s="9"/>
      <c r="H218" s="1"/>
      <c r="I218" s="1"/>
      <c r="J218" s="3"/>
      <c r="K218" s="3"/>
    </row>
    <row r="219" spans="1:11" x14ac:dyDescent="0.25">
      <c r="A219" s="1"/>
      <c r="B219" s="1"/>
      <c r="C219" s="1"/>
      <c r="D219" s="1"/>
      <c r="E219" s="1"/>
      <c r="F219" s="1"/>
      <c r="G219" s="9"/>
      <c r="H219" s="1"/>
      <c r="I219" s="1"/>
      <c r="J219" s="3"/>
      <c r="K219" s="3"/>
    </row>
    <row r="220" spans="1:11" x14ac:dyDescent="0.25">
      <c r="A220" s="1"/>
      <c r="B220" s="1"/>
      <c r="C220" s="1"/>
      <c r="D220" s="1"/>
      <c r="E220" s="1"/>
      <c r="F220" s="1"/>
      <c r="G220" s="9"/>
      <c r="H220" s="1"/>
      <c r="I220" s="1"/>
      <c r="J220" s="3"/>
      <c r="K220" s="3"/>
    </row>
    <row r="221" spans="1:11" x14ac:dyDescent="0.25">
      <c r="A221" s="1"/>
      <c r="B221" s="1"/>
      <c r="C221" s="1"/>
      <c r="D221" s="1"/>
      <c r="E221" s="1"/>
      <c r="F221" s="1"/>
      <c r="G221" s="9"/>
      <c r="H221" s="1"/>
      <c r="I221" s="1"/>
      <c r="J221" s="3"/>
      <c r="K221" s="3"/>
    </row>
    <row r="222" spans="1:11" x14ac:dyDescent="0.25">
      <c r="A222" s="1"/>
      <c r="B222" s="1"/>
      <c r="C222" s="1"/>
      <c r="D222" s="1"/>
      <c r="E222" s="1"/>
      <c r="F222" s="1"/>
      <c r="G222" s="9"/>
      <c r="H222" s="1"/>
      <c r="I222" s="1"/>
      <c r="J222" s="3"/>
      <c r="K222" s="3"/>
    </row>
    <row r="223" spans="1:11" x14ac:dyDescent="0.25">
      <c r="A223" s="1"/>
      <c r="B223" s="1"/>
      <c r="C223" s="1"/>
      <c r="D223" s="1"/>
      <c r="E223" s="1"/>
      <c r="F223" s="1"/>
      <c r="G223" s="9"/>
      <c r="H223" s="1"/>
      <c r="I223" s="1"/>
      <c r="J223" s="3"/>
      <c r="K223" s="3"/>
    </row>
    <row r="224" spans="1:11" x14ac:dyDescent="0.25">
      <c r="A224" s="1"/>
      <c r="B224" s="1"/>
      <c r="C224" s="1"/>
      <c r="D224" s="1"/>
      <c r="E224" s="1"/>
      <c r="F224" s="1"/>
      <c r="G224" s="9"/>
      <c r="H224" s="1"/>
      <c r="I224" s="1"/>
      <c r="J224" s="3"/>
      <c r="K224" s="3"/>
    </row>
    <row r="225" spans="1:11" x14ac:dyDescent="0.25">
      <c r="A225" s="1"/>
      <c r="B225" s="1"/>
      <c r="C225" s="1"/>
      <c r="D225" s="1"/>
      <c r="E225" s="1"/>
      <c r="F225" s="1"/>
      <c r="G225" s="9"/>
      <c r="H225" s="1"/>
      <c r="I225" s="1"/>
      <c r="J225" s="3"/>
      <c r="K225" s="3"/>
    </row>
    <row r="226" spans="1:11" x14ac:dyDescent="0.25">
      <c r="A226" s="1"/>
      <c r="B226" s="1"/>
      <c r="C226" s="1"/>
      <c r="D226" s="1"/>
      <c r="E226" s="1"/>
      <c r="F226" s="1"/>
      <c r="G226" s="9"/>
      <c r="H226" s="1"/>
      <c r="I226" s="1"/>
      <c r="J226" s="3"/>
      <c r="K226" s="3"/>
    </row>
    <row r="227" spans="1:11" x14ac:dyDescent="0.25">
      <c r="A227" s="1"/>
      <c r="B227" s="1"/>
      <c r="C227" s="1"/>
      <c r="D227" s="1"/>
      <c r="E227" s="1"/>
      <c r="F227" s="1"/>
      <c r="G227" s="9"/>
      <c r="H227" s="1"/>
      <c r="I227" s="1"/>
      <c r="J227" s="3"/>
      <c r="K227" s="3"/>
    </row>
    <row r="228" spans="1:11" x14ac:dyDescent="0.25">
      <c r="A228" s="1"/>
      <c r="B228" s="1"/>
      <c r="C228" s="1"/>
      <c r="D228" s="1"/>
      <c r="E228" s="1"/>
      <c r="F228" s="1"/>
      <c r="G228" s="9"/>
      <c r="H228" s="1"/>
      <c r="I228" s="1"/>
      <c r="J228" s="3"/>
      <c r="K228" s="3"/>
    </row>
    <row r="229" spans="1:11" x14ac:dyDescent="0.25">
      <c r="A229" s="1"/>
      <c r="B229" s="1"/>
      <c r="C229" s="1"/>
      <c r="D229" s="1"/>
      <c r="E229" s="1"/>
      <c r="F229" s="1"/>
      <c r="G229" s="9"/>
      <c r="H229" s="1"/>
      <c r="I229" s="1"/>
      <c r="J229" s="3"/>
      <c r="K229" s="3"/>
    </row>
    <row r="230" spans="1:11" x14ac:dyDescent="0.25">
      <c r="A230" s="1"/>
      <c r="B230" s="1"/>
      <c r="C230" s="1"/>
      <c r="D230" s="1"/>
      <c r="E230" s="1"/>
      <c r="F230" s="1"/>
      <c r="G230" s="9"/>
      <c r="H230" s="1"/>
      <c r="I230" s="1"/>
      <c r="J230" s="3"/>
      <c r="K230" s="3"/>
    </row>
    <row r="231" spans="1:11" x14ac:dyDescent="0.25">
      <c r="A231" s="1"/>
      <c r="B231" s="1"/>
      <c r="C231" s="1"/>
      <c r="D231" s="1"/>
      <c r="E231" s="1"/>
      <c r="F231" s="1"/>
      <c r="G231" s="9"/>
      <c r="H231" s="1"/>
      <c r="I231" s="1"/>
      <c r="J231" s="3"/>
      <c r="K231" s="3"/>
    </row>
    <row r="232" spans="1:11" x14ac:dyDescent="0.25">
      <c r="A232" s="1"/>
      <c r="B232" s="1"/>
      <c r="C232" s="1"/>
      <c r="D232" s="1"/>
      <c r="E232" s="1"/>
      <c r="F232" s="1"/>
      <c r="G232" s="9"/>
      <c r="H232" s="1"/>
      <c r="I232" s="1"/>
      <c r="J232" s="3"/>
      <c r="K232" s="3"/>
    </row>
    <row r="233" spans="1:11" x14ac:dyDescent="0.25">
      <c r="A233" s="1"/>
      <c r="B233" s="1"/>
      <c r="C233" s="1"/>
      <c r="D233" s="1"/>
      <c r="E233" s="1"/>
      <c r="F233" s="1"/>
      <c r="G233" s="9"/>
      <c r="H233" s="1"/>
      <c r="I233" s="1"/>
      <c r="J233" s="3"/>
      <c r="K233" s="3"/>
    </row>
    <row r="234" spans="1:11" x14ac:dyDescent="0.25">
      <c r="A234" s="1"/>
      <c r="B234" s="1"/>
      <c r="C234" s="1"/>
      <c r="D234" s="1"/>
      <c r="E234" s="1"/>
      <c r="F234" s="1"/>
      <c r="G234" s="9"/>
      <c r="H234" s="1"/>
      <c r="I234" s="1"/>
      <c r="J234" s="3"/>
      <c r="K234" s="3"/>
    </row>
    <row r="235" spans="1:11" x14ac:dyDescent="0.25">
      <c r="A235" s="1"/>
      <c r="B235" s="1"/>
      <c r="C235" s="1"/>
      <c r="D235" s="1"/>
      <c r="E235" s="1"/>
      <c r="F235" s="1"/>
      <c r="G235" s="9"/>
      <c r="H235" s="1"/>
      <c r="I235" s="1"/>
      <c r="J235" s="3"/>
      <c r="K235" s="3"/>
    </row>
    <row r="236" spans="1:11" x14ac:dyDescent="0.25">
      <c r="A236" s="1"/>
      <c r="B236" s="1"/>
      <c r="C236" s="1"/>
      <c r="D236" s="1"/>
      <c r="E236" s="1"/>
      <c r="F236" s="1"/>
      <c r="G236" s="9"/>
      <c r="H236" s="1"/>
      <c r="I236" s="1"/>
      <c r="J236" s="3"/>
      <c r="K236" s="3"/>
    </row>
    <row r="237" spans="1:11" x14ac:dyDescent="0.25">
      <c r="A237" s="1"/>
      <c r="B237" s="1"/>
      <c r="C237" s="1"/>
      <c r="D237" s="1"/>
      <c r="E237" s="1"/>
      <c r="F237" s="1"/>
      <c r="G237" s="9"/>
      <c r="H237" s="1"/>
      <c r="I237" s="1"/>
      <c r="J237" s="3"/>
      <c r="K237" s="3"/>
    </row>
    <row r="238" spans="1:11" x14ac:dyDescent="0.25">
      <c r="A238" s="1"/>
      <c r="B238" s="1"/>
      <c r="C238" s="1"/>
      <c r="D238" s="1"/>
      <c r="E238" s="1"/>
      <c r="F238" s="1"/>
      <c r="G238" s="9"/>
      <c r="H238" s="1"/>
      <c r="I238" s="1"/>
      <c r="J238" s="3"/>
      <c r="K238" s="3"/>
    </row>
    <row r="239" spans="1:11" x14ac:dyDescent="0.25">
      <c r="A239" s="1"/>
      <c r="B239" s="1"/>
      <c r="C239" s="1"/>
      <c r="D239" s="1"/>
      <c r="E239" s="1"/>
      <c r="F239" s="1"/>
      <c r="G239" s="9"/>
      <c r="H239" s="1"/>
      <c r="I239" s="1"/>
      <c r="J239" s="3"/>
      <c r="K239" s="3"/>
    </row>
    <row r="240" spans="1:11" x14ac:dyDescent="0.25">
      <c r="A240" s="1"/>
      <c r="B240" s="1"/>
      <c r="C240" s="1"/>
      <c r="D240" s="1"/>
      <c r="E240" s="1"/>
      <c r="F240" s="1"/>
      <c r="G240" s="9"/>
      <c r="H240" s="1"/>
      <c r="I240" s="1"/>
      <c r="J240" s="3"/>
      <c r="K240" s="3"/>
    </row>
    <row r="241" spans="1:11" x14ac:dyDescent="0.25">
      <c r="A241" s="1"/>
      <c r="B241" s="1"/>
      <c r="C241" s="1"/>
      <c r="D241" s="1"/>
      <c r="E241" s="1"/>
      <c r="F241" s="1"/>
      <c r="G241" s="9"/>
      <c r="H241" s="1"/>
      <c r="I241" s="1"/>
      <c r="J241" s="3"/>
      <c r="K241" s="3"/>
    </row>
    <row r="242" spans="1:11" x14ac:dyDescent="0.25">
      <c r="A242" s="1"/>
      <c r="B242" s="1"/>
      <c r="C242" s="1"/>
      <c r="D242" s="1"/>
      <c r="E242" s="1"/>
      <c r="F242" s="1"/>
      <c r="G242" s="9"/>
      <c r="H242" s="1"/>
      <c r="I242" s="1"/>
      <c r="J242" s="3"/>
      <c r="K242" s="3"/>
    </row>
    <row r="243" spans="1:11" x14ac:dyDescent="0.25">
      <c r="A243" s="1"/>
      <c r="B243" s="1"/>
      <c r="C243" s="1"/>
      <c r="D243" s="1"/>
      <c r="E243" s="1"/>
      <c r="F243" s="1"/>
      <c r="G243" s="9"/>
      <c r="H243" s="1"/>
      <c r="I243" s="1"/>
      <c r="J243" s="3"/>
      <c r="K243" s="3"/>
    </row>
    <row r="244" spans="1:11" x14ac:dyDescent="0.25">
      <c r="A244" s="1"/>
      <c r="B244" s="1"/>
      <c r="C244" s="1"/>
      <c r="D244" s="1"/>
      <c r="E244" s="1"/>
      <c r="F244" s="1"/>
      <c r="G244" s="9"/>
      <c r="H244" s="1"/>
      <c r="I244" s="1"/>
      <c r="J244" s="3"/>
      <c r="K244" s="3"/>
    </row>
    <row r="245" spans="1:11" x14ac:dyDescent="0.25">
      <c r="A245" s="1"/>
      <c r="B245" s="1"/>
      <c r="C245" s="1"/>
      <c r="D245" s="1"/>
      <c r="E245" s="1"/>
      <c r="F245" s="1"/>
      <c r="G245" s="9"/>
      <c r="H245" s="1"/>
      <c r="I245" s="1"/>
      <c r="J245" s="3"/>
      <c r="K245" s="3"/>
    </row>
    <row r="246" spans="1:11" x14ac:dyDescent="0.25">
      <c r="A246" s="1"/>
      <c r="B246" s="1"/>
      <c r="C246" s="1"/>
      <c r="D246" s="1"/>
      <c r="E246" s="1"/>
      <c r="F246" s="1"/>
      <c r="G246" s="9"/>
      <c r="H246" s="1"/>
      <c r="I246" s="1"/>
      <c r="J246" s="3"/>
      <c r="K246" s="3"/>
    </row>
    <row r="247" spans="1:11" x14ac:dyDescent="0.25">
      <c r="A247" s="1"/>
      <c r="B247" s="1"/>
      <c r="C247" s="1"/>
      <c r="D247" s="1"/>
      <c r="E247" s="1"/>
      <c r="F247" s="1"/>
      <c r="G247" s="9"/>
      <c r="H247" s="1"/>
      <c r="I247" s="1"/>
      <c r="J247" s="3"/>
      <c r="K247" s="3"/>
    </row>
    <row r="248" spans="1:11" x14ac:dyDescent="0.25">
      <c r="A248" s="1"/>
      <c r="B248" s="1"/>
      <c r="C248" s="1"/>
      <c r="D248" s="1"/>
      <c r="E248" s="1"/>
      <c r="F248" s="1"/>
      <c r="G248" s="9"/>
      <c r="H248" s="1"/>
      <c r="I248" s="1"/>
      <c r="J248" s="3"/>
      <c r="K248" s="3"/>
    </row>
    <row r="249" spans="1:11" x14ac:dyDescent="0.25">
      <c r="A249" s="1"/>
      <c r="B249" s="1"/>
      <c r="C249" s="1"/>
      <c r="D249" s="1"/>
      <c r="E249" s="1"/>
      <c r="F249" s="1"/>
      <c r="G249" s="9"/>
      <c r="H249" s="1"/>
      <c r="I249" s="1"/>
      <c r="J249" s="3"/>
      <c r="K249" s="3"/>
    </row>
    <row r="250" spans="1:11" x14ac:dyDescent="0.25">
      <c r="A250" s="1"/>
      <c r="B250" s="1"/>
      <c r="C250" s="1"/>
      <c r="D250" s="1"/>
      <c r="E250" s="1"/>
      <c r="F250" s="1"/>
      <c r="G250" s="9"/>
      <c r="H250" s="1"/>
      <c r="I250" s="1"/>
      <c r="J250" s="3"/>
      <c r="K250" s="3"/>
    </row>
    <row r="251" spans="1:11" x14ac:dyDescent="0.25">
      <c r="A251" s="1"/>
      <c r="B251" s="1"/>
      <c r="C251" s="1"/>
      <c r="D251" s="1"/>
      <c r="E251" s="1"/>
      <c r="F251" s="1"/>
      <c r="G251" s="9"/>
      <c r="H251" s="1"/>
      <c r="I251" s="1"/>
      <c r="J251" s="3"/>
      <c r="K251" s="3"/>
    </row>
    <row r="252" spans="1:11" x14ac:dyDescent="0.25">
      <c r="A252" s="1"/>
      <c r="B252" s="1"/>
      <c r="C252" s="1"/>
      <c r="D252" s="1"/>
      <c r="E252" s="1"/>
      <c r="F252" s="1"/>
      <c r="G252" s="9"/>
      <c r="H252" s="1"/>
      <c r="I252" s="1"/>
      <c r="J252" s="3"/>
      <c r="K252" s="3"/>
    </row>
    <row r="253" spans="1:11" x14ac:dyDescent="0.25">
      <c r="A253" s="1"/>
      <c r="B253" s="1"/>
      <c r="C253" s="1"/>
      <c r="D253" s="1"/>
      <c r="E253" s="1"/>
      <c r="F253" s="1"/>
      <c r="G253" s="9"/>
      <c r="H253" s="1"/>
      <c r="I253" s="1"/>
      <c r="J253" s="3"/>
      <c r="K253" s="3"/>
    </row>
    <row r="254" spans="1:11" x14ac:dyDescent="0.25">
      <c r="A254" s="1"/>
      <c r="B254" s="1"/>
      <c r="C254" s="1"/>
      <c r="D254" s="1"/>
      <c r="E254" s="1"/>
      <c r="F254" s="1"/>
      <c r="G254" s="9"/>
      <c r="H254" s="1"/>
      <c r="I254" s="1"/>
      <c r="J254" s="3"/>
      <c r="K254" s="3"/>
    </row>
    <row r="255" spans="1:11" x14ac:dyDescent="0.25">
      <c r="A255" s="1"/>
      <c r="B255" s="1"/>
      <c r="C255" s="1"/>
      <c r="D255" s="1"/>
      <c r="E255" s="1"/>
      <c r="F255" s="1"/>
      <c r="G255" s="9"/>
      <c r="H255" s="1"/>
      <c r="I255" s="1"/>
      <c r="J255" s="3"/>
      <c r="K255" s="3"/>
    </row>
    <row r="256" spans="1:11" x14ac:dyDescent="0.25">
      <c r="A256" s="1"/>
      <c r="B256" s="1"/>
      <c r="C256" s="1"/>
      <c r="D256" s="1"/>
      <c r="E256" s="1"/>
      <c r="F256" s="1"/>
      <c r="G256" s="9"/>
      <c r="H256" s="1"/>
      <c r="I256" s="1"/>
      <c r="J256" s="3"/>
      <c r="K256" s="3"/>
    </row>
    <row r="257" spans="1:11" x14ac:dyDescent="0.25">
      <c r="A257" s="1"/>
      <c r="B257" s="1"/>
      <c r="C257" s="1"/>
      <c r="D257" s="1"/>
      <c r="E257" s="1"/>
      <c r="F257" s="1"/>
      <c r="G257" s="9"/>
      <c r="H257" s="1"/>
      <c r="I257" s="1"/>
      <c r="J257" s="3"/>
      <c r="K257" s="3"/>
    </row>
    <row r="258" spans="1:11" x14ac:dyDescent="0.25">
      <c r="A258" s="1"/>
      <c r="B258" s="1"/>
      <c r="C258" s="1"/>
      <c r="D258" s="1"/>
      <c r="E258" s="1"/>
      <c r="F258" s="1"/>
      <c r="G258" s="9"/>
      <c r="H258" s="1"/>
      <c r="I258" s="1"/>
      <c r="J258" s="3"/>
      <c r="K258" s="3"/>
    </row>
    <row r="259" spans="1:11" x14ac:dyDescent="0.25">
      <c r="A259" s="1"/>
      <c r="B259" s="1"/>
      <c r="C259" s="1"/>
      <c r="D259" s="1"/>
      <c r="E259" s="1"/>
      <c r="F259" s="1"/>
      <c r="G259" s="9"/>
      <c r="H259" s="1"/>
      <c r="I259" s="1"/>
      <c r="J259" s="3"/>
      <c r="K259" s="3"/>
    </row>
    <row r="260" spans="1:11" x14ac:dyDescent="0.25">
      <c r="A260" s="1"/>
      <c r="B260" s="1"/>
      <c r="C260" s="1"/>
      <c r="D260" s="1"/>
      <c r="E260" s="1"/>
      <c r="F260" s="1"/>
      <c r="G260" s="9"/>
      <c r="H260" s="1"/>
      <c r="I260" s="1"/>
      <c r="J260" s="3"/>
      <c r="K260" s="3"/>
    </row>
    <row r="261" spans="1:11" x14ac:dyDescent="0.25">
      <c r="A261" s="1"/>
      <c r="B261" s="1"/>
      <c r="C261" s="1"/>
      <c r="D261" s="1"/>
      <c r="E261" s="1"/>
      <c r="F261" s="1"/>
      <c r="G261" s="9"/>
      <c r="H261" s="1"/>
      <c r="I261" s="1"/>
      <c r="J261" s="3"/>
      <c r="K261" s="3"/>
    </row>
    <row r="262" spans="1:11" x14ac:dyDescent="0.25">
      <c r="A262" s="1"/>
      <c r="B262" s="1"/>
      <c r="C262" s="1"/>
      <c r="D262" s="1"/>
      <c r="E262" s="1"/>
      <c r="F262" s="1"/>
      <c r="G262" s="9"/>
      <c r="H262" s="1"/>
      <c r="I262" s="1"/>
      <c r="J262" s="3"/>
      <c r="K262" s="3"/>
    </row>
    <row r="263" spans="1:11" x14ac:dyDescent="0.25">
      <c r="A263" s="1"/>
      <c r="B263" s="1"/>
      <c r="C263" s="1"/>
      <c r="D263" s="1"/>
      <c r="E263" s="1"/>
      <c r="F263" s="1"/>
      <c r="G263" s="9"/>
      <c r="H263" s="1"/>
      <c r="I263" s="1"/>
      <c r="J263" s="3"/>
      <c r="K263" s="3"/>
    </row>
    <row r="264" spans="1:11" x14ac:dyDescent="0.25">
      <c r="A264" s="1"/>
      <c r="B264" s="1"/>
      <c r="C264" s="1"/>
      <c r="D264" s="1"/>
      <c r="E264" s="1"/>
      <c r="F264" s="1"/>
      <c r="G264" s="9"/>
      <c r="H264" s="1"/>
      <c r="I264" s="1"/>
      <c r="J264" s="3"/>
      <c r="K264" s="3"/>
    </row>
    <row r="265" spans="1:11" x14ac:dyDescent="0.25">
      <c r="A265" s="1"/>
      <c r="B265" s="1"/>
      <c r="C265" s="1"/>
      <c r="D265" s="1"/>
      <c r="E265" s="1"/>
      <c r="F265" s="1"/>
      <c r="G265" s="9"/>
      <c r="H265" s="1"/>
      <c r="I265" s="1"/>
      <c r="J265" s="3"/>
      <c r="K265" s="3"/>
    </row>
    <row r="266" spans="1:11" x14ac:dyDescent="0.25">
      <c r="A266" s="1"/>
      <c r="B266" s="1"/>
      <c r="C266" s="1"/>
      <c r="D266" s="1"/>
      <c r="E266" s="1"/>
      <c r="F266" s="1"/>
      <c r="G266" s="9"/>
      <c r="H266" s="1"/>
      <c r="I266" s="1"/>
      <c r="J266" s="3"/>
      <c r="K266" s="3"/>
    </row>
    <row r="267" spans="1:11" x14ac:dyDescent="0.25">
      <c r="A267" s="1"/>
      <c r="B267" s="1"/>
      <c r="C267" s="1"/>
      <c r="D267" s="1"/>
      <c r="E267" s="1"/>
      <c r="F267" s="1"/>
      <c r="G267" s="9"/>
      <c r="H267" s="1"/>
      <c r="I267" s="1"/>
      <c r="J267" s="3"/>
      <c r="K267" s="3"/>
    </row>
    <row r="268" spans="1:11" x14ac:dyDescent="0.25">
      <c r="A268" s="1"/>
      <c r="B268" s="1"/>
      <c r="C268" s="1"/>
      <c r="D268" s="1"/>
      <c r="E268" s="1"/>
      <c r="F268" s="1"/>
      <c r="G268" s="9"/>
      <c r="H268" s="1"/>
      <c r="I268" s="1"/>
      <c r="J268" s="3"/>
      <c r="K268" s="3"/>
    </row>
    <row r="269" spans="1:11" x14ac:dyDescent="0.25">
      <c r="A269" s="1"/>
      <c r="B269" s="1"/>
      <c r="C269" s="1"/>
      <c r="D269" s="1"/>
      <c r="E269" s="1"/>
      <c r="F269" s="1"/>
      <c r="G269" s="9"/>
      <c r="H269" s="1"/>
      <c r="I269" s="1"/>
      <c r="J269" s="3"/>
      <c r="K269" s="3"/>
    </row>
    <row r="270" spans="1:11" x14ac:dyDescent="0.25">
      <c r="A270" s="1"/>
      <c r="B270" s="1"/>
      <c r="C270" s="1"/>
      <c r="D270" s="1"/>
      <c r="E270" s="1"/>
      <c r="F270" s="1"/>
      <c r="G270" s="9"/>
      <c r="H270" s="1"/>
      <c r="I270" s="1"/>
      <c r="J270" s="3"/>
      <c r="K270" s="3"/>
    </row>
    <row r="271" spans="1:11" x14ac:dyDescent="0.25">
      <c r="A271" s="1"/>
      <c r="B271" s="1"/>
      <c r="C271" s="1"/>
      <c r="D271" s="1"/>
      <c r="E271" s="1"/>
      <c r="F271" s="1"/>
      <c r="G271" s="9"/>
      <c r="H271" s="1"/>
      <c r="I271" s="1"/>
      <c r="J271" s="3"/>
      <c r="K271" s="3"/>
    </row>
    <row r="272" spans="1:11" x14ac:dyDescent="0.25">
      <c r="A272" s="1"/>
      <c r="B272" s="1"/>
      <c r="C272" s="1"/>
      <c r="D272" s="1"/>
      <c r="E272" s="1"/>
      <c r="F272" s="1"/>
      <c r="G272" s="9"/>
      <c r="H272" s="1"/>
      <c r="I272" s="1"/>
      <c r="J272" s="3"/>
      <c r="K272" s="3"/>
    </row>
    <row r="273" spans="1:11" x14ac:dyDescent="0.25">
      <c r="A273" s="1"/>
      <c r="B273" s="1"/>
      <c r="C273" s="1"/>
      <c r="D273" s="1"/>
      <c r="E273" s="1"/>
      <c r="F273" s="1"/>
      <c r="G273" s="9"/>
      <c r="H273" s="1"/>
      <c r="I273" s="1"/>
      <c r="J273" s="3"/>
      <c r="K273" s="3"/>
    </row>
    <row r="274" spans="1:11" x14ac:dyDescent="0.25">
      <c r="A274" s="1"/>
      <c r="B274" s="1"/>
      <c r="C274" s="1"/>
      <c r="D274" s="1"/>
      <c r="E274" s="1"/>
      <c r="F274" s="1"/>
      <c r="G274" s="9"/>
      <c r="H274" s="1"/>
      <c r="I274" s="1"/>
      <c r="J274" s="3"/>
      <c r="K274" s="3"/>
    </row>
    <row r="275" spans="1:11" x14ac:dyDescent="0.25">
      <c r="A275" s="1"/>
      <c r="B275" s="1"/>
      <c r="C275" s="1"/>
      <c r="D275" s="1"/>
      <c r="E275" s="1"/>
      <c r="F275" s="1"/>
      <c r="G275" s="9"/>
      <c r="H275" s="1"/>
      <c r="I275" s="1"/>
      <c r="J275" s="3"/>
      <c r="K275" s="3"/>
    </row>
    <row r="276" spans="1:11" x14ac:dyDescent="0.25">
      <c r="A276" s="1"/>
      <c r="B276" s="1"/>
      <c r="C276" s="1"/>
      <c r="D276" s="1"/>
      <c r="E276" s="1"/>
      <c r="F276" s="1"/>
      <c r="G276" s="9"/>
      <c r="H276" s="1"/>
      <c r="I276" s="1"/>
      <c r="J276" s="3"/>
      <c r="K276" s="3"/>
    </row>
    <row r="277" spans="1:11" x14ac:dyDescent="0.25">
      <c r="A277" s="1"/>
      <c r="B277" s="1"/>
      <c r="C277" s="1"/>
      <c r="D277" s="1"/>
      <c r="E277" s="1"/>
      <c r="F277" s="1"/>
      <c r="G277" s="9"/>
      <c r="H277" s="1"/>
      <c r="I277" s="1"/>
      <c r="J277" s="3"/>
      <c r="K277" s="3"/>
    </row>
    <row r="278" spans="1:11" x14ac:dyDescent="0.25">
      <c r="A278" s="1"/>
      <c r="B278" s="1"/>
      <c r="C278" s="1"/>
      <c r="D278" s="1"/>
      <c r="E278" s="1"/>
      <c r="F278" s="1"/>
      <c r="G278" s="9"/>
      <c r="H278" s="1"/>
      <c r="I278" s="1"/>
      <c r="J278" s="3"/>
      <c r="K278" s="3"/>
    </row>
    <row r="279" spans="1:11" x14ac:dyDescent="0.25">
      <c r="A279" s="1"/>
      <c r="B279" s="1"/>
      <c r="C279" s="1"/>
      <c r="D279" s="1"/>
      <c r="E279" s="1"/>
      <c r="F279" s="1"/>
      <c r="G279" s="9"/>
      <c r="H279" s="1"/>
      <c r="I279" s="1"/>
      <c r="J279" s="3"/>
      <c r="K279" s="3"/>
    </row>
    <row r="280" spans="1:11" x14ac:dyDescent="0.25">
      <c r="A280" s="1"/>
      <c r="B280" s="1"/>
      <c r="C280" s="1"/>
      <c r="D280" s="1"/>
      <c r="E280" s="1"/>
      <c r="F280" s="1"/>
      <c r="G280" s="9"/>
      <c r="H280" s="1"/>
      <c r="I280" s="1"/>
      <c r="J280" s="3"/>
      <c r="K280" s="3"/>
    </row>
    <row r="281" spans="1:11" x14ac:dyDescent="0.25">
      <c r="A281" s="1"/>
      <c r="B281" s="1"/>
      <c r="C281" s="1"/>
      <c r="D281" s="1"/>
      <c r="E281" s="1"/>
      <c r="F281" s="1"/>
      <c r="G281" s="9"/>
      <c r="H281" s="1"/>
      <c r="I281" s="1"/>
      <c r="J281" s="3"/>
      <c r="K281" s="3"/>
    </row>
    <row r="282" spans="1:11" x14ac:dyDescent="0.25">
      <c r="A282" s="1"/>
      <c r="B282" s="1"/>
      <c r="C282" s="1"/>
      <c r="D282" s="1"/>
      <c r="E282" s="1"/>
      <c r="F282" s="1"/>
      <c r="G282" s="9"/>
      <c r="H282" s="1"/>
      <c r="I282" s="1"/>
      <c r="J282" s="3"/>
      <c r="K282" s="3"/>
    </row>
    <row r="283" spans="1:11" x14ac:dyDescent="0.25">
      <c r="A283" s="1"/>
      <c r="B283" s="1"/>
      <c r="C283" s="1"/>
      <c r="D283" s="1"/>
      <c r="E283" s="1"/>
      <c r="F283" s="1"/>
      <c r="G283" s="9"/>
      <c r="H283" s="1"/>
      <c r="I283" s="1"/>
      <c r="J283" s="3"/>
      <c r="K283" s="3"/>
    </row>
    <row r="284" spans="1:11" x14ac:dyDescent="0.25">
      <c r="A284" s="1"/>
      <c r="B284" s="1"/>
      <c r="C284" s="1"/>
      <c r="D284" s="1"/>
      <c r="E284" s="1"/>
      <c r="F284" s="1"/>
      <c r="G284" s="9"/>
      <c r="H284" s="1"/>
      <c r="I284" s="1"/>
      <c r="J284" s="3"/>
      <c r="K284" s="3"/>
    </row>
    <row r="285" spans="1:11" x14ac:dyDescent="0.25">
      <c r="A285" s="1"/>
      <c r="B285" s="1"/>
      <c r="C285" s="1"/>
      <c r="D285" s="1"/>
      <c r="E285" s="1"/>
      <c r="F285" s="1"/>
      <c r="G285" s="9"/>
      <c r="H285" s="1"/>
      <c r="I285" s="1"/>
      <c r="J285" s="3"/>
      <c r="K285" s="3"/>
    </row>
    <row r="286" spans="1:11" x14ac:dyDescent="0.25">
      <c r="A286" s="1"/>
      <c r="B286" s="1"/>
      <c r="C286" s="1"/>
      <c r="D286" s="1"/>
      <c r="E286" s="1"/>
      <c r="F286" s="1"/>
      <c r="G286" s="9"/>
      <c r="H286" s="1"/>
      <c r="I286" s="1"/>
      <c r="J286" s="3"/>
      <c r="K286" s="3"/>
    </row>
    <row r="287" spans="1:11" x14ac:dyDescent="0.25">
      <c r="A287" s="1"/>
      <c r="B287" s="1"/>
      <c r="C287" s="1"/>
      <c r="D287" s="1"/>
      <c r="E287" s="1"/>
      <c r="F287" s="1"/>
      <c r="G287" s="9"/>
      <c r="H287" s="1"/>
      <c r="I287" s="1"/>
      <c r="J287" s="3"/>
      <c r="K287" s="3"/>
    </row>
    <row r="288" spans="1:11" x14ac:dyDescent="0.25">
      <c r="A288" s="1"/>
      <c r="B288" s="1"/>
      <c r="C288" s="1"/>
      <c r="D288" s="1"/>
      <c r="E288" s="1"/>
      <c r="F288" s="1"/>
      <c r="G288" s="9"/>
      <c r="H288" s="1"/>
      <c r="I288" s="1"/>
      <c r="J288" s="3"/>
      <c r="K288" s="3"/>
    </row>
    <row r="289" spans="1:11" x14ac:dyDescent="0.25">
      <c r="A289" s="1"/>
      <c r="B289" s="1"/>
      <c r="C289" s="1"/>
      <c r="D289" s="1"/>
      <c r="E289" s="1"/>
      <c r="F289" s="1"/>
      <c r="G289" s="9"/>
      <c r="H289" s="1"/>
      <c r="I289" s="1"/>
      <c r="J289" s="3"/>
      <c r="K289" s="3"/>
    </row>
    <row r="290" spans="1:11" x14ac:dyDescent="0.25">
      <c r="A290" s="1"/>
      <c r="B290" s="1"/>
      <c r="C290" s="1"/>
      <c r="D290" s="1"/>
      <c r="E290" s="1"/>
      <c r="F290" s="1"/>
      <c r="G290" s="9"/>
      <c r="H290" s="1"/>
      <c r="I290" s="1"/>
      <c r="J290" s="3"/>
      <c r="K290" s="3"/>
    </row>
    <row r="291" spans="1:11" x14ac:dyDescent="0.25">
      <c r="A291" s="1"/>
      <c r="B291" s="1"/>
      <c r="C291" s="1"/>
      <c r="D291" s="1"/>
      <c r="E291" s="1"/>
      <c r="F291" s="1"/>
      <c r="G291" s="9"/>
      <c r="H291" s="1"/>
      <c r="I291" s="1"/>
      <c r="J291" s="3"/>
      <c r="K291" s="3"/>
    </row>
    <row r="292" spans="1:11" x14ac:dyDescent="0.25">
      <c r="A292" s="1"/>
      <c r="B292" s="1"/>
      <c r="C292" s="1"/>
      <c r="D292" s="1"/>
      <c r="E292" s="1"/>
      <c r="F292" s="1"/>
      <c r="G292" s="9"/>
      <c r="H292" s="1"/>
      <c r="I292" s="1"/>
      <c r="J292" s="3"/>
      <c r="K292" s="3"/>
    </row>
    <row r="293" spans="1:11" x14ac:dyDescent="0.25">
      <c r="A293" s="1"/>
      <c r="B293" s="1"/>
      <c r="C293" s="1"/>
      <c r="D293" s="1"/>
      <c r="E293" s="1"/>
      <c r="F293" s="1"/>
      <c r="G293" s="9"/>
      <c r="H293" s="1"/>
      <c r="I293" s="1"/>
      <c r="J293" s="3"/>
      <c r="K293" s="3"/>
    </row>
    <row r="294" spans="1:11" x14ac:dyDescent="0.25">
      <c r="A294" s="1"/>
      <c r="B294" s="1"/>
      <c r="C294" s="1"/>
      <c r="D294" s="1"/>
      <c r="E294" s="1"/>
      <c r="F294" s="1"/>
      <c r="G294" s="9"/>
      <c r="H294" s="1"/>
      <c r="I294" s="1"/>
      <c r="J294" s="3"/>
      <c r="K294" s="3"/>
    </row>
    <row r="295" spans="1:11" x14ac:dyDescent="0.25">
      <c r="A295" s="1"/>
      <c r="B295" s="1"/>
      <c r="C295" s="1"/>
      <c r="D295" s="1"/>
      <c r="E295" s="1"/>
      <c r="F295" s="1"/>
      <c r="G295" s="9"/>
      <c r="H295" s="1"/>
      <c r="I295" s="1"/>
      <c r="J295" s="3"/>
      <c r="K295" s="3"/>
    </row>
    <row r="296" spans="1:11" x14ac:dyDescent="0.25">
      <c r="A296" s="1"/>
      <c r="B296" s="1"/>
      <c r="C296" s="1"/>
      <c r="D296" s="1"/>
      <c r="E296" s="1"/>
      <c r="F296" s="1"/>
      <c r="G296" s="9"/>
      <c r="H296" s="1"/>
      <c r="I296" s="1"/>
      <c r="J296" s="3"/>
      <c r="K296" s="3"/>
    </row>
    <row r="297" spans="1:11" x14ac:dyDescent="0.25">
      <c r="A297" s="1"/>
      <c r="B297" s="1"/>
      <c r="C297" s="1"/>
      <c r="D297" s="1"/>
      <c r="E297" s="1"/>
      <c r="F297" s="1"/>
      <c r="G297" s="9"/>
      <c r="H297" s="1"/>
      <c r="I297" s="1"/>
      <c r="J297" s="3"/>
      <c r="K297" s="3"/>
    </row>
    <row r="298" spans="1:11" x14ac:dyDescent="0.25">
      <c r="A298" s="1"/>
      <c r="B298" s="1"/>
      <c r="C298" s="1"/>
      <c r="D298" s="1"/>
      <c r="E298" s="1"/>
      <c r="F298" s="1"/>
      <c r="G298" s="9"/>
      <c r="H298" s="1"/>
      <c r="I298" s="1"/>
      <c r="J298" s="3"/>
      <c r="K298" s="3"/>
    </row>
    <row r="299" spans="1:11" x14ac:dyDescent="0.25">
      <c r="A299" s="1"/>
      <c r="B299" s="1"/>
      <c r="C299" s="1"/>
      <c r="D299" s="1"/>
      <c r="E299" s="1"/>
      <c r="F299" s="1"/>
      <c r="G299" s="9"/>
      <c r="H299" s="1"/>
      <c r="I299" s="1"/>
      <c r="J299" s="3"/>
      <c r="K299" s="3"/>
    </row>
    <row r="300" spans="1:11" x14ac:dyDescent="0.25">
      <c r="A300" s="1"/>
      <c r="B300" s="1"/>
      <c r="C300" s="1"/>
      <c r="D300" s="1"/>
      <c r="E300" s="1"/>
      <c r="F300" s="1"/>
      <c r="G300" s="9"/>
      <c r="H300" s="1"/>
      <c r="I300" s="1"/>
      <c r="J300" s="3"/>
      <c r="K300" s="3"/>
    </row>
    <row r="301" spans="1:11" x14ac:dyDescent="0.25">
      <c r="A301" s="1"/>
      <c r="B301" s="1"/>
      <c r="C301" s="1"/>
      <c r="D301" s="1"/>
      <c r="E301" s="1"/>
      <c r="F301" s="1"/>
      <c r="G301" s="9"/>
      <c r="H301" s="1"/>
      <c r="I301" s="1"/>
      <c r="J301" s="3"/>
      <c r="K301" s="3"/>
    </row>
    <row r="302" spans="1:11" x14ac:dyDescent="0.25">
      <c r="A302" s="1"/>
      <c r="B302" s="1"/>
      <c r="C302" s="1"/>
      <c r="D302" s="1"/>
      <c r="E302" s="1"/>
      <c r="F302" s="1"/>
      <c r="G302" s="9"/>
      <c r="H302" s="1"/>
      <c r="I302" s="1"/>
      <c r="J302" s="3"/>
      <c r="K302" s="3"/>
    </row>
    <row r="303" spans="1:11" x14ac:dyDescent="0.25">
      <c r="A303" s="1"/>
      <c r="B303" s="1"/>
      <c r="C303" s="1"/>
      <c r="D303" s="1"/>
      <c r="E303" s="1"/>
      <c r="F303" s="1"/>
      <c r="G303" s="9"/>
      <c r="H303" s="1"/>
      <c r="I303" s="1"/>
      <c r="J303" s="3"/>
      <c r="K303" s="3"/>
    </row>
    <row r="304" spans="1:11" x14ac:dyDescent="0.25">
      <c r="A304" s="1"/>
      <c r="B304" s="1"/>
      <c r="C304" s="1"/>
      <c r="D304" s="1"/>
      <c r="E304" s="1"/>
      <c r="F304" s="1"/>
      <c r="G304" s="9"/>
      <c r="H304" s="1"/>
      <c r="I304" s="1"/>
      <c r="J304" s="3"/>
      <c r="K304" s="3"/>
    </row>
    <row r="305" spans="1:11" x14ac:dyDescent="0.25">
      <c r="A305" s="1"/>
      <c r="B305" s="1"/>
      <c r="C305" s="1"/>
      <c r="D305" s="1"/>
      <c r="E305" s="1"/>
      <c r="F305" s="1"/>
      <c r="G305" s="9"/>
      <c r="H305" s="1"/>
      <c r="I305" s="1"/>
      <c r="J305" s="3"/>
      <c r="K305" s="3"/>
    </row>
    <row r="306" spans="1:11" x14ac:dyDescent="0.25">
      <c r="A306" s="1"/>
      <c r="B306" s="1"/>
      <c r="C306" s="1"/>
      <c r="D306" s="1"/>
      <c r="E306" s="1"/>
      <c r="F306" s="1"/>
      <c r="G306" s="9"/>
      <c r="H306" s="1"/>
      <c r="I306" s="1"/>
      <c r="J306" s="3"/>
      <c r="K306" s="3"/>
    </row>
    <row r="307" spans="1:11" x14ac:dyDescent="0.25">
      <c r="A307" s="1"/>
      <c r="B307" s="1"/>
      <c r="C307" s="1"/>
      <c r="D307" s="1"/>
      <c r="E307" s="1"/>
      <c r="F307" s="1"/>
      <c r="G307" s="9"/>
      <c r="H307" s="1"/>
      <c r="I307" s="1"/>
      <c r="J307" s="3"/>
      <c r="K307" s="3"/>
    </row>
    <row r="308" spans="1:11" x14ac:dyDescent="0.25">
      <c r="A308" s="1"/>
      <c r="B308" s="1"/>
      <c r="C308" s="1"/>
      <c r="D308" s="1"/>
      <c r="E308" s="1"/>
      <c r="F308" s="1"/>
      <c r="G308" s="9"/>
      <c r="H308" s="1"/>
      <c r="I308" s="1"/>
      <c r="J308" s="3"/>
      <c r="K308" s="3"/>
    </row>
    <row r="309" spans="1:11" x14ac:dyDescent="0.25">
      <c r="A309" s="1"/>
      <c r="B309" s="1"/>
      <c r="C309" s="1"/>
      <c r="D309" s="1"/>
      <c r="E309" s="1"/>
      <c r="F309" s="1"/>
      <c r="G309" s="9"/>
      <c r="H309" s="1"/>
      <c r="I309" s="1"/>
      <c r="J309" s="3"/>
      <c r="K309" s="3"/>
    </row>
    <row r="310" spans="1:11" x14ac:dyDescent="0.25">
      <c r="A310" s="1"/>
      <c r="B310" s="1"/>
      <c r="C310" s="1"/>
      <c r="D310" s="1"/>
      <c r="E310" s="1"/>
      <c r="F310" s="1"/>
      <c r="G310" s="9"/>
      <c r="H310" s="1"/>
      <c r="I310" s="1"/>
      <c r="J310" s="3"/>
      <c r="K310" s="3"/>
    </row>
    <row r="311" spans="1:11" x14ac:dyDescent="0.25">
      <c r="A311" s="1"/>
      <c r="B311" s="1"/>
      <c r="C311" s="1"/>
      <c r="D311" s="1"/>
      <c r="E311" s="1"/>
      <c r="F311" s="1"/>
      <c r="G311" s="9"/>
      <c r="H311" s="1"/>
      <c r="I311" s="1"/>
      <c r="J311" s="3"/>
      <c r="K311" s="3"/>
    </row>
    <row r="312" spans="1:11" x14ac:dyDescent="0.25">
      <c r="A312" s="1"/>
      <c r="B312" s="1"/>
      <c r="C312" s="1"/>
      <c r="D312" s="1"/>
      <c r="E312" s="1"/>
      <c r="F312" s="1"/>
      <c r="G312" s="9"/>
      <c r="H312" s="1"/>
      <c r="I312" s="1"/>
      <c r="J312" s="3"/>
      <c r="K312" s="3"/>
    </row>
    <row r="313" spans="1:11" x14ac:dyDescent="0.25">
      <c r="A313" s="1"/>
      <c r="B313" s="1"/>
      <c r="C313" s="1"/>
      <c r="D313" s="1"/>
      <c r="E313" s="1"/>
      <c r="F313" s="1"/>
      <c r="G313" s="9"/>
      <c r="H313" s="1"/>
      <c r="I313" s="1"/>
      <c r="J313" s="3"/>
      <c r="K313" s="3"/>
    </row>
    <row r="314" spans="1:11" x14ac:dyDescent="0.25">
      <c r="A314" s="1"/>
      <c r="B314" s="1"/>
      <c r="C314" s="1"/>
      <c r="D314" s="1"/>
      <c r="E314" s="1"/>
      <c r="F314" s="1"/>
      <c r="G314" s="9"/>
      <c r="H314" s="1"/>
      <c r="I314" s="1"/>
      <c r="J314" s="3"/>
      <c r="K314" s="3"/>
    </row>
    <row r="315" spans="1:11" x14ac:dyDescent="0.25">
      <c r="A315" s="1"/>
      <c r="B315" s="1"/>
      <c r="C315" s="1"/>
      <c r="D315" s="1"/>
      <c r="E315" s="1"/>
      <c r="F315" s="1"/>
      <c r="G315" s="9"/>
      <c r="H315" s="1"/>
      <c r="I315" s="1"/>
      <c r="J315" s="3"/>
      <c r="K315" s="3"/>
    </row>
    <row r="316" spans="1:11" x14ac:dyDescent="0.25">
      <c r="A316" s="1"/>
      <c r="B316" s="1"/>
      <c r="C316" s="1"/>
      <c r="D316" s="1"/>
      <c r="E316" s="1"/>
      <c r="F316" s="1"/>
      <c r="G316" s="9"/>
      <c r="H316" s="1"/>
      <c r="I316" s="1"/>
      <c r="J316" s="3"/>
      <c r="K316" s="3"/>
    </row>
    <row r="317" spans="1:11" x14ac:dyDescent="0.25">
      <c r="A317" s="1"/>
      <c r="B317" s="1"/>
      <c r="C317" s="1"/>
      <c r="D317" s="1"/>
      <c r="E317" s="1"/>
      <c r="F317" s="1"/>
      <c r="G317" s="9"/>
      <c r="H317" s="1"/>
      <c r="I317" s="1"/>
      <c r="J317" s="3"/>
      <c r="K317" s="3"/>
    </row>
    <row r="318" spans="1:11" x14ac:dyDescent="0.25">
      <c r="A318" s="1"/>
      <c r="B318" s="1"/>
      <c r="C318" s="1"/>
      <c r="D318" s="1"/>
      <c r="E318" s="1"/>
      <c r="F318" s="1"/>
      <c r="G318" s="9"/>
      <c r="H318" s="1"/>
      <c r="I318" s="1"/>
      <c r="J318" s="3"/>
      <c r="K318" s="3"/>
    </row>
    <row r="319" spans="1:11" x14ac:dyDescent="0.25">
      <c r="A319" s="1"/>
      <c r="B319" s="1"/>
      <c r="C319" s="1"/>
      <c r="D319" s="1"/>
      <c r="E319" s="1"/>
      <c r="F319" s="1"/>
      <c r="G319" s="9"/>
      <c r="H319" s="1"/>
      <c r="I319" s="1"/>
      <c r="J319" s="3"/>
      <c r="K319" s="3"/>
    </row>
    <row r="320" spans="1:11" x14ac:dyDescent="0.25">
      <c r="A320" s="1"/>
      <c r="B320" s="1"/>
      <c r="C320" s="1"/>
      <c r="D320" s="1"/>
      <c r="E320" s="1"/>
      <c r="F320" s="1"/>
      <c r="G320" s="9"/>
      <c r="H320" s="1"/>
      <c r="I320" s="1"/>
      <c r="J320" s="3"/>
      <c r="K320" s="3"/>
    </row>
    <row r="321" spans="1:11" x14ac:dyDescent="0.25">
      <c r="A321" s="1"/>
      <c r="B321" s="1"/>
      <c r="C321" s="1"/>
      <c r="D321" s="1"/>
      <c r="E321" s="1"/>
      <c r="F321" s="1"/>
      <c r="G321" s="9"/>
      <c r="H321" s="1"/>
      <c r="I321" s="1"/>
      <c r="J321" s="3"/>
      <c r="K321" s="3"/>
    </row>
    <row r="322" spans="1:11" x14ac:dyDescent="0.25">
      <c r="A322" s="1"/>
      <c r="B322" s="1"/>
      <c r="C322" s="1"/>
      <c r="D322" s="1"/>
      <c r="E322" s="1"/>
      <c r="F322" s="1"/>
      <c r="G322" s="9"/>
      <c r="H322" s="1"/>
      <c r="I322" s="1"/>
      <c r="J322" s="3"/>
      <c r="K322" s="3"/>
    </row>
    <row r="323" spans="1:11" x14ac:dyDescent="0.25">
      <c r="A323" s="1"/>
      <c r="B323" s="1"/>
      <c r="C323" s="1"/>
      <c r="D323" s="1"/>
      <c r="E323" s="1"/>
      <c r="F323" s="1"/>
      <c r="G323" s="9"/>
      <c r="H323" s="1"/>
      <c r="I323" s="1"/>
      <c r="J323" s="3"/>
      <c r="K323" s="3"/>
    </row>
    <row r="324" spans="1:11" x14ac:dyDescent="0.25">
      <c r="A324" s="1"/>
      <c r="B324" s="1"/>
      <c r="C324" s="1"/>
      <c r="D324" s="1"/>
      <c r="E324" s="1"/>
      <c r="F324" s="1"/>
      <c r="G324" s="9"/>
      <c r="H324" s="1"/>
      <c r="I324" s="1"/>
      <c r="J324" s="3"/>
      <c r="K324" s="3"/>
    </row>
    <row r="325" spans="1:11" x14ac:dyDescent="0.25">
      <c r="A325" s="1"/>
      <c r="B325" s="1"/>
      <c r="C325" s="1"/>
      <c r="D325" s="1"/>
      <c r="E325" s="1"/>
      <c r="F325" s="1"/>
      <c r="G325" s="9"/>
      <c r="H325" s="1"/>
      <c r="I325" s="1"/>
      <c r="J325" s="3"/>
      <c r="K325" s="3"/>
    </row>
    <row r="326" spans="1:11" x14ac:dyDescent="0.25">
      <c r="A326" s="1"/>
      <c r="B326" s="1"/>
      <c r="C326" s="1"/>
      <c r="D326" s="1"/>
      <c r="E326" s="1"/>
      <c r="F326" s="1"/>
      <c r="G326" s="9"/>
      <c r="H326" s="1"/>
      <c r="I326" s="1"/>
      <c r="J326" s="3"/>
      <c r="K326" s="3"/>
    </row>
    <row r="327" spans="1:11" x14ac:dyDescent="0.25">
      <c r="A327" s="1"/>
      <c r="B327" s="1"/>
      <c r="C327" s="1"/>
      <c r="D327" s="1"/>
      <c r="E327" s="1"/>
      <c r="F327" s="1"/>
      <c r="G327" s="9"/>
      <c r="H327" s="1"/>
      <c r="I327" s="1"/>
      <c r="J327" s="3"/>
      <c r="K327" s="3"/>
    </row>
    <row r="328" spans="1:11" x14ac:dyDescent="0.25">
      <c r="A328" s="1"/>
      <c r="B328" s="1"/>
      <c r="C328" s="1"/>
      <c r="D328" s="1"/>
      <c r="E328" s="1"/>
      <c r="F328" s="1"/>
      <c r="G328" s="9"/>
      <c r="H328" s="1"/>
      <c r="I328" s="1"/>
      <c r="J328" s="3"/>
      <c r="K328" s="3"/>
    </row>
    <row r="329" spans="1:11" x14ac:dyDescent="0.25">
      <c r="A329" s="1"/>
      <c r="B329" s="1"/>
      <c r="C329" s="1"/>
      <c r="D329" s="1"/>
      <c r="E329" s="1"/>
      <c r="F329" s="1"/>
      <c r="G329" s="9"/>
      <c r="H329" s="1"/>
      <c r="I329" s="1"/>
      <c r="J329" s="3"/>
      <c r="K329" s="3"/>
    </row>
    <row r="330" spans="1:11" x14ac:dyDescent="0.25">
      <c r="A330" s="1"/>
      <c r="B330" s="1"/>
      <c r="C330" s="1"/>
      <c r="D330" s="1"/>
      <c r="E330" s="1"/>
      <c r="F330" s="1"/>
      <c r="G330" s="9"/>
      <c r="H330" s="1"/>
      <c r="I330" s="1"/>
      <c r="J330" s="3"/>
      <c r="K330" s="3"/>
    </row>
    <row r="331" spans="1:11" x14ac:dyDescent="0.25">
      <c r="A331" s="1"/>
      <c r="B331" s="1"/>
      <c r="C331" s="1"/>
      <c r="D331" s="1"/>
      <c r="E331" s="1"/>
      <c r="F331" s="1"/>
      <c r="G331" s="9"/>
      <c r="H331" s="1"/>
      <c r="I331" s="1"/>
      <c r="J331" s="3"/>
      <c r="K331" s="3"/>
    </row>
    <row r="332" spans="1:11" x14ac:dyDescent="0.25">
      <c r="A332" s="1"/>
      <c r="B332" s="1"/>
      <c r="C332" s="1"/>
      <c r="D332" s="1"/>
      <c r="E332" s="1"/>
      <c r="F332" s="1"/>
      <c r="G332" s="9"/>
      <c r="H332" s="1"/>
      <c r="I332" s="1"/>
      <c r="J332" s="3"/>
      <c r="K332" s="3"/>
    </row>
    <row r="333" spans="1:11" x14ac:dyDescent="0.25">
      <c r="A333" s="1"/>
      <c r="B333" s="1"/>
      <c r="C333" s="1"/>
      <c r="D333" s="1"/>
      <c r="E333" s="1"/>
      <c r="F333" s="1"/>
      <c r="G333" s="9"/>
      <c r="H333" s="1"/>
      <c r="I333" s="1"/>
      <c r="J333" s="3"/>
      <c r="K333" s="3"/>
    </row>
    <row r="334" spans="1:11" x14ac:dyDescent="0.25">
      <c r="A334" s="1"/>
      <c r="B334" s="1"/>
      <c r="C334" s="1"/>
      <c r="D334" s="1"/>
      <c r="E334" s="1"/>
      <c r="F334" s="1"/>
      <c r="G334" s="9"/>
      <c r="H334" s="1"/>
      <c r="I334" s="1"/>
      <c r="J334" s="3"/>
      <c r="K334" s="3"/>
    </row>
    <row r="335" spans="1:11" x14ac:dyDescent="0.25">
      <c r="A335" s="1"/>
      <c r="B335" s="1"/>
      <c r="C335" s="1"/>
      <c r="D335" s="1"/>
      <c r="E335" s="1"/>
      <c r="F335" s="1"/>
      <c r="G335" s="9"/>
      <c r="H335" s="1"/>
      <c r="I335" s="1"/>
      <c r="J335" s="3"/>
      <c r="K335" s="3"/>
    </row>
    <row r="336" spans="1:11" x14ac:dyDescent="0.25">
      <c r="A336" s="1"/>
      <c r="B336" s="1"/>
      <c r="C336" s="1"/>
      <c r="D336" s="1"/>
      <c r="E336" s="1"/>
      <c r="F336" s="1"/>
      <c r="G336" s="9"/>
      <c r="H336" s="1"/>
      <c r="I336" s="1"/>
      <c r="J336" s="3"/>
      <c r="K336" s="3"/>
    </row>
    <row r="337" spans="1:11" x14ac:dyDescent="0.25">
      <c r="A337" s="1"/>
      <c r="B337" s="1"/>
      <c r="C337" s="1"/>
      <c r="D337" s="1"/>
      <c r="E337" s="1"/>
      <c r="F337" s="1"/>
      <c r="G337" s="9"/>
      <c r="H337" s="1"/>
      <c r="I337" s="1"/>
      <c r="J337" s="3"/>
      <c r="K337" s="3"/>
    </row>
    <row r="338" spans="1:11" x14ac:dyDescent="0.25">
      <c r="A338" s="1"/>
      <c r="B338" s="1"/>
      <c r="C338" s="1"/>
      <c r="D338" s="1"/>
      <c r="E338" s="1"/>
      <c r="F338" s="1"/>
      <c r="G338" s="9"/>
      <c r="H338" s="1"/>
      <c r="I338" s="1"/>
      <c r="J338" s="3"/>
      <c r="K338" s="3"/>
    </row>
    <row r="339" spans="1:11" x14ac:dyDescent="0.25">
      <c r="A339" s="1"/>
      <c r="B339" s="1"/>
      <c r="C339" s="1"/>
      <c r="D339" s="1"/>
      <c r="E339" s="1"/>
      <c r="F339" s="1"/>
      <c r="G339" s="9"/>
      <c r="H339" s="1"/>
      <c r="I339" s="1"/>
      <c r="J339" s="3"/>
      <c r="K339" s="3"/>
    </row>
    <row r="340" spans="1:11" x14ac:dyDescent="0.25">
      <c r="A340" s="1"/>
      <c r="B340" s="1"/>
      <c r="C340" s="1"/>
      <c r="D340" s="1"/>
      <c r="E340" s="1"/>
      <c r="F340" s="1"/>
      <c r="G340" s="9"/>
      <c r="H340" s="1"/>
      <c r="I340" s="1"/>
      <c r="J340" s="3"/>
      <c r="K340" s="3"/>
    </row>
    <row r="341" spans="1:11" x14ac:dyDescent="0.25">
      <c r="A341" s="1"/>
      <c r="B341" s="1"/>
      <c r="C341" s="1"/>
      <c r="D341" s="1"/>
      <c r="E341" s="1"/>
      <c r="F341" s="1"/>
      <c r="G341" s="9"/>
      <c r="H341" s="1"/>
      <c r="I341" s="1"/>
      <c r="J341" s="3"/>
      <c r="K341" s="3"/>
    </row>
    <row r="342" spans="1:11" x14ac:dyDescent="0.25">
      <c r="A342" s="1"/>
      <c r="B342" s="1"/>
      <c r="C342" s="1"/>
      <c r="D342" s="1"/>
      <c r="E342" s="1"/>
      <c r="F342" s="1"/>
      <c r="G342" s="9"/>
      <c r="H342" s="1"/>
      <c r="I342" s="1"/>
      <c r="J342" s="3"/>
      <c r="K342" s="3"/>
    </row>
    <row r="343" spans="1:11" x14ac:dyDescent="0.25">
      <c r="A343" s="1"/>
      <c r="B343" s="1"/>
      <c r="C343" s="1"/>
      <c r="D343" s="1"/>
      <c r="E343" s="1"/>
      <c r="F343" s="1"/>
      <c r="G343" s="9"/>
      <c r="H343" s="1"/>
      <c r="I343" s="1"/>
      <c r="J343" s="3"/>
      <c r="K343" s="3"/>
    </row>
    <row r="344" spans="1:11" x14ac:dyDescent="0.25">
      <c r="A344" s="1"/>
      <c r="B344" s="1"/>
      <c r="C344" s="1"/>
      <c r="D344" s="1"/>
      <c r="E344" s="1"/>
      <c r="F344" s="1"/>
      <c r="G344" s="9"/>
      <c r="H344" s="1"/>
      <c r="I344" s="1"/>
      <c r="J344" s="3"/>
      <c r="K344" s="3"/>
    </row>
    <row r="345" spans="1:11" x14ac:dyDescent="0.25">
      <c r="A345" s="1"/>
      <c r="B345" s="1"/>
      <c r="C345" s="1"/>
      <c r="D345" s="1"/>
      <c r="E345" s="1"/>
      <c r="F345" s="1"/>
      <c r="G345" s="9"/>
      <c r="H345" s="1"/>
      <c r="I345" s="1"/>
      <c r="J345" s="3"/>
      <c r="K345" s="3"/>
    </row>
    <row r="346" spans="1:11" x14ac:dyDescent="0.25">
      <c r="A346" s="1"/>
      <c r="B346" s="1"/>
      <c r="C346" s="1"/>
      <c r="D346" s="1"/>
      <c r="E346" s="1"/>
      <c r="F346" s="1"/>
      <c r="G346" s="9"/>
      <c r="H346" s="1"/>
      <c r="I346" s="1"/>
      <c r="J346" s="3"/>
      <c r="K346" s="3"/>
    </row>
    <row r="347" spans="1:11" x14ac:dyDescent="0.25">
      <c r="A347" s="1"/>
      <c r="B347" s="1"/>
      <c r="C347" s="1"/>
      <c r="D347" s="1"/>
      <c r="E347" s="1"/>
      <c r="F347" s="1"/>
      <c r="G347" s="9"/>
      <c r="H347" s="1"/>
      <c r="I347" s="1"/>
      <c r="J347" s="3"/>
      <c r="K347" s="3"/>
    </row>
    <row r="348" spans="1:11" x14ac:dyDescent="0.25">
      <c r="A348" s="1"/>
      <c r="B348" s="1"/>
      <c r="C348" s="1"/>
      <c r="D348" s="1"/>
      <c r="E348" s="1"/>
      <c r="F348" s="1"/>
      <c r="G348" s="9"/>
      <c r="H348" s="1"/>
      <c r="I348" s="1"/>
      <c r="J348" s="3"/>
      <c r="K348" s="3"/>
    </row>
    <row r="349" spans="1:11" x14ac:dyDescent="0.25">
      <c r="A349" s="1"/>
      <c r="B349" s="1"/>
      <c r="C349" s="1"/>
      <c r="D349" s="1"/>
      <c r="E349" s="1"/>
      <c r="F349" s="1"/>
      <c r="G349" s="9"/>
      <c r="H349" s="1"/>
      <c r="I349" s="1"/>
      <c r="J349" s="3"/>
      <c r="K349" s="3"/>
    </row>
    <row r="350" spans="1:11" x14ac:dyDescent="0.25">
      <c r="A350" s="1"/>
      <c r="B350" s="1"/>
      <c r="C350" s="1"/>
      <c r="D350" s="1"/>
      <c r="E350" s="1"/>
      <c r="F350" s="1"/>
      <c r="G350" s="9"/>
      <c r="H350" s="1"/>
      <c r="I350" s="1"/>
      <c r="J350" s="3"/>
      <c r="K350" s="3"/>
    </row>
    <row r="351" spans="1:11" x14ac:dyDescent="0.25">
      <c r="A351" s="1"/>
      <c r="B351" s="1"/>
      <c r="C351" s="1"/>
      <c r="D351" s="1"/>
      <c r="E351" s="1"/>
      <c r="F351" s="1"/>
      <c r="G351" s="9"/>
      <c r="H351" s="1"/>
      <c r="I351" s="1"/>
      <c r="J351" s="3"/>
      <c r="K351" s="3"/>
    </row>
    <row r="352" spans="1:11" x14ac:dyDescent="0.25">
      <c r="A352" s="1"/>
      <c r="B352" s="1"/>
      <c r="C352" s="1"/>
      <c r="D352" s="1"/>
      <c r="E352" s="1"/>
      <c r="F352" s="1"/>
      <c r="G352" s="9"/>
      <c r="H352" s="1"/>
      <c r="I352" s="1"/>
      <c r="J352" s="3"/>
      <c r="K352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52"/>
  <sheetViews>
    <sheetView topLeftCell="L1" zoomScale="50" zoomScaleNormal="50" workbookViewId="0">
      <selection activeCell="M2" sqref="M2"/>
    </sheetView>
  </sheetViews>
  <sheetFormatPr defaultRowHeight="15" x14ac:dyDescent="0.25"/>
  <cols>
    <col min="1" max="1" width="6.85546875" customWidth="1"/>
    <col min="2" max="2" width="9.140625" customWidth="1"/>
    <col min="3" max="5" width="13.42578125" customWidth="1"/>
    <col min="7" max="7" width="9.140625" style="8"/>
    <col min="11" max="12" width="9.140625" style="2"/>
    <col min="13" max="13" width="9.140625" style="6"/>
    <col min="14" max="14" width="9.140625" style="4"/>
    <col min="15" max="18" width="9.140625" style="5"/>
    <col min="23" max="23" width="9.5703125" customWidth="1"/>
    <col min="28" max="28" width="13.140625" bestFit="1" customWidth="1"/>
  </cols>
  <sheetData>
    <row r="1" spans="1:29" x14ac:dyDescent="0.25">
      <c r="C1">
        <v>0.5</v>
      </c>
      <c r="F1">
        <f>10000*SUM(F160:F171)</f>
        <v>781.16649999999845</v>
      </c>
      <c r="G1" s="8">
        <v>0.2863</v>
      </c>
      <c r="K1">
        <v>0.2863</v>
      </c>
      <c r="M1" s="6">
        <v>0</v>
      </c>
      <c r="O1" s="5">
        <v>0</v>
      </c>
      <c r="AB1">
        <v>-0.5</v>
      </c>
    </row>
    <row r="2" spans="1:29" x14ac:dyDescent="0.25">
      <c r="F2">
        <f>10000*SUM(F161:F172)</f>
        <v>725.16899999999885</v>
      </c>
      <c r="G2" s="8">
        <f>1-$G$1</f>
        <v>0.7137</v>
      </c>
      <c r="M2" s="6">
        <f>0.65*$M$1</f>
        <v>0</v>
      </c>
      <c r="O2" s="5">
        <v>-4.0000000000000001E-3</v>
      </c>
    </row>
    <row r="3" spans="1:29" x14ac:dyDescent="0.25">
      <c r="M3" s="6">
        <f>0.5*$M$1</f>
        <v>0</v>
      </c>
    </row>
    <row r="6" spans="1:29" x14ac:dyDescent="0.25">
      <c r="G6" s="9">
        <f>+IF($H6 &gt; 0,IF(AND($I6&gt;0,$I6&lt;1), $I6, IF(AND($J6&gt;0,$J6&lt;1),$J6,$L6)), $L6)</f>
        <v>0</v>
      </c>
    </row>
    <row r="8" spans="1:29" x14ac:dyDescent="0.25">
      <c r="D8" t="s">
        <v>63</v>
      </c>
      <c r="H8" t="s">
        <v>71</v>
      </c>
    </row>
    <row r="9" spans="1:29" x14ac:dyDescent="0.25">
      <c r="B9" t="s">
        <v>60</v>
      </c>
      <c r="C9" t="s">
        <v>59</v>
      </c>
      <c r="F9" t="s">
        <v>58</v>
      </c>
      <c r="G9" s="8" t="s">
        <v>57</v>
      </c>
      <c r="K9" s="3" t="s">
        <v>61</v>
      </c>
      <c r="L9" s="3" t="s">
        <v>62</v>
      </c>
      <c r="M9" s="6" t="s">
        <v>52</v>
      </c>
      <c r="N9" s="4" t="s">
        <v>53</v>
      </c>
      <c r="O9" s="5" t="s">
        <v>54</v>
      </c>
      <c r="T9" t="s">
        <v>55</v>
      </c>
      <c r="U9" t="s">
        <v>56</v>
      </c>
      <c r="AA9" t="s">
        <v>70</v>
      </c>
      <c r="AB9" t="s">
        <v>69</v>
      </c>
    </row>
    <row r="10" spans="1:29" x14ac:dyDescent="0.25">
      <c r="A10" s="1">
        <v>1851</v>
      </c>
      <c r="B10" s="1">
        <f>+$M10</f>
        <v>-0.219</v>
      </c>
      <c r="C10" s="1">
        <f>($S10*($C$1*$G$2 )+$N10*($G$1/$C$1))</f>
        <v>-3.9067150000000009E-2</v>
      </c>
      <c r="D10" s="1">
        <f>$B10 - (($S10*($E10*$G$2 )+$N10*($G$1/$E10)))</f>
        <v>0</v>
      </c>
      <c r="E10" s="1">
        <f>+$G10</f>
        <v>0.21892528172133932</v>
      </c>
      <c r="F10" s="1">
        <f>+ABS($B10-$C10)</f>
        <v>0.17993284999999998</v>
      </c>
      <c r="G10" s="9">
        <f>+IF($H10 &gt; 0,IF(AND($I10&gt;0,ABS($I10-0.5)&lt;ABS($J10-0.5)), $I10, IF(AND($J10&gt;0,$J10&lt;1),$J10,$L10)), $L10)</f>
        <v>0.21892528172133932</v>
      </c>
      <c r="H10" s="1">
        <f>+$M10*$M10-4*$G$1*$G$2*$N10*$O10</f>
        <v>7.8714647313479991E-2</v>
      </c>
      <c r="I10" s="1">
        <f>+($M10+SQRT($H10))/2/$G$2/$O10</f>
        <v>0.21892528172133932</v>
      </c>
      <c r="J10" s="1">
        <f>+($M10-SQRT($H10))/2/$G$2/$O10</f>
        <v>-1.7765477097773197</v>
      </c>
      <c r="K10" s="3"/>
      <c r="L10" s="3">
        <f>$M10/2/$G$2/$O10</f>
        <v>-0.77881121402799025</v>
      </c>
      <c r="M10" s="6">
        <f>+P10-$M$3</f>
        <v>-0.219</v>
      </c>
      <c r="N10" s="6">
        <f>+Q10-$M$3</f>
        <v>-0.191</v>
      </c>
      <c r="O10" s="6">
        <f t="shared" ref="N10:O10" si="0">+R10-$M$1</f>
        <v>0.19700000000000001</v>
      </c>
      <c r="P10" s="6">
        <v>-0.219</v>
      </c>
      <c r="Q10" s="4">
        <v>-0.191</v>
      </c>
      <c r="R10" s="5">
        <v>0.19700000000000001</v>
      </c>
      <c r="S10">
        <f>+$O10+$O$1</f>
        <v>0.19700000000000001</v>
      </c>
      <c r="T10">
        <f>+$N10/($S10)</f>
        <v>-0.96954314720812185</v>
      </c>
      <c r="U10">
        <f>+$M10/($S10)</f>
        <v>-1.1116751269035532</v>
      </c>
      <c r="V10">
        <f t="shared" ref="V10:V73" si="1">+$G$1+$T10*$G$2-2*$U10</f>
        <v>1.8176873096446697</v>
      </c>
      <c r="X10">
        <v>0.19700000000000001</v>
      </c>
      <c r="Y10">
        <v>0.19550000000000001</v>
      </c>
      <c r="Z10" s="11">
        <f>-2.2979737161E-10*$A10^5 + 0.0000022285768284*$A10^4 - 0.0086436385146*$A10^3 + 16.759480306*$A10^2 - 16244.935412*$A10 + 6297344.9302</f>
        <v>0.67922292370349169</v>
      </c>
      <c r="AA10">
        <f>+$G$2*$N10/$Z10+$G$1*$O10</f>
        <v>-0.14429398145680278</v>
      </c>
      <c r="AB10" s="13">
        <f>+$AC10+$AB$1</f>
        <v>-0.50603151698803661</v>
      </c>
      <c r="AC10" s="13">
        <v>-6.0315169880365898E-3</v>
      </c>
    </row>
    <row r="11" spans="1:29" x14ac:dyDescent="0.25">
      <c r="A11" s="1">
        <v>1852</v>
      </c>
      <c r="B11" s="1">
        <f t="shared" ref="B11:B74" si="2">+$M11</f>
        <v>-0.223</v>
      </c>
      <c r="C11" s="1">
        <f t="shared" ref="C11:C74" si="3">($S11*($C$1*$G$2 )+$N11*($G$1/$C$1))</f>
        <v>-2.314179999999999E-2</v>
      </c>
      <c r="D11" s="1">
        <f t="shared" ref="D11:D74" si="4">$B11 - (($S11*($E11*$G$2 )+$N11*($G$1/$E11)))</f>
        <v>0</v>
      </c>
      <c r="E11" s="1">
        <f t="shared" ref="E11:E74" si="5">+$G11</f>
        <v>0.20600348541141042</v>
      </c>
      <c r="F11" s="1">
        <f t="shared" ref="F11:F74" si="6">+ABS($B11-$C11)</f>
        <v>0.19985820000000001</v>
      </c>
      <c r="G11" s="9">
        <f t="shared" ref="G11:G74" si="7">+IF($H11 &gt; 0,IF(AND($I11&gt;0,ABS($I11-0.5)&lt;ABS($J11-0.5)), $I11, IF(AND($J11&gt;0,$J11&lt;1),$J11,$L11)), $L11)</f>
        <v>0.20600348541141042</v>
      </c>
      <c r="H11" s="1">
        <f t="shared" ref="H11:H74" si="8">+$M11*$M11-4*$G$1*$G$2*$N11*$O11</f>
        <v>8.4808770980800002E-2</v>
      </c>
      <c r="I11" s="1">
        <f t="shared" ref="I11:I74" si="9">+($M11+SQRT($H11))/2/$G$2/$O11</f>
        <v>0.20600348541141042</v>
      </c>
      <c r="J11" s="1">
        <f t="shared" ref="J11:J74" si="10">+($M11-SQRT($H11))/2/$G$2/$O11</f>
        <v>-1.5527975116853689</v>
      </c>
      <c r="K11" s="3"/>
      <c r="L11" s="3">
        <f t="shared" ref="L11:L74" si="11">$M11/2/$G$2/$O11</f>
        <v>-0.67339701313697919</v>
      </c>
      <c r="M11" s="6">
        <f t="shared" ref="M11:M74" si="12">+P11-$M$3</f>
        <v>-0.223</v>
      </c>
      <c r="N11" s="6">
        <f t="shared" ref="N11:N74" si="13">+Q11-$M$3</f>
        <v>-0.185</v>
      </c>
      <c r="O11" s="6">
        <f t="shared" ref="O11:O74" si="14">+R11-$M$1</f>
        <v>0.23200000000000001</v>
      </c>
      <c r="P11" s="6">
        <v>-0.223</v>
      </c>
      <c r="Q11" s="4">
        <v>-0.185</v>
      </c>
      <c r="R11" s="5">
        <v>0.23200000000000001</v>
      </c>
      <c r="S11">
        <f t="shared" ref="S11:S74" si="15">+$O11+$O$1</f>
        <v>0.23200000000000001</v>
      </c>
      <c r="T11">
        <f t="shared" ref="T11:T74" si="16">+$N11/($S11)</f>
        <v>-0.79741379310344818</v>
      </c>
      <c r="U11">
        <f t="shared" ref="U11:U74" si="17">+$M11/($S11)</f>
        <v>-0.96120689655172409</v>
      </c>
      <c r="V11">
        <f t="shared" si="1"/>
        <v>1.6395995689655172</v>
      </c>
      <c r="X11">
        <v>0.23200000000000001</v>
      </c>
      <c r="Y11">
        <v>0.22950000000000001</v>
      </c>
      <c r="Z11" s="11">
        <f t="shared" ref="Z11:Z74" si="18">-2.2979737161E-10*$A11^5 + 0.0000022285768284*$A11^4 - 0.0086436385146*$A11^3 + 16.759480306*$A11^2 - 16244.935412*$A11 + 6297344.9302</f>
        <v>0.65229031909257174</v>
      </c>
      <c r="AA11">
        <f t="shared" ref="AA11:AA74" si="19">+$G$2*$N11/$Z11+$G$1*$O11</f>
        <v>-0.13599517077728013</v>
      </c>
      <c r="AB11" s="13">
        <f t="shared" ref="AB11:AB74" si="20">+$AC11+$AB$1</f>
        <v>-0.51593497734755367</v>
      </c>
      <c r="AC11" s="13">
        <v>-1.5934977347553701E-2</v>
      </c>
    </row>
    <row r="12" spans="1:29" x14ac:dyDescent="0.25">
      <c r="A12" s="1">
        <v>1853</v>
      </c>
      <c r="B12" s="1">
        <f t="shared" si="2"/>
        <v>-0.26800000000000002</v>
      </c>
      <c r="C12" s="1">
        <f t="shared" si="3"/>
        <v>-0.22667014999999999</v>
      </c>
      <c r="D12" s="1">
        <f t="shared" si="4"/>
        <v>0</v>
      </c>
      <c r="E12" s="1">
        <f t="shared" si="5"/>
        <v>0.30111802947140326</v>
      </c>
      <c r="F12" s="1">
        <f t="shared" si="6"/>
        <v>4.1329850000000029E-2</v>
      </c>
      <c r="G12" s="9">
        <f t="shared" si="7"/>
        <v>0.30111802947140326</v>
      </c>
      <c r="H12" s="1">
        <f t="shared" si="8"/>
        <v>2.0921552262040025E-2</v>
      </c>
      <c r="I12" s="1">
        <f t="shared" si="9"/>
        <v>0.30111802947140326</v>
      </c>
      <c r="J12" s="1">
        <f t="shared" si="10"/>
        <v>1.007271923460733</v>
      </c>
      <c r="K12" s="3"/>
      <c r="L12" s="3">
        <f t="shared" si="11"/>
        <v>0.65419497646606817</v>
      </c>
      <c r="M12" s="6">
        <f t="shared" si="12"/>
        <v>-0.26800000000000002</v>
      </c>
      <c r="N12" s="6">
        <f t="shared" si="13"/>
        <v>-0.217</v>
      </c>
      <c r="O12" s="6">
        <f t="shared" si="14"/>
        <v>-0.28699999999999998</v>
      </c>
      <c r="P12" s="6">
        <v>-0.26800000000000002</v>
      </c>
      <c r="Q12" s="4">
        <v>-0.217</v>
      </c>
      <c r="R12" s="5">
        <v>-0.28699999999999998</v>
      </c>
      <c r="S12">
        <f t="shared" si="15"/>
        <v>-0.28699999999999998</v>
      </c>
      <c r="T12">
        <f t="shared" si="16"/>
        <v>0.75609756097560976</v>
      </c>
      <c r="U12">
        <f t="shared" si="17"/>
        <v>0.93379790940766561</v>
      </c>
      <c r="V12">
        <f t="shared" si="1"/>
        <v>-1.0416689895470386</v>
      </c>
      <c r="X12">
        <v>-0.28699999999999998</v>
      </c>
      <c r="Y12">
        <v>-0.27158300000000002</v>
      </c>
      <c r="Z12" s="11">
        <f t="shared" si="18"/>
        <v>0.62756678555160761</v>
      </c>
      <c r="AA12">
        <f t="shared" si="19"/>
        <v>-0.32895123697540979</v>
      </c>
      <c r="AB12" s="13">
        <f t="shared" si="20"/>
        <v>-0.52774993066807852</v>
      </c>
      <c r="AC12" s="13">
        <v>-2.7749930668078501E-2</v>
      </c>
    </row>
    <row r="13" spans="1:29" x14ac:dyDescent="0.25">
      <c r="A13" s="1">
        <v>1854</v>
      </c>
      <c r="B13" s="1">
        <f t="shared" si="2"/>
        <v>-0.24299999999999999</v>
      </c>
      <c r="C13" s="1">
        <f t="shared" si="3"/>
        <v>-8.3979350000000008E-2</v>
      </c>
      <c r="D13" s="1">
        <f t="shared" si="4"/>
        <v>0</v>
      </c>
      <c r="E13" s="1">
        <f t="shared" si="5"/>
        <v>0.2592350394010256</v>
      </c>
      <c r="F13" s="1">
        <f t="shared" si="6"/>
        <v>0.15902064999999999</v>
      </c>
      <c r="G13" s="9">
        <f t="shared" si="7"/>
        <v>0.2592350394010256</v>
      </c>
      <c r="H13" s="1">
        <f t="shared" si="8"/>
        <v>9.155173188707999E-2</v>
      </c>
      <c r="I13" s="1">
        <f t="shared" si="9"/>
        <v>0.2592350394010256</v>
      </c>
      <c r="J13" s="1">
        <f t="shared" si="10"/>
        <v>-2.3740126352905242</v>
      </c>
      <c r="K13" s="3"/>
      <c r="L13" s="3">
        <f t="shared" si="11"/>
        <v>-1.0573887979447494</v>
      </c>
      <c r="M13" s="6">
        <f t="shared" si="12"/>
        <v>-0.24299999999999999</v>
      </c>
      <c r="N13" s="6">
        <f t="shared" si="13"/>
        <v>-0.247</v>
      </c>
      <c r="O13" s="6">
        <f t="shared" si="14"/>
        <v>0.161</v>
      </c>
      <c r="P13" s="6">
        <v>-0.24299999999999999</v>
      </c>
      <c r="Q13" s="4">
        <v>-0.247</v>
      </c>
      <c r="R13" s="5">
        <v>0.161</v>
      </c>
      <c r="S13">
        <f t="shared" si="15"/>
        <v>0.161</v>
      </c>
      <c r="T13">
        <f t="shared" si="16"/>
        <v>-1.5341614906832297</v>
      </c>
      <c r="U13">
        <f t="shared" si="17"/>
        <v>-1.5093167701863353</v>
      </c>
      <c r="V13">
        <f t="shared" si="1"/>
        <v>2.2100024844720494</v>
      </c>
      <c r="X13">
        <v>0.161</v>
      </c>
      <c r="Y13">
        <v>0.128917</v>
      </c>
      <c r="Z13" s="11">
        <f t="shared" si="18"/>
        <v>0.60495648998767138</v>
      </c>
      <c r="AA13">
        <f t="shared" si="19"/>
        <v>-0.2453050037806612</v>
      </c>
      <c r="AB13" s="13">
        <f t="shared" si="20"/>
        <v>-0.49461735296234444</v>
      </c>
      <c r="AC13" s="13">
        <v>5.3826470376555496E-3</v>
      </c>
    </row>
    <row r="14" spans="1:29" x14ac:dyDescent="0.25">
      <c r="A14" s="1">
        <v>1855</v>
      </c>
      <c r="B14" s="1">
        <f t="shared" si="2"/>
        <v>-0.26400000000000001</v>
      </c>
      <c r="C14" s="1">
        <f t="shared" si="3"/>
        <v>-0.19761600000000001</v>
      </c>
      <c r="D14" s="1">
        <f t="shared" si="4"/>
        <v>0</v>
      </c>
      <c r="E14" s="1">
        <f t="shared" si="5"/>
        <v>0.27402887735108322</v>
      </c>
      <c r="F14" s="1">
        <f t="shared" si="6"/>
        <v>6.6383999999999999E-2</v>
      </c>
      <c r="G14" s="9">
        <f t="shared" si="7"/>
        <v>0.27402887735108322</v>
      </c>
      <c r="H14" s="1">
        <f t="shared" si="8"/>
        <v>3.2788680838560014E-2</v>
      </c>
      <c r="I14" s="1">
        <f t="shared" si="9"/>
        <v>0.27402887735108322</v>
      </c>
      <c r="J14" s="1">
        <f t="shared" si="10"/>
        <v>1.4707981071913359</v>
      </c>
      <c r="K14" s="3"/>
      <c r="L14" s="3">
        <f t="shared" si="11"/>
        <v>0.87241349227120957</v>
      </c>
      <c r="M14" s="6">
        <f t="shared" si="12"/>
        <v>-0.26400000000000001</v>
      </c>
      <c r="N14" s="6">
        <f t="shared" si="13"/>
        <v>-0.21299999999999999</v>
      </c>
      <c r="O14" s="6">
        <f t="shared" si="14"/>
        <v>-0.21199999999999999</v>
      </c>
      <c r="P14" s="6">
        <v>-0.26400000000000001</v>
      </c>
      <c r="Q14" s="4">
        <v>-0.21299999999999999</v>
      </c>
      <c r="R14" s="5">
        <v>-0.21199999999999999</v>
      </c>
      <c r="S14">
        <f t="shared" si="15"/>
        <v>-0.21199999999999999</v>
      </c>
      <c r="T14">
        <f t="shared" si="16"/>
        <v>1.0047169811320755</v>
      </c>
      <c r="U14">
        <f t="shared" si="17"/>
        <v>1.2452830188679247</v>
      </c>
      <c r="V14">
        <f t="shared" si="1"/>
        <v>-1.4871995283018871</v>
      </c>
      <c r="X14">
        <v>-0.21199999999999999</v>
      </c>
      <c r="Y14">
        <v>-0.23150000000000001</v>
      </c>
      <c r="Z14" s="11">
        <f t="shared" si="18"/>
        <v>0.58436600212007761</v>
      </c>
      <c r="AA14">
        <f t="shared" si="19"/>
        <v>-0.32083753065386916</v>
      </c>
      <c r="AB14" s="13">
        <f t="shared" si="20"/>
        <v>-0.49258198593832392</v>
      </c>
      <c r="AC14" s="13">
        <v>7.4180140616760702E-3</v>
      </c>
    </row>
    <row r="15" spans="1:29" x14ac:dyDescent="0.25">
      <c r="A15" s="1">
        <v>1856</v>
      </c>
      <c r="B15" s="1">
        <f t="shared" si="2"/>
        <v>-0.35599999999999998</v>
      </c>
      <c r="C15" s="1">
        <f t="shared" si="3"/>
        <v>-0.36006389999999999</v>
      </c>
      <c r="D15" s="1">
        <f t="shared" si="4"/>
        <v>3.9567741206741891E-3</v>
      </c>
      <c r="E15" s="7">
        <f t="shared" si="5"/>
        <v>0.48147589131195684</v>
      </c>
      <c r="F15" s="1">
        <f t="shared" si="6"/>
        <v>4.0639000000000092E-3</v>
      </c>
      <c r="G15" s="9">
        <f t="shared" si="7"/>
        <v>0.48147589131195684</v>
      </c>
      <c r="H15" s="1">
        <f t="shared" si="8"/>
        <v>-2.8172231739200249E-3</v>
      </c>
      <c r="I15" s="1" t="e">
        <f t="shared" si="9"/>
        <v>#NUM!</v>
      </c>
      <c r="J15" s="1" t="e">
        <f t="shared" si="10"/>
        <v>#NUM!</v>
      </c>
      <c r="K15" s="3"/>
      <c r="L15" s="3">
        <f t="shared" si="11"/>
        <v>0.48147589131195684</v>
      </c>
      <c r="M15" s="6">
        <f t="shared" si="12"/>
        <v>-0.35599999999999998</v>
      </c>
      <c r="N15" s="6">
        <f t="shared" si="13"/>
        <v>-0.30599999999999999</v>
      </c>
      <c r="O15" s="6">
        <f t="shared" si="14"/>
        <v>-0.51800000000000002</v>
      </c>
      <c r="P15" s="6">
        <v>-0.35599999999999998</v>
      </c>
      <c r="Q15" s="4">
        <v>-0.30599999999999999</v>
      </c>
      <c r="R15" s="5">
        <v>-0.51800000000000002</v>
      </c>
      <c r="S15">
        <f t="shared" si="15"/>
        <v>-0.51800000000000002</v>
      </c>
      <c r="T15">
        <f t="shared" si="16"/>
        <v>0.59073359073359066</v>
      </c>
      <c r="U15">
        <f t="shared" si="17"/>
        <v>0.68725868725868722</v>
      </c>
      <c r="V15">
        <f t="shared" si="1"/>
        <v>-0.66661081081081086</v>
      </c>
      <c r="X15">
        <v>-0.51800000000000002</v>
      </c>
      <c r="Y15">
        <v>-0.503583</v>
      </c>
      <c r="Z15" s="11">
        <f t="shared" si="18"/>
        <v>0.56570426095277071</v>
      </c>
      <c r="AA15">
        <f t="shared" si="19"/>
        <v>-0.53435705926036936</v>
      </c>
      <c r="AB15" s="13">
        <f t="shared" si="20"/>
        <v>-0.53337075727969319</v>
      </c>
      <c r="AC15" s="13">
        <v>-3.33707572796932E-2</v>
      </c>
    </row>
    <row r="16" spans="1:29" x14ac:dyDescent="0.25">
      <c r="A16" s="1">
        <v>1857</v>
      </c>
      <c r="B16" s="1">
        <f t="shared" si="2"/>
        <v>-0.45400000000000001</v>
      </c>
      <c r="C16" s="1">
        <f t="shared" si="3"/>
        <v>-0.39967169999999996</v>
      </c>
      <c r="D16" s="1">
        <f t="shared" si="4"/>
        <v>0</v>
      </c>
      <c r="E16" s="1">
        <f t="shared" si="5"/>
        <v>0.36056380147567602</v>
      </c>
      <c r="F16" s="1">
        <f t="shared" si="6"/>
        <v>5.4328300000000052E-2</v>
      </c>
      <c r="G16" s="9">
        <f t="shared" si="7"/>
        <v>0.36056380147567602</v>
      </c>
      <c r="H16" s="1">
        <f t="shared" si="8"/>
        <v>5.6078871413200032E-2</v>
      </c>
      <c r="I16" s="1">
        <f t="shared" si="9"/>
        <v>0.36056380147567602</v>
      </c>
      <c r="J16" s="1">
        <f t="shared" si="10"/>
        <v>1.1468334016716633</v>
      </c>
      <c r="K16" s="3"/>
      <c r="L16" s="3">
        <f t="shared" si="11"/>
        <v>0.75369860157366964</v>
      </c>
      <c r="M16" s="6">
        <f t="shared" si="12"/>
        <v>-0.45400000000000001</v>
      </c>
      <c r="N16" s="6">
        <f t="shared" si="13"/>
        <v>-0.435</v>
      </c>
      <c r="O16" s="6">
        <f t="shared" si="14"/>
        <v>-0.42199999999999999</v>
      </c>
      <c r="P16" s="6">
        <v>-0.45400000000000001</v>
      </c>
      <c r="Q16" s="4">
        <v>-0.435</v>
      </c>
      <c r="R16" s="5">
        <v>-0.42199999999999999</v>
      </c>
      <c r="S16">
        <f t="shared" si="15"/>
        <v>-0.42199999999999999</v>
      </c>
      <c r="T16">
        <f t="shared" si="16"/>
        <v>1.0308056872037914</v>
      </c>
      <c r="U16">
        <f t="shared" si="17"/>
        <v>1.075829383886256</v>
      </c>
      <c r="V16">
        <f t="shared" si="1"/>
        <v>-1.1296727488151661</v>
      </c>
      <c r="X16">
        <v>-0.42199999999999999</v>
      </c>
      <c r="Y16">
        <v>-0.41908299999999998</v>
      </c>
      <c r="Z16" s="11">
        <f t="shared" si="18"/>
        <v>0.54888251889497042</v>
      </c>
      <c r="AA16">
        <f t="shared" si="19"/>
        <v>-0.68643963785893558</v>
      </c>
      <c r="AB16" s="13">
        <f t="shared" si="20"/>
        <v>-0.55175893586952685</v>
      </c>
      <c r="AC16" s="13">
        <v>-5.1758935869526797E-2</v>
      </c>
    </row>
    <row r="17" spans="1:29" x14ac:dyDescent="0.25">
      <c r="A17" s="1">
        <v>1858</v>
      </c>
      <c r="B17" s="1">
        <f t="shared" si="2"/>
        <v>-0.46100000000000002</v>
      </c>
      <c r="C17" s="1">
        <f t="shared" si="3"/>
        <v>-0.4306758</v>
      </c>
      <c r="D17" s="1">
        <f t="shared" si="4"/>
        <v>0</v>
      </c>
      <c r="E17" s="1">
        <f t="shared" si="5"/>
        <v>0.40056794134356777</v>
      </c>
      <c r="F17" s="1">
        <f t="shared" si="6"/>
        <v>3.0324200000000023E-2</v>
      </c>
      <c r="G17" s="9">
        <f t="shared" si="7"/>
        <v>0.40056794134356777</v>
      </c>
      <c r="H17" s="1">
        <f t="shared" si="8"/>
        <v>3.480093005440002E-2</v>
      </c>
      <c r="I17" s="1">
        <f t="shared" si="9"/>
        <v>0.40056794134356777</v>
      </c>
      <c r="J17" s="1">
        <f t="shared" si="10"/>
        <v>0.94511885516290095</v>
      </c>
      <c r="K17" s="3"/>
      <c r="L17" s="3">
        <f t="shared" si="11"/>
        <v>0.67284339825323436</v>
      </c>
      <c r="M17" s="6">
        <f t="shared" si="12"/>
        <v>-0.46100000000000002</v>
      </c>
      <c r="N17" s="6">
        <f t="shared" si="13"/>
        <v>-0.45300000000000001</v>
      </c>
      <c r="O17" s="6">
        <f t="shared" si="14"/>
        <v>-0.48</v>
      </c>
      <c r="P17" s="6">
        <v>-0.46100000000000002</v>
      </c>
      <c r="Q17" s="4">
        <v>-0.45300000000000001</v>
      </c>
      <c r="R17" s="5">
        <v>-0.48</v>
      </c>
      <c r="S17">
        <f t="shared" si="15"/>
        <v>-0.48</v>
      </c>
      <c r="T17">
        <f t="shared" si="16"/>
        <v>0.94375000000000009</v>
      </c>
      <c r="U17">
        <f t="shared" si="17"/>
        <v>0.9604166666666667</v>
      </c>
      <c r="V17">
        <f t="shared" si="1"/>
        <v>-0.96097895833333336</v>
      </c>
      <c r="X17">
        <v>-0.48</v>
      </c>
      <c r="Y17">
        <v>-0.47783300000000001</v>
      </c>
      <c r="Z17" s="11">
        <f t="shared" si="18"/>
        <v>0.53381431195884943</v>
      </c>
      <c r="AA17">
        <f t="shared" si="19"/>
        <v>-0.74307673870911672</v>
      </c>
      <c r="AB17" s="13">
        <f t="shared" si="20"/>
        <v>-0.5069596849046244</v>
      </c>
      <c r="AC17" s="13">
        <v>-6.95968490462439E-3</v>
      </c>
    </row>
    <row r="18" spans="1:29" x14ac:dyDescent="0.25">
      <c r="A18" s="1">
        <v>1859</v>
      </c>
      <c r="B18" s="1">
        <f t="shared" si="2"/>
        <v>-0.28199999999999997</v>
      </c>
      <c r="C18" s="1">
        <f t="shared" si="3"/>
        <v>-0.25783005000000003</v>
      </c>
      <c r="D18" s="1">
        <f t="shared" si="4"/>
        <v>0</v>
      </c>
      <c r="E18" s="1">
        <f t="shared" si="5"/>
        <v>0.42203029027535383</v>
      </c>
      <c r="F18" s="1">
        <f t="shared" si="6"/>
        <v>2.416994999999994E-2</v>
      </c>
      <c r="G18" s="9">
        <f t="shared" si="7"/>
        <v>0.42203029027535383</v>
      </c>
      <c r="H18" s="1">
        <f t="shared" si="8"/>
        <v>2.7468300704399984E-2</v>
      </c>
      <c r="I18" s="1">
        <f t="shared" si="9"/>
        <v>0.42203029027535383</v>
      </c>
      <c r="J18" s="1">
        <f t="shared" si="10"/>
        <v>1.6252443298354167</v>
      </c>
      <c r="K18" s="3"/>
      <c r="L18" s="3">
        <f t="shared" si="11"/>
        <v>1.0236373100553851</v>
      </c>
      <c r="M18" s="6">
        <f t="shared" si="12"/>
        <v>-0.28199999999999997</v>
      </c>
      <c r="N18" s="6">
        <f t="shared" si="13"/>
        <v>-0.33</v>
      </c>
      <c r="O18" s="6">
        <f t="shared" si="14"/>
        <v>-0.193</v>
      </c>
      <c r="P18" s="6">
        <v>-0.28199999999999997</v>
      </c>
      <c r="Q18" s="4">
        <v>-0.33</v>
      </c>
      <c r="R18" s="5">
        <v>-0.193</v>
      </c>
      <c r="S18">
        <f t="shared" si="15"/>
        <v>-0.193</v>
      </c>
      <c r="T18">
        <f t="shared" si="16"/>
        <v>1.7098445595854923</v>
      </c>
      <c r="U18">
        <f t="shared" si="17"/>
        <v>1.4611398963730569</v>
      </c>
      <c r="V18">
        <f t="shared" si="1"/>
        <v>-1.4156637305699478</v>
      </c>
      <c r="X18">
        <v>-0.193</v>
      </c>
      <c r="Y18">
        <v>-0.20558299999999999</v>
      </c>
      <c r="Z18" s="11">
        <f t="shared" si="18"/>
        <v>0.52041552681475878</v>
      </c>
      <c r="AA18">
        <f t="shared" si="19"/>
        <v>-0.50781926113090914</v>
      </c>
      <c r="AB18" s="13">
        <f t="shared" si="20"/>
        <v>-0.50055668720888791</v>
      </c>
      <c r="AC18" s="13">
        <v>-5.5668720888794496E-4</v>
      </c>
    </row>
    <row r="19" spans="1:29" x14ac:dyDescent="0.25">
      <c r="A19" s="1">
        <v>1860</v>
      </c>
      <c r="B19" s="1">
        <f t="shared" si="2"/>
        <v>-0.33800000000000002</v>
      </c>
      <c r="C19" s="1">
        <f t="shared" si="3"/>
        <v>-0.35641339999999999</v>
      </c>
      <c r="D19" s="1">
        <f t="shared" si="4"/>
        <v>1.2998425796923063E-2</v>
      </c>
      <c r="E19" s="7">
        <f t="shared" si="5"/>
        <v>0.40271117554489927</v>
      </c>
      <c r="F19" s="1">
        <f t="shared" si="6"/>
        <v>1.8413399999999969E-2</v>
      </c>
      <c r="G19" s="9">
        <f t="shared" si="7"/>
        <v>0.40271117554489927</v>
      </c>
      <c r="H19" s="1">
        <f t="shared" si="8"/>
        <v>-8.7869358387199781E-3</v>
      </c>
      <c r="I19" s="1" t="e">
        <f t="shared" si="9"/>
        <v>#NUM!</v>
      </c>
      <c r="J19" s="1" t="e">
        <f t="shared" si="10"/>
        <v>#NUM!</v>
      </c>
      <c r="K19" s="3"/>
      <c r="L19" s="3">
        <f t="shared" si="11"/>
        <v>0.40271117554489927</v>
      </c>
      <c r="M19" s="6">
        <f t="shared" si="12"/>
        <v>-0.33800000000000002</v>
      </c>
      <c r="N19" s="6">
        <f t="shared" si="13"/>
        <v>-0.25600000000000001</v>
      </c>
      <c r="O19" s="6">
        <f t="shared" si="14"/>
        <v>-0.58799999999999997</v>
      </c>
      <c r="P19" s="6">
        <v>-0.33800000000000002</v>
      </c>
      <c r="Q19" s="4">
        <v>-0.25600000000000001</v>
      </c>
      <c r="R19" s="5">
        <v>-0.58799999999999997</v>
      </c>
      <c r="S19">
        <f t="shared" si="15"/>
        <v>-0.58799999999999997</v>
      </c>
      <c r="T19">
        <f t="shared" si="16"/>
        <v>0.43537414965986398</v>
      </c>
      <c r="U19">
        <f t="shared" si="17"/>
        <v>0.5748299319727892</v>
      </c>
      <c r="V19">
        <f t="shared" si="1"/>
        <v>-0.55263333333333353</v>
      </c>
      <c r="X19">
        <v>-0.58799999999999997</v>
      </c>
      <c r="Y19">
        <v>-0.58391700000000002</v>
      </c>
      <c r="Z19" s="11">
        <f t="shared" si="18"/>
        <v>0.50860422942787409</v>
      </c>
      <c r="AA19">
        <f t="shared" si="19"/>
        <v>-0.52757696125008291</v>
      </c>
      <c r="AB19" s="13">
        <f t="shared" si="20"/>
        <v>-0.56295223459329902</v>
      </c>
      <c r="AC19" s="13">
        <v>-6.2952234593299003E-2</v>
      </c>
    </row>
    <row r="20" spans="1:29" x14ac:dyDescent="0.25">
      <c r="A20" s="1">
        <v>1861</v>
      </c>
      <c r="B20" s="1">
        <f t="shared" si="2"/>
        <v>-0.39100000000000001</v>
      </c>
      <c r="C20" s="1">
        <f t="shared" si="3"/>
        <v>-0.38049370000000005</v>
      </c>
      <c r="D20" s="1">
        <f t="shared" si="4"/>
        <v>0</v>
      </c>
      <c r="E20" s="1">
        <f t="shared" si="5"/>
        <v>0.45103387030540065</v>
      </c>
      <c r="F20" s="1">
        <f t="shared" si="6"/>
        <v>1.0506299999999968E-2</v>
      </c>
      <c r="G20" s="9">
        <f t="shared" si="7"/>
        <v>0.45103387030540065</v>
      </c>
      <c r="H20" s="1">
        <f t="shared" si="8"/>
        <v>1.4856976582720033E-2</v>
      </c>
      <c r="I20" s="1">
        <f t="shared" si="9"/>
        <v>0.45103387030540065</v>
      </c>
      <c r="J20" s="1">
        <f t="shared" si="10"/>
        <v>0.85961023585207919</v>
      </c>
      <c r="K20" s="3"/>
      <c r="L20" s="3">
        <f t="shared" si="11"/>
        <v>0.65532205307873992</v>
      </c>
      <c r="M20" s="6">
        <f t="shared" si="12"/>
        <v>-0.39100000000000001</v>
      </c>
      <c r="N20" s="6">
        <f t="shared" si="13"/>
        <v>-0.40400000000000003</v>
      </c>
      <c r="O20" s="6">
        <f t="shared" si="14"/>
        <v>-0.41799999999999998</v>
      </c>
      <c r="P20" s="6">
        <v>-0.39100000000000001</v>
      </c>
      <c r="Q20" s="4">
        <v>-0.40400000000000003</v>
      </c>
      <c r="R20" s="5">
        <v>-0.41799999999999998</v>
      </c>
      <c r="S20">
        <f t="shared" si="15"/>
        <v>-0.41799999999999998</v>
      </c>
      <c r="T20">
        <f t="shared" si="16"/>
        <v>0.96650717703349287</v>
      </c>
      <c r="U20">
        <f t="shared" si="17"/>
        <v>0.93540669856459335</v>
      </c>
      <c r="V20">
        <f t="shared" si="1"/>
        <v>-0.89471722488038286</v>
      </c>
      <c r="X20">
        <v>-0.41799999999999998</v>
      </c>
      <c r="Y20">
        <v>-0.42758299999999999</v>
      </c>
      <c r="Z20" s="11">
        <f t="shared" si="18"/>
        <v>0.49830075446516275</v>
      </c>
      <c r="AA20">
        <f t="shared" si="19"/>
        <v>-0.6983094895830394</v>
      </c>
      <c r="AB20" s="13">
        <f t="shared" si="20"/>
        <v>-0.54326489648126097</v>
      </c>
      <c r="AC20" s="13">
        <v>-4.3264896481261E-2</v>
      </c>
    </row>
    <row r="21" spans="1:29" x14ac:dyDescent="0.25">
      <c r="A21" s="1">
        <v>1862</v>
      </c>
      <c r="B21" s="1">
        <f t="shared" si="2"/>
        <v>-0.503</v>
      </c>
      <c r="C21" s="1">
        <f t="shared" si="3"/>
        <v>-0.46755690000000005</v>
      </c>
      <c r="D21" s="1">
        <f t="shared" si="4"/>
        <v>0</v>
      </c>
      <c r="E21" s="1">
        <f t="shared" si="5"/>
        <v>0.33170103283398839</v>
      </c>
      <c r="F21" s="1">
        <f t="shared" si="6"/>
        <v>3.544309999999995E-2</v>
      </c>
      <c r="G21" s="9">
        <f t="shared" si="7"/>
        <v>0.33170103283398839</v>
      </c>
      <c r="H21" s="1">
        <f t="shared" si="8"/>
        <v>3.4512374270799978E-2</v>
      </c>
      <c r="I21" s="1">
        <f t="shared" si="9"/>
        <v>0.33170103283398839</v>
      </c>
      <c r="J21" s="1">
        <f t="shared" si="10"/>
        <v>0.720206307304328</v>
      </c>
      <c r="K21" s="3"/>
      <c r="L21" s="3">
        <f t="shared" si="11"/>
        <v>0.52595367006915816</v>
      </c>
      <c r="M21" s="6">
        <f t="shared" si="12"/>
        <v>-0.503</v>
      </c>
      <c r="N21" s="6">
        <f t="shared" si="13"/>
        <v>-0.39900000000000002</v>
      </c>
      <c r="O21" s="6">
        <f t="shared" si="14"/>
        <v>-0.67</v>
      </c>
      <c r="P21" s="6">
        <v>-0.503</v>
      </c>
      <c r="Q21" s="4">
        <v>-0.39900000000000002</v>
      </c>
      <c r="R21" s="5">
        <v>-0.67</v>
      </c>
      <c r="S21">
        <f t="shared" si="15"/>
        <v>-0.67</v>
      </c>
      <c r="T21">
        <f t="shared" si="16"/>
        <v>0.59552238805970148</v>
      </c>
      <c r="U21">
        <f t="shared" si="17"/>
        <v>0.75074626865671634</v>
      </c>
      <c r="V21">
        <f t="shared" si="1"/>
        <v>-0.79016820895522377</v>
      </c>
      <c r="X21">
        <v>-0.67</v>
      </c>
      <c r="Y21">
        <v>-0.66333299999999995</v>
      </c>
      <c r="Z21" s="11">
        <f t="shared" si="18"/>
        <v>0.48942758608609438</v>
      </c>
      <c r="AA21">
        <f t="shared" si="19"/>
        <v>-0.77365640955925452</v>
      </c>
      <c r="AB21" s="13">
        <f t="shared" si="20"/>
        <v>-0.59404690608130206</v>
      </c>
      <c r="AC21" s="13">
        <v>-9.4046906081302006E-2</v>
      </c>
    </row>
    <row r="22" spans="1:29" x14ac:dyDescent="0.25">
      <c r="A22" s="1">
        <v>1863</v>
      </c>
      <c r="B22" s="1">
        <f t="shared" si="2"/>
        <v>-0.27500000000000002</v>
      </c>
      <c r="C22" s="1">
        <f t="shared" si="3"/>
        <v>-0.2699375</v>
      </c>
      <c r="D22" s="1">
        <f t="shared" si="4"/>
        <v>0</v>
      </c>
      <c r="E22" s="1">
        <f t="shared" si="5"/>
        <v>0.48282013195688367</v>
      </c>
      <c r="F22" s="1">
        <f t="shared" si="6"/>
        <v>5.0625000000000253E-3</v>
      </c>
      <c r="G22" s="9">
        <f t="shared" si="7"/>
        <v>0.48282013195688367</v>
      </c>
      <c r="H22" s="1">
        <f t="shared" si="8"/>
        <v>2.2371096038560016E-2</v>
      </c>
      <c r="I22" s="1">
        <f t="shared" si="9"/>
        <v>0.48282013195688367</v>
      </c>
      <c r="J22" s="1">
        <f t="shared" si="10"/>
        <v>1.6343005223642753</v>
      </c>
      <c r="K22" s="3"/>
      <c r="L22" s="3">
        <f t="shared" si="11"/>
        <v>1.0585603271605795</v>
      </c>
      <c r="M22" s="6">
        <f t="shared" si="12"/>
        <v>-0.27500000000000002</v>
      </c>
      <c r="N22" s="6">
        <f t="shared" si="13"/>
        <v>-0.35799999999999998</v>
      </c>
      <c r="O22" s="6">
        <f t="shared" si="14"/>
        <v>-0.182</v>
      </c>
      <c r="P22" s="6">
        <v>-0.27500000000000002</v>
      </c>
      <c r="Q22" s="4">
        <v>-0.35799999999999998</v>
      </c>
      <c r="R22" s="5">
        <v>-0.182</v>
      </c>
      <c r="S22">
        <f t="shared" si="15"/>
        <v>-0.182</v>
      </c>
      <c r="T22">
        <f t="shared" si="16"/>
        <v>1.9670329670329669</v>
      </c>
      <c r="U22">
        <f t="shared" si="17"/>
        <v>1.5109890109890112</v>
      </c>
      <c r="V22">
        <f t="shared" si="1"/>
        <v>-1.3318065934065939</v>
      </c>
      <c r="X22">
        <v>-0.182</v>
      </c>
      <c r="Y22">
        <v>-0.192167</v>
      </c>
      <c r="Z22" s="11">
        <f t="shared" si="18"/>
        <v>0.48190940264612436</v>
      </c>
      <c r="AA22">
        <f t="shared" si="19"/>
        <v>-0.58229878674100466</v>
      </c>
      <c r="AB22" s="13">
        <f t="shared" si="20"/>
        <v>-0.49633715288056862</v>
      </c>
      <c r="AC22" s="13">
        <v>3.6628471194314E-3</v>
      </c>
    </row>
    <row r="23" spans="1:29" x14ac:dyDescent="0.25">
      <c r="A23" s="1">
        <v>1864</v>
      </c>
      <c r="B23" s="1">
        <f t="shared" si="2"/>
        <v>-0.47799999999999998</v>
      </c>
      <c r="C23" s="1">
        <f t="shared" si="3"/>
        <v>-0.47632065000000001</v>
      </c>
      <c r="D23" s="1">
        <f t="shared" si="4"/>
        <v>0</v>
      </c>
      <c r="E23" s="7">
        <f t="shared" si="5"/>
        <v>0.52156995769844927</v>
      </c>
      <c r="F23" s="1">
        <f t="shared" si="6"/>
        <v>1.6793499999999684E-3</v>
      </c>
      <c r="G23" s="9">
        <f t="shared" si="7"/>
        <v>0.52156995769844927</v>
      </c>
      <c r="H23" s="1">
        <f t="shared" si="8"/>
        <v>2.4842918475999898E-3</v>
      </c>
      <c r="I23" s="1">
        <f t="shared" si="9"/>
        <v>0.42306924447271888</v>
      </c>
      <c r="J23" s="1">
        <f t="shared" si="10"/>
        <v>0.52156995769844927</v>
      </c>
      <c r="K23" s="3"/>
      <c r="L23" s="3">
        <f t="shared" si="11"/>
        <v>0.47231960108558407</v>
      </c>
      <c r="M23" s="6">
        <f t="shared" si="12"/>
        <v>-0.47799999999999998</v>
      </c>
      <c r="N23" s="6">
        <f t="shared" si="13"/>
        <v>-0.39</v>
      </c>
      <c r="O23" s="6">
        <f t="shared" si="14"/>
        <v>-0.70899999999999996</v>
      </c>
      <c r="P23" s="6">
        <v>-0.47799999999999998</v>
      </c>
      <c r="Q23" s="4">
        <v>-0.39</v>
      </c>
      <c r="R23" s="5">
        <v>-0.70899999999999996</v>
      </c>
      <c r="S23">
        <f t="shared" si="15"/>
        <v>-0.70899999999999996</v>
      </c>
      <c r="T23">
        <f t="shared" si="16"/>
        <v>0.55007052186177718</v>
      </c>
      <c r="U23">
        <f t="shared" si="17"/>
        <v>0.67418899858956283</v>
      </c>
      <c r="V23">
        <f t="shared" si="1"/>
        <v>-0.66949266572637534</v>
      </c>
      <c r="X23">
        <v>-0.70899999999999996</v>
      </c>
      <c r="Y23">
        <v>-0.69433299999999998</v>
      </c>
      <c r="Z23" s="11">
        <f t="shared" si="18"/>
        <v>0.47567305434495211</v>
      </c>
      <c r="AA23">
        <f t="shared" si="19"/>
        <v>-0.7881428223775967</v>
      </c>
      <c r="AB23" s="13">
        <f t="shared" si="20"/>
        <v>-0.52905049571307772</v>
      </c>
      <c r="AC23" s="13">
        <v>-2.90504957130777E-2</v>
      </c>
    </row>
    <row r="24" spans="1:29" x14ac:dyDescent="0.25">
      <c r="A24" s="1">
        <v>1865</v>
      </c>
      <c r="B24" s="1">
        <f t="shared" si="2"/>
        <v>-0.27</v>
      </c>
      <c r="C24" s="1">
        <f t="shared" si="3"/>
        <v>-0.2657407</v>
      </c>
      <c r="D24" s="1">
        <f t="shared" si="4"/>
        <v>0</v>
      </c>
      <c r="E24" s="1">
        <f t="shared" si="5"/>
        <v>0.42497112847560814</v>
      </c>
      <c r="F24" s="1">
        <f t="shared" si="6"/>
        <v>4.2593000000000214E-3</v>
      </c>
      <c r="G24" s="9">
        <f t="shared" si="7"/>
        <v>0.42497112847560814</v>
      </c>
      <c r="H24" s="1">
        <f t="shared" si="8"/>
        <v>2.3023695657600207E-3</v>
      </c>
      <c r="I24" s="1">
        <f t="shared" si="9"/>
        <v>0.42497112847560814</v>
      </c>
      <c r="J24" s="1">
        <f t="shared" si="10"/>
        <v>0.60866333703200992</v>
      </c>
      <c r="K24" s="3"/>
      <c r="L24" s="3">
        <f t="shared" si="11"/>
        <v>0.51681723275380897</v>
      </c>
      <c r="M24" s="6">
        <f t="shared" si="12"/>
        <v>-0.27</v>
      </c>
      <c r="N24" s="6">
        <f t="shared" si="13"/>
        <v>-0.23599999999999999</v>
      </c>
      <c r="O24" s="6">
        <f t="shared" si="14"/>
        <v>-0.36599999999999999</v>
      </c>
      <c r="P24" s="6">
        <v>-0.27</v>
      </c>
      <c r="Q24" s="4">
        <v>-0.23599999999999999</v>
      </c>
      <c r="R24" s="5">
        <v>-0.36599999999999999</v>
      </c>
      <c r="S24">
        <f t="shared" si="15"/>
        <v>-0.36599999999999999</v>
      </c>
      <c r="T24">
        <f t="shared" si="16"/>
        <v>0.64480874316939885</v>
      </c>
      <c r="U24">
        <f t="shared" si="17"/>
        <v>0.73770491803278693</v>
      </c>
      <c r="V24">
        <f t="shared" si="1"/>
        <v>-0.72890983606557391</v>
      </c>
      <c r="X24">
        <v>-0.36599999999999999</v>
      </c>
      <c r="Y24">
        <v>-0.37524999999999997</v>
      </c>
      <c r="Z24" s="11">
        <f t="shared" si="18"/>
        <v>0.47064743656665087</v>
      </c>
      <c r="AA24">
        <f t="shared" si="19"/>
        <v>-0.46266132829079798</v>
      </c>
      <c r="AB24" s="13">
        <f t="shared" si="20"/>
        <v>-0.50239393801633614</v>
      </c>
      <c r="AC24" s="13">
        <v>-2.3939380163361399E-3</v>
      </c>
    </row>
    <row r="25" spans="1:29" x14ac:dyDescent="0.25">
      <c r="A25" s="1">
        <v>1866</v>
      </c>
      <c r="B25" s="1">
        <f t="shared" si="2"/>
        <v>-0.24099999999999999</v>
      </c>
      <c r="C25" s="1">
        <f t="shared" si="3"/>
        <v>-0.24536745000000001</v>
      </c>
      <c r="D25" s="1">
        <f t="shared" si="4"/>
        <v>4.3987603764315542E-3</v>
      </c>
      <c r="E25" s="7">
        <f t="shared" si="5"/>
        <v>0.49512741210255745</v>
      </c>
      <c r="F25" s="1">
        <f t="shared" si="6"/>
        <v>4.3674500000000227E-3</v>
      </c>
      <c r="G25" s="9">
        <f t="shared" si="7"/>
        <v>0.49512741210255745</v>
      </c>
      <c r="H25" s="1">
        <f t="shared" si="8"/>
        <v>-2.1202025014400092E-3</v>
      </c>
      <c r="I25" s="1" t="e">
        <f t="shared" si="9"/>
        <v>#NUM!</v>
      </c>
      <c r="J25" s="1" t="e">
        <f t="shared" si="10"/>
        <v>#NUM!</v>
      </c>
      <c r="K25" s="3"/>
      <c r="L25" s="3">
        <f t="shared" si="11"/>
        <v>0.49512741210255745</v>
      </c>
      <c r="M25" s="6">
        <f t="shared" si="12"/>
        <v>-0.24099999999999999</v>
      </c>
      <c r="N25" s="6">
        <f t="shared" si="13"/>
        <v>-0.216</v>
      </c>
      <c r="O25" s="6">
        <f t="shared" si="14"/>
        <v>-0.34100000000000003</v>
      </c>
      <c r="P25" s="6">
        <v>-0.24099999999999999</v>
      </c>
      <c r="Q25" s="4">
        <v>-0.216</v>
      </c>
      <c r="R25" s="5">
        <v>-0.34100000000000003</v>
      </c>
      <c r="S25">
        <f t="shared" si="15"/>
        <v>-0.34100000000000003</v>
      </c>
      <c r="T25">
        <f t="shared" si="16"/>
        <v>0.63343108504398826</v>
      </c>
      <c r="U25">
        <f t="shared" si="17"/>
        <v>0.70674486803519054</v>
      </c>
      <c r="V25">
        <f t="shared" si="1"/>
        <v>-0.67510997067448664</v>
      </c>
      <c r="X25">
        <v>-0.34100000000000003</v>
      </c>
      <c r="Y25">
        <v>-0.34875</v>
      </c>
      <c r="Z25" s="11">
        <f t="shared" si="18"/>
        <v>0.46676357928663492</v>
      </c>
      <c r="AA25">
        <f t="shared" si="19"/>
        <v>-0.42790085518865656</v>
      </c>
      <c r="AB25" s="13">
        <f t="shared" si="20"/>
        <v>-0.49607541316655412</v>
      </c>
      <c r="AC25" s="13">
        <v>3.9245868334458903E-3</v>
      </c>
    </row>
    <row r="26" spans="1:29" x14ac:dyDescent="0.25">
      <c r="A26" s="1">
        <v>1867</v>
      </c>
      <c r="B26" s="1">
        <f t="shared" si="2"/>
        <v>-0.308</v>
      </c>
      <c r="C26" s="1">
        <f t="shared" si="3"/>
        <v>-0.31145935000000002</v>
      </c>
      <c r="D26" s="1">
        <f t="shared" si="4"/>
        <v>0</v>
      </c>
      <c r="E26" s="1">
        <f t="shared" si="5"/>
        <v>0.46743116871054075</v>
      </c>
      <c r="F26" s="1">
        <f t="shared" si="6"/>
        <v>3.4593500000000277E-3</v>
      </c>
      <c r="G26" s="9">
        <f t="shared" si="7"/>
        <v>0.46743116871054075</v>
      </c>
      <c r="H26" s="1">
        <f t="shared" si="8"/>
        <v>1.6770240306400036E-3</v>
      </c>
      <c r="I26" s="1">
        <f t="shared" si="9"/>
        <v>0.35771964233501374</v>
      </c>
      <c r="J26" s="1">
        <f t="shared" si="10"/>
        <v>0.46743116871054075</v>
      </c>
      <c r="K26" s="3"/>
      <c r="L26" s="3">
        <f t="shared" si="11"/>
        <v>0.41257540552277722</v>
      </c>
      <c r="M26" s="6">
        <f t="shared" si="12"/>
        <v>-0.308</v>
      </c>
      <c r="N26" s="6">
        <f t="shared" si="13"/>
        <v>-0.218</v>
      </c>
      <c r="O26" s="6">
        <f t="shared" si="14"/>
        <v>-0.52300000000000002</v>
      </c>
      <c r="P26" s="6">
        <v>-0.308</v>
      </c>
      <c r="Q26" s="4">
        <v>-0.218</v>
      </c>
      <c r="R26" s="5">
        <v>-0.52300000000000002</v>
      </c>
      <c r="S26">
        <f t="shared" si="15"/>
        <v>-0.52300000000000002</v>
      </c>
      <c r="T26">
        <f t="shared" si="16"/>
        <v>0.41682600382409174</v>
      </c>
      <c r="U26">
        <f t="shared" si="17"/>
        <v>0.58891013384321222</v>
      </c>
      <c r="V26">
        <f t="shared" si="1"/>
        <v>-0.59403154875717012</v>
      </c>
      <c r="X26">
        <v>-0.52300000000000002</v>
      </c>
      <c r="Y26">
        <v>-0.51741700000000002</v>
      </c>
      <c r="Z26" s="11">
        <f t="shared" si="18"/>
        <v>0.4639545576646924</v>
      </c>
      <c r="AA26">
        <f t="shared" si="19"/>
        <v>-0.48508369101768622</v>
      </c>
      <c r="AB26" s="13">
        <f t="shared" si="20"/>
        <v>-0.47849527426009369</v>
      </c>
      <c r="AC26" s="13">
        <v>2.1504725739906298E-2</v>
      </c>
    </row>
    <row r="27" spans="1:29" x14ac:dyDescent="0.25">
      <c r="A27" s="1">
        <v>1868</v>
      </c>
      <c r="B27" s="1">
        <f t="shared" si="2"/>
        <v>-0.23</v>
      </c>
      <c r="C27" s="1">
        <f t="shared" si="3"/>
        <v>-0.24437975000000001</v>
      </c>
      <c r="D27" s="1">
        <f t="shared" si="4"/>
        <v>1.4566229369652212E-2</v>
      </c>
      <c r="E27" s="7">
        <f t="shared" si="5"/>
        <v>0.49275880227903085</v>
      </c>
      <c r="F27" s="1">
        <f t="shared" si="6"/>
        <v>1.4379749999999997E-2</v>
      </c>
      <c r="G27" s="9">
        <f t="shared" si="7"/>
        <v>0.49275880227903085</v>
      </c>
      <c r="H27" s="1">
        <f t="shared" si="8"/>
        <v>-6.700465510039999E-3</v>
      </c>
      <c r="I27" s="1" t="e">
        <f t="shared" si="9"/>
        <v>#NUM!</v>
      </c>
      <c r="J27" s="1" t="e">
        <f t="shared" si="10"/>
        <v>#NUM!</v>
      </c>
      <c r="K27" s="3"/>
      <c r="L27" s="3">
        <f t="shared" si="11"/>
        <v>0.49275880227903085</v>
      </c>
      <c r="M27" s="6">
        <f t="shared" si="12"/>
        <v>-0.23</v>
      </c>
      <c r="N27" s="6">
        <f t="shared" si="13"/>
        <v>-0.223</v>
      </c>
      <c r="O27" s="6">
        <f t="shared" si="14"/>
        <v>-0.32700000000000001</v>
      </c>
      <c r="P27" s="6">
        <v>-0.23</v>
      </c>
      <c r="Q27" s="4">
        <v>-0.223</v>
      </c>
      <c r="R27" s="5">
        <v>-0.32700000000000001</v>
      </c>
      <c r="S27">
        <f t="shared" si="15"/>
        <v>-0.32700000000000001</v>
      </c>
      <c r="T27">
        <f t="shared" si="16"/>
        <v>0.68195718654434245</v>
      </c>
      <c r="U27">
        <f t="shared" si="17"/>
        <v>0.70336391437308865</v>
      </c>
      <c r="V27">
        <f t="shared" si="1"/>
        <v>-0.63371498470948007</v>
      </c>
      <c r="X27">
        <v>-0.32700000000000001</v>
      </c>
      <c r="Y27">
        <v>-0.33116699999999999</v>
      </c>
      <c r="Z27" s="11">
        <f t="shared" si="18"/>
        <v>0.46215544734150171</v>
      </c>
      <c r="AA27">
        <f t="shared" si="19"/>
        <v>-0.43799578769452391</v>
      </c>
      <c r="AB27" s="13">
        <f t="shared" si="20"/>
        <v>-0.49927560860419673</v>
      </c>
      <c r="AC27" s="13">
        <v>7.2439139580328198E-4</v>
      </c>
    </row>
    <row r="28" spans="1:29" x14ac:dyDescent="0.25">
      <c r="A28" s="1">
        <v>1869</v>
      </c>
      <c r="B28" s="1">
        <f t="shared" si="2"/>
        <v>-0.25900000000000001</v>
      </c>
      <c r="C28" s="1">
        <f t="shared" si="3"/>
        <v>-0.25422139999999999</v>
      </c>
      <c r="D28" s="1">
        <f t="shared" si="4"/>
        <v>0</v>
      </c>
      <c r="E28" s="7">
        <f t="shared" si="5"/>
        <v>0.45952686285735184</v>
      </c>
      <c r="F28" s="1">
        <f t="shared" si="6"/>
        <v>4.7786000000000217E-3</v>
      </c>
      <c r="G28" s="9">
        <f t="shared" si="7"/>
        <v>0.45952686285735184</v>
      </c>
      <c r="H28" s="1">
        <f t="shared" si="8"/>
        <v>4.5520438230400029E-3</v>
      </c>
      <c r="I28" s="1">
        <f t="shared" si="9"/>
        <v>0.45952686285735184</v>
      </c>
      <c r="J28" s="1">
        <f t="shared" si="10"/>
        <v>0.78327305499309385</v>
      </c>
      <c r="K28" s="3"/>
      <c r="L28" s="3">
        <f t="shared" si="11"/>
        <v>0.62139995892522293</v>
      </c>
      <c r="M28" s="6">
        <f t="shared" si="12"/>
        <v>-0.25900000000000001</v>
      </c>
      <c r="N28" s="6">
        <f t="shared" si="13"/>
        <v>-0.26200000000000001</v>
      </c>
      <c r="O28" s="6">
        <f t="shared" si="14"/>
        <v>-0.29199999999999998</v>
      </c>
      <c r="P28" s="6">
        <v>-0.25900000000000001</v>
      </c>
      <c r="Q28" s="4">
        <v>-0.26200000000000001</v>
      </c>
      <c r="R28" s="5">
        <v>-0.29199999999999998</v>
      </c>
      <c r="S28">
        <f t="shared" si="15"/>
        <v>-0.29199999999999998</v>
      </c>
      <c r="T28">
        <f t="shared" si="16"/>
        <v>0.89726027397260288</v>
      </c>
      <c r="U28">
        <f t="shared" si="17"/>
        <v>0.88698630136986312</v>
      </c>
      <c r="V28">
        <f t="shared" si="1"/>
        <v>-0.84729794520547952</v>
      </c>
      <c r="X28">
        <v>-0.29199999999999998</v>
      </c>
      <c r="Y28">
        <v>-0.30425000000000002</v>
      </c>
      <c r="Z28" s="11">
        <f t="shared" si="18"/>
        <v>0.46130338776856661</v>
      </c>
      <c r="AA28">
        <f t="shared" si="19"/>
        <v>-0.48894975557659759</v>
      </c>
      <c r="AB28" s="13">
        <f t="shared" si="20"/>
        <v>-0.47431898675828033</v>
      </c>
      <c r="AC28" s="13">
        <v>2.5681013241719699E-2</v>
      </c>
    </row>
    <row r="29" spans="1:29" x14ac:dyDescent="0.25">
      <c r="A29" s="1">
        <v>1870</v>
      </c>
      <c r="B29" s="1">
        <f t="shared" si="2"/>
        <v>-0.27100000000000002</v>
      </c>
      <c r="C29" s="1">
        <f t="shared" si="3"/>
        <v>-0.29749215000000001</v>
      </c>
      <c r="D29" s="1">
        <f t="shared" si="4"/>
        <v>2.5783790047453903E-2</v>
      </c>
      <c r="E29" s="7">
        <f t="shared" si="5"/>
        <v>0.41005546794591868</v>
      </c>
      <c r="F29" s="1">
        <f t="shared" si="6"/>
        <v>2.6492149999999992E-2</v>
      </c>
      <c r="G29" s="9">
        <f t="shared" si="7"/>
        <v>0.41005546794591868</v>
      </c>
      <c r="H29" s="1">
        <f t="shared" si="8"/>
        <v>-1.3974814205719999E-2</v>
      </c>
      <c r="I29" s="1" t="e">
        <f t="shared" si="9"/>
        <v>#NUM!</v>
      </c>
      <c r="J29" s="1" t="e">
        <f t="shared" si="10"/>
        <v>#NUM!</v>
      </c>
      <c r="K29" s="3"/>
      <c r="L29" s="3">
        <f t="shared" si="11"/>
        <v>0.41005546794591868</v>
      </c>
      <c r="M29" s="6">
        <f t="shared" si="12"/>
        <v>-0.27100000000000002</v>
      </c>
      <c r="N29" s="6">
        <f t="shared" si="13"/>
        <v>-0.23100000000000001</v>
      </c>
      <c r="O29" s="6">
        <f t="shared" si="14"/>
        <v>-0.46300000000000002</v>
      </c>
      <c r="P29" s="6">
        <v>-0.27100000000000002</v>
      </c>
      <c r="Q29" s="4">
        <v>-0.23100000000000001</v>
      </c>
      <c r="R29" s="5">
        <v>-0.46300000000000002</v>
      </c>
      <c r="S29">
        <f t="shared" si="15"/>
        <v>-0.46300000000000002</v>
      </c>
      <c r="T29">
        <f t="shared" si="16"/>
        <v>0.49892008639308855</v>
      </c>
      <c r="U29">
        <f t="shared" si="17"/>
        <v>0.58531317494600432</v>
      </c>
      <c r="V29">
        <f t="shared" si="1"/>
        <v>-0.52824708423326139</v>
      </c>
      <c r="X29">
        <v>-0.46300000000000002</v>
      </c>
      <c r="Y29">
        <v>-0.46124999999999999</v>
      </c>
      <c r="Z29" s="11">
        <f t="shared" si="18"/>
        <v>0.46133742947131395</v>
      </c>
      <c r="AA29">
        <f t="shared" si="19"/>
        <v>-0.4899194062005755</v>
      </c>
      <c r="AB29" s="13">
        <f t="shared" si="20"/>
        <v>-0.50714168130126092</v>
      </c>
      <c r="AC29" s="13">
        <v>-7.1416813012609697E-3</v>
      </c>
    </row>
    <row r="30" spans="1:29" x14ac:dyDescent="0.25">
      <c r="A30" s="1">
        <v>1871</v>
      </c>
      <c r="B30" s="1">
        <f t="shared" si="2"/>
        <v>-0.32600000000000001</v>
      </c>
      <c r="C30" s="1">
        <f t="shared" si="3"/>
        <v>-0.34202374999999996</v>
      </c>
      <c r="D30" s="1">
        <f t="shared" si="4"/>
        <v>6.6572423502453959E-3</v>
      </c>
      <c r="E30" s="7">
        <f t="shared" si="5"/>
        <v>0.38644209402302104</v>
      </c>
      <c r="F30" s="1">
        <f t="shared" si="6"/>
        <v>1.6023749999999948E-2</v>
      </c>
      <c r="G30" s="9">
        <f t="shared" si="7"/>
        <v>0.38644209402302104</v>
      </c>
      <c r="H30" s="1">
        <f t="shared" si="8"/>
        <v>-4.3405220123599875E-3</v>
      </c>
      <c r="I30" s="1" t="e">
        <f t="shared" si="9"/>
        <v>#NUM!</v>
      </c>
      <c r="J30" s="1" t="e">
        <f t="shared" si="10"/>
        <v>#NUM!</v>
      </c>
      <c r="K30" s="3"/>
      <c r="L30" s="3">
        <f t="shared" si="11"/>
        <v>0.38644209402302104</v>
      </c>
      <c r="M30" s="6">
        <f t="shared" si="12"/>
        <v>-0.32600000000000001</v>
      </c>
      <c r="N30" s="6">
        <f t="shared" si="13"/>
        <v>-0.22900000000000001</v>
      </c>
      <c r="O30" s="6">
        <f t="shared" si="14"/>
        <v>-0.59099999999999997</v>
      </c>
      <c r="P30" s="6">
        <v>-0.32600000000000001</v>
      </c>
      <c r="Q30" s="4">
        <v>-0.22900000000000001</v>
      </c>
      <c r="R30" s="5">
        <v>-0.59099999999999997</v>
      </c>
      <c r="S30">
        <f t="shared" si="15"/>
        <v>-0.59099999999999997</v>
      </c>
      <c r="T30">
        <f t="shared" si="16"/>
        <v>0.38747884940778343</v>
      </c>
      <c r="U30">
        <f t="shared" si="17"/>
        <v>0.55160744500846026</v>
      </c>
      <c r="V30">
        <f t="shared" si="1"/>
        <v>-0.54037123519458552</v>
      </c>
      <c r="X30">
        <v>-0.59099999999999997</v>
      </c>
      <c r="Y30">
        <v>-0.58299999999999996</v>
      </c>
      <c r="Z30" s="11">
        <f t="shared" si="18"/>
        <v>0.46219861600548029</v>
      </c>
      <c r="AA30">
        <f t="shared" si="19"/>
        <v>-0.52281167168335907</v>
      </c>
      <c r="AB30" s="13">
        <f t="shared" si="20"/>
        <v>-0.52176478581286967</v>
      </c>
      <c r="AC30" s="13">
        <v>-2.17647858128697E-2</v>
      </c>
    </row>
    <row r="31" spans="1:29" x14ac:dyDescent="0.25">
      <c r="A31" s="1">
        <v>1872</v>
      </c>
      <c r="B31" s="1">
        <f t="shared" si="2"/>
        <v>-0.22900000000000001</v>
      </c>
      <c r="C31" s="1">
        <f t="shared" si="3"/>
        <v>-0.23618039999999998</v>
      </c>
      <c r="D31" s="1">
        <f t="shared" si="4"/>
        <v>5.9364972688209228E-3</v>
      </c>
      <c r="E31" s="7">
        <f t="shared" si="5"/>
        <v>0.54199849281816492</v>
      </c>
      <c r="F31" s="1">
        <f t="shared" si="6"/>
        <v>7.1803999999999757E-3</v>
      </c>
      <c r="G31" s="9">
        <f t="shared" si="7"/>
        <v>0.54199849281816492</v>
      </c>
      <c r="H31" s="1">
        <f t="shared" si="8"/>
        <v>-2.7189157491199906E-3</v>
      </c>
      <c r="I31" s="1" t="e">
        <f t="shared" si="9"/>
        <v>#NUM!</v>
      </c>
      <c r="J31" s="1" t="e">
        <f t="shared" si="10"/>
        <v>#NUM!</v>
      </c>
      <c r="K31" s="3"/>
      <c r="L31" s="3">
        <f t="shared" si="11"/>
        <v>0.54199849281816492</v>
      </c>
      <c r="M31" s="6">
        <f t="shared" si="12"/>
        <v>-0.22900000000000001</v>
      </c>
      <c r="N31" s="6">
        <f t="shared" si="13"/>
        <v>-0.22800000000000001</v>
      </c>
      <c r="O31" s="6">
        <f t="shared" si="14"/>
        <v>-0.29599999999999999</v>
      </c>
      <c r="P31" s="6">
        <v>-0.22900000000000001</v>
      </c>
      <c r="Q31" s="4">
        <v>-0.22800000000000001</v>
      </c>
      <c r="R31" s="5">
        <v>-0.29599999999999999</v>
      </c>
      <c r="S31">
        <f t="shared" si="15"/>
        <v>-0.29599999999999999</v>
      </c>
      <c r="T31">
        <f t="shared" si="16"/>
        <v>0.77027027027027029</v>
      </c>
      <c r="U31">
        <f t="shared" si="17"/>
        <v>0.77364864864864868</v>
      </c>
      <c r="V31">
        <f t="shared" si="1"/>
        <v>-0.71125540540540544</v>
      </c>
      <c r="X31">
        <v>-0.29599999999999999</v>
      </c>
      <c r="Y31">
        <v>-0.310083</v>
      </c>
      <c r="Z31" s="11">
        <f t="shared" si="18"/>
        <v>0.46382988709956408</v>
      </c>
      <c r="AA31">
        <f t="shared" si="19"/>
        <v>-0.43557083455665274</v>
      </c>
      <c r="AB31" s="13">
        <f t="shared" si="20"/>
        <v>-0.51215727693299262</v>
      </c>
      <c r="AC31" s="13">
        <v>-1.21572769329926E-2</v>
      </c>
    </row>
    <row r="32" spans="1:29" x14ac:dyDescent="0.25">
      <c r="A32" s="1">
        <v>1873</v>
      </c>
      <c r="B32" s="1">
        <f t="shared" si="2"/>
        <v>-0.30599999999999999</v>
      </c>
      <c r="C32" s="1">
        <f t="shared" si="3"/>
        <v>-0.29022959999999998</v>
      </c>
      <c r="D32" s="1">
        <f t="shared" si="4"/>
        <v>0</v>
      </c>
      <c r="E32" s="1">
        <f t="shared" si="5"/>
        <v>0.39852445578866225</v>
      </c>
      <c r="F32" s="1">
        <f t="shared" si="6"/>
        <v>1.5770400000000018E-2</v>
      </c>
      <c r="G32" s="9">
        <f t="shared" si="7"/>
        <v>0.39852445578866225</v>
      </c>
      <c r="H32" s="1">
        <f t="shared" si="8"/>
        <v>1.0709775309600017E-2</v>
      </c>
      <c r="I32" s="1">
        <f t="shared" si="9"/>
        <v>0.39852445578866225</v>
      </c>
      <c r="J32" s="1">
        <f t="shared" si="10"/>
        <v>0.80583390458369708</v>
      </c>
      <c r="K32" s="3"/>
      <c r="L32" s="3">
        <f t="shared" si="11"/>
        <v>0.60217918018617966</v>
      </c>
      <c r="M32" s="6">
        <f t="shared" si="12"/>
        <v>-0.30599999999999999</v>
      </c>
      <c r="N32" s="6">
        <f t="shared" si="13"/>
        <v>-0.28499999999999998</v>
      </c>
      <c r="O32" s="6">
        <f t="shared" si="14"/>
        <v>-0.35599999999999998</v>
      </c>
      <c r="P32" s="6">
        <v>-0.30599999999999999</v>
      </c>
      <c r="Q32" s="4">
        <v>-0.28499999999999998</v>
      </c>
      <c r="R32" s="5">
        <v>-0.35599999999999998</v>
      </c>
      <c r="S32">
        <f t="shared" si="15"/>
        <v>-0.35599999999999998</v>
      </c>
      <c r="T32">
        <f t="shared" si="16"/>
        <v>0.800561797752809</v>
      </c>
      <c r="U32">
        <f t="shared" si="17"/>
        <v>0.8595505617977528</v>
      </c>
      <c r="V32">
        <f t="shared" si="1"/>
        <v>-0.86144016853932581</v>
      </c>
      <c r="X32">
        <v>-0.35599999999999998</v>
      </c>
      <c r="Y32">
        <v>-0.372583</v>
      </c>
      <c r="Z32" s="11">
        <f t="shared" si="18"/>
        <v>0.4661760563030839</v>
      </c>
      <c r="AA32">
        <f t="shared" si="19"/>
        <v>-0.53824829816706321</v>
      </c>
      <c r="AB32" s="13">
        <f t="shared" si="20"/>
        <v>-0.49018587205016706</v>
      </c>
      <c r="AC32" s="13">
        <v>9.8141279498329594E-3</v>
      </c>
    </row>
    <row r="33" spans="1:29" x14ac:dyDescent="0.25">
      <c r="A33" s="1">
        <v>1874</v>
      </c>
      <c r="B33" s="1">
        <f t="shared" si="2"/>
        <v>-0.373</v>
      </c>
      <c r="C33" s="1">
        <f t="shared" si="3"/>
        <v>-0.39275950000000004</v>
      </c>
      <c r="D33" s="1">
        <f t="shared" si="4"/>
        <v>1.4957414657158219E-2</v>
      </c>
      <c r="E33" s="7">
        <f t="shared" si="5"/>
        <v>0.56561531971368029</v>
      </c>
      <c r="F33" s="1">
        <f t="shared" si="6"/>
        <v>1.9759500000000041E-2</v>
      </c>
      <c r="G33" s="9">
        <f t="shared" si="7"/>
        <v>0.56561531971368029</v>
      </c>
      <c r="H33" s="1">
        <f t="shared" si="8"/>
        <v>-1.1158231334240015E-2</v>
      </c>
      <c r="I33" s="1" t="e">
        <f t="shared" si="9"/>
        <v>#NUM!</v>
      </c>
      <c r="J33" s="1" t="e">
        <f t="shared" si="10"/>
        <v>#NUM!</v>
      </c>
      <c r="K33" s="3"/>
      <c r="L33" s="3">
        <f t="shared" si="11"/>
        <v>0.56561531971368029</v>
      </c>
      <c r="M33" s="6">
        <f t="shared" si="12"/>
        <v>-0.373</v>
      </c>
      <c r="N33" s="6">
        <f t="shared" si="13"/>
        <v>-0.39800000000000002</v>
      </c>
      <c r="O33" s="6">
        <f t="shared" si="14"/>
        <v>-0.46200000000000002</v>
      </c>
      <c r="P33" s="6">
        <v>-0.373</v>
      </c>
      <c r="Q33" s="4">
        <v>-0.39800000000000002</v>
      </c>
      <c r="R33" s="5">
        <v>-0.46200000000000002</v>
      </c>
      <c r="S33">
        <f t="shared" si="15"/>
        <v>-0.46200000000000002</v>
      </c>
      <c r="T33">
        <f t="shared" si="16"/>
        <v>0.8614718614718615</v>
      </c>
      <c r="U33">
        <f t="shared" si="17"/>
        <v>0.80735930735930728</v>
      </c>
      <c r="V33">
        <f t="shared" si="1"/>
        <v>-0.71358614718614699</v>
      </c>
      <c r="X33">
        <v>-0.46200000000000002</v>
      </c>
      <c r="Y33">
        <v>-0.45658300000000002</v>
      </c>
      <c r="Z33" s="11">
        <f t="shared" si="18"/>
        <v>0.46918386314064264</v>
      </c>
      <c r="AA33">
        <f t="shared" si="19"/>
        <v>-0.73768911993501396</v>
      </c>
      <c r="AB33" s="13">
        <f t="shared" si="20"/>
        <v>-0.47446126685880941</v>
      </c>
      <c r="AC33" s="13">
        <v>2.5538733141190598E-2</v>
      </c>
    </row>
    <row r="34" spans="1:29" x14ac:dyDescent="0.25">
      <c r="A34" s="1">
        <v>1875</v>
      </c>
      <c r="B34" s="1">
        <f t="shared" si="2"/>
        <v>-0.40799999999999997</v>
      </c>
      <c r="C34" s="1">
        <f t="shared" si="3"/>
        <v>-0.45460539999999999</v>
      </c>
      <c r="D34" s="1">
        <f t="shared" si="4"/>
        <v>1.3601890602352951E-2</v>
      </c>
      <c r="E34" s="7">
        <f t="shared" si="5"/>
        <v>0.32629495912675793</v>
      </c>
      <c r="F34" s="1">
        <f t="shared" si="6"/>
        <v>4.6605400000000019E-2</v>
      </c>
      <c r="G34" s="9">
        <f t="shared" si="7"/>
        <v>0.32629495912675793</v>
      </c>
      <c r="H34" s="1">
        <f t="shared" si="8"/>
        <v>-1.1099142731520018E-2</v>
      </c>
      <c r="I34" s="1" t="e">
        <f t="shared" si="9"/>
        <v>#NUM!</v>
      </c>
      <c r="J34" s="1" t="e">
        <f t="shared" si="10"/>
        <v>#NUM!</v>
      </c>
      <c r="K34" s="3"/>
      <c r="L34" s="3">
        <f t="shared" si="11"/>
        <v>0.32629495912675793</v>
      </c>
      <c r="M34" s="6">
        <f t="shared" si="12"/>
        <v>-0.40799999999999997</v>
      </c>
      <c r="N34" s="6">
        <f t="shared" si="13"/>
        <v>-0.248</v>
      </c>
      <c r="O34" s="6">
        <f t="shared" si="14"/>
        <v>-0.876</v>
      </c>
      <c r="P34" s="6">
        <v>-0.40799999999999997</v>
      </c>
      <c r="Q34" s="4">
        <v>-0.248</v>
      </c>
      <c r="R34" s="5">
        <v>-0.876</v>
      </c>
      <c r="S34">
        <f t="shared" si="15"/>
        <v>-0.876</v>
      </c>
      <c r="T34">
        <f t="shared" si="16"/>
        <v>0.28310502283105021</v>
      </c>
      <c r="U34">
        <f t="shared" si="17"/>
        <v>0.46575342465753422</v>
      </c>
      <c r="V34">
        <f t="shared" si="1"/>
        <v>-0.4431547945205479</v>
      </c>
      <c r="X34">
        <v>-0.876</v>
      </c>
      <c r="Y34">
        <v>-0.84499999999999997</v>
      </c>
      <c r="Z34" s="11">
        <f t="shared" si="18"/>
        <v>0.47280180919915438</v>
      </c>
      <c r="AA34">
        <f t="shared" si="19"/>
        <v>-0.62515777358304048</v>
      </c>
      <c r="AB34" s="13">
        <f t="shared" si="20"/>
        <v>-0.5361879657191988</v>
      </c>
      <c r="AC34" s="13">
        <v>-3.61879657191988E-2</v>
      </c>
    </row>
    <row r="35" spans="1:29" x14ac:dyDescent="0.25">
      <c r="A35" s="1">
        <v>1876</v>
      </c>
      <c r="B35" s="1">
        <f t="shared" si="2"/>
        <v>-0.38400000000000001</v>
      </c>
      <c r="C35" s="1">
        <f t="shared" si="3"/>
        <v>-0.37299249999999995</v>
      </c>
      <c r="D35" s="1">
        <f t="shared" si="4"/>
        <v>0</v>
      </c>
      <c r="E35" s="1">
        <f t="shared" si="5"/>
        <v>0.42321867856978829</v>
      </c>
      <c r="F35" s="1">
        <f t="shared" si="6"/>
        <v>1.1007500000000059E-2</v>
      </c>
      <c r="G35" s="9">
        <f t="shared" si="7"/>
        <v>0.42321867856978829</v>
      </c>
      <c r="H35" s="1">
        <f t="shared" si="8"/>
        <v>9.536594725440023E-3</v>
      </c>
      <c r="I35" s="1">
        <f t="shared" si="9"/>
        <v>0.42321867856978829</v>
      </c>
      <c r="J35" s="1">
        <f t="shared" si="10"/>
        <v>0.71188932518316272</v>
      </c>
      <c r="K35" s="3"/>
      <c r="L35" s="3">
        <f t="shared" si="11"/>
        <v>0.56755400187647542</v>
      </c>
      <c r="M35" s="6">
        <f t="shared" si="12"/>
        <v>-0.38400000000000001</v>
      </c>
      <c r="N35" s="6">
        <f t="shared" si="13"/>
        <v>-0.35599999999999998</v>
      </c>
      <c r="O35" s="6">
        <f t="shared" si="14"/>
        <v>-0.47399999999999998</v>
      </c>
      <c r="P35" s="6">
        <v>-0.38400000000000001</v>
      </c>
      <c r="Q35" s="4">
        <v>-0.35599999999999998</v>
      </c>
      <c r="R35" s="5">
        <v>-0.47399999999999998</v>
      </c>
      <c r="S35">
        <f t="shared" si="15"/>
        <v>-0.47399999999999998</v>
      </c>
      <c r="T35">
        <f t="shared" si="16"/>
        <v>0.75105485232067515</v>
      </c>
      <c r="U35">
        <f t="shared" si="17"/>
        <v>0.81012658227848111</v>
      </c>
      <c r="V35">
        <f t="shared" si="1"/>
        <v>-0.79792531645569642</v>
      </c>
      <c r="X35">
        <v>-0.47399999999999998</v>
      </c>
      <c r="Y35">
        <v>-0.46800000000000003</v>
      </c>
      <c r="Z35" s="11">
        <f t="shared" si="18"/>
        <v>0.47698025498539209</v>
      </c>
      <c r="AA35">
        <f t="shared" si="19"/>
        <v>-0.66838485355932042</v>
      </c>
      <c r="AB35" s="13">
        <f t="shared" si="20"/>
        <v>-0.52342392452086639</v>
      </c>
      <c r="AC35" s="13">
        <v>-2.3423924520866401E-2</v>
      </c>
    </row>
    <row r="36" spans="1:29" x14ac:dyDescent="0.25">
      <c r="A36" s="1">
        <v>1877</v>
      </c>
      <c r="B36" s="1">
        <f t="shared" si="2"/>
        <v>-7.2999999999999995E-2</v>
      </c>
      <c r="C36" s="1">
        <f t="shared" si="3"/>
        <v>-0.10703775</v>
      </c>
      <c r="D36" s="1">
        <f t="shared" si="4"/>
        <v>9.1304838030137198E-3</v>
      </c>
      <c r="E36" s="7">
        <f t="shared" si="5"/>
        <v>0.20705237403983007</v>
      </c>
      <c r="F36" s="1">
        <f t="shared" si="6"/>
        <v>3.4037750000000006E-2</v>
      </c>
      <c r="G36" s="9">
        <f t="shared" si="7"/>
        <v>0.20705237403983007</v>
      </c>
      <c r="H36" s="1">
        <f t="shared" si="8"/>
        <v>-1.3330506352400009E-3</v>
      </c>
      <c r="I36" s="1" t="e">
        <f t="shared" si="9"/>
        <v>#NUM!</v>
      </c>
      <c r="J36" s="1" t="e">
        <f t="shared" si="10"/>
        <v>#NUM!</v>
      </c>
      <c r="K36" s="3"/>
      <c r="L36" s="3">
        <f t="shared" si="11"/>
        <v>0.20705237403983007</v>
      </c>
      <c r="M36" s="6">
        <f t="shared" si="12"/>
        <v>-7.2999999999999995E-2</v>
      </c>
      <c r="N36" s="6">
        <f t="shared" si="13"/>
        <v>-3.3000000000000002E-2</v>
      </c>
      <c r="O36" s="6">
        <f t="shared" si="14"/>
        <v>-0.247</v>
      </c>
      <c r="P36" s="6">
        <v>-7.2999999999999995E-2</v>
      </c>
      <c r="Q36" s="4">
        <v>-3.3000000000000002E-2</v>
      </c>
      <c r="R36" s="5">
        <v>-0.247</v>
      </c>
      <c r="S36">
        <f t="shared" si="15"/>
        <v>-0.247</v>
      </c>
      <c r="T36">
        <f t="shared" si="16"/>
        <v>0.13360323886639677</v>
      </c>
      <c r="U36">
        <f t="shared" si="17"/>
        <v>0.2955465587044534</v>
      </c>
      <c r="V36">
        <f t="shared" si="1"/>
        <v>-0.20944048582995944</v>
      </c>
      <c r="X36">
        <v>-0.247</v>
      </c>
      <c r="Y36">
        <v>-0.26258300000000001</v>
      </c>
      <c r="Z36" s="11">
        <f t="shared" si="18"/>
        <v>0.48167133051902056</v>
      </c>
      <c r="AA36">
        <f t="shared" si="19"/>
        <v>-0.1196127199724232</v>
      </c>
      <c r="AB36" s="13">
        <f t="shared" si="20"/>
        <v>-0.47260505986157941</v>
      </c>
      <c r="AC36" s="13">
        <v>2.7394940138420601E-2</v>
      </c>
    </row>
    <row r="37" spans="1:29" x14ac:dyDescent="0.25">
      <c r="A37" s="1">
        <v>1878</v>
      </c>
      <c r="B37" s="1">
        <f t="shared" si="2"/>
        <v>3.2000000000000001E-2</v>
      </c>
      <c r="C37" s="1">
        <f t="shared" si="3"/>
        <v>7.9499500000000008E-3</v>
      </c>
      <c r="D37" s="1">
        <f t="shared" si="4"/>
        <v>0</v>
      </c>
      <c r="E37" s="1">
        <f t="shared" si="5"/>
        <v>0.14960110074305025</v>
      </c>
      <c r="F37" s="1">
        <f t="shared" si="6"/>
        <v>2.405005E-2</v>
      </c>
      <c r="G37" s="9">
        <f t="shared" si="7"/>
        <v>0.14960110074305025</v>
      </c>
      <c r="H37" s="1">
        <f t="shared" si="8"/>
        <v>1.0934729853999999E-3</v>
      </c>
      <c r="I37" s="1">
        <f t="shared" si="9"/>
        <v>-9.116954330391362</v>
      </c>
      <c r="J37" s="1">
        <f t="shared" si="10"/>
        <v>0.14960110074305025</v>
      </c>
      <c r="K37" s="3"/>
      <c r="L37" s="3">
        <f t="shared" si="11"/>
        <v>-4.483676614824156</v>
      </c>
      <c r="M37" s="6">
        <f t="shared" si="12"/>
        <v>3.2000000000000001E-2</v>
      </c>
      <c r="N37" s="6">
        <f t="shared" si="13"/>
        <v>1.7000000000000001E-2</v>
      </c>
      <c r="O37" s="6">
        <f t="shared" si="14"/>
        <v>-5.0000000000000001E-3</v>
      </c>
      <c r="P37" s="6">
        <v>3.2000000000000001E-2</v>
      </c>
      <c r="Q37" s="4">
        <v>1.7000000000000001E-2</v>
      </c>
      <c r="R37" s="5">
        <v>-5.0000000000000001E-3</v>
      </c>
      <c r="S37">
        <f t="shared" si="15"/>
        <v>-5.0000000000000001E-3</v>
      </c>
      <c r="T37">
        <f t="shared" si="16"/>
        <v>-3.4000000000000004</v>
      </c>
      <c r="U37">
        <f t="shared" si="17"/>
        <v>-6.4</v>
      </c>
      <c r="V37">
        <f t="shared" si="1"/>
        <v>10.65972</v>
      </c>
      <c r="X37">
        <v>-5.0000000000000001E-3</v>
      </c>
      <c r="Y37">
        <v>-3.4500000000000003E-2</v>
      </c>
      <c r="Z37" s="11">
        <f t="shared" si="18"/>
        <v>0.48682891298085451</v>
      </c>
      <c r="AA37">
        <f t="shared" si="19"/>
        <v>2.349080776867838E-2</v>
      </c>
      <c r="AB37" s="13">
        <f t="shared" si="20"/>
        <v>-0.43533151596495429</v>
      </c>
      <c r="AC37" s="13">
        <v>6.4668484035045701E-2</v>
      </c>
    </row>
    <row r="38" spans="1:29" x14ac:dyDescent="0.25">
      <c r="A38" s="1">
        <v>1879</v>
      </c>
      <c r="B38" s="1">
        <f t="shared" si="2"/>
        <v>-0.23400000000000001</v>
      </c>
      <c r="C38" s="1">
        <f t="shared" si="3"/>
        <v>-0.30441425</v>
      </c>
      <c r="D38" s="1">
        <f t="shared" si="4"/>
        <v>6.3600072729999985E-2</v>
      </c>
      <c r="E38" s="7">
        <f t="shared" si="5"/>
        <v>0.29644561705155187</v>
      </c>
      <c r="F38" s="1">
        <f t="shared" si="6"/>
        <v>7.0414249999999984E-2</v>
      </c>
      <c r="G38" s="9">
        <f t="shared" si="7"/>
        <v>0.29644561705155187</v>
      </c>
      <c r="H38" s="1">
        <f t="shared" si="8"/>
        <v>-2.9764834037639999E-2</v>
      </c>
      <c r="I38" s="1" t="e">
        <f t="shared" si="9"/>
        <v>#NUM!</v>
      </c>
      <c r="J38" s="1" t="e">
        <f t="shared" si="10"/>
        <v>#NUM!</v>
      </c>
      <c r="K38" s="3"/>
      <c r="L38" s="3">
        <f t="shared" si="11"/>
        <v>0.29644561705155187</v>
      </c>
      <c r="M38" s="6">
        <f t="shared" si="12"/>
        <v>-0.23400000000000001</v>
      </c>
      <c r="N38" s="6">
        <f t="shared" si="13"/>
        <v>-0.187</v>
      </c>
      <c r="O38" s="6">
        <f t="shared" si="14"/>
        <v>-0.55300000000000005</v>
      </c>
      <c r="P38" s="6">
        <v>-0.23400000000000001</v>
      </c>
      <c r="Q38" s="4">
        <v>-0.187</v>
      </c>
      <c r="R38" s="5">
        <v>-0.55300000000000005</v>
      </c>
      <c r="S38">
        <f t="shared" si="15"/>
        <v>-0.55300000000000005</v>
      </c>
      <c r="T38">
        <f t="shared" si="16"/>
        <v>0.33815551537070521</v>
      </c>
      <c r="U38">
        <f t="shared" si="17"/>
        <v>0.42314647377938513</v>
      </c>
      <c r="V38">
        <f t="shared" si="1"/>
        <v>-0.318651356238698</v>
      </c>
      <c r="X38">
        <v>-0.55300000000000005</v>
      </c>
      <c r="Y38">
        <v>-0.53591699999999998</v>
      </c>
      <c r="Z38" s="11">
        <f t="shared" si="18"/>
        <v>0.49240859691053629</v>
      </c>
      <c r="AA38">
        <f t="shared" si="19"/>
        <v>-0.42936283156489335</v>
      </c>
      <c r="AB38" s="13">
        <f t="shared" si="20"/>
        <v>-0.50159440613136363</v>
      </c>
      <c r="AC38" s="13">
        <v>-1.59440613136367E-3</v>
      </c>
    </row>
    <row r="39" spans="1:29" x14ac:dyDescent="0.25">
      <c r="A39" s="1">
        <v>1880</v>
      </c>
      <c r="B39" s="1">
        <f t="shared" si="2"/>
        <v>-0.23</v>
      </c>
      <c r="C39" s="1">
        <f t="shared" si="3"/>
        <v>-0.22833055000000002</v>
      </c>
      <c r="D39" s="1">
        <f t="shared" si="4"/>
        <v>0</v>
      </c>
      <c r="E39" s="1">
        <f t="shared" si="5"/>
        <v>0.53552637409158632</v>
      </c>
      <c r="F39" s="1">
        <f t="shared" si="6"/>
        <v>1.669449999999989E-3</v>
      </c>
      <c r="G39" s="9">
        <f t="shared" si="7"/>
        <v>0.53552637409158632</v>
      </c>
      <c r="H39" s="1">
        <f t="shared" si="8"/>
        <v>1.0363730758000053E-3</v>
      </c>
      <c r="I39" s="1">
        <f t="shared" si="9"/>
        <v>0.40401956378155118</v>
      </c>
      <c r="J39" s="1">
        <f t="shared" si="10"/>
        <v>0.53552637409158632</v>
      </c>
      <c r="K39" s="3"/>
      <c r="L39" s="3">
        <f t="shared" si="11"/>
        <v>0.46977296893656878</v>
      </c>
      <c r="M39" s="6">
        <f t="shared" si="12"/>
        <v>-0.23</v>
      </c>
      <c r="N39" s="6">
        <f t="shared" si="13"/>
        <v>-0.185</v>
      </c>
      <c r="O39" s="6">
        <f t="shared" si="14"/>
        <v>-0.34300000000000003</v>
      </c>
      <c r="P39" s="6">
        <v>-0.23</v>
      </c>
      <c r="Q39" s="4">
        <v>-0.185</v>
      </c>
      <c r="R39" s="5">
        <v>-0.34300000000000003</v>
      </c>
      <c r="S39">
        <f t="shared" si="15"/>
        <v>-0.34300000000000003</v>
      </c>
      <c r="T39">
        <f t="shared" si="16"/>
        <v>0.53935860058309038</v>
      </c>
      <c r="U39">
        <f t="shared" si="17"/>
        <v>0.67055393586005829</v>
      </c>
      <c r="V39">
        <f t="shared" si="1"/>
        <v>-0.66986763848396502</v>
      </c>
      <c r="X39">
        <v>-0.34300000000000003</v>
      </c>
      <c r="Y39">
        <v>-0.34608299999999997</v>
      </c>
      <c r="Z39" s="11">
        <f t="shared" si="18"/>
        <v>0.49836770910769701</v>
      </c>
      <c r="AA39">
        <f t="shared" si="19"/>
        <v>-0.36313479837877205</v>
      </c>
      <c r="AB39" s="13">
        <f t="shared" si="20"/>
        <v>-0.5102140098701462</v>
      </c>
      <c r="AC39" s="13">
        <v>-1.0214009870146199E-2</v>
      </c>
    </row>
    <row r="40" spans="1:29" x14ac:dyDescent="0.25">
      <c r="A40" s="1">
        <v>1881</v>
      </c>
      <c r="B40" s="1">
        <f t="shared" si="2"/>
        <v>-0.20699999999999999</v>
      </c>
      <c r="C40" s="1">
        <f t="shared" si="3"/>
        <v>-0.2488958</v>
      </c>
      <c r="D40" s="1">
        <f t="shared" si="4"/>
        <v>3.0905252800000033E-2</v>
      </c>
      <c r="E40" s="7">
        <f t="shared" si="5"/>
        <v>0.31525851197982341</v>
      </c>
      <c r="F40" s="1">
        <f t="shared" si="6"/>
        <v>4.1895800000000011E-2</v>
      </c>
      <c r="G40" s="9">
        <f t="shared" si="7"/>
        <v>0.31525851197982341</v>
      </c>
      <c r="H40" s="1">
        <f t="shared" si="8"/>
        <v>-1.2794774659199995E-2</v>
      </c>
      <c r="I40" s="1" t="e">
        <f t="shared" si="9"/>
        <v>#NUM!</v>
      </c>
      <c r="J40" s="1" t="e">
        <f t="shared" si="10"/>
        <v>#NUM!</v>
      </c>
      <c r="K40" s="3"/>
      <c r="L40" s="3">
        <f t="shared" si="11"/>
        <v>0.31525851197982341</v>
      </c>
      <c r="M40" s="6">
        <f t="shared" si="12"/>
        <v>-0.20699999999999999</v>
      </c>
      <c r="N40" s="6">
        <f t="shared" si="13"/>
        <v>-0.14799999999999999</v>
      </c>
      <c r="O40" s="6">
        <f t="shared" si="14"/>
        <v>-0.46</v>
      </c>
      <c r="P40" s="6">
        <v>-0.20699999999999999</v>
      </c>
      <c r="Q40" s="4">
        <v>-0.14799999999999999</v>
      </c>
      <c r="R40" s="5">
        <v>-0.46</v>
      </c>
      <c r="S40">
        <f t="shared" si="15"/>
        <v>-0.46</v>
      </c>
      <c r="T40">
        <f t="shared" si="16"/>
        <v>0.32173913043478258</v>
      </c>
      <c r="U40">
        <f t="shared" si="17"/>
        <v>0.44999999999999996</v>
      </c>
      <c r="V40">
        <f t="shared" si="1"/>
        <v>-0.38407478260869554</v>
      </c>
      <c r="X40">
        <v>-0.46</v>
      </c>
      <c r="Y40">
        <v>-0.46550000000000002</v>
      </c>
      <c r="Z40" s="11">
        <f t="shared" si="18"/>
        <v>0.50466521922498941</v>
      </c>
      <c r="AA40">
        <f t="shared" si="19"/>
        <v>-0.3410003176081195</v>
      </c>
      <c r="AB40" s="13">
        <f t="shared" si="20"/>
        <v>-0.48835223447172221</v>
      </c>
      <c r="AC40" s="13">
        <v>1.1647765528277799E-2</v>
      </c>
    </row>
    <row r="41" spans="1:29" x14ac:dyDescent="0.25">
      <c r="A41" s="1">
        <v>1882</v>
      </c>
      <c r="B41" s="1">
        <f t="shared" si="2"/>
        <v>-0.214</v>
      </c>
      <c r="C41" s="1">
        <f t="shared" si="3"/>
        <v>-0.23170790000000002</v>
      </c>
      <c r="D41" s="1">
        <f t="shared" si="4"/>
        <v>1.8406568202803758E-2</v>
      </c>
      <c r="E41" s="7">
        <f t="shared" si="5"/>
        <v>0.45431192972176571</v>
      </c>
      <c r="F41" s="1">
        <f t="shared" si="6"/>
        <v>1.7707900000000026E-2</v>
      </c>
      <c r="G41" s="9">
        <f t="shared" si="7"/>
        <v>0.45431192972176571</v>
      </c>
      <c r="H41" s="1">
        <f t="shared" si="8"/>
        <v>-7.878011190800005E-3</v>
      </c>
      <c r="I41" s="1" t="e">
        <f t="shared" si="9"/>
        <v>#NUM!</v>
      </c>
      <c r="J41" s="1" t="e">
        <f t="shared" si="10"/>
        <v>#NUM!</v>
      </c>
      <c r="K41" s="3"/>
      <c r="L41" s="3">
        <f t="shared" si="11"/>
        <v>0.45431192972176571</v>
      </c>
      <c r="M41" s="6">
        <f t="shared" si="12"/>
        <v>-0.214</v>
      </c>
      <c r="N41" s="6">
        <f t="shared" si="13"/>
        <v>-0.19900000000000001</v>
      </c>
      <c r="O41" s="6">
        <f t="shared" si="14"/>
        <v>-0.33</v>
      </c>
      <c r="P41" s="6">
        <v>-0.214</v>
      </c>
      <c r="Q41" s="4">
        <v>-0.19900000000000001</v>
      </c>
      <c r="R41" s="5">
        <v>-0.33</v>
      </c>
      <c r="S41">
        <f t="shared" si="15"/>
        <v>-0.33</v>
      </c>
      <c r="T41">
        <f t="shared" si="16"/>
        <v>0.60303030303030303</v>
      </c>
      <c r="U41">
        <f t="shared" si="17"/>
        <v>0.64848484848484844</v>
      </c>
      <c r="V41">
        <f t="shared" si="1"/>
        <v>-0.58028696969696969</v>
      </c>
      <c r="X41">
        <v>-0.33</v>
      </c>
      <c r="Y41">
        <v>-0.34341699999999997</v>
      </c>
      <c r="Z41" s="11">
        <f t="shared" si="18"/>
        <v>0.51126174349337816</v>
      </c>
      <c r="AA41">
        <f t="shared" si="19"/>
        <v>-0.37227467277918092</v>
      </c>
      <c r="AB41" s="13">
        <f t="shared" si="20"/>
        <v>-0.50130969339069964</v>
      </c>
      <c r="AC41" s="13">
        <v>-1.3096933906996801E-3</v>
      </c>
    </row>
    <row r="42" spans="1:29" x14ac:dyDescent="0.25">
      <c r="A42" s="1">
        <v>1883</v>
      </c>
      <c r="B42" s="1">
        <f t="shared" si="2"/>
        <v>-0.29199999999999998</v>
      </c>
      <c r="C42" s="1">
        <f t="shared" si="3"/>
        <v>-0.34545934999999994</v>
      </c>
      <c r="D42" s="1">
        <f t="shared" si="4"/>
        <v>4.837460872842464E-2</v>
      </c>
      <c r="E42" s="7">
        <f t="shared" si="5"/>
        <v>0.34613831734577344</v>
      </c>
      <c r="F42" s="1">
        <f t="shared" si="6"/>
        <v>5.3459349999999961E-2</v>
      </c>
      <c r="G42" s="9">
        <f t="shared" si="7"/>
        <v>0.34613831734577344</v>
      </c>
      <c r="H42" s="1">
        <f t="shared" si="8"/>
        <v>-2.825077149739999E-2</v>
      </c>
      <c r="I42" s="1" t="e">
        <f t="shared" si="9"/>
        <v>#NUM!</v>
      </c>
      <c r="J42" s="1" t="e">
        <f t="shared" si="10"/>
        <v>#NUM!</v>
      </c>
      <c r="K42" s="3"/>
      <c r="L42" s="3">
        <f t="shared" si="11"/>
        <v>0.34613831734577344</v>
      </c>
      <c r="M42" s="6">
        <f t="shared" si="12"/>
        <v>-0.29199999999999998</v>
      </c>
      <c r="N42" s="6">
        <f t="shared" si="13"/>
        <v>-0.23499999999999999</v>
      </c>
      <c r="O42" s="6">
        <f t="shared" si="14"/>
        <v>-0.59099999999999997</v>
      </c>
      <c r="P42" s="6">
        <v>-0.29199999999999998</v>
      </c>
      <c r="Q42" s="4">
        <v>-0.23499999999999999</v>
      </c>
      <c r="R42" s="5">
        <v>-0.59099999999999997</v>
      </c>
      <c r="S42">
        <f t="shared" si="15"/>
        <v>-0.59099999999999997</v>
      </c>
      <c r="T42">
        <f t="shared" si="16"/>
        <v>0.3976311336717428</v>
      </c>
      <c r="U42">
        <f t="shared" si="17"/>
        <v>0.49407783417935702</v>
      </c>
      <c r="V42">
        <f t="shared" si="1"/>
        <v>-0.41806632825719126</v>
      </c>
      <c r="X42">
        <v>-0.59099999999999997</v>
      </c>
      <c r="Y42">
        <v>-0.59391700000000003</v>
      </c>
      <c r="Z42" s="11">
        <f t="shared" si="18"/>
        <v>0.51811951119452715</v>
      </c>
      <c r="AA42">
        <f t="shared" si="19"/>
        <v>-0.49291143369549012</v>
      </c>
      <c r="AB42" s="13">
        <f t="shared" si="20"/>
        <v>-0.50992971578031143</v>
      </c>
      <c r="AC42" s="13">
        <v>-9.9297157803114201E-3</v>
      </c>
    </row>
    <row r="43" spans="1:29" x14ac:dyDescent="0.25">
      <c r="A43" s="1">
        <v>1884</v>
      </c>
      <c r="B43" s="1">
        <f t="shared" si="2"/>
        <v>-0.40300000000000002</v>
      </c>
      <c r="C43" s="1">
        <f t="shared" si="3"/>
        <v>-0.43990639999999998</v>
      </c>
      <c r="D43" s="1">
        <f t="shared" si="4"/>
        <v>3.4981945514838686E-2</v>
      </c>
      <c r="E43" s="7">
        <f t="shared" si="5"/>
        <v>0.40799351421923208</v>
      </c>
      <c r="F43" s="1">
        <f t="shared" si="6"/>
        <v>3.690639999999995E-2</v>
      </c>
      <c r="G43" s="9">
        <f t="shared" si="7"/>
        <v>0.40799351421923208</v>
      </c>
      <c r="H43" s="1">
        <f t="shared" si="8"/>
        <v>-2.819544808495994E-2</v>
      </c>
      <c r="I43" s="1" t="e">
        <f t="shared" si="9"/>
        <v>#NUM!</v>
      </c>
      <c r="J43" s="1" t="e">
        <f t="shared" si="10"/>
        <v>#NUM!</v>
      </c>
      <c r="K43" s="3"/>
      <c r="L43" s="3">
        <f t="shared" si="11"/>
        <v>0.40799351421923208</v>
      </c>
      <c r="M43" s="6">
        <f t="shared" si="12"/>
        <v>-0.40300000000000002</v>
      </c>
      <c r="N43" s="6">
        <f t="shared" si="13"/>
        <v>-0.33700000000000002</v>
      </c>
      <c r="O43" s="6">
        <f t="shared" si="14"/>
        <v>-0.69199999999999995</v>
      </c>
      <c r="P43" s="6">
        <v>-0.40300000000000002</v>
      </c>
      <c r="Q43" s="4">
        <v>-0.33700000000000002</v>
      </c>
      <c r="R43" s="5">
        <v>-0.69199999999999995</v>
      </c>
      <c r="S43">
        <f t="shared" si="15"/>
        <v>-0.69199999999999995</v>
      </c>
      <c r="T43">
        <f t="shared" si="16"/>
        <v>0.48699421965317924</v>
      </c>
      <c r="U43">
        <f t="shared" si="17"/>
        <v>0.58236994219653182</v>
      </c>
      <c r="V43">
        <f t="shared" si="1"/>
        <v>-0.53087210982658961</v>
      </c>
      <c r="X43">
        <v>-0.69199999999999995</v>
      </c>
      <c r="Y43">
        <v>-0.67600000000000005</v>
      </c>
      <c r="Z43" s="11">
        <f t="shared" si="18"/>
        <v>0.5252023646607995</v>
      </c>
      <c r="AA43">
        <f t="shared" si="19"/>
        <v>-0.65607050841858106</v>
      </c>
      <c r="AB43" s="13">
        <f t="shared" si="20"/>
        <v>-0.53385403646122231</v>
      </c>
      <c r="AC43" s="13">
        <v>-3.38540364612223E-2</v>
      </c>
    </row>
    <row r="44" spans="1:29" x14ac:dyDescent="0.25">
      <c r="A44" s="1">
        <v>1885</v>
      </c>
      <c r="B44" s="1">
        <f t="shared" si="2"/>
        <v>-0.38500000000000001</v>
      </c>
      <c r="C44" s="1">
        <f t="shared" si="3"/>
        <v>-0.42354135000000004</v>
      </c>
      <c r="D44" s="1">
        <f t="shared" si="4"/>
        <v>3.6891412205090957E-2</v>
      </c>
      <c r="E44" s="7">
        <f t="shared" si="5"/>
        <v>0.40437956725714491</v>
      </c>
      <c r="F44" s="1">
        <f t="shared" si="6"/>
        <v>3.854135000000003E-2</v>
      </c>
      <c r="G44" s="9">
        <f t="shared" si="7"/>
        <v>0.40437956725714491</v>
      </c>
      <c r="H44" s="1">
        <f t="shared" si="8"/>
        <v>-2.8406387397920008E-2</v>
      </c>
      <c r="I44" s="1" t="e">
        <f t="shared" si="9"/>
        <v>#NUM!</v>
      </c>
      <c r="J44" s="1" t="e">
        <f t="shared" si="10"/>
        <v>#NUM!</v>
      </c>
      <c r="K44" s="3"/>
      <c r="L44" s="3">
        <f t="shared" si="11"/>
        <v>0.40437956725714491</v>
      </c>
      <c r="M44" s="6">
        <f t="shared" si="12"/>
        <v>-0.38500000000000001</v>
      </c>
      <c r="N44" s="6">
        <f t="shared" si="13"/>
        <v>-0.32400000000000001</v>
      </c>
      <c r="O44" s="6">
        <f t="shared" si="14"/>
        <v>-0.66700000000000004</v>
      </c>
      <c r="P44" s="6">
        <v>-0.38500000000000001</v>
      </c>
      <c r="Q44" s="4">
        <v>-0.32400000000000001</v>
      </c>
      <c r="R44" s="5">
        <v>-0.66700000000000004</v>
      </c>
      <c r="S44">
        <f t="shared" si="15"/>
        <v>-0.66700000000000004</v>
      </c>
      <c r="T44">
        <f t="shared" si="16"/>
        <v>0.48575712143928035</v>
      </c>
      <c r="U44">
        <f t="shared" si="17"/>
        <v>0.57721139430284851</v>
      </c>
      <c r="V44">
        <f t="shared" si="1"/>
        <v>-0.52143793103448266</v>
      </c>
      <c r="X44">
        <v>-0.66700000000000004</v>
      </c>
      <c r="Y44">
        <v>-0.66533299999999995</v>
      </c>
      <c r="Z44" s="11">
        <f t="shared" si="18"/>
        <v>0.53247567731887102</v>
      </c>
      <c r="AA44">
        <f t="shared" si="19"/>
        <v>-0.62523320354474188</v>
      </c>
      <c r="AB44" s="13">
        <f t="shared" si="20"/>
        <v>-0.50964544652168198</v>
      </c>
      <c r="AC44" s="13">
        <v>-9.6454465216819392E-3</v>
      </c>
    </row>
    <row r="45" spans="1:29" x14ac:dyDescent="0.25">
      <c r="A45" s="1">
        <v>1886</v>
      </c>
      <c r="B45" s="1">
        <f t="shared" si="2"/>
        <v>-0.36599999999999999</v>
      </c>
      <c r="C45" s="1">
        <f t="shared" si="3"/>
        <v>-0.38344945000000002</v>
      </c>
      <c r="D45" s="1">
        <f t="shared" si="4"/>
        <v>1.7865360150000009E-2</v>
      </c>
      <c r="E45" s="7">
        <f t="shared" si="5"/>
        <v>0.47748651100606399</v>
      </c>
      <c r="F45" s="1">
        <f t="shared" si="6"/>
        <v>1.7449450000000033E-2</v>
      </c>
      <c r="G45" s="9">
        <f t="shared" si="7"/>
        <v>0.47748651100606399</v>
      </c>
      <c r="H45" s="1">
        <f t="shared" si="8"/>
        <v>-1.3077443629800012E-2</v>
      </c>
      <c r="I45" s="1" t="e">
        <f t="shared" si="9"/>
        <v>#NUM!</v>
      </c>
      <c r="J45" s="1" t="e">
        <f t="shared" si="10"/>
        <v>#NUM!</v>
      </c>
      <c r="K45" s="3"/>
      <c r="L45" s="3">
        <f t="shared" si="11"/>
        <v>0.47748651100606399</v>
      </c>
      <c r="M45" s="6">
        <f t="shared" si="12"/>
        <v>-0.36599999999999999</v>
      </c>
      <c r="N45" s="6">
        <f t="shared" si="13"/>
        <v>-0.33500000000000002</v>
      </c>
      <c r="O45" s="6">
        <f t="shared" si="14"/>
        <v>-0.53700000000000003</v>
      </c>
      <c r="P45" s="6">
        <v>-0.36599999999999999</v>
      </c>
      <c r="Q45" s="4">
        <v>-0.33500000000000002</v>
      </c>
      <c r="R45" s="5">
        <v>-0.53700000000000003</v>
      </c>
      <c r="S45">
        <f t="shared" si="15"/>
        <v>-0.53700000000000003</v>
      </c>
      <c r="T45">
        <f t="shared" si="16"/>
        <v>0.62383612662942267</v>
      </c>
      <c r="U45">
        <f t="shared" si="17"/>
        <v>0.68156424581005581</v>
      </c>
      <c r="V45">
        <f t="shared" si="1"/>
        <v>-0.63159664804469262</v>
      </c>
      <c r="X45">
        <v>-0.53700000000000003</v>
      </c>
      <c r="Y45">
        <v>-0.54049999999999998</v>
      </c>
      <c r="Z45" s="11">
        <f t="shared" si="18"/>
        <v>0.53990636859089136</v>
      </c>
      <c r="AA45">
        <f t="shared" si="19"/>
        <v>-0.59657821717782256</v>
      </c>
      <c r="AB45" s="13">
        <f t="shared" si="20"/>
        <v>-0.50614904156815355</v>
      </c>
      <c r="AC45" s="13">
        <v>-6.1490415681535E-3</v>
      </c>
    </row>
    <row r="46" spans="1:29" x14ac:dyDescent="0.25">
      <c r="A46" s="1">
        <v>1887</v>
      </c>
      <c r="B46" s="1">
        <f t="shared" si="2"/>
        <v>-0.41799999999999998</v>
      </c>
      <c r="C46" s="1">
        <f t="shared" si="3"/>
        <v>-0.43258560000000001</v>
      </c>
      <c r="D46" s="1">
        <f t="shared" si="4"/>
        <v>1.4130882519999999E-2</v>
      </c>
      <c r="E46" s="7">
        <f t="shared" si="5"/>
        <v>0.51195826731766203</v>
      </c>
      <c r="F46" s="1">
        <f t="shared" si="6"/>
        <v>1.4585600000000032E-2</v>
      </c>
      <c r="G46" s="9">
        <f t="shared" si="7"/>
        <v>0.51195826731766203</v>
      </c>
      <c r="H46" s="1">
        <f t="shared" si="8"/>
        <v>-1.1813417786719987E-2</v>
      </c>
      <c r="I46" s="1" t="e">
        <f t="shared" si="9"/>
        <v>#NUM!</v>
      </c>
      <c r="J46" s="1" t="e">
        <f t="shared" si="10"/>
        <v>#NUM!</v>
      </c>
      <c r="K46" s="3"/>
      <c r="L46" s="3">
        <f t="shared" si="11"/>
        <v>0.51195826731766203</v>
      </c>
      <c r="M46" s="6">
        <f t="shared" si="12"/>
        <v>-0.41799999999999998</v>
      </c>
      <c r="N46" s="6">
        <f t="shared" si="13"/>
        <v>-0.39900000000000002</v>
      </c>
      <c r="O46" s="6">
        <f t="shared" si="14"/>
        <v>-0.57199999999999995</v>
      </c>
      <c r="P46" s="6">
        <v>-0.41799999999999998</v>
      </c>
      <c r="Q46" s="4">
        <v>-0.39900000000000002</v>
      </c>
      <c r="R46" s="5">
        <v>-0.57199999999999995</v>
      </c>
      <c r="S46">
        <f t="shared" si="15"/>
        <v>-0.57199999999999995</v>
      </c>
      <c r="T46">
        <f t="shared" si="16"/>
        <v>0.69755244755244761</v>
      </c>
      <c r="U46">
        <f t="shared" si="17"/>
        <v>0.73076923076923084</v>
      </c>
      <c r="V46">
        <f t="shared" si="1"/>
        <v>-0.6773952797202798</v>
      </c>
      <c r="X46">
        <v>-0.57199999999999995</v>
      </c>
      <c r="Y46">
        <v>-0.56841699999999995</v>
      </c>
      <c r="Z46" s="11">
        <f t="shared" si="18"/>
        <v>0.54746288154274225</v>
      </c>
      <c r="AA46">
        <f t="shared" si="19"/>
        <v>-0.68391996055093418</v>
      </c>
      <c r="AB46" s="13">
        <f t="shared" si="20"/>
        <v>-0.51396893898336671</v>
      </c>
      <c r="AC46" s="13">
        <v>-1.3968938983366701E-2</v>
      </c>
    </row>
    <row r="47" spans="1:29" x14ac:dyDescent="0.25">
      <c r="A47" s="1">
        <v>1888</v>
      </c>
      <c r="B47" s="1">
        <f t="shared" si="2"/>
        <v>-0.309</v>
      </c>
      <c r="C47" s="1">
        <f t="shared" si="3"/>
        <v>-0.35773335000000001</v>
      </c>
      <c r="D47" s="1">
        <f t="shared" si="4"/>
        <v>3.9540309764271864E-2</v>
      </c>
      <c r="E47" s="7">
        <f t="shared" si="5"/>
        <v>0.3452591890900778</v>
      </c>
      <c r="F47" s="1">
        <f t="shared" si="6"/>
        <v>4.8733350000000009E-2</v>
      </c>
      <c r="G47" s="9">
        <f t="shared" si="7"/>
        <v>0.3452591890900778</v>
      </c>
      <c r="H47" s="1">
        <f t="shared" si="8"/>
        <v>-2.4435911434320001E-2</v>
      </c>
      <c r="I47" s="1" t="e">
        <f t="shared" si="9"/>
        <v>#NUM!</v>
      </c>
      <c r="J47" s="1" t="e">
        <f t="shared" si="10"/>
        <v>#NUM!</v>
      </c>
      <c r="K47" s="3"/>
      <c r="L47" s="3">
        <f t="shared" si="11"/>
        <v>0.3452591890900778</v>
      </c>
      <c r="M47" s="6">
        <f t="shared" si="12"/>
        <v>-0.309</v>
      </c>
      <c r="N47" s="6">
        <f t="shared" si="13"/>
        <v>-0.23400000000000001</v>
      </c>
      <c r="O47" s="6">
        <f t="shared" si="14"/>
        <v>-0.627</v>
      </c>
      <c r="P47" s="6">
        <v>-0.309</v>
      </c>
      <c r="Q47" s="4">
        <v>-0.23400000000000001</v>
      </c>
      <c r="R47" s="5">
        <v>-0.627</v>
      </c>
      <c r="S47">
        <f t="shared" si="15"/>
        <v>-0.627</v>
      </c>
      <c r="T47">
        <f t="shared" si="16"/>
        <v>0.37320574162679426</v>
      </c>
      <c r="U47">
        <f t="shared" si="17"/>
        <v>0.49282296650717705</v>
      </c>
      <c r="V47">
        <f t="shared" si="1"/>
        <v>-0.43298899521531098</v>
      </c>
      <c r="X47">
        <v>-0.627</v>
      </c>
      <c r="Y47">
        <v>-0.62575000000000003</v>
      </c>
      <c r="Z47" s="11">
        <f t="shared" si="18"/>
        <v>0.55511509347707033</v>
      </c>
      <c r="AA47">
        <f t="shared" si="19"/>
        <v>-0.48035906260688394</v>
      </c>
      <c r="AB47" s="13">
        <f t="shared" si="20"/>
        <v>-0.4885480321756957</v>
      </c>
      <c r="AC47" s="13">
        <v>1.1451967824304301E-2</v>
      </c>
    </row>
    <row r="48" spans="1:29" x14ac:dyDescent="0.25">
      <c r="A48" s="1">
        <v>1889</v>
      </c>
      <c r="B48" s="1">
        <f t="shared" si="2"/>
        <v>-0.17299999999999999</v>
      </c>
      <c r="C48" s="1">
        <f t="shared" si="3"/>
        <v>-0.18616484999999999</v>
      </c>
      <c r="D48" s="1">
        <f t="shared" si="4"/>
        <v>1.306770943930638E-2</v>
      </c>
      <c r="E48" s="7">
        <f t="shared" si="5"/>
        <v>0.43131453200877379</v>
      </c>
      <c r="F48" s="1">
        <f t="shared" si="6"/>
        <v>1.3164850000000006E-2</v>
      </c>
      <c r="G48" s="9">
        <f t="shared" si="7"/>
        <v>0.43131453200877379</v>
      </c>
      <c r="H48" s="1">
        <f t="shared" si="8"/>
        <v>-4.5214274660000039E-3</v>
      </c>
      <c r="I48" s="1" t="e">
        <f t="shared" si="9"/>
        <v>#NUM!</v>
      </c>
      <c r="J48" s="1" t="e">
        <f t="shared" si="10"/>
        <v>#NUM!</v>
      </c>
      <c r="K48" s="3"/>
      <c r="L48" s="3">
        <f t="shared" si="11"/>
        <v>0.43131453200877379</v>
      </c>
      <c r="M48" s="6">
        <f t="shared" si="12"/>
        <v>-0.17299999999999999</v>
      </c>
      <c r="N48" s="6">
        <f t="shared" si="13"/>
        <v>-0.15</v>
      </c>
      <c r="O48" s="6">
        <f t="shared" si="14"/>
        <v>-0.28100000000000003</v>
      </c>
      <c r="P48" s="6">
        <v>-0.17299999999999999</v>
      </c>
      <c r="Q48" s="4">
        <v>-0.15</v>
      </c>
      <c r="R48" s="5">
        <v>-0.28100000000000003</v>
      </c>
      <c r="S48">
        <f t="shared" si="15"/>
        <v>-0.28100000000000003</v>
      </c>
      <c r="T48">
        <f t="shared" si="16"/>
        <v>0.53380782918149461</v>
      </c>
      <c r="U48">
        <f t="shared" si="17"/>
        <v>0.61565836298932375</v>
      </c>
      <c r="V48">
        <f t="shared" si="1"/>
        <v>-0.56403807829181485</v>
      </c>
      <c r="X48">
        <v>-0.28100000000000003</v>
      </c>
      <c r="Y48">
        <v>-0.30325000000000002</v>
      </c>
      <c r="Z48" s="11">
        <f t="shared" si="18"/>
        <v>0.56283437553793192</v>
      </c>
      <c r="AA48">
        <f t="shared" si="19"/>
        <v>-0.27065723236386213</v>
      </c>
      <c r="AB48" s="13">
        <f t="shared" si="20"/>
        <v>-0.46115586385744811</v>
      </c>
      <c r="AC48" s="13">
        <v>3.8844136142551902E-2</v>
      </c>
    </row>
    <row r="49" spans="1:29" x14ac:dyDescent="0.25">
      <c r="A49" s="1">
        <v>1890</v>
      </c>
      <c r="B49" s="1">
        <f t="shared" si="2"/>
        <v>-0.41899999999999998</v>
      </c>
      <c r="C49" s="1">
        <f t="shared" si="3"/>
        <v>-0.40136490000000002</v>
      </c>
      <c r="D49" s="1">
        <f t="shared" si="4"/>
        <v>0</v>
      </c>
      <c r="E49" s="1">
        <f t="shared" si="5"/>
        <v>0.42856192021344031</v>
      </c>
      <c r="F49" s="1">
        <f t="shared" si="6"/>
        <v>1.7635099999999959E-2</v>
      </c>
      <c r="G49" s="9">
        <f t="shared" si="7"/>
        <v>0.42856192021344031</v>
      </c>
      <c r="H49" s="1">
        <f t="shared" si="8"/>
        <v>2.1365300240079987E-2</v>
      </c>
      <c r="I49" s="1">
        <f t="shared" si="9"/>
        <v>0.42856192021344031</v>
      </c>
      <c r="J49" s="1">
        <f t="shared" si="10"/>
        <v>0.88776410389763105</v>
      </c>
      <c r="K49" s="3"/>
      <c r="L49" s="3">
        <f t="shared" si="11"/>
        <v>0.65816301205553573</v>
      </c>
      <c r="M49" s="6">
        <f t="shared" si="12"/>
        <v>-0.41899999999999998</v>
      </c>
      <c r="N49" s="6">
        <f t="shared" si="13"/>
        <v>-0.42299999999999999</v>
      </c>
      <c r="O49" s="6">
        <f t="shared" si="14"/>
        <v>-0.44600000000000001</v>
      </c>
      <c r="P49" s="6">
        <v>-0.41899999999999998</v>
      </c>
      <c r="Q49" s="4">
        <v>-0.42299999999999999</v>
      </c>
      <c r="R49" s="5">
        <v>-0.44600000000000001</v>
      </c>
      <c r="S49">
        <f t="shared" si="15"/>
        <v>-0.44600000000000001</v>
      </c>
      <c r="T49">
        <f t="shared" si="16"/>
        <v>0.94843049327354256</v>
      </c>
      <c r="U49">
        <f t="shared" si="17"/>
        <v>0.93946188340807169</v>
      </c>
      <c r="V49">
        <f t="shared" si="1"/>
        <v>-0.91572892376681603</v>
      </c>
      <c r="X49">
        <v>-0.44600000000000001</v>
      </c>
      <c r="Y49">
        <v>-0.44933299999999998</v>
      </c>
      <c r="Z49" s="11">
        <f t="shared" si="18"/>
        <v>0.57059348840266466</v>
      </c>
      <c r="AA49">
        <f t="shared" si="19"/>
        <v>-0.65677943410208817</v>
      </c>
      <c r="AB49" s="13">
        <f t="shared" si="20"/>
        <v>-0.50188845063215926</v>
      </c>
      <c r="AC49" s="13">
        <v>-1.8884506321592701E-3</v>
      </c>
    </row>
    <row r="50" spans="1:29" x14ac:dyDescent="0.25">
      <c r="A50" s="1">
        <v>1891</v>
      </c>
      <c r="B50" s="1">
        <f t="shared" si="2"/>
        <v>-0.33900000000000002</v>
      </c>
      <c r="C50" s="1">
        <f t="shared" si="3"/>
        <v>-0.3558654</v>
      </c>
      <c r="D50" s="1">
        <f t="shared" si="4"/>
        <v>1.4073593904424753E-2</v>
      </c>
      <c r="E50" s="7">
        <f t="shared" si="5"/>
        <v>0.42108997463026071</v>
      </c>
      <c r="F50" s="1">
        <f t="shared" si="6"/>
        <v>1.6865399999999975E-2</v>
      </c>
      <c r="G50" s="9">
        <f t="shared" si="7"/>
        <v>0.42108997463026071</v>
      </c>
      <c r="H50" s="1">
        <f t="shared" si="8"/>
        <v>-9.5418966671999839E-3</v>
      </c>
      <c r="I50" s="1" t="e">
        <f t="shared" si="9"/>
        <v>#NUM!</v>
      </c>
      <c r="J50" s="1" t="e">
        <f t="shared" si="10"/>
        <v>#NUM!</v>
      </c>
      <c r="K50" s="3"/>
      <c r="L50" s="3">
        <f t="shared" si="11"/>
        <v>0.42108997463026071</v>
      </c>
      <c r="M50" s="6">
        <f t="shared" si="12"/>
        <v>-0.33900000000000002</v>
      </c>
      <c r="N50" s="6">
        <f t="shared" si="13"/>
        <v>-0.27</v>
      </c>
      <c r="O50" s="6">
        <f t="shared" si="14"/>
        <v>-0.56399999999999995</v>
      </c>
      <c r="P50" s="6">
        <v>-0.33900000000000002</v>
      </c>
      <c r="Q50" s="4">
        <v>-0.27</v>
      </c>
      <c r="R50" s="5">
        <v>-0.56399999999999995</v>
      </c>
      <c r="S50">
        <f t="shared" si="15"/>
        <v>-0.56399999999999995</v>
      </c>
      <c r="T50">
        <f t="shared" si="16"/>
        <v>0.47872340425531923</v>
      </c>
      <c r="U50">
        <f t="shared" si="17"/>
        <v>0.60106382978723416</v>
      </c>
      <c r="V50">
        <f t="shared" si="1"/>
        <v>-0.57416276595744697</v>
      </c>
      <c r="X50">
        <v>-0.56399999999999995</v>
      </c>
      <c r="Y50">
        <v>-0.55933299999999997</v>
      </c>
      <c r="Z50" s="11">
        <f t="shared" si="18"/>
        <v>0.57836661208420992</v>
      </c>
      <c r="AA50">
        <f t="shared" si="19"/>
        <v>-0.49465114626074147</v>
      </c>
      <c r="AB50" s="13">
        <f t="shared" si="20"/>
        <v>-0.49500258932118113</v>
      </c>
      <c r="AC50" s="13">
        <v>4.9974106788188699E-3</v>
      </c>
    </row>
    <row r="51" spans="1:29" x14ac:dyDescent="0.25">
      <c r="A51" s="1">
        <v>1892</v>
      </c>
      <c r="B51" s="1">
        <f t="shared" si="2"/>
        <v>-0.45600000000000002</v>
      </c>
      <c r="C51" s="1">
        <f t="shared" si="3"/>
        <v>-0.45665204999999998</v>
      </c>
      <c r="D51" s="1">
        <f t="shared" si="4"/>
        <v>5.295572368420598E-4</v>
      </c>
      <c r="E51" s="7">
        <f t="shared" si="5"/>
        <v>0.51113913408995382</v>
      </c>
      <c r="F51" s="1">
        <f t="shared" si="6"/>
        <v>6.5204999999995961E-4</v>
      </c>
      <c r="G51" s="9">
        <f t="shared" si="7"/>
        <v>0.51113913408995382</v>
      </c>
      <c r="H51" s="1">
        <f t="shared" si="8"/>
        <v>-4.8295619999996764E-4</v>
      </c>
      <c r="I51" s="1" t="e">
        <f t="shared" si="9"/>
        <v>#NUM!</v>
      </c>
      <c r="J51" s="1" t="e">
        <f t="shared" si="10"/>
        <v>#NUM!</v>
      </c>
      <c r="K51" s="3"/>
      <c r="L51" s="3">
        <f t="shared" si="11"/>
        <v>0.51113913408995382</v>
      </c>
      <c r="M51" s="6">
        <f t="shared" si="12"/>
        <v>-0.45600000000000002</v>
      </c>
      <c r="N51" s="6">
        <f t="shared" si="13"/>
        <v>-0.40799999999999997</v>
      </c>
      <c r="O51" s="6">
        <f t="shared" si="14"/>
        <v>-0.625</v>
      </c>
      <c r="P51" s="6">
        <v>-0.45600000000000002</v>
      </c>
      <c r="Q51" s="4">
        <v>-0.40799999999999997</v>
      </c>
      <c r="R51" s="5">
        <v>-0.625</v>
      </c>
      <c r="S51">
        <f t="shared" si="15"/>
        <v>-0.625</v>
      </c>
      <c r="T51">
        <f t="shared" si="16"/>
        <v>0.65279999999999994</v>
      </c>
      <c r="U51">
        <f t="shared" si="17"/>
        <v>0.72960000000000003</v>
      </c>
      <c r="V51">
        <f t="shared" si="1"/>
        <v>-0.70699664000000007</v>
      </c>
      <c r="X51">
        <v>-0.625</v>
      </c>
      <c r="Y51">
        <v>-0.62666699999999997</v>
      </c>
      <c r="Z51" s="11">
        <f t="shared" si="18"/>
        <v>0.58612928632646799</v>
      </c>
      <c r="AA51">
        <f t="shared" si="19"/>
        <v>-0.67573847342518789</v>
      </c>
      <c r="AB51" s="13">
        <f t="shared" si="20"/>
        <v>-0.49085517514769722</v>
      </c>
      <c r="AC51" s="13">
        <v>9.1448248523027693E-3</v>
      </c>
    </row>
    <row r="52" spans="1:29" x14ac:dyDescent="0.25">
      <c r="A52" s="1">
        <v>1893</v>
      </c>
      <c r="B52" s="1">
        <f t="shared" si="2"/>
        <v>-0.47499999999999998</v>
      </c>
      <c r="C52" s="1">
        <f t="shared" si="3"/>
        <v>-0.47711720000000002</v>
      </c>
      <c r="D52" s="1">
        <f t="shared" si="4"/>
        <v>1.590311364210506E-3</v>
      </c>
      <c r="E52" s="7">
        <f t="shared" si="5"/>
        <v>0.47538981965211474</v>
      </c>
      <c r="F52" s="1">
        <f t="shared" si="6"/>
        <v>2.1172000000000413E-3</v>
      </c>
      <c r="G52" s="9">
        <f t="shared" si="7"/>
        <v>0.47538981965211474</v>
      </c>
      <c r="H52" s="1">
        <f t="shared" si="8"/>
        <v>-1.5107957959999974E-3</v>
      </c>
      <c r="I52" s="1" t="e">
        <f t="shared" si="9"/>
        <v>#NUM!</v>
      </c>
      <c r="J52" s="1" t="e">
        <f t="shared" si="10"/>
        <v>#NUM!</v>
      </c>
      <c r="K52" s="3"/>
      <c r="L52" s="3">
        <f t="shared" si="11"/>
        <v>0.47538981965211474</v>
      </c>
      <c r="M52" s="6">
        <f t="shared" si="12"/>
        <v>-0.47499999999999998</v>
      </c>
      <c r="N52" s="6">
        <f t="shared" si="13"/>
        <v>-0.39700000000000002</v>
      </c>
      <c r="O52" s="6">
        <f t="shared" si="14"/>
        <v>-0.7</v>
      </c>
      <c r="P52" s="6">
        <v>-0.47499999999999998</v>
      </c>
      <c r="Q52" s="4">
        <v>-0.39700000000000002</v>
      </c>
      <c r="R52" s="5">
        <v>-0.7</v>
      </c>
      <c r="S52">
        <f t="shared" si="15"/>
        <v>-0.7</v>
      </c>
      <c r="T52">
        <f t="shared" si="16"/>
        <v>0.56714285714285717</v>
      </c>
      <c r="U52">
        <f t="shared" si="17"/>
        <v>0.6785714285714286</v>
      </c>
      <c r="V52">
        <f t="shared" si="1"/>
        <v>-0.66607300000000003</v>
      </c>
      <c r="X52">
        <v>-0.7</v>
      </c>
      <c r="Y52">
        <v>-0.69633299999999998</v>
      </c>
      <c r="Z52" s="11">
        <f t="shared" si="18"/>
        <v>0.59385838825255632</v>
      </c>
      <c r="AA52">
        <f t="shared" si="19"/>
        <v>-0.67752526115465339</v>
      </c>
      <c r="AB52" s="13">
        <f t="shared" si="20"/>
        <v>-0.49769927046276646</v>
      </c>
      <c r="AC52" s="13">
        <v>2.3007295372335299E-3</v>
      </c>
    </row>
    <row r="53" spans="1:29" x14ac:dyDescent="0.25">
      <c r="A53" s="1">
        <v>1894</v>
      </c>
      <c r="B53" s="1">
        <f t="shared" si="2"/>
        <v>-0.40799999999999997</v>
      </c>
      <c r="C53" s="1">
        <f t="shared" si="3"/>
        <v>-0.40706629999999999</v>
      </c>
      <c r="D53" s="1">
        <f t="shared" si="4"/>
        <v>0</v>
      </c>
      <c r="E53" s="7">
        <f t="shared" si="5"/>
        <v>0.49374686451775929</v>
      </c>
      <c r="F53" s="1">
        <f t="shared" si="6"/>
        <v>9.3369999999998177E-4</v>
      </c>
      <c r="G53" s="9">
        <f t="shared" si="7"/>
        <v>0.49374686451775929</v>
      </c>
      <c r="H53" s="1">
        <f t="shared" si="8"/>
        <v>5.8914975095999966E-3</v>
      </c>
      <c r="I53" s="1">
        <f t="shared" si="9"/>
        <v>0.49374686451775929</v>
      </c>
      <c r="J53" s="1">
        <f t="shared" si="10"/>
        <v>0.72256966397177236</v>
      </c>
      <c r="K53" s="3"/>
      <c r="L53" s="3">
        <f t="shared" si="11"/>
        <v>0.60815826424476582</v>
      </c>
      <c r="M53" s="6">
        <f t="shared" si="12"/>
        <v>-0.40799999999999997</v>
      </c>
      <c r="N53" s="6">
        <f t="shared" si="13"/>
        <v>-0.41799999999999998</v>
      </c>
      <c r="O53" s="6">
        <f t="shared" si="14"/>
        <v>-0.47</v>
      </c>
      <c r="P53" s="6">
        <v>-0.40799999999999997</v>
      </c>
      <c r="Q53" s="4">
        <v>-0.41799999999999998</v>
      </c>
      <c r="R53" s="5">
        <v>-0.47</v>
      </c>
      <c r="S53">
        <f t="shared" si="15"/>
        <v>-0.47</v>
      </c>
      <c r="T53">
        <f t="shared" si="16"/>
        <v>0.88936170212765964</v>
      </c>
      <c r="U53">
        <f t="shared" si="17"/>
        <v>0.86808510638297876</v>
      </c>
      <c r="V53">
        <f t="shared" si="1"/>
        <v>-0.81513276595744688</v>
      </c>
      <c r="X53">
        <v>-0.47</v>
      </c>
      <c r="Y53">
        <v>-0.46825</v>
      </c>
      <c r="Z53" s="11">
        <f t="shared" si="18"/>
        <v>0.60153212491422892</v>
      </c>
      <c r="AA53">
        <f t="shared" si="19"/>
        <v>-0.63050558490897335</v>
      </c>
      <c r="AB53" s="13">
        <f t="shared" si="20"/>
        <v>-0.4722884710656467</v>
      </c>
      <c r="AC53" s="13">
        <v>2.7711528934353299E-2</v>
      </c>
    </row>
    <row r="54" spans="1:29" x14ac:dyDescent="0.25">
      <c r="A54" s="1">
        <v>1895</v>
      </c>
      <c r="B54" s="1">
        <f t="shared" si="2"/>
        <v>-0.39300000000000002</v>
      </c>
      <c r="C54" s="1">
        <f t="shared" si="3"/>
        <v>-0.39614674999999999</v>
      </c>
      <c r="D54" s="1">
        <f t="shared" si="4"/>
        <v>2.7879535836640712E-3</v>
      </c>
      <c r="E54" s="7">
        <f t="shared" si="5"/>
        <v>0.47551945963565778</v>
      </c>
      <c r="F54" s="1">
        <f t="shared" si="6"/>
        <v>3.146749999999976E-3</v>
      </c>
      <c r="G54" s="9">
        <f t="shared" si="7"/>
        <v>0.47551945963565778</v>
      </c>
      <c r="H54" s="1">
        <f t="shared" si="8"/>
        <v>-2.1913315167599867E-3</v>
      </c>
      <c r="I54" s="1" t="e">
        <f t="shared" si="9"/>
        <v>#NUM!</v>
      </c>
      <c r="J54" s="1" t="e">
        <f t="shared" si="10"/>
        <v>#NUM!</v>
      </c>
      <c r="K54" s="3"/>
      <c r="L54" s="3">
        <f t="shared" si="11"/>
        <v>0.47551945963565778</v>
      </c>
      <c r="M54" s="6">
        <f t="shared" si="12"/>
        <v>-0.39300000000000002</v>
      </c>
      <c r="N54" s="6">
        <f t="shared" si="13"/>
        <v>-0.33100000000000002</v>
      </c>
      <c r="O54" s="6">
        <f t="shared" si="14"/>
        <v>-0.57899999999999996</v>
      </c>
      <c r="P54" s="6">
        <v>-0.39300000000000002</v>
      </c>
      <c r="Q54" s="4">
        <v>-0.33100000000000002</v>
      </c>
      <c r="R54" s="5">
        <v>-0.57899999999999996</v>
      </c>
      <c r="S54">
        <f t="shared" si="15"/>
        <v>-0.57899999999999996</v>
      </c>
      <c r="T54">
        <f t="shared" si="16"/>
        <v>0.57167530224525054</v>
      </c>
      <c r="U54">
        <f t="shared" si="17"/>
        <v>0.6787564766839379</v>
      </c>
      <c r="V54">
        <f t="shared" si="1"/>
        <v>-0.66320829015544047</v>
      </c>
      <c r="X54">
        <v>-0.57899999999999996</v>
      </c>
      <c r="Y54">
        <v>-0.57974999999999999</v>
      </c>
      <c r="Z54" s="11">
        <f t="shared" si="18"/>
        <v>0.60912994388490915</v>
      </c>
      <c r="AA54">
        <f t="shared" si="19"/>
        <v>-0.55359086051209416</v>
      </c>
      <c r="AB54" s="13">
        <f t="shared" si="20"/>
        <v>-0.47917099042215078</v>
      </c>
      <c r="AC54" s="13">
        <v>2.0829009577849202E-2</v>
      </c>
    </row>
    <row r="55" spans="1:29" x14ac:dyDescent="0.25">
      <c r="A55" s="1">
        <v>1896</v>
      </c>
      <c r="B55" s="1">
        <f t="shared" si="2"/>
        <v>-0.191</v>
      </c>
      <c r="C55" s="1">
        <f t="shared" si="3"/>
        <v>-0.22009924999999997</v>
      </c>
      <c r="D55" s="1">
        <f t="shared" si="4"/>
        <v>1.672443970481674E-2</v>
      </c>
      <c r="E55" s="7">
        <f t="shared" si="5"/>
        <v>0.32399448904033512</v>
      </c>
      <c r="F55" s="1">
        <f t="shared" si="6"/>
        <v>2.9099249999999965E-2</v>
      </c>
      <c r="G55" s="9">
        <f t="shared" si="7"/>
        <v>0.32399448904033512</v>
      </c>
      <c r="H55" s="1">
        <f t="shared" si="8"/>
        <v>-6.388735967239996E-3</v>
      </c>
      <c r="I55" s="1" t="e">
        <f t="shared" si="9"/>
        <v>#NUM!</v>
      </c>
      <c r="J55" s="1" t="e">
        <f t="shared" si="10"/>
        <v>#NUM!</v>
      </c>
      <c r="K55" s="3"/>
      <c r="L55" s="3">
        <f t="shared" si="11"/>
        <v>0.32399448904033512</v>
      </c>
      <c r="M55" s="6">
        <f t="shared" si="12"/>
        <v>-0.191</v>
      </c>
      <c r="N55" s="6">
        <f t="shared" si="13"/>
        <v>-0.127</v>
      </c>
      <c r="O55" s="6">
        <f t="shared" si="14"/>
        <v>-0.41299999999999998</v>
      </c>
      <c r="P55" s="6">
        <v>-0.191</v>
      </c>
      <c r="Q55" s="4">
        <v>-0.127</v>
      </c>
      <c r="R55" s="5">
        <v>-0.41299999999999998</v>
      </c>
      <c r="S55">
        <f t="shared" si="15"/>
        <v>-0.41299999999999998</v>
      </c>
      <c r="T55">
        <f t="shared" si="16"/>
        <v>0.30750605326876518</v>
      </c>
      <c r="U55">
        <f t="shared" si="17"/>
        <v>0.46246973365617439</v>
      </c>
      <c r="V55">
        <f t="shared" si="1"/>
        <v>-0.4191723970944311</v>
      </c>
      <c r="X55">
        <v>-0.41299999999999998</v>
      </c>
      <c r="Y55">
        <v>-0.41775000000000001</v>
      </c>
      <c r="Z55" s="11">
        <f t="shared" si="18"/>
        <v>0.61663260776549578</v>
      </c>
      <c r="AA55">
        <f t="shared" si="19"/>
        <v>-0.26523364007105082</v>
      </c>
      <c r="AB55" s="13">
        <f t="shared" si="20"/>
        <v>-0.4666331133130181</v>
      </c>
      <c r="AC55" s="13">
        <v>3.33668866869819E-2</v>
      </c>
    </row>
    <row r="56" spans="1:29" x14ac:dyDescent="0.25">
      <c r="A56" s="1">
        <v>1897</v>
      </c>
      <c r="B56" s="1">
        <f t="shared" si="2"/>
        <v>-0.21</v>
      </c>
      <c r="C56" s="1">
        <f t="shared" si="3"/>
        <v>-0.2142559</v>
      </c>
      <c r="D56" s="1">
        <f t="shared" si="4"/>
        <v>3.9149592959999979E-3</v>
      </c>
      <c r="E56" s="7">
        <f t="shared" si="5"/>
        <v>0.4626435186286717</v>
      </c>
      <c r="F56" s="1">
        <f t="shared" si="6"/>
        <v>4.2559000000000069E-3</v>
      </c>
      <c r="G56" s="9">
        <f t="shared" si="7"/>
        <v>0.4626435186286717</v>
      </c>
      <c r="H56" s="1">
        <f t="shared" si="8"/>
        <v>-1.6442829043199977E-3</v>
      </c>
      <c r="I56" s="1" t="e">
        <f t="shared" si="9"/>
        <v>#NUM!</v>
      </c>
      <c r="J56" s="1" t="e">
        <f t="shared" si="10"/>
        <v>#NUM!</v>
      </c>
      <c r="K56" s="3"/>
      <c r="L56" s="3">
        <f t="shared" si="11"/>
        <v>0.4626435186286717</v>
      </c>
      <c r="M56" s="6">
        <f t="shared" si="12"/>
        <v>-0.21</v>
      </c>
      <c r="N56" s="6">
        <f t="shared" si="13"/>
        <v>-0.17599999999999999</v>
      </c>
      <c r="O56" s="6">
        <f t="shared" si="14"/>
        <v>-0.318</v>
      </c>
      <c r="P56" s="6">
        <v>-0.21</v>
      </c>
      <c r="Q56" s="4">
        <v>-0.17599999999999999</v>
      </c>
      <c r="R56" s="5">
        <v>-0.318</v>
      </c>
      <c r="S56">
        <f t="shared" si="15"/>
        <v>-0.318</v>
      </c>
      <c r="T56">
        <f t="shared" si="16"/>
        <v>0.55345911949685533</v>
      </c>
      <c r="U56">
        <f t="shared" si="17"/>
        <v>0.660377358490566</v>
      </c>
      <c r="V56">
        <f t="shared" si="1"/>
        <v>-0.63945094339622632</v>
      </c>
      <c r="X56">
        <v>-0.318</v>
      </c>
      <c r="Y56">
        <v>-0.32824999999999999</v>
      </c>
      <c r="Z56" s="11">
        <f t="shared" si="18"/>
        <v>0.62402206752449274</v>
      </c>
      <c r="AA56">
        <f t="shared" si="19"/>
        <v>-0.29233628135322198</v>
      </c>
      <c r="AB56" s="13">
        <f t="shared" si="20"/>
        <v>-0.45518552790300681</v>
      </c>
      <c r="AC56" s="13">
        <v>4.4814472096993199E-2</v>
      </c>
    </row>
    <row r="57" spans="1:29" x14ac:dyDescent="0.25">
      <c r="A57" s="1">
        <v>1898</v>
      </c>
      <c r="B57" s="1">
        <f t="shared" si="2"/>
        <v>-0.40799999999999997</v>
      </c>
      <c r="C57" s="1">
        <f t="shared" si="3"/>
        <v>-0.36885875000000001</v>
      </c>
      <c r="D57" s="1">
        <f t="shared" si="4"/>
        <v>0</v>
      </c>
      <c r="E57" s="1">
        <f t="shared" si="5"/>
        <v>0.38112477997399774</v>
      </c>
      <c r="F57" s="1">
        <f t="shared" si="6"/>
        <v>3.9141249999999961E-2</v>
      </c>
      <c r="G57" s="9">
        <f t="shared" si="7"/>
        <v>0.38112477997399774</v>
      </c>
      <c r="H57" s="1">
        <f t="shared" si="8"/>
        <v>3.8992514400359973E-2</v>
      </c>
      <c r="I57" s="1">
        <f t="shared" si="9"/>
        <v>0.38112477997399774</v>
      </c>
      <c r="J57" s="1">
        <f t="shared" si="10"/>
        <v>1.096055500103728</v>
      </c>
      <c r="K57" s="3"/>
      <c r="L57" s="3">
        <f t="shared" si="11"/>
        <v>0.73859014003886281</v>
      </c>
      <c r="M57" s="6">
        <f t="shared" si="12"/>
        <v>-0.40799999999999997</v>
      </c>
      <c r="N57" s="6">
        <f t="shared" si="13"/>
        <v>-0.40300000000000002</v>
      </c>
      <c r="O57" s="6">
        <f t="shared" si="14"/>
        <v>-0.38700000000000001</v>
      </c>
      <c r="P57" s="6">
        <v>-0.40799999999999997</v>
      </c>
      <c r="Q57" s="4">
        <v>-0.40300000000000002</v>
      </c>
      <c r="R57" s="5">
        <v>-0.38700000000000001</v>
      </c>
      <c r="S57">
        <f t="shared" si="15"/>
        <v>-0.38700000000000001</v>
      </c>
      <c r="T57">
        <f t="shared" si="16"/>
        <v>1.0413436692506459</v>
      </c>
      <c r="U57">
        <f t="shared" si="17"/>
        <v>1.0542635658914727</v>
      </c>
      <c r="V57">
        <f t="shared" si="1"/>
        <v>-1.0790201550387595</v>
      </c>
      <c r="X57">
        <v>-0.38700000000000001</v>
      </c>
      <c r="Y57">
        <v>-0.38033299999999998</v>
      </c>
      <c r="Z57" s="11">
        <f t="shared" si="18"/>
        <v>0.631281484849751</v>
      </c>
      <c r="AA57">
        <f t="shared" si="19"/>
        <v>-0.56641276145083541</v>
      </c>
      <c r="AB57" s="13">
        <f t="shared" si="20"/>
        <v>-0.46477888798045841</v>
      </c>
      <c r="AC57" s="13">
        <v>3.5221112019541603E-2</v>
      </c>
    </row>
    <row r="58" spans="1:29" x14ac:dyDescent="0.25">
      <c r="A58" s="1">
        <v>1899</v>
      </c>
      <c r="B58" s="1">
        <f t="shared" si="2"/>
        <v>-0.28799999999999998</v>
      </c>
      <c r="C58" s="1">
        <f t="shared" si="3"/>
        <v>-0.27666110000000005</v>
      </c>
      <c r="D58" s="1">
        <f t="shared" si="4"/>
        <v>0</v>
      </c>
      <c r="E58" s="1">
        <f t="shared" si="5"/>
        <v>0.42267919980227198</v>
      </c>
      <c r="F58" s="1">
        <f t="shared" si="6"/>
        <v>1.133889999999993E-2</v>
      </c>
      <c r="G58" s="9">
        <f t="shared" si="7"/>
        <v>0.42267919980227198</v>
      </c>
      <c r="H58" s="1">
        <f t="shared" si="8"/>
        <v>8.3381869727999908E-3</v>
      </c>
      <c r="I58" s="1">
        <f t="shared" si="9"/>
        <v>0.42267919980227198</v>
      </c>
      <c r="J58" s="1">
        <f t="shared" si="10"/>
        <v>0.81514563251114502</v>
      </c>
      <c r="K58" s="3"/>
      <c r="L58" s="3">
        <f t="shared" si="11"/>
        <v>0.61891241615670856</v>
      </c>
      <c r="M58" s="6">
        <f t="shared" si="12"/>
        <v>-0.28799999999999998</v>
      </c>
      <c r="N58" s="6">
        <f t="shared" si="13"/>
        <v>-0.28000000000000003</v>
      </c>
      <c r="O58" s="6">
        <f t="shared" si="14"/>
        <v>-0.32600000000000001</v>
      </c>
      <c r="P58" s="6">
        <v>-0.28799999999999998</v>
      </c>
      <c r="Q58" s="4">
        <v>-0.28000000000000003</v>
      </c>
      <c r="R58" s="5">
        <v>-0.32600000000000001</v>
      </c>
      <c r="S58">
        <f t="shared" si="15"/>
        <v>-0.32600000000000001</v>
      </c>
      <c r="T58">
        <f t="shared" si="16"/>
        <v>0.85889570552147243</v>
      </c>
      <c r="U58">
        <f t="shared" si="17"/>
        <v>0.88343558282208579</v>
      </c>
      <c r="V58">
        <f t="shared" si="1"/>
        <v>-0.86757730061349669</v>
      </c>
      <c r="X58">
        <v>-0.32600000000000001</v>
      </c>
      <c r="Y58">
        <v>-0.32616699999999998</v>
      </c>
      <c r="Z58" s="11">
        <f t="shared" si="18"/>
        <v>0.638395213522017</v>
      </c>
      <c r="AA58">
        <f t="shared" si="19"/>
        <v>-0.40636246275814908</v>
      </c>
      <c r="AB58" s="13">
        <f t="shared" si="20"/>
        <v>-0.43986780948475918</v>
      </c>
      <c r="AC58" s="13">
        <v>6.0132190515240803E-2</v>
      </c>
    </row>
    <row r="59" spans="1:29" x14ac:dyDescent="0.25">
      <c r="A59" s="1">
        <v>1900</v>
      </c>
      <c r="B59" s="1">
        <f t="shared" si="2"/>
        <v>-0.19800000000000001</v>
      </c>
      <c r="C59" s="1">
        <f t="shared" si="3"/>
        <v>-0.18410575000000001</v>
      </c>
      <c r="D59" s="1">
        <f t="shared" si="4"/>
        <v>0</v>
      </c>
      <c r="E59" s="1">
        <f t="shared" si="5"/>
        <v>0.40380153024517335</v>
      </c>
      <c r="F59" s="1">
        <f t="shared" si="6"/>
        <v>1.3894249999999997E-2</v>
      </c>
      <c r="G59" s="9">
        <f t="shared" si="7"/>
        <v>0.40380153024517335</v>
      </c>
      <c r="H59" s="1">
        <f t="shared" si="8"/>
        <v>7.3281596400000051E-3</v>
      </c>
      <c r="I59" s="1">
        <f t="shared" si="9"/>
        <v>0.40380153024517335</v>
      </c>
      <c r="J59" s="1">
        <f t="shared" si="10"/>
        <v>1.0189035494586454</v>
      </c>
      <c r="K59" s="3"/>
      <c r="L59" s="3">
        <f t="shared" si="11"/>
        <v>0.71135253985190927</v>
      </c>
      <c r="M59" s="6">
        <f t="shared" si="12"/>
        <v>-0.19800000000000001</v>
      </c>
      <c r="N59" s="6">
        <f t="shared" si="13"/>
        <v>-0.2</v>
      </c>
      <c r="O59" s="6">
        <f t="shared" si="14"/>
        <v>-0.19500000000000001</v>
      </c>
      <c r="P59" s="6">
        <v>-0.19800000000000001</v>
      </c>
      <c r="Q59" s="4">
        <v>-0.2</v>
      </c>
      <c r="R59" s="5">
        <v>-0.19500000000000001</v>
      </c>
      <c r="S59">
        <f t="shared" si="15"/>
        <v>-0.19500000000000001</v>
      </c>
      <c r="T59">
        <f t="shared" si="16"/>
        <v>1.0256410256410258</v>
      </c>
      <c r="U59">
        <f t="shared" si="17"/>
        <v>1.0153846153846153</v>
      </c>
      <c r="V59">
        <f t="shared" si="1"/>
        <v>-1.0124692307692307</v>
      </c>
      <c r="X59">
        <v>-0.19500000000000001</v>
      </c>
      <c r="Y59">
        <v>-0.20449999999999999</v>
      </c>
      <c r="Z59" s="11">
        <f t="shared" si="18"/>
        <v>0.64534874353557825</v>
      </c>
      <c r="AA59">
        <f t="shared" si="19"/>
        <v>-0.27701123480783607</v>
      </c>
      <c r="AB59" s="13">
        <f t="shared" si="20"/>
        <v>-0.43117006766656163</v>
      </c>
      <c r="AC59" s="13">
        <v>6.8829932333438398E-2</v>
      </c>
    </row>
    <row r="60" spans="1:29" x14ac:dyDescent="0.25">
      <c r="A60" s="1">
        <v>1901</v>
      </c>
      <c r="B60" s="1">
        <f t="shared" si="2"/>
        <v>-0.26700000000000002</v>
      </c>
      <c r="C60" s="1">
        <f t="shared" si="3"/>
        <v>-0.24696705000000002</v>
      </c>
      <c r="D60" s="1">
        <f t="shared" si="4"/>
        <v>0</v>
      </c>
      <c r="E60" s="1">
        <f t="shared" si="5"/>
        <v>0.43284665324221394</v>
      </c>
      <c r="F60" s="1">
        <f t="shared" si="6"/>
        <v>2.0032949999999994E-2</v>
      </c>
      <c r="G60" s="9">
        <f t="shared" si="7"/>
        <v>0.43284665324221394</v>
      </c>
      <c r="H60" s="1">
        <f t="shared" si="8"/>
        <v>2.4850804570920003E-2</v>
      </c>
      <c r="I60" s="1">
        <f t="shared" si="9"/>
        <v>0.43284665324221394</v>
      </c>
      <c r="J60" s="1">
        <f t="shared" si="10"/>
        <v>1.6807509035340036</v>
      </c>
      <c r="K60" s="3"/>
      <c r="L60" s="3">
        <f t="shared" si="11"/>
        <v>1.056798778388109</v>
      </c>
      <c r="M60" s="6">
        <f t="shared" si="12"/>
        <v>-0.26700000000000002</v>
      </c>
      <c r="N60" s="6">
        <f t="shared" si="13"/>
        <v>-0.32100000000000001</v>
      </c>
      <c r="O60" s="6">
        <f t="shared" si="14"/>
        <v>-0.17699999999999999</v>
      </c>
      <c r="P60" s="6">
        <v>-0.26700000000000002</v>
      </c>
      <c r="Q60" s="4">
        <v>-0.32100000000000001</v>
      </c>
      <c r="R60" s="5">
        <v>-0.17699999999999999</v>
      </c>
      <c r="S60">
        <f t="shared" si="15"/>
        <v>-0.17699999999999999</v>
      </c>
      <c r="T60">
        <f t="shared" si="16"/>
        <v>1.8135593220338984</v>
      </c>
      <c r="U60">
        <f t="shared" si="17"/>
        <v>1.5084745762711866</v>
      </c>
      <c r="V60">
        <f t="shared" si="1"/>
        <v>-1.43631186440678</v>
      </c>
      <c r="X60">
        <v>-0.17699999999999999</v>
      </c>
      <c r="Y60">
        <v>-0.190417</v>
      </c>
      <c r="Z60" s="11">
        <f t="shared" si="18"/>
        <v>0.65212867874652147</v>
      </c>
      <c r="AA60">
        <f t="shared" si="19"/>
        <v>-0.40198260642703892</v>
      </c>
      <c r="AB60" s="13">
        <f t="shared" si="20"/>
        <v>-0.42573480345990011</v>
      </c>
      <c r="AC60" s="13">
        <v>7.4265196540099901E-2</v>
      </c>
    </row>
    <row r="61" spans="1:29" x14ac:dyDescent="0.25">
      <c r="A61" s="1">
        <v>1902</v>
      </c>
      <c r="B61" s="1">
        <f t="shared" si="2"/>
        <v>-0.41199999999999998</v>
      </c>
      <c r="C61" s="1">
        <f t="shared" si="3"/>
        <v>-0.38592929999999998</v>
      </c>
      <c r="D61" s="1">
        <f t="shared" si="4"/>
        <v>0</v>
      </c>
      <c r="E61" s="1">
        <f t="shared" si="5"/>
        <v>0.40625595318573593</v>
      </c>
      <c r="F61" s="1">
        <f t="shared" si="6"/>
        <v>2.6070700000000002E-2</v>
      </c>
      <c r="G61" s="9">
        <f t="shared" si="7"/>
        <v>0.40625595318573593</v>
      </c>
      <c r="H61" s="1">
        <f t="shared" si="8"/>
        <v>2.7984781955919996E-2</v>
      </c>
      <c r="I61" s="1">
        <f t="shared" si="9"/>
        <v>0.40625595318573593</v>
      </c>
      <c r="J61" s="1">
        <f t="shared" si="10"/>
        <v>0.96169040737969091</v>
      </c>
      <c r="K61" s="3"/>
      <c r="L61" s="3">
        <f t="shared" si="11"/>
        <v>0.68397318028271337</v>
      </c>
      <c r="M61" s="6">
        <f t="shared" si="12"/>
        <v>-0.41199999999999998</v>
      </c>
      <c r="N61" s="6">
        <f t="shared" si="13"/>
        <v>-0.41099999999999998</v>
      </c>
      <c r="O61" s="6">
        <f t="shared" si="14"/>
        <v>-0.42199999999999999</v>
      </c>
      <c r="P61" s="6">
        <v>-0.41199999999999998</v>
      </c>
      <c r="Q61" s="4">
        <v>-0.41099999999999998</v>
      </c>
      <c r="R61" s="5">
        <v>-0.42199999999999999</v>
      </c>
      <c r="S61">
        <f t="shared" si="15"/>
        <v>-0.42199999999999999</v>
      </c>
      <c r="T61">
        <f t="shared" si="16"/>
        <v>0.97393364928909953</v>
      </c>
      <c r="U61">
        <f t="shared" si="17"/>
        <v>0.976303317535545</v>
      </c>
      <c r="V61">
        <f t="shared" si="1"/>
        <v>-0.97121018957345961</v>
      </c>
      <c r="X61">
        <v>-0.42199999999999999</v>
      </c>
      <c r="Y61">
        <v>-0.42241699999999999</v>
      </c>
      <c r="Z61" s="11">
        <f t="shared" si="18"/>
        <v>0.65872271452099085</v>
      </c>
      <c r="AA61">
        <f t="shared" si="19"/>
        <v>-0.56612083952168379</v>
      </c>
      <c r="AB61" s="13">
        <f t="shared" si="20"/>
        <v>-0.45710331375414293</v>
      </c>
      <c r="AC61" s="13">
        <v>4.2896686245857102E-2</v>
      </c>
    </row>
    <row r="62" spans="1:29" x14ac:dyDescent="0.25">
      <c r="A62" s="1">
        <v>1903</v>
      </c>
      <c r="B62" s="1">
        <f t="shared" si="2"/>
        <v>-0.48099999999999998</v>
      </c>
      <c r="C62" s="1">
        <f t="shared" si="3"/>
        <v>-0.45098174999999996</v>
      </c>
      <c r="D62" s="1">
        <f t="shared" si="4"/>
        <v>0</v>
      </c>
      <c r="E62" s="1">
        <f t="shared" si="5"/>
        <v>0.42375317550279112</v>
      </c>
      <c r="F62" s="1">
        <f t="shared" si="6"/>
        <v>3.0018250000000024E-2</v>
      </c>
      <c r="G62" s="9">
        <f t="shared" si="7"/>
        <v>0.42375317550279112</v>
      </c>
      <c r="H62" s="1">
        <f t="shared" si="8"/>
        <v>4.8533439633639985E-2</v>
      </c>
      <c r="I62" s="1">
        <f t="shared" si="9"/>
        <v>0.42375317550279112</v>
      </c>
      <c r="J62" s="1">
        <f t="shared" si="10"/>
        <v>1.1399420476196123</v>
      </c>
      <c r="K62" s="3"/>
      <c r="L62" s="3">
        <f t="shared" si="11"/>
        <v>0.78184761156120175</v>
      </c>
      <c r="M62" s="6">
        <f t="shared" si="12"/>
        <v>-0.48099999999999998</v>
      </c>
      <c r="N62" s="6">
        <f t="shared" si="13"/>
        <v>-0.51900000000000002</v>
      </c>
      <c r="O62" s="6">
        <f t="shared" si="14"/>
        <v>-0.43099999999999999</v>
      </c>
      <c r="P62" s="6">
        <v>-0.48099999999999998</v>
      </c>
      <c r="Q62" s="4">
        <v>-0.51900000000000002</v>
      </c>
      <c r="R62" s="5">
        <v>-0.43099999999999999</v>
      </c>
      <c r="S62">
        <f t="shared" si="15"/>
        <v>-0.43099999999999999</v>
      </c>
      <c r="T62">
        <f t="shared" si="16"/>
        <v>1.2041763341067286</v>
      </c>
      <c r="U62">
        <f t="shared" si="17"/>
        <v>1.1160092807424593</v>
      </c>
      <c r="V62">
        <f t="shared" si="1"/>
        <v>-1.0862979118329465</v>
      </c>
      <c r="X62">
        <v>-0.43099999999999999</v>
      </c>
      <c r="Y62">
        <v>-0.42341699999999999</v>
      </c>
      <c r="Z62" s="11">
        <f t="shared" si="18"/>
        <v>0.66511963028460741</v>
      </c>
      <c r="AA62">
        <f t="shared" si="19"/>
        <v>-0.68030308490705493</v>
      </c>
      <c r="AB62" s="13">
        <f t="shared" si="20"/>
        <v>-0.45751193464917611</v>
      </c>
      <c r="AC62" s="13">
        <v>4.2488065350823903E-2</v>
      </c>
    </row>
    <row r="63" spans="1:29" x14ac:dyDescent="0.25">
      <c r="A63" s="1">
        <v>1904</v>
      </c>
      <c r="B63" s="1">
        <f t="shared" si="2"/>
        <v>-0.52800000000000002</v>
      </c>
      <c r="C63" s="1">
        <f t="shared" si="3"/>
        <v>-0.50824345000000004</v>
      </c>
      <c r="D63" s="1">
        <f t="shared" si="4"/>
        <v>0</v>
      </c>
      <c r="E63" s="1">
        <f t="shared" si="5"/>
        <v>0.43363785155213536</v>
      </c>
      <c r="F63" s="1">
        <f t="shared" si="6"/>
        <v>1.9756549999999984E-2</v>
      </c>
      <c r="G63" s="9">
        <f t="shared" si="7"/>
        <v>0.43363785155213536</v>
      </c>
      <c r="H63" s="1">
        <f t="shared" si="8"/>
        <v>3.0906840080520054E-2</v>
      </c>
      <c r="I63" s="1">
        <f t="shared" si="9"/>
        <v>0.43363785155213536</v>
      </c>
      <c r="J63" s="1">
        <f t="shared" si="10"/>
        <v>0.86654956750935108</v>
      </c>
      <c r="K63" s="3"/>
      <c r="L63" s="3">
        <f t="shared" si="11"/>
        <v>0.65009370953074319</v>
      </c>
      <c r="M63" s="6">
        <f t="shared" si="12"/>
        <v>-0.52800000000000002</v>
      </c>
      <c r="N63" s="6">
        <f t="shared" si="13"/>
        <v>-0.53300000000000003</v>
      </c>
      <c r="O63" s="6">
        <f t="shared" si="14"/>
        <v>-0.56899999999999995</v>
      </c>
      <c r="P63" s="6">
        <v>-0.52800000000000002</v>
      </c>
      <c r="Q63" s="4">
        <v>-0.53300000000000003</v>
      </c>
      <c r="R63" s="5">
        <v>-0.56899999999999995</v>
      </c>
      <c r="S63">
        <f t="shared" si="15"/>
        <v>-0.56899999999999995</v>
      </c>
      <c r="T63">
        <f t="shared" si="16"/>
        <v>0.93673110720562403</v>
      </c>
      <c r="U63">
        <f t="shared" si="17"/>
        <v>0.92794376098418285</v>
      </c>
      <c r="V63">
        <f t="shared" si="1"/>
        <v>-0.90104253075571183</v>
      </c>
      <c r="X63">
        <v>-0.56899999999999995</v>
      </c>
      <c r="Y63">
        <v>-0.55483300000000002</v>
      </c>
      <c r="Z63" s="11">
        <f t="shared" si="18"/>
        <v>0.67130921501666307</v>
      </c>
      <c r="AA63">
        <f t="shared" si="19"/>
        <v>-0.72956175086523767</v>
      </c>
      <c r="AB63" s="13">
        <f t="shared" si="20"/>
        <v>-0.46993131085770712</v>
      </c>
      <c r="AC63" s="13">
        <v>3.0068689142292899E-2</v>
      </c>
    </row>
    <row r="64" spans="1:29" x14ac:dyDescent="0.25">
      <c r="A64" s="1">
        <v>1905</v>
      </c>
      <c r="B64" s="1">
        <f t="shared" si="2"/>
        <v>-0.38200000000000001</v>
      </c>
      <c r="C64" s="1">
        <f t="shared" si="3"/>
        <v>-0.37948140000000002</v>
      </c>
      <c r="D64" s="1">
        <f t="shared" si="4"/>
        <v>0</v>
      </c>
      <c r="E64" s="7">
        <f t="shared" si="5"/>
        <v>0.48450467220467469</v>
      </c>
      <c r="F64" s="1">
        <f t="shared" si="6"/>
        <v>2.518599999999982E-3</v>
      </c>
      <c r="G64" s="9">
        <f t="shared" si="7"/>
        <v>0.48450467220467469</v>
      </c>
      <c r="H64" s="1">
        <f t="shared" si="8"/>
        <v>7.3965017708799985E-3</v>
      </c>
      <c r="I64" s="1">
        <f t="shared" si="9"/>
        <v>0.48450467220467469</v>
      </c>
      <c r="J64" s="1">
        <f t="shared" si="10"/>
        <v>0.76605349577344128</v>
      </c>
      <c r="K64" s="3"/>
      <c r="L64" s="3">
        <f t="shared" si="11"/>
        <v>0.62527908398905796</v>
      </c>
      <c r="M64" s="6">
        <f t="shared" si="12"/>
        <v>-0.38200000000000001</v>
      </c>
      <c r="N64" s="6">
        <f t="shared" si="13"/>
        <v>-0.39600000000000002</v>
      </c>
      <c r="O64" s="6">
        <f t="shared" si="14"/>
        <v>-0.42799999999999999</v>
      </c>
      <c r="P64" s="6">
        <v>-0.38200000000000001</v>
      </c>
      <c r="Q64" s="4">
        <v>-0.39600000000000002</v>
      </c>
      <c r="R64" s="5">
        <v>-0.42799999999999999</v>
      </c>
      <c r="S64">
        <f t="shared" si="15"/>
        <v>-0.42799999999999999</v>
      </c>
      <c r="T64">
        <f t="shared" si="16"/>
        <v>0.92523364485981319</v>
      </c>
      <c r="U64">
        <f t="shared" si="17"/>
        <v>0.89252336448598135</v>
      </c>
      <c r="V64">
        <f t="shared" si="1"/>
        <v>-0.83840747663551407</v>
      </c>
      <c r="X64">
        <v>-0.42799999999999999</v>
      </c>
      <c r="Y64">
        <v>-0.43416700000000003</v>
      </c>
      <c r="Z64" s="11">
        <f t="shared" si="18"/>
        <v>0.67728228960186243</v>
      </c>
      <c r="AA64">
        <f t="shared" si="19"/>
        <v>-0.53982946131146592</v>
      </c>
      <c r="AB64" s="13">
        <f t="shared" si="20"/>
        <v>-0.4520729798002065</v>
      </c>
      <c r="AC64" s="13">
        <v>4.7927020199793502E-2</v>
      </c>
    </row>
    <row r="65" spans="1:29" x14ac:dyDescent="0.25">
      <c r="A65" s="1">
        <v>1906</v>
      </c>
      <c r="B65" s="1">
        <f t="shared" si="2"/>
        <v>-0.29399999999999998</v>
      </c>
      <c r="C65" s="1">
        <f t="shared" si="3"/>
        <v>-0.27319919999999998</v>
      </c>
      <c r="D65" s="1">
        <f t="shared" si="4"/>
        <v>0</v>
      </c>
      <c r="E65" s="1">
        <f t="shared" si="5"/>
        <v>0.43201551010897782</v>
      </c>
      <c r="F65" s="1">
        <f t="shared" si="6"/>
        <v>2.0800800000000008E-2</v>
      </c>
      <c r="G65" s="9">
        <f t="shared" si="7"/>
        <v>0.43201551010897782</v>
      </c>
      <c r="H65" s="1">
        <f t="shared" si="8"/>
        <v>2.6656539386399995E-2</v>
      </c>
      <c r="I65" s="1">
        <f t="shared" si="9"/>
        <v>0.43201551010897782</v>
      </c>
      <c r="J65" s="1">
        <f t="shared" si="10"/>
        <v>1.5110872681314433</v>
      </c>
      <c r="K65" s="3"/>
      <c r="L65" s="3">
        <f t="shared" si="11"/>
        <v>0.97155138912021066</v>
      </c>
      <c r="M65" s="6">
        <f t="shared" si="12"/>
        <v>-0.29399999999999998</v>
      </c>
      <c r="N65" s="6">
        <f t="shared" si="13"/>
        <v>-0.34499999999999997</v>
      </c>
      <c r="O65" s="6">
        <f t="shared" si="14"/>
        <v>-0.21199999999999999</v>
      </c>
      <c r="P65" s="6">
        <v>-0.29399999999999998</v>
      </c>
      <c r="Q65" s="4">
        <v>-0.34499999999999997</v>
      </c>
      <c r="R65" s="5">
        <v>-0.21199999999999999</v>
      </c>
      <c r="S65">
        <f t="shared" si="15"/>
        <v>-0.21199999999999999</v>
      </c>
      <c r="T65">
        <f t="shared" si="16"/>
        <v>1.6273584905660377</v>
      </c>
      <c r="U65">
        <f t="shared" si="17"/>
        <v>1.3867924528301887</v>
      </c>
      <c r="V65">
        <f t="shared" si="1"/>
        <v>-1.3258391509433964</v>
      </c>
      <c r="X65">
        <v>-0.21199999999999999</v>
      </c>
      <c r="Y65">
        <v>-0.23166700000000001</v>
      </c>
      <c r="Z65" s="11">
        <f t="shared" si="18"/>
        <v>0.68303062487393618</v>
      </c>
      <c r="AA65">
        <f t="shared" si="19"/>
        <v>-0.42118675666730887</v>
      </c>
      <c r="AB65" s="13">
        <f t="shared" si="20"/>
        <v>-0.42499040391667198</v>
      </c>
      <c r="AC65" s="13">
        <v>7.5009596083327995E-2</v>
      </c>
    </row>
    <row r="66" spans="1:29" x14ac:dyDescent="0.25">
      <c r="A66" s="1">
        <v>1907</v>
      </c>
      <c r="B66" s="1">
        <f t="shared" si="2"/>
        <v>-0.47599999999999998</v>
      </c>
      <c r="C66" s="1">
        <f t="shared" si="3"/>
        <v>-0.4808924</v>
      </c>
      <c r="D66" s="1">
        <f t="shared" si="4"/>
        <v>4.5613398305882624E-3</v>
      </c>
      <c r="E66" s="7">
        <f t="shared" si="5"/>
        <v>0.51461951886967061</v>
      </c>
      <c r="F66" s="1">
        <f t="shared" si="6"/>
        <v>4.892400000000019E-3</v>
      </c>
      <c r="G66" s="9">
        <f t="shared" si="7"/>
        <v>0.51461951886967061</v>
      </c>
      <c r="H66" s="1">
        <f t="shared" si="8"/>
        <v>-4.3423955187200103E-3</v>
      </c>
      <c r="I66" s="1" t="e">
        <f t="shared" si="9"/>
        <v>#NUM!</v>
      </c>
      <c r="J66" s="1" t="e">
        <f t="shared" si="10"/>
        <v>#NUM!</v>
      </c>
      <c r="K66" s="3"/>
      <c r="L66" s="3">
        <f t="shared" si="11"/>
        <v>0.51461951886967061</v>
      </c>
      <c r="M66" s="6">
        <f t="shared" si="12"/>
        <v>-0.47599999999999998</v>
      </c>
      <c r="N66" s="6">
        <f t="shared" si="13"/>
        <v>-0.436</v>
      </c>
      <c r="O66" s="6">
        <f t="shared" si="14"/>
        <v>-0.64800000000000002</v>
      </c>
      <c r="P66" s="6">
        <v>-0.47599999999999998</v>
      </c>
      <c r="Q66" s="4">
        <v>-0.436</v>
      </c>
      <c r="R66" s="5">
        <v>-0.64800000000000002</v>
      </c>
      <c r="S66">
        <f t="shared" si="15"/>
        <v>-0.64800000000000002</v>
      </c>
      <c r="T66">
        <f t="shared" si="16"/>
        <v>0.6728395061728395</v>
      </c>
      <c r="U66">
        <f t="shared" si="17"/>
        <v>0.73456790123456783</v>
      </c>
      <c r="V66">
        <f t="shared" si="1"/>
        <v>-0.70263024691358011</v>
      </c>
      <c r="X66">
        <v>-0.64800000000000002</v>
      </c>
      <c r="Y66">
        <v>-0.63300000000000001</v>
      </c>
      <c r="Z66" s="11">
        <f t="shared" si="18"/>
        <v>0.6885469937697053</v>
      </c>
      <c r="AA66">
        <f t="shared" si="19"/>
        <v>-0.63744972350244844</v>
      </c>
      <c r="AB66" s="13">
        <f t="shared" si="20"/>
        <v>-0.48498925699964968</v>
      </c>
      <c r="AC66" s="13">
        <v>1.50107430003503E-2</v>
      </c>
    </row>
    <row r="67" spans="1:29" x14ac:dyDescent="0.25">
      <c r="A67" s="1">
        <v>1908</v>
      </c>
      <c r="B67" s="1">
        <f t="shared" si="2"/>
        <v>-0.52300000000000002</v>
      </c>
      <c r="C67" s="1">
        <f t="shared" si="3"/>
        <v>-0.48527215000000001</v>
      </c>
      <c r="D67" s="1">
        <f t="shared" si="4"/>
        <v>0</v>
      </c>
      <c r="E67" s="1">
        <f t="shared" si="5"/>
        <v>0.4068956416849811</v>
      </c>
      <c r="F67" s="1">
        <f t="shared" si="6"/>
        <v>3.7727850000000007E-2</v>
      </c>
      <c r="G67" s="9">
        <f t="shared" si="7"/>
        <v>0.4068956416849811</v>
      </c>
      <c r="H67" s="1">
        <f t="shared" si="8"/>
        <v>5.5461472121800026E-2</v>
      </c>
      <c r="I67" s="1">
        <f t="shared" si="9"/>
        <v>0.4068956416849811</v>
      </c>
      <c r="J67" s="1">
        <f t="shared" si="10"/>
        <v>1.0735102103055705</v>
      </c>
      <c r="K67" s="3"/>
      <c r="L67" s="3">
        <f t="shared" si="11"/>
        <v>0.74020292599527582</v>
      </c>
      <c r="M67" s="6">
        <f t="shared" si="12"/>
        <v>-0.52300000000000002</v>
      </c>
      <c r="N67" s="6">
        <f t="shared" si="13"/>
        <v>-0.53900000000000003</v>
      </c>
      <c r="O67" s="6">
        <f t="shared" si="14"/>
        <v>-0.495</v>
      </c>
      <c r="P67" s="6">
        <v>-0.52300000000000002</v>
      </c>
      <c r="Q67" s="4">
        <v>-0.53900000000000003</v>
      </c>
      <c r="R67" s="5">
        <v>-0.495</v>
      </c>
      <c r="S67">
        <f t="shared" si="15"/>
        <v>-0.495</v>
      </c>
      <c r="T67">
        <f t="shared" si="16"/>
        <v>1.088888888888889</v>
      </c>
      <c r="U67">
        <f t="shared" si="17"/>
        <v>1.0565656565656567</v>
      </c>
      <c r="V67">
        <f t="shared" si="1"/>
        <v>-1.0496913131313135</v>
      </c>
      <c r="X67">
        <v>-0.495</v>
      </c>
      <c r="Y67">
        <v>-0.49399999999999999</v>
      </c>
      <c r="Z67" s="11">
        <f t="shared" si="18"/>
        <v>0.6938250744715333</v>
      </c>
      <c r="AA67">
        <f t="shared" si="19"/>
        <v>-0.69615839292690673</v>
      </c>
      <c r="AB67" s="13">
        <f t="shared" si="20"/>
        <v>-0.45071891850561802</v>
      </c>
      <c r="AC67" s="13">
        <v>4.9281081494381998E-2</v>
      </c>
    </row>
    <row r="68" spans="1:29" x14ac:dyDescent="0.25">
      <c r="A68" s="1">
        <v>1909</v>
      </c>
      <c r="B68" s="1">
        <f t="shared" si="2"/>
        <v>-0.53600000000000003</v>
      </c>
      <c r="C68" s="1">
        <f t="shared" si="3"/>
        <v>-0.49101455000000005</v>
      </c>
      <c r="D68" s="1">
        <f t="shared" si="4"/>
        <v>0</v>
      </c>
      <c r="E68" s="1">
        <f t="shared" si="5"/>
        <v>0.40129611096087203</v>
      </c>
      <c r="F68" s="1">
        <f t="shared" si="6"/>
        <v>4.4985449999999982E-2</v>
      </c>
      <c r="G68" s="9">
        <f t="shared" si="7"/>
        <v>0.40129611096087203</v>
      </c>
      <c r="H68" s="1">
        <f t="shared" si="8"/>
        <v>6.8447105368360045E-2</v>
      </c>
      <c r="I68" s="1">
        <f t="shared" si="9"/>
        <v>0.40129611096087203</v>
      </c>
      <c r="J68" s="1">
        <f t="shared" si="10"/>
        <v>1.1665866301310821</v>
      </c>
      <c r="K68" s="3"/>
      <c r="L68" s="3">
        <f t="shared" si="11"/>
        <v>0.78394137054597723</v>
      </c>
      <c r="M68" s="6">
        <f t="shared" si="12"/>
        <v>-0.53600000000000003</v>
      </c>
      <c r="N68" s="6">
        <f t="shared" si="13"/>
        <v>-0.55900000000000005</v>
      </c>
      <c r="O68" s="6">
        <f t="shared" si="14"/>
        <v>-0.47899999999999998</v>
      </c>
      <c r="P68" s="6">
        <v>-0.53600000000000003</v>
      </c>
      <c r="Q68" s="4">
        <v>-0.55900000000000005</v>
      </c>
      <c r="R68" s="5">
        <v>-0.47899999999999998</v>
      </c>
      <c r="S68">
        <f t="shared" si="15"/>
        <v>-0.47899999999999998</v>
      </c>
      <c r="T68">
        <f t="shared" si="16"/>
        <v>1.1670146137787059</v>
      </c>
      <c r="U68">
        <f t="shared" si="17"/>
        <v>1.1189979123173279</v>
      </c>
      <c r="V68">
        <f t="shared" si="1"/>
        <v>-1.1187974947807935</v>
      </c>
      <c r="X68">
        <v>-0.47899999999999998</v>
      </c>
      <c r="Y68">
        <v>-0.48249999999999998</v>
      </c>
      <c r="Z68" s="11">
        <f t="shared" si="18"/>
        <v>0.69885941315442324</v>
      </c>
      <c r="AA68">
        <f t="shared" si="19"/>
        <v>-0.70800831072731718</v>
      </c>
      <c r="AB68" s="13">
        <f t="shared" si="20"/>
        <v>-0.44870423337490878</v>
      </c>
      <c r="AC68" s="13">
        <v>5.1295766625091201E-2</v>
      </c>
    </row>
    <row r="69" spans="1:29" x14ac:dyDescent="0.25">
      <c r="A69" s="1">
        <v>1910</v>
      </c>
      <c r="B69" s="1">
        <f t="shared" si="2"/>
        <v>-0.496</v>
      </c>
      <c r="C69" s="1">
        <f t="shared" si="3"/>
        <v>-0.44835005</v>
      </c>
      <c r="D69" s="1">
        <f t="shared" si="4"/>
        <v>0</v>
      </c>
      <c r="E69" s="1">
        <f t="shared" si="5"/>
        <v>0.41221112253167608</v>
      </c>
      <c r="F69" s="1">
        <f t="shared" si="6"/>
        <v>4.7649949999999996E-2</v>
      </c>
      <c r="G69" s="9">
        <f t="shared" si="7"/>
        <v>0.41221112253167608</v>
      </c>
      <c r="H69" s="1">
        <f t="shared" si="8"/>
        <v>8.5852162129600035E-2</v>
      </c>
      <c r="I69" s="1">
        <f t="shared" si="9"/>
        <v>0.41221112253167608</v>
      </c>
      <c r="J69" s="1">
        <f t="shared" si="10"/>
        <v>1.6021943131139591</v>
      </c>
      <c r="K69" s="3"/>
      <c r="L69" s="3">
        <f t="shared" si="11"/>
        <v>1.0072027178228176</v>
      </c>
      <c r="M69" s="6">
        <f t="shared" si="12"/>
        <v>-0.496</v>
      </c>
      <c r="N69" s="6">
        <f t="shared" si="13"/>
        <v>-0.56799999999999995</v>
      </c>
      <c r="O69" s="6">
        <f t="shared" si="14"/>
        <v>-0.34499999999999997</v>
      </c>
      <c r="P69" s="6">
        <v>-0.496</v>
      </c>
      <c r="Q69" s="4">
        <v>-0.56799999999999995</v>
      </c>
      <c r="R69" s="5">
        <v>-0.34499999999999997</v>
      </c>
      <c r="S69">
        <f t="shared" si="15"/>
        <v>-0.34499999999999997</v>
      </c>
      <c r="T69">
        <f t="shared" si="16"/>
        <v>1.6463768115942028</v>
      </c>
      <c r="U69">
        <f t="shared" si="17"/>
        <v>1.4376811594202901</v>
      </c>
      <c r="V69">
        <f t="shared" si="1"/>
        <v>-1.4140431884057976</v>
      </c>
      <c r="X69">
        <v>-0.34499999999999997</v>
      </c>
      <c r="Y69">
        <v>-0.34699999999999998</v>
      </c>
      <c r="Z69" s="11">
        <f t="shared" si="18"/>
        <v>0.70364548359066248</v>
      </c>
      <c r="AA69">
        <f t="shared" si="19"/>
        <v>-0.67488975378643934</v>
      </c>
      <c r="AB69" s="13">
        <f t="shared" si="20"/>
        <v>-0.4451243074797967</v>
      </c>
      <c r="AC69" s="13">
        <v>5.4875692520203301E-2</v>
      </c>
    </row>
    <row r="70" spans="1:29" x14ac:dyDescent="0.25">
      <c r="A70" s="1">
        <v>1911</v>
      </c>
      <c r="B70" s="1">
        <f t="shared" si="2"/>
        <v>-0.55400000000000005</v>
      </c>
      <c r="C70" s="1">
        <f t="shared" si="3"/>
        <v>-0.49168639999999997</v>
      </c>
      <c r="D70" s="1">
        <f t="shared" si="4"/>
        <v>0</v>
      </c>
      <c r="E70" s="1">
        <f t="shared" si="5"/>
        <v>0.38408910230646748</v>
      </c>
      <c r="F70" s="1">
        <f t="shared" si="6"/>
        <v>6.231360000000008E-2</v>
      </c>
      <c r="G70" s="9">
        <f t="shared" si="7"/>
        <v>0.38408910230646748</v>
      </c>
      <c r="H70" s="1">
        <f t="shared" si="8"/>
        <v>9.3753264891040078E-2</v>
      </c>
      <c r="I70" s="1">
        <f t="shared" si="9"/>
        <v>0.38408910230646748</v>
      </c>
      <c r="J70" s="1">
        <f t="shared" si="10"/>
        <v>1.3332483179179397</v>
      </c>
      <c r="K70" s="3"/>
      <c r="L70" s="3">
        <f t="shared" si="11"/>
        <v>0.85866871011220347</v>
      </c>
      <c r="M70" s="6">
        <f t="shared" si="12"/>
        <v>-0.55400000000000005</v>
      </c>
      <c r="N70" s="6">
        <f t="shared" si="13"/>
        <v>-0.57699999999999996</v>
      </c>
      <c r="O70" s="6">
        <f t="shared" si="14"/>
        <v>-0.45200000000000001</v>
      </c>
      <c r="P70" s="6">
        <v>-0.55400000000000005</v>
      </c>
      <c r="Q70" s="4">
        <v>-0.57699999999999996</v>
      </c>
      <c r="R70" s="5">
        <v>-0.45200000000000001</v>
      </c>
      <c r="S70">
        <f t="shared" si="15"/>
        <v>-0.45200000000000001</v>
      </c>
      <c r="T70">
        <f t="shared" si="16"/>
        <v>1.2765486725663715</v>
      </c>
      <c r="U70">
        <f t="shared" si="17"/>
        <v>1.2256637168141593</v>
      </c>
      <c r="V70">
        <f t="shared" si="1"/>
        <v>-1.2539546460176991</v>
      </c>
      <c r="X70">
        <v>-0.45200000000000001</v>
      </c>
      <c r="Y70">
        <v>-0.44716699999999998</v>
      </c>
      <c r="Z70" s="11">
        <f t="shared" si="18"/>
        <v>0.70817953813821077</v>
      </c>
      <c r="AA70">
        <f t="shared" si="19"/>
        <v>-0.71090547987750452</v>
      </c>
      <c r="AB70" s="13">
        <f t="shared" si="20"/>
        <v>-0.4494442018028279</v>
      </c>
      <c r="AC70" s="13">
        <v>5.0555798197172097E-2</v>
      </c>
    </row>
    <row r="71" spans="1:29" x14ac:dyDescent="0.25">
      <c r="A71" s="1">
        <v>1912</v>
      </c>
      <c r="B71" s="1">
        <f t="shared" si="2"/>
        <v>-0.44900000000000001</v>
      </c>
      <c r="C71" s="1">
        <f t="shared" si="3"/>
        <v>-0.423232</v>
      </c>
      <c r="D71" s="1">
        <f t="shared" si="4"/>
        <v>0</v>
      </c>
      <c r="E71" s="1">
        <f t="shared" si="5"/>
        <v>0.40686116646555082</v>
      </c>
      <c r="F71" s="1">
        <f t="shared" si="6"/>
        <v>2.5768000000000013E-2</v>
      </c>
      <c r="G71" s="9">
        <f t="shared" si="7"/>
        <v>0.40686116646555082</v>
      </c>
      <c r="H71" s="1">
        <f t="shared" si="8"/>
        <v>2.8981064511999999E-2</v>
      </c>
      <c r="I71" s="1">
        <f t="shared" si="9"/>
        <v>0.40686116646555082</v>
      </c>
      <c r="J71" s="1">
        <f t="shared" si="10"/>
        <v>0.90379690648760425</v>
      </c>
      <c r="K71" s="3"/>
      <c r="L71" s="3">
        <f t="shared" si="11"/>
        <v>0.65532903647657759</v>
      </c>
      <c r="M71" s="6">
        <f t="shared" si="12"/>
        <v>-0.44900000000000001</v>
      </c>
      <c r="N71" s="6">
        <f t="shared" si="13"/>
        <v>-0.44</v>
      </c>
      <c r="O71" s="6">
        <f t="shared" si="14"/>
        <v>-0.48</v>
      </c>
      <c r="P71" s="6">
        <v>-0.44900000000000001</v>
      </c>
      <c r="Q71" s="4">
        <v>-0.44</v>
      </c>
      <c r="R71" s="5">
        <v>-0.48</v>
      </c>
      <c r="S71">
        <f t="shared" si="15"/>
        <v>-0.48</v>
      </c>
      <c r="T71">
        <f t="shared" si="16"/>
        <v>0.91666666666666674</v>
      </c>
      <c r="U71">
        <f t="shared" si="17"/>
        <v>0.93541666666666667</v>
      </c>
      <c r="V71">
        <f t="shared" si="1"/>
        <v>-0.93030833333333329</v>
      </c>
      <c r="X71">
        <v>-0.48</v>
      </c>
      <c r="Y71">
        <v>-0.47733300000000001</v>
      </c>
      <c r="Z71" s="11">
        <f t="shared" si="18"/>
        <v>0.7124587083235383</v>
      </c>
      <c r="AA71">
        <f t="shared" si="19"/>
        <v>-0.57819059647957471</v>
      </c>
      <c r="AB71" s="13">
        <f t="shared" si="20"/>
        <v>-0.44402224431812609</v>
      </c>
      <c r="AC71" s="13">
        <v>5.5977755681873902E-2</v>
      </c>
    </row>
    <row r="72" spans="1:29" x14ac:dyDescent="0.25">
      <c r="A72" s="1">
        <v>1913</v>
      </c>
      <c r="B72" s="1">
        <f t="shared" si="2"/>
        <v>-0.439</v>
      </c>
      <c r="C72" s="1">
        <f t="shared" si="3"/>
        <v>-0.39709004999999997</v>
      </c>
      <c r="D72" s="1">
        <f t="shared" si="4"/>
        <v>0</v>
      </c>
      <c r="E72" s="1">
        <f t="shared" si="5"/>
        <v>0.40005887248896865</v>
      </c>
      <c r="F72" s="1">
        <f t="shared" si="6"/>
        <v>4.1909950000000029E-2</v>
      </c>
      <c r="G72" s="9">
        <f t="shared" si="7"/>
        <v>0.40005887248896865</v>
      </c>
      <c r="H72" s="1">
        <f t="shared" si="8"/>
        <v>5.5289540281720034E-2</v>
      </c>
      <c r="I72" s="1">
        <f t="shared" si="9"/>
        <v>0.40005887248896865</v>
      </c>
      <c r="J72" s="1">
        <f t="shared" si="10"/>
        <v>1.3229225997692637</v>
      </c>
      <c r="K72" s="3"/>
      <c r="L72" s="3">
        <f t="shared" si="11"/>
        <v>0.86149073612911609</v>
      </c>
      <c r="M72" s="6">
        <f t="shared" si="12"/>
        <v>-0.439</v>
      </c>
      <c r="N72" s="6">
        <f t="shared" si="13"/>
        <v>-0.47099999999999997</v>
      </c>
      <c r="O72" s="6">
        <f t="shared" si="14"/>
        <v>-0.35699999999999998</v>
      </c>
      <c r="P72" s="6">
        <v>-0.439</v>
      </c>
      <c r="Q72" s="4">
        <v>-0.47099999999999997</v>
      </c>
      <c r="R72" s="5">
        <v>-0.35699999999999998</v>
      </c>
      <c r="S72">
        <f t="shared" si="15"/>
        <v>-0.35699999999999998</v>
      </c>
      <c r="T72">
        <f t="shared" si="16"/>
        <v>1.319327731092437</v>
      </c>
      <c r="U72">
        <f t="shared" si="17"/>
        <v>1.2296918767507004</v>
      </c>
      <c r="V72">
        <f t="shared" si="1"/>
        <v>-1.2314795518207284</v>
      </c>
      <c r="X72">
        <v>-0.35699999999999998</v>
      </c>
      <c r="Y72">
        <v>-0.35016700000000001</v>
      </c>
      <c r="Z72" s="11">
        <f t="shared" si="18"/>
        <v>0.71648089680820704</v>
      </c>
      <c r="AA72">
        <f t="shared" si="19"/>
        <v>-0.57138099487884397</v>
      </c>
      <c r="AB72" s="13">
        <f t="shared" si="20"/>
        <v>-0.42296912024122318</v>
      </c>
      <c r="AC72" s="13">
        <v>7.7030879758776802E-2</v>
      </c>
    </row>
    <row r="73" spans="1:29" x14ac:dyDescent="0.25">
      <c r="A73" s="1">
        <v>1914</v>
      </c>
      <c r="B73" s="1">
        <f t="shared" si="2"/>
        <v>-0.25800000000000001</v>
      </c>
      <c r="C73" s="1">
        <f t="shared" si="3"/>
        <v>-0.2166266</v>
      </c>
      <c r="D73" s="1">
        <f t="shared" si="4"/>
        <v>0</v>
      </c>
      <c r="E73" s="1">
        <f t="shared" si="5"/>
        <v>0.39349450723180479</v>
      </c>
      <c r="F73" s="1">
        <f t="shared" si="6"/>
        <v>4.1373400000000005E-2</v>
      </c>
      <c r="G73" s="9">
        <f t="shared" si="7"/>
        <v>0.39349450723180479</v>
      </c>
      <c r="H73" s="1">
        <f t="shared" si="8"/>
        <v>4.0736396016000001E-2</v>
      </c>
      <c r="I73" s="1">
        <f t="shared" si="9"/>
        <v>0.39349450723180479</v>
      </c>
      <c r="J73" s="1">
        <f t="shared" si="10"/>
        <v>3.221469763470171</v>
      </c>
      <c r="K73" s="3"/>
      <c r="L73" s="3">
        <f t="shared" si="11"/>
        <v>1.8074821353509878</v>
      </c>
      <c r="M73" s="6">
        <f t="shared" si="12"/>
        <v>-0.25800000000000001</v>
      </c>
      <c r="N73" s="6">
        <f t="shared" si="13"/>
        <v>-0.316</v>
      </c>
      <c r="O73" s="6">
        <f t="shared" si="14"/>
        <v>-0.1</v>
      </c>
      <c r="P73" s="6">
        <v>-0.25800000000000001</v>
      </c>
      <c r="Q73" s="4">
        <v>-0.316</v>
      </c>
      <c r="R73" s="5">
        <v>-0.1</v>
      </c>
      <c r="S73">
        <f t="shared" si="15"/>
        <v>-0.1</v>
      </c>
      <c r="T73">
        <f t="shared" si="16"/>
        <v>3.1599999999999997</v>
      </c>
      <c r="U73">
        <f t="shared" si="17"/>
        <v>2.58</v>
      </c>
      <c r="V73">
        <f t="shared" si="1"/>
        <v>-2.6184080000000005</v>
      </c>
      <c r="X73">
        <v>-0.1</v>
      </c>
      <c r="Y73">
        <v>-0.112417</v>
      </c>
      <c r="Z73" s="11">
        <f t="shared" si="18"/>
        <v>0.72024472523480654</v>
      </c>
      <c r="AA73">
        <f t="shared" si="19"/>
        <v>-0.34175856880204902</v>
      </c>
      <c r="AB73" s="13">
        <f t="shared" si="20"/>
        <v>-0.38251718091815601</v>
      </c>
      <c r="AC73" s="13">
        <v>0.11748281908184401</v>
      </c>
    </row>
    <row r="74" spans="1:29" x14ac:dyDescent="0.25">
      <c r="A74" s="1">
        <v>1915</v>
      </c>
      <c r="B74" s="1">
        <f t="shared" si="2"/>
        <v>-0.16400000000000001</v>
      </c>
      <c r="C74" s="1">
        <f t="shared" si="3"/>
        <v>-0.15111805</v>
      </c>
      <c r="D74" s="1">
        <f t="shared" si="4"/>
        <v>0</v>
      </c>
      <c r="E74" s="1">
        <f t="shared" si="5"/>
        <v>0.42571007972170771</v>
      </c>
      <c r="F74" s="1">
        <f t="shared" si="6"/>
        <v>1.2881950000000003E-2</v>
      </c>
      <c r="G74" s="9">
        <f t="shared" si="7"/>
        <v>0.42571007972170771</v>
      </c>
      <c r="H74" s="1">
        <f t="shared" si="8"/>
        <v>8.6311434737200016E-3</v>
      </c>
      <c r="I74" s="1">
        <f t="shared" si="9"/>
        <v>0.42571007972170771</v>
      </c>
      <c r="J74" s="1">
        <f t="shared" si="10"/>
        <v>1.5382935656606682</v>
      </c>
      <c r="K74" s="3"/>
      <c r="L74" s="3">
        <f t="shared" si="11"/>
        <v>0.98200182269118796</v>
      </c>
      <c r="M74" s="6">
        <f t="shared" si="12"/>
        <v>-0.16400000000000001</v>
      </c>
      <c r="N74" s="6">
        <f t="shared" si="13"/>
        <v>-0.191</v>
      </c>
      <c r="O74" s="6">
        <f t="shared" si="14"/>
        <v>-0.11700000000000001</v>
      </c>
      <c r="P74" s="6">
        <v>-0.16400000000000001</v>
      </c>
      <c r="Q74" s="4">
        <v>-0.191</v>
      </c>
      <c r="R74" s="5">
        <v>-0.11700000000000001</v>
      </c>
      <c r="S74">
        <f t="shared" si="15"/>
        <v>-0.11700000000000001</v>
      </c>
      <c r="T74">
        <f t="shared" si="16"/>
        <v>1.6324786324786325</v>
      </c>
      <c r="U74">
        <f t="shared" si="17"/>
        <v>1.4017094017094016</v>
      </c>
      <c r="V74">
        <f t="shared" ref="V74:V137" si="21">+$G$1+$T74*$G$2-2*$U74</f>
        <v>-1.3520188034188032</v>
      </c>
      <c r="X74">
        <v>-0.11700000000000001</v>
      </c>
      <c r="Y74">
        <v>-0.13991700000000001</v>
      </c>
      <c r="Z74" s="11">
        <f t="shared" si="18"/>
        <v>0.72374959383159876</v>
      </c>
      <c r="AA74">
        <f t="shared" si="19"/>
        <v>-0.2218449777215287</v>
      </c>
      <c r="AB74" s="13">
        <f t="shared" si="20"/>
        <v>-0.38183748254445898</v>
      </c>
      <c r="AC74" s="13">
        <v>0.118162517455541</v>
      </c>
    </row>
    <row r="75" spans="1:29" x14ac:dyDescent="0.25">
      <c r="A75" s="1">
        <v>1916</v>
      </c>
      <c r="B75" s="1">
        <f t="shared" ref="B75:B138" si="22">+$M75</f>
        <v>-0.39800000000000002</v>
      </c>
      <c r="C75" s="1">
        <f t="shared" ref="C75:C138" si="23">($S75*($C$1*$G$2 )+$N75*($G$1/$C$1))</f>
        <v>-0.3687841</v>
      </c>
      <c r="D75" s="1">
        <f t="shared" ref="D75:D138" si="24">$B75 - (($S75*($E75*$G$2 )+$N75*($G$1/$E75)))</f>
        <v>0</v>
      </c>
      <c r="E75" s="1">
        <f t="shared" ref="E75:E138" si="25">+$G75</f>
        <v>0.40080627669778796</v>
      </c>
      <c r="F75" s="1">
        <f t="shared" ref="F75:F138" si="26">+ABS($B75-$C75)</f>
        <v>2.9215900000000017E-2</v>
      </c>
      <c r="G75" s="9">
        <f t="shared" ref="G75:G138" si="27">+IF($H75 &gt; 0,IF(AND($I75&gt;0,ABS($I75-0.5)&lt;ABS($J75-0.5)), $I75, IF(AND($J75&gt;0,$J75&lt;1),$J75,$L75)), $L75)</f>
        <v>0.40080627669778796</v>
      </c>
      <c r="H75" s="1">
        <f t="shared" ref="H75:H138" si="28">+$M75*$M75-4*$G$1*$G$2*$N75*$O75</f>
        <v>3.058188015640001E-2</v>
      </c>
      <c r="I75" s="1">
        <f t="shared" ref="I75:I138" si="29">+($M75+SQRT($H75))/2/$G$2/$O75</f>
        <v>0.40080627669778796</v>
      </c>
      <c r="J75" s="1">
        <f t="shared" ref="J75:J138" si="30">+($M75-SQRT($H75))/2/$G$2/$O75</f>
        <v>1.029084182196454</v>
      </c>
      <c r="K75" s="3"/>
      <c r="L75" s="3">
        <f t="shared" ref="L75:L138" si="31">$M75/2/$G$2/$O75</f>
        <v>0.71494522944712102</v>
      </c>
      <c r="M75" s="6">
        <f t="shared" ref="M75:M138" si="32">+P75-$M$3</f>
        <v>-0.39800000000000002</v>
      </c>
      <c r="N75" s="6">
        <f t="shared" ref="N75:N138" si="33">+Q75-$M$3</f>
        <v>-0.40100000000000002</v>
      </c>
      <c r="O75" s="6">
        <f t="shared" ref="O75:O138" si="34">+R75-$M$1</f>
        <v>-0.39</v>
      </c>
      <c r="P75" s="6">
        <v>-0.39800000000000002</v>
      </c>
      <c r="Q75" s="4">
        <v>-0.40100000000000002</v>
      </c>
      <c r="R75" s="5">
        <v>-0.39</v>
      </c>
      <c r="S75">
        <f t="shared" ref="S75:S138" si="35">+$O75+$O$1</f>
        <v>-0.39</v>
      </c>
      <c r="T75">
        <f t="shared" ref="T75:T138" si="36">+$N75/($S75)</f>
        <v>1.0282051282051283</v>
      </c>
      <c r="U75">
        <f t="shared" ref="U75:U138" si="37">+$M75/($S75)</f>
        <v>1.0205128205128204</v>
      </c>
      <c r="V75">
        <f t="shared" si="21"/>
        <v>-1.0208956410256409</v>
      </c>
      <c r="X75">
        <v>-0.39</v>
      </c>
      <c r="Y75">
        <v>-0.39</v>
      </c>
      <c r="Z75" s="11">
        <f t="shared" ref="Z75:Z138" si="38">-2.2979737161E-10*$A75^5 + 0.0000022285768284*$A75^4 - 0.0086436385146*$A75^3 + 16.759480306*$A75^2 - 16244.935412*$A75 + 6297344.9302</f>
        <v>0.72699561435729265</v>
      </c>
      <c r="AA75">
        <f t="shared" ref="AA75:AA138" si="39">+$G$2*$N75/$Z75+$G$1*$O75</f>
        <v>-0.50532333628596549</v>
      </c>
      <c r="AB75" s="13">
        <f t="shared" ref="AB75:AB138" si="40">+$AC75+$AB$1</f>
        <v>-0.4239697589021883</v>
      </c>
      <c r="AC75" s="13">
        <v>7.6030241097811702E-2</v>
      </c>
    </row>
    <row r="76" spans="1:29" x14ac:dyDescent="0.25">
      <c r="A76" s="1">
        <v>1917</v>
      </c>
      <c r="B76" s="1">
        <f t="shared" si="22"/>
        <v>-0.48099999999999998</v>
      </c>
      <c r="C76" s="1">
        <f t="shared" si="23"/>
        <v>-0.49641989999999997</v>
      </c>
      <c r="D76" s="1">
        <f t="shared" si="24"/>
        <v>1.5296864452972958E-2</v>
      </c>
      <c r="E76" s="7">
        <f t="shared" si="25"/>
        <v>0.4667262057934598</v>
      </c>
      <c r="F76" s="1">
        <f t="shared" si="26"/>
        <v>1.5419899999999986E-2</v>
      </c>
      <c r="G76" s="9">
        <f t="shared" si="27"/>
        <v>0.4667262057934598</v>
      </c>
      <c r="H76" s="1">
        <f t="shared" si="28"/>
        <v>-1.4715583603759963E-2</v>
      </c>
      <c r="I76" s="1" t="e">
        <f t="shared" si="29"/>
        <v>#NUM!</v>
      </c>
      <c r="J76" s="1" t="e">
        <f t="shared" si="30"/>
        <v>#NUM!</v>
      </c>
      <c r="K76" s="3"/>
      <c r="L76" s="3">
        <f t="shared" si="31"/>
        <v>0.4667262057934598</v>
      </c>
      <c r="M76" s="6">
        <f t="shared" si="32"/>
        <v>-0.48099999999999998</v>
      </c>
      <c r="N76" s="6">
        <f t="shared" si="33"/>
        <v>-0.41699999999999998</v>
      </c>
      <c r="O76" s="6">
        <f t="shared" si="34"/>
        <v>-0.72199999999999998</v>
      </c>
      <c r="P76" s="6">
        <v>-0.48099999999999998</v>
      </c>
      <c r="Q76" s="4">
        <v>-0.41699999999999998</v>
      </c>
      <c r="R76" s="5">
        <v>-0.72199999999999998</v>
      </c>
      <c r="S76">
        <f t="shared" si="35"/>
        <v>-0.72199999999999998</v>
      </c>
      <c r="T76">
        <f t="shared" si="36"/>
        <v>0.57756232686980613</v>
      </c>
      <c r="U76">
        <f t="shared" si="37"/>
        <v>0.66620498614958445</v>
      </c>
      <c r="V76">
        <f t="shared" si="21"/>
        <v>-0.63390373961218827</v>
      </c>
      <c r="X76">
        <v>-0.72199999999999998</v>
      </c>
      <c r="Y76">
        <v>-0.69916699999999998</v>
      </c>
      <c r="Z76" s="11">
        <f t="shared" si="38"/>
        <v>0.7299835504963994</v>
      </c>
      <c r="AA76">
        <f t="shared" si="39"/>
        <v>-0.61440669100166556</v>
      </c>
      <c r="AB76" s="13">
        <f t="shared" si="40"/>
        <v>-0.44655965594904939</v>
      </c>
      <c r="AC76" s="13">
        <v>5.3440344050950599E-2</v>
      </c>
    </row>
    <row r="77" spans="1:29" x14ac:dyDescent="0.25">
      <c r="A77" s="1">
        <v>1918</v>
      </c>
      <c r="B77" s="1">
        <f t="shared" si="22"/>
        <v>-0.34300000000000003</v>
      </c>
      <c r="C77" s="1">
        <f t="shared" si="23"/>
        <v>-0.3592747</v>
      </c>
      <c r="D77" s="1">
        <f t="shared" si="24"/>
        <v>1.4543674673469342E-2</v>
      </c>
      <c r="E77" s="7">
        <f t="shared" si="25"/>
        <v>0.53399343016829359</v>
      </c>
      <c r="F77" s="1">
        <f t="shared" si="26"/>
        <v>1.6274699999999975E-2</v>
      </c>
      <c r="G77" s="9">
        <f t="shared" si="27"/>
        <v>0.53399343016829359</v>
      </c>
      <c r="H77" s="1">
        <f t="shared" si="28"/>
        <v>-9.9769608259999559E-3</v>
      </c>
      <c r="I77" s="1" t="e">
        <f t="shared" si="29"/>
        <v>#NUM!</v>
      </c>
      <c r="J77" s="1" t="e">
        <f t="shared" si="30"/>
        <v>#NUM!</v>
      </c>
      <c r="K77" s="3"/>
      <c r="L77" s="3">
        <f t="shared" si="31"/>
        <v>0.53399343016829359</v>
      </c>
      <c r="M77" s="6">
        <f t="shared" si="32"/>
        <v>-0.34300000000000003</v>
      </c>
      <c r="N77" s="6">
        <f t="shared" si="33"/>
        <v>-0.34699999999999998</v>
      </c>
      <c r="O77" s="6">
        <f t="shared" si="34"/>
        <v>-0.45</v>
      </c>
      <c r="P77" s="6">
        <v>-0.34300000000000003</v>
      </c>
      <c r="Q77" s="4">
        <v>-0.34699999999999998</v>
      </c>
      <c r="R77" s="5">
        <v>-0.45</v>
      </c>
      <c r="S77">
        <f t="shared" si="35"/>
        <v>-0.45</v>
      </c>
      <c r="T77">
        <f t="shared" si="36"/>
        <v>0.77111111111111108</v>
      </c>
      <c r="U77">
        <f t="shared" si="37"/>
        <v>0.76222222222222225</v>
      </c>
      <c r="V77">
        <f t="shared" si="21"/>
        <v>-0.68780244444444449</v>
      </c>
      <c r="X77">
        <v>-0.45</v>
      </c>
      <c r="Y77">
        <v>-0.43924999999999997</v>
      </c>
      <c r="Z77" s="11">
        <f t="shared" si="38"/>
        <v>0.73271480295807123</v>
      </c>
      <c r="AA77">
        <f t="shared" si="39"/>
        <v>-0.46682994564622804</v>
      </c>
      <c r="AB77" s="13">
        <f t="shared" si="40"/>
        <v>-0.43139886398325367</v>
      </c>
      <c r="AC77" s="13">
        <v>6.8601136016746306E-2</v>
      </c>
    </row>
    <row r="78" spans="1:29" x14ac:dyDescent="0.25">
      <c r="A78" s="1">
        <v>1919</v>
      </c>
      <c r="B78" s="1">
        <f t="shared" si="22"/>
        <v>-0.28399999999999997</v>
      </c>
      <c r="C78" s="1">
        <f t="shared" si="23"/>
        <v>-0.30000480000000002</v>
      </c>
      <c r="D78" s="1">
        <f t="shared" si="24"/>
        <v>6.6906074430986284E-3</v>
      </c>
      <c r="E78" s="7">
        <f t="shared" si="25"/>
        <v>0.62963022083171483</v>
      </c>
      <c r="F78" s="1">
        <f t="shared" si="26"/>
        <v>1.6004800000000041E-2</v>
      </c>
      <c r="G78" s="9">
        <f t="shared" si="27"/>
        <v>0.62963022083171483</v>
      </c>
      <c r="H78" s="1">
        <f t="shared" si="28"/>
        <v>-3.8002650276800082E-3</v>
      </c>
      <c r="I78" s="1" t="e">
        <f t="shared" si="29"/>
        <v>#NUM!</v>
      </c>
      <c r="J78" s="1" t="e">
        <f t="shared" si="30"/>
        <v>#NUM!</v>
      </c>
      <c r="K78" s="3"/>
      <c r="L78" s="3">
        <f t="shared" si="31"/>
        <v>0.62963022083171483</v>
      </c>
      <c r="M78" s="6">
        <f t="shared" si="32"/>
        <v>-0.28399999999999997</v>
      </c>
      <c r="N78" s="6">
        <f t="shared" si="33"/>
        <v>-0.32700000000000001</v>
      </c>
      <c r="O78" s="6">
        <f t="shared" si="34"/>
        <v>-0.316</v>
      </c>
      <c r="P78" s="6">
        <v>-0.28399999999999997</v>
      </c>
      <c r="Q78" s="4">
        <v>-0.32700000000000001</v>
      </c>
      <c r="R78" s="5">
        <v>-0.316</v>
      </c>
      <c r="S78">
        <f t="shared" si="35"/>
        <v>-0.316</v>
      </c>
      <c r="T78">
        <f t="shared" si="36"/>
        <v>1.0348101265822784</v>
      </c>
      <c r="U78">
        <f t="shared" si="37"/>
        <v>0.89873417721518978</v>
      </c>
      <c r="V78">
        <f t="shared" si="21"/>
        <v>-0.77262436708860749</v>
      </c>
      <c r="X78">
        <v>-0.316</v>
      </c>
      <c r="Y78">
        <v>-0.32641700000000001</v>
      </c>
      <c r="Z78" s="11">
        <f t="shared" si="38"/>
        <v>0.73519144672900438</v>
      </c>
      <c r="AA78">
        <f t="shared" si="39"/>
        <v>-0.40791178906257425</v>
      </c>
      <c r="AB78" s="13">
        <f t="shared" si="40"/>
        <v>-0.40602768060956018</v>
      </c>
      <c r="AC78" s="13">
        <v>9.3972319390439804E-2</v>
      </c>
    </row>
    <row r="79" spans="1:29" x14ac:dyDescent="0.25">
      <c r="A79" s="1">
        <v>1920</v>
      </c>
      <c r="B79" s="1">
        <f t="shared" si="22"/>
        <v>-0.252</v>
      </c>
      <c r="C79" s="1">
        <f t="shared" si="23"/>
        <v>-0.2549515</v>
      </c>
      <c r="D79" s="1">
        <f t="shared" si="24"/>
        <v>0</v>
      </c>
      <c r="E79" s="7">
        <f t="shared" si="25"/>
        <v>0.53112328098373951</v>
      </c>
      <c r="F79" s="1">
        <f t="shared" si="26"/>
        <v>2.9514999999999958E-3</v>
      </c>
      <c r="G79" s="9">
        <f t="shared" si="27"/>
        <v>0.53112328098373951</v>
      </c>
      <c r="H79" s="1">
        <f t="shared" si="28"/>
        <v>1.7008321881600008E-3</v>
      </c>
      <c r="I79" s="1">
        <f t="shared" si="29"/>
        <v>0.53112328098373951</v>
      </c>
      <c r="J79" s="1">
        <f t="shared" si="30"/>
        <v>0.73898295433065719</v>
      </c>
      <c r="K79" s="3"/>
      <c r="L79" s="3">
        <f t="shared" si="31"/>
        <v>0.6350531176571983</v>
      </c>
      <c r="M79" s="6">
        <f t="shared" si="32"/>
        <v>-0.252</v>
      </c>
      <c r="N79" s="6">
        <f t="shared" si="33"/>
        <v>-0.27200000000000002</v>
      </c>
      <c r="O79" s="6">
        <f t="shared" si="34"/>
        <v>-0.27800000000000002</v>
      </c>
      <c r="P79" s="6">
        <v>-0.252</v>
      </c>
      <c r="Q79" s="4">
        <v>-0.27200000000000002</v>
      </c>
      <c r="R79" s="5">
        <v>-0.27800000000000002</v>
      </c>
      <c r="S79">
        <f t="shared" si="35"/>
        <v>-0.27800000000000002</v>
      </c>
      <c r="T79">
        <f t="shared" si="36"/>
        <v>0.97841726618705038</v>
      </c>
      <c r="U79">
        <f t="shared" si="37"/>
        <v>0.90647482014388481</v>
      </c>
      <c r="V79">
        <f t="shared" si="21"/>
        <v>-0.82835323741007172</v>
      </c>
      <c r="X79">
        <v>-0.27800000000000002</v>
      </c>
      <c r="Y79">
        <v>-0.283167</v>
      </c>
      <c r="Z79" s="11">
        <f t="shared" si="38"/>
        <v>0.73741611186414957</v>
      </c>
      <c r="AA79">
        <f t="shared" si="39"/>
        <v>-0.34284358133525528</v>
      </c>
      <c r="AB79" s="13">
        <f t="shared" si="40"/>
        <v>-0.395272480467382</v>
      </c>
      <c r="AC79" s="13">
        <v>0.104727519532618</v>
      </c>
    </row>
    <row r="80" spans="1:29" x14ac:dyDescent="0.25">
      <c r="A80" s="1">
        <v>1921</v>
      </c>
      <c r="B80" s="1">
        <f t="shared" si="22"/>
        <v>-0.19</v>
      </c>
      <c r="C80" s="1">
        <f t="shared" si="23"/>
        <v>-0.17117545000000001</v>
      </c>
      <c r="D80" s="1">
        <f t="shared" si="24"/>
        <v>0</v>
      </c>
      <c r="E80" s="1">
        <f t="shared" si="25"/>
        <v>0.42373403549347682</v>
      </c>
      <c r="F80" s="1">
        <f t="shared" si="26"/>
        <v>1.8824549999999995E-2</v>
      </c>
      <c r="G80" s="9">
        <f t="shared" si="27"/>
        <v>0.42373403549347682</v>
      </c>
      <c r="H80" s="1">
        <f t="shared" si="28"/>
        <v>1.6618140235360002E-2</v>
      </c>
      <c r="I80" s="1">
        <f t="shared" si="29"/>
        <v>0.42373403549347682</v>
      </c>
      <c r="J80" s="1">
        <f t="shared" si="30"/>
        <v>2.2120907071321096</v>
      </c>
      <c r="K80" s="3"/>
      <c r="L80" s="3">
        <f t="shared" si="31"/>
        <v>1.3179123713127932</v>
      </c>
      <c r="M80" s="6">
        <f t="shared" si="32"/>
        <v>-0.19</v>
      </c>
      <c r="N80" s="6">
        <f t="shared" si="33"/>
        <v>-0.23599999999999999</v>
      </c>
      <c r="O80" s="6">
        <f t="shared" si="34"/>
        <v>-0.10100000000000001</v>
      </c>
      <c r="P80" s="6">
        <v>-0.19</v>
      </c>
      <c r="Q80" s="4">
        <v>-0.23599999999999999</v>
      </c>
      <c r="R80" s="5">
        <v>-0.10100000000000001</v>
      </c>
      <c r="S80">
        <f t="shared" si="35"/>
        <v>-0.10100000000000001</v>
      </c>
      <c r="T80">
        <f t="shared" si="36"/>
        <v>2.3366336633663365</v>
      </c>
      <c r="U80">
        <f t="shared" si="37"/>
        <v>1.8811881188118811</v>
      </c>
      <c r="V80">
        <f t="shared" si="21"/>
        <v>-1.8084207920792079</v>
      </c>
      <c r="X80">
        <v>-0.10100000000000001</v>
      </c>
      <c r="Y80">
        <v>-0.10324999999999999</v>
      </c>
      <c r="Z80" s="11">
        <f t="shared" si="38"/>
        <v>0.73939200583845377</v>
      </c>
      <c r="AA80">
        <f t="shared" si="39"/>
        <v>-0.25671589570836928</v>
      </c>
      <c r="AB80" s="13">
        <f t="shared" si="40"/>
        <v>-0.362301058478111</v>
      </c>
      <c r="AC80" s="13">
        <v>0.137698941521889</v>
      </c>
    </row>
    <row r="81" spans="1:29" x14ac:dyDescent="0.25">
      <c r="A81" s="1">
        <v>1922</v>
      </c>
      <c r="B81" s="1">
        <f t="shared" si="22"/>
        <v>-0.309</v>
      </c>
      <c r="C81" s="1">
        <f t="shared" si="23"/>
        <v>-0.28587190000000001</v>
      </c>
      <c r="D81" s="1">
        <f t="shared" si="24"/>
        <v>0</v>
      </c>
      <c r="E81" s="1">
        <f t="shared" si="25"/>
        <v>0.40997461321589845</v>
      </c>
      <c r="F81" s="1">
        <f t="shared" si="26"/>
        <v>2.3128099999999985E-2</v>
      </c>
      <c r="G81" s="9">
        <f t="shared" si="27"/>
        <v>0.40997461321589845</v>
      </c>
      <c r="H81" s="1">
        <f t="shared" si="28"/>
        <v>2.1408085637279986E-2</v>
      </c>
      <c r="I81" s="1">
        <f t="shared" si="29"/>
        <v>0.40997461321589845</v>
      </c>
      <c r="J81" s="1">
        <f t="shared" si="30"/>
        <v>1.1474175562767546</v>
      </c>
      <c r="K81" s="3"/>
      <c r="L81" s="3">
        <f t="shared" si="31"/>
        <v>0.77869608474632646</v>
      </c>
      <c r="M81" s="6">
        <f t="shared" si="32"/>
        <v>-0.309</v>
      </c>
      <c r="N81" s="6">
        <f t="shared" si="33"/>
        <v>-0.32600000000000001</v>
      </c>
      <c r="O81" s="6">
        <f t="shared" si="34"/>
        <v>-0.27800000000000002</v>
      </c>
      <c r="P81" s="6">
        <v>-0.309</v>
      </c>
      <c r="Q81" s="4">
        <v>-0.32600000000000001</v>
      </c>
      <c r="R81" s="5">
        <v>-0.27800000000000002</v>
      </c>
      <c r="S81">
        <f t="shared" si="35"/>
        <v>-0.27800000000000002</v>
      </c>
      <c r="T81">
        <f t="shared" si="36"/>
        <v>1.1726618705035972</v>
      </c>
      <c r="U81">
        <f t="shared" si="37"/>
        <v>1.1115107913669064</v>
      </c>
      <c r="V81">
        <f t="shared" si="21"/>
        <v>-1.0997928057553956</v>
      </c>
      <c r="X81">
        <v>-0.27800000000000002</v>
      </c>
      <c r="Y81">
        <v>-0.27925</v>
      </c>
      <c r="Z81" s="11">
        <f t="shared" si="38"/>
        <v>0.74112288374453783</v>
      </c>
      <c r="AA81">
        <f t="shared" si="39"/>
        <v>-0.39352881186947231</v>
      </c>
      <c r="AB81" s="13">
        <f t="shared" si="40"/>
        <v>-0.38666402567547498</v>
      </c>
      <c r="AC81" s="13">
        <v>0.113335974324525</v>
      </c>
    </row>
    <row r="82" spans="1:29" x14ac:dyDescent="0.25">
      <c r="A82" s="1">
        <v>1923</v>
      </c>
      <c r="B82" s="1">
        <f t="shared" si="22"/>
        <v>-0.27500000000000002</v>
      </c>
      <c r="C82" s="1">
        <f t="shared" si="23"/>
        <v>-0.26799660000000003</v>
      </c>
      <c r="D82" s="1">
        <f t="shared" si="24"/>
        <v>0</v>
      </c>
      <c r="E82" s="1">
        <f t="shared" si="25"/>
        <v>0.46359713861299567</v>
      </c>
      <c r="F82" s="1">
        <f t="shared" si="26"/>
        <v>7.003399999999993E-3</v>
      </c>
      <c r="G82" s="9">
        <f t="shared" si="27"/>
        <v>0.46359713861299567</v>
      </c>
      <c r="H82" s="1">
        <f t="shared" si="28"/>
        <v>1.0598285665600005E-2</v>
      </c>
      <c r="I82" s="1">
        <f t="shared" si="29"/>
        <v>0.46359713861299567</v>
      </c>
      <c r="J82" s="1">
        <f t="shared" si="30"/>
        <v>1.0183873194118154</v>
      </c>
      <c r="K82" s="3"/>
      <c r="L82" s="3">
        <f t="shared" si="31"/>
        <v>0.74099222901240569</v>
      </c>
      <c r="M82" s="6">
        <f t="shared" si="32"/>
        <v>-0.27500000000000002</v>
      </c>
      <c r="N82" s="6">
        <f t="shared" si="33"/>
        <v>-0.30599999999999999</v>
      </c>
      <c r="O82" s="6">
        <f t="shared" si="34"/>
        <v>-0.26</v>
      </c>
      <c r="P82" s="6">
        <v>-0.27500000000000002</v>
      </c>
      <c r="Q82" s="4">
        <v>-0.30599999999999999</v>
      </c>
      <c r="R82" s="5">
        <v>-0.26</v>
      </c>
      <c r="S82">
        <f t="shared" si="35"/>
        <v>-0.26</v>
      </c>
      <c r="T82">
        <f t="shared" si="36"/>
        <v>1.176923076923077</v>
      </c>
      <c r="U82">
        <f t="shared" si="37"/>
        <v>1.0576923076923077</v>
      </c>
      <c r="V82">
        <f t="shared" si="21"/>
        <v>-0.98911461538461554</v>
      </c>
      <c r="X82">
        <v>-0.26</v>
      </c>
      <c r="Y82">
        <v>-0.25858300000000001</v>
      </c>
      <c r="Z82" s="11">
        <f t="shared" si="38"/>
        <v>0.7426129961386323</v>
      </c>
      <c r="AA82">
        <f t="shared" si="39"/>
        <v>-0.36852415407429551</v>
      </c>
      <c r="AB82" s="13">
        <f t="shared" si="40"/>
        <v>-0.37958910533968299</v>
      </c>
      <c r="AC82" s="13">
        <v>0.120410894660317</v>
      </c>
    </row>
    <row r="83" spans="1:29" x14ac:dyDescent="0.25">
      <c r="A83" s="1">
        <v>1924</v>
      </c>
      <c r="B83" s="1">
        <f t="shared" si="22"/>
        <v>-0.3</v>
      </c>
      <c r="C83" s="1">
        <f t="shared" si="23"/>
        <v>-0.2846611</v>
      </c>
      <c r="D83" s="1">
        <f t="shared" si="24"/>
        <v>0</v>
      </c>
      <c r="E83" s="1">
        <f t="shared" si="25"/>
        <v>0.40349313918448543</v>
      </c>
      <c r="F83" s="1">
        <f t="shared" si="26"/>
        <v>1.5338899999999989E-2</v>
      </c>
      <c r="G83" s="9">
        <f t="shared" si="27"/>
        <v>0.40349313918448543</v>
      </c>
      <c r="H83" s="1">
        <f t="shared" si="28"/>
        <v>1.0614445577280002E-2</v>
      </c>
      <c r="I83" s="1">
        <f t="shared" si="29"/>
        <v>0.40349313918448543</v>
      </c>
      <c r="J83" s="1">
        <f t="shared" si="30"/>
        <v>0.82558488023003063</v>
      </c>
      <c r="K83" s="3"/>
      <c r="L83" s="3">
        <f t="shared" si="31"/>
        <v>0.61453900970725817</v>
      </c>
      <c r="M83" s="6">
        <f t="shared" si="32"/>
        <v>-0.3</v>
      </c>
      <c r="N83" s="6">
        <f t="shared" si="33"/>
        <v>-0.28399999999999997</v>
      </c>
      <c r="O83" s="6">
        <f t="shared" si="34"/>
        <v>-0.34200000000000003</v>
      </c>
      <c r="P83" s="6">
        <v>-0.3</v>
      </c>
      <c r="Q83" s="4">
        <v>-0.28399999999999997</v>
      </c>
      <c r="R83" s="5">
        <v>-0.34200000000000003</v>
      </c>
      <c r="S83">
        <f t="shared" si="35"/>
        <v>-0.34200000000000003</v>
      </c>
      <c r="T83">
        <f t="shared" si="36"/>
        <v>0.83040935672514604</v>
      </c>
      <c r="U83">
        <f t="shared" si="37"/>
        <v>0.8771929824561403</v>
      </c>
      <c r="V83">
        <f t="shared" si="21"/>
        <v>-0.87542280701754382</v>
      </c>
      <c r="X83">
        <v>-0.34200000000000003</v>
      </c>
      <c r="Y83">
        <v>-0.34</v>
      </c>
      <c r="Z83" s="11">
        <f t="shared" si="38"/>
        <v>0.7438671262934804</v>
      </c>
      <c r="AA83">
        <f t="shared" si="39"/>
        <v>-0.37039713462948665</v>
      </c>
      <c r="AB83" s="13">
        <f t="shared" si="40"/>
        <v>-0.362682722991159</v>
      </c>
      <c r="AC83" s="13">
        <v>0.137317277008841</v>
      </c>
    </row>
    <row r="84" spans="1:29" x14ac:dyDescent="0.25">
      <c r="A84" s="1">
        <v>1925</v>
      </c>
      <c r="B84" s="1">
        <f t="shared" si="22"/>
        <v>-0.219</v>
      </c>
      <c r="C84" s="1">
        <f t="shared" si="23"/>
        <v>-0.22457825000000001</v>
      </c>
      <c r="D84" s="1">
        <f t="shared" si="24"/>
        <v>0</v>
      </c>
      <c r="E84" s="7">
        <f t="shared" si="25"/>
        <v>0.56713752227038328</v>
      </c>
      <c r="F84" s="1">
        <f t="shared" si="26"/>
        <v>5.5782500000000068E-3</v>
      </c>
      <c r="G84" s="9">
        <f t="shared" si="27"/>
        <v>0.56713752227038328</v>
      </c>
      <c r="H84" s="1">
        <f t="shared" si="28"/>
        <v>9.2288490875999662E-4</v>
      </c>
      <c r="I84" s="1">
        <f t="shared" si="29"/>
        <v>0.56713752227038328</v>
      </c>
      <c r="J84" s="1">
        <f t="shared" si="30"/>
        <v>0.74982221303875041</v>
      </c>
      <c r="K84" s="3"/>
      <c r="L84" s="3">
        <f t="shared" si="31"/>
        <v>0.6584798676545669</v>
      </c>
      <c r="M84" s="6">
        <f t="shared" si="32"/>
        <v>-0.219</v>
      </c>
      <c r="N84" s="6">
        <f t="shared" si="33"/>
        <v>-0.247</v>
      </c>
      <c r="O84" s="6">
        <f t="shared" si="34"/>
        <v>-0.23300000000000001</v>
      </c>
      <c r="P84" s="6">
        <v>-0.219</v>
      </c>
      <c r="Q84" s="4">
        <v>-0.247</v>
      </c>
      <c r="R84" s="5">
        <v>-0.23300000000000001</v>
      </c>
      <c r="S84">
        <f t="shared" si="35"/>
        <v>-0.23300000000000001</v>
      </c>
      <c r="T84">
        <f t="shared" si="36"/>
        <v>1.0600858369098711</v>
      </c>
      <c r="U84">
        <f t="shared" si="37"/>
        <v>0.93991416309012865</v>
      </c>
      <c r="V84">
        <f t="shared" si="21"/>
        <v>-0.83694506437768235</v>
      </c>
      <c r="X84">
        <v>-0.23300000000000001</v>
      </c>
      <c r="Y84">
        <v>-0.22650000000000001</v>
      </c>
      <c r="Z84" s="11">
        <f t="shared" si="38"/>
        <v>0.74489045236259699</v>
      </c>
      <c r="AA84">
        <f t="shared" si="39"/>
        <v>-0.30336538358147663</v>
      </c>
      <c r="AB84" s="13">
        <f t="shared" si="40"/>
        <v>-0.36363192000760802</v>
      </c>
      <c r="AC84" s="13">
        <v>0.13636807999239201</v>
      </c>
    </row>
    <row r="85" spans="1:29" x14ac:dyDescent="0.25">
      <c r="A85" s="1">
        <v>1926</v>
      </c>
      <c r="B85" s="1">
        <f t="shared" si="22"/>
        <v>-0.112</v>
      </c>
      <c r="C85" s="1">
        <f t="shared" si="23"/>
        <v>-9.934285000000001E-2</v>
      </c>
      <c r="D85" s="1">
        <f t="shared" si="24"/>
        <v>0</v>
      </c>
      <c r="E85" s="1">
        <f t="shared" si="25"/>
        <v>0.40259909213148598</v>
      </c>
      <c r="F85" s="1">
        <f t="shared" si="26"/>
        <v>1.2657149999999992E-2</v>
      </c>
      <c r="G85" s="9">
        <f t="shared" si="27"/>
        <v>0.40259909213148598</v>
      </c>
      <c r="H85" s="1">
        <f t="shared" si="28"/>
        <v>4.9068755814400018E-3</v>
      </c>
      <c r="I85" s="1">
        <f t="shared" si="29"/>
        <v>0.40259909213148598</v>
      </c>
      <c r="J85" s="1">
        <f t="shared" si="30"/>
        <v>1.7471088738800957</v>
      </c>
      <c r="K85" s="3"/>
      <c r="L85" s="3">
        <f t="shared" si="31"/>
        <v>1.0748539830057908</v>
      </c>
      <c r="M85" s="6">
        <f t="shared" si="32"/>
        <v>-0.112</v>
      </c>
      <c r="N85" s="6">
        <f t="shared" si="33"/>
        <v>-0.128</v>
      </c>
      <c r="O85" s="6">
        <f t="shared" si="34"/>
        <v>-7.2999999999999995E-2</v>
      </c>
      <c r="P85" s="6">
        <v>-0.112</v>
      </c>
      <c r="Q85" s="4">
        <v>-0.128</v>
      </c>
      <c r="R85" s="5">
        <v>-7.2999999999999995E-2</v>
      </c>
      <c r="S85">
        <f t="shared" si="35"/>
        <v>-7.2999999999999995E-2</v>
      </c>
      <c r="T85">
        <f t="shared" si="36"/>
        <v>1.7534246575342467</v>
      </c>
      <c r="U85">
        <f t="shared" si="37"/>
        <v>1.5342465753424659</v>
      </c>
      <c r="V85">
        <f t="shared" si="21"/>
        <v>-1.5307739726027398</v>
      </c>
      <c r="X85">
        <v>-7.2999999999999995E-2</v>
      </c>
      <c r="Y85">
        <v>-8.69167E-2</v>
      </c>
      <c r="Z85" s="11">
        <f t="shared" si="38"/>
        <v>0.74568860325962305</v>
      </c>
      <c r="AA85">
        <f t="shared" si="39"/>
        <v>-0.14340894680675914</v>
      </c>
      <c r="AB85" s="13">
        <f t="shared" si="40"/>
        <v>-0.33866225393340099</v>
      </c>
      <c r="AC85" s="13">
        <v>0.16133774606659901</v>
      </c>
    </row>
    <row r="86" spans="1:29" x14ac:dyDescent="0.25">
      <c r="A86" s="1">
        <v>1927</v>
      </c>
      <c r="B86" s="1">
        <f t="shared" si="22"/>
        <v>-0.21299999999999999</v>
      </c>
      <c r="C86" s="1">
        <f t="shared" si="23"/>
        <v>-0.19665375000000002</v>
      </c>
      <c r="D86" s="1">
        <f t="shared" si="24"/>
        <v>0</v>
      </c>
      <c r="E86" s="1">
        <f t="shared" si="25"/>
        <v>0.36884570885120954</v>
      </c>
      <c r="F86" s="1">
        <f t="shared" si="26"/>
        <v>1.6346249999999979E-2</v>
      </c>
      <c r="G86" s="9">
        <f t="shared" si="27"/>
        <v>0.36884570885120954</v>
      </c>
      <c r="H86" s="1">
        <f t="shared" si="28"/>
        <v>7.235686978560002E-3</v>
      </c>
      <c r="I86" s="1">
        <f t="shared" si="29"/>
        <v>0.36884570885120954</v>
      </c>
      <c r="J86" s="1">
        <f t="shared" si="30"/>
        <v>0.85932188240077756</v>
      </c>
      <c r="K86" s="3"/>
      <c r="L86" s="3">
        <f t="shared" si="31"/>
        <v>0.61408379562599358</v>
      </c>
      <c r="M86" s="6">
        <f t="shared" si="32"/>
        <v>-0.21299999999999999</v>
      </c>
      <c r="N86" s="6">
        <f t="shared" si="33"/>
        <v>-0.192</v>
      </c>
      <c r="O86" s="6">
        <f t="shared" si="34"/>
        <v>-0.24299999999999999</v>
      </c>
      <c r="P86" s="6">
        <v>-0.21299999999999999</v>
      </c>
      <c r="Q86" s="4">
        <v>-0.192</v>
      </c>
      <c r="R86" s="5">
        <v>-0.24299999999999999</v>
      </c>
      <c r="S86">
        <f t="shared" si="35"/>
        <v>-0.24299999999999999</v>
      </c>
      <c r="T86">
        <f t="shared" si="36"/>
        <v>0.79012345679012352</v>
      </c>
      <c r="U86">
        <f t="shared" si="37"/>
        <v>0.87654320987654322</v>
      </c>
      <c r="V86">
        <f t="shared" si="21"/>
        <v>-0.90287530864197529</v>
      </c>
      <c r="X86">
        <v>-0.24299999999999999</v>
      </c>
      <c r="Y86">
        <v>-0.247</v>
      </c>
      <c r="Z86" s="11">
        <f t="shared" si="38"/>
        <v>0.74626765120774508</v>
      </c>
      <c r="AA86">
        <f t="shared" si="39"/>
        <v>-0.2531918834075384</v>
      </c>
      <c r="AB86" s="13">
        <f t="shared" si="40"/>
        <v>-0.36010301065150296</v>
      </c>
      <c r="AC86" s="13">
        <v>0.13989698934849701</v>
      </c>
    </row>
    <row r="87" spans="1:29" x14ac:dyDescent="0.25">
      <c r="A87" s="1">
        <v>1928</v>
      </c>
      <c r="B87" s="1">
        <f t="shared" si="22"/>
        <v>-0.21099999999999999</v>
      </c>
      <c r="C87" s="1">
        <f t="shared" si="23"/>
        <v>-0.18535840000000001</v>
      </c>
      <c r="D87" s="1">
        <f t="shared" si="24"/>
        <v>0</v>
      </c>
      <c r="E87" s="1">
        <f t="shared" si="25"/>
        <v>0.38355813534241778</v>
      </c>
      <c r="F87" s="1">
        <f t="shared" si="26"/>
        <v>2.5641599999999987E-2</v>
      </c>
      <c r="G87" s="9">
        <f t="shared" si="27"/>
        <v>0.38355813534241778</v>
      </c>
      <c r="H87" s="1">
        <f t="shared" si="28"/>
        <v>1.5227920038399997E-2</v>
      </c>
      <c r="I87" s="1">
        <f t="shared" si="29"/>
        <v>0.38355813534241778</v>
      </c>
      <c r="J87" s="1">
        <f t="shared" si="30"/>
        <v>1.4642070320948808</v>
      </c>
      <c r="K87" s="3"/>
      <c r="L87" s="3">
        <f t="shared" si="31"/>
        <v>0.92388258371864929</v>
      </c>
      <c r="M87" s="6">
        <f t="shared" si="32"/>
        <v>-0.21099999999999999</v>
      </c>
      <c r="N87" s="6">
        <f t="shared" si="33"/>
        <v>-0.224</v>
      </c>
      <c r="O87" s="6">
        <f t="shared" si="34"/>
        <v>-0.16</v>
      </c>
      <c r="P87" s="6">
        <v>-0.21099999999999999</v>
      </c>
      <c r="Q87" s="4">
        <v>-0.224</v>
      </c>
      <c r="R87" s="5">
        <v>-0.16</v>
      </c>
      <c r="S87">
        <f t="shared" si="35"/>
        <v>-0.16</v>
      </c>
      <c r="T87">
        <f t="shared" si="36"/>
        <v>1.4</v>
      </c>
      <c r="U87">
        <f t="shared" si="37"/>
        <v>1.3187499999999999</v>
      </c>
      <c r="V87">
        <f t="shared" si="21"/>
        <v>-1.3520199999999998</v>
      </c>
      <c r="X87">
        <v>-0.16</v>
      </c>
      <c r="Y87">
        <v>-0.16508300000000001</v>
      </c>
      <c r="Z87" s="11">
        <f t="shared" si="38"/>
        <v>0.74663399253040552</v>
      </c>
      <c r="AA87">
        <f t="shared" si="39"/>
        <v>-0.25992736986446485</v>
      </c>
      <c r="AB87" s="13">
        <f t="shared" si="40"/>
        <v>-0.33687051143817304</v>
      </c>
      <c r="AC87" s="13">
        <v>0.16312948856182699</v>
      </c>
    </row>
    <row r="88" spans="1:29" x14ac:dyDescent="0.25">
      <c r="A88" s="1">
        <v>1929</v>
      </c>
      <c r="B88" s="1">
        <f t="shared" si="22"/>
        <v>-0.34899999999999998</v>
      </c>
      <c r="C88" s="1">
        <f t="shared" si="23"/>
        <v>-0.34206389999999998</v>
      </c>
      <c r="D88" s="1">
        <f t="shared" si="24"/>
        <v>0</v>
      </c>
      <c r="E88" s="1">
        <f t="shared" si="25"/>
        <v>0.40659374431512174</v>
      </c>
      <c r="F88" s="1">
        <f t="shared" si="26"/>
        <v>6.9361000000000006E-3</v>
      </c>
      <c r="G88" s="9">
        <f t="shared" si="27"/>
        <v>0.40659374431512174</v>
      </c>
      <c r="H88" s="1">
        <f t="shared" si="28"/>
        <v>4.7970499770399883E-3</v>
      </c>
      <c r="I88" s="1">
        <f t="shared" si="29"/>
        <v>0.40659374431512174</v>
      </c>
      <c r="J88" s="1">
        <f t="shared" si="30"/>
        <v>0.60793111212525053</v>
      </c>
      <c r="K88" s="3"/>
      <c r="L88" s="3">
        <f t="shared" si="31"/>
        <v>0.50726242822018619</v>
      </c>
      <c r="M88" s="6">
        <f t="shared" si="32"/>
        <v>-0.34899999999999998</v>
      </c>
      <c r="N88" s="6">
        <f t="shared" si="33"/>
        <v>-0.29699999999999999</v>
      </c>
      <c r="O88" s="6">
        <f t="shared" si="34"/>
        <v>-0.48199999999999998</v>
      </c>
      <c r="P88" s="6">
        <v>-0.34899999999999998</v>
      </c>
      <c r="Q88" s="4">
        <v>-0.29699999999999999</v>
      </c>
      <c r="R88" s="5">
        <v>-0.48199999999999998</v>
      </c>
      <c r="S88">
        <f t="shared" si="35"/>
        <v>-0.48199999999999998</v>
      </c>
      <c r="T88">
        <f t="shared" si="36"/>
        <v>0.61618257261410792</v>
      </c>
      <c r="U88">
        <f t="shared" si="37"/>
        <v>0.72406639004149376</v>
      </c>
      <c r="V88">
        <f t="shared" si="21"/>
        <v>-0.72206327800829873</v>
      </c>
      <c r="X88">
        <v>-0.48199999999999998</v>
      </c>
      <c r="Y88">
        <v>-0.47008299999999997</v>
      </c>
      <c r="Z88" s="11">
        <f t="shared" si="38"/>
        <v>0.7467943774536252</v>
      </c>
      <c r="AA88">
        <f t="shared" si="39"/>
        <v>-0.42183497157794203</v>
      </c>
      <c r="AB88" s="13">
        <f t="shared" si="40"/>
        <v>-0.38741846307038297</v>
      </c>
      <c r="AC88" s="13">
        <v>0.112581536929617</v>
      </c>
    </row>
    <row r="89" spans="1:29" x14ac:dyDescent="0.25">
      <c r="A89" s="1">
        <v>1930</v>
      </c>
      <c r="B89" s="1">
        <f t="shared" si="22"/>
        <v>-0.13800000000000001</v>
      </c>
      <c r="C89" s="1">
        <f t="shared" si="23"/>
        <v>-0.12005655000000001</v>
      </c>
      <c r="D89" s="1">
        <f t="shared" si="24"/>
        <v>0</v>
      </c>
      <c r="E89" s="1">
        <f t="shared" si="25"/>
        <v>0.36594745820260038</v>
      </c>
      <c r="F89" s="1">
        <f t="shared" si="26"/>
        <v>1.794345E-2</v>
      </c>
      <c r="G89" s="9">
        <f t="shared" si="27"/>
        <v>0.36594745820260038</v>
      </c>
      <c r="H89" s="1">
        <f t="shared" si="28"/>
        <v>6.0729849612000016E-3</v>
      </c>
      <c r="I89" s="1">
        <f t="shared" si="29"/>
        <v>0.36594745820260038</v>
      </c>
      <c r="J89" s="1">
        <f t="shared" si="30"/>
        <v>1.3154312723564581</v>
      </c>
      <c r="K89" s="3"/>
      <c r="L89" s="3">
        <f t="shared" si="31"/>
        <v>0.8406893652795292</v>
      </c>
      <c r="M89" s="6">
        <f t="shared" si="32"/>
        <v>-0.13800000000000001</v>
      </c>
      <c r="N89" s="6">
        <f t="shared" si="33"/>
        <v>-0.13800000000000001</v>
      </c>
      <c r="O89" s="6">
        <f t="shared" si="34"/>
        <v>-0.115</v>
      </c>
      <c r="P89" s="6">
        <v>-0.13800000000000001</v>
      </c>
      <c r="Q89" s="4">
        <v>-0.13800000000000001</v>
      </c>
      <c r="R89" s="5">
        <v>-0.115</v>
      </c>
      <c r="S89">
        <f t="shared" si="35"/>
        <v>-0.115</v>
      </c>
      <c r="T89">
        <f t="shared" si="36"/>
        <v>1.2</v>
      </c>
      <c r="U89">
        <f t="shared" si="37"/>
        <v>1.2</v>
      </c>
      <c r="V89">
        <f t="shared" si="21"/>
        <v>-1.25726</v>
      </c>
      <c r="X89">
        <v>-0.115</v>
      </c>
      <c r="Y89">
        <v>-0.11724999999999999</v>
      </c>
      <c r="Z89" s="11">
        <f t="shared" si="38"/>
        <v>0.74675591010600328</v>
      </c>
      <c r="AA89">
        <f t="shared" si="39"/>
        <v>-0.164815789599595</v>
      </c>
      <c r="AB89" s="13">
        <f t="shared" si="40"/>
        <v>-0.33389391199138596</v>
      </c>
      <c r="AC89" s="13">
        <v>0.16610608800861401</v>
      </c>
    </row>
    <row r="90" spans="1:29" x14ac:dyDescent="0.25">
      <c r="A90" s="1">
        <v>1931</v>
      </c>
      <c r="B90" s="1">
        <f t="shared" si="22"/>
        <v>-8.6999999999999994E-2</v>
      </c>
      <c r="C90" s="1">
        <f t="shared" si="23"/>
        <v>-8.8513499999999995E-2</v>
      </c>
      <c r="D90" s="1">
        <f t="shared" si="24"/>
        <v>0</v>
      </c>
      <c r="E90" s="7">
        <f t="shared" si="25"/>
        <v>0.54475190991042388</v>
      </c>
      <c r="F90" s="1">
        <f t="shared" si="26"/>
        <v>1.513500000000001E-3</v>
      </c>
      <c r="G90" s="9">
        <f t="shared" si="27"/>
        <v>0.54475190991042388</v>
      </c>
      <c r="H90" s="1">
        <f t="shared" si="28"/>
        <v>1.9342093824000015E-4</v>
      </c>
      <c r="I90" s="1">
        <f t="shared" si="29"/>
        <v>0.54475190991042388</v>
      </c>
      <c r="J90" s="1">
        <f t="shared" si="30"/>
        <v>0.75205615355267963</v>
      </c>
      <c r="K90" s="3"/>
      <c r="L90" s="3">
        <f t="shared" si="31"/>
        <v>0.6484040317315517</v>
      </c>
      <c r="M90" s="6">
        <f t="shared" si="32"/>
        <v>-8.6999999999999994E-2</v>
      </c>
      <c r="N90" s="6">
        <f t="shared" si="33"/>
        <v>-9.6000000000000002E-2</v>
      </c>
      <c r="O90" s="6">
        <f t="shared" si="34"/>
        <v>-9.4E-2</v>
      </c>
      <c r="P90" s="6">
        <v>-8.6999999999999994E-2</v>
      </c>
      <c r="Q90" s="4">
        <v>-9.6000000000000002E-2</v>
      </c>
      <c r="R90" s="5">
        <v>-9.4E-2</v>
      </c>
      <c r="S90">
        <f t="shared" si="35"/>
        <v>-9.4E-2</v>
      </c>
      <c r="T90">
        <f t="shared" si="36"/>
        <v>1.0212765957446808</v>
      </c>
      <c r="U90">
        <f t="shared" si="37"/>
        <v>0.92553191489361697</v>
      </c>
      <c r="V90">
        <f t="shared" si="21"/>
        <v>-0.83587872340425529</v>
      </c>
      <c r="X90">
        <v>-9.4E-2</v>
      </c>
      <c r="Y90">
        <v>-0.10166699999999999</v>
      </c>
      <c r="Z90" s="11">
        <f t="shared" si="38"/>
        <v>0.74652595166116953</v>
      </c>
      <c r="AA90">
        <f t="shared" si="39"/>
        <v>-0.11869092496935971</v>
      </c>
      <c r="AB90" s="13">
        <f t="shared" si="40"/>
        <v>-0.32313941341074603</v>
      </c>
      <c r="AC90" s="13">
        <v>0.17686058658925399</v>
      </c>
    </row>
    <row r="91" spans="1:29" x14ac:dyDescent="0.25">
      <c r="A91" s="1">
        <v>1932</v>
      </c>
      <c r="B91" s="1">
        <f t="shared" si="22"/>
        <v>-0.13500000000000001</v>
      </c>
      <c r="C91" s="1">
        <f t="shared" si="23"/>
        <v>-0.12217219999999999</v>
      </c>
      <c r="D91" s="1">
        <f t="shared" si="24"/>
        <v>0</v>
      </c>
      <c r="E91" s="1">
        <f t="shared" si="25"/>
        <v>0.42441656113487852</v>
      </c>
      <c r="F91" s="1">
        <f t="shared" si="26"/>
        <v>1.2827800000000014E-2</v>
      </c>
      <c r="G91" s="9">
        <f t="shared" si="27"/>
        <v>0.42441656113487852</v>
      </c>
      <c r="H91" s="1">
        <f t="shared" si="28"/>
        <v>7.9135743081600023E-3</v>
      </c>
      <c r="I91" s="1">
        <f t="shared" si="29"/>
        <v>0.42441656113487852</v>
      </c>
      <c r="J91" s="1">
        <f t="shared" si="30"/>
        <v>2.0644664281795175</v>
      </c>
      <c r="K91" s="3"/>
      <c r="L91" s="3">
        <f t="shared" si="31"/>
        <v>1.244441494657198</v>
      </c>
      <c r="M91" s="6">
        <f t="shared" si="32"/>
        <v>-0.13500000000000001</v>
      </c>
      <c r="N91" s="6">
        <f t="shared" si="33"/>
        <v>-0.16600000000000001</v>
      </c>
      <c r="O91" s="6">
        <f t="shared" si="34"/>
        <v>-7.5999999999999998E-2</v>
      </c>
      <c r="P91" s="6">
        <v>-0.13500000000000001</v>
      </c>
      <c r="Q91" s="4">
        <v>-0.16600000000000001</v>
      </c>
      <c r="R91" s="5">
        <v>-7.5999999999999998E-2</v>
      </c>
      <c r="S91">
        <f t="shared" si="35"/>
        <v>-7.5999999999999998E-2</v>
      </c>
      <c r="T91">
        <f t="shared" si="36"/>
        <v>2.1842105263157898</v>
      </c>
      <c r="U91">
        <f t="shared" si="37"/>
        <v>1.7763157894736843</v>
      </c>
      <c r="V91">
        <f t="shared" si="21"/>
        <v>-1.7074605263157894</v>
      </c>
      <c r="X91">
        <v>-7.5999999999999998E-2</v>
      </c>
      <c r="Y91">
        <v>-8.4416699999999997E-2</v>
      </c>
      <c r="Z91" s="11">
        <f t="shared" si="38"/>
        <v>0.74611215759068727</v>
      </c>
      <c r="AA91">
        <f t="shared" si="39"/>
        <v>-0.18054752739799831</v>
      </c>
      <c r="AB91" s="13">
        <f t="shared" si="40"/>
        <v>-0.32041504838235702</v>
      </c>
      <c r="AC91" s="13">
        <v>0.17958495161764301</v>
      </c>
    </row>
    <row r="92" spans="1:29" x14ac:dyDescent="0.25">
      <c r="A92" s="1">
        <v>1933</v>
      </c>
      <c r="B92" s="1">
        <f t="shared" si="22"/>
        <v>-0.27300000000000002</v>
      </c>
      <c r="C92" s="1">
        <f t="shared" si="23"/>
        <v>-0.25582355000000001</v>
      </c>
      <c r="D92" s="1">
        <f t="shared" si="24"/>
        <v>0</v>
      </c>
      <c r="E92" s="1">
        <f t="shared" si="25"/>
        <v>0.36855580992995135</v>
      </c>
      <c r="F92" s="1">
        <f t="shared" si="26"/>
        <v>1.717645000000001E-2</v>
      </c>
      <c r="G92" s="9">
        <f t="shared" si="27"/>
        <v>0.36855580992995135</v>
      </c>
      <c r="H92" s="1">
        <f t="shared" si="28"/>
        <v>9.3633396948000075E-3</v>
      </c>
      <c r="I92" s="1">
        <f t="shared" si="29"/>
        <v>0.36855580992995135</v>
      </c>
      <c r="J92" s="1">
        <f t="shared" si="30"/>
        <v>0.77327601455418538</v>
      </c>
      <c r="K92" s="3"/>
      <c r="L92" s="3">
        <f t="shared" si="31"/>
        <v>0.57091591224206839</v>
      </c>
      <c r="M92" s="6">
        <f t="shared" si="32"/>
        <v>-0.27300000000000002</v>
      </c>
      <c r="N92" s="6">
        <f t="shared" si="33"/>
        <v>-0.23799999999999999</v>
      </c>
      <c r="O92" s="6">
        <f t="shared" si="34"/>
        <v>-0.33500000000000002</v>
      </c>
      <c r="P92" s="6">
        <v>-0.27300000000000002</v>
      </c>
      <c r="Q92" s="4">
        <v>-0.23799999999999999</v>
      </c>
      <c r="R92" s="5">
        <v>-0.33500000000000002</v>
      </c>
      <c r="S92">
        <f t="shared" si="35"/>
        <v>-0.33500000000000002</v>
      </c>
      <c r="T92">
        <f t="shared" si="36"/>
        <v>0.71044776119402975</v>
      </c>
      <c r="U92">
        <f t="shared" si="37"/>
        <v>0.81492537313432833</v>
      </c>
      <c r="V92">
        <f t="shared" si="21"/>
        <v>-0.83650417910447761</v>
      </c>
      <c r="X92">
        <v>-0.33500000000000002</v>
      </c>
      <c r="Y92">
        <v>-0.32450000000000001</v>
      </c>
      <c r="Z92" s="11">
        <f t="shared" si="38"/>
        <v>0.74552237335592508</v>
      </c>
      <c r="AA92">
        <f t="shared" si="39"/>
        <v>-0.32375154953870466</v>
      </c>
      <c r="AB92" s="13">
        <f t="shared" si="40"/>
        <v>-0.36837399607061699</v>
      </c>
      <c r="AC92" s="13">
        <v>0.13162600392938301</v>
      </c>
    </row>
    <row r="93" spans="1:29" x14ac:dyDescent="0.25">
      <c r="A93" s="1">
        <v>1934</v>
      </c>
      <c r="B93" s="1">
        <f t="shared" si="22"/>
        <v>-0.126</v>
      </c>
      <c r="C93" s="1">
        <f t="shared" si="23"/>
        <v>-0.11143304999999999</v>
      </c>
      <c r="D93" s="1">
        <f t="shared" si="24"/>
        <v>2.2204460492503131E-16</v>
      </c>
      <c r="E93" s="1">
        <f t="shared" si="25"/>
        <v>0.43928751438830599</v>
      </c>
      <c r="F93" s="1">
        <f t="shared" si="26"/>
        <v>1.4566950000000009E-2</v>
      </c>
      <c r="G93" s="9">
        <f t="shared" si="27"/>
        <v>0.43928751438830599</v>
      </c>
      <c r="H93" s="1">
        <f t="shared" si="28"/>
        <v>1.4485722962760001E-2</v>
      </c>
      <c r="I93" s="1">
        <f t="shared" si="29"/>
        <v>0.43928751438830599</v>
      </c>
      <c r="J93" s="1">
        <f t="shared" si="30"/>
        <v>19.176797675467377</v>
      </c>
      <c r="K93" s="3"/>
      <c r="L93" s="3">
        <f t="shared" si="31"/>
        <v>9.8080425949278425</v>
      </c>
      <c r="M93" s="6">
        <f t="shared" si="32"/>
        <v>-0.126</v>
      </c>
      <c r="N93" s="6">
        <f t="shared" si="33"/>
        <v>-0.189</v>
      </c>
      <c r="O93" s="6">
        <f t="shared" si="34"/>
        <v>-8.9999999999999993E-3</v>
      </c>
      <c r="P93" s="6">
        <v>-0.126</v>
      </c>
      <c r="Q93" s="4">
        <v>-0.189</v>
      </c>
      <c r="R93" s="5">
        <v>-8.9999999999999993E-3</v>
      </c>
      <c r="S93">
        <f t="shared" si="35"/>
        <v>-8.9999999999999993E-3</v>
      </c>
      <c r="T93">
        <f t="shared" si="36"/>
        <v>21</v>
      </c>
      <c r="U93">
        <f t="shared" si="37"/>
        <v>14.000000000000002</v>
      </c>
      <c r="V93">
        <f t="shared" si="21"/>
        <v>-12.726000000000003</v>
      </c>
      <c r="X93">
        <v>-8.9999999999999993E-3</v>
      </c>
      <c r="Y93">
        <v>-1.14167E-2</v>
      </c>
      <c r="Z93" s="11">
        <f t="shared" si="38"/>
        <v>0.7447647238150239</v>
      </c>
      <c r="AA93">
        <f t="shared" si="39"/>
        <v>-0.18369336098930625</v>
      </c>
      <c r="AB93" s="13">
        <f t="shared" si="40"/>
        <v>-0.32221763942225301</v>
      </c>
      <c r="AC93" s="13">
        <v>0.17778236057774699</v>
      </c>
    </row>
    <row r="94" spans="1:29" x14ac:dyDescent="0.25">
      <c r="A94" s="1">
        <v>1935</v>
      </c>
      <c r="B94" s="1">
        <f t="shared" si="22"/>
        <v>-0.17599999999999999</v>
      </c>
      <c r="C94" s="1">
        <f t="shared" si="23"/>
        <v>-0.16552495</v>
      </c>
      <c r="D94" s="1">
        <f t="shared" si="24"/>
        <v>0</v>
      </c>
      <c r="E94" s="1">
        <f t="shared" si="25"/>
        <v>0.42092706893351139</v>
      </c>
      <c r="F94" s="1">
        <f t="shared" si="26"/>
        <v>1.0475049999999986E-2</v>
      </c>
      <c r="G94" s="9">
        <f t="shared" si="27"/>
        <v>0.42092706893351139</v>
      </c>
      <c r="H94" s="1">
        <f t="shared" si="28"/>
        <v>5.7246131302E-3</v>
      </c>
      <c r="I94" s="1">
        <f t="shared" si="29"/>
        <v>0.42092706893351139</v>
      </c>
      <c r="J94" s="1">
        <f t="shared" si="30"/>
        <v>1.0557328940325277</v>
      </c>
      <c r="K94" s="3"/>
      <c r="L94" s="3">
        <f t="shared" si="31"/>
        <v>0.73832998148301954</v>
      </c>
      <c r="M94" s="6">
        <f t="shared" si="32"/>
        <v>-0.17599999999999999</v>
      </c>
      <c r="N94" s="6">
        <f t="shared" si="33"/>
        <v>-0.185</v>
      </c>
      <c r="O94" s="6">
        <f t="shared" si="34"/>
        <v>-0.16700000000000001</v>
      </c>
      <c r="P94" s="6">
        <v>-0.17599999999999999</v>
      </c>
      <c r="Q94" s="4">
        <v>-0.185</v>
      </c>
      <c r="R94" s="5">
        <v>-0.16700000000000001</v>
      </c>
      <c r="S94">
        <f t="shared" si="35"/>
        <v>-0.16700000000000001</v>
      </c>
      <c r="T94">
        <f t="shared" si="36"/>
        <v>1.1077844311377245</v>
      </c>
      <c r="U94">
        <f t="shared" si="37"/>
        <v>1.0538922155688621</v>
      </c>
      <c r="V94">
        <f t="shared" si="21"/>
        <v>-1.0308586826347304</v>
      </c>
      <c r="X94">
        <v>-0.16700000000000001</v>
      </c>
      <c r="Y94">
        <v>-0.16383300000000001</v>
      </c>
      <c r="Z94" s="11">
        <f t="shared" si="38"/>
        <v>0.74384744185954332</v>
      </c>
      <c r="AA94">
        <f t="shared" si="39"/>
        <v>-0.22531422284111258</v>
      </c>
      <c r="AB94" s="13">
        <f t="shared" si="40"/>
        <v>-0.33512976250100801</v>
      </c>
      <c r="AC94" s="13">
        <v>0.16487023749899199</v>
      </c>
    </row>
    <row r="95" spans="1:29" x14ac:dyDescent="0.25">
      <c r="A95" s="1">
        <v>1936</v>
      </c>
      <c r="B95" s="1">
        <f t="shared" si="22"/>
        <v>-0.14299999999999999</v>
      </c>
      <c r="C95" s="1">
        <f t="shared" si="23"/>
        <v>-0.12642980000000001</v>
      </c>
      <c r="D95" s="1">
        <f t="shared" si="24"/>
        <v>0</v>
      </c>
      <c r="E95" s="1">
        <f t="shared" si="25"/>
        <v>0.38530182403081326</v>
      </c>
      <c r="F95" s="1">
        <f t="shared" si="26"/>
        <v>1.6570199999999979E-2</v>
      </c>
      <c r="G95" s="9">
        <f t="shared" si="27"/>
        <v>0.38530182403081326</v>
      </c>
      <c r="H95" s="1">
        <f t="shared" si="28"/>
        <v>6.6263278931199959E-3</v>
      </c>
      <c r="I95" s="1">
        <f t="shared" si="29"/>
        <v>0.38530182403081326</v>
      </c>
      <c r="J95" s="1">
        <f t="shared" si="30"/>
        <v>1.4036651288705659</v>
      </c>
      <c r="K95" s="3"/>
      <c r="L95" s="3">
        <f t="shared" si="31"/>
        <v>0.89448347645068949</v>
      </c>
      <c r="M95" s="6">
        <f t="shared" si="32"/>
        <v>-0.14299999999999999</v>
      </c>
      <c r="N95" s="6">
        <f t="shared" si="33"/>
        <v>-0.151</v>
      </c>
      <c r="O95" s="6">
        <f t="shared" si="34"/>
        <v>-0.112</v>
      </c>
      <c r="P95" s="6">
        <v>-0.14299999999999999</v>
      </c>
      <c r="Q95" s="4">
        <v>-0.151</v>
      </c>
      <c r="R95" s="5">
        <v>-0.112</v>
      </c>
      <c r="S95">
        <f t="shared" si="35"/>
        <v>-0.112</v>
      </c>
      <c r="T95">
        <f t="shared" si="36"/>
        <v>1.3482142857142856</v>
      </c>
      <c r="U95">
        <f t="shared" si="37"/>
        <v>1.2767857142857142</v>
      </c>
      <c r="V95">
        <f t="shared" si="21"/>
        <v>-1.3050508928571427</v>
      </c>
      <c r="X95">
        <v>-0.112</v>
      </c>
      <c r="Y95">
        <v>-0.110167</v>
      </c>
      <c r="Z95" s="11">
        <f t="shared" si="38"/>
        <v>0.74277898017317057</v>
      </c>
      <c r="AA95">
        <f t="shared" si="39"/>
        <v>-0.17715411606823195</v>
      </c>
      <c r="AB95" s="13">
        <f t="shared" si="40"/>
        <v>-0.33106488135991796</v>
      </c>
      <c r="AC95" s="13">
        <v>0.16893511864008201</v>
      </c>
    </row>
    <row r="96" spans="1:29" x14ac:dyDescent="0.25">
      <c r="A96" s="1">
        <v>1937</v>
      </c>
      <c r="B96" s="1">
        <f t="shared" si="22"/>
        <v>-2.5000000000000001E-2</v>
      </c>
      <c r="C96" s="1">
        <f t="shared" si="23"/>
        <v>-1.87137E-2</v>
      </c>
      <c r="D96" s="1">
        <f t="shared" si="24"/>
        <v>0</v>
      </c>
      <c r="E96" s="1">
        <f t="shared" si="25"/>
        <v>0.80357578279792219</v>
      </c>
      <c r="F96" s="1">
        <f t="shared" si="26"/>
        <v>6.2863000000000016E-3</v>
      </c>
      <c r="G96" s="9">
        <f t="shared" si="27"/>
        <v>0.80357578279792219</v>
      </c>
      <c r="H96" s="1">
        <f t="shared" si="28"/>
        <v>3.4547339992000017E-4</v>
      </c>
      <c r="I96" s="1">
        <f t="shared" si="29"/>
        <v>0.1182327317629652</v>
      </c>
      <c r="J96" s="1">
        <f t="shared" si="30"/>
        <v>0.80357578279792219</v>
      </c>
      <c r="K96" s="3"/>
      <c r="L96" s="3">
        <f t="shared" si="31"/>
        <v>0.46090425728044371</v>
      </c>
      <c r="M96" s="6">
        <f t="shared" si="32"/>
        <v>-2.5000000000000001E-2</v>
      </c>
      <c r="N96" s="6">
        <f t="shared" si="33"/>
        <v>-8.9999999999999993E-3</v>
      </c>
      <c r="O96" s="6">
        <f t="shared" si="34"/>
        <v>-3.7999999999999999E-2</v>
      </c>
      <c r="P96" s="6">
        <v>-2.5000000000000001E-2</v>
      </c>
      <c r="Q96" s="4">
        <v>-8.9999999999999993E-3</v>
      </c>
      <c r="R96" s="5">
        <v>-3.7999999999999999E-2</v>
      </c>
      <c r="S96">
        <f t="shared" si="35"/>
        <v>-3.7999999999999999E-2</v>
      </c>
      <c r="T96">
        <f t="shared" si="36"/>
        <v>0.23684210526315788</v>
      </c>
      <c r="U96">
        <f t="shared" si="37"/>
        <v>0.65789473684210531</v>
      </c>
      <c r="V96">
        <f t="shared" si="21"/>
        <v>-0.86045526315789478</v>
      </c>
      <c r="X96">
        <v>-3.7999999999999999E-2</v>
      </c>
      <c r="Y96">
        <v>-4.1666700000000001E-2</v>
      </c>
      <c r="Z96" s="11">
        <f t="shared" si="38"/>
        <v>0.74156786222010851</v>
      </c>
      <c r="AA96">
        <f t="shared" si="39"/>
        <v>-1.9541183131714879E-2</v>
      </c>
      <c r="AB96" s="13">
        <f t="shared" si="40"/>
        <v>-0.30874775540356403</v>
      </c>
      <c r="AC96" s="13">
        <v>0.191252244596436</v>
      </c>
    </row>
    <row r="97" spans="1:29" x14ac:dyDescent="0.25">
      <c r="A97" s="1">
        <v>1938</v>
      </c>
      <c r="B97" s="1">
        <f t="shared" si="22"/>
        <v>-5.0000000000000001E-3</v>
      </c>
      <c r="C97" s="1">
        <f t="shared" si="23"/>
        <v>1.0350350000000008E-2</v>
      </c>
      <c r="D97" s="1">
        <f t="shared" si="24"/>
        <v>1.8214596497756474E-17</v>
      </c>
      <c r="E97" s="1">
        <f t="shared" si="25"/>
        <v>0.4340188452670633</v>
      </c>
      <c r="F97" s="1">
        <f t="shared" si="26"/>
        <v>1.5350350000000009E-2</v>
      </c>
      <c r="G97" s="9">
        <f t="shared" si="27"/>
        <v>0.4340188452670633</v>
      </c>
      <c r="H97" s="1">
        <f t="shared" si="28"/>
        <v>1.1763482544879999E-2</v>
      </c>
      <c r="I97" s="1">
        <f t="shared" si="29"/>
        <v>0.4340188452670633</v>
      </c>
      <c r="J97" s="1">
        <f t="shared" si="30"/>
        <v>-0.47596941239678037</v>
      </c>
      <c r="K97" s="3"/>
      <c r="L97" s="3">
        <f t="shared" si="31"/>
        <v>-2.0975283564858511E-2</v>
      </c>
      <c r="M97" s="6">
        <f t="shared" si="32"/>
        <v>-5.0000000000000001E-3</v>
      </c>
      <c r="N97" s="6">
        <f t="shared" si="33"/>
        <v>-8.5999999999999993E-2</v>
      </c>
      <c r="O97" s="6">
        <f t="shared" si="34"/>
        <v>0.16700000000000001</v>
      </c>
      <c r="P97" s="6">
        <v>-5.0000000000000001E-3</v>
      </c>
      <c r="Q97" s="4">
        <v>-8.5999999999999993E-2</v>
      </c>
      <c r="R97" s="5">
        <v>0.16700000000000001</v>
      </c>
      <c r="S97">
        <f t="shared" si="35"/>
        <v>0.16700000000000001</v>
      </c>
      <c r="T97">
        <f t="shared" si="36"/>
        <v>-0.51497005988023947</v>
      </c>
      <c r="U97">
        <f t="shared" si="37"/>
        <v>-2.9940119760479042E-2</v>
      </c>
      <c r="V97">
        <f t="shared" si="21"/>
        <v>-2.1353892215568854E-2</v>
      </c>
      <c r="X97">
        <v>0.16700000000000001</v>
      </c>
      <c r="Y97">
        <v>0.16</v>
      </c>
      <c r="Z97" s="11">
        <f t="shared" si="38"/>
        <v>0.74022275302559137</v>
      </c>
      <c r="AA97">
        <f t="shared" si="39"/>
        <v>-3.5106453569344269E-2</v>
      </c>
      <c r="AB97" s="13">
        <f t="shared" si="40"/>
        <v>-0.277537826971608</v>
      </c>
      <c r="AC97" s="13">
        <v>0.222462173028392</v>
      </c>
    </row>
    <row r="98" spans="1:29" x14ac:dyDescent="0.25">
      <c r="A98" s="1">
        <v>1939</v>
      </c>
      <c r="B98" s="1">
        <f t="shared" si="22"/>
        <v>-5.5E-2</v>
      </c>
      <c r="C98" s="1">
        <f t="shared" si="23"/>
        <v>-4.7019650000000003E-2</v>
      </c>
      <c r="D98" s="1">
        <f t="shared" si="24"/>
        <v>0</v>
      </c>
      <c r="E98" s="1">
        <f t="shared" si="25"/>
        <v>0.42283086602545439</v>
      </c>
      <c r="F98" s="1">
        <f t="shared" si="26"/>
        <v>7.9803499999999972E-3</v>
      </c>
      <c r="G98" s="9">
        <f t="shared" si="27"/>
        <v>0.42283086602545439</v>
      </c>
      <c r="H98" s="1">
        <f t="shared" si="28"/>
        <v>2.7021549501999999E-3</v>
      </c>
      <c r="I98" s="1">
        <f t="shared" si="29"/>
        <v>0.42283086602545439</v>
      </c>
      <c r="J98" s="1">
        <f t="shared" si="30"/>
        <v>14.989807497432581</v>
      </c>
      <c r="K98" s="3"/>
      <c r="L98" s="3">
        <f t="shared" si="31"/>
        <v>7.7063191817290182</v>
      </c>
      <c r="M98" s="6">
        <f t="shared" si="32"/>
        <v>-5.5E-2</v>
      </c>
      <c r="N98" s="6">
        <f t="shared" si="33"/>
        <v>-7.9000000000000001E-2</v>
      </c>
      <c r="O98" s="6">
        <f t="shared" si="34"/>
        <v>-5.0000000000000001E-3</v>
      </c>
      <c r="P98" s="6">
        <v>-5.5E-2</v>
      </c>
      <c r="Q98" s="4">
        <v>-7.9000000000000001E-2</v>
      </c>
      <c r="R98" s="5">
        <v>-5.0000000000000001E-3</v>
      </c>
      <c r="S98">
        <f t="shared" si="35"/>
        <v>-5.0000000000000001E-3</v>
      </c>
      <c r="T98">
        <f t="shared" si="36"/>
        <v>15.8</v>
      </c>
      <c r="U98">
        <f t="shared" si="37"/>
        <v>11</v>
      </c>
      <c r="V98">
        <f t="shared" si="21"/>
        <v>-10.437239999999999</v>
      </c>
      <c r="X98">
        <v>-5.0000000000000001E-3</v>
      </c>
      <c r="Y98">
        <v>1.9166700000000001E-3</v>
      </c>
      <c r="Z98" s="11">
        <f t="shared" si="38"/>
        <v>0.73875237349420786</v>
      </c>
      <c r="AA98">
        <f t="shared" si="39"/>
        <v>-7.7752473066142122E-2</v>
      </c>
      <c r="AB98" s="13">
        <f t="shared" si="40"/>
        <v>-0.28907925762875497</v>
      </c>
      <c r="AC98" s="13">
        <v>0.210920742371245</v>
      </c>
    </row>
    <row r="99" spans="1:29" x14ac:dyDescent="0.25">
      <c r="A99" s="1">
        <v>1940</v>
      </c>
      <c r="B99" s="1">
        <f t="shared" si="22"/>
        <v>1.7999999999999999E-2</v>
      </c>
      <c r="C99" s="1">
        <f t="shared" si="23"/>
        <v>-6.1829499999999978E-3</v>
      </c>
      <c r="D99" s="1">
        <f t="shared" si="24"/>
        <v>0</v>
      </c>
      <c r="E99" s="1">
        <f t="shared" si="25"/>
        <v>0.19178094545977614</v>
      </c>
      <c r="F99" s="1">
        <f t="shared" si="26"/>
        <v>2.4182949999999995E-2</v>
      </c>
      <c r="G99" s="9">
        <f t="shared" si="27"/>
        <v>0.19178094545977614</v>
      </c>
      <c r="H99" s="1">
        <f t="shared" si="28"/>
        <v>8.8632251711999997E-4</v>
      </c>
      <c r="I99" s="1">
        <f t="shared" si="29"/>
        <v>-0.77830840960828485</v>
      </c>
      <c r="J99" s="1">
        <f t="shared" si="30"/>
        <v>0.19178094545977614</v>
      </c>
      <c r="K99" s="3"/>
      <c r="L99" s="3">
        <f t="shared" si="31"/>
        <v>-0.29326373207425438</v>
      </c>
      <c r="M99" s="6">
        <f t="shared" si="32"/>
        <v>1.7999999999999999E-2</v>
      </c>
      <c r="N99" s="6">
        <f t="shared" si="33"/>
        <v>1.6E-2</v>
      </c>
      <c r="O99" s="6">
        <f t="shared" si="34"/>
        <v>-4.2999999999999997E-2</v>
      </c>
      <c r="P99" s="6">
        <v>1.7999999999999999E-2</v>
      </c>
      <c r="Q99" s="4">
        <v>1.6E-2</v>
      </c>
      <c r="R99" s="5">
        <v>-4.2999999999999997E-2</v>
      </c>
      <c r="S99">
        <f t="shared" si="35"/>
        <v>-4.2999999999999997E-2</v>
      </c>
      <c r="T99">
        <f t="shared" si="36"/>
        <v>-0.372093023255814</v>
      </c>
      <c r="U99">
        <f t="shared" si="37"/>
        <v>-0.41860465116279072</v>
      </c>
      <c r="V99">
        <f t="shared" si="21"/>
        <v>0.85794651162790703</v>
      </c>
      <c r="X99">
        <v>-4.2999999999999997E-2</v>
      </c>
      <c r="Y99">
        <v>-4.55833E-2</v>
      </c>
      <c r="Z99" s="11">
        <f t="shared" si="38"/>
        <v>0.73716547060757875</v>
      </c>
      <c r="AA99">
        <f t="shared" si="39"/>
        <v>3.1797875800736956E-3</v>
      </c>
      <c r="AB99" s="13">
        <f t="shared" si="40"/>
        <v>-0.28557064335307403</v>
      </c>
      <c r="AC99" s="13">
        <v>0.214429356646926</v>
      </c>
    </row>
    <row r="100" spans="1:29" x14ac:dyDescent="0.25">
      <c r="A100" s="1">
        <v>1941</v>
      </c>
      <c r="B100" s="1">
        <f t="shared" si="22"/>
        <v>1.7999999999999999E-2</v>
      </c>
      <c r="C100" s="1">
        <f t="shared" si="23"/>
        <v>1.8231300000000002E-2</v>
      </c>
      <c r="D100" s="1">
        <f t="shared" si="24"/>
        <v>0</v>
      </c>
      <c r="E100" s="1">
        <f t="shared" si="25"/>
        <v>0.50215115709209557</v>
      </c>
      <c r="F100" s="1">
        <f t="shared" si="26"/>
        <v>2.3130000000000372E-4</v>
      </c>
      <c r="G100" s="9">
        <f t="shared" si="27"/>
        <v>0.50215115709209557</v>
      </c>
      <c r="H100" s="1">
        <f t="shared" si="28"/>
        <v>2.8985871060000002E-3</v>
      </c>
      <c r="I100" s="1">
        <f t="shared" si="29"/>
        <v>-1.0065647762598129</v>
      </c>
      <c r="J100" s="1">
        <f t="shared" si="30"/>
        <v>0.50215115709209557</v>
      </c>
      <c r="K100" s="3"/>
      <c r="L100" s="3">
        <f t="shared" si="31"/>
        <v>-0.25220680958385872</v>
      </c>
      <c r="M100" s="6">
        <f t="shared" si="32"/>
        <v>1.7999999999999999E-2</v>
      </c>
      <c r="N100" s="6">
        <f t="shared" si="33"/>
        <v>6.3E-2</v>
      </c>
      <c r="O100" s="6">
        <f t="shared" si="34"/>
        <v>-0.05</v>
      </c>
      <c r="P100" s="6">
        <v>1.7999999999999999E-2</v>
      </c>
      <c r="Q100" s="4">
        <v>6.3E-2</v>
      </c>
      <c r="R100" s="5">
        <v>-0.05</v>
      </c>
      <c r="S100">
        <f t="shared" si="35"/>
        <v>-0.05</v>
      </c>
      <c r="T100">
        <f t="shared" si="36"/>
        <v>-1.26</v>
      </c>
      <c r="U100">
        <f t="shared" si="37"/>
        <v>-0.35999999999999993</v>
      </c>
      <c r="V100">
        <f t="shared" si="21"/>
        <v>0.10703799999999986</v>
      </c>
      <c r="X100">
        <v>-0.05</v>
      </c>
      <c r="Y100">
        <v>-5.4416699999999998E-2</v>
      </c>
      <c r="Z100" s="11">
        <f t="shared" si="38"/>
        <v>0.73547085467725992</v>
      </c>
      <c r="AA100">
        <f t="shared" si="39"/>
        <v>4.682012141787148E-2</v>
      </c>
      <c r="AB100" s="13">
        <f t="shared" si="40"/>
        <v>-0.290868642848229</v>
      </c>
      <c r="AC100" s="13">
        <v>0.209131357151771</v>
      </c>
    </row>
    <row r="101" spans="1:29" x14ac:dyDescent="0.25">
      <c r="A101" s="1">
        <v>1942</v>
      </c>
      <c r="B101" s="1">
        <f t="shared" si="22"/>
        <v>-2.3E-2</v>
      </c>
      <c r="C101" s="1">
        <f t="shared" si="23"/>
        <v>-8.3986999999999985E-3</v>
      </c>
      <c r="D101" s="1">
        <f t="shared" si="24"/>
        <v>0</v>
      </c>
      <c r="E101" s="1">
        <f t="shared" si="25"/>
        <v>0.84504976023824352</v>
      </c>
      <c r="F101" s="1">
        <f t="shared" si="26"/>
        <v>1.4601300000000001E-2</v>
      </c>
      <c r="G101" s="9">
        <f t="shared" si="27"/>
        <v>0.84504976023824352</v>
      </c>
      <c r="H101" s="1">
        <f t="shared" si="28"/>
        <v>1.0553600305599998E-3</v>
      </c>
      <c r="I101" s="1">
        <f t="shared" si="29"/>
        <v>-0.1444752891719692</v>
      </c>
      <c r="J101" s="1">
        <f t="shared" si="30"/>
        <v>0.84504976023824352</v>
      </c>
      <c r="K101" s="3"/>
      <c r="L101" s="3">
        <f t="shared" si="31"/>
        <v>0.35028723553313718</v>
      </c>
      <c r="M101" s="6">
        <f t="shared" si="32"/>
        <v>-2.3E-2</v>
      </c>
      <c r="N101" s="6">
        <f t="shared" si="33"/>
        <v>1.4E-2</v>
      </c>
      <c r="O101" s="6">
        <f t="shared" si="34"/>
        <v>-4.5999999999999999E-2</v>
      </c>
      <c r="P101" s="6">
        <v>-2.3E-2</v>
      </c>
      <c r="Q101" s="4">
        <v>1.4E-2</v>
      </c>
      <c r="R101" s="5">
        <v>-4.5999999999999999E-2</v>
      </c>
      <c r="S101">
        <f t="shared" si="35"/>
        <v>-4.5999999999999999E-2</v>
      </c>
      <c r="T101">
        <f t="shared" si="36"/>
        <v>-0.30434782608695654</v>
      </c>
      <c r="U101">
        <f t="shared" si="37"/>
        <v>0.5</v>
      </c>
      <c r="V101">
        <f t="shared" si="21"/>
        <v>-0.93091304347826087</v>
      </c>
      <c r="X101">
        <v>-4.5999999999999999E-2</v>
      </c>
      <c r="Y101">
        <v>-4.84167E-2</v>
      </c>
      <c r="Z101" s="11">
        <f t="shared" si="38"/>
        <v>0.73367728013545275</v>
      </c>
      <c r="AA101">
        <f t="shared" si="39"/>
        <v>4.4899435350008107E-4</v>
      </c>
      <c r="AB101" s="13">
        <f t="shared" si="40"/>
        <v>-0.28677343872864602</v>
      </c>
      <c r="AC101" s="13">
        <v>0.213226561271354</v>
      </c>
    </row>
    <row r="102" spans="1:29" x14ac:dyDescent="0.25">
      <c r="A102" s="1">
        <v>1943</v>
      </c>
      <c r="B102" s="1">
        <f t="shared" si="22"/>
        <v>-3.0000000000000001E-3</v>
      </c>
      <c r="C102" s="1">
        <f t="shared" si="23"/>
        <v>2.5643999999999997E-3</v>
      </c>
      <c r="D102" s="1">
        <f t="shared" si="24"/>
        <v>0</v>
      </c>
      <c r="E102" s="1">
        <f t="shared" si="25"/>
        <v>0.18674382658249841</v>
      </c>
      <c r="F102" s="1">
        <f t="shared" si="26"/>
        <v>5.5643999999999997E-3</v>
      </c>
      <c r="G102" s="9">
        <f t="shared" si="27"/>
        <v>0.18674382658249841</v>
      </c>
      <c r="H102" s="1">
        <f t="shared" si="28"/>
        <v>3.8423852640000001E-5</v>
      </c>
      <c r="I102" s="1">
        <f t="shared" si="29"/>
        <v>0.18674382658249841</v>
      </c>
      <c r="J102" s="1">
        <f t="shared" si="30"/>
        <v>-0.53703106211563567</v>
      </c>
      <c r="K102" s="3"/>
      <c r="L102" s="3">
        <f t="shared" si="31"/>
        <v>-0.17514361776656859</v>
      </c>
      <c r="M102" s="6">
        <f t="shared" si="32"/>
        <v>-3.0000000000000001E-3</v>
      </c>
      <c r="N102" s="6">
        <f t="shared" si="33"/>
        <v>-3.0000000000000001E-3</v>
      </c>
      <c r="O102" s="6">
        <f t="shared" si="34"/>
        <v>1.2E-2</v>
      </c>
      <c r="P102" s="6">
        <v>-3.0000000000000001E-3</v>
      </c>
      <c r="Q102" s="4">
        <v>-3.0000000000000001E-3</v>
      </c>
      <c r="R102" s="5">
        <v>1.2E-2</v>
      </c>
      <c r="S102">
        <f t="shared" si="35"/>
        <v>1.2E-2</v>
      </c>
      <c r="T102">
        <f t="shared" si="36"/>
        <v>-0.25</v>
      </c>
      <c r="U102">
        <f t="shared" si="37"/>
        <v>-0.25</v>
      </c>
      <c r="V102">
        <f t="shared" si="21"/>
        <v>0.60787499999999994</v>
      </c>
      <c r="X102">
        <v>1.2E-2</v>
      </c>
      <c r="Y102">
        <v>1.6750000000000001E-2</v>
      </c>
      <c r="Z102" s="11">
        <f t="shared" si="38"/>
        <v>0.73179346788674593</v>
      </c>
      <c r="AA102">
        <f t="shared" si="39"/>
        <v>5.0977448507293641E-4</v>
      </c>
      <c r="AB102" s="13">
        <f t="shared" si="40"/>
        <v>-0.27260411364773901</v>
      </c>
      <c r="AC102" s="13">
        <v>0.22739588635226099</v>
      </c>
    </row>
    <row r="103" spans="1:29" x14ac:dyDescent="0.25">
      <c r="A103" s="1">
        <v>1944</v>
      </c>
      <c r="B103" s="1">
        <f t="shared" si="22"/>
        <v>0.15</v>
      </c>
      <c r="C103" s="1">
        <f t="shared" si="23"/>
        <v>0.12592365</v>
      </c>
      <c r="D103" s="1">
        <f t="shared" si="24"/>
        <v>0</v>
      </c>
      <c r="E103" s="1">
        <f t="shared" si="25"/>
        <v>0.34798514638068317</v>
      </c>
      <c r="F103" s="1">
        <f t="shared" si="26"/>
        <v>2.4076349999999996E-2</v>
      </c>
      <c r="G103" s="9">
        <f t="shared" si="27"/>
        <v>0.34798514638068317</v>
      </c>
      <c r="H103" s="1">
        <f t="shared" si="28"/>
        <v>8.4427544012399998E-3</v>
      </c>
      <c r="I103" s="1">
        <f t="shared" si="29"/>
        <v>1.4483596512251482</v>
      </c>
      <c r="J103" s="1">
        <f t="shared" si="30"/>
        <v>0.34798514638068317</v>
      </c>
      <c r="K103" s="3"/>
      <c r="L103" s="3">
        <f t="shared" si="31"/>
        <v>0.89817239880291577</v>
      </c>
      <c r="M103" s="6">
        <f t="shared" si="32"/>
        <v>0.15</v>
      </c>
      <c r="N103" s="6">
        <f t="shared" si="33"/>
        <v>0.14699999999999999</v>
      </c>
      <c r="O103" s="6">
        <f t="shared" si="34"/>
        <v>0.11700000000000001</v>
      </c>
      <c r="P103" s="6">
        <v>0.15</v>
      </c>
      <c r="Q103" s="4">
        <v>0.14699999999999999</v>
      </c>
      <c r="R103" s="5">
        <v>0.11700000000000001</v>
      </c>
      <c r="S103">
        <f t="shared" si="35"/>
        <v>0.11700000000000001</v>
      </c>
      <c r="T103">
        <f t="shared" si="36"/>
        <v>1.2564102564102562</v>
      </c>
      <c r="U103">
        <f t="shared" si="37"/>
        <v>1.2820512820512819</v>
      </c>
      <c r="V103">
        <f t="shared" si="21"/>
        <v>-1.381102564102564</v>
      </c>
      <c r="X103">
        <v>0.11700000000000001</v>
      </c>
      <c r="Y103">
        <v>0.111417</v>
      </c>
      <c r="Z103" s="11">
        <f t="shared" si="38"/>
        <v>0.72982809785753489</v>
      </c>
      <c r="AA103">
        <f t="shared" si="39"/>
        <v>0.17724862218444673</v>
      </c>
      <c r="AB103" s="13">
        <f t="shared" si="40"/>
        <v>-0.25629011927150203</v>
      </c>
      <c r="AC103" s="13">
        <v>0.243709880728498</v>
      </c>
    </row>
    <row r="104" spans="1:29" x14ac:dyDescent="0.25">
      <c r="A104" s="1">
        <v>1945</v>
      </c>
      <c r="B104" s="1">
        <f t="shared" si="22"/>
        <v>3.3000000000000002E-2</v>
      </c>
      <c r="C104" s="1">
        <f t="shared" si="23"/>
        <v>3.3906400000000003E-2</v>
      </c>
      <c r="D104" s="1">
        <f t="shared" si="24"/>
        <v>0</v>
      </c>
      <c r="E104" s="1">
        <f t="shared" si="25"/>
        <v>0.50380935574945762</v>
      </c>
      <c r="F104" s="1">
        <f t="shared" si="26"/>
        <v>9.0640000000000165E-4</v>
      </c>
      <c r="G104" s="9">
        <f t="shared" si="27"/>
        <v>0.50380935574945762</v>
      </c>
      <c r="H104" s="1">
        <f t="shared" si="28"/>
        <v>1.42316541792E-2</v>
      </c>
      <c r="I104" s="1">
        <f t="shared" si="29"/>
        <v>-0.88912531483590851</v>
      </c>
      <c r="J104" s="1">
        <f t="shared" si="30"/>
        <v>0.50380935574945762</v>
      </c>
      <c r="K104" s="3"/>
      <c r="L104" s="3">
        <f t="shared" si="31"/>
        <v>-0.19265797954322547</v>
      </c>
      <c r="M104" s="6">
        <f t="shared" si="32"/>
        <v>3.3000000000000002E-2</v>
      </c>
      <c r="N104" s="6">
        <f t="shared" si="33"/>
        <v>0.13400000000000001</v>
      </c>
      <c r="O104" s="6">
        <f t="shared" si="34"/>
        <v>-0.12</v>
      </c>
      <c r="P104" s="6">
        <v>3.3000000000000002E-2</v>
      </c>
      <c r="Q104" s="4">
        <v>0.13400000000000001</v>
      </c>
      <c r="R104" s="5">
        <v>-0.12</v>
      </c>
      <c r="S104">
        <f t="shared" si="35"/>
        <v>-0.12</v>
      </c>
      <c r="T104">
        <f t="shared" si="36"/>
        <v>-1.1166666666666667</v>
      </c>
      <c r="U104">
        <f t="shared" si="37"/>
        <v>-0.27500000000000002</v>
      </c>
      <c r="V104">
        <f t="shared" si="21"/>
        <v>3.9335000000000009E-2</v>
      </c>
      <c r="X104">
        <v>-0.12</v>
      </c>
      <c r="Y104">
        <v>-0.11700000000000001</v>
      </c>
      <c r="Z104" s="11">
        <f t="shared" si="38"/>
        <v>0.72778974194079638</v>
      </c>
      <c r="AA104">
        <f t="shared" si="39"/>
        <v>9.7049809245082358E-2</v>
      </c>
      <c r="AB104" s="13">
        <f t="shared" si="40"/>
        <v>-0.29043820532974196</v>
      </c>
      <c r="AC104" s="13">
        <v>0.20956179467025801</v>
      </c>
    </row>
    <row r="105" spans="1:29" x14ac:dyDescent="0.25">
      <c r="A105" s="1">
        <v>1946</v>
      </c>
      <c r="B105" s="1">
        <f t="shared" si="22"/>
        <v>-6.8000000000000005E-2</v>
      </c>
      <c r="C105" s="1">
        <f t="shared" si="23"/>
        <v>-3.7211649999999999E-2</v>
      </c>
      <c r="D105" s="1">
        <f t="shared" si="24"/>
        <v>0</v>
      </c>
      <c r="E105" s="1">
        <f t="shared" si="25"/>
        <v>7.6277025834231821E-2</v>
      </c>
      <c r="F105" s="1">
        <f t="shared" si="26"/>
        <v>3.0788350000000006E-2</v>
      </c>
      <c r="G105" s="9">
        <f t="shared" si="27"/>
        <v>7.6277025834231821E-2</v>
      </c>
      <c r="H105" s="1">
        <f t="shared" si="28"/>
        <v>3.5541160248400002E-3</v>
      </c>
      <c r="I105" s="1">
        <f t="shared" si="29"/>
        <v>7.6277025834231821E-2</v>
      </c>
      <c r="J105" s="1">
        <f t="shared" si="30"/>
        <v>1.1611012607243827</v>
      </c>
      <c r="K105" s="3"/>
      <c r="L105" s="3">
        <f t="shared" si="31"/>
        <v>0.61868914327930724</v>
      </c>
      <c r="M105" s="6">
        <f t="shared" si="32"/>
        <v>-6.8000000000000005E-2</v>
      </c>
      <c r="N105" s="6">
        <f t="shared" si="33"/>
        <v>-1.7000000000000001E-2</v>
      </c>
      <c r="O105" s="6">
        <f t="shared" si="34"/>
        <v>-7.6999999999999999E-2</v>
      </c>
      <c r="P105" s="6">
        <v>-6.8000000000000005E-2</v>
      </c>
      <c r="Q105" s="4">
        <v>-1.7000000000000001E-2</v>
      </c>
      <c r="R105" s="5">
        <v>-7.6999999999999999E-2</v>
      </c>
      <c r="S105">
        <f t="shared" si="35"/>
        <v>-7.6999999999999999E-2</v>
      </c>
      <c r="T105">
        <f t="shared" si="36"/>
        <v>0.2207792207792208</v>
      </c>
      <c r="U105">
        <f t="shared" si="37"/>
        <v>0.88311688311688319</v>
      </c>
      <c r="V105">
        <f t="shared" si="21"/>
        <v>-1.3223636363636366</v>
      </c>
      <c r="X105">
        <v>-7.6999999999999999E-2</v>
      </c>
      <c r="Y105">
        <v>-7.2583300000000003E-2</v>
      </c>
      <c r="Z105" s="11">
        <f t="shared" si="38"/>
        <v>0.72568684164434671</v>
      </c>
      <c r="AA105">
        <f t="shared" si="39"/>
        <v>-3.8764295255777056E-2</v>
      </c>
      <c r="AB105" s="13">
        <f t="shared" si="40"/>
        <v>-0.27877164456166703</v>
      </c>
      <c r="AC105" s="13">
        <v>0.221228355438333</v>
      </c>
    </row>
    <row r="106" spans="1:29" x14ac:dyDescent="0.25">
      <c r="A106" s="1">
        <v>1947</v>
      </c>
      <c r="B106" s="1">
        <f t="shared" si="22"/>
        <v>-3.7999999999999999E-2</v>
      </c>
      <c r="C106" s="1">
        <f t="shared" si="23"/>
        <v>-3.2779299999999997E-2</v>
      </c>
      <c r="D106" s="1">
        <f t="shared" si="24"/>
        <v>0</v>
      </c>
      <c r="E106" s="1">
        <f t="shared" si="25"/>
        <v>0.42882325545580846</v>
      </c>
      <c r="F106" s="1">
        <f t="shared" si="26"/>
        <v>5.2207000000000017E-3</v>
      </c>
      <c r="G106" s="9">
        <f t="shared" si="27"/>
        <v>0.42882325545580846</v>
      </c>
      <c r="H106" s="1">
        <f t="shared" si="28"/>
        <v>1.3524591251199999E-3</v>
      </c>
      <c r="I106" s="1">
        <f t="shared" si="29"/>
        <v>0.42882325545580846</v>
      </c>
      <c r="J106" s="1">
        <f t="shared" si="30"/>
        <v>26.19300664506261</v>
      </c>
      <c r="K106" s="3"/>
      <c r="L106" s="3">
        <f t="shared" si="31"/>
        <v>13.310914950259212</v>
      </c>
      <c r="M106" s="6">
        <f t="shared" si="32"/>
        <v>-3.7999999999999999E-2</v>
      </c>
      <c r="N106" s="6">
        <f t="shared" si="33"/>
        <v>-5.6000000000000001E-2</v>
      </c>
      <c r="O106" s="6">
        <f t="shared" si="34"/>
        <v>-2E-3</v>
      </c>
      <c r="P106" s="6">
        <v>-3.7999999999999999E-2</v>
      </c>
      <c r="Q106" s="4">
        <v>-5.6000000000000001E-2</v>
      </c>
      <c r="R106" s="5">
        <v>-2E-3</v>
      </c>
      <c r="S106">
        <f t="shared" si="35"/>
        <v>-2E-3</v>
      </c>
      <c r="T106">
        <f t="shared" si="36"/>
        <v>28</v>
      </c>
      <c r="U106">
        <f t="shared" si="37"/>
        <v>19</v>
      </c>
      <c r="V106">
        <f t="shared" si="21"/>
        <v>-17.7301</v>
      </c>
      <c r="X106">
        <v>-2E-3</v>
      </c>
      <c r="Y106">
        <v>-1.175E-2</v>
      </c>
      <c r="Z106" s="11">
        <f t="shared" si="38"/>
        <v>0.72352771554142237</v>
      </c>
      <c r="AA106">
        <f t="shared" si="39"/>
        <v>-5.5811949013869058E-2</v>
      </c>
      <c r="AB106" s="13">
        <f t="shared" si="40"/>
        <v>-0.25626860749149999</v>
      </c>
      <c r="AC106" s="13">
        <v>0.24373139250850001</v>
      </c>
    </row>
    <row r="107" spans="1:29" x14ac:dyDescent="0.25">
      <c r="A107" s="1">
        <v>1948</v>
      </c>
      <c r="B107" s="1">
        <f t="shared" si="22"/>
        <v>-3.5000000000000003E-2</v>
      </c>
      <c r="C107" s="1">
        <f t="shared" si="23"/>
        <v>-2.4986850000000001E-2</v>
      </c>
      <c r="D107" s="1">
        <f t="shared" si="24"/>
        <v>0</v>
      </c>
      <c r="E107" s="1">
        <f t="shared" si="25"/>
        <v>0.37280182356181396</v>
      </c>
      <c r="F107" s="1">
        <f t="shared" si="26"/>
        <v>1.0013150000000002E-2</v>
      </c>
      <c r="G107" s="9">
        <f t="shared" si="27"/>
        <v>0.37280182356181396</v>
      </c>
      <c r="H107" s="1">
        <f t="shared" si="28"/>
        <v>1.4996226246400002E-3</v>
      </c>
      <c r="I107" s="1">
        <f t="shared" si="29"/>
        <v>0.37280182356181396</v>
      </c>
      <c r="J107" s="1">
        <f t="shared" si="30"/>
        <v>-7.378546534224558</v>
      </c>
      <c r="K107" s="3"/>
      <c r="L107" s="3">
        <f t="shared" si="31"/>
        <v>-3.5028723553313719</v>
      </c>
      <c r="M107" s="6">
        <f t="shared" si="32"/>
        <v>-3.5000000000000003E-2</v>
      </c>
      <c r="N107" s="6">
        <f t="shared" si="33"/>
        <v>-4.8000000000000001E-2</v>
      </c>
      <c r="O107" s="6">
        <f t="shared" si="34"/>
        <v>7.0000000000000001E-3</v>
      </c>
      <c r="P107" s="6">
        <v>-3.5000000000000003E-2</v>
      </c>
      <c r="Q107" s="4">
        <v>-4.8000000000000001E-2</v>
      </c>
      <c r="R107" s="5">
        <v>7.0000000000000001E-3</v>
      </c>
      <c r="S107">
        <f t="shared" si="35"/>
        <v>7.0000000000000001E-3</v>
      </c>
      <c r="T107">
        <f t="shared" si="36"/>
        <v>-6.8571428571428568</v>
      </c>
      <c r="U107">
        <f t="shared" si="37"/>
        <v>-5</v>
      </c>
      <c r="V107">
        <f t="shared" si="21"/>
        <v>5.3923571428571426</v>
      </c>
      <c r="X107">
        <v>7.0000000000000001E-3</v>
      </c>
      <c r="Y107">
        <v>2.1666699999999999E-3</v>
      </c>
      <c r="Z107" s="11">
        <f t="shared" si="38"/>
        <v>0.72132047731429338</v>
      </c>
      <c r="AA107">
        <f t="shared" si="39"/>
        <v>-4.5488798201853343E-2</v>
      </c>
      <c r="AB107" s="13">
        <f t="shared" si="40"/>
        <v>-0.25919023196313501</v>
      </c>
      <c r="AC107" s="13">
        <v>0.24080976803686499</v>
      </c>
    </row>
    <row r="108" spans="1:29" x14ac:dyDescent="0.25">
      <c r="A108" s="1">
        <v>1949</v>
      </c>
      <c r="B108" s="1">
        <f t="shared" si="22"/>
        <v>-7.5999999999999998E-2</v>
      </c>
      <c r="C108" s="1">
        <f t="shared" si="23"/>
        <v>-7.1742399999999998E-2</v>
      </c>
      <c r="D108" s="1">
        <f t="shared" si="24"/>
        <v>0</v>
      </c>
      <c r="E108" s="1">
        <f t="shared" si="25"/>
        <v>0.62451062970441196</v>
      </c>
      <c r="F108" s="1">
        <f t="shared" si="26"/>
        <v>4.2576000000000003E-3</v>
      </c>
      <c r="G108" s="9">
        <f t="shared" si="27"/>
        <v>0.62451062970441196</v>
      </c>
      <c r="H108" s="1">
        <f t="shared" si="28"/>
        <v>7.5105983247999997E-4</v>
      </c>
      <c r="I108" s="1">
        <f t="shared" si="29"/>
        <v>0.29348350479622326</v>
      </c>
      <c r="J108" s="1">
        <f t="shared" si="30"/>
        <v>0.62451062970441196</v>
      </c>
      <c r="K108" s="3"/>
      <c r="L108" s="3">
        <f t="shared" si="31"/>
        <v>0.45899706725031764</v>
      </c>
      <c r="M108" s="6">
        <f t="shared" si="32"/>
        <v>-7.5999999999999998E-2</v>
      </c>
      <c r="N108" s="6">
        <f t="shared" si="33"/>
        <v>-5.2999999999999999E-2</v>
      </c>
      <c r="O108" s="6">
        <f t="shared" si="34"/>
        <v>-0.11600000000000001</v>
      </c>
      <c r="P108" s="6">
        <v>-7.5999999999999998E-2</v>
      </c>
      <c r="Q108" s="4">
        <v>-5.2999999999999999E-2</v>
      </c>
      <c r="R108" s="5">
        <v>-0.11600000000000001</v>
      </c>
      <c r="S108">
        <f t="shared" si="35"/>
        <v>-0.11600000000000001</v>
      </c>
      <c r="T108">
        <f t="shared" si="36"/>
        <v>0.4568965517241379</v>
      </c>
      <c r="U108">
        <f t="shared" si="37"/>
        <v>0.65517241379310343</v>
      </c>
      <c r="V108">
        <f t="shared" si="21"/>
        <v>-0.69795775862068965</v>
      </c>
      <c r="X108">
        <v>-0.11600000000000001</v>
      </c>
      <c r="Y108">
        <v>-0.112417</v>
      </c>
      <c r="Z108" s="11">
        <f t="shared" si="38"/>
        <v>0.719073043204844</v>
      </c>
      <c r="AA108">
        <f t="shared" si="39"/>
        <v>-8.5814774460525545E-2</v>
      </c>
      <c r="AB108" s="13">
        <f t="shared" si="40"/>
        <v>-0.27318015730463596</v>
      </c>
      <c r="AC108" s="13">
        <v>0.22681984269536401</v>
      </c>
    </row>
    <row r="109" spans="1:29" x14ac:dyDescent="0.25">
      <c r="A109" s="1">
        <v>1950</v>
      </c>
      <c r="B109" s="1">
        <f t="shared" si="22"/>
        <v>-0.17399999999999999</v>
      </c>
      <c r="C109" s="1">
        <f t="shared" si="23"/>
        <v>-0.15900409999999998</v>
      </c>
      <c r="D109" s="1">
        <f t="shared" si="24"/>
        <v>0</v>
      </c>
      <c r="E109" s="1">
        <f t="shared" si="25"/>
        <v>0.60258375851743795</v>
      </c>
      <c r="F109" s="1">
        <f t="shared" si="26"/>
        <v>1.4995900000000006E-2</v>
      </c>
      <c r="G109" s="9">
        <f t="shared" si="27"/>
        <v>0.60258375851743795</v>
      </c>
      <c r="H109" s="1">
        <f t="shared" si="28"/>
        <v>9.2314067284799961E-3</v>
      </c>
      <c r="I109" s="1">
        <f t="shared" si="29"/>
        <v>0.17384909476620361</v>
      </c>
      <c r="J109" s="1">
        <f t="shared" si="30"/>
        <v>0.60258375851743795</v>
      </c>
      <c r="K109" s="3"/>
      <c r="L109" s="3">
        <f t="shared" si="31"/>
        <v>0.38821642664182077</v>
      </c>
      <c r="M109" s="6">
        <f t="shared" si="32"/>
        <v>-0.17399999999999999</v>
      </c>
      <c r="N109" s="6">
        <f t="shared" si="33"/>
        <v>-8.2000000000000003E-2</v>
      </c>
      <c r="O109" s="6">
        <f t="shared" si="34"/>
        <v>-0.314</v>
      </c>
      <c r="P109" s="6">
        <v>-0.17399999999999999</v>
      </c>
      <c r="Q109" s="4">
        <v>-8.2000000000000003E-2</v>
      </c>
      <c r="R109" s="5">
        <v>-0.314</v>
      </c>
      <c r="S109">
        <f t="shared" si="35"/>
        <v>-0.314</v>
      </c>
      <c r="T109">
        <f t="shared" si="36"/>
        <v>0.26114649681528662</v>
      </c>
      <c r="U109">
        <f t="shared" si="37"/>
        <v>0.55414012738853502</v>
      </c>
      <c r="V109">
        <f t="shared" si="21"/>
        <v>-0.63559999999999994</v>
      </c>
      <c r="X109">
        <v>-0.314</v>
      </c>
      <c r="Y109">
        <v>-0.29958299999999999</v>
      </c>
      <c r="Z109" s="11">
        <f t="shared" si="38"/>
        <v>0.71679310221225023</v>
      </c>
      <c r="AA109">
        <f t="shared" si="39"/>
        <v>-0.17154435398694307</v>
      </c>
      <c r="AB109" s="13">
        <f t="shared" si="40"/>
        <v>-0.29590290166177102</v>
      </c>
      <c r="AC109" s="13">
        <v>0.204097098338229</v>
      </c>
    </row>
    <row r="110" spans="1:29" x14ac:dyDescent="0.25">
      <c r="A110" s="1">
        <v>1951</v>
      </c>
      <c r="B110" s="1">
        <f t="shared" si="22"/>
        <v>-4.8000000000000001E-2</v>
      </c>
      <c r="C110" s="1">
        <f t="shared" si="23"/>
        <v>-3.3394600000000003E-2</v>
      </c>
      <c r="D110" s="1">
        <f t="shared" si="24"/>
        <v>0</v>
      </c>
      <c r="E110" s="1">
        <f t="shared" si="25"/>
        <v>0.69561866743955614</v>
      </c>
      <c r="F110" s="1">
        <f t="shared" si="26"/>
        <v>1.4605399999999998E-2</v>
      </c>
      <c r="G110" s="9">
        <f t="shared" si="27"/>
        <v>0.69561866743955614</v>
      </c>
      <c r="H110" s="1">
        <f t="shared" si="28"/>
        <v>2.6309316960000002E-3</v>
      </c>
      <c r="I110" s="1">
        <f t="shared" si="29"/>
        <v>-2.3067175215932826E-2</v>
      </c>
      <c r="J110" s="1">
        <f t="shared" si="30"/>
        <v>0.69561866743955614</v>
      </c>
      <c r="K110" s="3"/>
      <c r="L110" s="3">
        <f t="shared" si="31"/>
        <v>0.33627574611181166</v>
      </c>
      <c r="M110" s="6">
        <f t="shared" si="32"/>
        <v>-4.8000000000000001E-2</v>
      </c>
      <c r="N110" s="6">
        <f t="shared" si="33"/>
        <v>4.0000000000000001E-3</v>
      </c>
      <c r="O110" s="6">
        <f t="shared" si="34"/>
        <v>-0.1</v>
      </c>
      <c r="P110" s="6">
        <v>-4.8000000000000001E-2</v>
      </c>
      <c r="Q110" s="4">
        <v>4.0000000000000001E-3</v>
      </c>
      <c r="R110" s="5">
        <v>-0.1</v>
      </c>
      <c r="S110">
        <f t="shared" si="35"/>
        <v>-0.1</v>
      </c>
      <c r="T110">
        <f t="shared" si="36"/>
        <v>-0.04</v>
      </c>
      <c r="U110">
        <f t="shared" si="37"/>
        <v>0.48</v>
      </c>
      <c r="V110">
        <f t="shared" si="21"/>
        <v>-0.70224799999999998</v>
      </c>
      <c r="X110">
        <v>-0.1</v>
      </c>
      <c r="Y110">
        <v>-0.10066700000000001</v>
      </c>
      <c r="Z110" s="11">
        <f t="shared" si="38"/>
        <v>0.71448810119181871</v>
      </c>
      <c r="AA110">
        <f t="shared" si="39"/>
        <v>-2.4634412116537725E-2</v>
      </c>
      <c r="AB110" s="13">
        <f t="shared" si="40"/>
        <v>-0.25676155611001</v>
      </c>
      <c r="AC110" s="13">
        <v>0.24323844388999</v>
      </c>
    </row>
    <row r="111" spans="1:29" x14ac:dyDescent="0.25">
      <c r="A111" s="1">
        <v>1952</v>
      </c>
      <c r="B111" s="1">
        <f t="shared" si="22"/>
        <v>3.3000000000000002E-2</v>
      </c>
      <c r="C111" s="1">
        <f t="shared" si="23"/>
        <v>2.9118899999999996E-2</v>
      </c>
      <c r="D111" s="1">
        <f t="shared" si="24"/>
        <v>0</v>
      </c>
      <c r="E111" s="1">
        <f t="shared" si="25"/>
        <v>0.47352545010906527</v>
      </c>
      <c r="F111" s="1">
        <f t="shared" si="26"/>
        <v>3.8811000000000054E-3</v>
      </c>
      <c r="G111" s="9">
        <f t="shared" si="27"/>
        <v>0.47352545010906527</v>
      </c>
      <c r="H111" s="1">
        <f t="shared" si="28"/>
        <v>5.2132433450399994E-3</v>
      </c>
      <c r="I111" s="1">
        <f t="shared" si="29"/>
        <v>-1.2707308827017223</v>
      </c>
      <c r="J111" s="1">
        <f t="shared" si="30"/>
        <v>0.47352545010906527</v>
      </c>
      <c r="K111" s="3"/>
      <c r="L111" s="3">
        <f t="shared" si="31"/>
        <v>-0.39860271629632849</v>
      </c>
      <c r="M111" s="6">
        <f t="shared" si="32"/>
        <v>3.3000000000000002E-2</v>
      </c>
      <c r="N111" s="6">
        <f t="shared" si="33"/>
        <v>8.6999999999999994E-2</v>
      </c>
      <c r="O111" s="6">
        <f t="shared" si="34"/>
        <v>-5.8000000000000003E-2</v>
      </c>
      <c r="P111" s="6">
        <v>3.3000000000000002E-2</v>
      </c>
      <c r="Q111" s="4">
        <v>8.6999999999999994E-2</v>
      </c>
      <c r="R111" s="5">
        <v>-5.8000000000000003E-2</v>
      </c>
      <c r="S111">
        <f t="shared" si="35"/>
        <v>-5.8000000000000003E-2</v>
      </c>
      <c r="T111">
        <f t="shared" si="36"/>
        <v>-1.4999999999999998</v>
      </c>
      <c r="U111">
        <f t="shared" si="37"/>
        <v>-0.56896551724137934</v>
      </c>
      <c r="V111">
        <f t="shared" si="21"/>
        <v>0.35368103448275878</v>
      </c>
      <c r="X111">
        <v>-5.8000000000000003E-2</v>
      </c>
      <c r="Y111">
        <v>-6.5000000000000002E-2</v>
      </c>
      <c r="Z111" s="11">
        <f t="shared" si="38"/>
        <v>0.7121651703491807</v>
      </c>
      <c r="AA111">
        <f t="shared" si="39"/>
        <v>7.0582098890960648E-2</v>
      </c>
      <c r="AB111" s="13">
        <f t="shared" si="40"/>
        <v>-0.250575422506566</v>
      </c>
      <c r="AC111" s="13">
        <v>0.249424577493434</v>
      </c>
    </row>
    <row r="112" spans="1:29" x14ac:dyDescent="0.25">
      <c r="A112" s="1">
        <v>1953</v>
      </c>
      <c r="B112" s="1">
        <f t="shared" si="22"/>
        <v>0.10100000000000001</v>
      </c>
      <c r="C112" s="1">
        <f t="shared" si="23"/>
        <v>9.8638199999999995E-2</v>
      </c>
      <c r="D112" s="1">
        <f t="shared" si="24"/>
        <v>0</v>
      </c>
      <c r="E112" s="1">
        <f t="shared" si="25"/>
        <v>0.41842647744609884</v>
      </c>
      <c r="F112" s="1">
        <f t="shared" si="26"/>
        <v>2.3618000000000111E-3</v>
      </c>
      <c r="G112" s="9">
        <f t="shared" si="27"/>
        <v>0.41842647744609884</v>
      </c>
      <c r="H112" s="1">
        <f t="shared" si="28"/>
        <v>4.9112862880000205E-4</v>
      </c>
      <c r="I112" s="1">
        <f t="shared" si="29"/>
        <v>0.65366475857956341</v>
      </c>
      <c r="J112" s="1">
        <f t="shared" si="30"/>
        <v>0.41842647744609884</v>
      </c>
      <c r="K112" s="3"/>
      <c r="L112" s="3">
        <f t="shared" si="31"/>
        <v>0.53604561801283113</v>
      </c>
      <c r="M112" s="6">
        <f t="shared" si="32"/>
        <v>0.10100000000000001</v>
      </c>
      <c r="N112" s="6">
        <f t="shared" si="33"/>
        <v>0.09</v>
      </c>
      <c r="O112" s="6">
        <f t="shared" si="34"/>
        <v>0.13200000000000001</v>
      </c>
      <c r="P112" s="6">
        <v>0.10100000000000001</v>
      </c>
      <c r="Q112" s="4">
        <v>0.09</v>
      </c>
      <c r="R112" s="5">
        <v>0.13200000000000001</v>
      </c>
      <c r="S112">
        <f t="shared" si="35"/>
        <v>0.13200000000000001</v>
      </c>
      <c r="T112">
        <f t="shared" si="36"/>
        <v>0.68181818181818177</v>
      </c>
      <c r="U112">
        <f t="shared" si="37"/>
        <v>0.76515151515151514</v>
      </c>
      <c r="V112">
        <f t="shared" si="21"/>
        <v>-0.75738939393939397</v>
      </c>
      <c r="X112">
        <v>0.13200000000000001</v>
      </c>
      <c r="Y112">
        <v>0.11749999999999999</v>
      </c>
      <c r="Z112" s="11">
        <f t="shared" si="38"/>
        <v>0.70983115304261446</v>
      </c>
      <c r="AA112">
        <f t="shared" si="39"/>
        <v>0.12828213387509438</v>
      </c>
      <c r="AB112" s="13">
        <f t="shared" si="40"/>
        <v>-0.21243072146800501</v>
      </c>
      <c r="AC112" s="13">
        <v>0.28756927853199499</v>
      </c>
    </row>
    <row r="113" spans="1:29" x14ac:dyDescent="0.25">
      <c r="A113" s="1">
        <v>1954</v>
      </c>
      <c r="B113" s="1">
        <f t="shared" si="22"/>
        <v>-0.128</v>
      </c>
      <c r="C113" s="1">
        <f t="shared" si="23"/>
        <v>-0.11014025</v>
      </c>
      <c r="D113" s="1">
        <f t="shared" si="24"/>
        <v>0</v>
      </c>
      <c r="E113" s="1">
        <f t="shared" si="25"/>
        <v>0.28745154892830954</v>
      </c>
      <c r="F113" s="1">
        <f t="shared" si="26"/>
        <v>1.7859750000000008E-2</v>
      </c>
      <c r="G113" s="9">
        <f t="shared" si="27"/>
        <v>0.28745154892830954</v>
      </c>
      <c r="H113" s="1">
        <f t="shared" si="28"/>
        <v>4.2540167491600007E-3</v>
      </c>
      <c r="I113" s="1">
        <f t="shared" si="29"/>
        <v>0.28745154892830954</v>
      </c>
      <c r="J113" s="1">
        <f t="shared" si="30"/>
        <v>0.88475148762702527</v>
      </c>
      <c r="K113" s="3"/>
      <c r="L113" s="3">
        <f t="shared" si="31"/>
        <v>0.58610151827766743</v>
      </c>
      <c r="M113" s="6">
        <f t="shared" si="32"/>
        <v>-0.128</v>
      </c>
      <c r="N113" s="6">
        <f t="shared" si="33"/>
        <v>-9.7000000000000003E-2</v>
      </c>
      <c r="O113" s="6">
        <f t="shared" si="34"/>
        <v>-0.153</v>
      </c>
      <c r="P113" s="6">
        <v>-0.128</v>
      </c>
      <c r="Q113" s="4">
        <v>-9.7000000000000003E-2</v>
      </c>
      <c r="R113" s="5">
        <v>-0.153</v>
      </c>
      <c r="S113">
        <f t="shared" si="35"/>
        <v>-0.153</v>
      </c>
      <c r="T113">
        <f t="shared" si="36"/>
        <v>0.63398692810457524</v>
      </c>
      <c r="U113">
        <f t="shared" si="37"/>
        <v>0.83660130718954251</v>
      </c>
      <c r="V113">
        <f t="shared" si="21"/>
        <v>-0.93442614379084965</v>
      </c>
      <c r="X113">
        <v>-0.153</v>
      </c>
      <c r="Y113">
        <v>-0.151</v>
      </c>
      <c r="Z113" s="11">
        <f t="shared" si="38"/>
        <v>0.70749252382665873</v>
      </c>
      <c r="AA113">
        <f t="shared" si="39"/>
        <v>-0.14165496933082111</v>
      </c>
      <c r="AB113" s="13">
        <f t="shared" si="40"/>
        <v>-0.24797719395909501</v>
      </c>
      <c r="AC113" s="13">
        <v>0.25202280604090499</v>
      </c>
    </row>
    <row r="114" spans="1:29" x14ac:dyDescent="0.25">
      <c r="A114" s="1">
        <v>1955</v>
      </c>
      <c r="B114" s="1">
        <f t="shared" si="22"/>
        <v>-0.185</v>
      </c>
      <c r="C114" s="1">
        <f t="shared" si="23"/>
        <v>-0.16020584999999998</v>
      </c>
      <c r="D114" s="1">
        <f t="shared" si="24"/>
        <v>0</v>
      </c>
      <c r="E114" s="1">
        <f t="shared" si="25"/>
        <v>0.33020891964006938</v>
      </c>
      <c r="F114" s="1">
        <f t="shared" si="26"/>
        <v>2.4794150000000015E-2</v>
      </c>
      <c r="G114" s="9">
        <f t="shared" si="27"/>
        <v>0.33020891964006938</v>
      </c>
      <c r="H114" s="1">
        <f t="shared" si="28"/>
        <v>9.2000133296799985E-3</v>
      </c>
      <c r="I114" s="1">
        <f t="shared" si="29"/>
        <v>0.33020891964006938</v>
      </c>
      <c r="J114" s="1">
        <f t="shared" si="30"/>
        <v>1.0412860766272403</v>
      </c>
      <c r="K114" s="3"/>
      <c r="L114" s="3">
        <f t="shared" si="31"/>
        <v>0.68574749813365476</v>
      </c>
      <c r="M114" s="6">
        <f t="shared" si="32"/>
        <v>-0.185</v>
      </c>
      <c r="N114" s="6">
        <f t="shared" si="33"/>
        <v>-0.16200000000000001</v>
      </c>
      <c r="O114" s="6">
        <f t="shared" si="34"/>
        <v>-0.189</v>
      </c>
      <c r="P114" s="6">
        <v>-0.185</v>
      </c>
      <c r="Q114" s="4">
        <v>-0.16200000000000001</v>
      </c>
      <c r="R114" s="5">
        <v>-0.189</v>
      </c>
      <c r="S114">
        <f t="shared" si="35"/>
        <v>-0.189</v>
      </c>
      <c r="T114">
        <f t="shared" si="36"/>
        <v>0.85714285714285721</v>
      </c>
      <c r="U114">
        <f t="shared" si="37"/>
        <v>0.97883597883597884</v>
      </c>
      <c r="V114">
        <f t="shared" si="21"/>
        <v>-1.0596291005291005</v>
      </c>
      <c r="X114">
        <v>-0.189</v>
      </c>
      <c r="Y114">
        <v>-0.184</v>
      </c>
      <c r="Z114" s="11">
        <f t="shared" si="38"/>
        <v>0.70515540707856417</v>
      </c>
      <c r="AA114">
        <f t="shared" si="39"/>
        <v>-0.21807370565716061</v>
      </c>
      <c r="AB114" s="13">
        <f t="shared" si="40"/>
        <v>-0.23089254542153298</v>
      </c>
      <c r="AC114" s="13">
        <v>0.26910745457846702</v>
      </c>
    </row>
    <row r="115" spans="1:29" x14ac:dyDescent="0.25">
      <c r="A115" s="1">
        <v>1956</v>
      </c>
      <c r="B115" s="1">
        <f t="shared" si="22"/>
        <v>-0.26200000000000001</v>
      </c>
      <c r="C115" s="1">
        <f t="shared" si="23"/>
        <v>-0.24570875000000003</v>
      </c>
      <c r="D115" s="1">
        <f t="shared" si="24"/>
        <v>0</v>
      </c>
      <c r="E115" s="1">
        <f t="shared" si="25"/>
        <v>0.60776067899800723</v>
      </c>
      <c r="F115" s="1">
        <f t="shared" si="26"/>
        <v>1.6291249999999979E-2</v>
      </c>
      <c r="G115" s="9">
        <f t="shared" si="27"/>
        <v>0.60776067899800723</v>
      </c>
      <c r="H115" s="1">
        <f t="shared" si="28"/>
        <v>1.175706756676001E-2</v>
      </c>
      <c r="I115" s="1">
        <f t="shared" si="29"/>
        <v>0.25196068596388449</v>
      </c>
      <c r="J115" s="1">
        <f t="shared" si="30"/>
        <v>0.60776067899800723</v>
      </c>
      <c r="K115" s="3"/>
      <c r="L115" s="3">
        <f t="shared" si="31"/>
        <v>0.42986068248094583</v>
      </c>
      <c r="M115" s="6">
        <f t="shared" si="32"/>
        <v>-0.26200000000000001</v>
      </c>
      <c r="N115" s="6">
        <f t="shared" si="33"/>
        <v>-0.16300000000000001</v>
      </c>
      <c r="O115" s="6">
        <f t="shared" si="34"/>
        <v>-0.42699999999999999</v>
      </c>
      <c r="P115" s="6">
        <v>-0.26200000000000001</v>
      </c>
      <c r="Q115" s="4">
        <v>-0.16300000000000001</v>
      </c>
      <c r="R115" s="5">
        <v>-0.42699999999999999</v>
      </c>
      <c r="S115">
        <f t="shared" si="35"/>
        <v>-0.42699999999999999</v>
      </c>
      <c r="T115">
        <f t="shared" si="36"/>
        <v>0.38173302107728341</v>
      </c>
      <c r="U115">
        <f t="shared" si="37"/>
        <v>0.61358313817330212</v>
      </c>
      <c r="V115">
        <f t="shared" si="21"/>
        <v>-0.66842341920374704</v>
      </c>
      <c r="X115">
        <v>-0.42699999999999999</v>
      </c>
      <c r="Y115">
        <v>-0.41108299999999998</v>
      </c>
      <c r="Z115" s="11">
        <f t="shared" si="38"/>
        <v>0.70282551366835833</v>
      </c>
      <c r="AA115">
        <f t="shared" si="39"/>
        <v>-0.28777212180709966</v>
      </c>
      <c r="AB115" s="13">
        <f t="shared" si="40"/>
        <v>-0.27004392174505099</v>
      </c>
      <c r="AC115" s="13">
        <v>0.22995607825494899</v>
      </c>
    </row>
    <row r="116" spans="1:29" x14ac:dyDescent="0.25">
      <c r="A116" s="1">
        <v>1957</v>
      </c>
      <c r="B116" s="1">
        <f t="shared" si="22"/>
        <v>-1E-3</v>
      </c>
      <c r="C116" s="1">
        <f t="shared" si="23"/>
        <v>4.9367999999999981E-3</v>
      </c>
      <c r="D116" s="1">
        <f t="shared" si="24"/>
        <v>0</v>
      </c>
      <c r="E116" s="1">
        <f t="shared" si="25"/>
        <v>0.55890793344296563</v>
      </c>
      <c r="F116" s="1">
        <f t="shared" si="26"/>
        <v>5.9367999999999982E-3</v>
      </c>
      <c r="G116" s="9">
        <f t="shared" si="27"/>
        <v>0.55890793344296563</v>
      </c>
      <c r="H116" s="1">
        <f t="shared" si="28"/>
        <v>2.8354978043200001E-3</v>
      </c>
      <c r="I116" s="1">
        <f t="shared" si="29"/>
        <v>-0.53830280194101643</v>
      </c>
      <c r="J116" s="1">
        <f t="shared" si="30"/>
        <v>0.55890793344296563</v>
      </c>
      <c r="K116" s="3"/>
      <c r="L116" s="3">
        <f t="shared" si="31"/>
        <v>1.0302565750974622E-2</v>
      </c>
      <c r="M116" s="6">
        <f t="shared" si="32"/>
        <v>-1E-3</v>
      </c>
      <c r="N116" s="6">
        <f t="shared" si="33"/>
        <v>5.0999999999999997E-2</v>
      </c>
      <c r="O116" s="6">
        <f t="shared" si="34"/>
        <v>-6.8000000000000005E-2</v>
      </c>
      <c r="P116" s="6">
        <v>-1E-3</v>
      </c>
      <c r="Q116" s="4">
        <v>5.0999999999999997E-2</v>
      </c>
      <c r="R116" s="5">
        <v>-6.8000000000000005E-2</v>
      </c>
      <c r="S116">
        <f t="shared" si="35"/>
        <v>-6.8000000000000005E-2</v>
      </c>
      <c r="T116">
        <f t="shared" si="36"/>
        <v>-0.74999999999999989</v>
      </c>
      <c r="U116">
        <f t="shared" si="37"/>
        <v>1.4705882352941176E-2</v>
      </c>
      <c r="V116">
        <f t="shared" si="21"/>
        <v>-0.27838676470588231</v>
      </c>
      <c r="X116">
        <v>-6.8000000000000005E-2</v>
      </c>
      <c r="Y116">
        <v>-7.0749999999999993E-2</v>
      </c>
      <c r="Z116" s="11">
        <f t="shared" si="38"/>
        <v>0.70050814840942621</v>
      </c>
      <c r="AA116">
        <f t="shared" si="39"/>
        <v>3.2492023419266269E-2</v>
      </c>
      <c r="AB116" s="13">
        <f t="shared" si="40"/>
        <v>-0.20729024415282199</v>
      </c>
      <c r="AC116" s="13">
        <v>0.29270975584717801</v>
      </c>
    </row>
    <row r="117" spans="1:29" x14ac:dyDescent="0.25">
      <c r="A117" s="1">
        <v>1958</v>
      </c>
      <c r="B117" s="1">
        <f t="shared" si="22"/>
        <v>4.9000000000000002E-2</v>
      </c>
      <c r="C117" s="1">
        <f t="shared" si="23"/>
        <v>6.5725149999999996E-2</v>
      </c>
      <c r="D117" s="1">
        <f t="shared" si="24"/>
        <v>-1.0803619111428568E-2</v>
      </c>
      <c r="E117" s="7">
        <f t="shared" si="25"/>
        <v>0.67310096239700878</v>
      </c>
      <c r="F117" s="1">
        <f t="shared" si="26"/>
        <v>1.6725149999999994E-2</v>
      </c>
      <c r="G117" s="9">
        <f t="shared" si="27"/>
        <v>0.67310096239700878</v>
      </c>
      <c r="H117" s="1">
        <f t="shared" si="28"/>
        <v>-1.0587546729199991E-3</v>
      </c>
      <c r="I117" s="1" t="e">
        <f t="shared" si="29"/>
        <v>#NUM!</v>
      </c>
      <c r="J117" s="1" t="e">
        <f t="shared" si="30"/>
        <v>#NUM!</v>
      </c>
      <c r="K117" s="3"/>
      <c r="L117" s="3">
        <f t="shared" si="31"/>
        <v>0.67310096239700878</v>
      </c>
      <c r="M117" s="6">
        <f t="shared" si="32"/>
        <v>4.9000000000000002E-2</v>
      </c>
      <c r="N117" s="6">
        <f t="shared" si="33"/>
        <v>8.3000000000000004E-2</v>
      </c>
      <c r="O117" s="6">
        <f t="shared" si="34"/>
        <v>5.0999999999999997E-2</v>
      </c>
      <c r="P117" s="6">
        <v>4.9000000000000002E-2</v>
      </c>
      <c r="Q117" s="4">
        <v>8.3000000000000004E-2</v>
      </c>
      <c r="R117" s="5">
        <v>5.0999999999999997E-2</v>
      </c>
      <c r="S117">
        <f t="shared" si="35"/>
        <v>5.0999999999999997E-2</v>
      </c>
      <c r="T117">
        <f t="shared" si="36"/>
        <v>1.6274509803921571</v>
      </c>
      <c r="U117">
        <f t="shared" si="37"/>
        <v>0.96078431372549034</v>
      </c>
      <c r="V117">
        <f t="shared" si="21"/>
        <v>-0.4737568627450981</v>
      </c>
      <c r="X117">
        <v>5.0999999999999997E-2</v>
      </c>
      <c r="Y117">
        <v>4.0750000000000001E-2</v>
      </c>
      <c r="Z117" s="11">
        <f t="shared" si="38"/>
        <v>0.69820815790444613</v>
      </c>
      <c r="AA117">
        <f t="shared" si="39"/>
        <v>9.9442903939132063E-2</v>
      </c>
      <c r="AB117" s="13">
        <f t="shared" si="40"/>
        <v>-0.19634656888110802</v>
      </c>
      <c r="AC117" s="13">
        <v>0.30365343111889198</v>
      </c>
    </row>
    <row r="118" spans="1:29" x14ac:dyDescent="0.25">
      <c r="A118" s="1">
        <v>1959</v>
      </c>
      <c r="B118" s="1">
        <f t="shared" si="22"/>
        <v>1.7000000000000001E-2</v>
      </c>
      <c r="C118" s="1">
        <f t="shared" si="23"/>
        <v>3.0256749999999999E-2</v>
      </c>
      <c r="D118" s="1">
        <f t="shared" si="24"/>
        <v>-1.0226455234117648E-2</v>
      </c>
      <c r="E118" s="7">
        <f t="shared" si="25"/>
        <v>0.62682978990140337</v>
      </c>
      <c r="F118" s="1">
        <f t="shared" si="26"/>
        <v>1.3256749999999998E-2</v>
      </c>
      <c r="G118" s="9">
        <f t="shared" si="27"/>
        <v>0.62682978990140337</v>
      </c>
      <c r="H118" s="1">
        <f t="shared" si="28"/>
        <v>-3.476994779599999E-4</v>
      </c>
      <c r="I118" s="1" t="e">
        <f t="shared" si="29"/>
        <v>#NUM!</v>
      </c>
      <c r="J118" s="1" t="e">
        <f t="shared" si="30"/>
        <v>#NUM!</v>
      </c>
      <c r="K118" s="3"/>
      <c r="L118" s="3">
        <f t="shared" si="31"/>
        <v>0.62682978990140337</v>
      </c>
      <c r="M118" s="6">
        <f t="shared" si="32"/>
        <v>1.7000000000000001E-2</v>
      </c>
      <c r="N118" s="6">
        <f t="shared" si="33"/>
        <v>4.1000000000000002E-2</v>
      </c>
      <c r="O118" s="6">
        <f t="shared" si="34"/>
        <v>1.9E-2</v>
      </c>
      <c r="P118" s="6">
        <v>1.7000000000000001E-2</v>
      </c>
      <c r="Q118" s="4">
        <v>4.1000000000000002E-2</v>
      </c>
      <c r="R118" s="5">
        <v>1.9E-2</v>
      </c>
      <c r="S118">
        <f t="shared" si="35"/>
        <v>1.9E-2</v>
      </c>
      <c r="T118">
        <f t="shared" si="36"/>
        <v>2.1578947368421053</v>
      </c>
      <c r="U118">
        <f t="shared" si="37"/>
        <v>0.89473684210526327</v>
      </c>
      <c r="V118">
        <f t="shared" si="21"/>
        <v>3.6915789473684013E-2</v>
      </c>
      <c r="X118">
        <v>1.9E-2</v>
      </c>
      <c r="Y118">
        <v>1.55E-2</v>
      </c>
      <c r="Z118" s="11">
        <f t="shared" si="38"/>
        <v>0.69592991564422846</v>
      </c>
      <c r="AA118">
        <f t="shared" si="39"/>
        <v>4.7486606365437944E-2</v>
      </c>
      <c r="AB118" s="13">
        <f t="shared" si="40"/>
        <v>-0.18371469156629799</v>
      </c>
      <c r="AC118" s="13">
        <v>0.31628530843370201</v>
      </c>
    </row>
    <row r="119" spans="1:29" x14ac:dyDescent="0.25">
      <c r="A119" s="1">
        <v>1960</v>
      </c>
      <c r="B119" s="1">
        <f t="shared" si="22"/>
        <v>-0.05</v>
      </c>
      <c r="C119" s="1">
        <f t="shared" si="23"/>
        <v>-2.8265799999999997E-2</v>
      </c>
      <c r="D119" s="1">
        <f t="shared" si="24"/>
        <v>0</v>
      </c>
      <c r="E119" s="1">
        <f t="shared" si="25"/>
        <v>0.91021059294742068</v>
      </c>
      <c r="F119" s="1">
        <f t="shared" si="26"/>
        <v>2.1734200000000006E-2</v>
      </c>
      <c r="G119" s="9">
        <f t="shared" si="27"/>
        <v>0.91021059294742068</v>
      </c>
      <c r="H119" s="1">
        <f t="shared" si="28"/>
        <v>2.3757659555200005E-3</v>
      </c>
      <c r="I119" s="1">
        <f t="shared" si="29"/>
        <v>1.1597921613466719E-2</v>
      </c>
      <c r="J119" s="1">
        <f t="shared" si="30"/>
        <v>0.91021059294742068</v>
      </c>
      <c r="K119" s="3"/>
      <c r="L119" s="3">
        <f t="shared" si="31"/>
        <v>0.46090425728044371</v>
      </c>
      <c r="M119" s="6">
        <f t="shared" si="32"/>
        <v>-0.05</v>
      </c>
      <c r="N119" s="6">
        <f t="shared" si="33"/>
        <v>-2E-3</v>
      </c>
      <c r="O119" s="6">
        <f t="shared" si="34"/>
        <v>-7.5999999999999998E-2</v>
      </c>
      <c r="P119" s="6">
        <v>-0.05</v>
      </c>
      <c r="Q119" s="4">
        <v>-2E-3</v>
      </c>
      <c r="R119" s="5">
        <v>-7.5999999999999998E-2</v>
      </c>
      <c r="S119">
        <f t="shared" si="35"/>
        <v>-7.5999999999999998E-2</v>
      </c>
      <c r="T119">
        <f t="shared" si="36"/>
        <v>2.6315789473684213E-2</v>
      </c>
      <c r="U119">
        <f t="shared" si="37"/>
        <v>0.65789473684210531</v>
      </c>
      <c r="V119">
        <f t="shared" si="21"/>
        <v>-1.0107078947368422</v>
      </c>
      <c r="X119">
        <v>-7.5999999999999998E-2</v>
      </c>
      <c r="Y119">
        <v>-7.2666700000000001E-2</v>
      </c>
      <c r="Z119" s="11">
        <f t="shared" si="38"/>
        <v>0.69367724750190973</v>
      </c>
      <c r="AA119">
        <f t="shared" si="39"/>
        <v>-2.3816529304428527E-2</v>
      </c>
      <c r="AB119" s="13">
        <f t="shared" si="40"/>
        <v>-0.20211075387052302</v>
      </c>
      <c r="AC119" s="13">
        <v>0.29788924612947698</v>
      </c>
    </row>
    <row r="120" spans="1:29" x14ac:dyDescent="0.25">
      <c r="A120" s="1">
        <v>1961</v>
      </c>
      <c r="B120" s="1">
        <f t="shared" si="22"/>
        <v>3.9E-2</v>
      </c>
      <c r="C120" s="1">
        <f t="shared" si="23"/>
        <v>4.5692349999999993E-2</v>
      </c>
      <c r="D120" s="1">
        <f t="shared" si="24"/>
        <v>-4.3806838200000017E-3</v>
      </c>
      <c r="E120" s="7">
        <f t="shared" si="25"/>
        <v>0.63540475282755116</v>
      </c>
      <c r="F120" s="1">
        <f t="shared" si="26"/>
        <v>6.6923499999999927E-3</v>
      </c>
      <c r="G120" s="9">
        <f t="shared" si="27"/>
        <v>0.63540475282755116</v>
      </c>
      <c r="H120" s="1">
        <f t="shared" si="28"/>
        <v>-3.4169333795999973E-4</v>
      </c>
      <c r="I120" s="1" t="e">
        <f t="shared" si="29"/>
        <v>#NUM!</v>
      </c>
      <c r="J120" s="1" t="e">
        <f t="shared" si="30"/>
        <v>#NUM!</v>
      </c>
      <c r="K120" s="3"/>
      <c r="L120" s="3">
        <f t="shared" si="31"/>
        <v>0.63540475282755116</v>
      </c>
      <c r="M120" s="6">
        <f t="shared" si="32"/>
        <v>3.9E-2</v>
      </c>
      <c r="N120" s="6">
        <f t="shared" si="33"/>
        <v>5.2999999999999999E-2</v>
      </c>
      <c r="O120" s="6">
        <f t="shared" si="34"/>
        <v>4.2999999999999997E-2</v>
      </c>
      <c r="P120" s="6">
        <v>3.9E-2</v>
      </c>
      <c r="Q120" s="4">
        <v>5.2999999999999999E-2</v>
      </c>
      <c r="R120" s="5">
        <v>4.2999999999999997E-2</v>
      </c>
      <c r="S120">
        <f t="shared" si="35"/>
        <v>4.2999999999999997E-2</v>
      </c>
      <c r="T120">
        <f t="shared" si="36"/>
        <v>1.2325581395348837</v>
      </c>
      <c r="U120">
        <f t="shared" si="37"/>
        <v>0.90697674418604657</v>
      </c>
      <c r="V120">
        <f t="shared" si="21"/>
        <v>-0.64797674418604667</v>
      </c>
      <c r="X120">
        <v>4.2999999999999997E-2</v>
      </c>
      <c r="Y120">
        <v>4.2250000000000003E-2</v>
      </c>
      <c r="Z120" s="11">
        <f t="shared" si="38"/>
        <v>0.69145351368933916</v>
      </c>
      <c r="AA120">
        <f t="shared" si="39"/>
        <v>6.701609601263428E-2</v>
      </c>
      <c r="AB120" s="13">
        <f t="shared" si="40"/>
        <v>-0.15616340507113102</v>
      </c>
      <c r="AC120" s="13">
        <v>0.34383659492886898</v>
      </c>
    </row>
    <row r="121" spans="1:29" x14ac:dyDescent="0.25">
      <c r="A121" s="1">
        <v>1962</v>
      </c>
      <c r="B121" s="1">
        <f t="shared" si="22"/>
        <v>1.7999999999999999E-2</v>
      </c>
      <c r="C121" s="1">
        <f t="shared" si="23"/>
        <v>1.6431500000000002E-2</v>
      </c>
      <c r="D121" s="1">
        <f t="shared" si="24"/>
        <v>0</v>
      </c>
      <c r="E121" s="1">
        <f t="shared" si="25"/>
        <v>0.62764479884653734</v>
      </c>
      <c r="F121" s="1">
        <f t="shared" si="26"/>
        <v>1.568499999999997E-3</v>
      </c>
      <c r="G121" s="9">
        <f t="shared" si="27"/>
        <v>0.62764479884653734</v>
      </c>
      <c r="H121" s="1">
        <f t="shared" si="28"/>
        <v>7.8801227999999936E-5</v>
      </c>
      <c r="I121" s="1">
        <f t="shared" si="29"/>
        <v>0.62764479884653734</v>
      </c>
      <c r="J121" s="1">
        <f t="shared" si="30"/>
        <v>0.21304456643299183</v>
      </c>
      <c r="K121" s="3"/>
      <c r="L121" s="3">
        <f t="shared" si="31"/>
        <v>0.42034468263976454</v>
      </c>
      <c r="M121" s="6">
        <f t="shared" si="32"/>
        <v>1.7999999999999999E-2</v>
      </c>
      <c r="N121" s="6">
        <f t="shared" si="33"/>
        <v>0.01</v>
      </c>
      <c r="O121" s="6">
        <f t="shared" si="34"/>
        <v>0.03</v>
      </c>
      <c r="P121" s="6">
        <v>1.7999999999999999E-2</v>
      </c>
      <c r="Q121" s="4">
        <v>0.01</v>
      </c>
      <c r="R121" s="5">
        <v>0.03</v>
      </c>
      <c r="S121">
        <f t="shared" si="35"/>
        <v>0.03</v>
      </c>
      <c r="T121">
        <f t="shared" si="36"/>
        <v>0.33333333333333337</v>
      </c>
      <c r="U121">
        <f t="shared" si="37"/>
        <v>0.6</v>
      </c>
      <c r="V121">
        <f t="shared" si="21"/>
        <v>-0.67579999999999996</v>
      </c>
      <c r="X121">
        <v>0.03</v>
      </c>
      <c r="Y121">
        <v>2.54167E-2</v>
      </c>
      <c r="Z121" s="11">
        <f t="shared" si="38"/>
        <v>0.68926143739372492</v>
      </c>
      <c r="AA121">
        <f t="shared" si="39"/>
        <v>1.8943561582593152E-2</v>
      </c>
      <c r="AB121" s="13">
        <f t="shared" si="40"/>
        <v>-0.168833856052097</v>
      </c>
      <c r="AC121" s="13">
        <v>0.331166143947903</v>
      </c>
    </row>
    <row r="122" spans="1:29" x14ac:dyDescent="0.25">
      <c r="A122" s="1">
        <v>1963</v>
      </c>
      <c r="B122" s="1">
        <f t="shared" si="22"/>
        <v>0.05</v>
      </c>
      <c r="C122" s="1">
        <f t="shared" si="23"/>
        <v>4.2347799999999998E-2</v>
      </c>
      <c r="D122" s="1">
        <f t="shared" si="24"/>
        <v>0</v>
      </c>
      <c r="E122" s="1">
        <f t="shared" si="25"/>
        <v>0.38991786455906063</v>
      </c>
      <c r="F122" s="1">
        <f t="shared" si="26"/>
        <v>7.6522000000000048E-3</v>
      </c>
      <c r="G122" s="9">
        <f t="shared" si="27"/>
        <v>0.38991786455906063</v>
      </c>
      <c r="H122" s="1">
        <f t="shared" si="28"/>
        <v>1.3426617961600008E-3</v>
      </c>
      <c r="I122" s="1">
        <f t="shared" si="29"/>
        <v>2.5291424315504156</v>
      </c>
      <c r="J122" s="1">
        <f t="shared" si="30"/>
        <v>0.38991786455906063</v>
      </c>
      <c r="K122" s="3"/>
      <c r="L122" s="3">
        <f t="shared" si="31"/>
        <v>1.4595301480547382</v>
      </c>
      <c r="M122" s="6">
        <f t="shared" si="32"/>
        <v>0.05</v>
      </c>
      <c r="N122" s="6">
        <f t="shared" si="33"/>
        <v>5.8999999999999997E-2</v>
      </c>
      <c r="O122" s="6">
        <f t="shared" si="34"/>
        <v>2.4E-2</v>
      </c>
      <c r="P122" s="6">
        <v>0.05</v>
      </c>
      <c r="Q122" s="4">
        <v>5.8999999999999997E-2</v>
      </c>
      <c r="R122" s="5">
        <v>2.4E-2</v>
      </c>
      <c r="S122">
        <f t="shared" si="35"/>
        <v>2.4E-2</v>
      </c>
      <c r="T122">
        <f t="shared" si="36"/>
        <v>2.458333333333333</v>
      </c>
      <c r="U122">
        <f t="shared" si="37"/>
        <v>2.0833333333333335</v>
      </c>
      <c r="V122">
        <f t="shared" si="21"/>
        <v>-2.1258541666666675</v>
      </c>
      <c r="X122">
        <v>2.4E-2</v>
      </c>
      <c r="Y122">
        <v>1.7500000000000002E-2</v>
      </c>
      <c r="Z122" s="11">
        <f t="shared" si="38"/>
        <v>0.68710322398692369</v>
      </c>
      <c r="AA122">
        <f t="shared" si="39"/>
        <v>6.8155005009189376E-2</v>
      </c>
      <c r="AB122" s="13">
        <f t="shared" si="40"/>
        <v>-0.13247393411721398</v>
      </c>
      <c r="AC122" s="13">
        <v>0.36752606588278602</v>
      </c>
    </row>
    <row r="123" spans="1:29" x14ac:dyDescent="0.25">
      <c r="A123" s="1">
        <v>1964</v>
      </c>
      <c r="B123" s="1">
        <f t="shared" si="22"/>
        <v>-0.224</v>
      </c>
      <c r="C123" s="1">
        <f t="shared" si="23"/>
        <v>-0.1923724</v>
      </c>
      <c r="D123" s="1">
        <f t="shared" si="24"/>
        <v>0</v>
      </c>
      <c r="E123" s="1">
        <f t="shared" si="25"/>
        <v>0.25034717865085265</v>
      </c>
      <c r="F123" s="1">
        <f t="shared" si="26"/>
        <v>3.1627600000000006E-2</v>
      </c>
      <c r="G123" s="9">
        <f t="shared" si="27"/>
        <v>0.25034717865085265</v>
      </c>
      <c r="H123" s="1">
        <f t="shared" si="28"/>
        <v>1.3641382972000009E-2</v>
      </c>
      <c r="I123" s="1">
        <f t="shared" si="29"/>
        <v>0.25034717865085265</v>
      </c>
      <c r="J123" s="1">
        <f t="shared" si="30"/>
        <v>0.79584403147478378</v>
      </c>
      <c r="K123" s="3"/>
      <c r="L123" s="3">
        <f t="shared" si="31"/>
        <v>0.52309560506281816</v>
      </c>
      <c r="M123" s="6">
        <f t="shared" si="32"/>
        <v>-0.224</v>
      </c>
      <c r="N123" s="6">
        <f t="shared" si="33"/>
        <v>-0.14899999999999999</v>
      </c>
      <c r="O123" s="6">
        <f t="shared" si="34"/>
        <v>-0.3</v>
      </c>
      <c r="P123" s="6">
        <v>-0.224</v>
      </c>
      <c r="Q123" s="4">
        <v>-0.14899999999999999</v>
      </c>
      <c r="R123" s="5">
        <v>-0.3</v>
      </c>
      <c r="S123">
        <f t="shared" si="35"/>
        <v>-0.3</v>
      </c>
      <c r="T123">
        <f t="shared" si="36"/>
        <v>0.49666666666666665</v>
      </c>
      <c r="U123">
        <f t="shared" si="37"/>
        <v>0.7466666666666667</v>
      </c>
      <c r="V123">
        <f t="shared" si="21"/>
        <v>-0.85256233333333342</v>
      </c>
      <c r="X123">
        <v>-0.3</v>
      </c>
      <c r="Y123">
        <v>-0.28925000000000001</v>
      </c>
      <c r="Z123" s="11">
        <f t="shared" si="38"/>
        <v>0.68498040456324816</v>
      </c>
      <c r="AA123">
        <f t="shared" si="39"/>
        <v>-0.24113721479850872</v>
      </c>
      <c r="AB123" s="13">
        <f t="shared" si="40"/>
        <v>-0.18478657518355002</v>
      </c>
      <c r="AC123" s="13">
        <v>0.31521342481644998</v>
      </c>
    </row>
    <row r="124" spans="1:29" x14ac:dyDescent="0.25">
      <c r="A124" s="1">
        <v>1965</v>
      </c>
      <c r="B124" s="1">
        <f t="shared" si="22"/>
        <v>-0.14099999999999999</v>
      </c>
      <c r="C124" s="1">
        <f t="shared" si="23"/>
        <v>-0.1459163</v>
      </c>
      <c r="D124" s="1">
        <f t="shared" si="24"/>
        <v>3.4248212604255646E-3</v>
      </c>
      <c r="E124" s="7">
        <f t="shared" si="25"/>
        <v>0.42214102743737036</v>
      </c>
      <c r="F124" s="1">
        <f t="shared" si="26"/>
        <v>4.9163000000000123E-3</v>
      </c>
      <c r="G124" s="9">
        <f t="shared" si="27"/>
        <v>0.42214102743737036</v>
      </c>
      <c r="H124" s="1">
        <f t="shared" si="28"/>
        <v>-9.6579959544000268E-4</v>
      </c>
      <c r="I124" s="1" t="e">
        <f t="shared" si="29"/>
        <v>#NUM!</v>
      </c>
      <c r="J124" s="1" t="e">
        <f t="shared" si="30"/>
        <v>#NUM!</v>
      </c>
      <c r="K124" s="3"/>
      <c r="L124" s="3">
        <f t="shared" si="31"/>
        <v>0.42214102743737036</v>
      </c>
      <c r="M124" s="6">
        <f t="shared" si="32"/>
        <v>-0.14099999999999999</v>
      </c>
      <c r="N124" s="6">
        <f t="shared" si="33"/>
        <v>-0.109</v>
      </c>
      <c r="O124" s="6">
        <f t="shared" si="34"/>
        <v>-0.23400000000000001</v>
      </c>
      <c r="P124" s="6">
        <v>-0.14099999999999999</v>
      </c>
      <c r="Q124" s="4">
        <v>-0.109</v>
      </c>
      <c r="R124" s="5">
        <v>-0.23400000000000001</v>
      </c>
      <c r="S124">
        <f t="shared" si="35"/>
        <v>-0.23400000000000001</v>
      </c>
      <c r="T124">
        <f t="shared" si="36"/>
        <v>0.46581196581196577</v>
      </c>
      <c r="U124">
        <f t="shared" si="37"/>
        <v>0.60256410256410242</v>
      </c>
      <c r="V124">
        <f t="shared" si="21"/>
        <v>-0.58637820512820493</v>
      </c>
      <c r="X124">
        <v>-0.23400000000000001</v>
      </c>
      <c r="Y124">
        <v>-0.22916700000000001</v>
      </c>
      <c r="Z124" s="11">
        <f t="shared" si="38"/>
        <v>0.68289388809353113</v>
      </c>
      <c r="AA124">
        <f t="shared" si="39"/>
        <v>-0.18091131268229305</v>
      </c>
      <c r="AB124" s="13">
        <f t="shared" si="40"/>
        <v>-0.15011188578410101</v>
      </c>
      <c r="AC124" s="13">
        <v>0.34988811421589899</v>
      </c>
    </row>
    <row r="125" spans="1:29" x14ac:dyDescent="0.25">
      <c r="A125" s="1">
        <v>1966</v>
      </c>
      <c r="B125" s="1">
        <f t="shared" si="22"/>
        <v>-7.2999999999999995E-2</v>
      </c>
      <c r="C125" s="1">
        <f t="shared" si="23"/>
        <v>-5.3029549999999995E-2</v>
      </c>
      <c r="D125" s="1">
        <f t="shared" si="24"/>
        <v>0</v>
      </c>
      <c r="E125" s="1">
        <f t="shared" si="25"/>
        <v>0.69186438191675215</v>
      </c>
      <c r="F125" s="1">
        <f t="shared" si="26"/>
        <v>1.9970450000000001E-2</v>
      </c>
      <c r="G125" s="9">
        <f t="shared" si="27"/>
        <v>0.69186438191675215</v>
      </c>
      <c r="H125" s="1">
        <f t="shared" si="28"/>
        <v>5.2088526017199993E-3</v>
      </c>
      <c r="I125" s="1">
        <f t="shared" si="29"/>
        <v>3.9442764211801845E-3</v>
      </c>
      <c r="J125" s="1">
        <f t="shared" si="30"/>
        <v>0.69186438191675215</v>
      </c>
      <c r="K125" s="3"/>
      <c r="L125" s="3">
        <f t="shared" si="31"/>
        <v>0.34790432916896619</v>
      </c>
      <c r="M125" s="6">
        <f t="shared" si="32"/>
        <v>-7.2999999999999995E-2</v>
      </c>
      <c r="N125" s="6">
        <f t="shared" si="33"/>
        <v>-1E-3</v>
      </c>
      <c r="O125" s="6">
        <f t="shared" si="34"/>
        <v>-0.14699999999999999</v>
      </c>
      <c r="P125" s="6">
        <v>-7.2999999999999995E-2</v>
      </c>
      <c r="Q125" s="4">
        <v>-1E-3</v>
      </c>
      <c r="R125" s="5">
        <v>-0.14699999999999999</v>
      </c>
      <c r="S125">
        <f t="shared" si="35"/>
        <v>-0.14699999999999999</v>
      </c>
      <c r="T125">
        <f t="shared" si="36"/>
        <v>6.8027210884353748E-3</v>
      </c>
      <c r="U125">
        <f t="shared" si="37"/>
        <v>0.49659863945578231</v>
      </c>
      <c r="V125">
        <f t="shared" si="21"/>
        <v>-0.70204217687074832</v>
      </c>
      <c r="X125">
        <v>-0.14699999999999999</v>
      </c>
      <c r="Y125">
        <v>-0.15024999999999999</v>
      </c>
      <c r="Z125" s="11">
        <f t="shared" si="38"/>
        <v>0.68084390182048082</v>
      </c>
      <c r="AA125">
        <f t="shared" si="39"/>
        <v>-4.3134357901835743E-2</v>
      </c>
      <c r="AB125" s="13">
        <f t="shared" si="40"/>
        <v>-0.13148478978093597</v>
      </c>
      <c r="AC125" s="13">
        <v>0.36851521021906403</v>
      </c>
    </row>
    <row r="126" spans="1:29" x14ac:dyDescent="0.25">
      <c r="A126" s="1">
        <v>1967</v>
      </c>
      <c r="B126" s="1">
        <f t="shared" si="22"/>
        <v>-7.5999999999999998E-2</v>
      </c>
      <c r="C126" s="1">
        <f t="shared" si="23"/>
        <v>-6.5966350000000007E-2</v>
      </c>
      <c r="D126" s="1">
        <f t="shared" si="24"/>
        <v>0</v>
      </c>
      <c r="E126" s="1">
        <f t="shared" si="25"/>
        <v>0.28180532432807243</v>
      </c>
      <c r="F126" s="1">
        <f t="shared" si="26"/>
        <v>1.0033649999999991E-2</v>
      </c>
      <c r="G126" s="9">
        <f t="shared" si="27"/>
        <v>0.28180532432807243</v>
      </c>
      <c r="H126" s="1">
        <f t="shared" si="28"/>
        <v>1.4278084432000002E-3</v>
      </c>
      <c r="I126" s="1">
        <f t="shared" si="29"/>
        <v>0.28180532432807243</v>
      </c>
      <c r="J126" s="1">
        <f t="shared" si="30"/>
        <v>0.83911382937796652</v>
      </c>
      <c r="K126" s="3"/>
      <c r="L126" s="3">
        <f t="shared" si="31"/>
        <v>0.56045957685301939</v>
      </c>
      <c r="M126" s="6">
        <f t="shared" si="32"/>
        <v>-7.5999999999999998E-2</v>
      </c>
      <c r="N126" s="6">
        <f t="shared" si="33"/>
        <v>-5.6000000000000001E-2</v>
      </c>
      <c r="O126" s="6">
        <f t="shared" si="34"/>
        <v>-9.5000000000000001E-2</v>
      </c>
      <c r="P126" s="6">
        <v>-7.5999999999999998E-2</v>
      </c>
      <c r="Q126" s="4">
        <v>-5.6000000000000001E-2</v>
      </c>
      <c r="R126" s="5">
        <v>-9.5000000000000001E-2</v>
      </c>
      <c r="S126">
        <f t="shared" si="35"/>
        <v>-9.5000000000000001E-2</v>
      </c>
      <c r="T126">
        <f t="shared" si="36"/>
        <v>0.58947368421052637</v>
      </c>
      <c r="U126">
        <f t="shared" si="37"/>
        <v>0.79999999999999993</v>
      </c>
      <c r="V126">
        <f t="shared" si="21"/>
        <v>-0.89299263157894715</v>
      </c>
      <c r="X126">
        <v>-9.5000000000000001E-2</v>
      </c>
      <c r="Y126">
        <v>-9.5833299999999996E-2</v>
      </c>
      <c r="Z126" s="11">
        <f t="shared" si="38"/>
        <v>0.67883000615984201</v>
      </c>
      <c r="AA126">
        <f t="shared" si="39"/>
        <v>-8.6075095962655557E-2</v>
      </c>
      <c r="AB126" s="13">
        <f t="shared" si="40"/>
        <v>-0.10405663048996799</v>
      </c>
      <c r="AC126" s="13">
        <v>0.39594336951003201</v>
      </c>
    </row>
    <row r="127" spans="1:29" x14ac:dyDescent="0.25">
      <c r="A127" s="1">
        <v>1968</v>
      </c>
      <c r="B127" s="1">
        <f t="shared" si="22"/>
        <v>-0.113</v>
      </c>
      <c r="C127" s="1">
        <f t="shared" si="23"/>
        <v>-0.10742739999999999</v>
      </c>
      <c r="D127" s="1">
        <f t="shared" si="24"/>
        <v>0</v>
      </c>
      <c r="E127" s="1">
        <f t="shared" si="25"/>
        <v>0.55596476437269826</v>
      </c>
      <c r="F127" s="1">
        <f t="shared" si="26"/>
        <v>5.5726000000000109E-3</v>
      </c>
      <c r="G127" s="9">
        <f t="shared" si="27"/>
        <v>0.55596476437269826</v>
      </c>
      <c r="H127" s="1">
        <f t="shared" si="28"/>
        <v>3.4122148604800017E-3</v>
      </c>
      <c r="I127" s="1">
        <f t="shared" si="29"/>
        <v>0.17704370998368135</v>
      </c>
      <c r="J127" s="1">
        <f t="shared" si="30"/>
        <v>0.55596476437269826</v>
      </c>
      <c r="K127" s="3"/>
      <c r="L127" s="3">
        <f t="shared" si="31"/>
        <v>0.36650423717818986</v>
      </c>
      <c r="M127" s="6">
        <f t="shared" si="32"/>
        <v>-0.113</v>
      </c>
      <c r="N127" s="6">
        <f t="shared" si="33"/>
        <v>-5.2999999999999999E-2</v>
      </c>
      <c r="O127" s="6">
        <f t="shared" si="34"/>
        <v>-0.216</v>
      </c>
      <c r="P127" s="6">
        <v>-0.113</v>
      </c>
      <c r="Q127" s="4">
        <v>-5.2999999999999999E-2</v>
      </c>
      <c r="R127" s="5">
        <v>-0.216</v>
      </c>
      <c r="S127">
        <f t="shared" si="35"/>
        <v>-0.216</v>
      </c>
      <c r="T127">
        <f t="shared" si="36"/>
        <v>0.24537037037037038</v>
      </c>
      <c r="U127">
        <f t="shared" si="37"/>
        <v>0.52314814814814814</v>
      </c>
      <c r="V127">
        <f t="shared" si="21"/>
        <v>-0.58487546296296289</v>
      </c>
      <c r="X127">
        <v>-0.216</v>
      </c>
      <c r="Y127">
        <v>-0.21066699999999999</v>
      </c>
      <c r="Z127" s="11">
        <f t="shared" si="38"/>
        <v>0.67685096431523561</v>
      </c>
      <c r="AA127">
        <f t="shared" si="39"/>
        <v>-0.11772621938219494</v>
      </c>
      <c r="AB127" s="13">
        <f t="shared" si="40"/>
        <v>-0.11740308429359197</v>
      </c>
      <c r="AC127" s="13">
        <v>0.38259691570640803</v>
      </c>
    </row>
    <row r="128" spans="1:29" x14ac:dyDescent="0.25">
      <c r="A128" s="1">
        <v>1969</v>
      </c>
      <c r="B128" s="1">
        <f t="shared" si="22"/>
        <v>2.9000000000000001E-2</v>
      </c>
      <c r="C128" s="1">
        <f t="shared" si="23"/>
        <v>1.9599599999999995E-2</v>
      </c>
      <c r="D128" s="1">
        <f t="shared" si="24"/>
        <v>0</v>
      </c>
      <c r="E128" s="1">
        <f t="shared" si="25"/>
        <v>0.45971490029246859</v>
      </c>
      <c r="F128" s="1">
        <f t="shared" si="26"/>
        <v>9.4004000000000067E-3</v>
      </c>
      <c r="G128" s="9">
        <f t="shared" si="27"/>
        <v>0.45971490029246859</v>
      </c>
      <c r="H128" s="1">
        <f t="shared" si="28"/>
        <v>1.2767468270079999E-2</v>
      </c>
      <c r="I128" s="1">
        <f t="shared" si="29"/>
        <v>-0.77716270749437411</v>
      </c>
      <c r="J128" s="1">
        <f t="shared" si="30"/>
        <v>0.45971490029246859</v>
      </c>
      <c r="K128" s="3"/>
      <c r="L128" s="3">
        <f t="shared" si="31"/>
        <v>-0.15872390360095279</v>
      </c>
      <c r="M128" s="6">
        <f t="shared" si="32"/>
        <v>2.9000000000000001E-2</v>
      </c>
      <c r="N128" s="6">
        <f t="shared" si="33"/>
        <v>0.114</v>
      </c>
      <c r="O128" s="6">
        <f t="shared" si="34"/>
        <v>-0.128</v>
      </c>
      <c r="P128" s="6">
        <v>2.9000000000000001E-2</v>
      </c>
      <c r="Q128" s="4">
        <v>0.114</v>
      </c>
      <c r="R128" s="5">
        <v>-0.128</v>
      </c>
      <c r="S128">
        <f t="shared" si="35"/>
        <v>-0.128</v>
      </c>
      <c r="T128">
        <f t="shared" si="36"/>
        <v>-0.890625</v>
      </c>
      <c r="U128">
        <f t="shared" si="37"/>
        <v>-0.2265625</v>
      </c>
      <c r="V128">
        <f t="shared" si="21"/>
        <v>0.10378593749999998</v>
      </c>
      <c r="X128">
        <v>-0.128</v>
      </c>
      <c r="Y128">
        <v>-0.13783300000000001</v>
      </c>
      <c r="Z128" s="11">
        <f t="shared" si="38"/>
        <v>0.67490488011389971</v>
      </c>
      <c r="AA128">
        <f t="shared" si="39"/>
        <v>8.3906588128147858E-2</v>
      </c>
      <c r="AB128" s="13">
        <f t="shared" si="40"/>
        <v>-9.6711278899433983E-2</v>
      </c>
      <c r="AC128" s="13">
        <v>0.40328872110056602</v>
      </c>
    </row>
    <row r="129" spans="1:29" x14ac:dyDescent="0.25">
      <c r="A129" s="1">
        <v>1970</v>
      </c>
      <c r="B129" s="1">
        <f t="shared" si="22"/>
        <v>-2.9000000000000001E-2</v>
      </c>
      <c r="C129" s="1">
        <f t="shared" si="23"/>
        <v>-2.7850699999999999E-2</v>
      </c>
      <c r="D129" s="1">
        <f t="shared" si="24"/>
        <v>0</v>
      </c>
      <c r="E129" s="1">
        <f t="shared" si="25"/>
        <v>0.53427465532731033</v>
      </c>
      <c r="F129" s="1">
        <f t="shared" si="26"/>
        <v>1.1493000000000024E-3</v>
      </c>
      <c r="G129" s="9">
        <f t="shared" si="27"/>
        <v>0.53427465532731033</v>
      </c>
      <c r="H129" s="1">
        <f t="shared" si="28"/>
        <v>3.3425587120000004E-4</v>
      </c>
      <c r="I129" s="1">
        <f t="shared" si="29"/>
        <v>0.12110146276694631</v>
      </c>
      <c r="J129" s="1">
        <f t="shared" si="30"/>
        <v>0.53427465532731033</v>
      </c>
      <c r="K129" s="3"/>
      <c r="L129" s="3">
        <f t="shared" si="31"/>
        <v>0.32768805904712833</v>
      </c>
      <c r="M129" s="6">
        <f t="shared" si="32"/>
        <v>-2.9000000000000001E-2</v>
      </c>
      <c r="N129" s="6">
        <f t="shared" si="33"/>
        <v>-0.01</v>
      </c>
      <c r="O129" s="6">
        <f t="shared" si="34"/>
        <v>-6.2E-2</v>
      </c>
      <c r="P129" s="6">
        <v>-2.9000000000000001E-2</v>
      </c>
      <c r="Q129" s="4">
        <v>-0.01</v>
      </c>
      <c r="R129" s="5">
        <v>-6.2E-2</v>
      </c>
      <c r="S129">
        <f t="shared" si="35"/>
        <v>-6.2E-2</v>
      </c>
      <c r="T129">
        <f t="shared" si="36"/>
        <v>0.16129032258064516</v>
      </c>
      <c r="U129">
        <f t="shared" si="37"/>
        <v>0.467741935483871</v>
      </c>
      <c r="V129">
        <f t="shared" si="21"/>
        <v>-0.53407096774193552</v>
      </c>
      <c r="X129">
        <v>-6.2E-2</v>
      </c>
      <c r="Y129">
        <v>-6.6500000000000004E-2</v>
      </c>
      <c r="Z129" s="11">
        <f t="shared" si="38"/>
        <v>0.67298896703869104</v>
      </c>
      <c r="AA129">
        <f t="shared" si="39"/>
        <v>-2.835552868316173E-2</v>
      </c>
      <c r="AB129" s="13">
        <f t="shared" si="40"/>
        <v>-6.5932586912830993E-2</v>
      </c>
      <c r="AC129" s="13">
        <v>0.43406741308716901</v>
      </c>
    </row>
    <row r="130" spans="1:29" x14ac:dyDescent="0.25">
      <c r="A130" s="1">
        <v>1971</v>
      </c>
      <c r="B130" s="1">
        <f t="shared" si="22"/>
        <v>-0.184</v>
      </c>
      <c r="C130" s="1">
        <f t="shared" si="23"/>
        <v>-0.1808777</v>
      </c>
      <c r="D130" s="1">
        <f t="shared" si="24"/>
        <v>0</v>
      </c>
      <c r="E130" s="7">
        <f t="shared" si="25"/>
        <v>0.46519231904708747</v>
      </c>
      <c r="F130" s="1">
        <f t="shared" si="26"/>
        <v>3.1222999999999945E-3</v>
      </c>
      <c r="G130" s="9">
        <f t="shared" si="27"/>
        <v>0.46519231904708747</v>
      </c>
      <c r="H130" s="1">
        <f t="shared" si="28"/>
        <v>2.4869037687999945E-3</v>
      </c>
      <c r="I130" s="1">
        <f t="shared" si="29"/>
        <v>0.46519231904708747</v>
      </c>
      <c r="J130" s="1">
        <f t="shared" si="30"/>
        <v>0.81110176685582813</v>
      </c>
      <c r="K130" s="3"/>
      <c r="L130" s="3">
        <f t="shared" si="31"/>
        <v>0.63814704295145774</v>
      </c>
      <c r="M130" s="6">
        <f t="shared" si="32"/>
        <v>-0.184</v>
      </c>
      <c r="N130" s="6">
        <f t="shared" si="33"/>
        <v>-0.19</v>
      </c>
      <c r="O130" s="6">
        <f t="shared" si="34"/>
        <v>-0.20200000000000001</v>
      </c>
      <c r="P130" s="6">
        <v>-0.184</v>
      </c>
      <c r="Q130" s="4">
        <v>-0.19</v>
      </c>
      <c r="R130" s="5">
        <v>-0.20200000000000001</v>
      </c>
      <c r="S130">
        <f t="shared" si="35"/>
        <v>-0.20200000000000001</v>
      </c>
      <c r="T130">
        <f t="shared" si="36"/>
        <v>0.94059405940594054</v>
      </c>
      <c r="U130">
        <f t="shared" si="37"/>
        <v>0.91089108910891081</v>
      </c>
      <c r="V130">
        <f t="shared" si="21"/>
        <v>-0.86418019801980184</v>
      </c>
      <c r="X130">
        <v>-0.20200000000000001</v>
      </c>
      <c r="Y130">
        <v>-0.19375000000000001</v>
      </c>
      <c r="Z130" s="11">
        <f t="shared" si="38"/>
        <v>0.67109971959143877</v>
      </c>
      <c r="AA130">
        <f t="shared" si="39"/>
        <v>-0.25989348013649333</v>
      </c>
      <c r="AB130" s="13">
        <f t="shared" si="40"/>
        <v>-6.4472826067501987E-2</v>
      </c>
      <c r="AC130" s="13">
        <v>0.43552717393249801</v>
      </c>
    </row>
    <row r="131" spans="1:29" x14ac:dyDescent="0.25">
      <c r="A131" s="1">
        <v>1972</v>
      </c>
      <c r="B131" s="1">
        <f t="shared" si="22"/>
        <v>-6.9000000000000006E-2</v>
      </c>
      <c r="C131" s="1">
        <f t="shared" si="23"/>
        <v>-8.2780999999999993E-2</v>
      </c>
      <c r="D131" s="1">
        <f t="shared" si="24"/>
        <v>0</v>
      </c>
      <c r="E131" s="1">
        <f t="shared" si="25"/>
        <v>0.42260588464807713</v>
      </c>
      <c r="F131" s="1">
        <f t="shared" si="26"/>
        <v>1.3780999999999988E-2</v>
      </c>
      <c r="G131" s="9">
        <f t="shared" si="27"/>
        <v>0.42260588464807713</v>
      </c>
      <c r="H131" s="1">
        <f t="shared" si="28"/>
        <v>5.7417950880000006E-3</v>
      </c>
      <c r="I131" s="1">
        <f t="shared" si="29"/>
        <v>-1.9775563784969308E-2</v>
      </c>
      <c r="J131" s="1">
        <f t="shared" si="30"/>
        <v>0.42260588464807713</v>
      </c>
      <c r="K131" s="3"/>
      <c r="L131" s="3">
        <f t="shared" si="31"/>
        <v>0.20141516043155389</v>
      </c>
      <c r="M131" s="6">
        <f t="shared" si="32"/>
        <v>-6.9000000000000006E-2</v>
      </c>
      <c r="N131" s="6">
        <f t="shared" si="33"/>
        <v>5.0000000000000001E-3</v>
      </c>
      <c r="O131" s="6">
        <f t="shared" si="34"/>
        <v>-0.24</v>
      </c>
      <c r="P131" s="6">
        <v>-6.9000000000000006E-2</v>
      </c>
      <c r="Q131" s="4">
        <v>5.0000000000000001E-3</v>
      </c>
      <c r="R131" s="5">
        <v>-0.24</v>
      </c>
      <c r="S131">
        <f t="shared" si="35"/>
        <v>-0.24</v>
      </c>
      <c r="T131">
        <f t="shared" si="36"/>
        <v>-2.0833333333333336E-2</v>
      </c>
      <c r="U131">
        <f t="shared" si="37"/>
        <v>0.28750000000000003</v>
      </c>
      <c r="V131">
        <f t="shared" si="21"/>
        <v>-0.30356875000000005</v>
      </c>
      <c r="X131">
        <v>-0.24</v>
      </c>
      <c r="Y131">
        <v>-0.23408300000000001</v>
      </c>
      <c r="Z131" s="11">
        <f t="shared" si="38"/>
        <v>0.6692327419295907</v>
      </c>
      <c r="AA131">
        <f t="shared" si="39"/>
        <v>-6.3379774338549258E-2</v>
      </c>
      <c r="AB131" s="13">
        <f t="shared" si="40"/>
        <v>-6.0197291891745996E-2</v>
      </c>
      <c r="AC131" s="13">
        <v>0.439802708108254</v>
      </c>
    </row>
    <row r="132" spans="1:29" x14ac:dyDescent="0.25">
      <c r="A132" s="1">
        <v>1973</v>
      </c>
      <c r="B132" s="1">
        <f t="shared" si="22"/>
        <v>6.3E-2</v>
      </c>
      <c r="C132" s="1">
        <f t="shared" si="23"/>
        <v>5.8191150000000004E-2</v>
      </c>
      <c r="D132" s="1">
        <f t="shared" si="24"/>
        <v>0</v>
      </c>
      <c r="E132" s="1">
        <f t="shared" si="25"/>
        <v>0.55738831354278062</v>
      </c>
      <c r="F132" s="1">
        <f t="shared" si="26"/>
        <v>4.8088499999999965E-3</v>
      </c>
      <c r="G132" s="9">
        <f t="shared" si="27"/>
        <v>0.55738831354278062</v>
      </c>
      <c r="H132" s="1">
        <f t="shared" si="28"/>
        <v>2.2648685346000003E-3</v>
      </c>
      <c r="I132" s="1">
        <f t="shared" si="29"/>
        <v>0.55738831354278062</v>
      </c>
      <c r="J132" s="1">
        <f t="shared" si="30"/>
        <v>7.766480411441766E-2</v>
      </c>
      <c r="K132" s="3"/>
      <c r="L132" s="3">
        <f t="shared" si="31"/>
        <v>0.31752655882859915</v>
      </c>
      <c r="M132" s="6">
        <f t="shared" si="32"/>
        <v>6.3E-2</v>
      </c>
      <c r="N132" s="6">
        <f t="shared" si="33"/>
        <v>1.4999999999999999E-2</v>
      </c>
      <c r="O132" s="6">
        <f t="shared" si="34"/>
        <v>0.13900000000000001</v>
      </c>
      <c r="P132" s="6">
        <v>6.3E-2</v>
      </c>
      <c r="Q132" s="4">
        <v>1.4999999999999999E-2</v>
      </c>
      <c r="R132" s="5">
        <v>0.13900000000000001</v>
      </c>
      <c r="S132">
        <f t="shared" si="35"/>
        <v>0.13900000000000001</v>
      </c>
      <c r="T132">
        <f t="shared" si="36"/>
        <v>0.10791366906474818</v>
      </c>
      <c r="U132">
        <f t="shared" si="37"/>
        <v>0.4532374100719424</v>
      </c>
      <c r="V132">
        <f t="shared" si="21"/>
        <v>-0.54315683453237407</v>
      </c>
      <c r="X132">
        <v>0.13900000000000001</v>
      </c>
      <c r="Y132">
        <v>0.122417</v>
      </c>
      <c r="Z132" s="11">
        <f t="shared" si="38"/>
        <v>0.66738278511911631</v>
      </c>
      <c r="AA132">
        <f t="shared" si="39"/>
        <v>5.5836719095344593E-2</v>
      </c>
      <c r="AB132" s="13">
        <f t="shared" si="40"/>
        <v>1.7840579678051971E-2</v>
      </c>
      <c r="AC132" s="13">
        <v>0.51784057967805197</v>
      </c>
    </row>
    <row r="133" spans="1:29" x14ac:dyDescent="0.25">
      <c r="A133" s="1">
        <v>1974</v>
      </c>
      <c r="B133" s="1">
        <f t="shared" si="22"/>
        <v>-0.21099999999999999</v>
      </c>
      <c r="C133" s="1">
        <f t="shared" si="23"/>
        <v>-0.19303605000000001</v>
      </c>
      <c r="D133" s="1">
        <f t="shared" si="24"/>
        <v>0</v>
      </c>
      <c r="E133" s="1">
        <f t="shared" si="25"/>
        <v>0.31282750780534252</v>
      </c>
      <c r="F133" s="1">
        <f t="shared" si="26"/>
        <v>1.7963949999999979E-2</v>
      </c>
      <c r="G133" s="9">
        <f t="shared" si="27"/>
        <v>0.31282750780534252</v>
      </c>
      <c r="H133" s="1">
        <f t="shared" si="28"/>
        <v>7.3145383367199945E-3</v>
      </c>
      <c r="I133" s="1">
        <f t="shared" si="29"/>
        <v>0.31282750780534252</v>
      </c>
      <c r="J133" s="1">
        <f t="shared" si="30"/>
        <v>0.73928077258600178</v>
      </c>
      <c r="K133" s="3"/>
      <c r="L133" s="3">
        <f t="shared" si="31"/>
        <v>0.52605414019567209</v>
      </c>
      <c r="M133" s="6">
        <f t="shared" si="32"/>
        <v>-0.21099999999999999</v>
      </c>
      <c r="N133" s="6">
        <f t="shared" si="33"/>
        <v>-0.16200000000000001</v>
      </c>
      <c r="O133" s="6">
        <f t="shared" si="34"/>
        <v>-0.28100000000000003</v>
      </c>
      <c r="P133" s="6">
        <v>-0.21099999999999999</v>
      </c>
      <c r="Q133" s="4">
        <v>-0.16200000000000001</v>
      </c>
      <c r="R133" s="5">
        <v>-0.28100000000000003</v>
      </c>
      <c r="S133">
        <f t="shared" si="35"/>
        <v>-0.28100000000000003</v>
      </c>
      <c r="T133">
        <f t="shared" si="36"/>
        <v>0.57651245551601416</v>
      </c>
      <c r="U133">
        <f t="shared" si="37"/>
        <v>0.7508896797153024</v>
      </c>
      <c r="V133">
        <f t="shared" si="21"/>
        <v>-0.8040224199288255</v>
      </c>
      <c r="X133">
        <v>-0.28100000000000003</v>
      </c>
      <c r="Y133">
        <v>-0.27274999999999999</v>
      </c>
      <c r="Z133" s="11">
        <f t="shared" si="38"/>
        <v>0.66554370988160372</v>
      </c>
      <c r="AA133">
        <f t="shared" si="39"/>
        <v>-0.25417202298130204</v>
      </c>
      <c r="AB133" s="13">
        <f t="shared" si="40"/>
        <v>-2.7159713015963982E-2</v>
      </c>
      <c r="AC133" s="13">
        <v>0.47284028698403602</v>
      </c>
    </row>
    <row r="134" spans="1:29" x14ac:dyDescent="0.25">
      <c r="A134" s="1">
        <v>1975</v>
      </c>
      <c r="B134" s="1">
        <f t="shared" si="22"/>
        <v>-0.14499999999999999</v>
      </c>
      <c r="C134" s="1">
        <f t="shared" si="23"/>
        <v>-0.12913445000000001</v>
      </c>
      <c r="D134" s="1">
        <f t="shared" si="24"/>
        <v>0</v>
      </c>
      <c r="E134" s="1">
        <f t="shared" si="25"/>
        <v>0.42608707021797593</v>
      </c>
      <c r="F134" s="1">
        <f t="shared" si="26"/>
        <v>1.5865549999999978E-2</v>
      </c>
      <c r="G134" s="9">
        <f t="shared" si="27"/>
        <v>0.42608707021797593</v>
      </c>
      <c r="H134" s="1">
        <f t="shared" si="28"/>
        <v>1.2173324330799999E-2</v>
      </c>
      <c r="I134" s="1">
        <f t="shared" si="29"/>
        <v>0.42608707021797593</v>
      </c>
      <c r="J134" s="1">
        <f t="shared" si="30"/>
        <v>3.1382391860841214</v>
      </c>
      <c r="K134" s="3"/>
      <c r="L134" s="3">
        <f t="shared" si="31"/>
        <v>1.7821631281510486</v>
      </c>
      <c r="M134" s="6">
        <f t="shared" si="32"/>
        <v>-0.14499999999999999</v>
      </c>
      <c r="N134" s="6">
        <f t="shared" si="33"/>
        <v>-0.19</v>
      </c>
      <c r="O134" s="6">
        <f t="shared" si="34"/>
        <v>-5.7000000000000002E-2</v>
      </c>
      <c r="P134" s="6">
        <v>-0.14499999999999999</v>
      </c>
      <c r="Q134" s="4">
        <v>-0.19</v>
      </c>
      <c r="R134" s="5">
        <v>-5.7000000000000002E-2</v>
      </c>
      <c r="S134">
        <f t="shared" si="35"/>
        <v>-5.7000000000000002E-2</v>
      </c>
      <c r="T134">
        <f t="shared" si="36"/>
        <v>3.333333333333333</v>
      </c>
      <c r="U134">
        <f t="shared" si="37"/>
        <v>2.5438596491228069</v>
      </c>
      <c r="V134">
        <f t="shared" si="21"/>
        <v>-2.4224192982456136</v>
      </c>
      <c r="X134">
        <v>-5.7000000000000002E-2</v>
      </c>
      <c r="Y134">
        <v>-5.3833300000000001E-2</v>
      </c>
      <c r="Z134" s="11">
        <f t="shared" si="38"/>
        <v>0.66370844934135675</v>
      </c>
      <c r="AA134">
        <f t="shared" si="39"/>
        <v>-0.22063019493116764</v>
      </c>
      <c r="AB134" s="13">
        <f t="shared" si="40"/>
        <v>2.2789824078841003E-2</v>
      </c>
      <c r="AC134" s="13">
        <v>0.522789824078841</v>
      </c>
    </row>
    <row r="135" spans="1:29" x14ac:dyDescent="0.25">
      <c r="A135" s="1">
        <v>1976</v>
      </c>
      <c r="B135" s="1">
        <f t="shared" si="22"/>
        <v>-0.23799999999999999</v>
      </c>
      <c r="C135" s="1">
        <f t="shared" si="23"/>
        <v>-0.22939289999999998</v>
      </c>
      <c r="D135" s="1">
        <f t="shared" si="24"/>
        <v>0</v>
      </c>
      <c r="E135" s="1">
        <f t="shared" si="25"/>
        <v>0.60470216258536202</v>
      </c>
      <c r="F135" s="1">
        <f t="shared" si="26"/>
        <v>8.6071000000000064E-3</v>
      </c>
      <c r="G135" s="9">
        <f t="shared" si="27"/>
        <v>0.60470216258536202</v>
      </c>
      <c r="H135" s="1">
        <f t="shared" si="28"/>
        <v>4.5637808271999994E-3</v>
      </c>
      <c r="I135" s="1">
        <f t="shared" si="29"/>
        <v>0.33731322788793344</v>
      </c>
      <c r="J135" s="1">
        <f t="shared" si="30"/>
        <v>0.60470216258536202</v>
      </c>
      <c r="K135" s="3"/>
      <c r="L135" s="3">
        <f t="shared" si="31"/>
        <v>0.47100769523664776</v>
      </c>
      <c r="M135" s="6">
        <f t="shared" si="32"/>
        <v>-0.23799999999999999</v>
      </c>
      <c r="N135" s="6">
        <f t="shared" si="33"/>
        <v>-0.18</v>
      </c>
      <c r="O135" s="6">
        <f t="shared" si="34"/>
        <v>-0.35399999999999998</v>
      </c>
      <c r="P135" s="6">
        <v>-0.23799999999999999</v>
      </c>
      <c r="Q135" s="4">
        <v>-0.18</v>
      </c>
      <c r="R135" s="5">
        <v>-0.35399999999999998</v>
      </c>
      <c r="S135">
        <f t="shared" si="35"/>
        <v>-0.35399999999999998</v>
      </c>
      <c r="T135">
        <f t="shared" si="36"/>
        <v>0.50847457627118642</v>
      </c>
      <c r="U135">
        <f t="shared" si="37"/>
        <v>0.67231638418079098</v>
      </c>
      <c r="V135">
        <f t="shared" si="21"/>
        <v>-0.69543446327683622</v>
      </c>
      <c r="X135">
        <v>-0.35399999999999998</v>
      </c>
      <c r="Y135">
        <v>-0.341333</v>
      </c>
      <c r="Z135" s="11">
        <f t="shared" si="38"/>
        <v>0.66186899412423372</v>
      </c>
      <c r="AA135">
        <f t="shared" si="39"/>
        <v>-0.29544601222335781</v>
      </c>
      <c r="AB135" s="13">
        <f t="shared" si="40"/>
        <v>-5.0467372764099738E-3</v>
      </c>
      <c r="AC135" s="13">
        <v>0.49495326272359003</v>
      </c>
    </row>
    <row r="136" spans="1:29" x14ac:dyDescent="0.25">
      <c r="A136" s="1">
        <v>1977</v>
      </c>
      <c r="B136" s="1">
        <f t="shared" si="22"/>
        <v>4.5999999999999999E-2</v>
      </c>
      <c r="C136" s="1">
        <f t="shared" si="23"/>
        <v>3.3195250000000003E-2</v>
      </c>
      <c r="D136" s="1">
        <f t="shared" si="24"/>
        <v>0</v>
      </c>
      <c r="E136" s="1">
        <f t="shared" si="25"/>
        <v>0.72575512235945228</v>
      </c>
      <c r="F136" s="1">
        <f t="shared" si="26"/>
        <v>1.2804749999999997E-2</v>
      </c>
      <c r="G136" s="9">
        <f t="shared" si="27"/>
        <v>0.72575512235945228</v>
      </c>
      <c r="H136" s="1">
        <f t="shared" si="28"/>
        <v>1.7686350729999999E-3</v>
      </c>
      <c r="I136" s="1">
        <f t="shared" si="29"/>
        <v>0.72575512235945228</v>
      </c>
      <c r="J136" s="1">
        <f t="shared" si="30"/>
        <v>3.2513716912279889E-2</v>
      </c>
      <c r="K136" s="3"/>
      <c r="L136" s="3">
        <f t="shared" si="31"/>
        <v>0.37913441963586608</v>
      </c>
      <c r="M136" s="6">
        <f t="shared" si="32"/>
        <v>4.5999999999999999E-2</v>
      </c>
      <c r="N136" s="6">
        <f t="shared" si="33"/>
        <v>5.0000000000000001E-3</v>
      </c>
      <c r="O136" s="6">
        <f t="shared" si="34"/>
        <v>8.5000000000000006E-2</v>
      </c>
      <c r="P136" s="6">
        <v>4.5999999999999999E-2</v>
      </c>
      <c r="Q136" s="4">
        <v>5.0000000000000001E-3</v>
      </c>
      <c r="R136" s="5">
        <v>8.5000000000000006E-2</v>
      </c>
      <c r="S136">
        <f t="shared" si="35"/>
        <v>8.5000000000000006E-2</v>
      </c>
      <c r="T136">
        <f t="shared" si="36"/>
        <v>5.8823529411764705E-2</v>
      </c>
      <c r="U136">
        <f t="shared" si="37"/>
        <v>0.54117647058823526</v>
      </c>
      <c r="V136">
        <f t="shared" si="21"/>
        <v>-0.75407058823529405</v>
      </c>
      <c r="X136">
        <v>8.5000000000000006E-2</v>
      </c>
      <c r="Y136">
        <v>7.5499999999999998E-2</v>
      </c>
      <c r="Z136" s="11">
        <f t="shared" si="38"/>
        <v>0.66001637745648623</v>
      </c>
      <c r="AA136">
        <f t="shared" si="39"/>
        <v>2.9742184018587504E-2</v>
      </c>
      <c r="AB136" s="13">
        <f t="shared" si="40"/>
        <v>6.8620632446191987E-2</v>
      </c>
      <c r="AC136" s="13">
        <v>0.56862063244619199</v>
      </c>
    </row>
    <row r="137" spans="1:29" x14ac:dyDescent="0.25">
      <c r="A137" s="1">
        <v>1978</v>
      </c>
      <c r="B137" s="1">
        <f t="shared" si="22"/>
        <v>-6.2E-2</v>
      </c>
      <c r="C137" s="1">
        <f t="shared" si="23"/>
        <v>-5.370055E-2</v>
      </c>
      <c r="D137" s="1">
        <f t="shared" si="24"/>
        <v>0</v>
      </c>
      <c r="E137" s="1">
        <f t="shared" si="25"/>
        <v>0.36414880848823766</v>
      </c>
      <c r="F137" s="1">
        <f t="shared" si="26"/>
        <v>8.2994499999999999E-3</v>
      </c>
      <c r="G137" s="9">
        <f t="shared" si="27"/>
        <v>0.36414880848823766</v>
      </c>
      <c r="H137" s="1">
        <f t="shared" si="28"/>
        <v>1.2596049431200002E-3</v>
      </c>
      <c r="I137" s="1">
        <f t="shared" si="29"/>
        <v>0.36414880848823766</v>
      </c>
      <c r="J137" s="1">
        <f t="shared" si="30"/>
        <v>1.3392087290062333</v>
      </c>
      <c r="K137" s="3"/>
      <c r="L137" s="3">
        <f t="shared" si="31"/>
        <v>0.85167876874723547</v>
      </c>
      <c r="M137" s="6">
        <f t="shared" si="32"/>
        <v>-6.2E-2</v>
      </c>
      <c r="N137" s="6">
        <f t="shared" si="33"/>
        <v>-6.2E-2</v>
      </c>
      <c r="O137" s="6">
        <f t="shared" si="34"/>
        <v>-5.0999999999999997E-2</v>
      </c>
      <c r="P137" s="6">
        <v>-6.2E-2</v>
      </c>
      <c r="Q137" s="4">
        <v>-6.2E-2</v>
      </c>
      <c r="R137" s="5">
        <v>-5.0999999999999997E-2</v>
      </c>
      <c r="S137">
        <f t="shared" si="35"/>
        <v>-5.0999999999999997E-2</v>
      </c>
      <c r="T137">
        <f t="shared" si="36"/>
        <v>1.215686274509804</v>
      </c>
      <c r="U137">
        <f t="shared" si="37"/>
        <v>1.215686274509804</v>
      </c>
      <c r="V137">
        <f t="shared" si="21"/>
        <v>-1.2774372549019608</v>
      </c>
      <c r="X137">
        <v>-5.0999999999999997E-2</v>
      </c>
      <c r="Y137">
        <v>-4.9000000000000002E-2</v>
      </c>
      <c r="Z137" s="11">
        <f t="shared" si="38"/>
        <v>0.6581405783072114</v>
      </c>
      <c r="AA137">
        <f t="shared" si="39"/>
        <v>-8.1835264077724679E-2</v>
      </c>
      <c r="AB137" s="13">
        <f t="shared" si="40"/>
        <v>6.547330568617904E-2</v>
      </c>
      <c r="AC137" s="13">
        <v>0.56547330568617904</v>
      </c>
    </row>
    <row r="138" spans="1:29" x14ac:dyDescent="0.25">
      <c r="A138" s="1">
        <v>1979</v>
      </c>
      <c r="B138" s="1">
        <f t="shared" si="22"/>
        <v>5.8000000000000003E-2</v>
      </c>
      <c r="C138" s="1">
        <f t="shared" si="23"/>
        <v>4.8563550000000004E-2</v>
      </c>
      <c r="D138" s="1">
        <f t="shared" si="24"/>
        <v>0</v>
      </c>
      <c r="E138" s="1">
        <f t="shared" si="25"/>
        <v>0.36991379856432</v>
      </c>
      <c r="F138" s="1">
        <f t="shared" si="26"/>
        <v>9.436449999999999E-3</v>
      </c>
      <c r="G138" s="9">
        <f t="shared" si="27"/>
        <v>0.36991379856432</v>
      </c>
      <c r="H138" s="1">
        <f t="shared" si="28"/>
        <v>1.5617890258000002E-3</v>
      </c>
      <c r="I138" s="1">
        <f t="shared" si="29"/>
        <v>1.9519901626839034</v>
      </c>
      <c r="J138" s="1">
        <f t="shared" si="30"/>
        <v>0.36991379856432</v>
      </c>
      <c r="K138" s="3"/>
      <c r="L138" s="3">
        <f t="shared" si="31"/>
        <v>1.1609519806241118</v>
      </c>
      <c r="M138" s="6">
        <f t="shared" si="32"/>
        <v>5.8000000000000003E-2</v>
      </c>
      <c r="N138" s="6">
        <f t="shared" si="33"/>
        <v>6.3E-2</v>
      </c>
      <c r="O138" s="6">
        <f t="shared" si="34"/>
        <v>3.5000000000000003E-2</v>
      </c>
      <c r="P138" s="6">
        <v>5.8000000000000003E-2</v>
      </c>
      <c r="Q138" s="4">
        <v>6.3E-2</v>
      </c>
      <c r="R138" s="5">
        <v>3.5000000000000003E-2</v>
      </c>
      <c r="S138">
        <f t="shared" si="35"/>
        <v>3.5000000000000003E-2</v>
      </c>
      <c r="T138">
        <f t="shared" si="36"/>
        <v>1.7999999999999998</v>
      </c>
      <c r="U138">
        <f t="shared" si="37"/>
        <v>1.657142857142857</v>
      </c>
      <c r="V138">
        <f t="shared" ref="V138:V171" si="41">+$G$1+$T138*$G$2-2*$U138</f>
        <v>-1.7433257142857141</v>
      </c>
      <c r="X138">
        <v>3.5000000000000003E-2</v>
      </c>
      <c r="Y138">
        <v>3.5999999999999997E-2</v>
      </c>
      <c r="Z138" s="11">
        <f t="shared" si="38"/>
        <v>0.65623060334473848</v>
      </c>
      <c r="AA138">
        <f t="shared" si="39"/>
        <v>7.8537725150469667E-2</v>
      </c>
      <c r="AB138" s="13">
        <f t="shared" si="40"/>
        <v>7.4038083215329009E-2</v>
      </c>
      <c r="AC138" s="13">
        <v>0.57403808321532901</v>
      </c>
    </row>
    <row r="139" spans="1:29" x14ac:dyDescent="0.25">
      <c r="A139" s="1">
        <v>1980</v>
      </c>
      <c r="B139" s="1">
        <f t="shared" ref="B139:B171" si="42">+$M139</f>
        <v>9.2999999999999999E-2</v>
      </c>
      <c r="C139" s="1">
        <f t="shared" ref="C139:C171" si="43">($S139*($C$1*$G$2 )+$N139*($G$1/$C$1))</f>
        <v>7.9095150000000003E-2</v>
      </c>
      <c r="D139" s="1">
        <f t="shared" ref="D139:D171" si="44">$B139 - (($S139*($E139*$G$2 )+$N139*($G$1/$E139)))</f>
        <v>0</v>
      </c>
      <c r="E139" s="1">
        <f t="shared" ref="E139:E171" si="45">+$G139</f>
        <v>0.75180290001148842</v>
      </c>
      <c r="F139" s="1">
        <f t="shared" ref="F139:F171" si="46">+ABS($B139-$C139)</f>
        <v>1.3904849999999996E-2</v>
      </c>
      <c r="G139" s="9">
        <f t="shared" ref="G139:G171" si="47">+IF($H139 &gt; 0,IF(AND($I139&gt;0,ABS($I139-0.5)&lt;ABS($J139-0.5)), $I139, IF(AND($J139&gt;0,$J139&lt;1),$J139,$L139)), $L139)</f>
        <v>0.75180290001148842</v>
      </c>
      <c r="H139" s="1">
        <f t="shared" ref="H139:H171" si="48">+$M139*$M139-4*$G$1*$G$2*$N139*$O139</f>
        <v>2.6906698404000002E-3</v>
      </c>
      <c r="I139" s="1">
        <f t="shared" ref="I139:I171" si="49">+($M139+SQRT($H139))/2/$G$2/$O139</f>
        <v>0.75180290001148842</v>
      </c>
      <c r="J139" s="1">
        <f t="shared" ref="J139:J171" si="50">+($M139-SQRT($H139))/2/$G$2/$O139</f>
        <v>0.21343303790204515</v>
      </c>
      <c r="K139" s="3"/>
      <c r="L139" s="3">
        <f t="shared" ref="L139:L171" si="51">$M139/2/$G$2/$O139</f>
        <v>0.48261796895676673</v>
      </c>
      <c r="M139" s="6">
        <f t="shared" ref="M139:M171" si="52">+P139-$M$3</f>
        <v>9.2999999999999999E-2</v>
      </c>
      <c r="N139" s="6">
        <f t="shared" ref="N139:N171" si="53">+Q139-$M$3</f>
        <v>5.3999999999999999E-2</v>
      </c>
      <c r="O139" s="6">
        <f t="shared" ref="O139:O171" si="54">+R139-$M$1</f>
        <v>0.13500000000000001</v>
      </c>
      <c r="P139" s="6">
        <v>9.2999999999999999E-2</v>
      </c>
      <c r="Q139" s="4">
        <v>5.3999999999999999E-2</v>
      </c>
      <c r="R139" s="5">
        <v>0.13500000000000001</v>
      </c>
      <c r="S139">
        <f t="shared" ref="S139:S170" si="55">+$O139+$O$1</f>
        <v>0.13500000000000001</v>
      </c>
      <c r="T139">
        <f t="shared" ref="T139:T171" si="56">+$N139/($S139)</f>
        <v>0.39999999999999997</v>
      </c>
      <c r="U139">
        <f t="shared" ref="U139:U171" si="57">+$M139/($S139)</f>
        <v>0.68888888888888888</v>
      </c>
      <c r="V139">
        <f t="shared" si="41"/>
        <v>-0.80599777777777781</v>
      </c>
      <c r="X139">
        <v>0.13500000000000001</v>
      </c>
      <c r="Y139">
        <v>0.1305</v>
      </c>
      <c r="Z139" s="11">
        <f t="shared" ref="Z139:Z171" si="58">-2.2979737161E-10*$A139^5 + 0.0000022285768284*$A139^4 - 0.0086436385146*$A139^3 + 16.759480306*$A139^2 - 16244.935412*$A139 + 6297344.9302</f>
        <v>0.65427434537559748</v>
      </c>
      <c r="AA139">
        <f t="shared" ref="AA139:AA171" si="59">+$G$2*$N139/$Z139+$G$1*$O139</f>
        <v>9.7555147985052146E-2</v>
      </c>
      <c r="AB139" s="13">
        <f t="shared" ref="AB139:AB168" si="60">+$AC139+$AB$1</f>
        <v>0.13897487637411798</v>
      </c>
      <c r="AC139" s="13">
        <v>0.63897487637411798</v>
      </c>
    </row>
    <row r="140" spans="1:29" x14ac:dyDescent="0.25">
      <c r="A140" s="1">
        <v>1981</v>
      </c>
      <c r="B140" s="1">
        <f t="shared" si="42"/>
        <v>0.14199999999999999</v>
      </c>
      <c r="C140" s="1">
        <f t="shared" si="43"/>
        <v>0.12858164999999999</v>
      </c>
      <c r="D140" s="1">
        <f t="shared" si="44"/>
        <v>0</v>
      </c>
      <c r="E140" s="1">
        <f t="shared" si="45"/>
        <v>0.56742994707539673</v>
      </c>
      <c r="F140" s="1">
        <f t="shared" si="46"/>
        <v>1.3418349999999996E-2</v>
      </c>
      <c r="G140" s="9">
        <f t="shared" si="47"/>
        <v>0.56742994707539673</v>
      </c>
      <c r="H140" s="1">
        <f t="shared" si="48"/>
        <v>1.3168479034839999E-2</v>
      </c>
      <c r="I140" s="1">
        <f t="shared" si="49"/>
        <v>0.56742994707539673</v>
      </c>
      <c r="J140" s="1">
        <f t="shared" si="50"/>
        <v>6.021405854864708E-2</v>
      </c>
      <c r="K140" s="3"/>
      <c r="L140" s="3">
        <f t="shared" si="51"/>
        <v>0.31382200281202194</v>
      </c>
      <c r="M140" s="6">
        <f t="shared" si="52"/>
        <v>0.14199999999999999</v>
      </c>
      <c r="N140" s="6">
        <f t="shared" si="53"/>
        <v>2.7E-2</v>
      </c>
      <c r="O140" s="6">
        <f t="shared" si="54"/>
        <v>0.317</v>
      </c>
      <c r="P140" s="6">
        <v>0.14199999999999999</v>
      </c>
      <c r="Q140" s="4">
        <v>2.7E-2</v>
      </c>
      <c r="R140" s="5">
        <v>0.317</v>
      </c>
      <c r="S140">
        <f t="shared" si="55"/>
        <v>0.317</v>
      </c>
      <c r="T140">
        <f t="shared" si="56"/>
        <v>8.5173501577287064E-2</v>
      </c>
      <c r="U140">
        <f t="shared" si="57"/>
        <v>0.44794952681388006</v>
      </c>
      <c r="V140">
        <f t="shared" si="41"/>
        <v>-0.54881072555205035</v>
      </c>
      <c r="X140">
        <v>0.317</v>
      </c>
      <c r="Y140">
        <v>0.31</v>
      </c>
      <c r="Z140" s="11">
        <f t="shared" si="58"/>
        <v>0.65225865412503481</v>
      </c>
      <c r="AA140">
        <f t="shared" si="59"/>
        <v>0.1203004412468086</v>
      </c>
      <c r="AB140" s="13">
        <f t="shared" si="60"/>
        <v>0.16978943079805198</v>
      </c>
      <c r="AC140" s="13">
        <v>0.66978943079805198</v>
      </c>
    </row>
    <row r="141" spans="1:29" x14ac:dyDescent="0.25">
      <c r="A141" s="1">
        <v>1982</v>
      </c>
      <c r="B141" s="1">
        <f t="shared" si="42"/>
        <v>1.2999999999999999E-2</v>
      </c>
      <c r="C141" s="1">
        <f t="shared" si="43"/>
        <v>6.7300999999999993E-3</v>
      </c>
      <c r="D141" s="1">
        <f t="shared" si="44"/>
        <v>0</v>
      </c>
      <c r="E141" s="1">
        <f t="shared" si="45"/>
        <v>0.27782490290139594</v>
      </c>
      <c r="F141" s="1">
        <f t="shared" si="46"/>
        <v>6.2699000000000001E-3</v>
      </c>
      <c r="G141" s="9">
        <f t="shared" si="47"/>
        <v>0.27782490290139594</v>
      </c>
      <c r="H141" s="1">
        <f t="shared" si="48"/>
        <v>1.9025056024E-4</v>
      </c>
      <c r="I141" s="1">
        <f t="shared" si="49"/>
        <v>-9.3852930267629606</v>
      </c>
      <c r="J141" s="1">
        <f t="shared" si="50"/>
        <v>0.27782490290139594</v>
      </c>
      <c r="K141" s="3"/>
      <c r="L141" s="3">
        <f t="shared" si="51"/>
        <v>-4.5537340619307827</v>
      </c>
      <c r="M141" s="6">
        <f t="shared" si="52"/>
        <v>1.2999999999999999E-2</v>
      </c>
      <c r="N141" s="6">
        <f t="shared" si="53"/>
        <v>1.2999999999999999E-2</v>
      </c>
      <c r="O141" s="6">
        <f t="shared" si="54"/>
        <v>-2E-3</v>
      </c>
      <c r="P141" s="6">
        <v>1.2999999999999999E-2</v>
      </c>
      <c r="Q141" s="4">
        <v>1.2999999999999999E-2</v>
      </c>
      <c r="R141" s="5">
        <v>-2E-3</v>
      </c>
      <c r="S141">
        <f t="shared" si="55"/>
        <v>-2E-3</v>
      </c>
      <c r="T141">
        <f t="shared" si="56"/>
        <v>-6.5</v>
      </c>
      <c r="U141">
        <f t="shared" si="57"/>
        <v>-6.5</v>
      </c>
      <c r="V141">
        <f t="shared" si="41"/>
        <v>8.6472499999999997</v>
      </c>
      <c r="X141">
        <v>-2E-3</v>
      </c>
      <c r="Y141">
        <v>6.3333299999999999E-3</v>
      </c>
      <c r="Z141" s="11">
        <f t="shared" si="58"/>
        <v>0.65016922820359468</v>
      </c>
      <c r="AA141">
        <f t="shared" si="59"/>
        <v>1.369768471592729E-2</v>
      </c>
      <c r="AB141" s="13">
        <f t="shared" si="60"/>
        <v>0.124775057019747</v>
      </c>
      <c r="AC141" s="13">
        <v>0.624775057019747</v>
      </c>
    </row>
    <row r="142" spans="1:29" x14ac:dyDescent="0.25">
      <c r="A142" s="1">
        <v>1983</v>
      </c>
      <c r="B142" s="1">
        <f t="shared" si="42"/>
        <v>0.191</v>
      </c>
      <c r="C142" s="1">
        <f t="shared" si="43"/>
        <v>0.18625675000000003</v>
      </c>
      <c r="D142" s="1">
        <f t="shared" si="44"/>
        <v>0</v>
      </c>
      <c r="E142" s="1">
        <f t="shared" si="45"/>
        <v>0.54284331470041769</v>
      </c>
      <c r="F142" s="1">
        <f t="shared" si="46"/>
        <v>4.7432499999999767E-3</v>
      </c>
      <c r="G142" s="9">
        <f t="shared" si="47"/>
        <v>0.54284331470041769</v>
      </c>
      <c r="H142" s="1">
        <f t="shared" si="48"/>
        <v>4.2872185656400025E-3</v>
      </c>
      <c r="I142" s="1">
        <f t="shared" si="49"/>
        <v>0.54284331470041769</v>
      </c>
      <c r="J142" s="1">
        <f t="shared" si="50"/>
        <v>0.26567465492893816</v>
      </c>
      <c r="K142" s="3"/>
      <c r="L142" s="3">
        <f t="shared" si="51"/>
        <v>0.40425898481467792</v>
      </c>
      <c r="M142" s="6">
        <f t="shared" si="52"/>
        <v>0.191</v>
      </c>
      <c r="N142" s="6">
        <f t="shared" si="53"/>
        <v>0.11899999999999999</v>
      </c>
      <c r="O142" s="6">
        <f t="shared" si="54"/>
        <v>0.33100000000000002</v>
      </c>
      <c r="P142" s="6">
        <v>0.191</v>
      </c>
      <c r="Q142" s="4">
        <v>0.11899999999999999</v>
      </c>
      <c r="R142" s="5">
        <v>0.33100000000000002</v>
      </c>
      <c r="S142">
        <f t="shared" si="55"/>
        <v>0.33100000000000002</v>
      </c>
      <c r="T142">
        <f t="shared" si="56"/>
        <v>0.35951661631419934</v>
      </c>
      <c r="U142">
        <f t="shared" si="57"/>
        <v>0.57703927492447127</v>
      </c>
      <c r="V142">
        <f t="shared" si="41"/>
        <v>-0.61119154078549842</v>
      </c>
      <c r="X142">
        <v>0.33100000000000002</v>
      </c>
      <c r="Y142">
        <v>0.32183299999999998</v>
      </c>
      <c r="Z142" s="11">
        <f t="shared" si="58"/>
        <v>0.64799068961292505</v>
      </c>
      <c r="AA142">
        <f t="shared" si="59"/>
        <v>0.22583246093518694</v>
      </c>
      <c r="AB142" s="13">
        <f t="shared" si="60"/>
        <v>0.18317437869775899</v>
      </c>
      <c r="AC142" s="13">
        <v>0.68317437869775899</v>
      </c>
    </row>
    <row r="143" spans="1:29" x14ac:dyDescent="0.25">
      <c r="A143" s="1">
        <v>1984</v>
      </c>
      <c r="B143" s="1">
        <f t="shared" si="42"/>
        <v>-1.4E-2</v>
      </c>
      <c r="C143" s="1">
        <f t="shared" si="43"/>
        <v>-2.1784249999999998E-2</v>
      </c>
      <c r="D143" s="1">
        <f t="shared" si="44"/>
        <v>6.1356484999999985E-3</v>
      </c>
      <c r="E143" s="7">
        <f t="shared" si="45"/>
        <v>0.21795650210950759</v>
      </c>
      <c r="F143" s="1">
        <f t="shared" si="46"/>
        <v>7.7842499999999978E-3</v>
      </c>
      <c r="G143" s="9">
        <f t="shared" si="47"/>
        <v>0.21795650210950759</v>
      </c>
      <c r="H143" s="1">
        <f t="shared" si="48"/>
        <v>-1.7179815800000002E-4</v>
      </c>
      <c r="I143" s="1" t="e">
        <f t="shared" si="49"/>
        <v>#NUM!</v>
      </c>
      <c r="J143" s="1" t="e">
        <f t="shared" si="50"/>
        <v>#NUM!</v>
      </c>
      <c r="K143" s="3"/>
      <c r="L143" s="3">
        <f t="shared" si="51"/>
        <v>0.21795650210950759</v>
      </c>
      <c r="M143" s="6">
        <f t="shared" si="52"/>
        <v>-1.4E-2</v>
      </c>
      <c r="N143" s="6">
        <f t="shared" si="53"/>
        <v>-0.01</v>
      </c>
      <c r="O143" s="6">
        <f t="shared" si="54"/>
        <v>-4.4999999999999998E-2</v>
      </c>
      <c r="P143" s="6">
        <v>-1.4E-2</v>
      </c>
      <c r="Q143" s="4">
        <v>-0.01</v>
      </c>
      <c r="R143" s="5">
        <v>-4.4999999999999998E-2</v>
      </c>
      <c r="S143">
        <f t="shared" si="55"/>
        <v>-4.4999999999999998E-2</v>
      </c>
      <c r="T143">
        <f t="shared" si="56"/>
        <v>0.22222222222222224</v>
      </c>
      <c r="U143">
        <f t="shared" si="57"/>
        <v>0.31111111111111112</v>
      </c>
      <c r="V143">
        <f t="shared" si="41"/>
        <v>-0.17732222222222221</v>
      </c>
      <c r="X143">
        <v>-4.4999999999999998E-2</v>
      </c>
      <c r="Y143">
        <v>-3.80833E-2</v>
      </c>
      <c r="Z143" s="11">
        <f t="shared" si="58"/>
        <v>0.64570639748126268</v>
      </c>
      <c r="AA143">
        <f t="shared" si="59"/>
        <v>-2.3936511132984947E-2</v>
      </c>
      <c r="AB143" s="13">
        <f t="shared" si="60"/>
        <v>0.16544867621009096</v>
      </c>
      <c r="AC143" s="13">
        <v>0.66544867621009096</v>
      </c>
    </row>
    <row r="144" spans="1:29" x14ac:dyDescent="0.25">
      <c r="A144" s="1">
        <v>1985</v>
      </c>
      <c r="B144" s="1">
        <f t="shared" si="42"/>
        <v>-2.9000000000000001E-2</v>
      </c>
      <c r="C144" s="1">
        <f t="shared" si="43"/>
        <v>-3.4680050000000004E-2</v>
      </c>
      <c r="D144" s="1">
        <f t="shared" si="44"/>
        <v>4.1012861517241393E-3</v>
      </c>
      <c r="E144" s="7">
        <f t="shared" si="45"/>
        <v>0.61565635336127134</v>
      </c>
      <c r="F144" s="1">
        <f t="shared" si="46"/>
        <v>5.6800500000000025E-3</v>
      </c>
      <c r="G144" s="9">
        <f t="shared" si="47"/>
        <v>0.61565635336127134</v>
      </c>
      <c r="H144" s="1">
        <f t="shared" si="48"/>
        <v>-2.3787459680000005E-4</v>
      </c>
      <c r="I144" s="1" t="e">
        <f t="shared" si="49"/>
        <v>#NUM!</v>
      </c>
      <c r="J144" s="1" t="e">
        <f t="shared" si="50"/>
        <v>#NUM!</v>
      </c>
      <c r="K144" s="3"/>
      <c r="L144" s="3">
        <f t="shared" si="51"/>
        <v>0.61565635336127134</v>
      </c>
      <c r="M144" s="6">
        <f t="shared" si="52"/>
        <v>-2.9000000000000001E-2</v>
      </c>
      <c r="N144" s="6">
        <f t="shared" si="53"/>
        <v>-0.04</v>
      </c>
      <c r="O144" s="6">
        <f t="shared" si="54"/>
        <v>-3.3000000000000002E-2</v>
      </c>
      <c r="P144" s="6">
        <v>-2.9000000000000001E-2</v>
      </c>
      <c r="Q144" s="4">
        <v>-0.04</v>
      </c>
      <c r="R144" s="5">
        <v>-3.3000000000000002E-2</v>
      </c>
      <c r="S144">
        <f t="shared" si="55"/>
        <v>-3.3000000000000002E-2</v>
      </c>
      <c r="T144">
        <f t="shared" si="56"/>
        <v>1.2121212121212122</v>
      </c>
      <c r="U144">
        <f t="shared" si="57"/>
        <v>0.87878787878787878</v>
      </c>
      <c r="V144">
        <f t="shared" si="41"/>
        <v>-0.60618484848484844</v>
      </c>
      <c r="X144">
        <v>-3.3000000000000002E-2</v>
      </c>
      <c r="Y144">
        <v>-2.8000000000000001E-2</v>
      </c>
      <c r="Z144" s="11">
        <f t="shared" si="58"/>
        <v>0.64329857472330332</v>
      </c>
      <c r="AA144">
        <f t="shared" si="59"/>
        <v>-5.3825427203879034E-2</v>
      </c>
      <c r="AB144" s="13">
        <f t="shared" si="60"/>
        <v>0.172984077670994</v>
      </c>
      <c r="AC144" s="13">
        <v>0.672984077670994</v>
      </c>
    </row>
    <row r="145" spans="1:29" x14ac:dyDescent="0.25">
      <c r="A145" s="1">
        <v>1986</v>
      </c>
      <c r="B145" s="1">
        <f t="shared" si="42"/>
        <v>4.7E-2</v>
      </c>
      <c r="C145" s="1">
        <f t="shared" si="43"/>
        <v>3.5378199999999999E-2</v>
      </c>
      <c r="D145" s="1">
        <f t="shared" si="44"/>
        <v>0</v>
      </c>
      <c r="E145" s="1">
        <f t="shared" si="45"/>
        <v>0.61899083997671367</v>
      </c>
      <c r="F145" s="1">
        <f t="shared" si="46"/>
        <v>1.1621800000000002E-2</v>
      </c>
      <c r="G145" s="9">
        <f t="shared" si="47"/>
        <v>0.61899083997671367</v>
      </c>
      <c r="H145" s="1">
        <f t="shared" si="48"/>
        <v>3.4840336143999997E-3</v>
      </c>
      <c r="I145" s="1">
        <f t="shared" si="49"/>
        <v>0.61899083997671367</v>
      </c>
      <c r="J145" s="1">
        <f t="shared" si="50"/>
        <v>-7.0207504308132121E-2</v>
      </c>
      <c r="K145" s="3"/>
      <c r="L145" s="3">
        <f t="shared" si="51"/>
        <v>0.27439166783429081</v>
      </c>
      <c r="M145" s="6">
        <f t="shared" si="52"/>
        <v>4.7E-2</v>
      </c>
      <c r="N145" s="6">
        <f t="shared" si="53"/>
        <v>-1.2999999999999999E-2</v>
      </c>
      <c r="O145" s="6">
        <f t="shared" si="54"/>
        <v>0.12</v>
      </c>
      <c r="P145" s="6">
        <v>4.7E-2</v>
      </c>
      <c r="Q145" s="4">
        <v>-1.2999999999999999E-2</v>
      </c>
      <c r="R145" s="5">
        <v>0.12</v>
      </c>
      <c r="S145">
        <f t="shared" si="55"/>
        <v>0.12</v>
      </c>
      <c r="T145">
        <f t="shared" si="56"/>
        <v>-0.10833333333333334</v>
      </c>
      <c r="U145">
        <f t="shared" si="57"/>
        <v>0.39166666666666666</v>
      </c>
      <c r="V145">
        <f t="shared" si="41"/>
        <v>-0.57435083333333337</v>
      </c>
      <c r="X145">
        <v>0.12</v>
      </c>
      <c r="Y145">
        <v>0.1255</v>
      </c>
      <c r="Z145" s="11">
        <f t="shared" si="58"/>
        <v>0.64074825588613749</v>
      </c>
      <c r="AA145">
        <f t="shared" si="59"/>
        <v>1.9875898158491841E-2</v>
      </c>
      <c r="AB145" s="13">
        <f t="shared" si="60"/>
        <v>0.21123929043022005</v>
      </c>
      <c r="AC145" s="13">
        <v>0.71123929043022005</v>
      </c>
    </row>
    <row r="146" spans="1:29" x14ac:dyDescent="0.25">
      <c r="A146" s="1">
        <v>1987</v>
      </c>
      <c r="B146" s="1">
        <f t="shared" si="42"/>
        <v>0.186</v>
      </c>
      <c r="C146" s="1">
        <f t="shared" si="43"/>
        <v>0.17295319999999997</v>
      </c>
      <c r="D146" s="1">
        <f t="shared" si="44"/>
        <v>0</v>
      </c>
      <c r="E146" s="1">
        <f t="shared" si="45"/>
        <v>0.32587628672215235</v>
      </c>
      <c r="F146" s="1">
        <f t="shared" si="46"/>
        <v>1.3046800000000025E-2</v>
      </c>
      <c r="G146" s="9">
        <f t="shared" si="47"/>
        <v>0.32587628672215235</v>
      </c>
      <c r="H146" s="1">
        <f t="shared" si="48"/>
        <v>4.7307895704000041E-3</v>
      </c>
      <c r="I146" s="1">
        <f t="shared" si="49"/>
        <v>0.70830507532806208</v>
      </c>
      <c r="J146" s="1">
        <f t="shared" si="50"/>
        <v>0.32587628672215235</v>
      </c>
      <c r="K146" s="3"/>
      <c r="L146" s="3">
        <f t="shared" si="51"/>
        <v>0.51709068102510725</v>
      </c>
      <c r="M146" s="6">
        <f t="shared" si="52"/>
        <v>0.186</v>
      </c>
      <c r="N146" s="6">
        <f t="shared" si="53"/>
        <v>0.14499999999999999</v>
      </c>
      <c r="O146" s="6">
        <f t="shared" si="54"/>
        <v>0.252</v>
      </c>
      <c r="P146" s="6">
        <v>0.186</v>
      </c>
      <c r="Q146" s="4">
        <v>0.14499999999999999</v>
      </c>
      <c r="R146" s="5">
        <v>0.252</v>
      </c>
      <c r="S146">
        <f t="shared" si="55"/>
        <v>0.252</v>
      </c>
      <c r="T146">
        <f t="shared" si="56"/>
        <v>0.57539682539682535</v>
      </c>
      <c r="U146">
        <f t="shared" si="57"/>
        <v>0.73809523809523814</v>
      </c>
      <c r="V146">
        <f t="shared" si="41"/>
        <v>-0.77922976190476201</v>
      </c>
      <c r="X146">
        <v>0.252</v>
      </c>
      <c r="Y146">
        <v>0.246583</v>
      </c>
      <c r="Z146" s="11">
        <f t="shared" si="58"/>
        <v>0.63803509343415499</v>
      </c>
      <c r="AA146">
        <f t="shared" si="59"/>
        <v>0.23434322382218678</v>
      </c>
      <c r="AB146" s="13">
        <f t="shared" si="60"/>
        <v>0.24425030625556499</v>
      </c>
      <c r="AC146" s="13">
        <v>0.74425030625556499</v>
      </c>
    </row>
    <row r="147" spans="1:29" x14ac:dyDescent="0.25">
      <c r="A147" s="1">
        <v>1988</v>
      </c>
      <c r="B147" s="1">
        <f t="shared" si="42"/>
        <v>0.20100000000000001</v>
      </c>
      <c r="C147" s="1">
        <f t="shared" si="43"/>
        <v>0.19565954999999999</v>
      </c>
      <c r="D147" s="1">
        <f t="shared" si="44"/>
        <v>0</v>
      </c>
      <c r="E147" s="1">
        <f t="shared" si="45"/>
        <v>0.53511775332381428</v>
      </c>
      <c r="F147" s="1">
        <f t="shared" si="46"/>
        <v>5.3404500000000243E-3</v>
      </c>
      <c r="G147" s="9">
        <f t="shared" si="47"/>
        <v>0.53511775332381428</v>
      </c>
      <c r="H147" s="1">
        <f t="shared" si="48"/>
        <v>7.2991657800000054E-3</v>
      </c>
      <c r="I147" s="1">
        <f t="shared" si="49"/>
        <v>0.53511775332381428</v>
      </c>
      <c r="J147" s="1">
        <f t="shared" si="50"/>
        <v>0.2158980796592318</v>
      </c>
      <c r="K147" s="3"/>
      <c r="L147" s="3">
        <f t="shared" si="51"/>
        <v>0.3755079164915231</v>
      </c>
      <c r="M147" s="6">
        <f t="shared" si="52"/>
        <v>0.20100000000000001</v>
      </c>
      <c r="N147" s="6">
        <f t="shared" si="53"/>
        <v>0.108</v>
      </c>
      <c r="O147" s="6">
        <f t="shared" si="54"/>
        <v>0.375</v>
      </c>
      <c r="P147" s="6">
        <v>0.20100000000000001</v>
      </c>
      <c r="Q147" s="4">
        <v>0.108</v>
      </c>
      <c r="R147" s="5">
        <v>0.375</v>
      </c>
      <c r="S147">
        <f t="shared" si="55"/>
        <v>0.375</v>
      </c>
      <c r="T147">
        <f t="shared" si="56"/>
        <v>0.28799999999999998</v>
      </c>
      <c r="U147">
        <f t="shared" si="57"/>
        <v>0.53600000000000003</v>
      </c>
      <c r="V147">
        <f t="shared" si="41"/>
        <v>-0.58015440000000007</v>
      </c>
      <c r="X147">
        <v>0.375</v>
      </c>
      <c r="Y147">
        <v>0.36883300000000002</v>
      </c>
      <c r="Z147" s="11">
        <f t="shared" si="58"/>
        <v>0.63513761851936579</v>
      </c>
      <c r="AA147">
        <f t="shared" si="59"/>
        <v>0.22872139569836553</v>
      </c>
      <c r="AB147" s="13">
        <f t="shared" si="60"/>
        <v>0.29018731742680604</v>
      </c>
      <c r="AC147" s="13">
        <v>0.79018731742680604</v>
      </c>
    </row>
    <row r="148" spans="1:29" x14ac:dyDescent="0.25">
      <c r="A148" s="1">
        <v>1989</v>
      </c>
      <c r="B148" s="1">
        <f t="shared" si="42"/>
        <v>0.121</v>
      </c>
      <c r="C148" s="1">
        <f t="shared" si="43"/>
        <v>0.12693765000000001</v>
      </c>
      <c r="D148" s="1">
        <f t="shared" si="44"/>
        <v>0</v>
      </c>
      <c r="E148" s="1">
        <f t="shared" si="45"/>
        <v>0.42808319141499201</v>
      </c>
      <c r="F148" s="1">
        <f t="shared" si="46"/>
        <v>5.9376500000000165E-3</v>
      </c>
      <c r="G148" s="9">
        <f t="shared" si="47"/>
        <v>0.42808319141499201</v>
      </c>
      <c r="H148" s="1">
        <f t="shared" si="48"/>
        <v>8.2404919779999891E-4</v>
      </c>
      <c r="I148" s="1">
        <f t="shared" si="49"/>
        <v>0.42808319141499201</v>
      </c>
      <c r="J148" s="1">
        <f t="shared" si="50"/>
        <v>0.26391281674026673</v>
      </c>
      <c r="K148" s="3"/>
      <c r="L148" s="3">
        <f t="shared" si="51"/>
        <v>0.34599800407762937</v>
      </c>
      <c r="M148" s="6">
        <f t="shared" si="52"/>
        <v>0.121</v>
      </c>
      <c r="N148" s="6">
        <f t="shared" si="53"/>
        <v>6.9000000000000006E-2</v>
      </c>
      <c r="O148" s="6">
        <f t="shared" si="54"/>
        <v>0.245</v>
      </c>
      <c r="P148" s="6">
        <v>0.121</v>
      </c>
      <c r="Q148" s="4">
        <v>6.9000000000000006E-2</v>
      </c>
      <c r="R148" s="5">
        <v>0.245</v>
      </c>
      <c r="S148">
        <f t="shared" si="55"/>
        <v>0.245</v>
      </c>
      <c r="T148">
        <f t="shared" si="56"/>
        <v>0.28163265306122454</v>
      </c>
      <c r="U148">
        <f t="shared" si="57"/>
        <v>0.49387755102040815</v>
      </c>
      <c r="V148">
        <f t="shared" si="41"/>
        <v>-0.50045387755102033</v>
      </c>
      <c r="X148">
        <v>0.245</v>
      </c>
      <c r="Y148">
        <v>0.251583</v>
      </c>
      <c r="Z148" s="11">
        <f t="shared" si="58"/>
        <v>0.63203293550759554</v>
      </c>
      <c r="AA148">
        <f t="shared" si="59"/>
        <v>0.14805921804790573</v>
      </c>
      <c r="AB148" s="13">
        <f t="shared" si="60"/>
        <v>0.28009276132059502</v>
      </c>
      <c r="AC148" s="13">
        <v>0.78009276132059502</v>
      </c>
    </row>
    <row r="149" spans="1:29" x14ac:dyDescent="0.25">
      <c r="A149" s="1">
        <v>1990</v>
      </c>
      <c r="B149" s="1">
        <f t="shared" si="42"/>
        <v>0.29099999999999998</v>
      </c>
      <c r="C149" s="1">
        <f t="shared" si="43"/>
        <v>0.28894500000000001</v>
      </c>
      <c r="D149" s="1">
        <f t="shared" si="44"/>
        <v>0</v>
      </c>
      <c r="E149" s="1">
        <f t="shared" si="45"/>
        <v>0.51565422528451299</v>
      </c>
      <c r="F149" s="1">
        <f t="shared" si="46"/>
        <v>2.0549999999999735E-3</v>
      </c>
      <c r="G149" s="9">
        <f t="shared" si="47"/>
        <v>0.51565422528451299</v>
      </c>
      <c r="H149" s="1">
        <f t="shared" si="48"/>
        <v>5.0600547561599901E-3</v>
      </c>
      <c r="I149" s="1">
        <f t="shared" si="49"/>
        <v>0.51565422528451299</v>
      </c>
      <c r="J149" s="1">
        <f t="shared" si="50"/>
        <v>0.31307411244022609</v>
      </c>
      <c r="K149" s="3"/>
      <c r="L149" s="3">
        <f t="shared" si="51"/>
        <v>0.41436416886236954</v>
      </c>
      <c r="M149" s="6">
        <f t="shared" si="52"/>
        <v>0.29099999999999998</v>
      </c>
      <c r="N149" s="6">
        <f t="shared" si="53"/>
        <v>0.19800000000000001</v>
      </c>
      <c r="O149" s="6">
        <f t="shared" si="54"/>
        <v>0.49199999999999999</v>
      </c>
      <c r="P149" s="6">
        <v>0.29099999999999998</v>
      </c>
      <c r="Q149" s="4">
        <v>0.19800000000000001</v>
      </c>
      <c r="R149" s="5">
        <v>0.49199999999999999</v>
      </c>
      <c r="S149">
        <f t="shared" si="55"/>
        <v>0.49199999999999999</v>
      </c>
      <c r="T149">
        <f t="shared" si="56"/>
        <v>0.40243902439024393</v>
      </c>
      <c r="U149">
        <f t="shared" si="57"/>
        <v>0.59146341463414631</v>
      </c>
      <c r="V149">
        <f t="shared" si="41"/>
        <v>-0.60940609756097552</v>
      </c>
      <c r="X149">
        <v>0.49199999999999999</v>
      </c>
      <c r="Y149">
        <v>0.48341699999999999</v>
      </c>
      <c r="Z149" s="11">
        <f t="shared" si="58"/>
        <v>0.62869688589125872</v>
      </c>
      <c r="AA149">
        <f t="shared" si="59"/>
        <v>0.36563023776078868</v>
      </c>
      <c r="AB149" s="13">
        <f t="shared" si="60"/>
        <v>0.32790104429118905</v>
      </c>
      <c r="AC149" s="13">
        <v>0.82790104429118905</v>
      </c>
    </row>
    <row r="150" spans="1:29" x14ac:dyDescent="0.25">
      <c r="A150" s="1">
        <v>1991</v>
      </c>
      <c r="B150" s="1">
        <f t="shared" si="42"/>
        <v>0.253</v>
      </c>
      <c r="C150" s="1">
        <f t="shared" si="43"/>
        <v>0.24130184999999998</v>
      </c>
      <c r="D150" s="1">
        <f t="shared" si="44"/>
        <v>0</v>
      </c>
      <c r="E150" s="1">
        <f t="shared" si="45"/>
        <v>0.59979063193588367</v>
      </c>
      <c r="F150" s="1">
        <f t="shared" si="46"/>
        <v>1.1698150000000018E-2</v>
      </c>
      <c r="G150" s="9">
        <f t="shared" si="47"/>
        <v>0.59979063193588367</v>
      </c>
      <c r="H150" s="1">
        <f t="shared" si="48"/>
        <v>7.5495307592800057E-3</v>
      </c>
      <c r="I150" s="1">
        <f t="shared" si="49"/>
        <v>0.59979063193588367</v>
      </c>
      <c r="J150" s="1">
        <f t="shared" si="50"/>
        <v>0.29313300121155916</v>
      </c>
      <c r="K150" s="3"/>
      <c r="L150" s="3">
        <f t="shared" si="51"/>
        <v>0.44646181657372147</v>
      </c>
      <c r="M150" s="6">
        <f t="shared" si="52"/>
        <v>0.253</v>
      </c>
      <c r="N150" s="6">
        <f t="shared" si="53"/>
        <v>0.17399999999999999</v>
      </c>
      <c r="O150" s="6">
        <f t="shared" si="54"/>
        <v>0.39700000000000002</v>
      </c>
      <c r="P150" s="6">
        <v>0.253</v>
      </c>
      <c r="Q150" s="4">
        <v>0.17399999999999999</v>
      </c>
      <c r="R150" s="5">
        <v>0.39700000000000002</v>
      </c>
      <c r="S150">
        <f t="shared" si="55"/>
        <v>0.39700000000000002</v>
      </c>
      <c r="T150">
        <f t="shared" si="56"/>
        <v>0.4382871536523929</v>
      </c>
      <c r="U150">
        <f t="shared" si="57"/>
        <v>0.63727959697732994</v>
      </c>
      <c r="V150">
        <f t="shared" si="41"/>
        <v>-0.67545365239294708</v>
      </c>
      <c r="X150">
        <v>0.39700000000000002</v>
      </c>
      <c r="Y150">
        <v>0.38974999999999999</v>
      </c>
      <c r="Z150" s="11">
        <f t="shared" si="58"/>
        <v>0.62510389927774668</v>
      </c>
      <c r="AA150">
        <f t="shared" si="59"/>
        <v>0.31232215481582121</v>
      </c>
      <c r="AB150" s="13">
        <f t="shared" si="60"/>
        <v>0.34222175090468099</v>
      </c>
      <c r="AC150" s="13">
        <v>0.84222175090468099</v>
      </c>
    </row>
    <row r="151" spans="1:29" x14ac:dyDescent="0.25">
      <c r="A151" s="1">
        <v>1992</v>
      </c>
      <c r="B151" s="1">
        <f t="shared" si="42"/>
        <v>0.10199999999999999</v>
      </c>
      <c r="C151" s="1">
        <f t="shared" si="43"/>
        <v>8.4721049999999992E-2</v>
      </c>
      <c r="D151" s="1">
        <f t="shared" si="44"/>
        <v>0</v>
      </c>
      <c r="E151" s="1">
        <f t="shared" si="45"/>
        <v>0.3187200489961704</v>
      </c>
      <c r="F151" s="1">
        <f t="shared" si="46"/>
        <v>1.7278950000000001E-2</v>
      </c>
      <c r="G151" s="9">
        <f t="shared" si="47"/>
        <v>0.3187200489961704</v>
      </c>
      <c r="H151" s="1">
        <f t="shared" si="48"/>
        <v>3.5629542611999993E-3</v>
      </c>
      <c r="I151" s="1">
        <f t="shared" si="49"/>
        <v>1.2180239520524314</v>
      </c>
      <c r="J151" s="1">
        <f t="shared" si="50"/>
        <v>0.3187200489961704</v>
      </c>
      <c r="K151" s="3"/>
      <c r="L151" s="3">
        <f t="shared" si="51"/>
        <v>0.76837200052430088</v>
      </c>
      <c r="M151" s="6">
        <f t="shared" si="52"/>
        <v>0.10199999999999999</v>
      </c>
      <c r="N151" s="6">
        <f t="shared" si="53"/>
        <v>0.09</v>
      </c>
      <c r="O151" s="6">
        <f t="shared" si="54"/>
        <v>9.2999999999999999E-2</v>
      </c>
      <c r="P151" s="6">
        <v>0.10199999999999999</v>
      </c>
      <c r="Q151" s="4">
        <v>0.09</v>
      </c>
      <c r="R151" s="5">
        <v>9.2999999999999999E-2</v>
      </c>
      <c r="S151">
        <f t="shared" si="55"/>
        <v>9.2999999999999999E-2</v>
      </c>
      <c r="T151">
        <f t="shared" si="56"/>
        <v>0.96774193548387089</v>
      </c>
      <c r="U151">
        <f t="shared" si="57"/>
        <v>1.096774193548387</v>
      </c>
      <c r="V151">
        <f t="shared" si="41"/>
        <v>-1.2165709677419354</v>
      </c>
      <c r="X151">
        <v>9.2999999999999999E-2</v>
      </c>
      <c r="Y151">
        <v>0.111167</v>
      </c>
      <c r="Z151" s="11">
        <f t="shared" si="58"/>
        <v>0.62122703809291124</v>
      </c>
      <c r="AA151">
        <f t="shared" si="59"/>
        <v>0.13002288059052164</v>
      </c>
      <c r="AB151" s="13">
        <f t="shared" si="60"/>
        <v>0.31538855437126101</v>
      </c>
      <c r="AC151" s="13">
        <v>0.81538855437126101</v>
      </c>
    </row>
    <row r="152" spans="1:29" x14ac:dyDescent="0.25">
      <c r="A152" s="1">
        <v>1993</v>
      </c>
      <c r="B152" s="1">
        <f t="shared" si="42"/>
        <v>0.14299999999999999</v>
      </c>
      <c r="C152" s="1">
        <f t="shared" si="43"/>
        <v>0.12199915</v>
      </c>
      <c r="D152" s="1">
        <f t="shared" si="44"/>
        <v>0</v>
      </c>
      <c r="E152" s="1">
        <f t="shared" si="45"/>
        <v>0.27359795277410548</v>
      </c>
      <c r="F152" s="1">
        <f t="shared" si="46"/>
        <v>2.1000849999999988E-2</v>
      </c>
      <c r="G152" s="9">
        <f t="shared" si="47"/>
        <v>0.27359795277410548</v>
      </c>
      <c r="H152" s="1">
        <f t="shared" si="48"/>
        <v>5.5736078319999979E-3</v>
      </c>
      <c r="I152" s="1">
        <f t="shared" si="49"/>
        <v>0.87134089708277718</v>
      </c>
      <c r="J152" s="1">
        <f t="shared" si="50"/>
        <v>0.27359795277410548</v>
      </c>
      <c r="K152" s="3"/>
      <c r="L152" s="3">
        <f t="shared" si="51"/>
        <v>0.57246942492844133</v>
      </c>
      <c r="M152" s="6">
        <f t="shared" si="52"/>
        <v>0.14299999999999999</v>
      </c>
      <c r="N152" s="6">
        <f t="shared" si="53"/>
        <v>0.104</v>
      </c>
      <c r="O152" s="6">
        <f t="shared" si="54"/>
        <v>0.17499999999999999</v>
      </c>
      <c r="P152" s="6">
        <v>0.14299999999999999</v>
      </c>
      <c r="Q152" s="4">
        <v>0.104</v>
      </c>
      <c r="R152" s="5">
        <v>0.17499999999999999</v>
      </c>
      <c r="S152">
        <f t="shared" si="55"/>
        <v>0.17499999999999999</v>
      </c>
      <c r="T152">
        <f t="shared" si="56"/>
        <v>0.59428571428571431</v>
      </c>
      <c r="U152">
        <f t="shared" si="57"/>
        <v>0.81714285714285717</v>
      </c>
      <c r="V152">
        <f t="shared" si="41"/>
        <v>-0.92384400000000011</v>
      </c>
      <c r="X152">
        <v>0.17499999999999999</v>
      </c>
      <c r="Y152">
        <v>0.183917</v>
      </c>
      <c r="Z152" s="11">
        <f t="shared" si="58"/>
        <v>0.61703796032816172</v>
      </c>
      <c r="AA152">
        <f t="shared" si="59"/>
        <v>0.17039461292045099</v>
      </c>
      <c r="AB152" s="13">
        <f t="shared" si="60"/>
        <v>0.33645206007288597</v>
      </c>
      <c r="AC152" s="13">
        <v>0.83645206007288597</v>
      </c>
    </row>
    <row r="153" spans="1:29" x14ac:dyDescent="0.25">
      <c r="A153" s="1">
        <v>1994</v>
      </c>
      <c r="B153" s="1">
        <f t="shared" si="42"/>
        <v>0.20300000000000001</v>
      </c>
      <c r="C153" s="1">
        <f t="shared" si="43"/>
        <v>0.20599915000000002</v>
      </c>
      <c r="D153" s="1">
        <f t="shared" si="44"/>
        <v>0</v>
      </c>
      <c r="E153" s="1">
        <f t="shared" si="45"/>
        <v>0.44872896897551007</v>
      </c>
      <c r="F153" s="1">
        <f t="shared" si="46"/>
        <v>2.999150000000006E-3</v>
      </c>
      <c r="G153" s="9">
        <f t="shared" si="47"/>
        <v>0.44872896897551007</v>
      </c>
      <c r="H153" s="1">
        <f t="shared" si="48"/>
        <v>2.7878631928000136E-4</v>
      </c>
      <c r="I153" s="1">
        <f t="shared" si="49"/>
        <v>0.44872896897551007</v>
      </c>
      <c r="J153" s="1">
        <f t="shared" si="50"/>
        <v>0.38052244575599831</v>
      </c>
      <c r="K153" s="3"/>
      <c r="L153" s="3">
        <f t="shared" si="51"/>
        <v>0.41462570736575421</v>
      </c>
      <c r="M153" s="6">
        <f t="shared" si="52"/>
        <v>0.20300000000000001</v>
      </c>
      <c r="N153" s="6">
        <f t="shared" si="53"/>
        <v>0.14599999999999999</v>
      </c>
      <c r="O153" s="6">
        <f t="shared" si="54"/>
        <v>0.34300000000000003</v>
      </c>
      <c r="P153" s="6">
        <v>0.20300000000000001</v>
      </c>
      <c r="Q153" s="4">
        <v>0.14599999999999999</v>
      </c>
      <c r="R153" s="5">
        <v>0.34300000000000003</v>
      </c>
      <c r="S153">
        <f t="shared" si="55"/>
        <v>0.34300000000000003</v>
      </c>
      <c r="T153">
        <f t="shared" si="56"/>
        <v>0.42565597667638477</v>
      </c>
      <c r="U153">
        <f t="shared" si="57"/>
        <v>0.59183673469387754</v>
      </c>
      <c r="V153">
        <f t="shared" si="41"/>
        <v>-0.59358279883381926</v>
      </c>
      <c r="X153">
        <v>0.34300000000000003</v>
      </c>
      <c r="Y153">
        <v>0.341667</v>
      </c>
      <c r="Z153" s="11">
        <f t="shared" si="58"/>
        <v>0.6125068562105298</v>
      </c>
      <c r="AA153">
        <f t="shared" si="59"/>
        <v>0.26832177120896566</v>
      </c>
      <c r="AB153" s="13">
        <f t="shared" si="60"/>
        <v>0.37580857910444398</v>
      </c>
      <c r="AC153" s="13">
        <v>0.87580857910444398</v>
      </c>
    </row>
    <row r="154" spans="1:29" x14ac:dyDescent="0.25">
      <c r="A154" s="1">
        <v>1995</v>
      </c>
      <c r="B154" s="1">
        <f t="shared" si="42"/>
        <v>0.32400000000000001</v>
      </c>
      <c r="C154" s="1">
        <f t="shared" si="43"/>
        <v>0.31890399999999997</v>
      </c>
      <c r="D154" s="1">
        <f t="shared" si="44"/>
        <v>0</v>
      </c>
      <c r="E154" s="1">
        <f t="shared" si="45"/>
        <v>0.52349724781587714</v>
      </c>
      <c r="F154" s="1">
        <f t="shared" si="46"/>
        <v>5.0960000000000449E-3</v>
      </c>
      <c r="G154" s="9">
        <f t="shared" si="47"/>
        <v>0.52349724781587714</v>
      </c>
      <c r="H154" s="1">
        <f t="shared" si="48"/>
        <v>1.4010524904960006E-2</v>
      </c>
      <c r="I154" s="1">
        <f t="shared" si="49"/>
        <v>0.52349724781587714</v>
      </c>
      <c r="J154" s="1">
        <f t="shared" si="50"/>
        <v>0.24334778132423407</v>
      </c>
      <c r="K154" s="3"/>
      <c r="L154" s="3">
        <f t="shared" si="51"/>
        <v>0.38342251457005561</v>
      </c>
      <c r="M154" s="6">
        <f t="shared" si="52"/>
        <v>0.32400000000000001</v>
      </c>
      <c r="N154" s="6">
        <f t="shared" si="53"/>
        <v>0.188</v>
      </c>
      <c r="O154" s="6">
        <f t="shared" si="54"/>
        <v>0.59199999999999997</v>
      </c>
      <c r="P154" s="6">
        <v>0.32400000000000001</v>
      </c>
      <c r="Q154" s="4">
        <v>0.188</v>
      </c>
      <c r="R154" s="5">
        <v>0.59199999999999997</v>
      </c>
      <c r="S154">
        <f t="shared" si="55"/>
        <v>0.59199999999999997</v>
      </c>
      <c r="T154">
        <f t="shared" si="56"/>
        <v>0.3175675675675676</v>
      </c>
      <c r="U154">
        <f t="shared" si="57"/>
        <v>0.54729729729729737</v>
      </c>
      <c r="V154">
        <f t="shared" si="41"/>
        <v>-0.58164662162162173</v>
      </c>
      <c r="X154">
        <v>0.59199999999999997</v>
      </c>
      <c r="Y154">
        <v>0.58216699999999999</v>
      </c>
      <c r="Z154" s="11">
        <f t="shared" si="58"/>
        <v>0.60760245937854052</v>
      </c>
      <c r="AA154">
        <f t="shared" si="59"/>
        <v>0.39031754091590021</v>
      </c>
      <c r="AB154" s="13">
        <f t="shared" si="60"/>
        <v>0.42840649273982201</v>
      </c>
      <c r="AC154" s="13">
        <v>0.92840649273982201</v>
      </c>
    </row>
    <row r="155" spans="1:29" x14ac:dyDescent="0.25">
      <c r="A155" s="1">
        <v>1996</v>
      </c>
      <c r="B155" s="1">
        <f t="shared" si="42"/>
        <v>0.17899999999999999</v>
      </c>
      <c r="C155" s="1">
        <f t="shared" si="43"/>
        <v>0.16116895000000003</v>
      </c>
      <c r="D155" s="1">
        <f t="shared" si="44"/>
        <v>0</v>
      </c>
      <c r="E155" s="1">
        <f t="shared" si="45"/>
        <v>0.31206023032910191</v>
      </c>
      <c r="F155" s="1">
        <f t="shared" si="46"/>
        <v>1.7831049999999959E-2</v>
      </c>
      <c r="G155" s="9">
        <f t="shared" si="47"/>
        <v>0.31206023032910191</v>
      </c>
      <c r="H155" s="1">
        <f t="shared" si="48"/>
        <v>6.0662767527999983E-3</v>
      </c>
      <c r="I155" s="1">
        <f t="shared" si="49"/>
        <v>0.79281052139656416</v>
      </c>
      <c r="J155" s="1">
        <f t="shared" si="50"/>
        <v>0.31206023032910191</v>
      </c>
      <c r="K155" s="3"/>
      <c r="L155" s="3">
        <f t="shared" si="51"/>
        <v>0.55243537586283309</v>
      </c>
      <c r="M155" s="6">
        <f t="shared" si="52"/>
        <v>0.17899999999999999</v>
      </c>
      <c r="N155" s="6">
        <f t="shared" si="53"/>
        <v>0.14000000000000001</v>
      </c>
      <c r="O155" s="6">
        <f t="shared" si="54"/>
        <v>0.22700000000000001</v>
      </c>
      <c r="P155" s="6">
        <v>0.17899999999999999</v>
      </c>
      <c r="Q155" s="4">
        <v>0.14000000000000001</v>
      </c>
      <c r="R155" s="5">
        <v>0.22700000000000001</v>
      </c>
      <c r="S155">
        <f t="shared" si="55"/>
        <v>0.22700000000000001</v>
      </c>
      <c r="T155">
        <f t="shared" si="56"/>
        <v>0.61674008810572689</v>
      </c>
      <c r="U155">
        <f t="shared" si="57"/>
        <v>0.78854625550660784</v>
      </c>
      <c r="V155">
        <f t="shared" si="41"/>
        <v>-0.85062511013215847</v>
      </c>
      <c r="X155">
        <v>0.22700000000000001</v>
      </c>
      <c r="Y155">
        <v>0.23908299999999999</v>
      </c>
      <c r="Z155" s="11">
        <f t="shared" si="58"/>
        <v>0.60229200217872858</v>
      </c>
      <c r="AA155">
        <f t="shared" si="59"/>
        <v>0.23088637562470868</v>
      </c>
      <c r="AB155" s="13">
        <f t="shared" si="60"/>
        <v>0.41509594721117304</v>
      </c>
      <c r="AC155" s="13">
        <v>0.91509594721117304</v>
      </c>
    </row>
    <row r="156" spans="1:29" x14ac:dyDescent="0.25">
      <c r="A156" s="1">
        <v>1997</v>
      </c>
      <c r="B156" s="1">
        <f t="shared" si="42"/>
        <v>0.39200000000000002</v>
      </c>
      <c r="C156" s="1">
        <f t="shared" si="43"/>
        <v>0.36693509999999996</v>
      </c>
      <c r="D156" s="1">
        <f t="shared" si="44"/>
        <v>0</v>
      </c>
      <c r="E156" s="1">
        <f t="shared" si="45"/>
        <v>0.34359228332208369</v>
      </c>
      <c r="F156" s="1">
        <f t="shared" si="46"/>
        <v>2.5064900000000057E-2</v>
      </c>
      <c r="G156" s="9">
        <f t="shared" si="47"/>
        <v>0.34359228332208369</v>
      </c>
      <c r="H156" s="1">
        <f t="shared" si="48"/>
        <v>1.9030258270240047E-2</v>
      </c>
      <c r="I156" s="1">
        <f t="shared" si="49"/>
        <v>0.71673664585930452</v>
      </c>
      <c r="J156" s="1">
        <f t="shared" si="50"/>
        <v>0.34359228332208369</v>
      </c>
      <c r="K156" s="3"/>
      <c r="L156" s="3">
        <f t="shared" si="51"/>
        <v>0.53016446459069411</v>
      </c>
      <c r="M156" s="6">
        <f t="shared" si="52"/>
        <v>0.39200000000000002</v>
      </c>
      <c r="N156" s="6">
        <f t="shared" si="53"/>
        <v>0.318</v>
      </c>
      <c r="O156" s="6">
        <f t="shared" si="54"/>
        <v>0.51800000000000002</v>
      </c>
      <c r="P156" s="6">
        <v>0.39200000000000002</v>
      </c>
      <c r="Q156" s="4">
        <v>0.318</v>
      </c>
      <c r="R156" s="5">
        <v>0.51800000000000002</v>
      </c>
      <c r="S156">
        <f t="shared" si="55"/>
        <v>0.51800000000000002</v>
      </c>
      <c r="T156">
        <f t="shared" si="56"/>
        <v>0.61389961389961389</v>
      </c>
      <c r="U156">
        <f t="shared" si="57"/>
        <v>0.7567567567567568</v>
      </c>
      <c r="V156">
        <f t="shared" si="41"/>
        <v>-0.78907335907335918</v>
      </c>
      <c r="X156">
        <v>0.51800000000000002</v>
      </c>
      <c r="Y156">
        <v>0.52058300000000002</v>
      </c>
      <c r="Z156" s="11">
        <f t="shared" si="58"/>
        <v>0.59654117841273546</v>
      </c>
      <c r="AA156">
        <f t="shared" si="59"/>
        <v>0.52875760536413174</v>
      </c>
      <c r="AB156" s="13">
        <f t="shared" si="60"/>
        <v>0.44321353188775903</v>
      </c>
      <c r="AC156" s="13">
        <v>0.94321353188775903</v>
      </c>
    </row>
    <row r="157" spans="1:29" x14ac:dyDescent="0.25">
      <c r="A157" s="1">
        <v>1998</v>
      </c>
      <c r="B157" s="1">
        <f t="shared" si="42"/>
        <v>0.53100000000000003</v>
      </c>
      <c r="C157" s="1">
        <f t="shared" si="43"/>
        <v>0.53617134999999994</v>
      </c>
      <c r="D157" s="1">
        <f t="shared" si="44"/>
        <v>-1.8328482169490679E-3</v>
      </c>
      <c r="E157" s="7">
        <f t="shared" si="45"/>
        <v>0.44551502291759482</v>
      </c>
      <c r="F157" s="1">
        <f t="shared" si="46"/>
        <v>5.171349999999908E-3</v>
      </c>
      <c r="G157" s="9">
        <f t="shared" si="47"/>
        <v>0.44551502291759482</v>
      </c>
      <c r="H157" s="1">
        <f t="shared" si="48"/>
        <v>-1.9464848063999174E-3</v>
      </c>
      <c r="I157" s="1" t="e">
        <f t="shared" si="49"/>
        <v>#NUM!</v>
      </c>
      <c r="J157" s="1" t="e">
        <f t="shared" si="50"/>
        <v>#NUM!</v>
      </c>
      <c r="K157" s="3"/>
      <c r="L157" s="3">
        <f t="shared" si="51"/>
        <v>0.44551502291759482</v>
      </c>
      <c r="M157" s="6">
        <f t="shared" si="52"/>
        <v>0.53100000000000003</v>
      </c>
      <c r="N157" s="6">
        <f t="shared" si="53"/>
        <v>0.41599999999999998</v>
      </c>
      <c r="O157" s="6">
        <f t="shared" si="54"/>
        <v>0.83499999999999996</v>
      </c>
      <c r="P157" s="6">
        <v>0.53100000000000003</v>
      </c>
      <c r="Q157" s="4">
        <v>0.41599999999999998</v>
      </c>
      <c r="R157" s="5">
        <v>0.83499999999999996</v>
      </c>
      <c r="S157">
        <f t="shared" si="55"/>
        <v>0.83499999999999996</v>
      </c>
      <c r="T157">
        <f t="shared" si="56"/>
        <v>0.49820359281437127</v>
      </c>
      <c r="U157">
        <f t="shared" si="57"/>
        <v>0.63592814371257489</v>
      </c>
      <c r="V157">
        <f t="shared" si="41"/>
        <v>-0.62998838323353301</v>
      </c>
      <c r="X157">
        <v>0.83499999999999996</v>
      </c>
      <c r="Y157">
        <v>0.81241699999999994</v>
      </c>
      <c r="Z157" s="11">
        <f t="shared" si="58"/>
        <v>0.59031412843614817</v>
      </c>
      <c r="AA157">
        <f t="shared" si="59"/>
        <v>0.74201170122999793</v>
      </c>
      <c r="AB157" s="13">
        <f t="shared" si="60"/>
        <v>0.49555536365403996</v>
      </c>
      <c r="AC157" s="13">
        <v>0.99555536365403996</v>
      </c>
    </row>
    <row r="158" spans="1:29" x14ac:dyDescent="0.25">
      <c r="A158" s="1">
        <v>1999</v>
      </c>
      <c r="B158" s="1">
        <f t="shared" si="42"/>
        <v>0.30099999999999999</v>
      </c>
      <c r="C158" s="1">
        <f t="shared" si="43"/>
        <v>0.31299505000000005</v>
      </c>
      <c r="D158" s="1">
        <f t="shared" si="44"/>
        <v>0</v>
      </c>
      <c r="E158" s="1">
        <f t="shared" si="45"/>
        <v>0.39649171249945508</v>
      </c>
      <c r="F158" s="1">
        <f t="shared" si="46"/>
        <v>1.1995050000000063E-2</v>
      </c>
      <c r="G158" s="9">
        <f t="shared" si="47"/>
        <v>0.39649171249945508</v>
      </c>
      <c r="H158" s="1">
        <f t="shared" si="48"/>
        <v>2.7222438291997497E-4</v>
      </c>
      <c r="I158" s="1">
        <f t="shared" si="49"/>
        <v>0.39649171249945508</v>
      </c>
      <c r="J158" s="1">
        <f t="shared" si="50"/>
        <v>0.35528338835954154</v>
      </c>
      <c r="K158" s="3"/>
      <c r="L158" s="3">
        <f t="shared" si="51"/>
        <v>0.37588755042949834</v>
      </c>
      <c r="M158" s="6">
        <f t="shared" si="52"/>
        <v>0.30099999999999999</v>
      </c>
      <c r="N158" s="6">
        <f t="shared" si="53"/>
        <v>0.19700000000000001</v>
      </c>
      <c r="O158" s="6">
        <f t="shared" si="54"/>
        <v>0.56100000000000005</v>
      </c>
      <c r="P158" s="6">
        <v>0.30099999999999999</v>
      </c>
      <c r="Q158" s="4">
        <v>0.19700000000000001</v>
      </c>
      <c r="R158" s="5">
        <v>0.56100000000000005</v>
      </c>
      <c r="S158">
        <f t="shared" si="55"/>
        <v>0.56100000000000005</v>
      </c>
      <c r="T158">
        <f t="shared" si="56"/>
        <v>0.35115864527629231</v>
      </c>
      <c r="U158">
        <f t="shared" si="57"/>
        <v>0.53654188948306591</v>
      </c>
      <c r="V158">
        <f t="shared" si="41"/>
        <v>-0.53616185383244197</v>
      </c>
      <c r="W158" s="3">
        <f t="shared" ref="W158:W171" si="61">+$V158*$V158-4*$G$1*$G$2*$T158</f>
        <v>4.5730484193928778E-4</v>
      </c>
      <c r="X158">
        <v>0.56100000000000005</v>
      </c>
      <c r="Y158">
        <v>0.56799999999999995</v>
      </c>
      <c r="Z158" s="11">
        <f t="shared" si="58"/>
        <v>0.58357342425733805</v>
      </c>
      <c r="AA158">
        <f t="shared" si="59"/>
        <v>0.4015418236940882</v>
      </c>
      <c r="AB158" s="13">
        <f t="shared" si="60"/>
        <v>0.48608408586000196</v>
      </c>
      <c r="AC158" s="13">
        <v>0.98608408586000196</v>
      </c>
    </row>
    <row r="159" spans="1:29" x14ac:dyDescent="0.25">
      <c r="A159" s="1">
        <v>2000</v>
      </c>
      <c r="B159" s="1">
        <f t="shared" si="42"/>
        <v>0.29399999999999998</v>
      </c>
      <c r="C159" s="1">
        <f t="shared" si="43"/>
        <v>0.29639700000000002</v>
      </c>
      <c r="D159" s="1">
        <f t="shared" si="44"/>
        <v>0</v>
      </c>
      <c r="E159" s="1">
        <f t="shared" si="45"/>
        <v>0.47107911039887196</v>
      </c>
      <c r="F159" s="1">
        <f t="shared" si="46"/>
        <v>2.397000000000038E-3</v>
      </c>
      <c r="G159" s="9">
        <f t="shared" si="47"/>
        <v>0.47107911039887196</v>
      </c>
      <c r="H159" s="1">
        <f t="shared" si="48"/>
        <v>9.8913193343999617E-4</v>
      </c>
      <c r="I159" s="1">
        <f t="shared" si="49"/>
        <v>0.47107911039887196</v>
      </c>
      <c r="J159" s="1">
        <f t="shared" si="50"/>
        <v>0.3800320238717258</v>
      </c>
      <c r="K159" s="3"/>
      <c r="L159" s="3">
        <f t="shared" si="51"/>
        <v>0.42555556713529891</v>
      </c>
      <c r="M159" s="6">
        <f t="shared" si="52"/>
        <v>0.29399999999999998</v>
      </c>
      <c r="N159" s="6">
        <f t="shared" si="53"/>
        <v>0.216</v>
      </c>
      <c r="O159" s="6">
        <f t="shared" si="54"/>
        <v>0.48399999999999999</v>
      </c>
      <c r="P159" s="6">
        <v>0.29399999999999998</v>
      </c>
      <c r="Q159" s="4">
        <v>0.216</v>
      </c>
      <c r="R159" s="5">
        <v>0.48399999999999999</v>
      </c>
      <c r="S159">
        <f t="shared" si="55"/>
        <v>0.48399999999999999</v>
      </c>
      <c r="T159">
        <f t="shared" si="56"/>
        <v>0.4462809917355372</v>
      </c>
      <c r="U159">
        <f t="shared" si="57"/>
        <v>0.6074380165289256</v>
      </c>
      <c r="V159">
        <f t="shared" si="41"/>
        <v>-0.6100652892561983</v>
      </c>
      <c r="W159" s="3">
        <f t="shared" si="61"/>
        <v>7.421153353596055E-3</v>
      </c>
      <c r="X159">
        <v>0.48399999999999999</v>
      </c>
      <c r="Y159">
        <v>0.49733300000000003</v>
      </c>
      <c r="Z159" s="11">
        <f t="shared" si="58"/>
        <v>0.57628000248223543</v>
      </c>
      <c r="AA159">
        <f t="shared" si="59"/>
        <v>0.40607666049834024</v>
      </c>
      <c r="AB159" s="13">
        <f t="shared" si="60"/>
        <v>0.49724644729627698</v>
      </c>
      <c r="AC159" s="13">
        <v>0.99724644729627698</v>
      </c>
    </row>
    <row r="160" spans="1:29" x14ac:dyDescent="0.25">
      <c r="A160" s="1">
        <v>2001</v>
      </c>
      <c r="B160" s="1">
        <f t="shared" si="42"/>
        <v>0.437</v>
      </c>
      <c r="C160" s="1">
        <f t="shared" si="43"/>
        <v>0.43140025000000004</v>
      </c>
      <c r="D160" s="1">
        <f t="shared" si="44"/>
        <v>0</v>
      </c>
      <c r="E160" s="1">
        <f t="shared" si="45"/>
        <v>0.54069167919115713</v>
      </c>
      <c r="F160" s="1">
        <f t="shared" si="46"/>
        <v>5.5997499999999589E-3</v>
      </c>
      <c r="G160" s="9">
        <f t="shared" si="47"/>
        <v>0.54069167919115713</v>
      </c>
      <c r="H160" s="1">
        <f t="shared" si="48"/>
        <v>7.8472011072399928E-3</v>
      </c>
      <c r="I160" s="1">
        <f t="shared" si="49"/>
        <v>0.54069167919115713</v>
      </c>
      <c r="J160" s="1">
        <f t="shared" si="50"/>
        <v>0.35843032919639606</v>
      </c>
      <c r="K160" s="3"/>
      <c r="L160" s="3">
        <f t="shared" si="51"/>
        <v>0.44956100419377659</v>
      </c>
      <c r="M160" s="6">
        <f t="shared" si="52"/>
        <v>0.437</v>
      </c>
      <c r="N160" s="6">
        <f t="shared" si="53"/>
        <v>0.32900000000000001</v>
      </c>
      <c r="O160" s="6">
        <f t="shared" si="54"/>
        <v>0.68100000000000005</v>
      </c>
      <c r="P160" s="6">
        <v>0.437</v>
      </c>
      <c r="Q160" s="4">
        <v>0.32900000000000001</v>
      </c>
      <c r="R160" s="5">
        <v>0.68100000000000005</v>
      </c>
      <c r="S160">
        <f t="shared" si="55"/>
        <v>0.68100000000000005</v>
      </c>
      <c r="T160">
        <f t="shared" si="56"/>
        <v>0.4831130690161527</v>
      </c>
      <c r="U160">
        <f t="shared" si="57"/>
        <v>0.64170337738619676</v>
      </c>
      <c r="V160">
        <f t="shared" si="41"/>
        <v>-0.65230895741556538</v>
      </c>
      <c r="W160" s="3">
        <f t="shared" si="61"/>
        <v>3.0644538391542242E-2</v>
      </c>
      <c r="X160">
        <v>0.68100000000000005</v>
      </c>
      <c r="Y160">
        <v>0.68116699999999997</v>
      </c>
      <c r="Z160" s="11">
        <f t="shared" si="58"/>
        <v>0.56839317921549082</v>
      </c>
      <c r="AA160">
        <f t="shared" si="59"/>
        <v>0.60807747402359824</v>
      </c>
      <c r="AB160" s="13">
        <f t="shared" si="60"/>
        <v>0.53779946244363996</v>
      </c>
      <c r="AC160" s="13">
        <v>1.03779946244364</v>
      </c>
    </row>
    <row r="161" spans="1:29" x14ac:dyDescent="0.25">
      <c r="A161" s="1">
        <v>2002</v>
      </c>
      <c r="B161" s="1">
        <f t="shared" si="42"/>
        <v>0.49199999999999999</v>
      </c>
      <c r="C161" s="1">
        <f t="shared" si="43"/>
        <v>0.48834610000000001</v>
      </c>
      <c r="D161" s="1">
        <f t="shared" si="44"/>
        <v>0</v>
      </c>
      <c r="E161" s="1">
        <f t="shared" si="45"/>
        <v>0.52387661347991754</v>
      </c>
      <c r="F161" s="1">
        <f t="shared" si="46"/>
        <v>3.6538999999999877E-3</v>
      </c>
      <c r="G161" s="9">
        <f t="shared" si="47"/>
        <v>0.52387661347991754</v>
      </c>
      <c r="H161" s="1">
        <f t="shared" si="48"/>
        <v>8.0593692710400344E-3</v>
      </c>
      <c r="I161" s="1">
        <f t="shared" si="49"/>
        <v>0.52387661347991754</v>
      </c>
      <c r="J161" s="1">
        <f t="shared" si="50"/>
        <v>0.36219701059362214</v>
      </c>
      <c r="K161" s="3"/>
      <c r="L161" s="3">
        <f t="shared" si="51"/>
        <v>0.44303681203676987</v>
      </c>
      <c r="M161" s="6">
        <f t="shared" si="52"/>
        <v>0.49199999999999999</v>
      </c>
      <c r="N161" s="6">
        <f t="shared" si="53"/>
        <v>0.36799999999999999</v>
      </c>
      <c r="O161" s="6">
        <f t="shared" si="54"/>
        <v>0.77800000000000002</v>
      </c>
      <c r="P161" s="6">
        <v>0.49199999999999999</v>
      </c>
      <c r="Q161" s="4">
        <v>0.36799999999999999</v>
      </c>
      <c r="R161" s="5">
        <v>0.77800000000000002</v>
      </c>
      <c r="S161">
        <f t="shared" si="55"/>
        <v>0.77800000000000002</v>
      </c>
      <c r="T161">
        <f t="shared" si="56"/>
        <v>0.47300771208226217</v>
      </c>
      <c r="U161">
        <f t="shared" si="57"/>
        <v>0.63239074550128527</v>
      </c>
      <c r="V161">
        <f t="shared" si="41"/>
        <v>-0.64089588688946009</v>
      </c>
      <c r="W161" s="3">
        <f t="shared" si="61"/>
        <v>2.4144504001493483E-2</v>
      </c>
      <c r="X161">
        <v>0.77800000000000002</v>
      </c>
      <c r="Y161">
        <v>0.77258300000000002</v>
      </c>
      <c r="Z161" s="11">
        <f t="shared" si="58"/>
        <v>0.55987061280757189</v>
      </c>
      <c r="AA161">
        <f t="shared" si="59"/>
        <v>0.69185264461942453</v>
      </c>
      <c r="AB161" s="13">
        <f t="shared" si="60"/>
        <v>0.57343852123087991</v>
      </c>
      <c r="AC161" s="13">
        <v>1.0734385212308799</v>
      </c>
    </row>
    <row r="162" spans="1:29" x14ac:dyDescent="0.25">
      <c r="A162" s="1">
        <v>2003</v>
      </c>
      <c r="B162" s="1">
        <f t="shared" si="42"/>
        <v>0.503</v>
      </c>
      <c r="C162" s="1">
        <f t="shared" si="43"/>
        <v>0.49980630000000004</v>
      </c>
      <c r="D162" s="1">
        <f t="shared" si="44"/>
        <v>0</v>
      </c>
      <c r="E162" s="1">
        <f t="shared" si="45"/>
        <v>0.52620044839292135</v>
      </c>
      <c r="F162" s="1">
        <f t="shared" si="46"/>
        <v>3.193699999999966E-3</v>
      </c>
      <c r="G162" s="9">
        <f t="shared" si="47"/>
        <v>0.52620044839292135</v>
      </c>
      <c r="H162" s="1">
        <f t="shared" si="48"/>
        <v>5.6769986835999708E-3</v>
      </c>
      <c r="I162" s="1">
        <f t="shared" si="49"/>
        <v>0.52620044839292135</v>
      </c>
      <c r="J162" s="1">
        <f t="shared" si="50"/>
        <v>0.38909554887028885</v>
      </c>
      <c r="K162" s="3"/>
      <c r="L162" s="3">
        <f t="shared" si="51"/>
        <v>0.45764799863160516</v>
      </c>
      <c r="M162" s="6">
        <f t="shared" si="52"/>
        <v>0.503</v>
      </c>
      <c r="N162" s="6">
        <f t="shared" si="53"/>
        <v>0.39300000000000002</v>
      </c>
      <c r="O162" s="6">
        <f t="shared" si="54"/>
        <v>0.77</v>
      </c>
      <c r="P162" s="6">
        <v>0.503</v>
      </c>
      <c r="Q162" s="4">
        <v>0.39300000000000002</v>
      </c>
      <c r="R162" s="5">
        <v>0.77</v>
      </c>
      <c r="S162">
        <f t="shared" si="55"/>
        <v>0.77</v>
      </c>
      <c r="T162">
        <f t="shared" si="56"/>
        <v>0.51038961038961039</v>
      </c>
      <c r="U162">
        <f t="shared" si="57"/>
        <v>0.65324675324675319</v>
      </c>
      <c r="V162">
        <f t="shared" si="41"/>
        <v>-0.65592844155844143</v>
      </c>
      <c r="W162" s="3">
        <f t="shared" si="61"/>
        <v>1.3085768081649352E-2</v>
      </c>
      <c r="X162">
        <v>0.77</v>
      </c>
      <c r="Y162">
        <v>0.76649999999999996</v>
      </c>
      <c r="Z162" s="11">
        <f t="shared" si="58"/>
        <v>0.55066824425011873</v>
      </c>
      <c r="AA162">
        <f t="shared" si="59"/>
        <v>0.72980323327060326</v>
      </c>
      <c r="AB162" s="13">
        <f t="shared" si="60"/>
        <v>0.58561649761847989</v>
      </c>
      <c r="AC162" s="13">
        <v>1.0856164976184799</v>
      </c>
    </row>
    <row r="163" spans="1:29" x14ac:dyDescent="0.25">
      <c r="A163" s="1">
        <v>2004</v>
      </c>
      <c r="B163" s="1">
        <f t="shared" si="42"/>
        <v>0.44500000000000001</v>
      </c>
      <c r="C163" s="1">
        <f t="shared" si="43"/>
        <v>0.44321729999999998</v>
      </c>
      <c r="D163" s="1">
        <f t="shared" si="44"/>
        <v>0</v>
      </c>
      <c r="E163" s="1">
        <f t="shared" si="45"/>
        <v>0.51960534814893777</v>
      </c>
      <c r="F163" s="1">
        <f t="shared" si="46"/>
        <v>1.7827000000000259E-3</v>
      </c>
      <c r="G163" s="9">
        <f t="shared" si="47"/>
        <v>0.51960534814893777</v>
      </c>
      <c r="H163" s="1">
        <f t="shared" si="48"/>
        <v>3.0135126529599876E-3</v>
      </c>
      <c r="I163" s="1">
        <f t="shared" si="49"/>
        <v>0.51960534814893777</v>
      </c>
      <c r="J163" s="1">
        <f t="shared" si="50"/>
        <v>0.40548557061810098</v>
      </c>
      <c r="K163" s="3"/>
      <c r="L163" s="3">
        <f t="shared" si="51"/>
        <v>0.46254545938351943</v>
      </c>
      <c r="M163" s="6">
        <f t="shared" si="52"/>
        <v>0.44500000000000001</v>
      </c>
      <c r="N163" s="6">
        <f t="shared" si="53"/>
        <v>0.35399999999999998</v>
      </c>
      <c r="O163" s="6">
        <f t="shared" si="54"/>
        <v>0.67400000000000004</v>
      </c>
      <c r="P163" s="6">
        <v>0.44500000000000001</v>
      </c>
      <c r="Q163" s="4">
        <v>0.35399999999999998</v>
      </c>
      <c r="R163" s="5">
        <v>0.67400000000000004</v>
      </c>
      <c r="S163">
        <f t="shared" si="55"/>
        <v>0.67400000000000004</v>
      </c>
      <c r="T163">
        <f t="shared" si="56"/>
        <v>0.52522255192878331</v>
      </c>
      <c r="U163">
        <f t="shared" si="57"/>
        <v>0.66023738872403559</v>
      </c>
      <c r="V163">
        <f t="shared" si="41"/>
        <v>-0.65932344213649852</v>
      </c>
      <c r="W163" s="3">
        <f t="shared" si="61"/>
        <v>5.4276521519077692E-3</v>
      </c>
      <c r="X163">
        <v>0.67400000000000004</v>
      </c>
      <c r="Y163">
        <v>0.68225000000000002</v>
      </c>
      <c r="Z163" s="11">
        <f t="shared" si="58"/>
        <v>0.54074032697826624</v>
      </c>
      <c r="AA163">
        <f t="shared" si="59"/>
        <v>0.66019563970508532</v>
      </c>
      <c r="AB163" s="13">
        <f t="shared" si="60"/>
        <v>0.58190207127636007</v>
      </c>
      <c r="AC163" s="13">
        <v>1.0819020712763601</v>
      </c>
    </row>
    <row r="164" spans="1:29" x14ac:dyDescent="0.25">
      <c r="A164" s="1">
        <v>2005</v>
      </c>
      <c r="B164" s="1">
        <f t="shared" si="42"/>
        <v>0.53900000000000003</v>
      </c>
      <c r="C164" s="1">
        <f t="shared" si="43"/>
        <v>0.53748309999999999</v>
      </c>
      <c r="D164" s="1">
        <f t="shared" si="44"/>
        <v>0</v>
      </c>
      <c r="E164" s="1">
        <f t="shared" si="45"/>
        <v>0.50794325337354818</v>
      </c>
      <c r="F164" s="1">
        <f t="shared" si="46"/>
        <v>1.5169000000000432E-3</v>
      </c>
      <c r="G164" s="9">
        <f t="shared" si="47"/>
        <v>0.50794325337354818</v>
      </c>
      <c r="H164" s="1">
        <f t="shared" si="48"/>
        <v>1.0096972414479988E-2</v>
      </c>
      <c r="I164" s="1">
        <f t="shared" si="49"/>
        <v>0.50794325337354818</v>
      </c>
      <c r="J164" s="1">
        <f t="shared" si="50"/>
        <v>0.34831443348523167</v>
      </c>
      <c r="K164" s="3"/>
      <c r="L164" s="3">
        <f t="shared" si="51"/>
        <v>0.42812884342938989</v>
      </c>
      <c r="M164" s="6">
        <f t="shared" si="52"/>
        <v>0.53900000000000003</v>
      </c>
      <c r="N164" s="6">
        <f t="shared" si="53"/>
        <v>0.38900000000000001</v>
      </c>
      <c r="O164" s="6">
        <f t="shared" si="54"/>
        <v>0.88200000000000001</v>
      </c>
      <c r="P164" s="6">
        <v>0.53900000000000003</v>
      </c>
      <c r="Q164" s="4">
        <v>0.38900000000000001</v>
      </c>
      <c r="R164" s="5">
        <v>0.88200000000000001</v>
      </c>
      <c r="S164">
        <f t="shared" si="55"/>
        <v>0.88200000000000001</v>
      </c>
      <c r="T164">
        <f t="shared" si="56"/>
        <v>0.44104308390022678</v>
      </c>
      <c r="U164">
        <f t="shared" si="57"/>
        <v>0.61111111111111116</v>
      </c>
      <c r="V164">
        <f t="shared" si="41"/>
        <v>-0.62114977324263054</v>
      </c>
      <c r="W164" s="3">
        <f t="shared" si="61"/>
        <v>2.5349632227942787E-2</v>
      </c>
      <c r="X164">
        <v>0.88200000000000001</v>
      </c>
      <c r="Y164">
        <v>0.87516700000000003</v>
      </c>
      <c r="Z164" s="11">
        <f t="shared" si="58"/>
        <v>0.53003933746367693</v>
      </c>
      <c r="AA164">
        <f t="shared" si="59"/>
        <v>0.77630659137781099</v>
      </c>
      <c r="AB164" s="13">
        <f t="shared" si="60"/>
        <v>0.64931345678763996</v>
      </c>
      <c r="AC164" s="13">
        <v>1.14931345678764</v>
      </c>
    </row>
    <row r="165" spans="1:29" x14ac:dyDescent="0.25">
      <c r="A165" s="1">
        <v>2006</v>
      </c>
      <c r="B165" s="1">
        <f t="shared" si="42"/>
        <v>0.495</v>
      </c>
      <c r="C165" s="1">
        <f t="shared" si="43"/>
        <v>0.49804750000000003</v>
      </c>
      <c r="D165" s="1">
        <f t="shared" si="44"/>
        <v>0</v>
      </c>
      <c r="E165" s="1">
        <f t="shared" si="45"/>
        <v>0.47842456703244191</v>
      </c>
      <c r="F165" s="1">
        <f t="shared" si="46"/>
        <v>3.0475000000000363E-3</v>
      </c>
      <c r="G165" s="9">
        <f t="shared" si="47"/>
        <v>0.47842456703244191</v>
      </c>
      <c r="H165" s="1">
        <f t="shared" si="48"/>
        <v>3.3816101940000176E-3</v>
      </c>
      <c r="I165" s="1">
        <f t="shared" si="49"/>
        <v>0.47842456703244191</v>
      </c>
      <c r="J165" s="1">
        <f t="shared" si="50"/>
        <v>0.37783311982633777</v>
      </c>
      <c r="K165" s="3"/>
      <c r="L165" s="3">
        <f t="shared" si="51"/>
        <v>0.42812884342938984</v>
      </c>
      <c r="M165" s="6">
        <f t="shared" si="52"/>
        <v>0.495</v>
      </c>
      <c r="N165" s="6">
        <f t="shared" si="53"/>
        <v>0.36499999999999999</v>
      </c>
      <c r="O165" s="6">
        <f t="shared" si="54"/>
        <v>0.81</v>
      </c>
      <c r="P165" s="6">
        <v>0.495</v>
      </c>
      <c r="Q165" s="4">
        <v>0.36499999999999999</v>
      </c>
      <c r="R165" s="5">
        <v>0.81</v>
      </c>
      <c r="S165">
        <f t="shared" si="55"/>
        <v>0.81</v>
      </c>
      <c r="T165">
        <f t="shared" si="56"/>
        <v>0.45061728395061723</v>
      </c>
      <c r="U165">
        <f t="shared" si="57"/>
        <v>0.61111111111111105</v>
      </c>
      <c r="V165">
        <f t="shared" si="41"/>
        <v>-0.61431666666666662</v>
      </c>
      <c r="W165" s="3">
        <f t="shared" si="61"/>
        <v>9.0822847222222225E-3</v>
      </c>
      <c r="X165">
        <v>0.81</v>
      </c>
      <c r="Y165">
        <v>0.80833299999999997</v>
      </c>
      <c r="Z165" s="11">
        <f t="shared" si="58"/>
        <v>0.51851599011570215</v>
      </c>
      <c r="AA165">
        <f t="shared" si="59"/>
        <v>0.73429927121599792</v>
      </c>
      <c r="AB165" s="13">
        <f t="shared" si="60"/>
        <v>0.65564387961774995</v>
      </c>
      <c r="AC165" s="13">
        <v>1.1556438796177499</v>
      </c>
    </row>
    <row r="166" spans="1:29" x14ac:dyDescent="0.25">
      <c r="A166" s="1">
        <v>2007</v>
      </c>
      <c r="B166" s="1">
        <f t="shared" si="42"/>
        <v>0.48299999999999998</v>
      </c>
      <c r="C166" s="1">
        <f t="shared" si="43"/>
        <v>0.49386624999999995</v>
      </c>
      <c r="D166" s="1">
        <f t="shared" si="44"/>
        <v>0</v>
      </c>
      <c r="E166" s="1">
        <f t="shared" si="45"/>
        <v>0.4613856122788354</v>
      </c>
      <c r="F166" s="1">
        <f t="shared" si="46"/>
        <v>1.0866249999999966E-2</v>
      </c>
      <c r="G166" s="9">
        <f t="shared" si="47"/>
        <v>0.4613856122788354</v>
      </c>
      <c r="H166" s="1">
        <f t="shared" si="48"/>
        <v>1.3375125368640023E-2</v>
      </c>
      <c r="I166" s="1">
        <f t="shared" si="49"/>
        <v>0.4613856122788354</v>
      </c>
      <c r="J166" s="1">
        <f t="shared" si="50"/>
        <v>0.28311927116453206</v>
      </c>
      <c r="K166" s="3"/>
      <c r="L166" s="3">
        <f t="shared" si="51"/>
        <v>0.3722524417216837</v>
      </c>
      <c r="M166" s="6">
        <f t="shared" si="52"/>
        <v>0.48299999999999998</v>
      </c>
      <c r="N166" s="6">
        <f t="shared" si="53"/>
        <v>0.29599999999999999</v>
      </c>
      <c r="O166" s="6">
        <f t="shared" si="54"/>
        <v>0.90900000000000003</v>
      </c>
      <c r="P166" s="6">
        <v>0.48299999999999998</v>
      </c>
      <c r="Q166" s="4">
        <v>0.29599999999999999</v>
      </c>
      <c r="R166" s="5">
        <v>0.90900000000000003</v>
      </c>
      <c r="S166">
        <f t="shared" si="55"/>
        <v>0.90900000000000003</v>
      </c>
      <c r="T166">
        <f t="shared" si="56"/>
        <v>0.32563256325632561</v>
      </c>
      <c r="U166">
        <f t="shared" si="57"/>
        <v>0.53135313531353134</v>
      </c>
      <c r="V166">
        <f t="shared" si="41"/>
        <v>-0.54400231023102308</v>
      </c>
      <c r="W166" s="3">
        <f t="shared" si="61"/>
        <v>2.9789498091145727E-2</v>
      </c>
      <c r="X166">
        <v>0.90900000000000003</v>
      </c>
      <c r="Y166">
        <v>0.90749999999999997</v>
      </c>
      <c r="Z166" s="11">
        <f t="shared" si="58"/>
        <v>0.50611915905028582</v>
      </c>
      <c r="AA166">
        <f t="shared" si="59"/>
        <v>0.67764880032043173</v>
      </c>
      <c r="AB166" s="13">
        <f t="shared" si="60"/>
        <v>0.70513621271864002</v>
      </c>
      <c r="AC166" s="13">
        <v>1.20513621271864</v>
      </c>
    </row>
    <row r="167" spans="1:29" x14ac:dyDescent="0.25">
      <c r="A167" s="1">
        <v>2008</v>
      </c>
      <c r="B167" s="1">
        <f t="shared" si="42"/>
        <v>0.38800000000000001</v>
      </c>
      <c r="C167" s="1">
        <f t="shared" si="43"/>
        <v>0.39631414999999998</v>
      </c>
      <c r="D167" s="1">
        <f t="shared" si="44"/>
        <v>0</v>
      </c>
      <c r="E167" s="1">
        <f t="shared" si="45"/>
        <v>0.45006751169294068</v>
      </c>
      <c r="F167" s="1">
        <f t="shared" si="46"/>
        <v>8.3141499999999646E-3</v>
      </c>
      <c r="G167" s="9">
        <f t="shared" si="47"/>
        <v>0.45006751169294068</v>
      </c>
      <c r="H167" s="1">
        <f t="shared" si="48"/>
        <v>3.4206501538000256E-3</v>
      </c>
      <c r="I167" s="1">
        <f t="shared" si="49"/>
        <v>0.45006751169294068</v>
      </c>
      <c r="J167" s="1">
        <f t="shared" si="50"/>
        <v>0.3321566459292592</v>
      </c>
      <c r="K167" s="3"/>
      <c r="L167" s="3">
        <f t="shared" si="51"/>
        <v>0.39111207881109999</v>
      </c>
      <c r="M167" s="6">
        <f t="shared" si="52"/>
        <v>0.38800000000000001</v>
      </c>
      <c r="N167" s="6">
        <f t="shared" si="53"/>
        <v>0.25900000000000001</v>
      </c>
      <c r="O167" s="6">
        <f t="shared" si="54"/>
        <v>0.69499999999999995</v>
      </c>
      <c r="P167" s="6">
        <v>0.38800000000000001</v>
      </c>
      <c r="Q167" s="4">
        <v>0.25900000000000001</v>
      </c>
      <c r="R167" s="5">
        <v>0.69499999999999995</v>
      </c>
      <c r="S167">
        <f t="shared" si="55"/>
        <v>0.69499999999999995</v>
      </c>
      <c r="T167">
        <f t="shared" si="56"/>
        <v>0.37266187050359717</v>
      </c>
      <c r="U167">
        <f t="shared" si="57"/>
        <v>0.55827338129496407</v>
      </c>
      <c r="V167">
        <f t="shared" si="41"/>
        <v>-0.56427798561151077</v>
      </c>
      <c r="W167" s="3">
        <f t="shared" si="61"/>
        <v>1.382220165010084E-2</v>
      </c>
      <c r="X167">
        <v>0.69499999999999995</v>
      </c>
      <c r="Y167">
        <v>0.70574999999999999</v>
      </c>
      <c r="Z167" s="11">
        <f t="shared" si="58"/>
        <v>0.49279597122222185</v>
      </c>
      <c r="AA167">
        <f t="shared" si="59"/>
        <v>0.57407957791981989</v>
      </c>
      <c r="AB167" s="13">
        <f t="shared" si="60"/>
        <v>0.69304345325791994</v>
      </c>
      <c r="AC167" s="13">
        <v>1.1930434532579199</v>
      </c>
    </row>
    <row r="168" spans="1:29" x14ac:dyDescent="0.25">
      <c r="A168" s="1">
        <v>2009</v>
      </c>
      <c r="B168" s="1">
        <f t="shared" si="42"/>
        <v>0.49399999999999999</v>
      </c>
      <c r="C168" s="1">
        <f t="shared" si="43"/>
        <v>0.48703435</v>
      </c>
      <c r="D168" s="1">
        <f t="shared" si="44"/>
        <v>0</v>
      </c>
      <c r="E168" s="1">
        <f t="shared" si="45"/>
        <v>0.55935287758130436</v>
      </c>
      <c r="F168" s="1">
        <f t="shared" si="46"/>
        <v>6.9656499999999899E-3</v>
      </c>
      <c r="G168" s="9">
        <f t="shared" si="47"/>
        <v>0.55935287758130436</v>
      </c>
      <c r="H168" s="1">
        <f t="shared" si="48"/>
        <v>8.0362685961999913E-3</v>
      </c>
      <c r="I168" s="1">
        <f t="shared" si="49"/>
        <v>0.55935287758130436</v>
      </c>
      <c r="J168" s="1">
        <f t="shared" si="50"/>
        <v>0.38752479329896794</v>
      </c>
      <c r="K168" s="3"/>
      <c r="L168" s="3">
        <f t="shared" si="51"/>
        <v>0.47343883544013615</v>
      </c>
      <c r="M168" s="6">
        <f t="shared" si="52"/>
        <v>0.49399999999999999</v>
      </c>
      <c r="N168" s="6">
        <f t="shared" si="53"/>
        <v>0.39500000000000002</v>
      </c>
      <c r="O168" s="6">
        <f t="shared" si="54"/>
        <v>0.73099999999999998</v>
      </c>
      <c r="P168" s="6">
        <v>0.49399999999999999</v>
      </c>
      <c r="Q168" s="4">
        <v>0.39500000000000002</v>
      </c>
      <c r="R168" s="5">
        <v>0.73099999999999998</v>
      </c>
      <c r="S168">
        <f t="shared" si="55"/>
        <v>0.73099999999999998</v>
      </c>
      <c r="T168">
        <f t="shared" si="56"/>
        <v>0.54035567715458277</v>
      </c>
      <c r="U168">
        <f t="shared" si="57"/>
        <v>0.67578659370725036</v>
      </c>
      <c r="V168">
        <f t="shared" si="41"/>
        <v>-0.67962134062927504</v>
      </c>
      <c r="W168" s="3">
        <f t="shared" si="61"/>
        <v>2.0236671700292586E-2</v>
      </c>
      <c r="X168">
        <v>0.73099999999999998</v>
      </c>
      <c r="Y168">
        <v>0.73158299999999998</v>
      </c>
      <c r="Z168" s="11">
        <f t="shared" si="58"/>
        <v>0.47849161271005869</v>
      </c>
      <c r="AA168">
        <f t="shared" si="59"/>
        <v>0.79845236690703048</v>
      </c>
      <c r="AB168" s="13">
        <f t="shared" si="60"/>
        <v>0.72025462562749998</v>
      </c>
      <c r="AC168" s="13">
        <v>1.2202546256275</v>
      </c>
    </row>
    <row r="169" spans="1:29" x14ac:dyDescent="0.25">
      <c r="A169" s="1">
        <v>2010</v>
      </c>
      <c r="B169" s="1">
        <f t="shared" si="42"/>
        <v>0.54700000000000004</v>
      </c>
      <c r="C169" s="1">
        <f t="shared" si="43"/>
        <v>0.55399745</v>
      </c>
      <c r="D169" s="1">
        <f t="shared" si="44"/>
        <v>0</v>
      </c>
      <c r="E169" s="7">
        <f t="shared" si="45"/>
        <v>0.43698585411215074</v>
      </c>
      <c r="F169" s="1">
        <f t="shared" si="46"/>
        <v>6.9974499999999606E-3</v>
      </c>
      <c r="G169" s="9">
        <f t="shared" si="47"/>
        <v>0.43698585411215074</v>
      </c>
      <c r="H169" s="1">
        <f t="shared" si="48"/>
        <v>2.250600325600649E-4</v>
      </c>
      <c r="I169" s="1">
        <f t="shared" si="49"/>
        <v>0.43698585411215074</v>
      </c>
      <c r="J169" s="1">
        <f t="shared" si="50"/>
        <v>0.41365617845888608</v>
      </c>
      <c r="K169" s="3"/>
      <c r="L169" s="3">
        <f t="shared" si="51"/>
        <v>0.42532101628551838</v>
      </c>
      <c r="M169" s="6">
        <f t="shared" si="52"/>
        <v>0.54700000000000004</v>
      </c>
      <c r="N169" s="6">
        <f t="shared" si="53"/>
        <v>0.40600000000000003</v>
      </c>
      <c r="O169" s="6">
        <f t="shared" si="54"/>
        <v>0.90100000000000002</v>
      </c>
      <c r="P169" s="6">
        <v>0.54700000000000004</v>
      </c>
      <c r="Q169" s="4">
        <v>0.40600000000000003</v>
      </c>
      <c r="R169" s="5">
        <v>0.90100000000000002</v>
      </c>
      <c r="S169">
        <f t="shared" si="55"/>
        <v>0.90100000000000002</v>
      </c>
      <c r="T169">
        <f t="shared" si="56"/>
        <v>0.45061043285238628</v>
      </c>
      <c r="U169">
        <f t="shared" si="57"/>
        <v>0.60710321864594896</v>
      </c>
      <c r="V169">
        <f t="shared" si="41"/>
        <v>-0.60630577136514985</v>
      </c>
      <c r="W169" s="3">
        <f t="shared" si="61"/>
        <v>-6.9039422862249289E-4</v>
      </c>
      <c r="X169">
        <v>0.90100000000000002</v>
      </c>
      <c r="Y169">
        <v>0.88758300000000001</v>
      </c>
      <c r="Z169" s="11">
        <f t="shared" si="58"/>
        <v>0.46314943302422762</v>
      </c>
      <c r="AA169">
        <f t="shared" si="59"/>
        <v>0.88359066191196289</v>
      </c>
    </row>
    <row r="170" spans="1:29" x14ac:dyDescent="0.25">
      <c r="A170" s="1">
        <v>2011</v>
      </c>
      <c r="B170" s="1">
        <f t="shared" si="42"/>
        <v>0.40600000000000003</v>
      </c>
      <c r="C170" s="1">
        <f t="shared" si="43"/>
        <v>0.41406474999999998</v>
      </c>
      <c r="D170" s="1">
        <f t="shared" si="44"/>
        <v>0</v>
      </c>
      <c r="E170" s="1">
        <f t="shared" si="45"/>
        <v>0.41950122257789363</v>
      </c>
      <c r="F170" s="1">
        <f t="shared" si="46"/>
        <v>8.0647499999999539E-3</v>
      </c>
      <c r="G170" s="9">
        <f t="shared" si="47"/>
        <v>0.41950122257789363</v>
      </c>
      <c r="H170" s="1">
        <f t="shared" si="48"/>
        <v>1.0329167800005035E-4</v>
      </c>
      <c r="I170" s="1">
        <f t="shared" si="49"/>
        <v>0.41950122257789363</v>
      </c>
      <c r="J170" s="1">
        <f t="shared" si="50"/>
        <v>0.39901168462471764</v>
      </c>
      <c r="K170" s="3"/>
      <c r="L170" s="3">
        <f t="shared" si="51"/>
        <v>0.40925645360130569</v>
      </c>
      <c r="M170" s="6">
        <f t="shared" si="52"/>
        <v>0.40600000000000003</v>
      </c>
      <c r="N170" s="6">
        <f t="shared" si="53"/>
        <v>0.28999999999999998</v>
      </c>
      <c r="O170" s="6">
        <f t="shared" si="54"/>
        <v>0.69499999999999995</v>
      </c>
      <c r="P170" s="6">
        <v>0.40600000000000003</v>
      </c>
      <c r="Q170" s="4">
        <v>0.28999999999999998</v>
      </c>
      <c r="R170" s="5">
        <v>0.69499999999999995</v>
      </c>
      <c r="S170">
        <f t="shared" si="55"/>
        <v>0.69499999999999995</v>
      </c>
      <c r="T170">
        <f t="shared" si="56"/>
        <v>0.41726618705035973</v>
      </c>
      <c r="U170">
        <f t="shared" si="57"/>
        <v>0.58417266187050365</v>
      </c>
      <c r="V170">
        <f t="shared" si="41"/>
        <v>-0.58424244604316555</v>
      </c>
      <c r="W170" s="3">
        <f t="shared" si="61"/>
        <v>2.9538021893288358E-4</v>
      </c>
      <c r="X170">
        <v>0.69499999999999995</v>
      </c>
      <c r="Y170">
        <v>0.70058299999999996</v>
      </c>
      <c r="Z170" s="11">
        <f t="shared" si="58"/>
        <v>0.44671081099659204</v>
      </c>
      <c r="AA170">
        <f t="shared" si="59"/>
        <v>0.66230509721902042</v>
      </c>
    </row>
    <row r="171" spans="1:29" x14ac:dyDescent="0.25">
      <c r="A171" s="1">
        <v>2012</v>
      </c>
      <c r="B171" s="1">
        <f t="shared" si="42"/>
        <v>0.44800000000000001</v>
      </c>
      <c r="C171" s="1">
        <f t="shared" si="43"/>
        <v>0.46611395</v>
      </c>
      <c r="D171" s="1">
        <f t="shared" si="44"/>
        <v>-1.3030952786874939E-2</v>
      </c>
      <c r="E171" s="7">
        <f t="shared" si="45"/>
        <v>0.41791925837242466</v>
      </c>
      <c r="F171" s="1">
        <f t="shared" si="46"/>
        <v>1.811394999999999E-2</v>
      </c>
      <c r="G171" s="9">
        <f t="shared" si="47"/>
        <v>0.41791925837242466</v>
      </c>
      <c r="H171" s="1">
        <f t="shared" si="48"/>
        <v>-1.1675733697039947E-2</v>
      </c>
      <c r="I171" s="1" t="e">
        <f t="shared" si="49"/>
        <v>#NUM!</v>
      </c>
      <c r="J171" s="1" t="e">
        <f t="shared" si="50"/>
        <v>#NUM!</v>
      </c>
      <c r="K171" s="3"/>
      <c r="L171" s="3">
        <f t="shared" si="51"/>
        <v>0.41791925837242466</v>
      </c>
      <c r="M171" s="6">
        <f t="shared" si="52"/>
        <v>0.44800000000000001</v>
      </c>
      <c r="N171" s="6">
        <f t="shared" si="53"/>
        <v>0.34599999999999997</v>
      </c>
      <c r="O171" s="6">
        <f t="shared" si="54"/>
        <v>0.751</v>
      </c>
      <c r="P171" s="6">
        <v>0.44800000000000001</v>
      </c>
      <c r="Q171" s="4">
        <v>0.34599999999999997</v>
      </c>
      <c r="R171" s="5">
        <v>0.751</v>
      </c>
      <c r="S171">
        <f>+$O171+$O$1</f>
        <v>0.751</v>
      </c>
      <c r="T171">
        <f t="shared" si="56"/>
        <v>0.46071904127829555</v>
      </c>
      <c r="U171">
        <f t="shared" si="57"/>
        <v>0.59653794940079896</v>
      </c>
      <c r="V171">
        <f t="shared" si="41"/>
        <v>-0.57796071904127833</v>
      </c>
      <c r="W171" s="3">
        <f t="shared" si="61"/>
        <v>-4.2520551106806415E-2</v>
      </c>
      <c r="X171">
        <v>0.751</v>
      </c>
      <c r="Y171">
        <v>0.75416700000000003</v>
      </c>
      <c r="Z171" s="11">
        <f t="shared" si="58"/>
        <v>0.42911526653915644</v>
      </c>
      <c r="AA171">
        <f t="shared" si="59"/>
        <v>0.79047486248657695</v>
      </c>
    </row>
    <row r="172" spans="1:29" x14ac:dyDescent="0.25">
      <c r="A172" s="1"/>
      <c r="B172" s="1"/>
      <c r="C172" s="1"/>
      <c r="D172" s="1"/>
      <c r="E172" s="1"/>
      <c r="F172" s="1"/>
      <c r="G172" s="9"/>
      <c r="H172" s="1"/>
      <c r="I172" s="1"/>
      <c r="J172" s="1"/>
      <c r="K172" s="3"/>
      <c r="L172" s="3"/>
    </row>
    <row r="173" spans="1:29" x14ac:dyDescent="0.25">
      <c r="A173" s="1"/>
      <c r="B173" s="1"/>
      <c r="C173" s="1"/>
      <c r="D173" s="1"/>
      <c r="E173" s="1"/>
      <c r="F173" s="1"/>
      <c r="G173" s="9"/>
      <c r="H173" s="1"/>
      <c r="I173" s="1"/>
      <c r="J173" s="1"/>
      <c r="K173" s="3"/>
      <c r="L173" s="3"/>
    </row>
    <row r="174" spans="1:29" x14ac:dyDescent="0.25">
      <c r="A174" s="1"/>
      <c r="B174" s="1"/>
      <c r="C174" s="1"/>
      <c r="D174" s="1"/>
      <c r="E174" s="1"/>
      <c r="F174" s="1"/>
      <c r="G174" s="9"/>
      <c r="H174" s="1"/>
      <c r="I174" s="1"/>
      <c r="J174" s="1"/>
      <c r="K174" s="3"/>
      <c r="L174" s="3"/>
    </row>
    <row r="175" spans="1:29" x14ac:dyDescent="0.25">
      <c r="A175" s="1"/>
      <c r="B175" s="1"/>
      <c r="C175" s="1"/>
      <c r="D175" s="1"/>
      <c r="E175" s="1"/>
      <c r="F175" s="1"/>
      <c r="G175" s="9"/>
      <c r="H175" s="1"/>
      <c r="I175" s="1"/>
      <c r="J175" s="1"/>
      <c r="K175" s="3"/>
      <c r="L175" s="3"/>
    </row>
    <row r="176" spans="1:29" x14ac:dyDescent="0.25">
      <c r="A176" s="1"/>
      <c r="B176" s="1"/>
      <c r="C176" s="1"/>
      <c r="D176" s="1"/>
      <c r="E176" s="1"/>
      <c r="F176" s="1"/>
      <c r="G176" s="9"/>
      <c r="H176" s="1"/>
      <c r="I176" s="1"/>
      <c r="J176" s="1"/>
      <c r="K176" s="3"/>
      <c r="L176" s="3"/>
    </row>
    <row r="177" spans="1:12" x14ac:dyDescent="0.25">
      <c r="A177" s="1"/>
      <c r="B177" s="1"/>
      <c r="C177" s="1"/>
      <c r="D177" s="1"/>
      <c r="E177" s="1"/>
      <c r="F177" s="1"/>
      <c r="G177" s="9"/>
      <c r="H177" s="1"/>
      <c r="I177" s="1"/>
      <c r="J177" s="1"/>
      <c r="K177" s="3"/>
      <c r="L177" s="3"/>
    </row>
    <row r="178" spans="1:12" x14ac:dyDescent="0.25">
      <c r="A178" s="1"/>
      <c r="B178" s="1"/>
      <c r="C178" s="1"/>
      <c r="D178" s="1"/>
      <c r="E178" s="1"/>
      <c r="F178" s="1"/>
      <c r="G178" s="9"/>
      <c r="H178" s="1"/>
      <c r="I178" s="1"/>
      <c r="J178" s="1"/>
      <c r="K178" s="3"/>
      <c r="L178" s="3"/>
    </row>
    <row r="179" spans="1:12" x14ac:dyDescent="0.25">
      <c r="A179" s="1"/>
      <c r="B179" s="1"/>
      <c r="C179" s="1"/>
      <c r="D179" s="1"/>
      <c r="E179" s="1"/>
      <c r="F179" s="1"/>
      <c r="G179" s="9"/>
      <c r="H179" s="1"/>
      <c r="I179" s="1"/>
      <c r="J179" s="1"/>
      <c r="K179" s="3"/>
      <c r="L179" s="3"/>
    </row>
    <row r="180" spans="1:12" x14ac:dyDescent="0.25">
      <c r="A180" s="1"/>
      <c r="B180" s="1"/>
      <c r="C180" s="1"/>
      <c r="D180" s="1"/>
      <c r="E180" s="1"/>
      <c r="F180" s="1"/>
      <c r="G180" s="9"/>
      <c r="H180" s="1"/>
      <c r="I180" s="1"/>
      <c r="J180" s="1"/>
      <c r="K180" s="3"/>
      <c r="L180" s="3"/>
    </row>
    <row r="181" spans="1:12" x14ac:dyDescent="0.25">
      <c r="A181" s="1"/>
      <c r="B181" s="1"/>
      <c r="C181" s="1"/>
      <c r="D181" s="1"/>
      <c r="E181" s="1"/>
      <c r="F181" s="1"/>
      <c r="G181" s="9"/>
      <c r="H181" s="1"/>
      <c r="I181" s="1"/>
      <c r="J181" s="1"/>
      <c r="K181" s="3"/>
      <c r="L181" s="3"/>
    </row>
    <row r="182" spans="1:12" x14ac:dyDescent="0.25">
      <c r="A182" s="1"/>
      <c r="B182" s="1"/>
      <c r="C182" s="1"/>
      <c r="D182" s="1"/>
      <c r="E182" s="1"/>
      <c r="F182" s="1"/>
      <c r="G182" s="9"/>
      <c r="H182" s="1"/>
      <c r="I182" s="1"/>
      <c r="J182" s="1"/>
      <c r="K182" s="3"/>
      <c r="L182" s="3"/>
    </row>
    <row r="183" spans="1:12" x14ac:dyDescent="0.25">
      <c r="A183" s="1"/>
      <c r="B183" s="1"/>
      <c r="C183" s="1"/>
      <c r="D183" s="1"/>
      <c r="E183" s="1"/>
      <c r="F183" s="1"/>
      <c r="G183" s="9"/>
      <c r="H183" s="1"/>
      <c r="I183" s="1"/>
      <c r="J183" s="1"/>
      <c r="K183" s="3"/>
      <c r="L183" s="3"/>
    </row>
    <row r="184" spans="1:12" x14ac:dyDescent="0.25">
      <c r="A184" s="1"/>
      <c r="B184" s="1"/>
      <c r="C184" s="1"/>
      <c r="D184" s="1"/>
      <c r="E184" s="1"/>
      <c r="F184" s="1"/>
      <c r="G184" s="9"/>
      <c r="H184" s="1"/>
      <c r="I184" s="1"/>
      <c r="J184" s="1"/>
      <c r="K184" s="3"/>
      <c r="L184" s="3"/>
    </row>
    <row r="185" spans="1:12" x14ac:dyDescent="0.25">
      <c r="A185" s="1"/>
      <c r="B185" s="1"/>
      <c r="C185" s="1"/>
      <c r="D185" s="1"/>
      <c r="E185" s="1"/>
      <c r="F185" s="1"/>
      <c r="G185" s="9"/>
      <c r="H185" s="1"/>
      <c r="I185" s="1"/>
      <c r="J185" s="1"/>
      <c r="K185" s="3"/>
      <c r="L185" s="3"/>
    </row>
    <row r="186" spans="1:12" x14ac:dyDescent="0.25">
      <c r="A186" s="1"/>
      <c r="B186" s="1"/>
      <c r="C186" s="1"/>
      <c r="D186" s="1"/>
      <c r="E186" s="1"/>
      <c r="F186" s="1"/>
      <c r="G186" s="9"/>
      <c r="H186" s="1"/>
      <c r="I186" s="1"/>
      <c r="J186" s="1"/>
      <c r="K186" s="3"/>
      <c r="L186" s="3"/>
    </row>
    <row r="187" spans="1:12" x14ac:dyDescent="0.25">
      <c r="A187" s="1"/>
      <c r="B187" s="1"/>
      <c r="C187" s="1"/>
      <c r="D187" s="1"/>
      <c r="E187" s="1"/>
      <c r="F187" s="1"/>
      <c r="G187" s="9"/>
      <c r="H187" s="1"/>
      <c r="I187" s="1"/>
      <c r="J187" s="1"/>
      <c r="K187" s="3"/>
      <c r="L187" s="3"/>
    </row>
    <row r="188" spans="1:12" x14ac:dyDescent="0.25">
      <c r="A188" s="1"/>
      <c r="B188" s="1"/>
      <c r="C188" s="1"/>
      <c r="D188" s="1"/>
      <c r="E188" s="1"/>
      <c r="F188" s="1"/>
      <c r="G188" s="9"/>
      <c r="H188" s="1"/>
      <c r="I188" s="1"/>
      <c r="J188" s="1"/>
      <c r="K188" s="3"/>
      <c r="L188" s="3"/>
    </row>
    <row r="189" spans="1:12" x14ac:dyDescent="0.25">
      <c r="A189" s="1"/>
      <c r="B189" s="1"/>
      <c r="C189" s="1"/>
      <c r="D189" s="1"/>
      <c r="E189" s="1"/>
      <c r="F189" s="1"/>
      <c r="G189" s="9"/>
      <c r="H189" s="1"/>
      <c r="I189" s="1"/>
      <c r="J189" s="1"/>
      <c r="K189" s="3"/>
      <c r="L189" s="3"/>
    </row>
    <row r="190" spans="1:12" x14ac:dyDescent="0.25">
      <c r="A190" s="1"/>
      <c r="B190" s="1"/>
      <c r="C190" s="1"/>
      <c r="D190" s="1"/>
      <c r="E190" s="1"/>
      <c r="F190" s="1"/>
      <c r="G190" s="9"/>
      <c r="H190" s="1"/>
      <c r="I190" s="1"/>
      <c r="J190" s="1"/>
      <c r="K190" s="3"/>
      <c r="L190" s="3"/>
    </row>
    <row r="191" spans="1:12" x14ac:dyDescent="0.25">
      <c r="A191" s="1"/>
      <c r="B191" s="1"/>
      <c r="C191" s="1"/>
      <c r="D191" s="1"/>
      <c r="E191" s="1"/>
      <c r="F191" s="1"/>
      <c r="G191" s="9"/>
      <c r="H191" s="1"/>
      <c r="I191" s="1"/>
      <c r="J191" s="1"/>
      <c r="K191" s="3"/>
      <c r="L191" s="3"/>
    </row>
    <row r="192" spans="1:12" x14ac:dyDescent="0.25">
      <c r="A192" s="1"/>
      <c r="B192" s="1"/>
      <c r="C192" s="1"/>
      <c r="D192" s="1"/>
      <c r="E192" s="1"/>
      <c r="F192" s="1"/>
      <c r="G192" s="9"/>
      <c r="H192" s="1"/>
      <c r="I192" s="1"/>
      <c r="J192" s="1"/>
      <c r="K192" s="3"/>
      <c r="L192" s="3"/>
    </row>
    <row r="193" spans="1:12" x14ac:dyDescent="0.25">
      <c r="A193" s="1"/>
      <c r="B193" s="1"/>
      <c r="C193" s="1"/>
      <c r="D193" s="1"/>
      <c r="E193" s="1"/>
      <c r="F193" s="1"/>
      <c r="G193" s="9"/>
      <c r="H193" s="1"/>
      <c r="I193" s="1"/>
      <c r="J193" s="1"/>
      <c r="K193" s="3"/>
      <c r="L193" s="3"/>
    </row>
    <row r="194" spans="1:12" x14ac:dyDescent="0.25">
      <c r="A194" s="1"/>
      <c r="B194" s="1"/>
      <c r="C194" s="1"/>
      <c r="D194" s="1"/>
      <c r="E194" s="1"/>
      <c r="F194" s="1"/>
      <c r="G194" s="9"/>
      <c r="H194" s="1"/>
      <c r="I194" s="1"/>
      <c r="J194" s="1"/>
      <c r="K194" s="3"/>
      <c r="L194" s="3"/>
    </row>
    <row r="195" spans="1:12" x14ac:dyDescent="0.25">
      <c r="A195" s="1"/>
      <c r="B195" s="1"/>
      <c r="C195" s="1"/>
      <c r="D195" s="1"/>
      <c r="E195" s="1"/>
      <c r="F195" s="1"/>
      <c r="G195" s="9"/>
      <c r="H195" s="1"/>
      <c r="I195" s="1"/>
      <c r="J195" s="1"/>
      <c r="K195" s="3"/>
      <c r="L195" s="3"/>
    </row>
    <row r="196" spans="1:12" x14ac:dyDescent="0.25">
      <c r="A196" s="1"/>
      <c r="B196" s="1"/>
      <c r="C196" s="1"/>
      <c r="D196" s="1"/>
      <c r="E196" s="1"/>
      <c r="F196" s="1"/>
      <c r="G196" s="9"/>
      <c r="H196" s="1"/>
      <c r="I196" s="1"/>
      <c r="J196" s="1"/>
      <c r="K196" s="3"/>
      <c r="L196" s="3"/>
    </row>
    <row r="197" spans="1:12" x14ac:dyDescent="0.25">
      <c r="A197" s="1"/>
      <c r="B197" s="1"/>
      <c r="C197" s="1"/>
      <c r="D197" s="1"/>
      <c r="E197" s="1"/>
      <c r="F197" s="1"/>
      <c r="G197" s="9"/>
      <c r="H197" s="1"/>
      <c r="I197" s="1"/>
      <c r="J197" s="1"/>
      <c r="K197" s="3"/>
      <c r="L197" s="3"/>
    </row>
    <row r="198" spans="1:12" x14ac:dyDescent="0.25">
      <c r="A198" s="1"/>
      <c r="B198" s="1"/>
      <c r="C198" s="1"/>
      <c r="D198" s="1"/>
      <c r="E198" s="1"/>
      <c r="F198" s="1"/>
      <c r="G198" s="9"/>
      <c r="H198" s="1"/>
      <c r="I198" s="1"/>
      <c r="J198" s="1"/>
      <c r="K198" s="3"/>
      <c r="L198" s="3"/>
    </row>
    <row r="199" spans="1:12" x14ac:dyDescent="0.25">
      <c r="A199" s="1"/>
      <c r="B199" s="1"/>
      <c r="C199" s="1"/>
      <c r="D199" s="1"/>
      <c r="E199" s="1"/>
      <c r="F199" s="1"/>
      <c r="G199" s="9"/>
      <c r="H199" s="1"/>
      <c r="I199" s="1"/>
      <c r="J199" s="1"/>
      <c r="K199" s="3"/>
      <c r="L199" s="3"/>
    </row>
    <row r="200" spans="1:12" x14ac:dyDescent="0.25">
      <c r="A200" s="1"/>
      <c r="B200" s="1"/>
      <c r="C200" s="1"/>
      <c r="D200" s="1"/>
      <c r="E200" s="1"/>
      <c r="F200" s="1"/>
      <c r="G200" s="9"/>
      <c r="H200" s="1"/>
      <c r="I200" s="1"/>
      <c r="J200" s="1"/>
      <c r="K200" s="3"/>
      <c r="L200" s="3"/>
    </row>
    <row r="201" spans="1:12" x14ac:dyDescent="0.25">
      <c r="A201" s="1"/>
      <c r="B201" s="1"/>
      <c r="C201" s="1"/>
      <c r="D201" s="1"/>
      <c r="E201" s="1"/>
      <c r="F201" s="1"/>
      <c r="G201" s="9"/>
      <c r="H201" s="1"/>
      <c r="I201" s="1"/>
      <c r="J201" s="1"/>
      <c r="K201" s="3"/>
      <c r="L201" s="3"/>
    </row>
    <row r="202" spans="1:12" x14ac:dyDescent="0.25">
      <c r="A202" s="1"/>
      <c r="B202" s="1"/>
      <c r="C202" s="1"/>
      <c r="D202" s="1"/>
      <c r="E202" s="1"/>
      <c r="F202" s="1"/>
      <c r="G202" s="9"/>
      <c r="H202" s="1"/>
      <c r="I202" s="1"/>
      <c r="J202" s="1"/>
      <c r="K202" s="3"/>
      <c r="L202" s="3"/>
    </row>
    <row r="203" spans="1:12" x14ac:dyDescent="0.25">
      <c r="A203" s="1"/>
      <c r="B203" s="1"/>
      <c r="C203" s="1"/>
      <c r="D203" s="1"/>
      <c r="E203" s="1"/>
      <c r="F203" s="1"/>
      <c r="G203" s="9"/>
      <c r="H203" s="1"/>
      <c r="I203" s="1"/>
      <c r="J203" s="1"/>
      <c r="K203" s="3"/>
      <c r="L203" s="3"/>
    </row>
    <row r="204" spans="1:12" x14ac:dyDescent="0.25">
      <c r="A204" s="1"/>
      <c r="B204" s="1"/>
      <c r="C204" s="1"/>
      <c r="D204" s="1"/>
      <c r="E204" s="1"/>
      <c r="F204" s="1"/>
      <c r="G204" s="9"/>
      <c r="H204" s="1"/>
      <c r="I204" s="1"/>
      <c r="J204" s="1"/>
      <c r="K204" s="3"/>
      <c r="L204" s="3"/>
    </row>
    <row r="205" spans="1:12" x14ac:dyDescent="0.25">
      <c r="A205" s="1"/>
      <c r="B205" s="1"/>
      <c r="C205" s="1"/>
      <c r="D205" s="1"/>
      <c r="E205" s="1"/>
      <c r="F205" s="1"/>
      <c r="G205" s="9"/>
      <c r="H205" s="1"/>
      <c r="I205" s="1"/>
      <c r="J205" s="1"/>
      <c r="K205" s="3"/>
      <c r="L205" s="3"/>
    </row>
    <row r="206" spans="1:12" x14ac:dyDescent="0.25">
      <c r="A206" s="1"/>
      <c r="B206" s="1"/>
      <c r="C206" s="1"/>
      <c r="D206" s="1"/>
      <c r="E206" s="1"/>
      <c r="F206" s="1"/>
      <c r="G206" s="9"/>
      <c r="H206" s="1"/>
      <c r="I206" s="1"/>
      <c r="J206" s="1"/>
      <c r="K206" s="3"/>
      <c r="L206" s="3"/>
    </row>
    <row r="207" spans="1:12" x14ac:dyDescent="0.25">
      <c r="A207" s="1"/>
      <c r="B207" s="1"/>
      <c r="C207" s="1"/>
      <c r="D207" s="1"/>
      <c r="E207" s="1"/>
      <c r="F207" s="1"/>
      <c r="G207" s="9"/>
      <c r="H207" s="1"/>
      <c r="I207" s="1"/>
      <c r="J207" s="1"/>
      <c r="K207" s="3"/>
      <c r="L207" s="3"/>
    </row>
    <row r="208" spans="1:12" x14ac:dyDescent="0.25">
      <c r="A208" s="1"/>
      <c r="B208" s="1"/>
      <c r="C208" s="1"/>
      <c r="D208" s="1"/>
      <c r="E208" s="1"/>
      <c r="F208" s="1"/>
      <c r="G208" s="9"/>
      <c r="H208" s="1"/>
      <c r="I208" s="1"/>
      <c r="J208" s="1"/>
      <c r="K208" s="3"/>
      <c r="L208" s="3"/>
    </row>
    <row r="209" spans="1:12" x14ac:dyDescent="0.25">
      <c r="A209" s="1"/>
      <c r="B209" s="1"/>
      <c r="C209" s="1"/>
      <c r="D209" s="1"/>
      <c r="E209" s="1"/>
      <c r="F209" s="1"/>
      <c r="G209" s="9"/>
      <c r="H209" s="1"/>
      <c r="I209" s="1"/>
      <c r="J209" s="1"/>
      <c r="K209" s="3"/>
      <c r="L209" s="3"/>
    </row>
    <row r="210" spans="1:12" x14ac:dyDescent="0.25">
      <c r="A210" s="1"/>
      <c r="B210" s="1"/>
      <c r="C210" s="1"/>
      <c r="D210" s="1"/>
      <c r="E210" s="1"/>
      <c r="F210" s="1"/>
      <c r="G210" s="9"/>
      <c r="H210" s="1"/>
      <c r="I210" s="1"/>
      <c r="J210" s="1"/>
      <c r="K210" s="3"/>
      <c r="L210" s="3"/>
    </row>
    <row r="211" spans="1:12" x14ac:dyDescent="0.25">
      <c r="A211" s="1"/>
      <c r="B211" s="1"/>
      <c r="C211" s="1"/>
      <c r="D211" s="1"/>
      <c r="E211" s="1"/>
      <c r="F211" s="1"/>
      <c r="G211" s="9"/>
      <c r="H211" s="1"/>
      <c r="I211" s="1"/>
      <c r="J211" s="1"/>
      <c r="K211" s="3"/>
      <c r="L211" s="3"/>
    </row>
    <row r="212" spans="1:12" x14ac:dyDescent="0.25">
      <c r="A212" s="1"/>
      <c r="B212" s="1"/>
      <c r="C212" s="1"/>
      <c r="D212" s="1"/>
      <c r="E212" s="1"/>
      <c r="F212" s="1"/>
      <c r="G212" s="9"/>
      <c r="H212" s="1"/>
      <c r="I212" s="1"/>
      <c r="J212" s="1"/>
      <c r="K212" s="3"/>
      <c r="L212" s="3"/>
    </row>
    <row r="213" spans="1:12" x14ac:dyDescent="0.25">
      <c r="A213" s="1"/>
      <c r="B213" s="1"/>
      <c r="C213" s="1"/>
      <c r="D213" s="1"/>
      <c r="E213" s="1"/>
      <c r="F213" s="1"/>
      <c r="G213" s="9"/>
      <c r="H213" s="1"/>
      <c r="I213" s="1"/>
      <c r="J213" s="1"/>
      <c r="K213" s="3"/>
      <c r="L213" s="3"/>
    </row>
    <row r="214" spans="1:12" x14ac:dyDescent="0.25">
      <c r="A214" s="1"/>
      <c r="B214" s="1"/>
      <c r="C214" s="1"/>
      <c r="D214" s="1"/>
      <c r="E214" s="1"/>
      <c r="F214" s="1"/>
      <c r="G214" s="9"/>
      <c r="H214" s="1"/>
      <c r="I214" s="1"/>
      <c r="J214" s="1"/>
      <c r="K214" s="3"/>
      <c r="L214" s="3"/>
    </row>
    <row r="215" spans="1:12" x14ac:dyDescent="0.25">
      <c r="A215" s="1"/>
      <c r="B215" s="1"/>
      <c r="C215" s="1"/>
      <c r="D215" s="1"/>
      <c r="E215" s="1"/>
      <c r="F215" s="1"/>
      <c r="G215" s="9"/>
      <c r="H215" s="1"/>
      <c r="I215" s="1"/>
      <c r="J215" s="1"/>
      <c r="K215" s="3"/>
      <c r="L215" s="3"/>
    </row>
    <row r="216" spans="1:12" x14ac:dyDescent="0.25">
      <c r="A216" s="1"/>
      <c r="B216" s="1"/>
      <c r="C216" s="1"/>
      <c r="D216" s="1"/>
      <c r="E216" s="1"/>
      <c r="F216" s="1"/>
      <c r="G216" s="9"/>
      <c r="H216" s="1"/>
      <c r="I216" s="1"/>
      <c r="J216" s="1"/>
      <c r="K216" s="3"/>
      <c r="L216" s="3"/>
    </row>
    <row r="217" spans="1:12" x14ac:dyDescent="0.25">
      <c r="A217" s="1"/>
      <c r="B217" s="1"/>
      <c r="C217" s="1"/>
      <c r="D217" s="1"/>
      <c r="E217" s="1"/>
      <c r="F217" s="1"/>
      <c r="G217" s="9"/>
      <c r="H217" s="1"/>
      <c r="I217" s="1"/>
      <c r="J217" s="1"/>
      <c r="K217" s="3"/>
      <c r="L217" s="3"/>
    </row>
    <row r="218" spans="1:12" x14ac:dyDescent="0.25">
      <c r="A218" s="1"/>
      <c r="B218" s="1"/>
      <c r="C218" s="1"/>
      <c r="D218" s="1"/>
      <c r="E218" s="1"/>
      <c r="F218" s="1"/>
      <c r="G218" s="9"/>
      <c r="H218" s="1"/>
      <c r="I218" s="1"/>
      <c r="J218" s="1"/>
      <c r="K218" s="3"/>
      <c r="L218" s="3"/>
    </row>
    <row r="219" spans="1:12" x14ac:dyDescent="0.25">
      <c r="A219" s="1"/>
      <c r="B219" s="1"/>
      <c r="C219" s="1"/>
      <c r="D219" s="1"/>
      <c r="E219" s="1"/>
      <c r="F219" s="1"/>
      <c r="G219" s="9"/>
      <c r="H219" s="1"/>
      <c r="I219" s="1"/>
      <c r="J219" s="1"/>
      <c r="K219" s="3"/>
      <c r="L219" s="3"/>
    </row>
    <row r="220" spans="1:12" x14ac:dyDescent="0.25">
      <c r="A220" s="1"/>
      <c r="B220" s="1"/>
      <c r="C220" s="1"/>
      <c r="D220" s="1"/>
      <c r="E220" s="1"/>
      <c r="F220" s="1"/>
      <c r="G220" s="9"/>
      <c r="H220" s="1"/>
      <c r="I220" s="1"/>
      <c r="J220" s="1"/>
      <c r="K220" s="3"/>
      <c r="L220" s="3"/>
    </row>
    <row r="221" spans="1:12" x14ac:dyDescent="0.25">
      <c r="A221" s="1"/>
      <c r="B221" s="1"/>
      <c r="C221" s="1"/>
      <c r="D221" s="1"/>
      <c r="E221" s="1"/>
      <c r="F221" s="1"/>
      <c r="G221" s="9"/>
      <c r="H221" s="1"/>
      <c r="I221" s="1"/>
      <c r="J221" s="1"/>
      <c r="K221" s="3"/>
      <c r="L221" s="3"/>
    </row>
    <row r="222" spans="1:12" x14ac:dyDescent="0.25">
      <c r="A222" s="1"/>
      <c r="B222" s="1"/>
      <c r="C222" s="1"/>
      <c r="D222" s="1"/>
      <c r="E222" s="1"/>
      <c r="F222" s="1"/>
      <c r="G222" s="9"/>
      <c r="H222" s="1"/>
      <c r="I222" s="1"/>
      <c r="J222" s="1"/>
      <c r="K222" s="3"/>
      <c r="L222" s="3"/>
    </row>
    <row r="223" spans="1:12" x14ac:dyDescent="0.25">
      <c r="A223" s="1"/>
      <c r="B223" s="1"/>
      <c r="C223" s="1"/>
      <c r="D223" s="1"/>
      <c r="E223" s="1"/>
      <c r="F223" s="1"/>
      <c r="G223" s="9"/>
      <c r="H223" s="1"/>
      <c r="I223" s="1"/>
      <c r="J223" s="1"/>
      <c r="K223" s="3"/>
      <c r="L223" s="3"/>
    </row>
    <row r="224" spans="1:12" x14ac:dyDescent="0.25">
      <c r="A224" s="1"/>
      <c r="B224" s="1"/>
      <c r="C224" s="1"/>
      <c r="D224" s="1"/>
      <c r="E224" s="1"/>
      <c r="F224" s="1"/>
      <c r="G224" s="9"/>
      <c r="H224" s="1"/>
      <c r="I224" s="1"/>
      <c r="J224" s="1"/>
      <c r="K224" s="3"/>
      <c r="L224" s="3"/>
    </row>
    <row r="225" spans="1:12" x14ac:dyDescent="0.25">
      <c r="A225" s="1"/>
      <c r="B225" s="1"/>
      <c r="C225" s="1"/>
      <c r="D225" s="1"/>
      <c r="E225" s="1"/>
      <c r="F225" s="1"/>
      <c r="G225" s="9"/>
      <c r="H225" s="1"/>
      <c r="I225" s="1"/>
      <c r="J225" s="1"/>
      <c r="K225" s="3"/>
      <c r="L225" s="3"/>
    </row>
    <row r="226" spans="1:12" x14ac:dyDescent="0.25">
      <c r="A226" s="1"/>
      <c r="B226" s="1"/>
      <c r="C226" s="1"/>
      <c r="D226" s="1"/>
      <c r="E226" s="1"/>
      <c r="F226" s="1"/>
      <c r="G226" s="9"/>
      <c r="H226" s="1"/>
      <c r="I226" s="1"/>
      <c r="J226" s="1"/>
      <c r="K226" s="3"/>
      <c r="L226" s="3"/>
    </row>
    <row r="227" spans="1:12" x14ac:dyDescent="0.25">
      <c r="A227" s="1"/>
      <c r="B227" s="1"/>
      <c r="C227" s="1"/>
      <c r="D227" s="1"/>
      <c r="E227" s="1"/>
      <c r="F227" s="1"/>
      <c r="G227" s="9"/>
      <c r="H227" s="1"/>
      <c r="I227" s="1"/>
      <c r="J227" s="1"/>
      <c r="K227" s="3"/>
      <c r="L227" s="3"/>
    </row>
    <row r="228" spans="1:12" x14ac:dyDescent="0.25">
      <c r="A228" s="1"/>
      <c r="B228" s="1"/>
      <c r="C228" s="1"/>
      <c r="D228" s="1"/>
      <c r="E228" s="1"/>
      <c r="F228" s="1"/>
      <c r="G228" s="9"/>
      <c r="H228" s="1"/>
      <c r="I228" s="1"/>
      <c r="J228" s="1"/>
      <c r="K228" s="3"/>
      <c r="L228" s="3"/>
    </row>
    <row r="229" spans="1:12" x14ac:dyDescent="0.25">
      <c r="A229" s="1"/>
      <c r="B229" s="1"/>
      <c r="C229" s="1"/>
      <c r="D229" s="1"/>
      <c r="E229" s="1"/>
      <c r="F229" s="1"/>
      <c r="G229" s="9"/>
      <c r="H229" s="1"/>
      <c r="I229" s="1"/>
      <c r="J229" s="1"/>
      <c r="K229" s="3"/>
      <c r="L229" s="3"/>
    </row>
    <row r="230" spans="1:12" x14ac:dyDescent="0.25">
      <c r="A230" s="1"/>
      <c r="B230" s="1"/>
      <c r="C230" s="1"/>
      <c r="D230" s="1"/>
      <c r="E230" s="1"/>
      <c r="F230" s="1"/>
      <c r="G230" s="9"/>
      <c r="H230" s="1"/>
      <c r="I230" s="1"/>
      <c r="J230" s="1"/>
      <c r="K230" s="3"/>
      <c r="L230" s="3"/>
    </row>
    <row r="231" spans="1:12" x14ac:dyDescent="0.25">
      <c r="A231" s="1"/>
      <c r="B231" s="1"/>
      <c r="C231" s="1"/>
      <c r="D231" s="1"/>
      <c r="E231" s="1"/>
      <c r="F231" s="1"/>
      <c r="G231" s="9"/>
      <c r="H231" s="1"/>
      <c r="I231" s="1"/>
      <c r="J231" s="1"/>
      <c r="K231" s="3"/>
      <c r="L231" s="3"/>
    </row>
    <row r="232" spans="1:12" x14ac:dyDescent="0.25">
      <c r="A232" s="1"/>
      <c r="B232" s="1"/>
      <c r="C232" s="1"/>
      <c r="D232" s="1"/>
      <c r="E232" s="1"/>
      <c r="F232" s="1"/>
      <c r="G232" s="9"/>
      <c r="H232" s="1"/>
      <c r="I232" s="1"/>
      <c r="J232" s="1"/>
      <c r="K232" s="3"/>
      <c r="L232" s="3"/>
    </row>
    <row r="233" spans="1:12" x14ac:dyDescent="0.25">
      <c r="A233" s="1"/>
      <c r="B233" s="1"/>
      <c r="C233" s="1"/>
      <c r="D233" s="1"/>
      <c r="E233" s="1"/>
      <c r="F233" s="1"/>
      <c r="G233" s="9"/>
      <c r="H233" s="1"/>
      <c r="I233" s="1"/>
      <c r="J233" s="1"/>
      <c r="K233" s="3"/>
      <c r="L233" s="3"/>
    </row>
    <row r="234" spans="1:12" x14ac:dyDescent="0.25">
      <c r="A234" s="1"/>
      <c r="B234" s="1"/>
      <c r="C234" s="1"/>
      <c r="D234" s="1"/>
      <c r="E234" s="1"/>
      <c r="F234" s="1"/>
      <c r="G234" s="9"/>
      <c r="H234" s="1"/>
      <c r="I234" s="1"/>
      <c r="J234" s="1"/>
      <c r="K234" s="3"/>
      <c r="L234" s="3"/>
    </row>
    <row r="235" spans="1:12" x14ac:dyDescent="0.25">
      <c r="A235" s="1"/>
      <c r="B235" s="1"/>
      <c r="C235" s="1"/>
      <c r="D235" s="1"/>
      <c r="E235" s="1"/>
      <c r="F235" s="1"/>
      <c r="G235" s="9"/>
      <c r="H235" s="1"/>
      <c r="I235" s="1"/>
      <c r="J235" s="1"/>
      <c r="K235" s="3"/>
      <c r="L235" s="3"/>
    </row>
    <row r="236" spans="1:12" x14ac:dyDescent="0.25">
      <c r="A236" s="1"/>
      <c r="B236" s="1"/>
      <c r="C236" s="1"/>
      <c r="D236" s="1"/>
      <c r="E236" s="1"/>
      <c r="F236" s="1"/>
      <c r="G236" s="9"/>
      <c r="H236" s="1"/>
      <c r="I236" s="1"/>
      <c r="J236" s="1"/>
      <c r="K236" s="3"/>
      <c r="L236" s="3"/>
    </row>
    <row r="237" spans="1:12" x14ac:dyDescent="0.25">
      <c r="A237" s="1"/>
      <c r="B237" s="1"/>
      <c r="C237" s="1"/>
      <c r="D237" s="1"/>
      <c r="E237" s="1"/>
      <c r="F237" s="1"/>
      <c r="G237" s="9"/>
      <c r="H237" s="1"/>
      <c r="I237" s="1"/>
      <c r="J237" s="1"/>
      <c r="K237" s="3"/>
      <c r="L237" s="3"/>
    </row>
    <row r="238" spans="1:12" x14ac:dyDescent="0.25">
      <c r="A238" s="1"/>
      <c r="B238" s="1"/>
      <c r="C238" s="1"/>
      <c r="D238" s="1"/>
      <c r="E238" s="1"/>
      <c r="F238" s="1"/>
      <c r="G238" s="9"/>
      <c r="H238" s="1"/>
      <c r="I238" s="1"/>
      <c r="J238" s="1"/>
      <c r="K238" s="3"/>
      <c r="L238" s="3"/>
    </row>
    <row r="239" spans="1:12" x14ac:dyDescent="0.25">
      <c r="A239" s="1"/>
      <c r="B239" s="1"/>
      <c r="C239" s="1"/>
      <c r="D239" s="1"/>
      <c r="E239" s="1"/>
      <c r="F239" s="1"/>
      <c r="G239" s="9"/>
      <c r="H239" s="1"/>
      <c r="I239" s="1"/>
      <c r="J239" s="1"/>
      <c r="K239" s="3"/>
      <c r="L239" s="3"/>
    </row>
    <row r="240" spans="1:12" x14ac:dyDescent="0.25">
      <c r="A240" s="1"/>
      <c r="B240" s="1"/>
      <c r="C240" s="1"/>
      <c r="D240" s="1"/>
      <c r="E240" s="1"/>
      <c r="F240" s="1"/>
      <c r="G240" s="9"/>
      <c r="H240" s="1"/>
      <c r="I240" s="1"/>
      <c r="J240" s="1"/>
      <c r="K240" s="3"/>
      <c r="L240" s="3"/>
    </row>
    <row r="241" spans="1:12" x14ac:dyDescent="0.25">
      <c r="A241" s="1"/>
      <c r="B241" s="1"/>
      <c r="C241" s="1"/>
      <c r="D241" s="1"/>
      <c r="E241" s="1"/>
      <c r="F241" s="1"/>
      <c r="G241" s="9"/>
      <c r="H241" s="1"/>
      <c r="I241" s="1"/>
      <c r="J241" s="1"/>
      <c r="K241" s="3"/>
      <c r="L241" s="3"/>
    </row>
    <row r="242" spans="1:12" x14ac:dyDescent="0.25">
      <c r="A242" s="1"/>
      <c r="B242" s="1"/>
      <c r="C242" s="1"/>
      <c r="D242" s="1"/>
      <c r="E242" s="1"/>
      <c r="F242" s="1"/>
      <c r="G242" s="9"/>
      <c r="H242" s="1"/>
      <c r="I242" s="1"/>
      <c r="J242" s="1"/>
      <c r="K242" s="3"/>
      <c r="L242" s="3"/>
    </row>
    <row r="243" spans="1:12" x14ac:dyDescent="0.25">
      <c r="A243" s="1"/>
      <c r="B243" s="1"/>
      <c r="C243" s="1"/>
      <c r="D243" s="1"/>
      <c r="E243" s="1"/>
      <c r="F243" s="1"/>
      <c r="G243" s="9"/>
      <c r="H243" s="1"/>
      <c r="I243" s="1"/>
      <c r="J243" s="1"/>
      <c r="K243" s="3"/>
      <c r="L243" s="3"/>
    </row>
    <row r="244" spans="1:12" x14ac:dyDescent="0.25">
      <c r="A244" s="1"/>
      <c r="B244" s="1"/>
      <c r="C244" s="1"/>
      <c r="D244" s="1"/>
      <c r="E244" s="1"/>
      <c r="F244" s="1"/>
      <c r="G244" s="9"/>
      <c r="H244" s="1"/>
      <c r="I244" s="1"/>
      <c r="J244" s="1"/>
      <c r="K244" s="3"/>
      <c r="L244" s="3"/>
    </row>
    <row r="245" spans="1:12" x14ac:dyDescent="0.25">
      <c r="A245" s="1"/>
      <c r="B245" s="1"/>
      <c r="C245" s="1"/>
      <c r="D245" s="1"/>
      <c r="E245" s="1"/>
      <c r="F245" s="1"/>
      <c r="G245" s="9"/>
      <c r="H245" s="1"/>
      <c r="I245" s="1"/>
      <c r="J245" s="1"/>
      <c r="K245" s="3"/>
      <c r="L245" s="3"/>
    </row>
    <row r="246" spans="1:12" x14ac:dyDescent="0.25">
      <c r="A246" s="1"/>
      <c r="B246" s="1"/>
      <c r="C246" s="1"/>
      <c r="D246" s="1"/>
      <c r="E246" s="1"/>
      <c r="F246" s="1"/>
      <c r="G246" s="9"/>
      <c r="H246" s="1"/>
      <c r="I246" s="1"/>
      <c r="J246" s="1"/>
      <c r="K246" s="3"/>
      <c r="L246" s="3"/>
    </row>
    <row r="247" spans="1:12" x14ac:dyDescent="0.25">
      <c r="A247" s="1"/>
      <c r="B247" s="1"/>
      <c r="C247" s="1"/>
      <c r="D247" s="1"/>
      <c r="E247" s="1"/>
      <c r="F247" s="1"/>
      <c r="G247" s="9"/>
      <c r="H247" s="1"/>
      <c r="I247" s="1"/>
      <c r="J247" s="1"/>
      <c r="K247" s="3"/>
      <c r="L247" s="3"/>
    </row>
    <row r="248" spans="1:12" x14ac:dyDescent="0.25">
      <c r="A248" s="1"/>
      <c r="B248" s="1"/>
      <c r="C248" s="1"/>
      <c r="D248" s="1"/>
      <c r="E248" s="1"/>
      <c r="F248" s="1"/>
      <c r="G248" s="9"/>
      <c r="H248" s="1"/>
      <c r="I248" s="1"/>
      <c r="J248" s="1"/>
      <c r="K248" s="3"/>
      <c r="L248" s="3"/>
    </row>
    <row r="249" spans="1:12" x14ac:dyDescent="0.25">
      <c r="A249" s="1"/>
      <c r="B249" s="1"/>
      <c r="C249" s="1"/>
      <c r="D249" s="1"/>
      <c r="E249" s="1"/>
      <c r="F249" s="1"/>
      <c r="G249" s="9"/>
      <c r="H249" s="1"/>
      <c r="I249" s="1"/>
      <c r="J249" s="1"/>
      <c r="K249" s="3"/>
      <c r="L249" s="3"/>
    </row>
    <row r="250" spans="1:12" x14ac:dyDescent="0.25">
      <c r="A250" s="1"/>
      <c r="B250" s="1"/>
      <c r="C250" s="1"/>
      <c r="D250" s="1"/>
      <c r="E250" s="1"/>
      <c r="F250" s="1"/>
      <c r="G250" s="9"/>
      <c r="H250" s="1"/>
      <c r="I250" s="1"/>
      <c r="J250" s="1"/>
      <c r="K250" s="3"/>
      <c r="L250" s="3"/>
    </row>
    <row r="251" spans="1:12" x14ac:dyDescent="0.25">
      <c r="A251" s="1"/>
      <c r="B251" s="1"/>
      <c r="C251" s="1"/>
      <c r="D251" s="1"/>
      <c r="E251" s="1"/>
      <c r="F251" s="1"/>
      <c r="G251" s="9"/>
      <c r="H251" s="1"/>
      <c r="I251" s="1"/>
      <c r="J251" s="1"/>
      <c r="K251" s="3"/>
      <c r="L251" s="3"/>
    </row>
    <row r="252" spans="1:12" x14ac:dyDescent="0.25">
      <c r="A252" s="1"/>
      <c r="B252" s="1"/>
      <c r="C252" s="1"/>
      <c r="D252" s="1"/>
      <c r="E252" s="1"/>
      <c r="F252" s="1"/>
      <c r="G252" s="9"/>
      <c r="H252" s="1"/>
      <c r="I252" s="1"/>
      <c r="J252" s="1"/>
      <c r="K252" s="3"/>
      <c r="L252" s="3"/>
    </row>
    <row r="253" spans="1:12" x14ac:dyDescent="0.25">
      <c r="A253" s="1"/>
      <c r="B253" s="1"/>
      <c r="C253" s="1"/>
      <c r="D253" s="1"/>
      <c r="E253" s="1"/>
      <c r="F253" s="1"/>
      <c r="G253" s="9"/>
      <c r="H253" s="1"/>
      <c r="I253" s="1"/>
      <c r="J253" s="1"/>
      <c r="K253" s="3"/>
      <c r="L253" s="3"/>
    </row>
    <row r="254" spans="1:12" x14ac:dyDescent="0.25">
      <c r="A254" s="1"/>
      <c r="B254" s="1"/>
      <c r="C254" s="1"/>
      <c r="D254" s="1"/>
      <c r="E254" s="1"/>
      <c r="F254" s="1"/>
      <c r="G254" s="9"/>
      <c r="H254" s="1"/>
      <c r="I254" s="1"/>
      <c r="J254" s="1"/>
      <c r="K254" s="3"/>
      <c r="L254" s="3"/>
    </row>
    <row r="255" spans="1:12" x14ac:dyDescent="0.25">
      <c r="A255" s="1"/>
      <c r="B255" s="1"/>
      <c r="C255" s="1"/>
      <c r="D255" s="1"/>
      <c r="E255" s="1"/>
      <c r="F255" s="1"/>
      <c r="G255" s="9"/>
      <c r="H255" s="1"/>
      <c r="I255" s="1"/>
      <c r="J255" s="1"/>
      <c r="K255" s="3"/>
      <c r="L255" s="3"/>
    </row>
    <row r="256" spans="1:12" x14ac:dyDescent="0.25">
      <c r="A256" s="1"/>
      <c r="B256" s="1"/>
      <c r="C256" s="1"/>
      <c r="D256" s="1"/>
      <c r="E256" s="1"/>
      <c r="F256" s="1"/>
      <c r="G256" s="9"/>
      <c r="H256" s="1"/>
      <c r="I256" s="1"/>
      <c r="J256" s="1"/>
      <c r="K256" s="3"/>
      <c r="L256" s="3"/>
    </row>
    <row r="257" spans="1:12" x14ac:dyDescent="0.25">
      <c r="A257" s="1"/>
      <c r="B257" s="1"/>
      <c r="C257" s="1"/>
      <c r="D257" s="1"/>
      <c r="E257" s="1"/>
      <c r="F257" s="1"/>
      <c r="G257" s="9"/>
      <c r="H257" s="1"/>
      <c r="I257" s="1"/>
      <c r="J257" s="1"/>
      <c r="K257" s="3"/>
      <c r="L257" s="3"/>
    </row>
    <row r="258" spans="1:12" x14ac:dyDescent="0.25">
      <c r="A258" s="1"/>
      <c r="B258" s="1"/>
      <c r="C258" s="1"/>
      <c r="D258" s="1"/>
      <c r="E258" s="1"/>
      <c r="F258" s="1"/>
      <c r="G258" s="9"/>
      <c r="H258" s="1"/>
      <c r="I258" s="1"/>
      <c r="J258" s="1"/>
      <c r="K258" s="3"/>
      <c r="L258" s="3"/>
    </row>
    <row r="259" spans="1:12" x14ac:dyDescent="0.25">
      <c r="A259" s="1"/>
      <c r="B259" s="1"/>
      <c r="C259" s="1"/>
      <c r="D259" s="1"/>
      <c r="E259" s="1"/>
      <c r="F259" s="1"/>
      <c r="G259" s="9"/>
      <c r="H259" s="1"/>
      <c r="I259" s="1"/>
      <c r="J259" s="1"/>
      <c r="K259" s="3"/>
      <c r="L259" s="3"/>
    </row>
    <row r="260" spans="1:12" x14ac:dyDescent="0.25">
      <c r="A260" s="1"/>
      <c r="B260" s="1"/>
      <c r="C260" s="1"/>
      <c r="D260" s="1"/>
      <c r="E260" s="1"/>
      <c r="F260" s="1"/>
      <c r="G260" s="9"/>
      <c r="H260" s="1"/>
      <c r="I260" s="1"/>
      <c r="J260" s="1"/>
      <c r="K260" s="3"/>
      <c r="L260" s="3"/>
    </row>
    <row r="261" spans="1:12" x14ac:dyDescent="0.25">
      <c r="A261" s="1"/>
      <c r="B261" s="1"/>
      <c r="C261" s="1"/>
      <c r="D261" s="1"/>
      <c r="E261" s="1"/>
      <c r="F261" s="1"/>
      <c r="G261" s="9"/>
      <c r="H261" s="1"/>
      <c r="I261" s="1"/>
      <c r="J261" s="1"/>
      <c r="K261" s="3"/>
      <c r="L261" s="3"/>
    </row>
    <row r="262" spans="1:12" x14ac:dyDescent="0.25">
      <c r="A262" s="1"/>
      <c r="B262" s="1"/>
      <c r="C262" s="1"/>
      <c r="D262" s="1"/>
      <c r="E262" s="1"/>
      <c r="F262" s="1"/>
      <c r="G262" s="9"/>
      <c r="H262" s="1"/>
      <c r="I262" s="1"/>
      <c r="J262" s="1"/>
      <c r="K262" s="3"/>
      <c r="L262" s="3"/>
    </row>
    <row r="263" spans="1:12" x14ac:dyDescent="0.25">
      <c r="A263" s="1"/>
      <c r="B263" s="1"/>
      <c r="C263" s="1"/>
      <c r="D263" s="1"/>
      <c r="E263" s="1"/>
      <c r="F263" s="1"/>
      <c r="G263" s="9"/>
      <c r="H263" s="1"/>
      <c r="I263" s="1"/>
      <c r="J263" s="1"/>
      <c r="K263" s="3"/>
      <c r="L263" s="3"/>
    </row>
    <row r="264" spans="1:12" x14ac:dyDescent="0.25">
      <c r="A264" s="1"/>
      <c r="B264" s="1"/>
      <c r="C264" s="1"/>
      <c r="D264" s="1"/>
      <c r="E264" s="1"/>
      <c r="F264" s="1"/>
      <c r="G264" s="9"/>
      <c r="H264" s="1"/>
      <c r="I264" s="1"/>
      <c r="J264" s="1"/>
      <c r="K264" s="3"/>
      <c r="L264" s="3"/>
    </row>
    <row r="265" spans="1:12" x14ac:dyDescent="0.25">
      <c r="A265" s="1"/>
      <c r="B265" s="1"/>
      <c r="C265" s="1"/>
      <c r="D265" s="1"/>
      <c r="E265" s="1"/>
      <c r="F265" s="1"/>
      <c r="G265" s="9"/>
      <c r="H265" s="1"/>
      <c r="I265" s="1"/>
      <c r="J265" s="1"/>
      <c r="K265" s="3"/>
      <c r="L265" s="3"/>
    </row>
    <row r="266" spans="1:12" x14ac:dyDescent="0.25">
      <c r="A266" s="1"/>
      <c r="B266" s="1"/>
      <c r="C266" s="1"/>
      <c r="D266" s="1"/>
      <c r="E266" s="1"/>
      <c r="F266" s="1"/>
      <c r="G266" s="9"/>
      <c r="H266" s="1"/>
      <c r="I266" s="1"/>
      <c r="J266" s="1"/>
      <c r="K266" s="3"/>
      <c r="L266" s="3"/>
    </row>
    <row r="267" spans="1:12" x14ac:dyDescent="0.25">
      <c r="A267" s="1"/>
      <c r="B267" s="1"/>
      <c r="C267" s="1"/>
      <c r="D267" s="1"/>
      <c r="E267" s="1"/>
      <c r="F267" s="1"/>
      <c r="G267" s="9"/>
      <c r="H267" s="1"/>
      <c r="I267" s="1"/>
      <c r="J267" s="1"/>
      <c r="K267" s="3"/>
      <c r="L267" s="3"/>
    </row>
    <row r="268" spans="1:12" x14ac:dyDescent="0.25">
      <c r="A268" s="1"/>
      <c r="B268" s="1"/>
      <c r="C268" s="1"/>
      <c r="D268" s="1"/>
      <c r="E268" s="1"/>
      <c r="F268" s="1"/>
      <c r="G268" s="9"/>
      <c r="H268" s="1"/>
      <c r="I268" s="1"/>
      <c r="J268" s="1"/>
      <c r="K268" s="3"/>
      <c r="L268" s="3"/>
    </row>
    <row r="269" spans="1:12" x14ac:dyDescent="0.25">
      <c r="A269" s="1"/>
      <c r="B269" s="1"/>
      <c r="C269" s="1"/>
      <c r="D269" s="1"/>
      <c r="E269" s="1"/>
      <c r="F269" s="1"/>
      <c r="G269" s="9"/>
      <c r="H269" s="1"/>
      <c r="I269" s="1"/>
      <c r="J269" s="1"/>
      <c r="K269" s="3"/>
      <c r="L269" s="3"/>
    </row>
    <row r="270" spans="1:12" x14ac:dyDescent="0.25">
      <c r="A270" s="1"/>
      <c r="B270" s="1"/>
      <c r="C270" s="1"/>
      <c r="D270" s="1"/>
      <c r="E270" s="1"/>
      <c r="F270" s="1"/>
      <c r="G270" s="9"/>
      <c r="H270" s="1"/>
      <c r="I270" s="1"/>
      <c r="J270" s="1"/>
      <c r="K270" s="3"/>
      <c r="L270" s="3"/>
    </row>
    <row r="271" spans="1:12" x14ac:dyDescent="0.25">
      <c r="A271" s="1"/>
      <c r="B271" s="1"/>
      <c r="C271" s="1"/>
      <c r="D271" s="1"/>
      <c r="E271" s="1"/>
      <c r="F271" s="1"/>
      <c r="G271" s="9"/>
      <c r="H271" s="1"/>
      <c r="I271" s="1"/>
      <c r="J271" s="1"/>
      <c r="K271" s="3"/>
      <c r="L271" s="3"/>
    </row>
    <row r="272" spans="1:12" x14ac:dyDescent="0.25">
      <c r="A272" s="1"/>
      <c r="B272" s="1"/>
      <c r="C272" s="1"/>
      <c r="D272" s="1"/>
      <c r="E272" s="1"/>
      <c r="F272" s="1"/>
      <c r="G272" s="9"/>
      <c r="H272" s="1"/>
      <c r="I272" s="1"/>
      <c r="J272" s="1"/>
      <c r="K272" s="3"/>
      <c r="L272" s="3"/>
    </row>
    <row r="273" spans="1:12" x14ac:dyDescent="0.25">
      <c r="A273" s="1"/>
      <c r="B273" s="1"/>
      <c r="C273" s="1"/>
      <c r="D273" s="1"/>
      <c r="E273" s="1"/>
      <c r="F273" s="1"/>
      <c r="G273" s="9"/>
      <c r="H273" s="1"/>
      <c r="I273" s="1"/>
      <c r="J273" s="1"/>
      <c r="K273" s="3"/>
      <c r="L273" s="3"/>
    </row>
    <row r="274" spans="1:12" x14ac:dyDescent="0.25">
      <c r="A274" s="1"/>
      <c r="B274" s="1"/>
      <c r="C274" s="1"/>
      <c r="D274" s="1"/>
      <c r="E274" s="1"/>
      <c r="F274" s="1"/>
      <c r="G274" s="9"/>
      <c r="H274" s="1"/>
      <c r="I274" s="1"/>
      <c r="J274" s="1"/>
      <c r="K274" s="3"/>
      <c r="L274" s="3"/>
    </row>
    <row r="275" spans="1:12" x14ac:dyDescent="0.25">
      <c r="A275" s="1"/>
      <c r="B275" s="1"/>
      <c r="C275" s="1"/>
      <c r="D275" s="1"/>
      <c r="E275" s="1"/>
      <c r="F275" s="1"/>
      <c r="G275" s="9"/>
      <c r="H275" s="1"/>
      <c r="I275" s="1"/>
      <c r="J275" s="1"/>
      <c r="K275" s="3"/>
      <c r="L275" s="3"/>
    </row>
    <row r="276" spans="1:12" x14ac:dyDescent="0.25">
      <c r="A276" s="1"/>
      <c r="B276" s="1"/>
      <c r="C276" s="1"/>
      <c r="D276" s="1"/>
      <c r="E276" s="1"/>
      <c r="F276" s="1"/>
      <c r="G276" s="9"/>
      <c r="H276" s="1"/>
      <c r="I276" s="1"/>
      <c r="J276" s="1"/>
      <c r="K276" s="3"/>
      <c r="L276" s="3"/>
    </row>
    <row r="277" spans="1:12" x14ac:dyDescent="0.25">
      <c r="A277" s="1"/>
      <c r="B277" s="1"/>
      <c r="C277" s="1"/>
      <c r="D277" s="1"/>
      <c r="E277" s="1"/>
      <c r="F277" s="1"/>
      <c r="G277" s="9"/>
      <c r="H277" s="1"/>
      <c r="I277" s="1"/>
      <c r="J277" s="1"/>
      <c r="K277" s="3"/>
      <c r="L277" s="3"/>
    </row>
    <row r="278" spans="1:12" x14ac:dyDescent="0.25">
      <c r="A278" s="1"/>
      <c r="B278" s="1"/>
      <c r="C278" s="1"/>
      <c r="D278" s="1"/>
      <c r="E278" s="1"/>
      <c r="F278" s="1"/>
      <c r="G278" s="9"/>
      <c r="H278" s="1"/>
      <c r="I278" s="1"/>
      <c r="J278" s="1"/>
      <c r="K278" s="3"/>
      <c r="L278" s="3"/>
    </row>
    <row r="279" spans="1:12" x14ac:dyDescent="0.25">
      <c r="A279" s="1"/>
      <c r="B279" s="1"/>
      <c r="C279" s="1"/>
      <c r="D279" s="1"/>
      <c r="E279" s="1"/>
      <c r="F279" s="1"/>
      <c r="G279" s="9"/>
      <c r="H279" s="1"/>
      <c r="I279" s="1"/>
      <c r="J279" s="1"/>
      <c r="K279" s="3"/>
      <c r="L279" s="3"/>
    </row>
    <row r="280" spans="1:12" x14ac:dyDescent="0.25">
      <c r="A280" s="1"/>
      <c r="B280" s="1"/>
      <c r="C280" s="1"/>
      <c r="D280" s="1"/>
      <c r="E280" s="1"/>
      <c r="F280" s="1"/>
      <c r="G280" s="9"/>
      <c r="H280" s="1"/>
      <c r="I280" s="1"/>
      <c r="J280" s="1"/>
      <c r="K280" s="3"/>
      <c r="L280" s="3"/>
    </row>
    <row r="281" spans="1:12" x14ac:dyDescent="0.25">
      <c r="A281" s="1"/>
      <c r="B281" s="1"/>
      <c r="C281" s="1"/>
      <c r="D281" s="1"/>
      <c r="E281" s="1"/>
      <c r="F281" s="1"/>
      <c r="G281" s="9"/>
      <c r="H281" s="1"/>
      <c r="I281" s="1"/>
      <c r="J281" s="1"/>
      <c r="K281" s="3"/>
      <c r="L281" s="3"/>
    </row>
    <row r="282" spans="1:12" x14ac:dyDescent="0.25">
      <c r="A282" s="1"/>
      <c r="B282" s="1"/>
      <c r="C282" s="1"/>
      <c r="D282" s="1"/>
      <c r="E282" s="1"/>
      <c r="F282" s="1"/>
      <c r="G282" s="9"/>
      <c r="H282" s="1"/>
      <c r="I282" s="1"/>
      <c r="J282" s="1"/>
      <c r="K282" s="3"/>
      <c r="L282" s="3"/>
    </row>
    <row r="283" spans="1:12" x14ac:dyDescent="0.25">
      <c r="A283" s="1"/>
      <c r="B283" s="1"/>
      <c r="C283" s="1"/>
      <c r="D283" s="1"/>
      <c r="E283" s="1"/>
      <c r="F283" s="1"/>
      <c r="G283" s="9"/>
      <c r="H283" s="1"/>
      <c r="I283" s="1"/>
      <c r="J283" s="1"/>
      <c r="K283" s="3"/>
      <c r="L283" s="3"/>
    </row>
    <row r="284" spans="1:12" x14ac:dyDescent="0.25">
      <c r="A284" s="1"/>
      <c r="B284" s="1"/>
      <c r="C284" s="1"/>
      <c r="D284" s="1"/>
      <c r="E284" s="1"/>
      <c r="F284" s="1"/>
      <c r="G284" s="9"/>
      <c r="H284" s="1"/>
      <c r="I284" s="1"/>
      <c r="J284" s="1"/>
      <c r="K284" s="3"/>
      <c r="L284" s="3"/>
    </row>
    <row r="285" spans="1:12" x14ac:dyDescent="0.25">
      <c r="A285" s="1"/>
      <c r="B285" s="1"/>
      <c r="C285" s="1"/>
      <c r="D285" s="1"/>
      <c r="E285" s="1"/>
      <c r="F285" s="1"/>
      <c r="G285" s="9"/>
      <c r="H285" s="1"/>
      <c r="I285" s="1"/>
      <c r="J285" s="1"/>
      <c r="K285" s="3"/>
      <c r="L285" s="3"/>
    </row>
    <row r="286" spans="1:12" x14ac:dyDescent="0.25">
      <c r="A286" s="1"/>
      <c r="B286" s="1"/>
      <c r="C286" s="1"/>
      <c r="D286" s="1"/>
      <c r="E286" s="1"/>
      <c r="F286" s="1"/>
      <c r="G286" s="9"/>
      <c r="H286" s="1"/>
      <c r="I286" s="1"/>
      <c r="J286" s="1"/>
      <c r="K286" s="3"/>
      <c r="L286" s="3"/>
    </row>
    <row r="287" spans="1:12" x14ac:dyDescent="0.25">
      <c r="A287" s="1"/>
      <c r="B287" s="1"/>
      <c r="C287" s="1"/>
      <c r="D287" s="1"/>
      <c r="E287" s="1"/>
      <c r="F287" s="1"/>
      <c r="G287" s="9"/>
      <c r="H287" s="1"/>
      <c r="I287" s="1"/>
      <c r="J287" s="1"/>
      <c r="K287" s="3"/>
      <c r="L287" s="3"/>
    </row>
    <row r="288" spans="1:12" x14ac:dyDescent="0.25">
      <c r="A288" s="1"/>
      <c r="B288" s="1"/>
      <c r="C288" s="1"/>
      <c r="D288" s="1"/>
      <c r="E288" s="1"/>
      <c r="F288" s="1"/>
      <c r="G288" s="9"/>
      <c r="H288" s="1"/>
      <c r="I288" s="1"/>
      <c r="J288" s="1"/>
      <c r="K288" s="3"/>
      <c r="L288" s="3"/>
    </row>
    <row r="289" spans="1:12" x14ac:dyDescent="0.25">
      <c r="A289" s="1"/>
      <c r="B289" s="1"/>
      <c r="C289" s="1"/>
      <c r="D289" s="1"/>
      <c r="E289" s="1"/>
      <c r="F289" s="1"/>
      <c r="G289" s="9"/>
      <c r="H289" s="1"/>
      <c r="I289" s="1"/>
      <c r="J289" s="1"/>
      <c r="K289" s="3"/>
      <c r="L289" s="3"/>
    </row>
    <row r="290" spans="1:12" x14ac:dyDescent="0.25">
      <c r="A290" s="1"/>
      <c r="B290" s="1"/>
      <c r="C290" s="1"/>
      <c r="D290" s="1"/>
      <c r="E290" s="1"/>
      <c r="F290" s="1"/>
      <c r="G290" s="9"/>
      <c r="H290" s="1"/>
      <c r="I290" s="1"/>
      <c r="J290" s="1"/>
      <c r="K290" s="3"/>
      <c r="L290" s="3"/>
    </row>
    <row r="291" spans="1:12" x14ac:dyDescent="0.25">
      <c r="A291" s="1"/>
      <c r="B291" s="1"/>
      <c r="C291" s="1"/>
      <c r="D291" s="1"/>
      <c r="E291" s="1"/>
      <c r="F291" s="1"/>
      <c r="G291" s="9"/>
      <c r="H291" s="1"/>
      <c r="I291" s="1"/>
      <c r="J291" s="1"/>
      <c r="K291" s="3"/>
      <c r="L291" s="3"/>
    </row>
    <row r="292" spans="1:12" x14ac:dyDescent="0.25">
      <c r="A292" s="1"/>
      <c r="B292" s="1"/>
      <c r="C292" s="1"/>
      <c r="D292" s="1"/>
      <c r="E292" s="1"/>
      <c r="F292" s="1"/>
      <c r="G292" s="9"/>
      <c r="H292" s="1"/>
      <c r="I292" s="1"/>
      <c r="J292" s="1"/>
      <c r="K292" s="3"/>
      <c r="L292" s="3"/>
    </row>
    <row r="293" spans="1:12" x14ac:dyDescent="0.25">
      <c r="A293" s="1"/>
      <c r="B293" s="1"/>
      <c r="C293" s="1"/>
      <c r="D293" s="1"/>
      <c r="E293" s="1"/>
      <c r="F293" s="1"/>
      <c r="G293" s="9"/>
      <c r="H293" s="1"/>
      <c r="I293" s="1"/>
      <c r="J293" s="1"/>
      <c r="K293" s="3"/>
      <c r="L293" s="3"/>
    </row>
    <row r="294" spans="1:12" x14ac:dyDescent="0.25">
      <c r="A294" s="1"/>
      <c r="B294" s="1"/>
      <c r="C294" s="1"/>
      <c r="D294" s="1"/>
      <c r="E294" s="1"/>
      <c r="F294" s="1"/>
      <c r="G294" s="9"/>
      <c r="H294" s="1"/>
      <c r="I294" s="1"/>
      <c r="J294" s="1"/>
      <c r="K294" s="3"/>
      <c r="L294" s="3"/>
    </row>
    <row r="295" spans="1:12" x14ac:dyDescent="0.25">
      <c r="A295" s="1"/>
      <c r="B295" s="1"/>
      <c r="C295" s="1"/>
      <c r="D295" s="1"/>
      <c r="E295" s="1"/>
      <c r="F295" s="1"/>
      <c r="G295" s="9"/>
      <c r="H295" s="1"/>
      <c r="I295" s="1"/>
      <c r="J295" s="1"/>
      <c r="K295" s="3"/>
      <c r="L295" s="3"/>
    </row>
    <row r="296" spans="1:12" x14ac:dyDescent="0.25">
      <c r="A296" s="1"/>
      <c r="B296" s="1"/>
      <c r="C296" s="1"/>
      <c r="D296" s="1"/>
      <c r="E296" s="1"/>
      <c r="F296" s="1"/>
      <c r="G296" s="9"/>
      <c r="H296" s="1"/>
      <c r="I296" s="1"/>
      <c r="J296" s="1"/>
      <c r="K296" s="3"/>
      <c r="L296" s="3"/>
    </row>
    <row r="297" spans="1:12" x14ac:dyDescent="0.25">
      <c r="A297" s="1"/>
      <c r="B297" s="1"/>
      <c r="C297" s="1"/>
      <c r="D297" s="1"/>
      <c r="E297" s="1"/>
      <c r="F297" s="1"/>
      <c r="G297" s="9"/>
      <c r="H297" s="1"/>
      <c r="I297" s="1"/>
      <c r="J297" s="1"/>
      <c r="K297" s="3"/>
      <c r="L297" s="3"/>
    </row>
    <row r="298" spans="1:12" x14ac:dyDescent="0.25">
      <c r="A298" s="1"/>
      <c r="B298" s="1"/>
      <c r="C298" s="1"/>
      <c r="D298" s="1"/>
      <c r="E298" s="1"/>
      <c r="F298" s="1"/>
      <c r="G298" s="9"/>
      <c r="H298" s="1"/>
      <c r="I298" s="1"/>
      <c r="J298" s="1"/>
      <c r="K298" s="3"/>
      <c r="L298" s="3"/>
    </row>
    <row r="299" spans="1:12" x14ac:dyDescent="0.25">
      <c r="A299" s="1"/>
      <c r="B299" s="1"/>
      <c r="C299" s="1"/>
      <c r="D299" s="1"/>
      <c r="E299" s="1"/>
      <c r="F299" s="1"/>
      <c r="G299" s="9"/>
      <c r="H299" s="1"/>
      <c r="I299" s="1"/>
      <c r="J299" s="1"/>
      <c r="K299" s="3"/>
      <c r="L299" s="3"/>
    </row>
    <row r="300" spans="1:12" x14ac:dyDescent="0.25">
      <c r="A300" s="1"/>
      <c r="B300" s="1"/>
      <c r="C300" s="1"/>
      <c r="D300" s="1"/>
      <c r="E300" s="1"/>
      <c r="F300" s="1"/>
      <c r="G300" s="9"/>
      <c r="H300" s="1"/>
      <c r="I300" s="1"/>
      <c r="J300" s="1"/>
      <c r="K300" s="3"/>
      <c r="L300" s="3"/>
    </row>
    <row r="301" spans="1:12" x14ac:dyDescent="0.25">
      <c r="A301" s="1"/>
      <c r="B301" s="1"/>
      <c r="C301" s="1"/>
      <c r="D301" s="1"/>
      <c r="E301" s="1"/>
      <c r="F301" s="1"/>
      <c r="G301" s="9"/>
      <c r="H301" s="1"/>
      <c r="I301" s="1"/>
      <c r="J301" s="1"/>
      <c r="K301" s="3"/>
      <c r="L301" s="3"/>
    </row>
    <row r="302" spans="1:12" x14ac:dyDescent="0.25">
      <c r="A302" s="1"/>
      <c r="B302" s="1"/>
      <c r="C302" s="1"/>
      <c r="D302" s="1"/>
      <c r="E302" s="1"/>
      <c r="F302" s="1"/>
      <c r="G302" s="9"/>
      <c r="H302" s="1"/>
      <c r="I302" s="1"/>
      <c r="J302" s="1"/>
      <c r="K302" s="3"/>
      <c r="L302" s="3"/>
    </row>
    <row r="303" spans="1:12" x14ac:dyDescent="0.25">
      <c r="A303" s="1"/>
      <c r="B303" s="1"/>
      <c r="C303" s="1"/>
      <c r="D303" s="1"/>
      <c r="E303" s="1"/>
      <c r="F303" s="1"/>
      <c r="G303" s="9"/>
      <c r="H303" s="1"/>
      <c r="I303" s="1"/>
      <c r="J303" s="1"/>
      <c r="K303" s="3"/>
      <c r="L303" s="3"/>
    </row>
    <row r="304" spans="1:12" x14ac:dyDescent="0.25">
      <c r="A304" s="1"/>
      <c r="B304" s="1"/>
      <c r="C304" s="1"/>
      <c r="D304" s="1"/>
      <c r="E304" s="1"/>
      <c r="F304" s="1"/>
      <c r="G304" s="9"/>
      <c r="H304" s="1"/>
      <c r="I304" s="1"/>
      <c r="J304" s="1"/>
      <c r="K304" s="3"/>
      <c r="L304" s="3"/>
    </row>
    <row r="305" spans="1:12" x14ac:dyDescent="0.25">
      <c r="A305" s="1"/>
      <c r="B305" s="1"/>
      <c r="C305" s="1"/>
      <c r="D305" s="1"/>
      <c r="E305" s="1"/>
      <c r="F305" s="1"/>
      <c r="G305" s="9"/>
      <c r="H305" s="1"/>
      <c r="I305" s="1"/>
      <c r="J305" s="1"/>
      <c r="K305" s="3"/>
      <c r="L305" s="3"/>
    </row>
    <row r="306" spans="1:12" x14ac:dyDescent="0.25">
      <c r="A306" s="1"/>
      <c r="B306" s="1"/>
      <c r="C306" s="1"/>
      <c r="D306" s="1"/>
      <c r="E306" s="1"/>
      <c r="F306" s="1"/>
      <c r="G306" s="9"/>
      <c r="H306" s="1"/>
      <c r="I306" s="1"/>
      <c r="J306" s="1"/>
      <c r="K306" s="3"/>
      <c r="L306" s="3"/>
    </row>
    <row r="307" spans="1:12" x14ac:dyDescent="0.25">
      <c r="A307" s="1"/>
      <c r="B307" s="1"/>
      <c r="C307" s="1"/>
      <c r="D307" s="1"/>
      <c r="E307" s="1"/>
      <c r="F307" s="1"/>
      <c r="G307" s="9"/>
      <c r="H307" s="1"/>
      <c r="I307" s="1"/>
      <c r="J307" s="1"/>
      <c r="K307" s="3"/>
      <c r="L307" s="3"/>
    </row>
    <row r="308" spans="1:12" x14ac:dyDescent="0.25">
      <c r="A308" s="1"/>
      <c r="B308" s="1"/>
      <c r="C308" s="1"/>
      <c r="D308" s="1"/>
      <c r="E308" s="1"/>
      <c r="F308" s="1"/>
      <c r="G308" s="9"/>
      <c r="H308" s="1"/>
      <c r="I308" s="1"/>
      <c r="J308" s="1"/>
      <c r="K308" s="3"/>
      <c r="L308" s="3"/>
    </row>
    <row r="309" spans="1:12" x14ac:dyDescent="0.25">
      <c r="A309" s="1"/>
      <c r="B309" s="1"/>
      <c r="C309" s="1"/>
      <c r="D309" s="1"/>
      <c r="E309" s="1"/>
      <c r="F309" s="1"/>
      <c r="G309" s="9"/>
      <c r="H309" s="1"/>
      <c r="I309" s="1"/>
      <c r="J309" s="1"/>
      <c r="K309" s="3"/>
      <c r="L309" s="3"/>
    </row>
    <row r="310" spans="1:12" x14ac:dyDescent="0.25">
      <c r="A310" s="1"/>
      <c r="B310" s="1"/>
      <c r="C310" s="1"/>
      <c r="D310" s="1"/>
      <c r="E310" s="1"/>
      <c r="F310" s="1"/>
      <c r="G310" s="9"/>
      <c r="H310" s="1"/>
      <c r="I310" s="1"/>
      <c r="J310" s="1"/>
      <c r="K310" s="3"/>
      <c r="L310" s="3"/>
    </row>
    <row r="311" spans="1:12" x14ac:dyDescent="0.25">
      <c r="A311" s="1"/>
      <c r="B311" s="1"/>
      <c r="C311" s="1"/>
      <c r="D311" s="1"/>
      <c r="E311" s="1"/>
      <c r="F311" s="1"/>
      <c r="G311" s="9"/>
      <c r="H311" s="1"/>
      <c r="I311" s="1"/>
      <c r="J311" s="1"/>
      <c r="K311" s="3"/>
      <c r="L311" s="3"/>
    </row>
    <row r="312" spans="1:12" x14ac:dyDescent="0.25">
      <c r="A312" s="1"/>
      <c r="B312" s="1"/>
      <c r="C312" s="1"/>
      <c r="D312" s="1"/>
      <c r="E312" s="1"/>
      <c r="F312" s="1"/>
      <c r="G312" s="9"/>
      <c r="H312" s="1"/>
      <c r="I312" s="1"/>
      <c r="J312" s="1"/>
      <c r="K312" s="3"/>
      <c r="L312" s="3"/>
    </row>
    <row r="313" spans="1:12" x14ac:dyDescent="0.25">
      <c r="A313" s="1"/>
      <c r="B313" s="1"/>
      <c r="C313" s="1"/>
      <c r="D313" s="1"/>
      <c r="E313" s="1"/>
      <c r="F313" s="1"/>
      <c r="G313" s="9"/>
      <c r="H313" s="1"/>
      <c r="I313" s="1"/>
      <c r="J313" s="1"/>
      <c r="K313" s="3"/>
      <c r="L313" s="3"/>
    </row>
    <row r="314" spans="1:12" x14ac:dyDescent="0.25">
      <c r="A314" s="1"/>
      <c r="B314" s="1"/>
      <c r="C314" s="1"/>
      <c r="D314" s="1"/>
      <c r="E314" s="1"/>
      <c r="F314" s="1"/>
      <c r="G314" s="9"/>
      <c r="H314" s="1"/>
      <c r="I314" s="1"/>
      <c r="J314" s="1"/>
      <c r="K314" s="3"/>
      <c r="L314" s="3"/>
    </row>
    <row r="315" spans="1:12" x14ac:dyDescent="0.25">
      <c r="A315" s="1"/>
      <c r="B315" s="1"/>
      <c r="C315" s="1"/>
      <c r="D315" s="1"/>
      <c r="E315" s="1"/>
      <c r="F315" s="1"/>
      <c r="G315" s="9"/>
      <c r="H315" s="1"/>
      <c r="I315" s="1"/>
      <c r="J315" s="1"/>
      <c r="K315" s="3"/>
      <c r="L315" s="3"/>
    </row>
    <row r="316" spans="1:12" x14ac:dyDescent="0.25">
      <c r="A316" s="1"/>
      <c r="B316" s="1"/>
      <c r="C316" s="1"/>
      <c r="D316" s="1"/>
      <c r="E316" s="1"/>
      <c r="F316" s="1"/>
      <c r="G316" s="9"/>
      <c r="H316" s="1"/>
      <c r="I316" s="1"/>
      <c r="J316" s="1"/>
      <c r="K316" s="3"/>
      <c r="L316" s="3"/>
    </row>
    <row r="317" spans="1:12" x14ac:dyDescent="0.25">
      <c r="A317" s="1"/>
      <c r="B317" s="1"/>
      <c r="C317" s="1"/>
      <c r="D317" s="1"/>
      <c r="E317" s="1"/>
      <c r="F317" s="1"/>
      <c r="G317" s="9"/>
      <c r="H317" s="1"/>
      <c r="I317" s="1"/>
      <c r="J317" s="1"/>
      <c r="K317" s="3"/>
      <c r="L317" s="3"/>
    </row>
    <row r="318" spans="1:12" x14ac:dyDescent="0.25">
      <c r="A318" s="1"/>
      <c r="B318" s="1"/>
      <c r="C318" s="1"/>
      <c r="D318" s="1"/>
      <c r="E318" s="1"/>
      <c r="F318" s="1"/>
      <c r="G318" s="9"/>
      <c r="H318" s="1"/>
      <c r="I318" s="1"/>
      <c r="J318" s="1"/>
      <c r="K318" s="3"/>
      <c r="L318" s="3"/>
    </row>
    <row r="319" spans="1:12" x14ac:dyDescent="0.25">
      <c r="A319" s="1"/>
      <c r="B319" s="1"/>
      <c r="C319" s="1"/>
      <c r="D319" s="1"/>
      <c r="E319" s="1"/>
      <c r="F319" s="1"/>
      <c r="G319" s="9"/>
      <c r="H319" s="1"/>
      <c r="I319" s="1"/>
      <c r="J319" s="1"/>
      <c r="K319" s="3"/>
      <c r="L319" s="3"/>
    </row>
    <row r="320" spans="1:12" x14ac:dyDescent="0.25">
      <c r="A320" s="1"/>
      <c r="B320" s="1"/>
      <c r="C320" s="1"/>
      <c r="D320" s="1"/>
      <c r="E320" s="1"/>
      <c r="F320" s="1"/>
      <c r="G320" s="9"/>
      <c r="H320" s="1"/>
      <c r="I320" s="1"/>
      <c r="J320" s="1"/>
      <c r="K320" s="3"/>
      <c r="L320" s="3"/>
    </row>
    <row r="321" spans="1:12" x14ac:dyDescent="0.25">
      <c r="A321" s="1"/>
      <c r="B321" s="1"/>
      <c r="C321" s="1"/>
      <c r="D321" s="1"/>
      <c r="E321" s="1"/>
      <c r="F321" s="1"/>
      <c r="G321" s="9"/>
      <c r="H321" s="1"/>
      <c r="I321" s="1"/>
      <c r="J321" s="1"/>
      <c r="K321" s="3"/>
      <c r="L321" s="3"/>
    </row>
    <row r="322" spans="1:12" x14ac:dyDescent="0.25">
      <c r="A322" s="1"/>
      <c r="B322" s="1"/>
      <c r="C322" s="1"/>
      <c r="D322" s="1"/>
      <c r="E322" s="1"/>
      <c r="F322" s="1"/>
      <c r="G322" s="9"/>
      <c r="H322" s="1"/>
      <c r="I322" s="1"/>
      <c r="J322" s="1"/>
      <c r="K322" s="3"/>
      <c r="L322" s="3"/>
    </row>
    <row r="323" spans="1:12" x14ac:dyDescent="0.25">
      <c r="A323" s="1"/>
      <c r="B323" s="1"/>
      <c r="C323" s="1"/>
      <c r="D323" s="1"/>
      <c r="E323" s="1"/>
      <c r="F323" s="1"/>
      <c r="G323" s="9"/>
      <c r="H323" s="1"/>
      <c r="I323" s="1"/>
      <c r="J323" s="1"/>
      <c r="K323" s="3"/>
      <c r="L323" s="3"/>
    </row>
    <row r="324" spans="1:12" x14ac:dyDescent="0.25">
      <c r="A324" s="1"/>
      <c r="B324" s="1"/>
      <c r="C324" s="1"/>
      <c r="D324" s="1"/>
      <c r="E324" s="1"/>
      <c r="F324" s="1"/>
      <c r="G324" s="9"/>
      <c r="H324" s="1"/>
      <c r="I324" s="1"/>
      <c r="J324" s="1"/>
      <c r="K324" s="3"/>
      <c r="L324" s="3"/>
    </row>
    <row r="325" spans="1:12" x14ac:dyDescent="0.25">
      <c r="A325" s="1"/>
      <c r="B325" s="1"/>
      <c r="C325" s="1"/>
      <c r="D325" s="1"/>
      <c r="E325" s="1"/>
      <c r="F325" s="1"/>
      <c r="G325" s="9"/>
      <c r="H325" s="1"/>
      <c r="I325" s="1"/>
      <c r="J325" s="1"/>
      <c r="K325" s="3"/>
      <c r="L325" s="3"/>
    </row>
    <row r="326" spans="1:12" x14ac:dyDescent="0.25">
      <c r="A326" s="1"/>
      <c r="B326" s="1"/>
      <c r="C326" s="1"/>
      <c r="D326" s="1"/>
      <c r="E326" s="1"/>
      <c r="F326" s="1"/>
      <c r="G326" s="9"/>
      <c r="H326" s="1"/>
      <c r="I326" s="1"/>
      <c r="J326" s="1"/>
      <c r="K326" s="3"/>
      <c r="L326" s="3"/>
    </row>
    <row r="327" spans="1:12" x14ac:dyDescent="0.25">
      <c r="A327" s="1"/>
      <c r="B327" s="1"/>
      <c r="C327" s="1"/>
      <c r="D327" s="1"/>
      <c r="E327" s="1"/>
      <c r="F327" s="1"/>
      <c r="G327" s="9"/>
      <c r="H327" s="1"/>
      <c r="I327" s="1"/>
      <c r="J327" s="1"/>
      <c r="K327" s="3"/>
      <c r="L327" s="3"/>
    </row>
    <row r="328" spans="1:12" x14ac:dyDescent="0.25">
      <c r="A328" s="1"/>
      <c r="B328" s="1"/>
      <c r="C328" s="1"/>
      <c r="D328" s="1"/>
      <c r="E328" s="1"/>
      <c r="F328" s="1"/>
      <c r="G328" s="9"/>
      <c r="H328" s="1"/>
      <c r="I328" s="1"/>
      <c r="J328" s="1"/>
      <c r="K328" s="3"/>
      <c r="L328" s="3"/>
    </row>
    <row r="329" spans="1:12" x14ac:dyDescent="0.25">
      <c r="A329" s="1"/>
      <c r="B329" s="1"/>
      <c r="C329" s="1"/>
      <c r="D329" s="1"/>
      <c r="E329" s="1"/>
      <c r="F329" s="1"/>
      <c r="G329" s="9"/>
      <c r="H329" s="1"/>
      <c r="I329" s="1"/>
      <c r="J329" s="1"/>
      <c r="K329" s="3"/>
      <c r="L329" s="3"/>
    </row>
    <row r="330" spans="1:12" x14ac:dyDescent="0.25">
      <c r="A330" s="1"/>
      <c r="B330" s="1"/>
      <c r="C330" s="1"/>
      <c r="D330" s="1"/>
      <c r="E330" s="1"/>
      <c r="F330" s="1"/>
      <c r="G330" s="9"/>
      <c r="H330" s="1"/>
      <c r="I330" s="1"/>
      <c r="J330" s="1"/>
      <c r="K330" s="3"/>
      <c r="L330" s="3"/>
    </row>
    <row r="331" spans="1:12" x14ac:dyDescent="0.25">
      <c r="A331" s="1"/>
      <c r="B331" s="1"/>
      <c r="C331" s="1"/>
      <c r="D331" s="1"/>
      <c r="E331" s="1"/>
      <c r="F331" s="1"/>
      <c r="G331" s="9"/>
      <c r="H331" s="1"/>
      <c r="I331" s="1"/>
      <c r="J331" s="1"/>
      <c r="K331" s="3"/>
      <c r="L331" s="3"/>
    </row>
    <row r="332" spans="1:12" x14ac:dyDescent="0.25">
      <c r="A332" s="1"/>
      <c r="B332" s="1"/>
      <c r="C332" s="1"/>
      <c r="D332" s="1"/>
      <c r="E332" s="1"/>
      <c r="F332" s="1"/>
      <c r="G332" s="9"/>
      <c r="H332" s="1"/>
      <c r="I332" s="1"/>
      <c r="J332" s="1"/>
      <c r="K332" s="3"/>
      <c r="L332" s="3"/>
    </row>
    <row r="333" spans="1:12" x14ac:dyDescent="0.25">
      <c r="A333" s="1"/>
      <c r="B333" s="1"/>
      <c r="C333" s="1"/>
      <c r="D333" s="1"/>
      <c r="E333" s="1"/>
      <c r="F333" s="1"/>
      <c r="G333" s="9"/>
      <c r="H333" s="1"/>
      <c r="I333" s="1"/>
      <c r="J333" s="1"/>
      <c r="K333" s="3"/>
      <c r="L333" s="3"/>
    </row>
    <row r="334" spans="1:12" x14ac:dyDescent="0.25">
      <c r="A334" s="1"/>
      <c r="B334" s="1"/>
      <c r="C334" s="1"/>
      <c r="D334" s="1"/>
      <c r="E334" s="1"/>
      <c r="F334" s="1"/>
      <c r="G334" s="9"/>
      <c r="H334" s="1"/>
      <c r="I334" s="1"/>
      <c r="J334" s="1"/>
      <c r="K334" s="3"/>
      <c r="L334" s="3"/>
    </row>
    <row r="335" spans="1:12" x14ac:dyDescent="0.25">
      <c r="A335" s="1"/>
      <c r="B335" s="1"/>
      <c r="C335" s="1"/>
      <c r="D335" s="1"/>
      <c r="E335" s="1"/>
      <c r="F335" s="1"/>
      <c r="G335" s="9"/>
      <c r="H335" s="1"/>
      <c r="I335" s="1"/>
      <c r="J335" s="1"/>
      <c r="K335" s="3"/>
      <c r="L335" s="3"/>
    </row>
    <row r="336" spans="1:12" x14ac:dyDescent="0.25">
      <c r="A336" s="1"/>
      <c r="B336" s="1"/>
      <c r="C336" s="1"/>
      <c r="D336" s="1"/>
      <c r="E336" s="1"/>
      <c r="F336" s="1"/>
      <c r="G336" s="9"/>
      <c r="H336" s="1"/>
      <c r="I336" s="1"/>
      <c r="J336" s="1"/>
      <c r="K336" s="3"/>
      <c r="L336" s="3"/>
    </row>
    <row r="337" spans="1:12" x14ac:dyDescent="0.25">
      <c r="A337" s="1"/>
      <c r="B337" s="1"/>
      <c r="C337" s="1"/>
      <c r="D337" s="1"/>
      <c r="E337" s="1"/>
      <c r="F337" s="1"/>
      <c r="G337" s="9"/>
      <c r="H337" s="1"/>
      <c r="I337" s="1"/>
      <c r="J337" s="1"/>
      <c r="K337" s="3"/>
      <c r="L337" s="3"/>
    </row>
    <row r="338" spans="1:12" x14ac:dyDescent="0.25">
      <c r="A338" s="1"/>
      <c r="B338" s="1"/>
      <c r="C338" s="1"/>
      <c r="D338" s="1"/>
      <c r="E338" s="1"/>
      <c r="F338" s="1"/>
      <c r="G338" s="9"/>
      <c r="H338" s="1"/>
      <c r="I338" s="1"/>
      <c r="J338" s="1"/>
      <c r="K338" s="3"/>
      <c r="L338" s="3"/>
    </row>
    <row r="339" spans="1:12" x14ac:dyDescent="0.25">
      <c r="A339" s="1"/>
      <c r="B339" s="1"/>
      <c r="C339" s="1"/>
      <c r="D339" s="1"/>
      <c r="E339" s="1"/>
      <c r="F339" s="1"/>
      <c r="G339" s="9"/>
      <c r="H339" s="1"/>
      <c r="I339" s="1"/>
      <c r="J339" s="1"/>
      <c r="K339" s="3"/>
      <c r="L339" s="3"/>
    </row>
    <row r="340" spans="1:12" x14ac:dyDescent="0.25">
      <c r="A340" s="1"/>
      <c r="B340" s="1"/>
      <c r="C340" s="1"/>
      <c r="D340" s="1"/>
      <c r="E340" s="1"/>
      <c r="F340" s="1"/>
      <c r="G340" s="9"/>
      <c r="H340" s="1"/>
      <c r="I340" s="1"/>
      <c r="J340" s="1"/>
      <c r="K340" s="3"/>
      <c r="L340" s="3"/>
    </row>
    <row r="341" spans="1:12" x14ac:dyDescent="0.25">
      <c r="A341" s="1"/>
      <c r="B341" s="1"/>
      <c r="C341" s="1"/>
      <c r="D341" s="1"/>
      <c r="E341" s="1"/>
      <c r="F341" s="1"/>
      <c r="G341" s="9"/>
      <c r="H341" s="1"/>
      <c r="I341" s="1"/>
      <c r="J341" s="1"/>
      <c r="K341" s="3"/>
      <c r="L341" s="3"/>
    </row>
    <row r="342" spans="1:12" x14ac:dyDescent="0.25">
      <c r="A342" s="1"/>
      <c r="B342" s="1"/>
      <c r="C342" s="1"/>
      <c r="D342" s="1"/>
      <c r="E342" s="1"/>
      <c r="F342" s="1"/>
      <c r="G342" s="9"/>
      <c r="H342" s="1"/>
      <c r="I342" s="1"/>
      <c r="J342" s="1"/>
      <c r="K342" s="3"/>
      <c r="L342" s="3"/>
    </row>
    <row r="343" spans="1:12" x14ac:dyDescent="0.25">
      <c r="A343" s="1"/>
      <c r="B343" s="1"/>
      <c r="C343" s="1"/>
      <c r="D343" s="1"/>
      <c r="E343" s="1"/>
      <c r="F343" s="1"/>
      <c r="G343" s="9"/>
      <c r="H343" s="1"/>
      <c r="I343" s="1"/>
      <c r="J343" s="1"/>
      <c r="K343" s="3"/>
      <c r="L343" s="3"/>
    </row>
    <row r="344" spans="1:12" x14ac:dyDescent="0.25">
      <c r="A344" s="1"/>
      <c r="B344" s="1"/>
      <c r="C344" s="1"/>
      <c r="D344" s="1"/>
      <c r="E344" s="1"/>
      <c r="F344" s="1"/>
      <c r="G344" s="9"/>
      <c r="H344" s="1"/>
      <c r="I344" s="1"/>
      <c r="J344" s="1"/>
      <c r="K344" s="3"/>
      <c r="L344" s="3"/>
    </row>
    <row r="345" spans="1:12" x14ac:dyDescent="0.25">
      <c r="A345" s="1"/>
      <c r="B345" s="1"/>
      <c r="C345" s="1"/>
      <c r="D345" s="1"/>
      <c r="E345" s="1"/>
      <c r="F345" s="1"/>
      <c r="G345" s="9"/>
      <c r="H345" s="1"/>
      <c r="I345" s="1"/>
      <c r="J345" s="1"/>
      <c r="K345" s="3"/>
      <c r="L345" s="3"/>
    </row>
    <row r="346" spans="1:12" x14ac:dyDescent="0.25">
      <c r="A346" s="1"/>
      <c r="B346" s="1"/>
      <c r="C346" s="1"/>
      <c r="D346" s="1"/>
      <c r="E346" s="1"/>
      <c r="F346" s="1"/>
      <c r="G346" s="9"/>
      <c r="H346" s="1"/>
      <c r="I346" s="1"/>
      <c r="J346" s="1"/>
      <c r="K346" s="3"/>
      <c r="L346" s="3"/>
    </row>
    <row r="347" spans="1:12" x14ac:dyDescent="0.25">
      <c r="A347" s="1"/>
      <c r="B347" s="1"/>
      <c r="C347" s="1"/>
      <c r="D347" s="1"/>
      <c r="E347" s="1"/>
      <c r="F347" s="1"/>
      <c r="G347" s="9"/>
      <c r="H347" s="1"/>
      <c r="I347" s="1"/>
      <c r="J347" s="1"/>
      <c r="K347" s="3"/>
      <c r="L347" s="3"/>
    </row>
    <row r="348" spans="1:12" x14ac:dyDescent="0.25">
      <c r="A348" s="1"/>
      <c r="B348" s="1"/>
      <c r="C348" s="1"/>
      <c r="D348" s="1"/>
      <c r="E348" s="1"/>
      <c r="F348" s="1"/>
      <c r="G348" s="9"/>
      <c r="H348" s="1"/>
      <c r="I348" s="1"/>
      <c r="J348" s="1"/>
      <c r="K348" s="3"/>
      <c r="L348" s="3"/>
    </row>
    <row r="349" spans="1:12" x14ac:dyDescent="0.25">
      <c r="A349" s="1"/>
      <c r="B349" s="1"/>
      <c r="C349" s="1"/>
      <c r="D349" s="1"/>
      <c r="E349" s="1"/>
      <c r="F349" s="1"/>
      <c r="G349" s="9"/>
      <c r="H349" s="1"/>
      <c r="I349" s="1"/>
      <c r="J349" s="1"/>
      <c r="K349" s="3"/>
      <c r="L349" s="3"/>
    </row>
    <row r="350" spans="1:12" x14ac:dyDescent="0.25">
      <c r="A350" s="1"/>
      <c r="B350" s="1"/>
      <c r="C350" s="1"/>
      <c r="D350" s="1"/>
      <c r="E350" s="1"/>
      <c r="F350" s="1"/>
      <c r="G350" s="9"/>
      <c r="H350" s="1"/>
      <c r="I350" s="1"/>
      <c r="J350" s="1"/>
      <c r="K350" s="3"/>
      <c r="L350" s="3"/>
    </row>
    <row r="351" spans="1:12" x14ac:dyDescent="0.25">
      <c r="A351" s="1"/>
      <c r="B351" s="1"/>
      <c r="C351" s="1"/>
      <c r="D351" s="1"/>
      <c r="E351" s="1"/>
      <c r="F351" s="1"/>
      <c r="G351" s="9"/>
      <c r="H351" s="1"/>
      <c r="I351" s="1"/>
      <c r="J351" s="1"/>
      <c r="K351" s="3"/>
      <c r="L351" s="3"/>
    </row>
    <row r="352" spans="1:12" x14ac:dyDescent="0.25">
      <c r="A352" s="1"/>
      <c r="B352" s="1"/>
      <c r="C352" s="1"/>
      <c r="D352" s="1"/>
      <c r="E352" s="1"/>
      <c r="F352" s="1"/>
      <c r="G352" s="9"/>
      <c r="H352" s="1"/>
      <c r="I352" s="1"/>
      <c r="J352" s="1"/>
      <c r="K352" s="3"/>
      <c r="L352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52"/>
  <sheetViews>
    <sheetView tabSelected="1" topLeftCell="R13" zoomScale="60" zoomScaleNormal="60" workbookViewId="0">
      <selection activeCell="G11" sqref="G11:G171"/>
    </sheetView>
  </sheetViews>
  <sheetFormatPr defaultRowHeight="15" x14ac:dyDescent="0.25"/>
  <cols>
    <col min="1" max="1" width="6.85546875" customWidth="1"/>
    <col min="2" max="2" width="9.140625" customWidth="1"/>
    <col min="3" max="5" width="13.42578125" customWidth="1"/>
    <col min="7" max="7" width="9.140625" style="8"/>
    <col min="11" max="12" width="9.140625" style="2"/>
    <col min="13" max="13" width="9.140625" style="6"/>
    <col min="14" max="14" width="9.140625" style="4"/>
    <col min="15" max="15" width="9.140625" style="5"/>
    <col min="20" max="20" width="9.5703125" customWidth="1"/>
    <col min="25" max="25" width="13.140625" bestFit="1" customWidth="1"/>
  </cols>
  <sheetData>
    <row r="1" spans="1:26" x14ac:dyDescent="0.25">
      <c r="C1">
        <v>0.5</v>
      </c>
      <c r="F1">
        <f>10000*SUM(F160:F171)</f>
        <v>781.16649999999845</v>
      </c>
      <c r="G1" s="8">
        <v>0.2863</v>
      </c>
      <c r="K1">
        <v>0.2863</v>
      </c>
      <c r="O1" s="5">
        <v>0</v>
      </c>
      <c r="Y1">
        <v>-0.5</v>
      </c>
    </row>
    <row r="2" spans="1:26" x14ac:dyDescent="0.25">
      <c r="F2">
        <f>10000*SUM(F161:F172)</f>
        <v>725.16899999999885</v>
      </c>
      <c r="G2" s="8">
        <f>1-$G$1</f>
        <v>0.7137</v>
      </c>
      <c r="O2" s="5">
        <v>-4.0000000000000001E-3</v>
      </c>
    </row>
    <row r="6" spans="1:26" x14ac:dyDescent="0.25">
      <c r="G6" s="9">
        <f>+IF($H6 &gt; 0,IF(AND($I6&gt;0,$I6&lt;1), $I6, IF(AND($J6&gt;0,$J6&lt;1),$J6,$L6)), $L6)</f>
        <v>0</v>
      </c>
    </row>
    <row r="7" spans="1:26" x14ac:dyDescent="0.25">
      <c r="G7" s="9" t="e">
        <f>+$G$1*$N7/($M7-$G$2*$N7)</f>
        <v>#DIV/0!</v>
      </c>
    </row>
    <row r="8" spans="1:26" x14ac:dyDescent="0.25">
      <c r="D8" t="s">
        <v>63</v>
      </c>
      <c r="H8" t="s">
        <v>71</v>
      </c>
    </row>
    <row r="9" spans="1:26" x14ac:dyDescent="0.25">
      <c r="B9" t="s">
        <v>60</v>
      </c>
      <c r="C9" t="s">
        <v>59</v>
      </c>
      <c r="F9" t="s">
        <v>58</v>
      </c>
      <c r="G9" s="8" t="s">
        <v>57</v>
      </c>
      <c r="K9" s="3" t="s">
        <v>61</v>
      </c>
      <c r="L9" s="3" t="s">
        <v>62</v>
      </c>
      <c r="M9" s="6" t="s">
        <v>52</v>
      </c>
      <c r="N9" s="4" t="s">
        <v>53</v>
      </c>
      <c r="O9" s="5" t="s">
        <v>54</v>
      </c>
      <c r="Q9" t="s">
        <v>55</v>
      </c>
      <c r="R9" t="s">
        <v>56</v>
      </c>
      <c r="X9" t="s">
        <v>70</v>
      </c>
      <c r="Y9" t="s">
        <v>69</v>
      </c>
    </row>
    <row r="10" spans="1:26" x14ac:dyDescent="0.25">
      <c r="A10" s="1">
        <v>1851</v>
      </c>
      <c r="B10" s="1">
        <f>+$M10</f>
        <v>-0.219</v>
      </c>
      <c r="C10" s="1">
        <f>($P10*($C$1*$G$2 )+$N10*($G$1/$C$1))</f>
        <v>-3.9067150000000009E-2</v>
      </c>
      <c r="D10" s="1">
        <f>$B10 - (($P10*($E10*$G$2 )+$N10*($G$1/$E10)))</f>
        <v>-0.25828619334821917</v>
      </c>
      <c r="E10" s="1">
        <f>+$G10</f>
        <v>0.77881121402799025</v>
      </c>
      <c r="F10" s="1">
        <f>+ABS($B10-$C10)</f>
        <v>0.17993284999999998</v>
      </c>
      <c r="G10" s="9">
        <f>+ABS($M10/2/$G$2/$O10)</f>
        <v>0.77881121402799025</v>
      </c>
      <c r="H10" s="1">
        <f>+$M10*$M10-4*$G$1*$G$2*$N10*$O10</f>
        <v>7.8714647313479991E-2</v>
      </c>
      <c r="I10" s="1">
        <f>+($M10+SQRT($H10))/2/$G$2/$O10</f>
        <v>0.21892528172133932</v>
      </c>
      <c r="J10" s="1">
        <f>+($M10-SQRT($H10))/2/$G$2/$O10</f>
        <v>-1.7765477097773197</v>
      </c>
      <c r="K10" s="3"/>
      <c r="L10" s="3">
        <f>$M10/2/$G$2/$O10</f>
        <v>-0.77881121402799025</v>
      </c>
      <c r="M10" s="6">
        <v>-0.219</v>
      </c>
      <c r="N10" s="4">
        <v>-0.191</v>
      </c>
      <c r="O10" s="5">
        <v>0.19700000000000001</v>
      </c>
      <c r="P10">
        <f>+$O10+$O$1</f>
        <v>0.19700000000000001</v>
      </c>
      <c r="Q10">
        <f>+$N10/($P10)</f>
        <v>-0.96954314720812185</v>
      </c>
      <c r="R10">
        <f>+$M10/($P10)</f>
        <v>-1.1116751269035532</v>
      </c>
      <c r="S10">
        <f t="shared" ref="S10:S73" si="0">+$G$1+$Q10*$G$2-2*$R10</f>
        <v>1.8176873096446697</v>
      </c>
      <c r="U10">
        <v>0.19700000000000001</v>
      </c>
      <c r="V10">
        <v>0.19550000000000001</v>
      </c>
      <c r="W10" s="11">
        <f>-2.2979737161E-10*$A10^5 + 0.0000022285768284*$A10^4 - 0.0086436385146*$A10^3 + 16.759480306*$A10^2 - 16244.935412*$A10 + 6297344.9302</f>
        <v>0.67922292370349169</v>
      </c>
      <c r="X10">
        <f>+$G$2*$N10/$W10+$G$1*$O10</f>
        <v>-0.14429398145680278</v>
      </c>
      <c r="Y10" s="13">
        <f>+$Z10+$Y$1</f>
        <v>-0.50603151698803661</v>
      </c>
      <c r="Z10" s="13">
        <v>-6.0315169880365898E-3</v>
      </c>
    </row>
    <row r="11" spans="1:26" x14ac:dyDescent="0.25">
      <c r="A11" s="1">
        <v>1852</v>
      </c>
      <c r="B11" s="1">
        <f t="shared" ref="B11:B74" si="1">+$M11</f>
        <v>-0.223</v>
      </c>
      <c r="C11" s="1">
        <f t="shared" ref="C11:C74" si="2">($P11*($C$1*$G$2 )+$N11*($G$1/$C$1))</f>
        <v>-2.314179999999999E-2</v>
      </c>
      <c r="D11" s="1">
        <f t="shared" ref="D11:D74" si="3">$B11 - (($P11*($E11*$G$2 )+$N11*($G$1/$E11)))</f>
        <v>-0.25584580497578474</v>
      </c>
      <c r="E11" s="1">
        <f t="shared" ref="E11:E74" si="4">+$G11</f>
        <v>0.67339701313697919</v>
      </c>
      <c r="F11" s="1">
        <f t="shared" ref="F11:F74" si="5">+ABS($B11-$C11)</f>
        <v>0.19985820000000001</v>
      </c>
      <c r="G11" s="9">
        <f t="shared" ref="G11:G74" si="6">+ABS($M11/2/$G$2/$O11)</f>
        <v>0.67339701313697919</v>
      </c>
      <c r="H11" s="1">
        <f t="shared" ref="H11:H74" si="7">+$M11*$M11-4*$G$1*$G$2*$N11*$O11</f>
        <v>8.4808770980800002E-2</v>
      </c>
      <c r="I11" s="1">
        <f t="shared" ref="I11:I74" si="8">+($M11+SQRT($H11))/2/$G$2/$O11</f>
        <v>0.20600348541141042</v>
      </c>
      <c r="J11" s="1">
        <f t="shared" ref="J11:J74" si="9">+($M11-SQRT($H11))/2/$G$2/$O11</f>
        <v>-1.5527975116853689</v>
      </c>
      <c r="K11" s="3"/>
      <c r="L11" s="3">
        <f t="shared" ref="L11:L74" si="10">$M11/2/$G$2/$O11</f>
        <v>-0.67339701313697919</v>
      </c>
      <c r="M11" s="6">
        <v>-0.223</v>
      </c>
      <c r="N11" s="4">
        <v>-0.185</v>
      </c>
      <c r="O11" s="5">
        <v>0.23200000000000001</v>
      </c>
      <c r="P11">
        <f t="shared" ref="P11:P74" si="11">+$O11+$O$1</f>
        <v>0.23200000000000001</v>
      </c>
      <c r="Q11">
        <f t="shared" ref="Q11:Q74" si="12">+$N11/($P11)</f>
        <v>-0.79741379310344818</v>
      </c>
      <c r="R11">
        <f t="shared" ref="R11:R74" si="13">+$M11/($P11)</f>
        <v>-0.96120689655172409</v>
      </c>
      <c r="S11">
        <f t="shared" si="0"/>
        <v>1.6395995689655172</v>
      </c>
      <c r="U11">
        <v>0.23200000000000001</v>
      </c>
      <c r="V11">
        <v>0.22950000000000001</v>
      </c>
      <c r="W11" s="11">
        <f t="shared" ref="W11:W74" si="14">-2.2979737161E-10*$A11^5 + 0.0000022285768284*$A11^4 - 0.0086436385146*$A11^3 + 16.759480306*$A11^2 - 16244.935412*$A11 + 6297344.9302</f>
        <v>0.65229031909257174</v>
      </c>
      <c r="X11">
        <f t="shared" ref="X11:X74" si="15">+$G$2*$N11/$W11+$G$1*$O11</f>
        <v>-0.13599517077728013</v>
      </c>
      <c r="Y11" s="13">
        <f t="shared" ref="Y11:Y74" si="16">+$Z11+$Y$1</f>
        <v>-0.51593497734755367</v>
      </c>
      <c r="Z11" s="13">
        <v>-1.5934977347553701E-2</v>
      </c>
    </row>
    <row r="12" spans="1:26" x14ac:dyDescent="0.25">
      <c r="A12" s="1">
        <v>1853</v>
      </c>
      <c r="B12" s="1">
        <f t="shared" si="1"/>
        <v>-0.26800000000000002</v>
      </c>
      <c r="C12" s="1">
        <f t="shared" si="2"/>
        <v>-0.22667014999999999</v>
      </c>
      <c r="D12" s="1">
        <f t="shared" si="3"/>
        <v>-3.9032746757537318E-2</v>
      </c>
      <c r="E12" s="1">
        <f t="shared" si="4"/>
        <v>0.65419497646606817</v>
      </c>
      <c r="F12" s="1">
        <f t="shared" si="5"/>
        <v>4.1329850000000029E-2</v>
      </c>
      <c r="G12" s="9">
        <f t="shared" si="6"/>
        <v>0.65419497646606817</v>
      </c>
      <c r="H12" s="1">
        <f t="shared" si="7"/>
        <v>2.0921552262040025E-2</v>
      </c>
      <c r="I12" s="1">
        <f t="shared" si="8"/>
        <v>0.30111802947140326</v>
      </c>
      <c r="J12" s="1">
        <f t="shared" si="9"/>
        <v>1.007271923460733</v>
      </c>
      <c r="K12" s="3"/>
      <c r="L12" s="3">
        <f t="shared" si="10"/>
        <v>0.65419497646606817</v>
      </c>
      <c r="M12" s="6">
        <v>-0.26800000000000002</v>
      </c>
      <c r="N12" s="4">
        <v>-0.217</v>
      </c>
      <c r="O12" s="5">
        <v>-0.28699999999999998</v>
      </c>
      <c r="P12">
        <f t="shared" si="11"/>
        <v>-0.28699999999999998</v>
      </c>
      <c r="Q12">
        <f t="shared" si="12"/>
        <v>0.75609756097560976</v>
      </c>
      <c r="R12">
        <f t="shared" si="13"/>
        <v>0.93379790940766561</v>
      </c>
      <c r="S12">
        <f t="shared" si="0"/>
        <v>-1.0416689895470386</v>
      </c>
      <c r="U12">
        <v>-0.28699999999999998</v>
      </c>
      <c r="V12">
        <v>-0.27158300000000002</v>
      </c>
      <c r="W12" s="11">
        <f t="shared" si="14"/>
        <v>0.62756678555160761</v>
      </c>
      <c r="X12">
        <f t="shared" si="15"/>
        <v>-0.32895123697540979</v>
      </c>
      <c r="Y12" s="13">
        <f t="shared" si="16"/>
        <v>-0.52774993066807852</v>
      </c>
      <c r="Z12" s="13">
        <v>-2.7749930668078501E-2</v>
      </c>
    </row>
    <row r="13" spans="1:26" x14ac:dyDescent="0.25">
      <c r="A13" s="1">
        <v>1854</v>
      </c>
      <c r="B13" s="1">
        <f t="shared" si="1"/>
        <v>-0.24299999999999999</v>
      </c>
      <c r="C13" s="1">
        <f t="shared" si="2"/>
        <v>-8.3979350000000008E-2</v>
      </c>
      <c r="D13" s="1">
        <f t="shared" si="3"/>
        <v>-0.29762195084962961</v>
      </c>
      <c r="E13" s="1">
        <f t="shared" si="4"/>
        <v>1.0573887979447494</v>
      </c>
      <c r="F13" s="1">
        <f t="shared" si="5"/>
        <v>0.15902064999999999</v>
      </c>
      <c r="G13" s="9">
        <f t="shared" si="6"/>
        <v>1.0573887979447494</v>
      </c>
      <c r="H13" s="1">
        <f t="shared" si="7"/>
        <v>9.155173188707999E-2</v>
      </c>
      <c r="I13" s="1">
        <f t="shared" si="8"/>
        <v>0.2592350394010256</v>
      </c>
      <c r="J13" s="1">
        <f t="shared" si="9"/>
        <v>-2.3740126352905242</v>
      </c>
      <c r="K13" s="3"/>
      <c r="L13" s="3">
        <f t="shared" si="10"/>
        <v>-1.0573887979447494</v>
      </c>
      <c r="M13" s="6">
        <v>-0.24299999999999999</v>
      </c>
      <c r="N13" s="4">
        <v>-0.247</v>
      </c>
      <c r="O13" s="5">
        <v>0.161</v>
      </c>
      <c r="P13">
        <f t="shared" si="11"/>
        <v>0.161</v>
      </c>
      <c r="Q13">
        <f t="shared" si="12"/>
        <v>-1.5341614906832297</v>
      </c>
      <c r="R13">
        <f t="shared" si="13"/>
        <v>-1.5093167701863353</v>
      </c>
      <c r="S13">
        <f t="shared" si="0"/>
        <v>2.2100024844720494</v>
      </c>
      <c r="U13">
        <v>0.161</v>
      </c>
      <c r="V13">
        <v>0.128917</v>
      </c>
      <c r="W13" s="11">
        <f t="shared" si="14"/>
        <v>0.60495648998767138</v>
      </c>
      <c r="X13">
        <f t="shared" si="15"/>
        <v>-0.2453050037806612</v>
      </c>
      <c r="Y13" s="13">
        <f t="shared" si="16"/>
        <v>-0.49461735296234444</v>
      </c>
      <c r="Z13" s="13">
        <v>5.3826470376555496E-3</v>
      </c>
    </row>
    <row r="14" spans="1:26" x14ac:dyDescent="0.25">
      <c r="A14" s="1">
        <v>1855</v>
      </c>
      <c r="B14" s="1">
        <f t="shared" si="1"/>
        <v>-0.26400000000000001</v>
      </c>
      <c r="C14" s="1">
        <f t="shared" si="2"/>
        <v>-0.19761600000000001</v>
      </c>
      <c r="D14" s="1">
        <f t="shared" si="3"/>
        <v>-6.2099774315454576E-2</v>
      </c>
      <c r="E14" s="1">
        <f t="shared" si="4"/>
        <v>0.87241349227120957</v>
      </c>
      <c r="F14" s="1">
        <f t="shared" si="5"/>
        <v>6.6383999999999999E-2</v>
      </c>
      <c r="G14" s="9">
        <f t="shared" si="6"/>
        <v>0.87241349227120957</v>
      </c>
      <c r="H14" s="1">
        <f t="shared" si="7"/>
        <v>3.2788680838560014E-2</v>
      </c>
      <c r="I14" s="1">
        <f t="shared" si="8"/>
        <v>0.27402887735108322</v>
      </c>
      <c r="J14" s="1">
        <f t="shared" si="9"/>
        <v>1.4707981071913359</v>
      </c>
      <c r="K14" s="3"/>
      <c r="L14" s="3">
        <f t="shared" si="10"/>
        <v>0.87241349227120957</v>
      </c>
      <c r="M14" s="6">
        <v>-0.26400000000000001</v>
      </c>
      <c r="N14" s="4">
        <v>-0.21299999999999999</v>
      </c>
      <c r="O14" s="5">
        <v>-0.21199999999999999</v>
      </c>
      <c r="P14">
        <f t="shared" si="11"/>
        <v>-0.21199999999999999</v>
      </c>
      <c r="Q14">
        <f t="shared" si="12"/>
        <v>1.0047169811320755</v>
      </c>
      <c r="R14">
        <f t="shared" si="13"/>
        <v>1.2452830188679247</v>
      </c>
      <c r="S14">
        <f t="shared" si="0"/>
        <v>-1.4871995283018871</v>
      </c>
      <c r="U14">
        <v>-0.21199999999999999</v>
      </c>
      <c r="V14">
        <v>-0.23150000000000001</v>
      </c>
      <c r="W14" s="11">
        <f t="shared" si="14"/>
        <v>0.58436600212007761</v>
      </c>
      <c r="X14">
        <f t="shared" si="15"/>
        <v>-0.32083753065386916</v>
      </c>
      <c r="Y14" s="13">
        <f t="shared" si="16"/>
        <v>-0.49258198593832392</v>
      </c>
      <c r="Z14" s="13">
        <v>7.4180140616760702E-3</v>
      </c>
    </row>
    <row r="15" spans="1:26" x14ac:dyDescent="0.25">
      <c r="A15" s="1">
        <v>1856</v>
      </c>
      <c r="B15" s="1">
        <f t="shared" si="1"/>
        <v>-0.35599999999999998</v>
      </c>
      <c r="C15" s="1">
        <f t="shared" si="2"/>
        <v>-0.36006389999999999</v>
      </c>
      <c r="D15" s="1">
        <f t="shared" si="3"/>
        <v>3.9567741206741891E-3</v>
      </c>
      <c r="E15" s="7">
        <f t="shared" si="4"/>
        <v>0.48147589131195684</v>
      </c>
      <c r="F15" s="1">
        <f t="shared" si="5"/>
        <v>4.0639000000000092E-3</v>
      </c>
      <c r="G15" s="9">
        <f t="shared" si="6"/>
        <v>0.48147589131195684</v>
      </c>
      <c r="H15" s="1">
        <f t="shared" si="7"/>
        <v>-2.8172231739200249E-3</v>
      </c>
      <c r="I15" s="1" t="e">
        <f t="shared" si="8"/>
        <v>#NUM!</v>
      </c>
      <c r="J15" s="1" t="e">
        <f t="shared" si="9"/>
        <v>#NUM!</v>
      </c>
      <c r="K15" s="3"/>
      <c r="L15" s="3">
        <f t="shared" si="10"/>
        <v>0.48147589131195684</v>
      </c>
      <c r="M15" s="6">
        <v>-0.35599999999999998</v>
      </c>
      <c r="N15" s="4">
        <v>-0.30599999999999999</v>
      </c>
      <c r="O15" s="5">
        <v>-0.51800000000000002</v>
      </c>
      <c r="P15">
        <f t="shared" si="11"/>
        <v>-0.51800000000000002</v>
      </c>
      <c r="Q15">
        <f t="shared" si="12"/>
        <v>0.59073359073359066</v>
      </c>
      <c r="R15">
        <f t="shared" si="13"/>
        <v>0.68725868725868722</v>
      </c>
      <c r="S15">
        <f t="shared" si="0"/>
        <v>-0.66661081081081086</v>
      </c>
      <c r="U15">
        <v>-0.51800000000000002</v>
      </c>
      <c r="V15">
        <v>-0.503583</v>
      </c>
      <c r="W15" s="11">
        <f t="shared" si="14"/>
        <v>0.56570426095277071</v>
      </c>
      <c r="X15">
        <f t="shared" si="15"/>
        <v>-0.53435705926036936</v>
      </c>
      <c r="Y15" s="13">
        <f t="shared" si="16"/>
        <v>-0.53337075727969319</v>
      </c>
      <c r="Z15" s="13">
        <v>-3.33707572796932E-2</v>
      </c>
    </row>
    <row r="16" spans="1:26" x14ac:dyDescent="0.25">
      <c r="A16" s="1">
        <v>1857</v>
      </c>
      <c r="B16" s="1">
        <f t="shared" si="1"/>
        <v>-0.45400000000000001</v>
      </c>
      <c r="C16" s="1">
        <f t="shared" si="2"/>
        <v>-0.39967169999999996</v>
      </c>
      <c r="D16" s="1">
        <f t="shared" si="3"/>
        <v>-6.1760871600440581E-2</v>
      </c>
      <c r="E16" s="1">
        <f t="shared" si="4"/>
        <v>0.75369860157366964</v>
      </c>
      <c r="F16" s="1">
        <f t="shared" si="5"/>
        <v>5.4328300000000052E-2</v>
      </c>
      <c r="G16" s="9">
        <f t="shared" si="6"/>
        <v>0.75369860157366964</v>
      </c>
      <c r="H16" s="1">
        <f t="shared" si="7"/>
        <v>5.6078871413200032E-2</v>
      </c>
      <c r="I16" s="1">
        <f t="shared" si="8"/>
        <v>0.36056380147567602</v>
      </c>
      <c r="J16" s="1">
        <f t="shared" si="9"/>
        <v>1.1468334016716633</v>
      </c>
      <c r="K16" s="3"/>
      <c r="L16" s="3">
        <f t="shared" si="10"/>
        <v>0.75369860157366964</v>
      </c>
      <c r="M16" s="6">
        <v>-0.45400000000000001</v>
      </c>
      <c r="N16" s="4">
        <v>-0.435</v>
      </c>
      <c r="O16" s="5">
        <v>-0.42199999999999999</v>
      </c>
      <c r="P16">
        <f t="shared" si="11"/>
        <v>-0.42199999999999999</v>
      </c>
      <c r="Q16">
        <f t="shared" si="12"/>
        <v>1.0308056872037914</v>
      </c>
      <c r="R16">
        <f t="shared" si="13"/>
        <v>1.075829383886256</v>
      </c>
      <c r="S16">
        <f t="shared" si="0"/>
        <v>-1.1296727488151661</v>
      </c>
      <c r="U16">
        <v>-0.42199999999999999</v>
      </c>
      <c r="V16">
        <v>-0.41908299999999998</v>
      </c>
      <c r="W16" s="11">
        <f t="shared" si="14"/>
        <v>0.54888251889497042</v>
      </c>
      <c r="X16">
        <f t="shared" si="15"/>
        <v>-0.68643963785893558</v>
      </c>
      <c r="Y16" s="13">
        <f t="shared" si="16"/>
        <v>-0.55175893586952685</v>
      </c>
      <c r="Z16" s="13">
        <v>-5.1758935869526797E-2</v>
      </c>
    </row>
    <row r="17" spans="1:26" x14ac:dyDescent="0.25">
      <c r="A17" s="1">
        <v>1858</v>
      </c>
      <c r="B17" s="1">
        <f t="shared" si="1"/>
        <v>-0.46100000000000002</v>
      </c>
      <c r="C17" s="1">
        <f t="shared" si="2"/>
        <v>-0.4306758</v>
      </c>
      <c r="D17" s="1">
        <f t="shared" si="3"/>
        <v>-3.7745043442950099E-2</v>
      </c>
      <c r="E17" s="1">
        <f t="shared" si="4"/>
        <v>0.67284339825323436</v>
      </c>
      <c r="F17" s="1">
        <f t="shared" si="5"/>
        <v>3.0324200000000023E-2</v>
      </c>
      <c r="G17" s="9">
        <f t="shared" si="6"/>
        <v>0.67284339825323436</v>
      </c>
      <c r="H17" s="1">
        <f t="shared" si="7"/>
        <v>3.480093005440002E-2</v>
      </c>
      <c r="I17" s="1">
        <f t="shared" si="8"/>
        <v>0.40056794134356777</v>
      </c>
      <c r="J17" s="1">
        <f t="shared" si="9"/>
        <v>0.94511885516290095</v>
      </c>
      <c r="K17" s="3"/>
      <c r="L17" s="3">
        <f t="shared" si="10"/>
        <v>0.67284339825323436</v>
      </c>
      <c r="M17" s="6">
        <v>-0.46100000000000002</v>
      </c>
      <c r="N17" s="4">
        <v>-0.45300000000000001</v>
      </c>
      <c r="O17" s="5">
        <v>-0.48</v>
      </c>
      <c r="P17">
        <f t="shared" si="11"/>
        <v>-0.48</v>
      </c>
      <c r="Q17">
        <f t="shared" si="12"/>
        <v>0.94375000000000009</v>
      </c>
      <c r="R17">
        <f t="shared" si="13"/>
        <v>0.9604166666666667</v>
      </c>
      <c r="S17">
        <f t="shared" si="0"/>
        <v>-0.96097895833333336</v>
      </c>
      <c r="U17">
        <v>-0.48</v>
      </c>
      <c r="V17">
        <v>-0.47783300000000001</v>
      </c>
      <c r="W17" s="11">
        <f t="shared" si="14"/>
        <v>0.53381431195884943</v>
      </c>
      <c r="X17">
        <f t="shared" si="15"/>
        <v>-0.74307673870911672</v>
      </c>
      <c r="Y17" s="13">
        <f t="shared" si="16"/>
        <v>-0.5069596849046244</v>
      </c>
      <c r="Z17" s="13">
        <v>-6.95968490462439E-3</v>
      </c>
    </row>
    <row r="18" spans="1:26" x14ac:dyDescent="0.25">
      <c r="A18" s="1">
        <v>1859</v>
      </c>
      <c r="B18" s="1">
        <f t="shared" si="1"/>
        <v>-0.28199999999999997</v>
      </c>
      <c r="C18" s="1">
        <f t="shared" si="2"/>
        <v>-0.25783005000000003</v>
      </c>
      <c r="D18" s="1">
        <f t="shared" si="3"/>
        <v>-4.8702660823404242E-2</v>
      </c>
      <c r="E18" s="1">
        <f t="shared" si="4"/>
        <v>1.0236373100553851</v>
      </c>
      <c r="F18" s="1">
        <f t="shared" si="5"/>
        <v>2.416994999999994E-2</v>
      </c>
      <c r="G18" s="9">
        <f t="shared" si="6"/>
        <v>1.0236373100553851</v>
      </c>
      <c r="H18" s="1">
        <f t="shared" si="7"/>
        <v>2.7468300704399984E-2</v>
      </c>
      <c r="I18" s="1">
        <f t="shared" si="8"/>
        <v>0.42203029027535383</v>
      </c>
      <c r="J18" s="1">
        <f t="shared" si="9"/>
        <v>1.6252443298354167</v>
      </c>
      <c r="K18" s="3"/>
      <c r="L18" s="3">
        <f t="shared" si="10"/>
        <v>1.0236373100553851</v>
      </c>
      <c r="M18" s="6">
        <v>-0.28199999999999997</v>
      </c>
      <c r="N18" s="4">
        <v>-0.33</v>
      </c>
      <c r="O18" s="5">
        <v>-0.193</v>
      </c>
      <c r="P18">
        <f t="shared" si="11"/>
        <v>-0.193</v>
      </c>
      <c r="Q18">
        <f t="shared" si="12"/>
        <v>1.7098445595854923</v>
      </c>
      <c r="R18">
        <f t="shared" si="13"/>
        <v>1.4611398963730569</v>
      </c>
      <c r="S18">
        <f t="shared" si="0"/>
        <v>-1.4156637305699478</v>
      </c>
      <c r="U18">
        <v>-0.193</v>
      </c>
      <c r="V18">
        <v>-0.20558299999999999</v>
      </c>
      <c r="W18" s="11">
        <f t="shared" si="14"/>
        <v>0.52041552681475878</v>
      </c>
      <c r="X18">
        <f t="shared" si="15"/>
        <v>-0.50781926113090914</v>
      </c>
      <c r="Y18" s="13">
        <f t="shared" si="16"/>
        <v>-0.50055668720888791</v>
      </c>
      <c r="Z18" s="13">
        <v>-5.5668720888794496E-4</v>
      </c>
    </row>
    <row r="19" spans="1:26" x14ac:dyDescent="0.25">
      <c r="A19" s="1">
        <v>1860</v>
      </c>
      <c r="B19" s="1">
        <f t="shared" si="1"/>
        <v>-0.33800000000000002</v>
      </c>
      <c r="C19" s="1">
        <f t="shared" si="2"/>
        <v>-0.35641339999999999</v>
      </c>
      <c r="D19" s="1">
        <f t="shared" si="3"/>
        <v>1.2998425796923063E-2</v>
      </c>
      <c r="E19" s="7">
        <f t="shared" si="4"/>
        <v>0.40271117554489927</v>
      </c>
      <c r="F19" s="1">
        <f t="shared" si="5"/>
        <v>1.8413399999999969E-2</v>
      </c>
      <c r="G19" s="9">
        <f t="shared" si="6"/>
        <v>0.40271117554489927</v>
      </c>
      <c r="H19" s="1">
        <f t="shared" si="7"/>
        <v>-8.7869358387199781E-3</v>
      </c>
      <c r="I19" s="1" t="e">
        <f t="shared" si="8"/>
        <v>#NUM!</v>
      </c>
      <c r="J19" s="1" t="e">
        <f t="shared" si="9"/>
        <v>#NUM!</v>
      </c>
      <c r="K19" s="3"/>
      <c r="L19" s="3">
        <f t="shared" si="10"/>
        <v>0.40271117554489927</v>
      </c>
      <c r="M19" s="6">
        <v>-0.33800000000000002</v>
      </c>
      <c r="N19" s="4">
        <v>-0.25600000000000001</v>
      </c>
      <c r="O19" s="5">
        <v>-0.58799999999999997</v>
      </c>
      <c r="P19">
        <f t="shared" si="11"/>
        <v>-0.58799999999999997</v>
      </c>
      <c r="Q19">
        <f t="shared" si="12"/>
        <v>0.43537414965986398</v>
      </c>
      <c r="R19">
        <f t="shared" si="13"/>
        <v>0.5748299319727892</v>
      </c>
      <c r="S19">
        <f t="shared" si="0"/>
        <v>-0.55263333333333353</v>
      </c>
      <c r="U19">
        <v>-0.58799999999999997</v>
      </c>
      <c r="V19">
        <v>-0.58391700000000002</v>
      </c>
      <c r="W19" s="11">
        <f t="shared" si="14"/>
        <v>0.50860422942787409</v>
      </c>
      <c r="X19">
        <f t="shared" si="15"/>
        <v>-0.52757696125008291</v>
      </c>
      <c r="Y19" s="13">
        <f t="shared" si="16"/>
        <v>-0.56295223459329902</v>
      </c>
      <c r="Z19" s="13">
        <v>-6.2952234593299003E-2</v>
      </c>
    </row>
    <row r="20" spans="1:26" x14ac:dyDescent="0.25">
      <c r="A20" s="1">
        <v>1861</v>
      </c>
      <c r="B20" s="1">
        <f t="shared" si="1"/>
        <v>-0.39100000000000001</v>
      </c>
      <c r="C20" s="1">
        <f t="shared" si="2"/>
        <v>-0.38049370000000005</v>
      </c>
      <c r="D20" s="1">
        <f t="shared" si="3"/>
        <v>-1.8998691282250624E-2</v>
      </c>
      <c r="E20" s="1">
        <f t="shared" si="4"/>
        <v>0.65532205307873992</v>
      </c>
      <c r="F20" s="1">
        <f t="shared" si="5"/>
        <v>1.0506299999999968E-2</v>
      </c>
      <c r="G20" s="9">
        <f t="shared" si="6"/>
        <v>0.65532205307873992</v>
      </c>
      <c r="H20" s="1">
        <f t="shared" si="7"/>
        <v>1.4856976582720033E-2</v>
      </c>
      <c r="I20" s="1">
        <f t="shared" si="8"/>
        <v>0.45103387030540065</v>
      </c>
      <c r="J20" s="1">
        <f t="shared" si="9"/>
        <v>0.85961023585207919</v>
      </c>
      <c r="K20" s="3"/>
      <c r="L20" s="3">
        <f t="shared" si="10"/>
        <v>0.65532205307873992</v>
      </c>
      <c r="M20" s="6">
        <v>-0.39100000000000001</v>
      </c>
      <c r="N20" s="4">
        <v>-0.40400000000000003</v>
      </c>
      <c r="O20" s="5">
        <v>-0.41799999999999998</v>
      </c>
      <c r="P20">
        <f t="shared" si="11"/>
        <v>-0.41799999999999998</v>
      </c>
      <c r="Q20">
        <f t="shared" si="12"/>
        <v>0.96650717703349287</v>
      </c>
      <c r="R20">
        <f t="shared" si="13"/>
        <v>0.93540669856459335</v>
      </c>
      <c r="S20">
        <f t="shared" si="0"/>
        <v>-0.89471722488038286</v>
      </c>
      <c r="U20">
        <v>-0.41799999999999998</v>
      </c>
      <c r="V20">
        <v>-0.42758299999999999</v>
      </c>
      <c r="W20" s="11">
        <f t="shared" si="14"/>
        <v>0.49830075446516275</v>
      </c>
      <c r="X20">
        <f t="shared" si="15"/>
        <v>-0.6983094895830394</v>
      </c>
      <c r="Y20" s="13">
        <f t="shared" si="16"/>
        <v>-0.54326489648126097</v>
      </c>
      <c r="Z20" s="13">
        <v>-4.3264896481261E-2</v>
      </c>
    </row>
    <row r="21" spans="1:26" x14ac:dyDescent="0.25">
      <c r="A21" s="1">
        <v>1862</v>
      </c>
      <c r="B21" s="1">
        <f t="shared" si="1"/>
        <v>-0.503</v>
      </c>
      <c r="C21" s="1">
        <f t="shared" si="2"/>
        <v>-0.46755690000000005</v>
      </c>
      <c r="D21" s="1">
        <f t="shared" si="3"/>
        <v>-3.4306535060437349E-2</v>
      </c>
      <c r="E21" s="1">
        <f t="shared" si="4"/>
        <v>0.52595367006915816</v>
      </c>
      <c r="F21" s="1">
        <f t="shared" si="5"/>
        <v>3.544309999999995E-2</v>
      </c>
      <c r="G21" s="9">
        <f t="shared" si="6"/>
        <v>0.52595367006915816</v>
      </c>
      <c r="H21" s="1">
        <f t="shared" si="7"/>
        <v>3.4512374270799978E-2</v>
      </c>
      <c r="I21" s="1">
        <f t="shared" si="8"/>
        <v>0.33170103283398839</v>
      </c>
      <c r="J21" s="1">
        <f t="shared" si="9"/>
        <v>0.720206307304328</v>
      </c>
      <c r="K21" s="3"/>
      <c r="L21" s="3">
        <f t="shared" si="10"/>
        <v>0.52595367006915816</v>
      </c>
      <c r="M21" s="6">
        <v>-0.503</v>
      </c>
      <c r="N21" s="4">
        <v>-0.39900000000000002</v>
      </c>
      <c r="O21" s="5">
        <v>-0.67</v>
      </c>
      <c r="P21">
        <f t="shared" si="11"/>
        <v>-0.67</v>
      </c>
      <c r="Q21">
        <f t="shared" si="12"/>
        <v>0.59552238805970148</v>
      </c>
      <c r="R21">
        <f t="shared" si="13"/>
        <v>0.75074626865671634</v>
      </c>
      <c r="S21">
        <f t="shared" si="0"/>
        <v>-0.79016820895522377</v>
      </c>
      <c r="U21">
        <v>-0.67</v>
      </c>
      <c r="V21">
        <v>-0.66333299999999995</v>
      </c>
      <c r="W21" s="11">
        <f t="shared" si="14"/>
        <v>0.48942758608609438</v>
      </c>
      <c r="X21">
        <f t="shared" si="15"/>
        <v>-0.77365640955925452</v>
      </c>
      <c r="Y21" s="13">
        <f t="shared" si="16"/>
        <v>-0.59404690608130206</v>
      </c>
      <c r="Z21" s="13">
        <v>-9.4046906081302006E-2</v>
      </c>
    </row>
    <row r="22" spans="1:26" x14ac:dyDescent="0.25">
      <c r="A22" s="1">
        <v>1863</v>
      </c>
      <c r="B22" s="1">
        <f t="shared" si="1"/>
        <v>-0.27500000000000002</v>
      </c>
      <c r="C22" s="1">
        <f t="shared" si="2"/>
        <v>-0.2699375</v>
      </c>
      <c r="D22" s="1">
        <f t="shared" si="3"/>
        <v>-4.0674720070109111E-2</v>
      </c>
      <c r="E22" s="1">
        <f t="shared" si="4"/>
        <v>1.0585603271605795</v>
      </c>
      <c r="F22" s="1">
        <f t="shared" si="5"/>
        <v>5.0625000000000253E-3</v>
      </c>
      <c r="G22" s="9">
        <f t="shared" si="6"/>
        <v>1.0585603271605795</v>
      </c>
      <c r="H22" s="1">
        <f t="shared" si="7"/>
        <v>2.2371096038560016E-2</v>
      </c>
      <c r="I22" s="1">
        <f t="shared" si="8"/>
        <v>0.48282013195688367</v>
      </c>
      <c r="J22" s="1">
        <f t="shared" si="9"/>
        <v>1.6343005223642753</v>
      </c>
      <c r="K22" s="3"/>
      <c r="L22" s="3">
        <f t="shared" si="10"/>
        <v>1.0585603271605795</v>
      </c>
      <c r="M22" s="6">
        <v>-0.27500000000000002</v>
      </c>
      <c r="N22" s="4">
        <v>-0.35799999999999998</v>
      </c>
      <c r="O22" s="5">
        <v>-0.182</v>
      </c>
      <c r="P22">
        <f t="shared" si="11"/>
        <v>-0.182</v>
      </c>
      <c r="Q22">
        <f t="shared" si="12"/>
        <v>1.9670329670329669</v>
      </c>
      <c r="R22">
        <f t="shared" si="13"/>
        <v>1.5109890109890112</v>
      </c>
      <c r="S22">
        <f t="shared" si="0"/>
        <v>-1.3318065934065939</v>
      </c>
      <c r="U22">
        <v>-0.182</v>
      </c>
      <c r="V22">
        <v>-0.192167</v>
      </c>
      <c r="W22" s="11">
        <f t="shared" si="14"/>
        <v>0.48190940264612436</v>
      </c>
      <c r="X22">
        <f t="shared" si="15"/>
        <v>-0.58229878674100466</v>
      </c>
      <c r="Y22" s="13">
        <f t="shared" si="16"/>
        <v>-0.49633715288056862</v>
      </c>
      <c r="Z22" s="13">
        <v>3.6628471194314E-3</v>
      </c>
    </row>
    <row r="23" spans="1:26" x14ac:dyDescent="0.25">
      <c r="A23" s="1">
        <v>1864</v>
      </c>
      <c r="B23" s="1">
        <f t="shared" si="1"/>
        <v>-0.47799999999999998</v>
      </c>
      <c r="C23" s="1">
        <f t="shared" si="2"/>
        <v>-0.47632065000000001</v>
      </c>
      <c r="D23" s="1">
        <f t="shared" si="3"/>
        <v>-2.5986316397489384E-3</v>
      </c>
      <c r="E23" s="7">
        <f t="shared" si="4"/>
        <v>0.47231960108558407</v>
      </c>
      <c r="F23" s="1">
        <f t="shared" si="5"/>
        <v>1.6793499999999684E-3</v>
      </c>
      <c r="G23" s="9">
        <f t="shared" si="6"/>
        <v>0.47231960108558407</v>
      </c>
      <c r="H23" s="1">
        <f t="shared" si="7"/>
        <v>2.4842918475999898E-3</v>
      </c>
      <c r="I23" s="1">
        <f t="shared" si="8"/>
        <v>0.42306924447271888</v>
      </c>
      <c r="J23" s="1">
        <f t="shared" si="9"/>
        <v>0.52156995769844927</v>
      </c>
      <c r="K23" s="3"/>
      <c r="L23" s="3">
        <f t="shared" si="10"/>
        <v>0.47231960108558407</v>
      </c>
      <c r="M23" s="6">
        <v>-0.47799999999999998</v>
      </c>
      <c r="N23" s="4">
        <v>-0.39</v>
      </c>
      <c r="O23" s="5">
        <v>-0.70899999999999996</v>
      </c>
      <c r="P23">
        <f t="shared" si="11"/>
        <v>-0.70899999999999996</v>
      </c>
      <c r="Q23">
        <f t="shared" si="12"/>
        <v>0.55007052186177718</v>
      </c>
      <c r="R23">
        <f t="shared" si="13"/>
        <v>0.67418899858956283</v>
      </c>
      <c r="S23">
        <f t="shared" si="0"/>
        <v>-0.66949266572637534</v>
      </c>
      <c r="U23">
        <v>-0.70899999999999996</v>
      </c>
      <c r="V23">
        <v>-0.69433299999999998</v>
      </c>
      <c r="W23" s="11">
        <f t="shared" si="14"/>
        <v>0.47567305434495211</v>
      </c>
      <c r="X23">
        <f t="shared" si="15"/>
        <v>-0.7881428223775967</v>
      </c>
      <c r="Y23" s="13">
        <f t="shared" si="16"/>
        <v>-0.52905049571307772</v>
      </c>
      <c r="Z23" s="13">
        <v>-2.90504957130777E-2</v>
      </c>
    </row>
    <row r="24" spans="1:26" x14ac:dyDescent="0.25">
      <c r="A24" s="1">
        <v>1865</v>
      </c>
      <c r="B24" s="1">
        <f t="shared" si="1"/>
        <v>-0.27</v>
      </c>
      <c r="C24" s="1">
        <f t="shared" si="2"/>
        <v>-0.2657407</v>
      </c>
      <c r="D24" s="1">
        <f t="shared" si="3"/>
        <v>-4.2636473439999767E-3</v>
      </c>
      <c r="E24" s="1">
        <f t="shared" si="4"/>
        <v>0.51681723275380897</v>
      </c>
      <c r="F24" s="1">
        <f t="shared" si="5"/>
        <v>4.2593000000000214E-3</v>
      </c>
      <c r="G24" s="9">
        <f t="shared" si="6"/>
        <v>0.51681723275380897</v>
      </c>
      <c r="H24" s="1">
        <f t="shared" si="7"/>
        <v>2.3023695657600207E-3</v>
      </c>
      <c r="I24" s="1">
        <f t="shared" si="8"/>
        <v>0.42497112847560814</v>
      </c>
      <c r="J24" s="1">
        <f t="shared" si="9"/>
        <v>0.60866333703200992</v>
      </c>
      <c r="K24" s="3"/>
      <c r="L24" s="3">
        <f t="shared" si="10"/>
        <v>0.51681723275380897</v>
      </c>
      <c r="M24" s="6">
        <v>-0.27</v>
      </c>
      <c r="N24" s="4">
        <v>-0.23599999999999999</v>
      </c>
      <c r="O24" s="5">
        <v>-0.36599999999999999</v>
      </c>
      <c r="P24">
        <f t="shared" si="11"/>
        <v>-0.36599999999999999</v>
      </c>
      <c r="Q24">
        <f t="shared" si="12"/>
        <v>0.64480874316939885</v>
      </c>
      <c r="R24">
        <f t="shared" si="13"/>
        <v>0.73770491803278693</v>
      </c>
      <c r="S24">
        <f t="shared" si="0"/>
        <v>-0.72890983606557391</v>
      </c>
      <c r="U24">
        <v>-0.36599999999999999</v>
      </c>
      <c r="V24">
        <v>-0.37524999999999997</v>
      </c>
      <c r="W24" s="11">
        <f t="shared" si="14"/>
        <v>0.47064743656665087</v>
      </c>
      <c r="X24">
        <f t="shared" si="15"/>
        <v>-0.46266132829079798</v>
      </c>
      <c r="Y24" s="13">
        <f t="shared" si="16"/>
        <v>-0.50239393801633614</v>
      </c>
      <c r="Z24" s="13">
        <v>-2.3939380163361399E-3</v>
      </c>
    </row>
    <row r="25" spans="1:26" x14ac:dyDescent="0.25">
      <c r="A25" s="1">
        <v>1866</v>
      </c>
      <c r="B25" s="1">
        <f t="shared" si="1"/>
        <v>-0.24099999999999999</v>
      </c>
      <c r="C25" s="1">
        <f t="shared" si="2"/>
        <v>-0.24536745000000001</v>
      </c>
      <c r="D25" s="1">
        <f t="shared" si="3"/>
        <v>4.3987603764315542E-3</v>
      </c>
      <c r="E25" s="7">
        <f t="shared" si="4"/>
        <v>0.49512741210255745</v>
      </c>
      <c r="F25" s="1">
        <f t="shared" si="5"/>
        <v>4.3674500000000227E-3</v>
      </c>
      <c r="G25" s="9">
        <f t="shared" si="6"/>
        <v>0.49512741210255745</v>
      </c>
      <c r="H25" s="1">
        <f t="shared" si="7"/>
        <v>-2.1202025014400092E-3</v>
      </c>
      <c r="I25" s="1" t="e">
        <f t="shared" si="8"/>
        <v>#NUM!</v>
      </c>
      <c r="J25" s="1" t="e">
        <f t="shared" si="9"/>
        <v>#NUM!</v>
      </c>
      <c r="K25" s="3"/>
      <c r="L25" s="3">
        <f t="shared" si="10"/>
        <v>0.49512741210255745</v>
      </c>
      <c r="M25" s="6">
        <v>-0.24099999999999999</v>
      </c>
      <c r="N25" s="4">
        <v>-0.216</v>
      </c>
      <c r="O25" s="5">
        <v>-0.34100000000000003</v>
      </c>
      <c r="P25">
        <f t="shared" si="11"/>
        <v>-0.34100000000000003</v>
      </c>
      <c r="Q25">
        <f t="shared" si="12"/>
        <v>0.63343108504398826</v>
      </c>
      <c r="R25">
        <f t="shared" si="13"/>
        <v>0.70674486803519054</v>
      </c>
      <c r="S25">
        <f t="shared" si="0"/>
        <v>-0.67510997067448664</v>
      </c>
      <c r="U25">
        <v>-0.34100000000000003</v>
      </c>
      <c r="V25">
        <v>-0.34875</v>
      </c>
      <c r="W25" s="11">
        <f t="shared" si="14"/>
        <v>0.46676357928663492</v>
      </c>
      <c r="X25">
        <f t="shared" si="15"/>
        <v>-0.42790085518865656</v>
      </c>
      <c r="Y25" s="13">
        <f t="shared" si="16"/>
        <v>-0.49607541316655412</v>
      </c>
      <c r="Z25" s="13">
        <v>3.9245868334458903E-3</v>
      </c>
    </row>
    <row r="26" spans="1:26" x14ac:dyDescent="0.25">
      <c r="A26" s="1">
        <v>1867</v>
      </c>
      <c r="B26" s="1">
        <f t="shared" si="1"/>
        <v>-0.308</v>
      </c>
      <c r="C26" s="1">
        <f t="shared" si="2"/>
        <v>-0.31145935000000002</v>
      </c>
      <c r="D26" s="1">
        <f t="shared" si="3"/>
        <v>-2.7224416081818026E-3</v>
      </c>
      <c r="E26" s="1">
        <f t="shared" si="4"/>
        <v>0.41257540552277722</v>
      </c>
      <c r="F26" s="1">
        <f t="shared" si="5"/>
        <v>3.4593500000000277E-3</v>
      </c>
      <c r="G26" s="9">
        <f t="shared" si="6"/>
        <v>0.41257540552277722</v>
      </c>
      <c r="H26" s="1">
        <f t="shared" si="7"/>
        <v>1.6770240306400036E-3</v>
      </c>
      <c r="I26" s="1">
        <f t="shared" si="8"/>
        <v>0.35771964233501374</v>
      </c>
      <c r="J26" s="1">
        <f t="shared" si="9"/>
        <v>0.46743116871054075</v>
      </c>
      <c r="K26" s="3"/>
      <c r="L26" s="3">
        <f t="shared" si="10"/>
        <v>0.41257540552277722</v>
      </c>
      <c r="M26" s="6">
        <v>-0.308</v>
      </c>
      <c r="N26" s="4">
        <v>-0.218</v>
      </c>
      <c r="O26" s="5">
        <v>-0.52300000000000002</v>
      </c>
      <c r="P26">
        <f t="shared" si="11"/>
        <v>-0.52300000000000002</v>
      </c>
      <c r="Q26">
        <f t="shared" si="12"/>
        <v>0.41682600382409174</v>
      </c>
      <c r="R26">
        <f t="shared" si="13"/>
        <v>0.58891013384321222</v>
      </c>
      <c r="S26">
        <f t="shared" si="0"/>
        <v>-0.59403154875717012</v>
      </c>
      <c r="U26">
        <v>-0.52300000000000002</v>
      </c>
      <c r="V26">
        <v>-0.51741700000000002</v>
      </c>
      <c r="W26" s="11">
        <f t="shared" si="14"/>
        <v>0.4639545576646924</v>
      </c>
      <c r="X26">
        <f t="shared" si="15"/>
        <v>-0.48508369101768622</v>
      </c>
      <c r="Y26" s="13">
        <f t="shared" si="16"/>
        <v>-0.47849527426009369</v>
      </c>
      <c r="Z26" s="13">
        <v>2.1504725739906298E-2</v>
      </c>
    </row>
    <row r="27" spans="1:26" x14ac:dyDescent="0.25">
      <c r="A27" s="1">
        <v>1868</v>
      </c>
      <c r="B27" s="1">
        <f t="shared" si="1"/>
        <v>-0.23</v>
      </c>
      <c r="C27" s="1">
        <f t="shared" si="2"/>
        <v>-0.24437975000000001</v>
      </c>
      <c r="D27" s="1">
        <f t="shared" si="3"/>
        <v>1.4566229369652212E-2</v>
      </c>
      <c r="E27" s="7">
        <f t="shared" si="4"/>
        <v>0.49275880227903085</v>
      </c>
      <c r="F27" s="1">
        <f t="shared" si="5"/>
        <v>1.4379749999999997E-2</v>
      </c>
      <c r="G27" s="9">
        <f t="shared" si="6"/>
        <v>0.49275880227903085</v>
      </c>
      <c r="H27" s="1">
        <f t="shared" si="7"/>
        <v>-6.700465510039999E-3</v>
      </c>
      <c r="I27" s="1" t="e">
        <f t="shared" si="8"/>
        <v>#NUM!</v>
      </c>
      <c r="J27" s="1" t="e">
        <f t="shared" si="9"/>
        <v>#NUM!</v>
      </c>
      <c r="K27" s="3"/>
      <c r="L27" s="3">
        <f t="shared" si="10"/>
        <v>0.49275880227903085</v>
      </c>
      <c r="M27" s="6">
        <v>-0.23</v>
      </c>
      <c r="N27" s="4">
        <v>-0.223</v>
      </c>
      <c r="O27" s="5">
        <v>-0.32700000000000001</v>
      </c>
      <c r="P27">
        <f t="shared" si="11"/>
        <v>-0.32700000000000001</v>
      </c>
      <c r="Q27">
        <f t="shared" si="12"/>
        <v>0.68195718654434245</v>
      </c>
      <c r="R27">
        <f t="shared" si="13"/>
        <v>0.70336391437308865</v>
      </c>
      <c r="S27">
        <f t="shared" si="0"/>
        <v>-0.63371498470948007</v>
      </c>
      <c r="U27">
        <v>-0.32700000000000001</v>
      </c>
      <c r="V27">
        <v>-0.33116699999999999</v>
      </c>
      <c r="W27" s="11">
        <f t="shared" si="14"/>
        <v>0.46215544734150171</v>
      </c>
      <c r="X27">
        <f t="shared" si="15"/>
        <v>-0.43799578769452391</v>
      </c>
      <c r="Y27" s="13">
        <f t="shared" si="16"/>
        <v>-0.49927560860419673</v>
      </c>
      <c r="Z27" s="13">
        <v>7.2439139580328198E-4</v>
      </c>
    </row>
    <row r="28" spans="1:26" x14ac:dyDescent="0.25">
      <c r="A28" s="1">
        <v>1869</v>
      </c>
      <c r="B28" s="1">
        <f t="shared" si="1"/>
        <v>-0.25900000000000001</v>
      </c>
      <c r="C28" s="1">
        <f t="shared" si="2"/>
        <v>-0.25422139999999999</v>
      </c>
      <c r="D28" s="1">
        <f t="shared" si="3"/>
        <v>-8.7877293881081231E-3</v>
      </c>
      <c r="E28" s="7">
        <f t="shared" si="4"/>
        <v>0.62139995892522293</v>
      </c>
      <c r="F28" s="1">
        <f t="shared" si="5"/>
        <v>4.7786000000000217E-3</v>
      </c>
      <c r="G28" s="9">
        <f t="shared" si="6"/>
        <v>0.62139995892522293</v>
      </c>
      <c r="H28" s="1">
        <f t="shared" si="7"/>
        <v>4.5520438230400029E-3</v>
      </c>
      <c r="I28" s="1">
        <f t="shared" si="8"/>
        <v>0.45952686285735184</v>
      </c>
      <c r="J28" s="1">
        <f t="shared" si="9"/>
        <v>0.78327305499309385</v>
      </c>
      <c r="K28" s="3"/>
      <c r="L28" s="3">
        <f t="shared" si="10"/>
        <v>0.62139995892522293</v>
      </c>
      <c r="M28" s="6">
        <v>-0.25900000000000001</v>
      </c>
      <c r="N28" s="4">
        <v>-0.26200000000000001</v>
      </c>
      <c r="O28" s="5">
        <v>-0.29199999999999998</v>
      </c>
      <c r="P28">
        <f t="shared" si="11"/>
        <v>-0.29199999999999998</v>
      </c>
      <c r="Q28">
        <f t="shared" si="12"/>
        <v>0.89726027397260288</v>
      </c>
      <c r="R28">
        <f t="shared" si="13"/>
        <v>0.88698630136986312</v>
      </c>
      <c r="S28">
        <f t="shared" si="0"/>
        <v>-0.84729794520547952</v>
      </c>
      <c r="U28">
        <v>-0.29199999999999998</v>
      </c>
      <c r="V28">
        <v>-0.30425000000000002</v>
      </c>
      <c r="W28" s="11">
        <f t="shared" si="14"/>
        <v>0.46130338776856661</v>
      </c>
      <c r="X28">
        <f t="shared" si="15"/>
        <v>-0.48894975557659759</v>
      </c>
      <c r="Y28" s="13">
        <f t="shared" si="16"/>
        <v>-0.47431898675828033</v>
      </c>
      <c r="Z28" s="13">
        <v>2.5681013241719699E-2</v>
      </c>
    </row>
    <row r="29" spans="1:26" x14ac:dyDescent="0.25">
      <c r="A29" s="1">
        <v>1870</v>
      </c>
      <c r="B29" s="1">
        <f t="shared" si="1"/>
        <v>-0.27100000000000002</v>
      </c>
      <c r="C29" s="1">
        <f t="shared" si="2"/>
        <v>-0.29749215000000001</v>
      </c>
      <c r="D29" s="1">
        <f t="shared" si="3"/>
        <v>2.5783790047453903E-2</v>
      </c>
      <c r="E29" s="7">
        <f t="shared" si="4"/>
        <v>0.41005546794591868</v>
      </c>
      <c r="F29" s="1">
        <f t="shared" si="5"/>
        <v>2.6492149999999992E-2</v>
      </c>
      <c r="G29" s="9">
        <f t="shared" si="6"/>
        <v>0.41005546794591868</v>
      </c>
      <c r="H29" s="1">
        <f t="shared" si="7"/>
        <v>-1.3974814205719999E-2</v>
      </c>
      <c r="I29" s="1" t="e">
        <f t="shared" si="8"/>
        <v>#NUM!</v>
      </c>
      <c r="J29" s="1" t="e">
        <f t="shared" si="9"/>
        <v>#NUM!</v>
      </c>
      <c r="K29" s="3"/>
      <c r="L29" s="3">
        <f t="shared" si="10"/>
        <v>0.41005546794591868</v>
      </c>
      <c r="M29" s="6">
        <v>-0.27100000000000002</v>
      </c>
      <c r="N29" s="4">
        <v>-0.23100000000000001</v>
      </c>
      <c r="O29" s="5">
        <v>-0.46300000000000002</v>
      </c>
      <c r="P29">
        <f t="shared" si="11"/>
        <v>-0.46300000000000002</v>
      </c>
      <c r="Q29">
        <f t="shared" si="12"/>
        <v>0.49892008639308855</v>
      </c>
      <c r="R29">
        <f t="shared" si="13"/>
        <v>0.58531317494600432</v>
      </c>
      <c r="S29">
        <f t="shared" si="0"/>
        <v>-0.52824708423326139</v>
      </c>
      <c r="U29">
        <v>-0.46300000000000002</v>
      </c>
      <c r="V29">
        <v>-0.46124999999999999</v>
      </c>
      <c r="W29" s="11">
        <f t="shared" si="14"/>
        <v>0.46133742947131395</v>
      </c>
      <c r="X29">
        <f t="shared" si="15"/>
        <v>-0.4899194062005755</v>
      </c>
      <c r="Y29" s="13">
        <f t="shared" si="16"/>
        <v>-0.50714168130126092</v>
      </c>
      <c r="Z29" s="13">
        <v>-7.1416813012609697E-3</v>
      </c>
    </row>
    <row r="30" spans="1:26" x14ac:dyDescent="0.25">
      <c r="A30" s="1">
        <v>1871</v>
      </c>
      <c r="B30" s="1">
        <f t="shared" si="1"/>
        <v>-0.32600000000000001</v>
      </c>
      <c r="C30" s="1">
        <f t="shared" si="2"/>
        <v>-0.34202374999999996</v>
      </c>
      <c r="D30" s="1">
        <f t="shared" si="3"/>
        <v>6.6572423502453959E-3</v>
      </c>
      <c r="E30" s="7">
        <f t="shared" si="4"/>
        <v>0.38644209402302104</v>
      </c>
      <c r="F30" s="1">
        <f t="shared" si="5"/>
        <v>1.6023749999999948E-2</v>
      </c>
      <c r="G30" s="9">
        <f t="shared" si="6"/>
        <v>0.38644209402302104</v>
      </c>
      <c r="H30" s="1">
        <f t="shared" si="7"/>
        <v>-4.3405220123599875E-3</v>
      </c>
      <c r="I30" s="1" t="e">
        <f t="shared" si="8"/>
        <v>#NUM!</v>
      </c>
      <c r="J30" s="1" t="e">
        <f t="shared" si="9"/>
        <v>#NUM!</v>
      </c>
      <c r="K30" s="3"/>
      <c r="L30" s="3">
        <f t="shared" si="10"/>
        <v>0.38644209402302104</v>
      </c>
      <c r="M30" s="6">
        <v>-0.32600000000000001</v>
      </c>
      <c r="N30" s="4">
        <v>-0.22900000000000001</v>
      </c>
      <c r="O30" s="5">
        <v>-0.59099999999999997</v>
      </c>
      <c r="P30">
        <f t="shared" si="11"/>
        <v>-0.59099999999999997</v>
      </c>
      <c r="Q30">
        <f t="shared" si="12"/>
        <v>0.38747884940778343</v>
      </c>
      <c r="R30">
        <f t="shared" si="13"/>
        <v>0.55160744500846026</v>
      </c>
      <c r="S30">
        <f t="shared" si="0"/>
        <v>-0.54037123519458552</v>
      </c>
      <c r="U30">
        <v>-0.59099999999999997</v>
      </c>
      <c r="V30">
        <v>-0.58299999999999996</v>
      </c>
      <c r="W30" s="11">
        <f t="shared" si="14"/>
        <v>0.46219861600548029</v>
      </c>
      <c r="X30">
        <f t="shared" si="15"/>
        <v>-0.52281167168335907</v>
      </c>
      <c r="Y30" s="13">
        <f t="shared" si="16"/>
        <v>-0.52176478581286967</v>
      </c>
      <c r="Z30" s="13">
        <v>-2.17647858128697E-2</v>
      </c>
    </row>
    <row r="31" spans="1:26" x14ac:dyDescent="0.25">
      <c r="A31" s="1">
        <v>1872</v>
      </c>
      <c r="B31" s="1">
        <f t="shared" si="1"/>
        <v>-0.22900000000000001</v>
      </c>
      <c r="C31" s="1">
        <f t="shared" si="2"/>
        <v>-0.23618039999999998</v>
      </c>
      <c r="D31" s="1">
        <f t="shared" si="3"/>
        <v>5.9364972688209228E-3</v>
      </c>
      <c r="E31" s="7">
        <f t="shared" si="4"/>
        <v>0.54199849281816492</v>
      </c>
      <c r="F31" s="1">
        <f t="shared" si="5"/>
        <v>7.1803999999999757E-3</v>
      </c>
      <c r="G31" s="9">
        <f t="shared" si="6"/>
        <v>0.54199849281816492</v>
      </c>
      <c r="H31" s="1">
        <f t="shared" si="7"/>
        <v>-2.7189157491199906E-3</v>
      </c>
      <c r="I31" s="1" t="e">
        <f t="shared" si="8"/>
        <v>#NUM!</v>
      </c>
      <c r="J31" s="1" t="e">
        <f t="shared" si="9"/>
        <v>#NUM!</v>
      </c>
      <c r="K31" s="3"/>
      <c r="L31" s="3">
        <f t="shared" si="10"/>
        <v>0.54199849281816492</v>
      </c>
      <c r="M31" s="6">
        <v>-0.22900000000000001</v>
      </c>
      <c r="N31" s="4">
        <v>-0.22800000000000001</v>
      </c>
      <c r="O31" s="5">
        <v>-0.29599999999999999</v>
      </c>
      <c r="P31">
        <f t="shared" si="11"/>
        <v>-0.29599999999999999</v>
      </c>
      <c r="Q31">
        <f t="shared" si="12"/>
        <v>0.77027027027027029</v>
      </c>
      <c r="R31">
        <f t="shared" si="13"/>
        <v>0.77364864864864868</v>
      </c>
      <c r="S31">
        <f t="shared" si="0"/>
        <v>-0.71125540540540544</v>
      </c>
      <c r="U31">
        <v>-0.29599999999999999</v>
      </c>
      <c r="V31">
        <v>-0.310083</v>
      </c>
      <c r="W31" s="11">
        <f t="shared" si="14"/>
        <v>0.46382988709956408</v>
      </c>
      <c r="X31">
        <f t="shared" si="15"/>
        <v>-0.43557083455665274</v>
      </c>
      <c r="Y31" s="13">
        <f t="shared" si="16"/>
        <v>-0.51215727693299262</v>
      </c>
      <c r="Z31" s="13">
        <v>-1.21572769329926E-2</v>
      </c>
    </row>
    <row r="32" spans="1:26" x14ac:dyDescent="0.25">
      <c r="A32" s="1">
        <v>1873</v>
      </c>
      <c r="B32" s="1">
        <f t="shared" si="1"/>
        <v>-0.30599999999999999</v>
      </c>
      <c r="C32" s="1">
        <f t="shared" si="2"/>
        <v>-0.29022959999999998</v>
      </c>
      <c r="D32" s="1">
        <f t="shared" si="3"/>
        <v>-1.7499632858823555E-2</v>
      </c>
      <c r="E32" s="1">
        <f t="shared" si="4"/>
        <v>0.60217918018617966</v>
      </c>
      <c r="F32" s="1">
        <f t="shared" si="5"/>
        <v>1.5770400000000018E-2</v>
      </c>
      <c r="G32" s="9">
        <f t="shared" si="6"/>
        <v>0.60217918018617966</v>
      </c>
      <c r="H32" s="1">
        <f t="shared" si="7"/>
        <v>1.0709775309600017E-2</v>
      </c>
      <c r="I32" s="1">
        <f t="shared" si="8"/>
        <v>0.39852445578866225</v>
      </c>
      <c r="J32" s="1">
        <f t="shared" si="9"/>
        <v>0.80583390458369708</v>
      </c>
      <c r="K32" s="3"/>
      <c r="L32" s="3">
        <f t="shared" si="10"/>
        <v>0.60217918018617966</v>
      </c>
      <c r="M32" s="6">
        <v>-0.30599999999999999</v>
      </c>
      <c r="N32" s="4">
        <v>-0.28499999999999998</v>
      </c>
      <c r="O32" s="5">
        <v>-0.35599999999999998</v>
      </c>
      <c r="P32">
        <f t="shared" si="11"/>
        <v>-0.35599999999999998</v>
      </c>
      <c r="Q32">
        <f t="shared" si="12"/>
        <v>0.800561797752809</v>
      </c>
      <c r="R32">
        <f t="shared" si="13"/>
        <v>0.8595505617977528</v>
      </c>
      <c r="S32">
        <f t="shared" si="0"/>
        <v>-0.86144016853932581</v>
      </c>
      <c r="U32">
        <v>-0.35599999999999998</v>
      </c>
      <c r="V32">
        <v>-0.372583</v>
      </c>
      <c r="W32" s="11">
        <f t="shared" si="14"/>
        <v>0.4661760563030839</v>
      </c>
      <c r="X32">
        <f t="shared" si="15"/>
        <v>-0.53824829816706321</v>
      </c>
      <c r="Y32" s="13">
        <f t="shared" si="16"/>
        <v>-0.49018587205016706</v>
      </c>
      <c r="Z32" s="13">
        <v>9.8141279498329594E-3</v>
      </c>
    </row>
    <row r="33" spans="1:26" x14ac:dyDescent="0.25">
      <c r="A33" s="1">
        <v>1874</v>
      </c>
      <c r="B33" s="1">
        <f t="shared" si="1"/>
        <v>-0.373</v>
      </c>
      <c r="C33" s="1">
        <f t="shared" si="2"/>
        <v>-0.39275950000000004</v>
      </c>
      <c r="D33" s="1">
        <f t="shared" si="3"/>
        <v>1.4957414657158219E-2</v>
      </c>
      <c r="E33" s="7">
        <f t="shared" si="4"/>
        <v>0.56561531971368029</v>
      </c>
      <c r="F33" s="1">
        <f t="shared" si="5"/>
        <v>1.9759500000000041E-2</v>
      </c>
      <c r="G33" s="9">
        <f t="shared" si="6"/>
        <v>0.56561531971368029</v>
      </c>
      <c r="H33" s="1">
        <f t="shared" si="7"/>
        <v>-1.1158231334240015E-2</v>
      </c>
      <c r="I33" s="1" t="e">
        <f t="shared" si="8"/>
        <v>#NUM!</v>
      </c>
      <c r="J33" s="1" t="e">
        <f t="shared" si="9"/>
        <v>#NUM!</v>
      </c>
      <c r="K33" s="3"/>
      <c r="L33" s="3">
        <f t="shared" si="10"/>
        <v>0.56561531971368029</v>
      </c>
      <c r="M33" s="6">
        <v>-0.373</v>
      </c>
      <c r="N33" s="4">
        <v>-0.39800000000000002</v>
      </c>
      <c r="O33" s="5">
        <v>-0.46200000000000002</v>
      </c>
      <c r="P33">
        <f t="shared" si="11"/>
        <v>-0.46200000000000002</v>
      </c>
      <c r="Q33">
        <f t="shared" si="12"/>
        <v>0.8614718614718615</v>
      </c>
      <c r="R33">
        <f t="shared" si="13"/>
        <v>0.80735930735930728</v>
      </c>
      <c r="S33">
        <f t="shared" si="0"/>
        <v>-0.71358614718614699</v>
      </c>
      <c r="U33">
        <v>-0.46200000000000002</v>
      </c>
      <c r="V33">
        <v>-0.45658300000000002</v>
      </c>
      <c r="W33" s="11">
        <f t="shared" si="14"/>
        <v>0.46918386314064264</v>
      </c>
      <c r="X33">
        <f t="shared" si="15"/>
        <v>-0.73768911993501396</v>
      </c>
      <c r="Y33" s="13">
        <f t="shared" si="16"/>
        <v>-0.47446126685880941</v>
      </c>
      <c r="Z33" s="13">
        <v>2.5538733141190598E-2</v>
      </c>
    </row>
    <row r="34" spans="1:26" x14ac:dyDescent="0.25">
      <c r="A34" s="1">
        <v>1875</v>
      </c>
      <c r="B34" s="1">
        <f t="shared" si="1"/>
        <v>-0.40799999999999997</v>
      </c>
      <c r="C34" s="1">
        <f t="shared" si="2"/>
        <v>-0.45460539999999999</v>
      </c>
      <c r="D34" s="1">
        <f t="shared" si="3"/>
        <v>1.3601890602352951E-2</v>
      </c>
      <c r="E34" s="7">
        <f t="shared" si="4"/>
        <v>0.32629495912675793</v>
      </c>
      <c r="F34" s="1">
        <f t="shared" si="5"/>
        <v>4.6605400000000019E-2</v>
      </c>
      <c r="G34" s="9">
        <f t="shared" si="6"/>
        <v>0.32629495912675793</v>
      </c>
      <c r="H34" s="1">
        <f t="shared" si="7"/>
        <v>-1.1099142731520018E-2</v>
      </c>
      <c r="I34" s="1" t="e">
        <f t="shared" si="8"/>
        <v>#NUM!</v>
      </c>
      <c r="J34" s="1" t="e">
        <f t="shared" si="9"/>
        <v>#NUM!</v>
      </c>
      <c r="K34" s="3"/>
      <c r="L34" s="3">
        <f t="shared" si="10"/>
        <v>0.32629495912675793</v>
      </c>
      <c r="M34" s="6">
        <v>-0.40799999999999997</v>
      </c>
      <c r="N34" s="4">
        <v>-0.248</v>
      </c>
      <c r="O34" s="5">
        <v>-0.876</v>
      </c>
      <c r="P34">
        <f t="shared" si="11"/>
        <v>-0.876</v>
      </c>
      <c r="Q34">
        <f t="shared" si="12"/>
        <v>0.28310502283105021</v>
      </c>
      <c r="R34">
        <f t="shared" si="13"/>
        <v>0.46575342465753422</v>
      </c>
      <c r="S34">
        <f t="shared" si="0"/>
        <v>-0.4431547945205479</v>
      </c>
      <c r="U34">
        <v>-0.876</v>
      </c>
      <c r="V34">
        <v>-0.84499999999999997</v>
      </c>
      <c r="W34" s="11">
        <f t="shared" si="14"/>
        <v>0.47280180919915438</v>
      </c>
      <c r="X34">
        <f t="shared" si="15"/>
        <v>-0.62515777358304048</v>
      </c>
      <c r="Y34" s="13">
        <f t="shared" si="16"/>
        <v>-0.5361879657191988</v>
      </c>
      <c r="Z34" s="13">
        <v>-3.61879657191988E-2</v>
      </c>
    </row>
    <row r="35" spans="1:26" x14ac:dyDescent="0.25">
      <c r="A35" s="1">
        <v>1876</v>
      </c>
      <c r="B35" s="1">
        <f t="shared" si="1"/>
        <v>-0.38400000000000001</v>
      </c>
      <c r="C35" s="1">
        <f t="shared" si="2"/>
        <v>-0.37299249999999995</v>
      </c>
      <c r="D35" s="1">
        <f t="shared" si="3"/>
        <v>-1.2417441048750033E-2</v>
      </c>
      <c r="E35" s="1">
        <f t="shared" si="4"/>
        <v>0.56755400187647542</v>
      </c>
      <c r="F35" s="1">
        <f t="shared" si="5"/>
        <v>1.1007500000000059E-2</v>
      </c>
      <c r="G35" s="9">
        <f t="shared" si="6"/>
        <v>0.56755400187647542</v>
      </c>
      <c r="H35" s="1">
        <f t="shared" si="7"/>
        <v>9.536594725440023E-3</v>
      </c>
      <c r="I35" s="1">
        <f t="shared" si="8"/>
        <v>0.42321867856978829</v>
      </c>
      <c r="J35" s="1">
        <f t="shared" si="9"/>
        <v>0.71188932518316272</v>
      </c>
      <c r="K35" s="3"/>
      <c r="L35" s="3">
        <f t="shared" si="10"/>
        <v>0.56755400187647542</v>
      </c>
      <c r="M35" s="6">
        <v>-0.38400000000000001</v>
      </c>
      <c r="N35" s="4">
        <v>-0.35599999999999998</v>
      </c>
      <c r="O35" s="5">
        <v>-0.47399999999999998</v>
      </c>
      <c r="P35">
        <f t="shared" si="11"/>
        <v>-0.47399999999999998</v>
      </c>
      <c r="Q35">
        <f t="shared" si="12"/>
        <v>0.75105485232067515</v>
      </c>
      <c r="R35">
        <f t="shared" si="13"/>
        <v>0.81012658227848111</v>
      </c>
      <c r="S35">
        <f t="shared" si="0"/>
        <v>-0.79792531645569642</v>
      </c>
      <c r="U35">
        <v>-0.47399999999999998</v>
      </c>
      <c r="V35">
        <v>-0.46800000000000003</v>
      </c>
      <c r="W35" s="11">
        <f t="shared" si="14"/>
        <v>0.47698025498539209</v>
      </c>
      <c r="X35">
        <f t="shared" si="15"/>
        <v>-0.66838485355932042</v>
      </c>
      <c r="Y35" s="13">
        <f t="shared" si="16"/>
        <v>-0.52342392452086639</v>
      </c>
      <c r="Z35" s="13">
        <v>-2.3423924520866401E-2</v>
      </c>
    </row>
    <row r="36" spans="1:26" x14ac:dyDescent="0.25">
      <c r="A36" s="1">
        <v>1877</v>
      </c>
      <c r="B36" s="1">
        <f t="shared" si="1"/>
        <v>-7.2999999999999995E-2</v>
      </c>
      <c r="C36" s="1">
        <f t="shared" si="2"/>
        <v>-0.10703775</v>
      </c>
      <c r="D36" s="1">
        <f t="shared" si="3"/>
        <v>9.1304838030137198E-3</v>
      </c>
      <c r="E36" s="7">
        <f t="shared" si="4"/>
        <v>0.20705237403983007</v>
      </c>
      <c r="F36" s="1">
        <f t="shared" si="5"/>
        <v>3.4037750000000006E-2</v>
      </c>
      <c r="G36" s="9">
        <f t="shared" si="6"/>
        <v>0.20705237403983007</v>
      </c>
      <c r="H36" s="1">
        <f t="shared" si="7"/>
        <v>-1.3330506352400009E-3</v>
      </c>
      <c r="I36" s="1" t="e">
        <f t="shared" si="8"/>
        <v>#NUM!</v>
      </c>
      <c r="J36" s="1" t="e">
        <f t="shared" si="9"/>
        <v>#NUM!</v>
      </c>
      <c r="K36" s="3"/>
      <c r="L36" s="3">
        <f t="shared" si="10"/>
        <v>0.20705237403983007</v>
      </c>
      <c r="M36" s="6">
        <v>-7.2999999999999995E-2</v>
      </c>
      <c r="N36" s="4">
        <v>-3.3000000000000002E-2</v>
      </c>
      <c r="O36" s="5">
        <v>-0.247</v>
      </c>
      <c r="P36">
        <f t="shared" si="11"/>
        <v>-0.247</v>
      </c>
      <c r="Q36">
        <f t="shared" si="12"/>
        <v>0.13360323886639677</v>
      </c>
      <c r="R36">
        <f t="shared" si="13"/>
        <v>0.2955465587044534</v>
      </c>
      <c r="S36">
        <f t="shared" si="0"/>
        <v>-0.20944048582995944</v>
      </c>
      <c r="U36">
        <v>-0.247</v>
      </c>
      <c r="V36">
        <v>-0.26258300000000001</v>
      </c>
      <c r="W36" s="11">
        <f t="shared" si="14"/>
        <v>0.48167133051902056</v>
      </c>
      <c r="X36">
        <f t="shared" si="15"/>
        <v>-0.1196127199724232</v>
      </c>
      <c r="Y36" s="13">
        <f t="shared" si="16"/>
        <v>-0.47260505986157941</v>
      </c>
      <c r="Z36" s="13">
        <v>2.7394940138420601E-2</v>
      </c>
    </row>
    <row r="37" spans="1:26" x14ac:dyDescent="0.25">
      <c r="A37" s="1">
        <v>1878</v>
      </c>
      <c r="B37" s="1">
        <f t="shared" si="1"/>
        <v>3.2000000000000001E-2</v>
      </c>
      <c r="C37" s="1">
        <f t="shared" si="2"/>
        <v>7.9499500000000008E-3</v>
      </c>
      <c r="D37" s="1">
        <f t="shared" si="3"/>
        <v>4.6914484603125001E-2</v>
      </c>
      <c r="E37" s="1">
        <f t="shared" si="4"/>
        <v>4.483676614824156</v>
      </c>
      <c r="F37" s="1">
        <f t="shared" si="5"/>
        <v>2.405005E-2</v>
      </c>
      <c r="G37" s="9">
        <f t="shared" si="6"/>
        <v>4.483676614824156</v>
      </c>
      <c r="H37" s="1">
        <f t="shared" si="7"/>
        <v>1.0934729853999999E-3</v>
      </c>
      <c r="I37" s="1">
        <f t="shared" si="8"/>
        <v>-9.116954330391362</v>
      </c>
      <c r="J37" s="1">
        <f t="shared" si="9"/>
        <v>0.14960110074305025</v>
      </c>
      <c r="K37" s="3"/>
      <c r="L37" s="3">
        <f t="shared" si="10"/>
        <v>-4.483676614824156</v>
      </c>
      <c r="M37" s="6">
        <v>3.2000000000000001E-2</v>
      </c>
      <c r="N37" s="4">
        <v>1.7000000000000001E-2</v>
      </c>
      <c r="O37" s="5">
        <v>-5.0000000000000001E-3</v>
      </c>
      <c r="P37">
        <f t="shared" si="11"/>
        <v>-5.0000000000000001E-3</v>
      </c>
      <c r="Q37">
        <f t="shared" si="12"/>
        <v>-3.4000000000000004</v>
      </c>
      <c r="R37">
        <f t="shared" si="13"/>
        <v>-6.4</v>
      </c>
      <c r="S37">
        <f t="shared" si="0"/>
        <v>10.65972</v>
      </c>
      <c r="U37">
        <v>-5.0000000000000001E-3</v>
      </c>
      <c r="V37">
        <v>-3.4500000000000003E-2</v>
      </c>
      <c r="W37" s="11">
        <f t="shared" si="14"/>
        <v>0.48682891298085451</v>
      </c>
      <c r="X37">
        <f t="shared" si="15"/>
        <v>2.349080776867838E-2</v>
      </c>
      <c r="Y37" s="13">
        <f t="shared" si="16"/>
        <v>-0.43533151596495429</v>
      </c>
      <c r="Z37" s="13">
        <v>6.4668484035045701E-2</v>
      </c>
    </row>
    <row r="38" spans="1:26" x14ac:dyDescent="0.25">
      <c r="A38" s="1">
        <v>1879</v>
      </c>
      <c r="B38" s="1">
        <f t="shared" si="1"/>
        <v>-0.23400000000000001</v>
      </c>
      <c r="C38" s="1">
        <f t="shared" si="2"/>
        <v>-0.30441425</v>
      </c>
      <c r="D38" s="1">
        <f t="shared" si="3"/>
        <v>6.3600072729999985E-2</v>
      </c>
      <c r="E38" s="7">
        <f t="shared" si="4"/>
        <v>0.29644561705155187</v>
      </c>
      <c r="F38" s="1">
        <f t="shared" si="5"/>
        <v>7.0414249999999984E-2</v>
      </c>
      <c r="G38" s="9">
        <f t="shared" si="6"/>
        <v>0.29644561705155187</v>
      </c>
      <c r="H38" s="1">
        <f t="shared" si="7"/>
        <v>-2.9764834037639999E-2</v>
      </c>
      <c r="I38" s="1" t="e">
        <f t="shared" si="8"/>
        <v>#NUM!</v>
      </c>
      <c r="J38" s="1" t="e">
        <f t="shared" si="9"/>
        <v>#NUM!</v>
      </c>
      <c r="K38" s="3"/>
      <c r="L38" s="3">
        <f t="shared" si="10"/>
        <v>0.29644561705155187</v>
      </c>
      <c r="M38" s="6">
        <v>-0.23400000000000001</v>
      </c>
      <c r="N38" s="4">
        <v>-0.187</v>
      </c>
      <c r="O38" s="5">
        <v>-0.55300000000000005</v>
      </c>
      <c r="P38">
        <f t="shared" si="11"/>
        <v>-0.55300000000000005</v>
      </c>
      <c r="Q38">
        <f t="shared" si="12"/>
        <v>0.33815551537070521</v>
      </c>
      <c r="R38">
        <f t="shared" si="13"/>
        <v>0.42314647377938513</v>
      </c>
      <c r="S38">
        <f t="shared" si="0"/>
        <v>-0.318651356238698</v>
      </c>
      <c r="U38">
        <v>-0.55300000000000005</v>
      </c>
      <c r="V38">
        <v>-0.53591699999999998</v>
      </c>
      <c r="W38" s="11">
        <f t="shared" si="14"/>
        <v>0.49240859691053629</v>
      </c>
      <c r="X38">
        <f t="shared" si="15"/>
        <v>-0.42936283156489335</v>
      </c>
      <c r="Y38" s="13">
        <f t="shared" si="16"/>
        <v>-0.50159440613136363</v>
      </c>
      <c r="Z38" s="13">
        <v>-1.59440613136367E-3</v>
      </c>
    </row>
    <row r="39" spans="1:26" x14ac:dyDescent="0.25">
      <c r="A39" s="1">
        <v>1880</v>
      </c>
      <c r="B39" s="1">
        <f t="shared" si="1"/>
        <v>-0.23</v>
      </c>
      <c r="C39" s="1">
        <f t="shared" si="2"/>
        <v>-0.22833055000000002</v>
      </c>
      <c r="D39" s="1">
        <f t="shared" si="3"/>
        <v>-2.2529849473913177E-3</v>
      </c>
      <c r="E39" s="1">
        <f t="shared" si="4"/>
        <v>0.46977296893656878</v>
      </c>
      <c r="F39" s="1">
        <f t="shared" si="5"/>
        <v>1.669449999999989E-3</v>
      </c>
      <c r="G39" s="9">
        <f t="shared" si="6"/>
        <v>0.46977296893656878</v>
      </c>
      <c r="H39" s="1">
        <f t="shared" si="7"/>
        <v>1.0363730758000053E-3</v>
      </c>
      <c r="I39" s="1">
        <f t="shared" si="8"/>
        <v>0.40401956378155118</v>
      </c>
      <c r="J39" s="1">
        <f t="shared" si="9"/>
        <v>0.53552637409158632</v>
      </c>
      <c r="K39" s="3"/>
      <c r="L39" s="3">
        <f t="shared" si="10"/>
        <v>0.46977296893656878</v>
      </c>
      <c r="M39" s="6">
        <v>-0.23</v>
      </c>
      <c r="N39" s="4">
        <v>-0.185</v>
      </c>
      <c r="O39" s="5">
        <v>-0.34300000000000003</v>
      </c>
      <c r="P39">
        <f t="shared" si="11"/>
        <v>-0.34300000000000003</v>
      </c>
      <c r="Q39">
        <f t="shared" si="12"/>
        <v>0.53935860058309038</v>
      </c>
      <c r="R39">
        <f t="shared" si="13"/>
        <v>0.67055393586005829</v>
      </c>
      <c r="S39">
        <f t="shared" si="0"/>
        <v>-0.66986763848396502</v>
      </c>
      <c r="U39">
        <v>-0.34300000000000003</v>
      </c>
      <c r="V39">
        <v>-0.34608299999999997</v>
      </c>
      <c r="W39" s="11">
        <f t="shared" si="14"/>
        <v>0.49836770910769701</v>
      </c>
      <c r="X39">
        <f t="shared" si="15"/>
        <v>-0.36313479837877205</v>
      </c>
      <c r="Y39" s="13">
        <f t="shared" si="16"/>
        <v>-0.5102140098701462</v>
      </c>
      <c r="Z39" s="13">
        <v>-1.0214009870146199E-2</v>
      </c>
    </row>
    <row r="40" spans="1:26" x14ac:dyDescent="0.25">
      <c r="A40" s="1">
        <v>1881</v>
      </c>
      <c r="B40" s="1">
        <f t="shared" si="1"/>
        <v>-0.20699999999999999</v>
      </c>
      <c r="C40" s="1">
        <f t="shared" si="2"/>
        <v>-0.2488958</v>
      </c>
      <c r="D40" s="1">
        <f t="shared" si="3"/>
        <v>3.0905252800000033E-2</v>
      </c>
      <c r="E40" s="7">
        <f t="shared" si="4"/>
        <v>0.31525851197982341</v>
      </c>
      <c r="F40" s="1">
        <f t="shared" si="5"/>
        <v>4.1895800000000011E-2</v>
      </c>
      <c r="G40" s="9">
        <f t="shared" si="6"/>
        <v>0.31525851197982341</v>
      </c>
      <c r="H40" s="1">
        <f t="shared" si="7"/>
        <v>-1.2794774659199995E-2</v>
      </c>
      <c r="I40" s="1" t="e">
        <f t="shared" si="8"/>
        <v>#NUM!</v>
      </c>
      <c r="J40" s="1" t="e">
        <f t="shared" si="9"/>
        <v>#NUM!</v>
      </c>
      <c r="K40" s="3"/>
      <c r="L40" s="3">
        <f t="shared" si="10"/>
        <v>0.31525851197982341</v>
      </c>
      <c r="M40" s="6">
        <v>-0.20699999999999999</v>
      </c>
      <c r="N40" s="4">
        <v>-0.14799999999999999</v>
      </c>
      <c r="O40" s="5">
        <v>-0.46</v>
      </c>
      <c r="P40">
        <f t="shared" si="11"/>
        <v>-0.46</v>
      </c>
      <c r="Q40">
        <f t="shared" si="12"/>
        <v>0.32173913043478258</v>
      </c>
      <c r="R40">
        <f t="shared" si="13"/>
        <v>0.44999999999999996</v>
      </c>
      <c r="S40">
        <f t="shared" si="0"/>
        <v>-0.38407478260869554</v>
      </c>
      <c r="U40">
        <v>-0.46</v>
      </c>
      <c r="V40">
        <v>-0.46550000000000002</v>
      </c>
      <c r="W40" s="11">
        <f t="shared" si="14"/>
        <v>0.50466521922498941</v>
      </c>
      <c r="X40">
        <f t="shared" si="15"/>
        <v>-0.3410003176081195</v>
      </c>
      <c r="Y40" s="13">
        <f t="shared" si="16"/>
        <v>-0.48835223447172221</v>
      </c>
      <c r="Z40" s="13">
        <v>1.1647765528277799E-2</v>
      </c>
    </row>
    <row r="41" spans="1:26" x14ac:dyDescent="0.25">
      <c r="A41" s="1">
        <v>1882</v>
      </c>
      <c r="B41" s="1">
        <f t="shared" si="1"/>
        <v>-0.214</v>
      </c>
      <c r="C41" s="1">
        <f t="shared" si="2"/>
        <v>-0.23170790000000002</v>
      </c>
      <c r="D41" s="1">
        <f t="shared" si="3"/>
        <v>1.8406568202803758E-2</v>
      </c>
      <c r="E41" s="7">
        <f t="shared" si="4"/>
        <v>0.45431192972176571</v>
      </c>
      <c r="F41" s="1">
        <f t="shared" si="5"/>
        <v>1.7707900000000026E-2</v>
      </c>
      <c r="G41" s="9">
        <f t="shared" si="6"/>
        <v>0.45431192972176571</v>
      </c>
      <c r="H41" s="1">
        <f t="shared" si="7"/>
        <v>-7.878011190800005E-3</v>
      </c>
      <c r="I41" s="1" t="e">
        <f t="shared" si="8"/>
        <v>#NUM!</v>
      </c>
      <c r="J41" s="1" t="e">
        <f t="shared" si="9"/>
        <v>#NUM!</v>
      </c>
      <c r="K41" s="3"/>
      <c r="L41" s="3">
        <f t="shared" si="10"/>
        <v>0.45431192972176571</v>
      </c>
      <c r="M41" s="6">
        <v>-0.214</v>
      </c>
      <c r="N41" s="4">
        <v>-0.19900000000000001</v>
      </c>
      <c r="O41" s="5">
        <v>-0.33</v>
      </c>
      <c r="P41">
        <f t="shared" si="11"/>
        <v>-0.33</v>
      </c>
      <c r="Q41">
        <f t="shared" si="12"/>
        <v>0.60303030303030303</v>
      </c>
      <c r="R41">
        <f t="shared" si="13"/>
        <v>0.64848484848484844</v>
      </c>
      <c r="S41">
        <f t="shared" si="0"/>
        <v>-0.58028696969696969</v>
      </c>
      <c r="U41">
        <v>-0.33</v>
      </c>
      <c r="V41">
        <v>-0.34341699999999997</v>
      </c>
      <c r="W41" s="11">
        <f t="shared" si="14"/>
        <v>0.51126174349337816</v>
      </c>
      <c r="X41">
        <f t="shared" si="15"/>
        <v>-0.37227467277918092</v>
      </c>
      <c r="Y41" s="13">
        <f t="shared" si="16"/>
        <v>-0.50130969339069964</v>
      </c>
      <c r="Z41" s="13">
        <v>-1.3096933906996801E-3</v>
      </c>
    </row>
    <row r="42" spans="1:26" x14ac:dyDescent="0.25">
      <c r="A42" s="1">
        <v>1883</v>
      </c>
      <c r="B42" s="1">
        <f t="shared" si="1"/>
        <v>-0.29199999999999998</v>
      </c>
      <c r="C42" s="1">
        <f t="shared" si="2"/>
        <v>-0.34545934999999994</v>
      </c>
      <c r="D42" s="1">
        <f t="shared" si="3"/>
        <v>4.837460872842464E-2</v>
      </c>
      <c r="E42" s="7">
        <f t="shared" si="4"/>
        <v>0.34613831734577344</v>
      </c>
      <c r="F42" s="1">
        <f t="shared" si="5"/>
        <v>5.3459349999999961E-2</v>
      </c>
      <c r="G42" s="9">
        <f t="shared" si="6"/>
        <v>0.34613831734577344</v>
      </c>
      <c r="H42" s="1">
        <f t="shared" si="7"/>
        <v>-2.825077149739999E-2</v>
      </c>
      <c r="I42" s="1" t="e">
        <f t="shared" si="8"/>
        <v>#NUM!</v>
      </c>
      <c r="J42" s="1" t="e">
        <f t="shared" si="9"/>
        <v>#NUM!</v>
      </c>
      <c r="K42" s="3"/>
      <c r="L42" s="3">
        <f t="shared" si="10"/>
        <v>0.34613831734577344</v>
      </c>
      <c r="M42" s="6">
        <v>-0.29199999999999998</v>
      </c>
      <c r="N42" s="4">
        <v>-0.23499999999999999</v>
      </c>
      <c r="O42" s="5">
        <v>-0.59099999999999997</v>
      </c>
      <c r="P42">
        <f t="shared" si="11"/>
        <v>-0.59099999999999997</v>
      </c>
      <c r="Q42">
        <f t="shared" si="12"/>
        <v>0.3976311336717428</v>
      </c>
      <c r="R42">
        <f t="shared" si="13"/>
        <v>0.49407783417935702</v>
      </c>
      <c r="S42">
        <f t="shared" si="0"/>
        <v>-0.41806632825719126</v>
      </c>
      <c r="U42">
        <v>-0.59099999999999997</v>
      </c>
      <c r="V42">
        <v>-0.59391700000000003</v>
      </c>
      <c r="W42" s="11">
        <f t="shared" si="14"/>
        <v>0.51811951119452715</v>
      </c>
      <c r="X42">
        <f t="shared" si="15"/>
        <v>-0.49291143369549012</v>
      </c>
      <c r="Y42" s="13">
        <f t="shared" si="16"/>
        <v>-0.50992971578031143</v>
      </c>
      <c r="Z42" s="13">
        <v>-9.9297157803114201E-3</v>
      </c>
    </row>
    <row r="43" spans="1:26" x14ac:dyDescent="0.25">
      <c r="A43" s="1">
        <v>1884</v>
      </c>
      <c r="B43" s="1">
        <f t="shared" si="1"/>
        <v>-0.40300000000000002</v>
      </c>
      <c r="C43" s="1">
        <f t="shared" si="2"/>
        <v>-0.43990639999999998</v>
      </c>
      <c r="D43" s="1">
        <f t="shared" si="3"/>
        <v>3.4981945514838686E-2</v>
      </c>
      <c r="E43" s="7">
        <f t="shared" si="4"/>
        <v>0.40799351421923208</v>
      </c>
      <c r="F43" s="1">
        <f t="shared" si="5"/>
        <v>3.690639999999995E-2</v>
      </c>
      <c r="G43" s="9">
        <f t="shared" si="6"/>
        <v>0.40799351421923208</v>
      </c>
      <c r="H43" s="1">
        <f t="shared" si="7"/>
        <v>-2.819544808495994E-2</v>
      </c>
      <c r="I43" s="1" t="e">
        <f t="shared" si="8"/>
        <v>#NUM!</v>
      </c>
      <c r="J43" s="1" t="e">
        <f t="shared" si="9"/>
        <v>#NUM!</v>
      </c>
      <c r="K43" s="3"/>
      <c r="L43" s="3">
        <f t="shared" si="10"/>
        <v>0.40799351421923208</v>
      </c>
      <c r="M43" s="6">
        <v>-0.40300000000000002</v>
      </c>
      <c r="N43" s="4">
        <v>-0.33700000000000002</v>
      </c>
      <c r="O43" s="5">
        <v>-0.69199999999999995</v>
      </c>
      <c r="P43">
        <f t="shared" si="11"/>
        <v>-0.69199999999999995</v>
      </c>
      <c r="Q43">
        <f t="shared" si="12"/>
        <v>0.48699421965317924</v>
      </c>
      <c r="R43">
        <f t="shared" si="13"/>
        <v>0.58236994219653182</v>
      </c>
      <c r="S43">
        <f t="shared" si="0"/>
        <v>-0.53087210982658961</v>
      </c>
      <c r="U43">
        <v>-0.69199999999999995</v>
      </c>
      <c r="V43">
        <v>-0.67600000000000005</v>
      </c>
      <c r="W43" s="11">
        <f t="shared" si="14"/>
        <v>0.5252023646607995</v>
      </c>
      <c r="X43">
        <f t="shared" si="15"/>
        <v>-0.65607050841858106</v>
      </c>
      <c r="Y43" s="13">
        <f t="shared" si="16"/>
        <v>-0.53385403646122231</v>
      </c>
      <c r="Z43" s="13">
        <v>-3.38540364612223E-2</v>
      </c>
    </row>
    <row r="44" spans="1:26" x14ac:dyDescent="0.25">
      <c r="A44" s="1">
        <v>1885</v>
      </c>
      <c r="B44" s="1">
        <f t="shared" si="1"/>
        <v>-0.38500000000000001</v>
      </c>
      <c r="C44" s="1">
        <f t="shared" si="2"/>
        <v>-0.42354135000000004</v>
      </c>
      <c r="D44" s="1">
        <f t="shared" si="3"/>
        <v>3.6891412205090957E-2</v>
      </c>
      <c r="E44" s="7">
        <f t="shared" si="4"/>
        <v>0.40437956725714491</v>
      </c>
      <c r="F44" s="1">
        <f t="shared" si="5"/>
        <v>3.854135000000003E-2</v>
      </c>
      <c r="G44" s="9">
        <f t="shared" si="6"/>
        <v>0.40437956725714491</v>
      </c>
      <c r="H44" s="1">
        <f t="shared" si="7"/>
        <v>-2.8406387397920008E-2</v>
      </c>
      <c r="I44" s="1" t="e">
        <f t="shared" si="8"/>
        <v>#NUM!</v>
      </c>
      <c r="J44" s="1" t="e">
        <f t="shared" si="9"/>
        <v>#NUM!</v>
      </c>
      <c r="K44" s="3"/>
      <c r="L44" s="3">
        <f t="shared" si="10"/>
        <v>0.40437956725714491</v>
      </c>
      <c r="M44" s="6">
        <v>-0.38500000000000001</v>
      </c>
      <c r="N44" s="4">
        <v>-0.32400000000000001</v>
      </c>
      <c r="O44" s="5">
        <v>-0.66700000000000004</v>
      </c>
      <c r="P44">
        <f t="shared" si="11"/>
        <v>-0.66700000000000004</v>
      </c>
      <c r="Q44">
        <f t="shared" si="12"/>
        <v>0.48575712143928035</v>
      </c>
      <c r="R44">
        <f t="shared" si="13"/>
        <v>0.57721139430284851</v>
      </c>
      <c r="S44">
        <f t="shared" si="0"/>
        <v>-0.52143793103448266</v>
      </c>
      <c r="U44">
        <v>-0.66700000000000004</v>
      </c>
      <c r="V44">
        <v>-0.66533299999999995</v>
      </c>
      <c r="W44" s="11">
        <f t="shared" si="14"/>
        <v>0.53247567731887102</v>
      </c>
      <c r="X44">
        <f t="shared" si="15"/>
        <v>-0.62523320354474188</v>
      </c>
      <c r="Y44" s="13">
        <f t="shared" si="16"/>
        <v>-0.50964544652168198</v>
      </c>
      <c r="Z44" s="13">
        <v>-9.6454465216819392E-3</v>
      </c>
    </row>
    <row r="45" spans="1:26" x14ac:dyDescent="0.25">
      <c r="A45" s="1">
        <v>1886</v>
      </c>
      <c r="B45" s="1">
        <f t="shared" si="1"/>
        <v>-0.36599999999999999</v>
      </c>
      <c r="C45" s="1">
        <f t="shared" si="2"/>
        <v>-0.38344945000000002</v>
      </c>
      <c r="D45" s="1">
        <f t="shared" si="3"/>
        <v>1.7865360150000009E-2</v>
      </c>
      <c r="E45" s="7">
        <f t="shared" si="4"/>
        <v>0.47748651100606399</v>
      </c>
      <c r="F45" s="1">
        <f t="shared" si="5"/>
        <v>1.7449450000000033E-2</v>
      </c>
      <c r="G45" s="9">
        <f t="shared" si="6"/>
        <v>0.47748651100606399</v>
      </c>
      <c r="H45" s="1">
        <f t="shared" si="7"/>
        <v>-1.3077443629800012E-2</v>
      </c>
      <c r="I45" s="1" t="e">
        <f t="shared" si="8"/>
        <v>#NUM!</v>
      </c>
      <c r="J45" s="1" t="e">
        <f t="shared" si="9"/>
        <v>#NUM!</v>
      </c>
      <c r="K45" s="3"/>
      <c r="L45" s="3">
        <f t="shared" si="10"/>
        <v>0.47748651100606399</v>
      </c>
      <c r="M45" s="6">
        <v>-0.36599999999999999</v>
      </c>
      <c r="N45" s="4">
        <v>-0.33500000000000002</v>
      </c>
      <c r="O45" s="5">
        <v>-0.53700000000000003</v>
      </c>
      <c r="P45">
        <f t="shared" si="11"/>
        <v>-0.53700000000000003</v>
      </c>
      <c r="Q45">
        <f t="shared" si="12"/>
        <v>0.62383612662942267</v>
      </c>
      <c r="R45">
        <f t="shared" si="13"/>
        <v>0.68156424581005581</v>
      </c>
      <c r="S45">
        <f t="shared" si="0"/>
        <v>-0.63159664804469262</v>
      </c>
      <c r="U45">
        <v>-0.53700000000000003</v>
      </c>
      <c r="V45">
        <v>-0.54049999999999998</v>
      </c>
      <c r="W45" s="11">
        <f t="shared" si="14"/>
        <v>0.53990636859089136</v>
      </c>
      <c r="X45">
        <f t="shared" si="15"/>
        <v>-0.59657821717782256</v>
      </c>
      <c r="Y45" s="13">
        <f t="shared" si="16"/>
        <v>-0.50614904156815355</v>
      </c>
      <c r="Z45" s="13">
        <v>-6.1490415681535E-3</v>
      </c>
    </row>
    <row r="46" spans="1:26" x14ac:dyDescent="0.25">
      <c r="A46" s="1">
        <v>1887</v>
      </c>
      <c r="B46" s="1">
        <f t="shared" si="1"/>
        <v>-0.41799999999999998</v>
      </c>
      <c r="C46" s="1">
        <f t="shared" si="2"/>
        <v>-0.43258560000000001</v>
      </c>
      <c r="D46" s="1">
        <f t="shared" si="3"/>
        <v>1.4130882519999999E-2</v>
      </c>
      <c r="E46" s="7">
        <f t="shared" si="4"/>
        <v>0.51195826731766203</v>
      </c>
      <c r="F46" s="1">
        <f t="shared" si="5"/>
        <v>1.4585600000000032E-2</v>
      </c>
      <c r="G46" s="9">
        <f t="shared" si="6"/>
        <v>0.51195826731766203</v>
      </c>
      <c r="H46" s="1">
        <f t="shared" si="7"/>
        <v>-1.1813417786719987E-2</v>
      </c>
      <c r="I46" s="1" t="e">
        <f t="shared" si="8"/>
        <v>#NUM!</v>
      </c>
      <c r="J46" s="1" t="e">
        <f t="shared" si="9"/>
        <v>#NUM!</v>
      </c>
      <c r="K46" s="3"/>
      <c r="L46" s="3">
        <f t="shared" si="10"/>
        <v>0.51195826731766203</v>
      </c>
      <c r="M46" s="6">
        <v>-0.41799999999999998</v>
      </c>
      <c r="N46" s="4">
        <v>-0.39900000000000002</v>
      </c>
      <c r="O46" s="5">
        <v>-0.57199999999999995</v>
      </c>
      <c r="P46">
        <f t="shared" si="11"/>
        <v>-0.57199999999999995</v>
      </c>
      <c r="Q46">
        <f t="shared" si="12"/>
        <v>0.69755244755244761</v>
      </c>
      <c r="R46">
        <f t="shared" si="13"/>
        <v>0.73076923076923084</v>
      </c>
      <c r="S46">
        <f t="shared" si="0"/>
        <v>-0.6773952797202798</v>
      </c>
      <c r="U46">
        <v>-0.57199999999999995</v>
      </c>
      <c r="V46">
        <v>-0.56841699999999995</v>
      </c>
      <c r="W46" s="11">
        <f t="shared" si="14"/>
        <v>0.54746288154274225</v>
      </c>
      <c r="X46">
        <f t="shared" si="15"/>
        <v>-0.68391996055093418</v>
      </c>
      <c r="Y46" s="13">
        <f t="shared" si="16"/>
        <v>-0.51396893898336671</v>
      </c>
      <c r="Z46" s="13">
        <v>-1.3968938983366701E-2</v>
      </c>
    </row>
    <row r="47" spans="1:26" x14ac:dyDescent="0.25">
      <c r="A47" s="1">
        <v>1888</v>
      </c>
      <c r="B47" s="1">
        <f t="shared" si="1"/>
        <v>-0.309</v>
      </c>
      <c r="C47" s="1">
        <f t="shared" si="2"/>
        <v>-0.35773335000000001</v>
      </c>
      <c r="D47" s="1">
        <f t="shared" si="3"/>
        <v>3.9540309764271864E-2</v>
      </c>
      <c r="E47" s="7">
        <f t="shared" si="4"/>
        <v>0.3452591890900778</v>
      </c>
      <c r="F47" s="1">
        <f t="shared" si="5"/>
        <v>4.8733350000000009E-2</v>
      </c>
      <c r="G47" s="9">
        <f t="shared" si="6"/>
        <v>0.3452591890900778</v>
      </c>
      <c r="H47" s="1">
        <f t="shared" si="7"/>
        <v>-2.4435911434320001E-2</v>
      </c>
      <c r="I47" s="1" t="e">
        <f t="shared" si="8"/>
        <v>#NUM!</v>
      </c>
      <c r="J47" s="1" t="e">
        <f t="shared" si="9"/>
        <v>#NUM!</v>
      </c>
      <c r="K47" s="3"/>
      <c r="L47" s="3">
        <f t="shared" si="10"/>
        <v>0.3452591890900778</v>
      </c>
      <c r="M47" s="6">
        <v>-0.309</v>
      </c>
      <c r="N47" s="4">
        <v>-0.23400000000000001</v>
      </c>
      <c r="O47" s="5">
        <v>-0.627</v>
      </c>
      <c r="P47">
        <f t="shared" si="11"/>
        <v>-0.627</v>
      </c>
      <c r="Q47">
        <f t="shared" si="12"/>
        <v>0.37320574162679426</v>
      </c>
      <c r="R47">
        <f t="shared" si="13"/>
        <v>0.49282296650717705</v>
      </c>
      <c r="S47">
        <f t="shared" si="0"/>
        <v>-0.43298899521531098</v>
      </c>
      <c r="U47">
        <v>-0.627</v>
      </c>
      <c r="V47">
        <v>-0.62575000000000003</v>
      </c>
      <c r="W47" s="11">
        <f t="shared" si="14"/>
        <v>0.55511509347707033</v>
      </c>
      <c r="X47">
        <f t="shared" si="15"/>
        <v>-0.48035906260688394</v>
      </c>
      <c r="Y47" s="13">
        <f t="shared" si="16"/>
        <v>-0.4885480321756957</v>
      </c>
      <c r="Z47" s="13">
        <v>1.1451967824304301E-2</v>
      </c>
    </row>
    <row r="48" spans="1:26" x14ac:dyDescent="0.25">
      <c r="A48" s="1">
        <v>1889</v>
      </c>
      <c r="B48" s="1">
        <f t="shared" si="1"/>
        <v>-0.17299999999999999</v>
      </c>
      <c r="C48" s="1">
        <f t="shared" si="2"/>
        <v>-0.18616484999999999</v>
      </c>
      <c r="D48" s="1">
        <f t="shared" si="3"/>
        <v>1.306770943930638E-2</v>
      </c>
      <c r="E48" s="7">
        <f t="shared" si="4"/>
        <v>0.43131453200877379</v>
      </c>
      <c r="F48" s="1">
        <f t="shared" si="5"/>
        <v>1.3164850000000006E-2</v>
      </c>
      <c r="G48" s="9">
        <f t="shared" si="6"/>
        <v>0.43131453200877379</v>
      </c>
      <c r="H48" s="1">
        <f t="shared" si="7"/>
        <v>-4.5214274660000039E-3</v>
      </c>
      <c r="I48" s="1" t="e">
        <f t="shared" si="8"/>
        <v>#NUM!</v>
      </c>
      <c r="J48" s="1" t="e">
        <f t="shared" si="9"/>
        <v>#NUM!</v>
      </c>
      <c r="K48" s="3"/>
      <c r="L48" s="3">
        <f t="shared" si="10"/>
        <v>0.43131453200877379</v>
      </c>
      <c r="M48" s="6">
        <v>-0.17299999999999999</v>
      </c>
      <c r="N48" s="4">
        <v>-0.15</v>
      </c>
      <c r="O48" s="5">
        <v>-0.28100000000000003</v>
      </c>
      <c r="P48">
        <f t="shared" si="11"/>
        <v>-0.28100000000000003</v>
      </c>
      <c r="Q48">
        <f t="shared" si="12"/>
        <v>0.53380782918149461</v>
      </c>
      <c r="R48">
        <f t="shared" si="13"/>
        <v>0.61565836298932375</v>
      </c>
      <c r="S48">
        <f t="shared" si="0"/>
        <v>-0.56403807829181485</v>
      </c>
      <c r="U48">
        <v>-0.28100000000000003</v>
      </c>
      <c r="V48">
        <v>-0.30325000000000002</v>
      </c>
      <c r="W48" s="11">
        <f t="shared" si="14"/>
        <v>0.56283437553793192</v>
      </c>
      <c r="X48">
        <f t="shared" si="15"/>
        <v>-0.27065723236386213</v>
      </c>
      <c r="Y48" s="13">
        <f t="shared" si="16"/>
        <v>-0.46115586385744811</v>
      </c>
      <c r="Z48" s="13">
        <v>3.8844136142551902E-2</v>
      </c>
    </row>
    <row r="49" spans="1:26" x14ac:dyDescent="0.25">
      <c r="A49" s="1">
        <v>1890</v>
      </c>
      <c r="B49" s="1">
        <f t="shared" si="1"/>
        <v>-0.41899999999999998</v>
      </c>
      <c r="C49" s="1">
        <f t="shared" si="2"/>
        <v>-0.40136490000000002</v>
      </c>
      <c r="D49" s="1">
        <f t="shared" si="3"/>
        <v>-2.5495585012028643E-2</v>
      </c>
      <c r="E49" s="1">
        <f t="shared" si="4"/>
        <v>0.65816301205553573</v>
      </c>
      <c r="F49" s="1">
        <f t="shared" si="5"/>
        <v>1.7635099999999959E-2</v>
      </c>
      <c r="G49" s="9">
        <f t="shared" si="6"/>
        <v>0.65816301205553573</v>
      </c>
      <c r="H49" s="1">
        <f t="shared" si="7"/>
        <v>2.1365300240079987E-2</v>
      </c>
      <c r="I49" s="1">
        <f t="shared" si="8"/>
        <v>0.42856192021344031</v>
      </c>
      <c r="J49" s="1">
        <f t="shared" si="9"/>
        <v>0.88776410389763105</v>
      </c>
      <c r="K49" s="3"/>
      <c r="L49" s="3">
        <f t="shared" si="10"/>
        <v>0.65816301205553573</v>
      </c>
      <c r="M49" s="6">
        <v>-0.41899999999999998</v>
      </c>
      <c r="N49" s="4">
        <v>-0.42299999999999999</v>
      </c>
      <c r="O49" s="5">
        <v>-0.44600000000000001</v>
      </c>
      <c r="P49">
        <f t="shared" si="11"/>
        <v>-0.44600000000000001</v>
      </c>
      <c r="Q49">
        <f t="shared" si="12"/>
        <v>0.94843049327354256</v>
      </c>
      <c r="R49">
        <f t="shared" si="13"/>
        <v>0.93946188340807169</v>
      </c>
      <c r="S49">
        <f t="shared" si="0"/>
        <v>-0.91572892376681603</v>
      </c>
      <c r="U49">
        <v>-0.44600000000000001</v>
      </c>
      <c r="V49">
        <v>-0.44933299999999998</v>
      </c>
      <c r="W49" s="11">
        <f t="shared" si="14"/>
        <v>0.57059348840266466</v>
      </c>
      <c r="X49">
        <f t="shared" si="15"/>
        <v>-0.65677943410208817</v>
      </c>
      <c r="Y49" s="13">
        <f t="shared" si="16"/>
        <v>-0.50188845063215926</v>
      </c>
      <c r="Z49" s="13">
        <v>-1.8884506321592701E-3</v>
      </c>
    </row>
    <row r="50" spans="1:26" x14ac:dyDescent="0.25">
      <c r="A50" s="1">
        <v>1891</v>
      </c>
      <c r="B50" s="1">
        <f t="shared" si="1"/>
        <v>-0.33900000000000002</v>
      </c>
      <c r="C50" s="1">
        <f t="shared" si="2"/>
        <v>-0.3558654</v>
      </c>
      <c r="D50" s="1">
        <f t="shared" si="3"/>
        <v>1.4073593904424753E-2</v>
      </c>
      <c r="E50" s="7">
        <f t="shared" si="4"/>
        <v>0.42108997463026071</v>
      </c>
      <c r="F50" s="1">
        <f t="shared" si="5"/>
        <v>1.6865399999999975E-2</v>
      </c>
      <c r="G50" s="9">
        <f t="shared" si="6"/>
        <v>0.42108997463026071</v>
      </c>
      <c r="H50" s="1">
        <f t="shared" si="7"/>
        <v>-9.5418966671999839E-3</v>
      </c>
      <c r="I50" s="1" t="e">
        <f t="shared" si="8"/>
        <v>#NUM!</v>
      </c>
      <c r="J50" s="1" t="e">
        <f t="shared" si="9"/>
        <v>#NUM!</v>
      </c>
      <c r="K50" s="3"/>
      <c r="L50" s="3">
        <f t="shared" si="10"/>
        <v>0.42108997463026071</v>
      </c>
      <c r="M50" s="6">
        <v>-0.33900000000000002</v>
      </c>
      <c r="N50" s="4">
        <v>-0.27</v>
      </c>
      <c r="O50" s="5">
        <v>-0.56399999999999995</v>
      </c>
      <c r="P50">
        <f t="shared" si="11"/>
        <v>-0.56399999999999995</v>
      </c>
      <c r="Q50">
        <f t="shared" si="12"/>
        <v>0.47872340425531923</v>
      </c>
      <c r="R50">
        <f t="shared" si="13"/>
        <v>0.60106382978723416</v>
      </c>
      <c r="S50">
        <f t="shared" si="0"/>
        <v>-0.57416276595744697</v>
      </c>
      <c r="U50">
        <v>-0.56399999999999995</v>
      </c>
      <c r="V50">
        <v>-0.55933299999999997</v>
      </c>
      <c r="W50" s="11">
        <f t="shared" si="14"/>
        <v>0.57836661208420992</v>
      </c>
      <c r="X50">
        <f t="shared" si="15"/>
        <v>-0.49465114626074147</v>
      </c>
      <c r="Y50" s="13">
        <f t="shared" si="16"/>
        <v>-0.49500258932118113</v>
      </c>
      <c r="Z50" s="13">
        <v>4.9974106788188699E-3</v>
      </c>
    </row>
    <row r="51" spans="1:26" x14ac:dyDescent="0.25">
      <c r="A51" s="1">
        <v>1892</v>
      </c>
      <c r="B51" s="1">
        <f t="shared" si="1"/>
        <v>-0.45600000000000002</v>
      </c>
      <c r="C51" s="1">
        <f t="shared" si="2"/>
        <v>-0.45665204999999998</v>
      </c>
      <c r="D51" s="1">
        <f t="shared" si="3"/>
        <v>5.295572368420598E-4</v>
      </c>
      <c r="E51" s="7">
        <f t="shared" si="4"/>
        <v>0.51113913408995382</v>
      </c>
      <c r="F51" s="1">
        <f t="shared" si="5"/>
        <v>6.5204999999995961E-4</v>
      </c>
      <c r="G51" s="9">
        <f t="shared" si="6"/>
        <v>0.51113913408995382</v>
      </c>
      <c r="H51" s="1">
        <f t="shared" si="7"/>
        <v>-4.8295619999996764E-4</v>
      </c>
      <c r="I51" s="1" t="e">
        <f t="shared" si="8"/>
        <v>#NUM!</v>
      </c>
      <c r="J51" s="1" t="e">
        <f t="shared" si="9"/>
        <v>#NUM!</v>
      </c>
      <c r="K51" s="3"/>
      <c r="L51" s="3">
        <f t="shared" si="10"/>
        <v>0.51113913408995382</v>
      </c>
      <c r="M51" s="6">
        <v>-0.45600000000000002</v>
      </c>
      <c r="N51" s="4">
        <v>-0.40799999999999997</v>
      </c>
      <c r="O51" s="5">
        <v>-0.625</v>
      </c>
      <c r="P51">
        <f t="shared" si="11"/>
        <v>-0.625</v>
      </c>
      <c r="Q51">
        <f t="shared" si="12"/>
        <v>0.65279999999999994</v>
      </c>
      <c r="R51">
        <f t="shared" si="13"/>
        <v>0.72960000000000003</v>
      </c>
      <c r="S51">
        <f t="shared" si="0"/>
        <v>-0.70699664000000007</v>
      </c>
      <c r="U51">
        <v>-0.625</v>
      </c>
      <c r="V51">
        <v>-0.62666699999999997</v>
      </c>
      <c r="W51" s="11">
        <f t="shared" si="14"/>
        <v>0.58612928632646799</v>
      </c>
      <c r="X51">
        <f t="shared" si="15"/>
        <v>-0.67573847342518789</v>
      </c>
      <c r="Y51" s="13">
        <f t="shared" si="16"/>
        <v>-0.49085517514769722</v>
      </c>
      <c r="Z51" s="13">
        <v>9.1448248523027693E-3</v>
      </c>
    </row>
    <row r="52" spans="1:26" x14ac:dyDescent="0.25">
      <c r="A52" s="1">
        <v>1893</v>
      </c>
      <c r="B52" s="1">
        <f t="shared" si="1"/>
        <v>-0.47499999999999998</v>
      </c>
      <c r="C52" s="1">
        <f t="shared" si="2"/>
        <v>-0.47711720000000002</v>
      </c>
      <c r="D52" s="1">
        <f t="shared" si="3"/>
        <v>1.590311364210506E-3</v>
      </c>
      <c r="E52" s="7">
        <f t="shared" si="4"/>
        <v>0.47538981965211474</v>
      </c>
      <c r="F52" s="1">
        <f t="shared" si="5"/>
        <v>2.1172000000000413E-3</v>
      </c>
      <c r="G52" s="9">
        <f t="shared" si="6"/>
        <v>0.47538981965211474</v>
      </c>
      <c r="H52" s="1">
        <f t="shared" si="7"/>
        <v>-1.5107957959999974E-3</v>
      </c>
      <c r="I52" s="1" t="e">
        <f t="shared" si="8"/>
        <v>#NUM!</v>
      </c>
      <c r="J52" s="1" t="e">
        <f t="shared" si="9"/>
        <v>#NUM!</v>
      </c>
      <c r="K52" s="3"/>
      <c r="L52" s="3">
        <f t="shared" si="10"/>
        <v>0.47538981965211474</v>
      </c>
      <c r="M52" s="6">
        <v>-0.47499999999999998</v>
      </c>
      <c r="N52" s="4">
        <v>-0.39700000000000002</v>
      </c>
      <c r="O52" s="5">
        <v>-0.7</v>
      </c>
      <c r="P52">
        <f t="shared" si="11"/>
        <v>-0.7</v>
      </c>
      <c r="Q52">
        <f t="shared" si="12"/>
        <v>0.56714285714285717</v>
      </c>
      <c r="R52">
        <f t="shared" si="13"/>
        <v>0.6785714285714286</v>
      </c>
      <c r="S52">
        <f t="shared" si="0"/>
        <v>-0.66607300000000003</v>
      </c>
      <c r="U52">
        <v>-0.7</v>
      </c>
      <c r="V52">
        <v>-0.69633299999999998</v>
      </c>
      <c r="W52" s="11">
        <f t="shared" si="14"/>
        <v>0.59385838825255632</v>
      </c>
      <c r="X52">
        <f t="shared" si="15"/>
        <v>-0.67752526115465339</v>
      </c>
      <c r="Y52" s="13">
        <f t="shared" si="16"/>
        <v>-0.49769927046276646</v>
      </c>
      <c r="Z52" s="13">
        <v>2.3007295372335299E-3</v>
      </c>
    </row>
    <row r="53" spans="1:26" x14ac:dyDescent="0.25">
      <c r="A53" s="1">
        <v>1894</v>
      </c>
      <c r="B53" s="1">
        <f t="shared" si="1"/>
        <v>-0.40799999999999997</v>
      </c>
      <c r="C53" s="1">
        <f t="shared" si="2"/>
        <v>-0.40706629999999999</v>
      </c>
      <c r="D53" s="1">
        <f t="shared" si="3"/>
        <v>-7.2199724382353003E-3</v>
      </c>
      <c r="E53" s="7">
        <f t="shared" si="4"/>
        <v>0.60815826424476582</v>
      </c>
      <c r="F53" s="1">
        <f t="shared" si="5"/>
        <v>9.3369999999998177E-4</v>
      </c>
      <c r="G53" s="9">
        <f t="shared" si="6"/>
        <v>0.60815826424476582</v>
      </c>
      <c r="H53" s="1">
        <f t="shared" si="7"/>
        <v>5.8914975095999966E-3</v>
      </c>
      <c r="I53" s="1">
        <f t="shared" si="8"/>
        <v>0.49374686451775929</v>
      </c>
      <c r="J53" s="1">
        <f t="shared" si="9"/>
        <v>0.72256966397177236</v>
      </c>
      <c r="K53" s="3"/>
      <c r="L53" s="3">
        <f t="shared" si="10"/>
        <v>0.60815826424476582</v>
      </c>
      <c r="M53" s="6">
        <v>-0.40799999999999997</v>
      </c>
      <c r="N53" s="4">
        <v>-0.41799999999999998</v>
      </c>
      <c r="O53" s="5">
        <v>-0.47</v>
      </c>
      <c r="P53">
        <f t="shared" si="11"/>
        <v>-0.47</v>
      </c>
      <c r="Q53">
        <f t="shared" si="12"/>
        <v>0.88936170212765964</v>
      </c>
      <c r="R53">
        <f t="shared" si="13"/>
        <v>0.86808510638297876</v>
      </c>
      <c r="S53">
        <f t="shared" si="0"/>
        <v>-0.81513276595744688</v>
      </c>
      <c r="U53">
        <v>-0.47</v>
      </c>
      <c r="V53">
        <v>-0.46825</v>
      </c>
      <c r="W53" s="11">
        <f t="shared" si="14"/>
        <v>0.60153212491422892</v>
      </c>
      <c r="X53">
        <f t="shared" si="15"/>
        <v>-0.63050558490897335</v>
      </c>
      <c r="Y53" s="13">
        <f t="shared" si="16"/>
        <v>-0.4722884710656467</v>
      </c>
      <c r="Z53" s="13">
        <v>2.7711528934353299E-2</v>
      </c>
    </row>
    <row r="54" spans="1:26" x14ac:dyDescent="0.25">
      <c r="A54" s="1">
        <v>1895</v>
      </c>
      <c r="B54" s="1">
        <f t="shared" si="1"/>
        <v>-0.39300000000000002</v>
      </c>
      <c r="C54" s="1">
        <f t="shared" si="2"/>
        <v>-0.39614674999999999</v>
      </c>
      <c r="D54" s="1">
        <f t="shared" si="3"/>
        <v>2.7879535836640712E-3</v>
      </c>
      <c r="E54" s="7">
        <f t="shared" si="4"/>
        <v>0.47551945963565778</v>
      </c>
      <c r="F54" s="1">
        <f t="shared" si="5"/>
        <v>3.146749999999976E-3</v>
      </c>
      <c r="G54" s="9">
        <f t="shared" si="6"/>
        <v>0.47551945963565778</v>
      </c>
      <c r="H54" s="1">
        <f t="shared" si="7"/>
        <v>-2.1913315167599867E-3</v>
      </c>
      <c r="I54" s="1" t="e">
        <f t="shared" si="8"/>
        <v>#NUM!</v>
      </c>
      <c r="J54" s="1" t="e">
        <f t="shared" si="9"/>
        <v>#NUM!</v>
      </c>
      <c r="K54" s="3"/>
      <c r="L54" s="3">
        <f t="shared" si="10"/>
        <v>0.47551945963565778</v>
      </c>
      <c r="M54" s="6">
        <v>-0.39300000000000002</v>
      </c>
      <c r="N54" s="4">
        <v>-0.33100000000000002</v>
      </c>
      <c r="O54" s="5">
        <v>-0.57899999999999996</v>
      </c>
      <c r="P54">
        <f t="shared" si="11"/>
        <v>-0.57899999999999996</v>
      </c>
      <c r="Q54">
        <f t="shared" si="12"/>
        <v>0.57167530224525054</v>
      </c>
      <c r="R54">
        <f t="shared" si="13"/>
        <v>0.6787564766839379</v>
      </c>
      <c r="S54">
        <f t="shared" si="0"/>
        <v>-0.66320829015544047</v>
      </c>
      <c r="U54">
        <v>-0.57899999999999996</v>
      </c>
      <c r="V54">
        <v>-0.57974999999999999</v>
      </c>
      <c r="W54" s="11">
        <f t="shared" si="14"/>
        <v>0.60912994388490915</v>
      </c>
      <c r="X54">
        <f t="shared" si="15"/>
        <v>-0.55359086051209416</v>
      </c>
      <c r="Y54" s="13">
        <f t="shared" si="16"/>
        <v>-0.47917099042215078</v>
      </c>
      <c r="Z54" s="13">
        <v>2.0829009577849202E-2</v>
      </c>
    </row>
    <row r="55" spans="1:26" x14ac:dyDescent="0.25">
      <c r="A55" s="1">
        <v>1896</v>
      </c>
      <c r="B55" s="1">
        <f t="shared" si="1"/>
        <v>-0.191</v>
      </c>
      <c r="C55" s="1">
        <f t="shared" si="2"/>
        <v>-0.22009924999999997</v>
      </c>
      <c r="D55" s="1">
        <f t="shared" si="3"/>
        <v>1.672443970481674E-2</v>
      </c>
      <c r="E55" s="7">
        <f t="shared" si="4"/>
        <v>0.32399448904033512</v>
      </c>
      <c r="F55" s="1">
        <f t="shared" si="5"/>
        <v>2.9099249999999965E-2</v>
      </c>
      <c r="G55" s="9">
        <f t="shared" si="6"/>
        <v>0.32399448904033512</v>
      </c>
      <c r="H55" s="1">
        <f t="shared" si="7"/>
        <v>-6.388735967239996E-3</v>
      </c>
      <c r="I55" s="1" t="e">
        <f t="shared" si="8"/>
        <v>#NUM!</v>
      </c>
      <c r="J55" s="1" t="e">
        <f t="shared" si="9"/>
        <v>#NUM!</v>
      </c>
      <c r="K55" s="3"/>
      <c r="L55" s="3">
        <f t="shared" si="10"/>
        <v>0.32399448904033512</v>
      </c>
      <c r="M55" s="6">
        <v>-0.191</v>
      </c>
      <c r="N55" s="4">
        <v>-0.127</v>
      </c>
      <c r="O55" s="5">
        <v>-0.41299999999999998</v>
      </c>
      <c r="P55">
        <f t="shared" si="11"/>
        <v>-0.41299999999999998</v>
      </c>
      <c r="Q55">
        <f t="shared" si="12"/>
        <v>0.30750605326876518</v>
      </c>
      <c r="R55">
        <f t="shared" si="13"/>
        <v>0.46246973365617439</v>
      </c>
      <c r="S55">
        <f t="shared" si="0"/>
        <v>-0.4191723970944311</v>
      </c>
      <c r="U55">
        <v>-0.41299999999999998</v>
      </c>
      <c r="V55">
        <v>-0.41775000000000001</v>
      </c>
      <c r="W55" s="11">
        <f t="shared" si="14"/>
        <v>0.61663260776549578</v>
      </c>
      <c r="X55">
        <f t="shared" si="15"/>
        <v>-0.26523364007105082</v>
      </c>
      <c r="Y55" s="13">
        <f t="shared" si="16"/>
        <v>-0.4666331133130181</v>
      </c>
      <c r="Z55" s="13">
        <v>3.33668866869819E-2</v>
      </c>
    </row>
    <row r="56" spans="1:26" x14ac:dyDescent="0.25">
      <c r="A56" s="1">
        <v>1897</v>
      </c>
      <c r="B56" s="1">
        <f t="shared" si="1"/>
        <v>-0.21</v>
      </c>
      <c r="C56" s="1">
        <f t="shared" si="2"/>
        <v>-0.2142559</v>
      </c>
      <c r="D56" s="1">
        <f t="shared" si="3"/>
        <v>3.9149592959999979E-3</v>
      </c>
      <c r="E56" s="7">
        <f t="shared" si="4"/>
        <v>0.4626435186286717</v>
      </c>
      <c r="F56" s="1">
        <f t="shared" si="5"/>
        <v>4.2559000000000069E-3</v>
      </c>
      <c r="G56" s="9">
        <f t="shared" si="6"/>
        <v>0.4626435186286717</v>
      </c>
      <c r="H56" s="1">
        <f t="shared" si="7"/>
        <v>-1.6442829043199977E-3</v>
      </c>
      <c r="I56" s="1" t="e">
        <f t="shared" si="8"/>
        <v>#NUM!</v>
      </c>
      <c r="J56" s="1" t="e">
        <f t="shared" si="9"/>
        <v>#NUM!</v>
      </c>
      <c r="K56" s="3"/>
      <c r="L56" s="3">
        <f t="shared" si="10"/>
        <v>0.4626435186286717</v>
      </c>
      <c r="M56" s="6">
        <v>-0.21</v>
      </c>
      <c r="N56" s="4">
        <v>-0.17599999999999999</v>
      </c>
      <c r="O56" s="5">
        <v>-0.318</v>
      </c>
      <c r="P56">
        <f t="shared" si="11"/>
        <v>-0.318</v>
      </c>
      <c r="Q56">
        <f t="shared" si="12"/>
        <v>0.55345911949685533</v>
      </c>
      <c r="R56">
        <f t="shared" si="13"/>
        <v>0.660377358490566</v>
      </c>
      <c r="S56">
        <f t="shared" si="0"/>
        <v>-0.63945094339622632</v>
      </c>
      <c r="U56">
        <v>-0.318</v>
      </c>
      <c r="V56">
        <v>-0.32824999999999999</v>
      </c>
      <c r="W56" s="11">
        <f t="shared" si="14"/>
        <v>0.62402206752449274</v>
      </c>
      <c r="X56">
        <f t="shared" si="15"/>
        <v>-0.29233628135322198</v>
      </c>
      <c r="Y56" s="13">
        <f t="shared" si="16"/>
        <v>-0.45518552790300681</v>
      </c>
      <c r="Z56" s="13">
        <v>4.4814472096993199E-2</v>
      </c>
    </row>
    <row r="57" spans="1:26" x14ac:dyDescent="0.25">
      <c r="A57" s="1">
        <v>1898</v>
      </c>
      <c r="B57" s="1">
        <f t="shared" si="1"/>
        <v>-0.40799999999999997</v>
      </c>
      <c r="C57" s="1">
        <f t="shared" si="2"/>
        <v>-0.36885875000000001</v>
      </c>
      <c r="D57" s="1">
        <f t="shared" si="3"/>
        <v>-4.7784944118088202E-2</v>
      </c>
      <c r="E57" s="1">
        <f t="shared" si="4"/>
        <v>0.73859014003886281</v>
      </c>
      <c r="F57" s="1">
        <f t="shared" si="5"/>
        <v>3.9141249999999961E-2</v>
      </c>
      <c r="G57" s="9">
        <f t="shared" si="6"/>
        <v>0.73859014003886281</v>
      </c>
      <c r="H57" s="1">
        <f t="shared" si="7"/>
        <v>3.8992514400359973E-2</v>
      </c>
      <c r="I57" s="1">
        <f t="shared" si="8"/>
        <v>0.38112477997399774</v>
      </c>
      <c r="J57" s="1">
        <f t="shared" si="9"/>
        <v>1.096055500103728</v>
      </c>
      <c r="K57" s="3"/>
      <c r="L57" s="3">
        <f t="shared" si="10"/>
        <v>0.73859014003886281</v>
      </c>
      <c r="M57" s="6">
        <v>-0.40799999999999997</v>
      </c>
      <c r="N57" s="4">
        <v>-0.40300000000000002</v>
      </c>
      <c r="O57" s="5">
        <v>-0.38700000000000001</v>
      </c>
      <c r="P57">
        <f t="shared" si="11"/>
        <v>-0.38700000000000001</v>
      </c>
      <c r="Q57">
        <f t="shared" si="12"/>
        <v>1.0413436692506459</v>
      </c>
      <c r="R57">
        <f t="shared" si="13"/>
        <v>1.0542635658914727</v>
      </c>
      <c r="S57">
        <f t="shared" si="0"/>
        <v>-1.0790201550387595</v>
      </c>
      <c r="U57">
        <v>-0.38700000000000001</v>
      </c>
      <c r="V57">
        <v>-0.38033299999999998</v>
      </c>
      <c r="W57" s="11">
        <f t="shared" si="14"/>
        <v>0.631281484849751</v>
      </c>
      <c r="X57">
        <f t="shared" si="15"/>
        <v>-0.56641276145083541</v>
      </c>
      <c r="Y57" s="13">
        <f t="shared" si="16"/>
        <v>-0.46477888798045841</v>
      </c>
      <c r="Z57" s="13">
        <v>3.5221112019541603E-2</v>
      </c>
    </row>
    <row r="58" spans="1:26" x14ac:dyDescent="0.25">
      <c r="A58" s="1">
        <v>1899</v>
      </c>
      <c r="B58" s="1">
        <f t="shared" si="1"/>
        <v>-0.28799999999999998</v>
      </c>
      <c r="C58" s="1">
        <f t="shared" si="2"/>
        <v>-0.27666110000000005</v>
      </c>
      <c r="D58" s="1">
        <f t="shared" si="3"/>
        <v>-1.4476019049999955E-2</v>
      </c>
      <c r="E58" s="1">
        <f t="shared" si="4"/>
        <v>0.61891241615670856</v>
      </c>
      <c r="F58" s="1">
        <f t="shared" si="5"/>
        <v>1.133889999999993E-2</v>
      </c>
      <c r="G58" s="9">
        <f t="shared" si="6"/>
        <v>0.61891241615670856</v>
      </c>
      <c r="H58" s="1">
        <f t="shared" si="7"/>
        <v>8.3381869727999908E-3</v>
      </c>
      <c r="I58" s="1">
        <f t="shared" si="8"/>
        <v>0.42267919980227198</v>
      </c>
      <c r="J58" s="1">
        <f t="shared" si="9"/>
        <v>0.81514563251114502</v>
      </c>
      <c r="K58" s="3"/>
      <c r="L58" s="3">
        <f t="shared" si="10"/>
        <v>0.61891241615670856</v>
      </c>
      <c r="M58" s="6">
        <v>-0.28799999999999998</v>
      </c>
      <c r="N58" s="4">
        <v>-0.28000000000000003</v>
      </c>
      <c r="O58" s="5">
        <v>-0.32600000000000001</v>
      </c>
      <c r="P58">
        <f t="shared" si="11"/>
        <v>-0.32600000000000001</v>
      </c>
      <c r="Q58">
        <f t="shared" si="12"/>
        <v>0.85889570552147243</v>
      </c>
      <c r="R58">
        <f t="shared" si="13"/>
        <v>0.88343558282208579</v>
      </c>
      <c r="S58">
        <f t="shared" si="0"/>
        <v>-0.86757730061349669</v>
      </c>
      <c r="U58">
        <v>-0.32600000000000001</v>
      </c>
      <c r="V58">
        <v>-0.32616699999999998</v>
      </c>
      <c r="W58" s="11">
        <f t="shared" si="14"/>
        <v>0.638395213522017</v>
      </c>
      <c r="X58">
        <f t="shared" si="15"/>
        <v>-0.40636246275814908</v>
      </c>
      <c r="Y58" s="13">
        <f t="shared" si="16"/>
        <v>-0.43986780948475918</v>
      </c>
      <c r="Z58" s="13">
        <v>6.0132190515240803E-2</v>
      </c>
    </row>
    <row r="59" spans="1:26" x14ac:dyDescent="0.25">
      <c r="A59" s="1">
        <v>1900</v>
      </c>
      <c r="B59" s="1">
        <f t="shared" si="1"/>
        <v>-0.19800000000000001</v>
      </c>
      <c r="C59" s="1">
        <f t="shared" si="2"/>
        <v>-0.18410575000000001</v>
      </c>
      <c r="D59" s="1">
        <f t="shared" si="3"/>
        <v>-1.8505453636363633E-2</v>
      </c>
      <c r="E59" s="1">
        <f t="shared" si="4"/>
        <v>0.71135253985190927</v>
      </c>
      <c r="F59" s="1">
        <f t="shared" si="5"/>
        <v>1.3894249999999997E-2</v>
      </c>
      <c r="G59" s="9">
        <f t="shared" si="6"/>
        <v>0.71135253985190927</v>
      </c>
      <c r="H59" s="1">
        <f t="shared" si="7"/>
        <v>7.3281596400000051E-3</v>
      </c>
      <c r="I59" s="1">
        <f t="shared" si="8"/>
        <v>0.40380153024517335</v>
      </c>
      <c r="J59" s="1">
        <f t="shared" si="9"/>
        <v>1.0189035494586454</v>
      </c>
      <c r="K59" s="3"/>
      <c r="L59" s="3">
        <f t="shared" si="10"/>
        <v>0.71135253985190927</v>
      </c>
      <c r="M59" s="6">
        <v>-0.19800000000000001</v>
      </c>
      <c r="N59" s="4">
        <v>-0.2</v>
      </c>
      <c r="O59" s="5">
        <v>-0.19500000000000001</v>
      </c>
      <c r="P59">
        <f t="shared" si="11"/>
        <v>-0.19500000000000001</v>
      </c>
      <c r="Q59">
        <f t="shared" si="12"/>
        <v>1.0256410256410258</v>
      </c>
      <c r="R59">
        <f t="shared" si="13"/>
        <v>1.0153846153846153</v>
      </c>
      <c r="S59">
        <f t="shared" si="0"/>
        <v>-1.0124692307692307</v>
      </c>
      <c r="U59">
        <v>-0.19500000000000001</v>
      </c>
      <c r="V59">
        <v>-0.20449999999999999</v>
      </c>
      <c r="W59" s="11">
        <f t="shared" si="14"/>
        <v>0.64534874353557825</v>
      </c>
      <c r="X59">
        <f t="shared" si="15"/>
        <v>-0.27701123480783607</v>
      </c>
      <c r="Y59" s="13">
        <f t="shared" si="16"/>
        <v>-0.43117006766656163</v>
      </c>
      <c r="Z59" s="13">
        <v>6.8829932333438398E-2</v>
      </c>
    </row>
    <row r="60" spans="1:26" x14ac:dyDescent="0.25">
      <c r="A60" s="1">
        <v>1901</v>
      </c>
      <c r="B60" s="1">
        <f t="shared" si="1"/>
        <v>-0.26700000000000002</v>
      </c>
      <c r="C60" s="1">
        <f t="shared" si="2"/>
        <v>-0.24696705000000002</v>
      </c>
      <c r="D60" s="1">
        <f t="shared" si="3"/>
        <v>-4.6537087211460659E-2</v>
      </c>
      <c r="E60" s="1">
        <f t="shared" si="4"/>
        <v>1.056798778388109</v>
      </c>
      <c r="F60" s="1">
        <f t="shared" si="5"/>
        <v>2.0032949999999994E-2</v>
      </c>
      <c r="G60" s="9">
        <f t="shared" si="6"/>
        <v>1.056798778388109</v>
      </c>
      <c r="H60" s="1">
        <f t="shared" si="7"/>
        <v>2.4850804570920003E-2</v>
      </c>
      <c r="I60" s="1">
        <f t="shared" si="8"/>
        <v>0.43284665324221394</v>
      </c>
      <c r="J60" s="1">
        <f t="shared" si="9"/>
        <v>1.6807509035340036</v>
      </c>
      <c r="K60" s="3"/>
      <c r="L60" s="3">
        <f t="shared" si="10"/>
        <v>1.056798778388109</v>
      </c>
      <c r="M60" s="6">
        <v>-0.26700000000000002</v>
      </c>
      <c r="N60" s="4">
        <v>-0.32100000000000001</v>
      </c>
      <c r="O60" s="5">
        <v>-0.17699999999999999</v>
      </c>
      <c r="P60">
        <f t="shared" si="11"/>
        <v>-0.17699999999999999</v>
      </c>
      <c r="Q60">
        <f t="shared" si="12"/>
        <v>1.8135593220338984</v>
      </c>
      <c r="R60">
        <f t="shared" si="13"/>
        <v>1.5084745762711866</v>
      </c>
      <c r="S60">
        <f t="shared" si="0"/>
        <v>-1.43631186440678</v>
      </c>
      <c r="U60">
        <v>-0.17699999999999999</v>
      </c>
      <c r="V60">
        <v>-0.190417</v>
      </c>
      <c r="W60" s="11">
        <f t="shared" si="14"/>
        <v>0.65212867874652147</v>
      </c>
      <c r="X60">
        <f t="shared" si="15"/>
        <v>-0.40198260642703892</v>
      </c>
      <c r="Y60" s="13">
        <f t="shared" si="16"/>
        <v>-0.42573480345990011</v>
      </c>
      <c r="Z60" s="13">
        <v>7.4265196540099901E-2</v>
      </c>
    </row>
    <row r="61" spans="1:26" x14ac:dyDescent="0.25">
      <c r="A61" s="1">
        <v>1902</v>
      </c>
      <c r="B61" s="1">
        <f t="shared" si="1"/>
        <v>-0.41199999999999998</v>
      </c>
      <c r="C61" s="1">
        <f t="shared" si="2"/>
        <v>-0.38592929999999998</v>
      </c>
      <c r="D61" s="1">
        <f t="shared" si="3"/>
        <v>-3.3962114024174761E-2</v>
      </c>
      <c r="E61" s="1">
        <f t="shared" si="4"/>
        <v>0.68397318028271337</v>
      </c>
      <c r="F61" s="1">
        <f t="shared" si="5"/>
        <v>2.6070700000000002E-2</v>
      </c>
      <c r="G61" s="9">
        <f t="shared" si="6"/>
        <v>0.68397318028271337</v>
      </c>
      <c r="H61" s="1">
        <f t="shared" si="7"/>
        <v>2.7984781955919996E-2</v>
      </c>
      <c r="I61" s="1">
        <f t="shared" si="8"/>
        <v>0.40625595318573593</v>
      </c>
      <c r="J61" s="1">
        <f t="shared" si="9"/>
        <v>0.96169040737969091</v>
      </c>
      <c r="K61" s="3"/>
      <c r="L61" s="3">
        <f t="shared" si="10"/>
        <v>0.68397318028271337</v>
      </c>
      <c r="M61" s="6">
        <v>-0.41199999999999998</v>
      </c>
      <c r="N61" s="4">
        <v>-0.41099999999999998</v>
      </c>
      <c r="O61" s="5">
        <v>-0.42199999999999999</v>
      </c>
      <c r="P61">
        <f t="shared" si="11"/>
        <v>-0.42199999999999999</v>
      </c>
      <c r="Q61">
        <f t="shared" si="12"/>
        <v>0.97393364928909953</v>
      </c>
      <c r="R61">
        <f t="shared" si="13"/>
        <v>0.976303317535545</v>
      </c>
      <c r="S61">
        <f t="shared" si="0"/>
        <v>-0.97121018957345961</v>
      </c>
      <c r="U61">
        <v>-0.42199999999999999</v>
      </c>
      <c r="V61">
        <v>-0.42241699999999999</v>
      </c>
      <c r="W61" s="11">
        <f t="shared" si="14"/>
        <v>0.65872271452099085</v>
      </c>
      <c r="X61">
        <f t="shared" si="15"/>
        <v>-0.56612083952168379</v>
      </c>
      <c r="Y61" s="13">
        <f t="shared" si="16"/>
        <v>-0.45710331375414293</v>
      </c>
      <c r="Z61" s="13">
        <v>4.2896686245857102E-2</v>
      </c>
    </row>
    <row r="62" spans="1:26" x14ac:dyDescent="0.25">
      <c r="A62" s="1">
        <v>1903</v>
      </c>
      <c r="B62" s="1">
        <f t="shared" si="1"/>
        <v>-0.48099999999999998</v>
      </c>
      <c r="C62" s="1">
        <f t="shared" si="2"/>
        <v>-0.45098174999999996</v>
      </c>
      <c r="D62" s="1">
        <f t="shared" si="3"/>
        <v>-5.0450560949729717E-2</v>
      </c>
      <c r="E62" s="1">
        <f t="shared" si="4"/>
        <v>0.78184761156120175</v>
      </c>
      <c r="F62" s="1">
        <f t="shared" si="5"/>
        <v>3.0018250000000024E-2</v>
      </c>
      <c r="G62" s="9">
        <f t="shared" si="6"/>
        <v>0.78184761156120175</v>
      </c>
      <c r="H62" s="1">
        <f t="shared" si="7"/>
        <v>4.8533439633639985E-2</v>
      </c>
      <c r="I62" s="1">
        <f t="shared" si="8"/>
        <v>0.42375317550279112</v>
      </c>
      <c r="J62" s="1">
        <f t="shared" si="9"/>
        <v>1.1399420476196123</v>
      </c>
      <c r="K62" s="3"/>
      <c r="L62" s="3">
        <f t="shared" si="10"/>
        <v>0.78184761156120175</v>
      </c>
      <c r="M62" s="6">
        <v>-0.48099999999999998</v>
      </c>
      <c r="N62" s="4">
        <v>-0.51900000000000002</v>
      </c>
      <c r="O62" s="5">
        <v>-0.43099999999999999</v>
      </c>
      <c r="P62">
        <f t="shared" si="11"/>
        <v>-0.43099999999999999</v>
      </c>
      <c r="Q62">
        <f t="shared" si="12"/>
        <v>1.2041763341067286</v>
      </c>
      <c r="R62">
        <f t="shared" si="13"/>
        <v>1.1160092807424593</v>
      </c>
      <c r="S62">
        <f t="shared" si="0"/>
        <v>-1.0862979118329465</v>
      </c>
      <c r="U62">
        <v>-0.43099999999999999</v>
      </c>
      <c r="V62">
        <v>-0.42341699999999999</v>
      </c>
      <c r="W62" s="11">
        <f t="shared" si="14"/>
        <v>0.66511963028460741</v>
      </c>
      <c r="X62">
        <f t="shared" si="15"/>
        <v>-0.68030308490705493</v>
      </c>
      <c r="Y62" s="13">
        <f t="shared" si="16"/>
        <v>-0.45751193464917611</v>
      </c>
      <c r="Z62" s="13">
        <v>4.2488065350823903E-2</v>
      </c>
    </row>
    <row r="63" spans="1:26" x14ac:dyDescent="0.25">
      <c r="A63" s="1">
        <v>1904</v>
      </c>
      <c r="B63" s="1">
        <f t="shared" si="1"/>
        <v>-0.52800000000000002</v>
      </c>
      <c r="C63" s="1">
        <f t="shared" si="2"/>
        <v>-0.50824345000000004</v>
      </c>
      <c r="D63" s="1">
        <f t="shared" si="3"/>
        <v>-2.9267840985340909E-2</v>
      </c>
      <c r="E63" s="1">
        <f t="shared" si="4"/>
        <v>0.65009370953074319</v>
      </c>
      <c r="F63" s="1">
        <f t="shared" si="5"/>
        <v>1.9756549999999984E-2</v>
      </c>
      <c r="G63" s="9">
        <f t="shared" si="6"/>
        <v>0.65009370953074319</v>
      </c>
      <c r="H63" s="1">
        <f t="shared" si="7"/>
        <v>3.0906840080520054E-2</v>
      </c>
      <c r="I63" s="1">
        <f t="shared" si="8"/>
        <v>0.43363785155213536</v>
      </c>
      <c r="J63" s="1">
        <f t="shared" si="9"/>
        <v>0.86654956750935108</v>
      </c>
      <c r="K63" s="3"/>
      <c r="L63" s="3">
        <f t="shared" si="10"/>
        <v>0.65009370953074319</v>
      </c>
      <c r="M63" s="6">
        <v>-0.52800000000000002</v>
      </c>
      <c r="N63" s="4">
        <v>-0.53300000000000003</v>
      </c>
      <c r="O63" s="5">
        <v>-0.56899999999999995</v>
      </c>
      <c r="P63">
        <f t="shared" si="11"/>
        <v>-0.56899999999999995</v>
      </c>
      <c r="Q63">
        <f t="shared" si="12"/>
        <v>0.93673110720562403</v>
      </c>
      <c r="R63">
        <f t="shared" si="13"/>
        <v>0.92794376098418285</v>
      </c>
      <c r="S63">
        <f t="shared" si="0"/>
        <v>-0.90104253075571183</v>
      </c>
      <c r="U63">
        <v>-0.56899999999999995</v>
      </c>
      <c r="V63">
        <v>-0.55483300000000002</v>
      </c>
      <c r="W63" s="11">
        <f t="shared" si="14"/>
        <v>0.67130921501666307</v>
      </c>
      <c r="X63">
        <f t="shared" si="15"/>
        <v>-0.72956175086523767</v>
      </c>
      <c r="Y63" s="13">
        <f t="shared" si="16"/>
        <v>-0.46993131085770712</v>
      </c>
      <c r="Z63" s="13">
        <v>3.0068689142292899E-2</v>
      </c>
    </row>
    <row r="64" spans="1:26" x14ac:dyDescent="0.25">
      <c r="A64" s="1">
        <v>1905</v>
      </c>
      <c r="B64" s="1">
        <f t="shared" si="1"/>
        <v>-0.38200000000000001</v>
      </c>
      <c r="C64" s="1">
        <f t="shared" si="2"/>
        <v>-0.37948140000000002</v>
      </c>
      <c r="D64" s="1">
        <f t="shared" si="3"/>
        <v>-9.6812850404188744E-3</v>
      </c>
      <c r="E64" s="7">
        <f t="shared" si="4"/>
        <v>0.62527908398905796</v>
      </c>
      <c r="F64" s="1">
        <f t="shared" si="5"/>
        <v>2.518599999999982E-3</v>
      </c>
      <c r="G64" s="9">
        <f t="shared" si="6"/>
        <v>0.62527908398905796</v>
      </c>
      <c r="H64" s="1">
        <f t="shared" si="7"/>
        <v>7.3965017708799985E-3</v>
      </c>
      <c r="I64" s="1">
        <f t="shared" si="8"/>
        <v>0.48450467220467469</v>
      </c>
      <c r="J64" s="1">
        <f t="shared" si="9"/>
        <v>0.76605349577344128</v>
      </c>
      <c r="K64" s="3"/>
      <c r="L64" s="3">
        <f t="shared" si="10"/>
        <v>0.62527908398905796</v>
      </c>
      <c r="M64" s="6">
        <v>-0.38200000000000001</v>
      </c>
      <c r="N64" s="4">
        <v>-0.39600000000000002</v>
      </c>
      <c r="O64" s="5">
        <v>-0.42799999999999999</v>
      </c>
      <c r="P64">
        <f t="shared" si="11"/>
        <v>-0.42799999999999999</v>
      </c>
      <c r="Q64">
        <f t="shared" si="12"/>
        <v>0.92523364485981319</v>
      </c>
      <c r="R64">
        <f t="shared" si="13"/>
        <v>0.89252336448598135</v>
      </c>
      <c r="S64">
        <f t="shared" si="0"/>
        <v>-0.83840747663551407</v>
      </c>
      <c r="U64">
        <v>-0.42799999999999999</v>
      </c>
      <c r="V64">
        <v>-0.43416700000000003</v>
      </c>
      <c r="W64" s="11">
        <f t="shared" si="14"/>
        <v>0.67728228960186243</v>
      </c>
      <c r="X64">
        <f t="shared" si="15"/>
        <v>-0.53982946131146592</v>
      </c>
      <c r="Y64" s="13">
        <f t="shared" si="16"/>
        <v>-0.4520729798002065</v>
      </c>
      <c r="Z64" s="13">
        <v>4.7927020199793502E-2</v>
      </c>
    </row>
    <row r="65" spans="1:26" x14ac:dyDescent="0.25">
      <c r="A65" s="1">
        <v>1906</v>
      </c>
      <c r="B65" s="1">
        <f t="shared" si="1"/>
        <v>-0.29399999999999998</v>
      </c>
      <c r="C65" s="1">
        <f t="shared" si="2"/>
        <v>-0.27319919999999998</v>
      </c>
      <c r="D65" s="1">
        <f t="shared" si="3"/>
        <v>-4.5334250657142861E-2</v>
      </c>
      <c r="E65" s="1">
        <f t="shared" si="4"/>
        <v>0.97155138912021066</v>
      </c>
      <c r="F65" s="1">
        <f t="shared" si="5"/>
        <v>2.0800800000000008E-2</v>
      </c>
      <c r="G65" s="9">
        <f t="shared" si="6"/>
        <v>0.97155138912021066</v>
      </c>
      <c r="H65" s="1">
        <f t="shared" si="7"/>
        <v>2.6656539386399995E-2</v>
      </c>
      <c r="I65" s="1">
        <f t="shared" si="8"/>
        <v>0.43201551010897782</v>
      </c>
      <c r="J65" s="1">
        <f t="shared" si="9"/>
        <v>1.5110872681314433</v>
      </c>
      <c r="K65" s="3"/>
      <c r="L65" s="3">
        <f t="shared" si="10"/>
        <v>0.97155138912021066</v>
      </c>
      <c r="M65" s="6">
        <v>-0.29399999999999998</v>
      </c>
      <c r="N65" s="4">
        <v>-0.34499999999999997</v>
      </c>
      <c r="O65" s="5">
        <v>-0.21199999999999999</v>
      </c>
      <c r="P65">
        <f t="shared" si="11"/>
        <v>-0.21199999999999999</v>
      </c>
      <c r="Q65">
        <f t="shared" si="12"/>
        <v>1.6273584905660377</v>
      </c>
      <c r="R65">
        <f t="shared" si="13"/>
        <v>1.3867924528301887</v>
      </c>
      <c r="S65">
        <f t="shared" si="0"/>
        <v>-1.3258391509433964</v>
      </c>
      <c r="U65">
        <v>-0.21199999999999999</v>
      </c>
      <c r="V65">
        <v>-0.23166700000000001</v>
      </c>
      <c r="W65" s="11">
        <f t="shared" si="14"/>
        <v>0.68303062487393618</v>
      </c>
      <c r="X65">
        <f t="shared" si="15"/>
        <v>-0.42118675666730887</v>
      </c>
      <c r="Y65" s="13">
        <f t="shared" si="16"/>
        <v>-0.42499040391667198</v>
      </c>
      <c r="Z65" s="13">
        <v>7.5009596083327995E-2</v>
      </c>
    </row>
    <row r="66" spans="1:26" x14ac:dyDescent="0.25">
      <c r="A66" s="1">
        <v>1907</v>
      </c>
      <c r="B66" s="1">
        <f t="shared" si="1"/>
        <v>-0.47599999999999998</v>
      </c>
      <c r="C66" s="1">
        <f t="shared" si="2"/>
        <v>-0.4808924</v>
      </c>
      <c r="D66" s="1">
        <f t="shared" si="3"/>
        <v>4.5613398305882624E-3</v>
      </c>
      <c r="E66" s="7">
        <f t="shared" si="4"/>
        <v>0.51461951886967061</v>
      </c>
      <c r="F66" s="1">
        <f t="shared" si="5"/>
        <v>4.892400000000019E-3</v>
      </c>
      <c r="G66" s="9">
        <f t="shared" si="6"/>
        <v>0.51461951886967061</v>
      </c>
      <c r="H66" s="1">
        <f t="shared" si="7"/>
        <v>-4.3423955187200103E-3</v>
      </c>
      <c r="I66" s="1" t="e">
        <f t="shared" si="8"/>
        <v>#NUM!</v>
      </c>
      <c r="J66" s="1" t="e">
        <f t="shared" si="9"/>
        <v>#NUM!</v>
      </c>
      <c r="K66" s="3"/>
      <c r="L66" s="3">
        <f t="shared" si="10"/>
        <v>0.51461951886967061</v>
      </c>
      <c r="M66" s="6">
        <v>-0.47599999999999998</v>
      </c>
      <c r="N66" s="4">
        <v>-0.436</v>
      </c>
      <c r="O66" s="5">
        <v>-0.64800000000000002</v>
      </c>
      <c r="P66">
        <f t="shared" si="11"/>
        <v>-0.64800000000000002</v>
      </c>
      <c r="Q66">
        <f t="shared" si="12"/>
        <v>0.6728395061728395</v>
      </c>
      <c r="R66">
        <f t="shared" si="13"/>
        <v>0.73456790123456783</v>
      </c>
      <c r="S66">
        <f t="shared" si="0"/>
        <v>-0.70263024691358011</v>
      </c>
      <c r="U66">
        <v>-0.64800000000000002</v>
      </c>
      <c r="V66">
        <v>-0.63300000000000001</v>
      </c>
      <c r="W66" s="11">
        <f t="shared" si="14"/>
        <v>0.6885469937697053</v>
      </c>
      <c r="X66">
        <f t="shared" si="15"/>
        <v>-0.63744972350244844</v>
      </c>
      <c r="Y66" s="13">
        <f t="shared" si="16"/>
        <v>-0.48498925699964968</v>
      </c>
      <c r="Z66" s="13">
        <v>1.50107430003503E-2</v>
      </c>
    </row>
    <row r="67" spans="1:26" x14ac:dyDescent="0.25">
      <c r="A67" s="1">
        <v>1908</v>
      </c>
      <c r="B67" s="1">
        <f t="shared" si="1"/>
        <v>-0.52300000000000002</v>
      </c>
      <c r="C67" s="1">
        <f t="shared" si="2"/>
        <v>-0.48527215000000001</v>
      </c>
      <c r="D67" s="1">
        <f t="shared" si="3"/>
        <v>-5.3022439886998118E-2</v>
      </c>
      <c r="E67" s="1">
        <f t="shared" si="4"/>
        <v>0.74020292599527582</v>
      </c>
      <c r="F67" s="1">
        <f t="shared" si="5"/>
        <v>3.7727850000000007E-2</v>
      </c>
      <c r="G67" s="9">
        <f t="shared" si="6"/>
        <v>0.74020292599527582</v>
      </c>
      <c r="H67" s="1">
        <f t="shared" si="7"/>
        <v>5.5461472121800026E-2</v>
      </c>
      <c r="I67" s="1">
        <f t="shared" si="8"/>
        <v>0.4068956416849811</v>
      </c>
      <c r="J67" s="1">
        <f t="shared" si="9"/>
        <v>1.0735102103055705</v>
      </c>
      <c r="K67" s="3"/>
      <c r="L67" s="3">
        <f t="shared" si="10"/>
        <v>0.74020292599527582</v>
      </c>
      <c r="M67" s="6">
        <v>-0.52300000000000002</v>
      </c>
      <c r="N67" s="4">
        <v>-0.53900000000000003</v>
      </c>
      <c r="O67" s="5">
        <v>-0.495</v>
      </c>
      <c r="P67">
        <f t="shared" si="11"/>
        <v>-0.495</v>
      </c>
      <c r="Q67">
        <f t="shared" si="12"/>
        <v>1.088888888888889</v>
      </c>
      <c r="R67">
        <f t="shared" si="13"/>
        <v>1.0565656565656567</v>
      </c>
      <c r="S67">
        <f t="shared" si="0"/>
        <v>-1.0496913131313135</v>
      </c>
      <c r="U67">
        <v>-0.495</v>
      </c>
      <c r="V67">
        <v>-0.49399999999999999</v>
      </c>
      <c r="W67" s="11">
        <f t="shared" si="14"/>
        <v>0.6938250744715333</v>
      </c>
      <c r="X67">
        <f t="shared" si="15"/>
        <v>-0.69615839292690673</v>
      </c>
      <c r="Y67" s="13">
        <f t="shared" si="16"/>
        <v>-0.45071891850561802</v>
      </c>
      <c r="Z67" s="13">
        <v>4.9281081494381998E-2</v>
      </c>
    </row>
    <row r="68" spans="1:26" x14ac:dyDescent="0.25">
      <c r="A68" s="1">
        <v>1909</v>
      </c>
      <c r="B68" s="1">
        <f t="shared" si="1"/>
        <v>-0.53600000000000003</v>
      </c>
      <c r="C68" s="1">
        <f t="shared" si="2"/>
        <v>-0.49101455000000005</v>
      </c>
      <c r="D68" s="1">
        <f t="shared" si="3"/>
        <v>-6.384991172421639E-2</v>
      </c>
      <c r="E68" s="1">
        <f t="shared" si="4"/>
        <v>0.78394137054597723</v>
      </c>
      <c r="F68" s="1">
        <f t="shared" si="5"/>
        <v>4.4985449999999982E-2</v>
      </c>
      <c r="G68" s="9">
        <f t="shared" si="6"/>
        <v>0.78394137054597723</v>
      </c>
      <c r="H68" s="1">
        <f t="shared" si="7"/>
        <v>6.8447105368360045E-2</v>
      </c>
      <c r="I68" s="1">
        <f t="shared" si="8"/>
        <v>0.40129611096087203</v>
      </c>
      <c r="J68" s="1">
        <f t="shared" si="9"/>
        <v>1.1665866301310821</v>
      </c>
      <c r="K68" s="3"/>
      <c r="L68" s="3">
        <f t="shared" si="10"/>
        <v>0.78394137054597723</v>
      </c>
      <c r="M68" s="6">
        <v>-0.53600000000000003</v>
      </c>
      <c r="N68" s="4">
        <v>-0.55900000000000005</v>
      </c>
      <c r="O68" s="5">
        <v>-0.47899999999999998</v>
      </c>
      <c r="P68">
        <f t="shared" si="11"/>
        <v>-0.47899999999999998</v>
      </c>
      <c r="Q68">
        <f t="shared" si="12"/>
        <v>1.1670146137787059</v>
      </c>
      <c r="R68">
        <f t="shared" si="13"/>
        <v>1.1189979123173279</v>
      </c>
      <c r="S68">
        <f t="shared" si="0"/>
        <v>-1.1187974947807935</v>
      </c>
      <c r="U68">
        <v>-0.47899999999999998</v>
      </c>
      <c r="V68">
        <v>-0.48249999999999998</v>
      </c>
      <c r="W68" s="11">
        <f t="shared" si="14"/>
        <v>0.69885941315442324</v>
      </c>
      <c r="X68">
        <f t="shared" si="15"/>
        <v>-0.70800831072731718</v>
      </c>
      <c r="Y68" s="13">
        <f t="shared" si="16"/>
        <v>-0.44870423337490878</v>
      </c>
      <c r="Z68" s="13">
        <v>5.1295766625091201E-2</v>
      </c>
    </row>
    <row r="69" spans="1:26" x14ac:dyDescent="0.25">
      <c r="A69" s="1">
        <v>1910</v>
      </c>
      <c r="B69" s="1">
        <f t="shared" si="1"/>
        <v>-0.496</v>
      </c>
      <c r="C69" s="1">
        <f t="shared" si="2"/>
        <v>-0.44835005</v>
      </c>
      <c r="D69" s="1">
        <f t="shared" si="3"/>
        <v>-8.6544518275806448E-2</v>
      </c>
      <c r="E69" s="1">
        <f t="shared" si="4"/>
        <v>1.0072027178228176</v>
      </c>
      <c r="F69" s="1">
        <f t="shared" si="5"/>
        <v>4.7649949999999996E-2</v>
      </c>
      <c r="G69" s="9">
        <f t="shared" si="6"/>
        <v>1.0072027178228176</v>
      </c>
      <c r="H69" s="1">
        <f t="shared" si="7"/>
        <v>8.5852162129600035E-2</v>
      </c>
      <c r="I69" s="1">
        <f t="shared" si="8"/>
        <v>0.41221112253167608</v>
      </c>
      <c r="J69" s="1">
        <f t="shared" si="9"/>
        <v>1.6021943131139591</v>
      </c>
      <c r="K69" s="3"/>
      <c r="L69" s="3">
        <f t="shared" si="10"/>
        <v>1.0072027178228176</v>
      </c>
      <c r="M69" s="6">
        <v>-0.496</v>
      </c>
      <c r="N69" s="4">
        <v>-0.56799999999999995</v>
      </c>
      <c r="O69" s="5">
        <v>-0.34499999999999997</v>
      </c>
      <c r="P69">
        <f t="shared" si="11"/>
        <v>-0.34499999999999997</v>
      </c>
      <c r="Q69">
        <f t="shared" si="12"/>
        <v>1.6463768115942028</v>
      </c>
      <c r="R69">
        <f t="shared" si="13"/>
        <v>1.4376811594202901</v>
      </c>
      <c r="S69">
        <f t="shared" si="0"/>
        <v>-1.4140431884057976</v>
      </c>
      <c r="U69">
        <v>-0.34499999999999997</v>
      </c>
      <c r="V69">
        <v>-0.34699999999999998</v>
      </c>
      <c r="W69" s="11">
        <f t="shared" si="14"/>
        <v>0.70364548359066248</v>
      </c>
      <c r="X69">
        <f t="shared" si="15"/>
        <v>-0.67488975378643934</v>
      </c>
      <c r="Y69" s="13">
        <f t="shared" si="16"/>
        <v>-0.4451243074797967</v>
      </c>
      <c r="Z69" s="13">
        <v>5.4875692520203301E-2</v>
      </c>
    </row>
    <row r="70" spans="1:26" x14ac:dyDescent="0.25">
      <c r="A70" s="1">
        <v>1911</v>
      </c>
      <c r="B70" s="1">
        <f t="shared" si="1"/>
        <v>-0.55400000000000005</v>
      </c>
      <c r="C70" s="1">
        <f t="shared" si="2"/>
        <v>-0.49168639999999997</v>
      </c>
      <c r="D70" s="1">
        <f t="shared" si="3"/>
        <v>-8.4614860009963933E-2</v>
      </c>
      <c r="E70" s="1">
        <f t="shared" si="4"/>
        <v>0.85866871011220347</v>
      </c>
      <c r="F70" s="1">
        <f t="shared" si="5"/>
        <v>6.231360000000008E-2</v>
      </c>
      <c r="G70" s="9">
        <f t="shared" si="6"/>
        <v>0.85866871011220347</v>
      </c>
      <c r="H70" s="1">
        <f t="shared" si="7"/>
        <v>9.3753264891040078E-2</v>
      </c>
      <c r="I70" s="1">
        <f t="shared" si="8"/>
        <v>0.38408910230646748</v>
      </c>
      <c r="J70" s="1">
        <f t="shared" si="9"/>
        <v>1.3332483179179397</v>
      </c>
      <c r="K70" s="3"/>
      <c r="L70" s="3">
        <f t="shared" si="10"/>
        <v>0.85866871011220347</v>
      </c>
      <c r="M70" s="6">
        <v>-0.55400000000000005</v>
      </c>
      <c r="N70" s="4">
        <v>-0.57699999999999996</v>
      </c>
      <c r="O70" s="5">
        <v>-0.45200000000000001</v>
      </c>
      <c r="P70">
        <f t="shared" si="11"/>
        <v>-0.45200000000000001</v>
      </c>
      <c r="Q70">
        <f t="shared" si="12"/>
        <v>1.2765486725663715</v>
      </c>
      <c r="R70">
        <f t="shared" si="13"/>
        <v>1.2256637168141593</v>
      </c>
      <c r="S70">
        <f t="shared" si="0"/>
        <v>-1.2539546460176991</v>
      </c>
      <c r="U70">
        <v>-0.45200000000000001</v>
      </c>
      <c r="V70">
        <v>-0.44716699999999998</v>
      </c>
      <c r="W70" s="11">
        <f t="shared" si="14"/>
        <v>0.70817953813821077</v>
      </c>
      <c r="X70">
        <f t="shared" si="15"/>
        <v>-0.71090547987750452</v>
      </c>
      <c r="Y70" s="13">
        <f t="shared" si="16"/>
        <v>-0.4494442018028279</v>
      </c>
      <c r="Z70" s="13">
        <v>5.0555798197172097E-2</v>
      </c>
    </row>
    <row r="71" spans="1:26" x14ac:dyDescent="0.25">
      <c r="A71" s="1">
        <v>1912</v>
      </c>
      <c r="B71" s="1">
        <f t="shared" si="1"/>
        <v>-0.44900000000000001</v>
      </c>
      <c r="C71" s="1">
        <f t="shared" si="2"/>
        <v>-0.423232</v>
      </c>
      <c r="D71" s="1">
        <f t="shared" si="3"/>
        <v>-3.2272900347438738E-2</v>
      </c>
      <c r="E71" s="1">
        <f t="shared" si="4"/>
        <v>0.65532903647657759</v>
      </c>
      <c r="F71" s="1">
        <f t="shared" si="5"/>
        <v>2.5768000000000013E-2</v>
      </c>
      <c r="G71" s="9">
        <f t="shared" si="6"/>
        <v>0.65532903647657759</v>
      </c>
      <c r="H71" s="1">
        <f t="shared" si="7"/>
        <v>2.8981064511999999E-2</v>
      </c>
      <c r="I71" s="1">
        <f t="shared" si="8"/>
        <v>0.40686116646555082</v>
      </c>
      <c r="J71" s="1">
        <f t="shared" si="9"/>
        <v>0.90379690648760425</v>
      </c>
      <c r="K71" s="3"/>
      <c r="L71" s="3">
        <f t="shared" si="10"/>
        <v>0.65532903647657759</v>
      </c>
      <c r="M71" s="6">
        <v>-0.44900000000000001</v>
      </c>
      <c r="N71" s="4">
        <v>-0.44</v>
      </c>
      <c r="O71" s="5">
        <v>-0.48</v>
      </c>
      <c r="P71">
        <f t="shared" si="11"/>
        <v>-0.48</v>
      </c>
      <c r="Q71">
        <f t="shared" si="12"/>
        <v>0.91666666666666674</v>
      </c>
      <c r="R71">
        <f t="shared" si="13"/>
        <v>0.93541666666666667</v>
      </c>
      <c r="S71">
        <f t="shared" si="0"/>
        <v>-0.93030833333333329</v>
      </c>
      <c r="U71">
        <v>-0.48</v>
      </c>
      <c r="V71">
        <v>-0.47733300000000001</v>
      </c>
      <c r="W71" s="11">
        <f t="shared" si="14"/>
        <v>0.7124587083235383</v>
      </c>
      <c r="X71">
        <f t="shared" si="15"/>
        <v>-0.57819059647957471</v>
      </c>
      <c r="Y71" s="13">
        <f t="shared" si="16"/>
        <v>-0.44402224431812609</v>
      </c>
      <c r="Z71" s="13">
        <v>5.5977755681873902E-2</v>
      </c>
    </row>
    <row r="72" spans="1:26" x14ac:dyDescent="0.25">
      <c r="A72" s="1">
        <v>1913</v>
      </c>
      <c r="B72" s="1">
        <f t="shared" si="1"/>
        <v>-0.439</v>
      </c>
      <c r="C72" s="1">
        <f t="shared" si="2"/>
        <v>-0.39709004999999997</v>
      </c>
      <c r="D72" s="1">
        <f t="shared" si="3"/>
        <v>-6.2972141550933947E-2</v>
      </c>
      <c r="E72" s="1">
        <f t="shared" si="4"/>
        <v>0.86149073612911609</v>
      </c>
      <c r="F72" s="1">
        <f t="shared" si="5"/>
        <v>4.1909950000000029E-2</v>
      </c>
      <c r="G72" s="9">
        <f t="shared" si="6"/>
        <v>0.86149073612911609</v>
      </c>
      <c r="H72" s="1">
        <f t="shared" si="7"/>
        <v>5.5289540281720034E-2</v>
      </c>
      <c r="I72" s="1">
        <f t="shared" si="8"/>
        <v>0.40005887248896865</v>
      </c>
      <c r="J72" s="1">
        <f t="shared" si="9"/>
        <v>1.3229225997692637</v>
      </c>
      <c r="K72" s="3"/>
      <c r="L72" s="3">
        <f t="shared" si="10"/>
        <v>0.86149073612911609</v>
      </c>
      <c r="M72" s="6">
        <v>-0.439</v>
      </c>
      <c r="N72" s="4">
        <v>-0.47099999999999997</v>
      </c>
      <c r="O72" s="5">
        <v>-0.35699999999999998</v>
      </c>
      <c r="P72">
        <f t="shared" si="11"/>
        <v>-0.35699999999999998</v>
      </c>
      <c r="Q72">
        <f t="shared" si="12"/>
        <v>1.319327731092437</v>
      </c>
      <c r="R72">
        <f t="shared" si="13"/>
        <v>1.2296918767507004</v>
      </c>
      <c r="S72">
        <f t="shared" si="0"/>
        <v>-1.2314795518207284</v>
      </c>
      <c r="U72">
        <v>-0.35699999999999998</v>
      </c>
      <c r="V72">
        <v>-0.35016700000000001</v>
      </c>
      <c r="W72" s="11">
        <f t="shared" si="14"/>
        <v>0.71648089680820704</v>
      </c>
      <c r="X72">
        <f t="shared" si="15"/>
        <v>-0.57138099487884397</v>
      </c>
      <c r="Y72" s="13">
        <f t="shared" si="16"/>
        <v>-0.42296912024122318</v>
      </c>
      <c r="Z72" s="13">
        <v>7.7030879758776802E-2</v>
      </c>
    </row>
    <row r="73" spans="1:26" x14ac:dyDescent="0.25">
      <c r="A73" s="1">
        <v>1914</v>
      </c>
      <c r="B73" s="1">
        <f t="shared" si="1"/>
        <v>-0.25800000000000001</v>
      </c>
      <c r="C73" s="1">
        <f t="shared" si="2"/>
        <v>-0.2166266</v>
      </c>
      <c r="D73" s="1">
        <f t="shared" si="3"/>
        <v>-7.8946503906976745E-2</v>
      </c>
      <c r="E73" s="1">
        <f t="shared" si="4"/>
        <v>1.8074821353509878</v>
      </c>
      <c r="F73" s="1">
        <f t="shared" si="5"/>
        <v>4.1373400000000005E-2</v>
      </c>
      <c r="G73" s="9">
        <f t="shared" si="6"/>
        <v>1.8074821353509878</v>
      </c>
      <c r="H73" s="1">
        <f t="shared" si="7"/>
        <v>4.0736396016000001E-2</v>
      </c>
      <c r="I73" s="1">
        <f t="shared" si="8"/>
        <v>0.39349450723180479</v>
      </c>
      <c r="J73" s="1">
        <f t="shared" si="9"/>
        <v>3.221469763470171</v>
      </c>
      <c r="K73" s="3"/>
      <c r="L73" s="3">
        <f t="shared" si="10"/>
        <v>1.8074821353509878</v>
      </c>
      <c r="M73" s="6">
        <v>-0.25800000000000001</v>
      </c>
      <c r="N73" s="4">
        <v>-0.316</v>
      </c>
      <c r="O73" s="5">
        <v>-0.1</v>
      </c>
      <c r="P73">
        <f t="shared" si="11"/>
        <v>-0.1</v>
      </c>
      <c r="Q73">
        <f t="shared" si="12"/>
        <v>3.1599999999999997</v>
      </c>
      <c r="R73">
        <f t="shared" si="13"/>
        <v>2.58</v>
      </c>
      <c r="S73">
        <f t="shared" si="0"/>
        <v>-2.6184080000000005</v>
      </c>
      <c r="U73">
        <v>-0.1</v>
      </c>
      <c r="V73">
        <v>-0.112417</v>
      </c>
      <c r="W73" s="11">
        <f t="shared" si="14"/>
        <v>0.72024472523480654</v>
      </c>
      <c r="X73">
        <f t="shared" si="15"/>
        <v>-0.34175856880204902</v>
      </c>
      <c r="Y73" s="13">
        <f t="shared" si="16"/>
        <v>-0.38251718091815601</v>
      </c>
      <c r="Z73" s="13">
        <v>0.11748281908184401</v>
      </c>
    </row>
    <row r="74" spans="1:26" x14ac:dyDescent="0.25">
      <c r="A74" s="1">
        <v>1915</v>
      </c>
      <c r="B74" s="1">
        <f t="shared" si="1"/>
        <v>-0.16400000000000001</v>
      </c>
      <c r="C74" s="1">
        <f t="shared" si="2"/>
        <v>-0.15111805</v>
      </c>
      <c r="D74" s="1">
        <f t="shared" si="3"/>
        <v>-2.6314461810121953E-2</v>
      </c>
      <c r="E74" s="1">
        <f t="shared" si="4"/>
        <v>0.98200182269118796</v>
      </c>
      <c r="F74" s="1">
        <f t="shared" si="5"/>
        <v>1.2881950000000003E-2</v>
      </c>
      <c r="G74" s="9">
        <f t="shared" si="6"/>
        <v>0.98200182269118796</v>
      </c>
      <c r="H74" s="1">
        <f t="shared" si="7"/>
        <v>8.6311434737200016E-3</v>
      </c>
      <c r="I74" s="1">
        <f t="shared" si="8"/>
        <v>0.42571007972170771</v>
      </c>
      <c r="J74" s="1">
        <f t="shared" si="9"/>
        <v>1.5382935656606682</v>
      </c>
      <c r="K74" s="3"/>
      <c r="L74" s="3">
        <f t="shared" si="10"/>
        <v>0.98200182269118796</v>
      </c>
      <c r="M74" s="6">
        <v>-0.16400000000000001</v>
      </c>
      <c r="N74" s="4">
        <v>-0.191</v>
      </c>
      <c r="O74" s="5">
        <v>-0.11700000000000001</v>
      </c>
      <c r="P74">
        <f t="shared" si="11"/>
        <v>-0.11700000000000001</v>
      </c>
      <c r="Q74">
        <f t="shared" si="12"/>
        <v>1.6324786324786325</v>
      </c>
      <c r="R74">
        <f t="shared" si="13"/>
        <v>1.4017094017094016</v>
      </c>
      <c r="S74">
        <f t="shared" ref="S74:S137" si="17">+$G$1+$Q74*$G$2-2*$R74</f>
        <v>-1.3520188034188032</v>
      </c>
      <c r="U74">
        <v>-0.11700000000000001</v>
      </c>
      <c r="V74">
        <v>-0.13991700000000001</v>
      </c>
      <c r="W74" s="11">
        <f t="shared" si="14"/>
        <v>0.72374959383159876</v>
      </c>
      <c r="X74">
        <f t="shared" si="15"/>
        <v>-0.2218449777215287</v>
      </c>
      <c r="Y74" s="13">
        <f t="shared" si="16"/>
        <v>-0.38183748254445898</v>
      </c>
      <c r="Z74" s="13">
        <v>0.118162517455541</v>
      </c>
    </row>
    <row r="75" spans="1:26" x14ac:dyDescent="0.25">
      <c r="A75" s="1">
        <v>1916</v>
      </c>
      <c r="B75" s="1">
        <f t="shared" ref="B75:B138" si="18">+$M75</f>
        <v>-0.39800000000000002</v>
      </c>
      <c r="C75" s="1">
        <f t="shared" ref="C75:C138" si="19">($P75*($C$1*$G$2 )+$N75*($G$1/$C$1))</f>
        <v>-0.3687841</v>
      </c>
      <c r="D75" s="1">
        <f t="shared" ref="D75:D138" si="20">$B75 - (($P75*($E75*$G$2 )+$N75*($G$1/$E75)))</f>
        <v>-3.8419447432663345E-2</v>
      </c>
      <c r="E75" s="1">
        <f t="shared" ref="E75:E138" si="21">+$G75</f>
        <v>0.71494522944712102</v>
      </c>
      <c r="F75" s="1">
        <f t="shared" ref="F75:F138" si="22">+ABS($B75-$C75)</f>
        <v>2.9215900000000017E-2</v>
      </c>
      <c r="G75" s="9">
        <f t="shared" ref="G75:G138" si="23">+ABS($M75/2/$G$2/$O75)</f>
        <v>0.71494522944712102</v>
      </c>
      <c r="H75" s="1">
        <f t="shared" ref="H75:H138" si="24">+$M75*$M75-4*$G$1*$G$2*$N75*$O75</f>
        <v>3.058188015640001E-2</v>
      </c>
      <c r="I75" s="1">
        <f t="shared" ref="I75:I138" si="25">+($M75+SQRT($H75))/2/$G$2/$O75</f>
        <v>0.40080627669778796</v>
      </c>
      <c r="J75" s="1">
        <f t="shared" ref="J75:J138" si="26">+($M75-SQRT($H75))/2/$G$2/$O75</f>
        <v>1.029084182196454</v>
      </c>
      <c r="K75" s="3"/>
      <c r="L75" s="3">
        <f t="shared" ref="L75:L138" si="27">$M75/2/$G$2/$O75</f>
        <v>0.71494522944712102</v>
      </c>
      <c r="M75" s="6">
        <v>-0.39800000000000002</v>
      </c>
      <c r="N75" s="4">
        <v>-0.40100000000000002</v>
      </c>
      <c r="O75" s="5">
        <v>-0.39</v>
      </c>
      <c r="P75">
        <f t="shared" ref="P75:P138" si="28">+$O75+$O$1</f>
        <v>-0.39</v>
      </c>
      <c r="Q75">
        <f t="shared" ref="Q75:Q138" si="29">+$N75/($P75)</f>
        <v>1.0282051282051283</v>
      </c>
      <c r="R75">
        <f t="shared" ref="R75:R138" si="30">+$M75/($P75)</f>
        <v>1.0205128205128204</v>
      </c>
      <c r="S75">
        <f t="shared" si="17"/>
        <v>-1.0208956410256409</v>
      </c>
      <c r="U75">
        <v>-0.39</v>
      </c>
      <c r="V75">
        <v>-0.39</v>
      </c>
      <c r="W75" s="11">
        <f t="shared" ref="W75:W138" si="31">-2.2979737161E-10*$A75^5 + 0.0000022285768284*$A75^4 - 0.0086436385146*$A75^3 + 16.759480306*$A75^2 - 16244.935412*$A75 + 6297344.9302</f>
        <v>0.72699561435729265</v>
      </c>
      <c r="X75">
        <f t="shared" ref="X75:X138" si="32">+$G$2*$N75/$W75+$G$1*$O75</f>
        <v>-0.50532333628596549</v>
      </c>
      <c r="Y75" s="13">
        <f t="shared" ref="Y75:Y138" si="33">+$Z75+$Y$1</f>
        <v>-0.4239697589021883</v>
      </c>
      <c r="Z75" s="13">
        <v>7.6030241097811702E-2</v>
      </c>
    </row>
    <row r="76" spans="1:26" x14ac:dyDescent="0.25">
      <c r="A76" s="1">
        <v>1917</v>
      </c>
      <c r="B76" s="1">
        <f t="shared" si="18"/>
        <v>-0.48099999999999998</v>
      </c>
      <c r="C76" s="1">
        <f t="shared" si="19"/>
        <v>-0.49641989999999997</v>
      </c>
      <c r="D76" s="1">
        <f t="shared" si="20"/>
        <v>1.5296864452972958E-2</v>
      </c>
      <c r="E76" s="7">
        <f t="shared" si="21"/>
        <v>0.4667262057934598</v>
      </c>
      <c r="F76" s="1">
        <f t="shared" si="22"/>
        <v>1.5419899999999986E-2</v>
      </c>
      <c r="G76" s="9">
        <f t="shared" si="23"/>
        <v>0.4667262057934598</v>
      </c>
      <c r="H76" s="1">
        <f t="shared" si="24"/>
        <v>-1.4715583603759963E-2</v>
      </c>
      <c r="I76" s="1" t="e">
        <f t="shared" si="25"/>
        <v>#NUM!</v>
      </c>
      <c r="J76" s="1" t="e">
        <f t="shared" si="26"/>
        <v>#NUM!</v>
      </c>
      <c r="K76" s="3"/>
      <c r="L76" s="3">
        <f t="shared" si="27"/>
        <v>0.4667262057934598</v>
      </c>
      <c r="M76" s="6">
        <v>-0.48099999999999998</v>
      </c>
      <c r="N76" s="4">
        <v>-0.41699999999999998</v>
      </c>
      <c r="O76" s="5">
        <v>-0.72199999999999998</v>
      </c>
      <c r="P76">
        <f t="shared" si="28"/>
        <v>-0.72199999999999998</v>
      </c>
      <c r="Q76">
        <f t="shared" si="29"/>
        <v>0.57756232686980613</v>
      </c>
      <c r="R76">
        <f t="shared" si="30"/>
        <v>0.66620498614958445</v>
      </c>
      <c r="S76">
        <f t="shared" si="17"/>
        <v>-0.63390373961218827</v>
      </c>
      <c r="U76">
        <v>-0.72199999999999998</v>
      </c>
      <c r="V76">
        <v>-0.69916699999999998</v>
      </c>
      <c r="W76" s="11">
        <f t="shared" si="31"/>
        <v>0.7299835504963994</v>
      </c>
      <c r="X76">
        <f t="shared" si="32"/>
        <v>-0.61440669100166556</v>
      </c>
      <c r="Y76" s="13">
        <f t="shared" si="33"/>
        <v>-0.44655965594904939</v>
      </c>
      <c r="Z76" s="13">
        <v>5.3440344050950599E-2</v>
      </c>
    </row>
    <row r="77" spans="1:26" x14ac:dyDescent="0.25">
      <c r="A77" s="1">
        <v>1918</v>
      </c>
      <c r="B77" s="1">
        <f t="shared" si="18"/>
        <v>-0.34300000000000003</v>
      </c>
      <c r="C77" s="1">
        <f t="shared" si="19"/>
        <v>-0.3592747</v>
      </c>
      <c r="D77" s="1">
        <f t="shared" si="20"/>
        <v>1.4543674673469342E-2</v>
      </c>
      <c r="E77" s="7">
        <f t="shared" si="21"/>
        <v>0.53399343016829359</v>
      </c>
      <c r="F77" s="1">
        <f t="shared" si="22"/>
        <v>1.6274699999999975E-2</v>
      </c>
      <c r="G77" s="9">
        <f t="shared" si="23"/>
        <v>0.53399343016829359</v>
      </c>
      <c r="H77" s="1">
        <f t="shared" si="24"/>
        <v>-9.9769608259999559E-3</v>
      </c>
      <c r="I77" s="1" t="e">
        <f t="shared" si="25"/>
        <v>#NUM!</v>
      </c>
      <c r="J77" s="1" t="e">
        <f t="shared" si="26"/>
        <v>#NUM!</v>
      </c>
      <c r="K77" s="3"/>
      <c r="L77" s="3">
        <f t="shared" si="27"/>
        <v>0.53399343016829359</v>
      </c>
      <c r="M77" s="6">
        <v>-0.34300000000000003</v>
      </c>
      <c r="N77" s="4">
        <v>-0.34699999999999998</v>
      </c>
      <c r="O77" s="5">
        <v>-0.45</v>
      </c>
      <c r="P77">
        <f t="shared" si="28"/>
        <v>-0.45</v>
      </c>
      <c r="Q77">
        <f t="shared" si="29"/>
        <v>0.77111111111111108</v>
      </c>
      <c r="R77">
        <f t="shared" si="30"/>
        <v>0.76222222222222225</v>
      </c>
      <c r="S77">
        <f t="shared" si="17"/>
        <v>-0.68780244444444449</v>
      </c>
      <c r="U77">
        <v>-0.45</v>
      </c>
      <c r="V77">
        <v>-0.43924999999999997</v>
      </c>
      <c r="W77" s="11">
        <f t="shared" si="31"/>
        <v>0.73271480295807123</v>
      </c>
      <c r="X77">
        <f t="shared" si="32"/>
        <v>-0.46682994564622804</v>
      </c>
      <c r="Y77" s="13">
        <f t="shared" si="33"/>
        <v>-0.43139886398325367</v>
      </c>
      <c r="Z77" s="13">
        <v>6.8601136016746306E-2</v>
      </c>
    </row>
    <row r="78" spans="1:26" x14ac:dyDescent="0.25">
      <c r="A78" s="1">
        <v>1919</v>
      </c>
      <c r="B78" s="1">
        <f t="shared" si="18"/>
        <v>-0.28399999999999997</v>
      </c>
      <c r="C78" s="1">
        <f t="shared" si="19"/>
        <v>-0.30000480000000002</v>
      </c>
      <c r="D78" s="1">
        <f t="shared" si="20"/>
        <v>6.6906074430986284E-3</v>
      </c>
      <c r="E78" s="7">
        <f t="shared" si="21"/>
        <v>0.62963022083171483</v>
      </c>
      <c r="F78" s="1">
        <f t="shared" si="22"/>
        <v>1.6004800000000041E-2</v>
      </c>
      <c r="G78" s="9">
        <f t="shared" si="23"/>
        <v>0.62963022083171483</v>
      </c>
      <c r="H78" s="1">
        <f t="shared" si="24"/>
        <v>-3.8002650276800082E-3</v>
      </c>
      <c r="I78" s="1" t="e">
        <f t="shared" si="25"/>
        <v>#NUM!</v>
      </c>
      <c r="J78" s="1" t="e">
        <f t="shared" si="26"/>
        <v>#NUM!</v>
      </c>
      <c r="K78" s="3"/>
      <c r="L78" s="3">
        <f t="shared" si="27"/>
        <v>0.62963022083171483</v>
      </c>
      <c r="M78" s="6">
        <v>-0.28399999999999997</v>
      </c>
      <c r="N78" s="4">
        <v>-0.32700000000000001</v>
      </c>
      <c r="O78" s="5">
        <v>-0.316</v>
      </c>
      <c r="P78">
        <f t="shared" si="28"/>
        <v>-0.316</v>
      </c>
      <c r="Q78">
        <f t="shared" si="29"/>
        <v>1.0348101265822784</v>
      </c>
      <c r="R78">
        <f t="shared" si="30"/>
        <v>0.89873417721518978</v>
      </c>
      <c r="S78">
        <f t="shared" si="17"/>
        <v>-0.77262436708860749</v>
      </c>
      <c r="U78">
        <v>-0.316</v>
      </c>
      <c r="V78">
        <v>-0.32641700000000001</v>
      </c>
      <c r="W78" s="11">
        <f t="shared" si="31"/>
        <v>0.73519144672900438</v>
      </c>
      <c r="X78">
        <f t="shared" si="32"/>
        <v>-0.40791178906257425</v>
      </c>
      <c r="Y78" s="13">
        <f t="shared" si="33"/>
        <v>-0.40602768060956018</v>
      </c>
      <c r="Z78" s="13">
        <v>9.3972319390439804E-2</v>
      </c>
    </row>
    <row r="79" spans="1:26" x14ac:dyDescent="0.25">
      <c r="A79" s="1">
        <v>1920</v>
      </c>
      <c r="B79" s="1">
        <f t="shared" si="18"/>
        <v>-0.252</v>
      </c>
      <c r="C79" s="1">
        <f t="shared" si="19"/>
        <v>-0.2549515</v>
      </c>
      <c r="D79" s="1">
        <f t="shared" si="20"/>
        <v>-3.3746670400000012E-3</v>
      </c>
      <c r="E79" s="7">
        <f t="shared" si="21"/>
        <v>0.6350531176571983</v>
      </c>
      <c r="F79" s="1">
        <f t="shared" si="22"/>
        <v>2.9514999999999958E-3</v>
      </c>
      <c r="G79" s="9">
        <f t="shared" si="23"/>
        <v>0.6350531176571983</v>
      </c>
      <c r="H79" s="1">
        <f t="shared" si="24"/>
        <v>1.7008321881600008E-3</v>
      </c>
      <c r="I79" s="1">
        <f t="shared" si="25"/>
        <v>0.53112328098373951</v>
      </c>
      <c r="J79" s="1">
        <f t="shared" si="26"/>
        <v>0.73898295433065719</v>
      </c>
      <c r="K79" s="3"/>
      <c r="L79" s="3">
        <f t="shared" si="27"/>
        <v>0.6350531176571983</v>
      </c>
      <c r="M79" s="6">
        <v>-0.252</v>
      </c>
      <c r="N79" s="4">
        <v>-0.27200000000000002</v>
      </c>
      <c r="O79" s="5">
        <v>-0.27800000000000002</v>
      </c>
      <c r="P79">
        <f t="shared" si="28"/>
        <v>-0.27800000000000002</v>
      </c>
      <c r="Q79">
        <f t="shared" si="29"/>
        <v>0.97841726618705038</v>
      </c>
      <c r="R79">
        <f t="shared" si="30"/>
        <v>0.90647482014388481</v>
      </c>
      <c r="S79">
        <f t="shared" si="17"/>
        <v>-0.82835323741007172</v>
      </c>
      <c r="U79">
        <v>-0.27800000000000002</v>
      </c>
      <c r="V79">
        <v>-0.283167</v>
      </c>
      <c r="W79" s="11">
        <f t="shared" si="31"/>
        <v>0.73741611186414957</v>
      </c>
      <c r="X79">
        <f t="shared" si="32"/>
        <v>-0.34284358133525528</v>
      </c>
      <c r="Y79" s="13">
        <f t="shared" si="33"/>
        <v>-0.395272480467382</v>
      </c>
      <c r="Z79" s="13">
        <v>0.104727519532618</v>
      </c>
    </row>
    <row r="80" spans="1:26" x14ac:dyDescent="0.25">
      <c r="A80" s="1">
        <v>1921</v>
      </c>
      <c r="B80" s="1">
        <f t="shared" si="18"/>
        <v>-0.19</v>
      </c>
      <c r="C80" s="1">
        <f t="shared" si="19"/>
        <v>-0.17117545000000001</v>
      </c>
      <c r="D80" s="1">
        <f t="shared" si="20"/>
        <v>-4.3731947987789482E-2</v>
      </c>
      <c r="E80" s="1">
        <f t="shared" si="21"/>
        <v>1.3179123713127932</v>
      </c>
      <c r="F80" s="1">
        <f t="shared" si="22"/>
        <v>1.8824549999999995E-2</v>
      </c>
      <c r="G80" s="9">
        <f t="shared" si="23"/>
        <v>1.3179123713127932</v>
      </c>
      <c r="H80" s="1">
        <f t="shared" si="24"/>
        <v>1.6618140235360002E-2</v>
      </c>
      <c r="I80" s="1">
        <f t="shared" si="25"/>
        <v>0.42373403549347682</v>
      </c>
      <c r="J80" s="1">
        <f t="shared" si="26"/>
        <v>2.2120907071321096</v>
      </c>
      <c r="K80" s="3"/>
      <c r="L80" s="3">
        <f t="shared" si="27"/>
        <v>1.3179123713127932</v>
      </c>
      <c r="M80" s="6">
        <v>-0.19</v>
      </c>
      <c r="N80" s="4">
        <v>-0.23599999999999999</v>
      </c>
      <c r="O80" s="5">
        <v>-0.10100000000000001</v>
      </c>
      <c r="P80">
        <f t="shared" si="28"/>
        <v>-0.10100000000000001</v>
      </c>
      <c r="Q80">
        <f t="shared" si="29"/>
        <v>2.3366336633663365</v>
      </c>
      <c r="R80">
        <f t="shared" si="30"/>
        <v>1.8811881188118811</v>
      </c>
      <c r="S80">
        <f t="shared" si="17"/>
        <v>-1.8084207920792079</v>
      </c>
      <c r="U80">
        <v>-0.10100000000000001</v>
      </c>
      <c r="V80">
        <v>-0.10324999999999999</v>
      </c>
      <c r="W80" s="11">
        <f t="shared" si="31"/>
        <v>0.73939200583845377</v>
      </c>
      <c r="X80">
        <f t="shared" si="32"/>
        <v>-0.25671589570836928</v>
      </c>
      <c r="Y80" s="13">
        <f t="shared" si="33"/>
        <v>-0.362301058478111</v>
      </c>
      <c r="Z80" s="13">
        <v>0.137698941521889</v>
      </c>
    </row>
    <row r="81" spans="1:26" x14ac:dyDescent="0.25">
      <c r="A81" s="1">
        <v>1922</v>
      </c>
      <c r="B81" s="1">
        <f t="shared" si="18"/>
        <v>-0.309</v>
      </c>
      <c r="C81" s="1">
        <f t="shared" si="19"/>
        <v>-0.28587190000000001</v>
      </c>
      <c r="D81" s="1">
        <f t="shared" si="20"/>
        <v>-3.4640915270679584E-2</v>
      </c>
      <c r="E81" s="1">
        <f t="shared" si="21"/>
        <v>0.77869608474632646</v>
      </c>
      <c r="F81" s="1">
        <f t="shared" si="22"/>
        <v>2.3128099999999985E-2</v>
      </c>
      <c r="G81" s="9">
        <f t="shared" si="23"/>
        <v>0.77869608474632646</v>
      </c>
      <c r="H81" s="1">
        <f t="shared" si="24"/>
        <v>2.1408085637279986E-2</v>
      </c>
      <c r="I81" s="1">
        <f t="shared" si="25"/>
        <v>0.40997461321589845</v>
      </c>
      <c r="J81" s="1">
        <f t="shared" si="26"/>
        <v>1.1474175562767546</v>
      </c>
      <c r="K81" s="3"/>
      <c r="L81" s="3">
        <f t="shared" si="27"/>
        <v>0.77869608474632646</v>
      </c>
      <c r="M81" s="6">
        <v>-0.309</v>
      </c>
      <c r="N81" s="4">
        <v>-0.32600000000000001</v>
      </c>
      <c r="O81" s="5">
        <v>-0.27800000000000002</v>
      </c>
      <c r="P81">
        <f t="shared" si="28"/>
        <v>-0.27800000000000002</v>
      </c>
      <c r="Q81">
        <f t="shared" si="29"/>
        <v>1.1726618705035972</v>
      </c>
      <c r="R81">
        <f t="shared" si="30"/>
        <v>1.1115107913669064</v>
      </c>
      <c r="S81">
        <f t="shared" si="17"/>
        <v>-1.0997928057553956</v>
      </c>
      <c r="U81">
        <v>-0.27800000000000002</v>
      </c>
      <c r="V81">
        <v>-0.27925</v>
      </c>
      <c r="W81" s="11">
        <f t="shared" si="31"/>
        <v>0.74112288374453783</v>
      </c>
      <c r="X81">
        <f t="shared" si="32"/>
        <v>-0.39352881186947231</v>
      </c>
      <c r="Y81" s="13">
        <f t="shared" si="33"/>
        <v>-0.38666402567547498</v>
      </c>
      <c r="Z81" s="13">
        <v>0.113335974324525</v>
      </c>
    </row>
    <row r="82" spans="1:26" x14ac:dyDescent="0.25">
      <c r="A82" s="1">
        <v>1923</v>
      </c>
      <c r="B82" s="1">
        <f t="shared" si="18"/>
        <v>-0.27500000000000002</v>
      </c>
      <c r="C82" s="1">
        <f t="shared" si="19"/>
        <v>-0.26799660000000003</v>
      </c>
      <c r="D82" s="1">
        <f t="shared" si="20"/>
        <v>-1.9269610301090923E-2</v>
      </c>
      <c r="E82" s="1">
        <f t="shared" si="21"/>
        <v>0.74099222901240569</v>
      </c>
      <c r="F82" s="1">
        <f t="shared" si="22"/>
        <v>7.003399999999993E-3</v>
      </c>
      <c r="G82" s="9">
        <f t="shared" si="23"/>
        <v>0.74099222901240569</v>
      </c>
      <c r="H82" s="1">
        <f t="shared" si="24"/>
        <v>1.0598285665600005E-2</v>
      </c>
      <c r="I82" s="1">
        <f t="shared" si="25"/>
        <v>0.46359713861299567</v>
      </c>
      <c r="J82" s="1">
        <f t="shared" si="26"/>
        <v>1.0183873194118154</v>
      </c>
      <c r="K82" s="3"/>
      <c r="L82" s="3">
        <f t="shared" si="27"/>
        <v>0.74099222901240569</v>
      </c>
      <c r="M82" s="6">
        <v>-0.27500000000000002</v>
      </c>
      <c r="N82" s="4">
        <v>-0.30599999999999999</v>
      </c>
      <c r="O82" s="5">
        <v>-0.26</v>
      </c>
      <c r="P82">
        <f t="shared" si="28"/>
        <v>-0.26</v>
      </c>
      <c r="Q82">
        <f t="shared" si="29"/>
        <v>1.176923076923077</v>
      </c>
      <c r="R82">
        <f t="shared" si="30"/>
        <v>1.0576923076923077</v>
      </c>
      <c r="S82">
        <f t="shared" si="17"/>
        <v>-0.98911461538461554</v>
      </c>
      <c r="U82">
        <v>-0.26</v>
      </c>
      <c r="V82">
        <v>-0.25858300000000001</v>
      </c>
      <c r="W82" s="11">
        <f t="shared" si="31"/>
        <v>0.7426129961386323</v>
      </c>
      <c r="X82">
        <f t="shared" si="32"/>
        <v>-0.36852415407429551</v>
      </c>
      <c r="Y82" s="13">
        <f t="shared" si="33"/>
        <v>-0.37958910533968299</v>
      </c>
      <c r="Z82" s="13">
        <v>0.120410894660317</v>
      </c>
    </row>
    <row r="83" spans="1:26" x14ac:dyDescent="0.25">
      <c r="A83" s="1">
        <v>1924</v>
      </c>
      <c r="B83" s="1">
        <f t="shared" si="18"/>
        <v>-0.3</v>
      </c>
      <c r="C83" s="1">
        <f t="shared" si="19"/>
        <v>-0.2846611</v>
      </c>
      <c r="D83" s="1">
        <f t="shared" si="20"/>
        <v>-1.7690742628799994E-2</v>
      </c>
      <c r="E83" s="1">
        <f t="shared" si="21"/>
        <v>0.61453900970725817</v>
      </c>
      <c r="F83" s="1">
        <f t="shared" si="22"/>
        <v>1.5338899999999989E-2</v>
      </c>
      <c r="G83" s="9">
        <f t="shared" si="23"/>
        <v>0.61453900970725817</v>
      </c>
      <c r="H83" s="1">
        <f t="shared" si="24"/>
        <v>1.0614445577280002E-2</v>
      </c>
      <c r="I83" s="1">
        <f t="shared" si="25"/>
        <v>0.40349313918448543</v>
      </c>
      <c r="J83" s="1">
        <f t="shared" si="26"/>
        <v>0.82558488023003063</v>
      </c>
      <c r="K83" s="3"/>
      <c r="L83" s="3">
        <f t="shared" si="27"/>
        <v>0.61453900970725817</v>
      </c>
      <c r="M83" s="6">
        <v>-0.3</v>
      </c>
      <c r="N83" s="4">
        <v>-0.28399999999999997</v>
      </c>
      <c r="O83" s="5">
        <v>-0.34200000000000003</v>
      </c>
      <c r="P83">
        <f t="shared" si="28"/>
        <v>-0.34200000000000003</v>
      </c>
      <c r="Q83">
        <f t="shared" si="29"/>
        <v>0.83040935672514604</v>
      </c>
      <c r="R83">
        <f t="shared" si="30"/>
        <v>0.8771929824561403</v>
      </c>
      <c r="S83">
        <f t="shared" si="17"/>
        <v>-0.87542280701754382</v>
      </c>
      <c r="U83">
        <v>-0.34200000000000003</v>
      </c>
      <c r="V83">
        <v>-0.34</v>
      </c>
      <c r="W83" s="11">
        <f t="shared" si="31"/>
        <v>0.7438671262934804</v>
      </c>
      <c r="X83">
        <f t="shared" si="32"/>
        <v>-0.37039713462948665</v>
      </c>
      <c r="Y83" s="13">
        <f t="shared" si="33"/>
        <v>-0.362682722991159</v>
      </c>
      <c r="Z83" s="13">
        <v>0.137317277008841</v>
      </c>
    </row>
    <row r="84" spans="1:26" x14ac:dyDescent="0.25">
      <c r="A84" s="1">
        <v>1925</v>
      </c>
      <c r="B84" s="1">
        <f t="shared" si="18"/>
        <v>-0.219</v>
      </c>
      <c r="C84" s="1">
        <f t="shared" si="19"/>
        <v>-0.22457825000000001</v>
      </c>
      <c r="D84" s="1">
        <f t="shared" si="20"/>
        <v>-2.1070431706849413E-3</v>
      </c>
      <c r="E84" s="7">
        <f t="shared" si="21"/>
        <v>0.6584798676545669</v>
      </c>
      <c r="F84" s="1">
        <f t="shared" si="22"/>
        <v>5.5782500000000068E-3</v>
      </c>
      <c r="G84" s="9">
        <f t="shared" si="23"/>
        <v>0.6584798676545669</v>
      </c>
      <c r="H84" s="1">
        <f t="shared" si="24"/>
        <v>9.2288490875999662E-4</v>
      </c>
      <c r="I84" s="1">
        <f t="shared" si="25"/>
        <v>0.56713752227038328</v>
      </c>
      <c r="J84" s="1">
        <f t="shared" si="26"/>
        <v>0.74982221303875041</v>
      </c>
      <c r="K84" s="3"/>
      <c r="L84" s="3">
        <f t="shared" si="27"/>
        <v>0.6584798676545669</v>
      </c>
      <c r="M84" s="6">
        <v>-0.219</v>
      </c>
      <c r="N84" s="4">
        <v>-0.247</v>
      </c>
      <c r="O84" s="5">
        <v>-0.23300000000000001</v>
      </c>
      <c r="P84">
        <f t="shared" si="28"/>
        <v>-0.23300000000000001</v>
      </c>
      <c r="Q84">
        <f t="shared" si="29"/>
        <v>1.0600858369098711</v>
      </c>
      <c r="R84">
        <f t="shared" si="30"/>
        <v>0.93991416309012865</v>
      </c>
      <c r="S84">
        <f t="shared" si="17"/>
        <v>-0.83694506437768235</v>
      </c>
      <c r="U84">
        <v>-0.23300000000000001</v>
      </c>
      <c r="V84">
        <v>-0.22650000000000001</v>
      </c>
      <c r="W84" s="11">
        <f t="shared" si="31"/>
        <v>0.74489045236259699</v>
      </c>
      <c r="X84">
        <f t="shared" si="32"/>
        <v>-0.30336538358147663</v>
      </c>
      <c r="Y84" s="13">
        <f t="shared" si="33"/>
        <v>-0.36363192000760802</v>
      </c>
      <c r="Z84" s="13">
        <v>0.13636807999239201</v>
      </c>
    </row>
    <row r="85" spans="1:26" x14ac:dyDescent="0.25">
      <c r="A85" s="1">
        <v>1926</v>
      </c>
      <c r="B85" s="1">
        <f t="shared" si="18"/>
        <v>-0.112</v>
      </c>
      <c r="C85" s="1">
        <f t="shared" si="19"/>
        <v>-9.934285000000001E-2</v>
      </c>
      <c r="D85" s="1">
        <f t="shared" si="20"/>
        <v>-2.1905694560000008E-2</v>
      </c>
      <c r="E85" s="1">
        <f t="shared" si="21"/>
        <v>1.0748539830057908</v>
      </c>
      <c r="F85" s="1">
        <f t="shared" si="22"/>
        <v>1.2657149999999992E-2</v>
      </c>
      <c r="G85" s="9">
        <f t="shared" si="23"/>
        <v>1.0748539830057908</v>
      </c>
      <c r="H85" s="1">
        <f t="shared" si="24"/>
        <v>4.9068755814400018E-3</v>
      </c>
      <c r="I85" s="1">
        <f t="shared" si="25"/>
        <v>0.40259909213148598</v>
      </c>
      <c r="J85" s="1">
        <f t="shared" si="26"/>
        <v>1.7471088738800957</v>
      </c>
      <c r="K85" s="3"/>
      <c r="L85" s="3">
        <f t="shared" si="27"/>
        <v>1.0748539830057908</v>
      </c>
      <c r="M85" s="6">
        <v>-0.112</v>
      </c>
      <c r="N85" s="4">
        <v>-0.128</v>
      </c>
      <c r="O85" s="5">
        <v>-7.2999999999999995E-2</v>
      </c>
      <c r="P85">
        <f t="shared" si="28"/>
        <v>-7.2999999999999995E-2</v>
      </c>
      <c r="Q85">
        <f t="shared" si="29"/>
        <v>1.7534246575342467</v>
      </c>
      <c r="R85">
        <f t="shared" si="30"/>
        <v>1.5342465753424659</v>
      </c>
      <c r="S85">
        <f t="shared" si="17"/>
        <v>-1.5307739726027398</v>
      </c>
      <c r="U85">
        <v>-7.2999999999999995E-2</v>
      </c>
      <c r="V85">
        <v>-8.69167E-2</v>
      </c>
      <c r="W85" s="11">
        <f t="shared" si="31"/>
        <v>0.74568860325962305</v>
      </c>
      <c r="X85">
        <f t="shared" si="32"/>
        <v>-0.14340894680675914</v>
      </c>
      <c r="Y85" s="13">
        <f t="shared" si="33"/>
        <v>-0.33866225393340099</v>
      </c>
      <c r="Z85" s="13">
        <v>0.16133774606659901</v>
      </c>
    </row>
    <row r="86" spans="1:26" x14ac:dyDescent="0.25">
      <c r="A86" s="1">
        <v>1927</v>
      </c>
      <c r="B86" s="1">
        <f t="shared" si="18"/>
        <v>-0.21299999999999999</v>
      </c>
      <c r="C86" s="1">
        <f t="shared" si="19"/>
        <v>-0.19665375000000002</v>
      </c>
      <c r="D86" s="1">
        <f t="shared" si="20"/>
        <v>-1.6985180700845065E-2</v>
      </c>
      <c r="E86" s="1">
        <f t="shared" si="21"/>
        <v>0.61408379562599358</v>
      </c>
      <c r="F86" s="1">
        <f t="shared" si="22"/>
        <v>1.6346249999999979E-2</v>
      </c>
      <c r="G86" s="9">
        <f t="shared" si="23"/>
        <v>0.61408379562599358</v>
      </c>
      <c r="H86" s="1">
        <f t="shared" si="24"/>
        <v>7.235686978560002E-3</v>
      </c>
      <c r="I86" s="1">
        <f t="shared" si="25"/>
        <v>0.36884570885120954</v>
      </c>
      <c r="J86" s="1">
        <f t="shared" si="26"/>
        <v>0.85932188240077756</v>
      </c>
      <c r="K86" s="3"/>
      <c r="L86" s="3">
        <f t="shared" si="27"/>
        <v>0.61408379562599358</v>
      </c>
      <c r="M86" s="6">
        <v>-0.21299999999999999</v>
      </c>
      <c r="N86" s="4">
        <v>-0.192</v>
      </c>
      <c r="O86" s="5">
        <v>-0.24299999999999999</v>
      </c>
      <c r="P86">
        <f t="shared" si="28"/>
        <v>-0.24299999999999999</v>
      </c>
      <c r="Q86">
        <f t="shared" si="29"/>
        <v>0.79012345679012352</v>
      </c>
      <c r="R86">
        <f t="shared" si="30"/>
        <v>0.87654320987654322</v>
      </c>
      <c r="S86">
        <f t="shared" si="17"/>
        <v>-0.90287530864197529</v>
      </c>
      <c r="U86">
        <v>-0.24299999999999999</v>
      </c>
      <c r="V86">
        <v>-0.247</v>
      </c>
      <c r="W86" s="11">
        <f t="shared" si="31"/>
        <v>0.74626765120774508</v>
      </c>
      <c r="X86">
        <f t="shared" si="32"/>
        <v>-0.2531918834075384</v>
      </c>
      <c r="Y86" s="13">
        <f t="shared" si="33"/>
        <v>-0.36010301065150296</v>
      </c>
      <c r="Z86" s="13">
        <v>0.13989698934849701</v>
      </c>
    </row>
    <row r="87" spans="1:26" x14ac:dyDescent="0.25">
      <c r="A87" s="1">
        <v>1928</v>
      </c>
      <c r="B87" s="1">
        <f t="shared" si="18"/>
        <v>-0.21099999999999999</v>
      </c>
      <c r="C87" s="1">
        <f t="shared" si="19"/>
        <v>-0.18535840000000001</v>
      </c>
      <c r="D87" s="1">
        <f t="shared" si="20"/>
        <v>-3.6085118574407576E-2</v>
      </c>
      <c r="E87" s="1">
        <f t="shared" si="21"/>
        <v>0.92388258371864929</v>
      </c>
      <c r="F87" s="1">
        <f t="shared" si="22"/>
        <v>2.5641599999999987E-2</v>
      </c>
      <c r="G87" s="9">
        <f t="shared" si="23"/>
        <v>0.92388258371864929</v>
      </c>
      <c r="H87" s="1">
        <f t="shared" si="24"/>
        <v>1.5227920038399997E-2</v>
      </c>
      <c r="I87" s="1">
        <f t="shared" si="25"/>
        <v>0.38355813534241778</v>
      </c>
      <c r="J87" s="1">
        <f t="shared" si="26"/>
        <v>1.4642070320948808</v>
      </c>
      <c r="K87" s="3"/>
      <c r="L87" s="3">
        <f t="shared" si="27"/>
        <v>0.92388258371864929</v>
      </c>
      <c r="M87" s="6">
        <v>-0.21099999999999999</v>
      </c>
      <c r="N87" s="4">
        <v>-0.224</v>
      </c>
      <c r="O87" s="5">
        <v>-0.16</v>
      </c>
      <c r="P87">
        <f t="shared" si="28"/>
        <v>-0.16</v>
      </c>
      <c r="Q87">
        <f t="shared" si="29"/>
        <v>1.4</v>
      </c>
      <c r="R87">
        <f t="shared" si="30"/>
        <v>1.3187499999999999</v>
      </c>
      <c r="S87">
        <f t="shared" si="17"/>
        <v>-1.3520199999999998</v>
      </c>
      <c r="U87">
        <v>-0.16</v>
      </c>
      <c r="V87">
        <v>-0.16508300000000001</v>
      </c>
      <c r="W87" s="11">
        <f t="shared" si="31"/>
        <v>0.74663399253040552</v>
      </c>
      <c r="X87">
        <f t="shared" si="32"/>
        <v>-0.25992736986446485</v>
      </c>
      <c r="Y87" s="13">
        <f t="shared" si="33"/>
        <v>-0.33687051143817304</v>
      </c>
      <c r="Z87" s="13">
        <v>0.16312948856182699</v>
      </c>
    </row>
    <row r="88" spans="1:26" x14ac:dyDescent="0.25">
      <c r="A88" s="1">
        <v>1929</v>
      </c>
      <c r="B88" s="1">
        <f t="shared" si="18"/>
        <v>-0.34899999999999998</v>
      </c>
      <c r="C88" s="1">
        <f t="shared" si="19"/>
        <v>-0.34206389999999998</v>
      </c>
      <c r="D88" s="1">
        <f t="shared" si="20"/>
        <v>-6.8725644370200567E-3</v>
      </c>
      <c r="E88" s="1">
        <f t="shared" si="21"/>
        <v>0.50726242822018619</v>
      </c>
      <c r="F88" s="1">
        <f t="shared" si="22"/>
        <v>6.9361000000000006E-3</v>
      </c>
      <c r="G88" s="9">
        <f t="shared" si="23"/>
        <v>0.50726242822018619</v>
      </c>
      <c r="H88" s="1">
        <f t="shared" si="24"/>
        <v>4.7970499770399883E-3</v>
      </c>
      <c r="I88" s="1">
        <f t="shared" si="25"/>
        <v>0.40659374431512174</v>
      </c>
      <c r="J88" s="1">
        <f t="shared" si="26"/>
        <v>0.60793111212525053</v>
      </c>
      <c r="K88" s="3"/>
      <c r="L88" s="3">
        <f t="shared" si="27"/>
        <v>0.50726242822018619</v>
      </c>
      <c r="M88" s="6">
        <v>-0.34899999999999998</v>
      </c>
      <c r="N88" s="4">
        <v>-0.29699999999999999</v>
      </c>
      <c r="O88" s="5">
        <v>-0.48199999999999998</v>
      </c>
      <c r="P88">
        <f t="shared" si="28"/>
        <v>-0.48199999999999998</v>
      </c>
      <c r="Q88">
        <f t="shared" si="29"/>
        <v>0.61618257261410792</v>
      </c>
      <c r="R88">
        <f t="shared" si="30"/>
        <v>0.72406639004149376</v>
      </c>
      <c r="S88">
        <f t="shared" si="17"/>
        <v>-0.72206327800829873</v>
      </c>
      <c r="U88">
        <v>-0.48199999999999998</v>
      </c>
      <c r="V88">
        <v>-0.47008299999999997</v>
      </c>
      <c r="W88" s="11">
        <f t="shared" si="31"/>
        <v>0.7467943774536252</v>
      </c>
      <c r="X88">
        <f t="shared" si="32"/>
        <v>-0.42183497157794203</v>
      </c>
      <c r="Y88" s="13">
        <f t="shared" si="33"/>
        <v>-0.38741846307038297</v>
      </c>
      <c r="Z88" s="13">
        <v>0.112581536929617</v>
      </c>
    </row>
    <row r="89" spans="1:26" x14ac:dyDescent="0.25">
      <c r="A89" s="1">
        <v>1930</v>
      </c>
      <c r="B89" s="1">
        <f t="shared" si="18"/>
        <v>-0.13800000000000001</v>
      </c>
      <c r="C89" s="1">
        <f t="shared" si="19"/>
        <v>-0.12005655000000001</v>
      </c>
      <c r="D89" s="1">
        <f t="shared" si="20"/>
        <v>-2.2003568700000004E-2</v>
      </c>
      <c r="E89" s="1">
        <f t="shared" si="21"/>
        <v>0.8406893652795292</v>
      </c>
      <c r="F89" s="1">
        <f t="shared" si="22"/>
        <v>1.794345E-2</v>
      </c>
      <c r="G89" s="9">
        <f t="shared" si="23"/>
        <v>0.8406893652795292</v>
      </c>
      <c r="H89" s="1">
        <f t="shared" si="24"/>
        <v>6.0729849612000016E-3</v>
      </c>
      <c r="I89" s="1">
        <f t="shared" si="25"/>
        <v>0.36594745820260038</v>
      </c>
      <c r="J89" s="1">
        <f t="shared" si="26"/>
        <v>1.3154312723564581</v>
      </c>
      <c r="K89" s="3"/>
      <c r="L89" s="3">
        <f t="shared" si="27"/>
        <v>0.8406893652795292</v>
      </c>
      <c r="M89" s="6">
        <v>-0.13800000000000001</v>
      </c>
      <c r="N89" s="4">
        <v>-0.13800000000000001</v>
      </c>
      <c r="O89" s="5">
        <v>-0.115</v>
      </c>
      <c r="P89">
        <f t="shared" si="28"/>
        <v>-0.115</v>
      </c>
      <c r="Q89">
        <f t="shared" si="29"/>
        <v>1.2</v>
      </c>
      <c r="R89">
        <f t="shared" si="30"/>
        <v>1.2</v>
      </c>
      <c r="S89">
        <f t="shared" si="17"/>
        <v>-1.25726</v>
      </c>
      <c r="U89">
        <v>-0.115</v>
      </c>
      <c r="V89">
        <v>-0.11724999999999999</v>
      </c>
      <c r="W89" s="11">
        <f t="shared" si="31"/>
        <v>0.74675591010600328</v>
      </c>
      <c r="X89">
        <f t="shared" si="32"/>
        <v>-0.164815789599595</v>
      </c>
      <c r="Y89" s="13">
        <f t="shared" si="33"/>
        <v>-0.33389391199138596</v>
      </c>
      <c r="Z89" s="13">
        <v>0.16610608800861401</v>
      </c>
    </row>
    <row r="90" spans="1:26" x14ac:dyDescent="0.25">
      <c r="A90" s="1">
        <v>1931</v>
      </c>
      <c r="B90" s="1">
        <f t="shared" si="18"/>
        <v>-8.6999999999999994E-2</v>
      </c>
      <c r="C90" s="1">
        <f t="shared" si="19"/>
        <v>-8.8513499999999995E-2</v>
      </c>
      <c r="D90" s="1">
        <f t="shared" si="20"/>
        <v>-1.1116145875862127E-3</v>
      </c>
      <c r="E90" s="7">
        <f t="shared" si="21"/>
        <v>0.6484040317315517</v>
      </c>
      <c r="F90" s="1">
        <f t="shared" si="22"/>
        <v>1.513500000000001E-3</v>
      </c>
      <c r="G90" s="9">
        <f t="shared" si="23"/>
        <v>0.6484040317315517</v>
      </c>
      <c r="H90" s="1">
        <f t="shared" si="24"/>
        <v>1.9342093824000015E-4</v>
      </c>
      <c r="I90" s="1">
        <f t="shared" si="25"/>
        <v>0.54475190991042388</v>
      </c>
      <c r="J90" s="1">
        <f t="shared" si="26"/>
        <v>0.75205615355267963</v>
      </c>
      <c r="K90" s="3"/>
      <c r="L90" s="3">
        <f t="shared" si="27"/>
        <v>0.6484040317315517</v>
      </c>
      <c r="M90" s="6">
        <v>-8.6999999999999994E-2</v>
      </c>
      <c r="N90" s="4">
        <v>-9.6000000000000002E-2</v>
      </c>
      <c r="O90" s="5">
        <v>-9.4E-2</v>
      </c>
      <c r="P90">
        <f t="shared" si="28"/>
        <v>-9.4E-2</v>
      </c>
      <c r="Q90">
        <f t="shared" si="29"/>
        <v>1.0212765957446808</v>
      </c>
      <c r="R90">
        <f t="shared" si="30"/>
        <v>0.92553191489361697</v>
      </c>
      <c r="S90">
        <f t="shared" si="17"/>
        <v>-0.83587872340425529</v>
      </c>
      <c r="U90">
        <v>-9.4E-2</v>
      </c>
      <c r="V90">
        <v>-0.10166699999999999</v>
      </c>
      <c r="W90" s="11">
        <f t="shared" si="31"/>
        <v>0.74652595166116953</v>
      </c>
      <c r="X90">
        <f t="shared" si="32"/>
        <v>-0.11869092496935971</v>
      </c>
      <c r="Y90" s="13">
        <f t="shared" si="33"/>
        <v>-0.32313941341074603</v>
      </c>
      <c r="Z90" s="13">
        <v>0.17686058658925399</v>
      </c>
    </row>
    <row r="91" spans="1:26" x14ac:dyDescent="0.25">
      <c r="A91" s="1">
        <v>1932</v>
      </c>
      <c r="B91" s="1">
        <f t="shared" si="18"/>
        <v>-0.13500000000000001</v>
      </c>
      <c r="C91" s="1">
        <f t="shared" si="19"/>
        <v>-0.12217219999999999</v>
      </c>
      <c r="D91" s="1">
        <f t="shared" si="20"/>
        <v>-2.9309534474666665E-2</v>
      </c>
      <c r="E91" s="1">
        <f t="shared" si="21"/>
        <v>1.244441494657198</v>
      </c>
      <c r="F91" s="1">
        <f t="shared" si="22"/>
        <v>1.2827800000000014E-2</v>
      </c>
      <c r="G91" s="9">
        <f t="shared" si="23"/>
        <v>1.244441494657198</v>
      </c>
      <c r="H91" s="1">
        <f t="shared" si="24"/>
        <v>7.9135743081600023E-3</v>
      </c>
      <c r="I91" s="1">
        <f t="shared" si="25"/>
        <v>0.42441656113487852</v>
      </c>
      <c r="J91" s="1">
        <f t="shared" si="26"/>
        <v>2.0644664281795175</v>
      </c>
      <c r="K91" s="3"/>
      <c r="L91" s="3">
        <f t="shared" si="27"/>
        <v>1.244441494657198</v>
      </c>
      <c r="M91" s="6">
        <v>-0.13500000000000001</v>
      </c>
      <c r="N91" s="4">
        <v>-0.16600000000000001</v>
      </c>
      <c r="O91" s="5">
        <v>-7.5999999999999998E-2</v>
      </c>
      <c r="P91">
        <f t="shared" si="28"/>
        <v>-7.5999999999999998E-2</v>
      </c>
      <c r="Q91">
        <f t="shared" si="29"/>
        <v>2.1842105263157898</v>
      </c>
      <c r="R91">
        <f t="shared" si="30"/>
        <v>1.7763157894736843</v>
      </c>
      <c r="S91">
        <f t="shared" si="17"/>
        <v>-1.7074605263157894</v>
      </c>
      <c r="U91">
        <v>-7.5999999999999998E-2</v>
      </c>
      <c r="V91">
        <v>-8.4416699999999997E-2</v>
      </c>
      <c r="W91" s="11">
        <f t="shared" si="31"/>
        <v>0.74611215759068727</v>
      </c>
      <c r="X91">
        <f t="shared" si="32"/>
        <v>-0.18054752739799831</v>
      </c>
      <c r="Y91" s="13">
        <f t="shared" si="33"/>
        <v>-0.32041504838235702</v>
      </c>
      <c r="Z91" s="13">
        <v>0.17958495161764301</v>
      </c>
    </row>
    <row r="92" spans="1:26" x14ac:dyDescent="0.25">
      <c r="A92" s="1">
        <v>1933</v>
      </c>
      <c r="B92" s="1">
        <f t="shared" si="18"/>
        <v>-0.27300000000000002</v>
      </c>
      <c r="C92" s="1">
        <f t="shared" si="19"/>
        <v>-0.25582355000000001</v>
      </c>
      <c r="D92" s="1">
        <f t="shared" si="20"/>
        <v>-1.7148973800000022E-2</v>
      </c>
      <c r="E92" s="1">
        <f t="shared" si="21"/>
        <v>0.57091591224206839</v>
      </c>
      <c r="F92" s="1">
        <f t="shared" si="22"/>
        <v>1.717645000000001E-2</v>
      </c>
      <c r="G92" s="9">
        <f t="shared" si="23"/>
        <v>0.57091591224206839</v>
      </c>
      <c r="H92" s="1">
        <f t="shared" si="24"/>
        <v>9.3633396948000075E-3</v>
      </c>
      <c r="I92" s="1">
        <f t="shared" si="25"/>
        <v>0.36855580992995135</v>
      </c>
      <c r="J92" s="1">
        <f t="shared" si="26"/>
        <v>0.77327601455418538</v>
      </c>
      <c r="K92" s="3"/>
      <c r="L92" s="3">
        <f t="shared" si="27"/>
        <v>0.57091591224206839</v>
      </c>
      <c r="M92" s="6">
        <v>-0.27300000000000002</v>
      </c>
      <c r="N92" s="4">
        <v>-0.23799999999999999</v>
      </c>
      <c r="O92" s="5">
        <v>-0.33500000000000002</v>
      </c>
      <c r="P92">
        <f t="shared" si="28"/>
        <v>-0.33500000000000002</v>
      </c>
      <c r="Q92">
        <f t="shared" si="29"/>
        <v>0.71044776119402975</v>
      </c>
      <c r="R92">
        <f t="shared" si="30"/>
        <v>0.81492537313432833</v>
      </c>
      <c r="S92">
        <f t="shared" si="17"/>
        <v>-0.83650417910447761</v>
      </c>
      <c r="U92">
        <v>-0.33500000000000002</v>
      </c>
      <c r="V92">
        <v>-0.32450000000000001</v>
      </c>
      <c r="W92" s="11">
        <f t="shared" si="31"/>
        <v>0.74552237335592508</v>
      </c>
      <c r="X92">
        <f t="shared" si="32"/>
        <v>-0.32375154953870466</v>
      </c>
      <c r="Y92" s="13">
        <f t="shared" si="33"/>
        <v>-0.36837399607061699</v>
      </c>
      <c r="Z92" s="13">
        <v>0.13162600392938301</v>
      </c>
    </row>
    <row r="93" spans="1:26" x14ac:dyDescent="0.25">
      <c r="A93" s="1">
        <v>1934</v>
      </c>
      <c r="B93" s="1">
        <f t="shared" si="18"/>
        <v>-0.126</v>
      </c>
      <c r="C93" s="1">
        <f t="shared" si="19"/>
        <v>-0.11143304999999999</v>
      </c>
      <c r="D93" s="1">
        <f t="shared" si="20"/>
        <v>-5.7483027630000003E-2</v>
      </c>
      <c r="E93" s="1">
        <f t="shared" si="21"/>
        <v>9.8080425949278425</v>
      </c>
      <c r="F93" s="1">
        <f t="shared" si="22"/>
        <v>1.4566950000000009E-2</v>
      </c>
      <c r="G93" s="9">
        <f t="shared" si="23"/>
        <v>9.8080425949278425</v>
      </c>
      <c r="H93" s="1">
        <f t="shared" si="24"/>
        <v>1.4485722962760001E-2</v>
      </c>
      <c r="I93" s="1">
        <f t="shared" si="25"/>
        <v>0.43928751438830599</v>
      </c>
      <c r="J93" s="1">
        <f t="shared" si="26"/>
        <v>19.176797675467377</v>
      </c>
      <c r="K93" s="3"/>
      <c r="L93" s="3">
        <f t="shared" si="27"/>
        <v>9.8080425949278425</v>
      </c>
      <c r="M93" s="6">
        <v>-0.126</v>
      </c>
      <c r="N93" s="4">
        <v>-0.189</v>
      </c>
      <c r="O93" s="5">
        <v>-8.9999999999999993E-3</v>
      </c>
      <c r="P93">
        <f t="shared" si="28"/>
        <v>-8.9999999999999993E-3</v>
      </c>
      <c r="Q93">
        <f t="shared" si="29"/>
        <v>21</v>
      </c>
      <c r="R93">
        <f t="shared" si="30"/>
        <v>14.000000000000002</v>
      </c>
      <c r="S93">
        <f t="shared" si="17"/>
        <v>-12.726000000000003</v>
      </c>
      <c r="U93">
        <v>-8.9999999999999993E-3</v>
      </c>
      <c r="V93">
        <v>-1.14167E-2</v>
      </c>
      <c r="W93" s="11">
        <f t="shared" si="31"/>
        <v>0.7447647238150239</v>
      </c>
      <c r="X93">
        <f t="shared" si="32"/>
        <v>-0.18369336098930625</v>
      </c>
      <c r="Y93" s="13">
        <f t="shared" si="33"/>
        <v>-0.32221763942225301</v>
      </c>
      <c r="Z93" s="13">
        <v>0.17778236057774699</v>
      </c>
    </row>
    <row r="94" spans="1:26" x14ac:dyDescent="0.25">
      <c r="A94" s="1">
        <v>1935</v>
      </c>
      <c r="B94" s="1">
        <f t="shared" si="18"/>
        <v>-0.17599999999999999</v>
      </c>
      <c r="C94" s="1">
        <f t="shared" si="19"/>
        <v>-0.16552495</v>
      </c>
      <c r="D94" s="1">
        <f t="shared" si="20"/>
        <v>-1.6263105483522722E-2</v>
      </c>
      <c r="E94" s="1">
        <f t="shared" si="21"/>
        <v>0.73832998148301954</v>
      </c>
      <c r="F94" s="1">
        <f t="shared" si="22"/>
        <v>1.0475049999999986E-2</v>
      </c>
      <c r="G94" s="9">
        <f t="shared" si="23"/>
        <v>0.73832998148301954</v>
      </c>
      <c r="H94" s="1">
        <f t="shared" si="24"/>
        <v>5.7246131302E-3</v>
      </c>
      <c r="I94" s="1">
        <f t="shared" si="25"/>
        <v>0.42092706893351139</v>
      </c>
      <c r="J94" s="1">
        <f t="shared" si="26"/>
        <v>1.0557328940325277</v>
      </c>
      <c r="K94" s="3"/>
      <c r="L94" s="3">
        <f t="shared" si="27"/>
        <v>0.73832998148301954</v>
      </c>
      <c r="M94" s="6">
        <v>-0.17599999999999999</v>
      </c>
      <c r="N94" s="4">
        <v>-0.185</v>
      </c>
      <c r="O94" s="5">
        <v>-0.16700000000000001</v>
      </c>
      <c r="P94">
        <f t="shared" si="28"/>
        <v>-0.16700000000000001</v>
      </c>
      <c r="Q94">
        <f t="shared" si="29"/>
        <v>1.1077844311377245</v>
      </c>
      <c r="R94">
        <f t="shared" si="30"/>
        <v>1.0538922155688621</v>
      </c>
      <c r="S94">
        <f t="shared" si="17"/>
        <v>-1.0308586826347304</v>
      </c>
      <c r="U94">
        <v>-0.16700000000000001</v>
      </c>
      <c r="V94">
        <v>-0.16383300000000001</v>
      </c>
      <c r="W94" s="11">
        <f t="shared" si="31"/>
        <v>0.74384744185954332</v>
      </c>
      <c r="X94">
        <f t="shared" si="32"/>
        <v>-0.22531422284111258</v>
      </c>
      <c r="Y94" s="13">
        <f t="shared" si="33"/>
        <v>-0.33512976250100801</v>
      </c>
      <c r="Z94" s="13">
        <v>0.16487023749899199</v>
      </c>
    </row>
    <row r="95" spans="1:26" x14ac:dyDescent="0.25">
      <c r="A95" s="1">
        <v>1936</v>
      </c>
      <c r="B95" s="1">
        <f t="shared" si="18"/>
        <v>-0.14299999999999999</v>
      </c>
      <c r="C95" s="1">
        <f t="shared" si="19"/>
        <v>-0.12642980000000001</v>
      </c>
      <c r="D95" s="1">
        <f t="shared" si="20"/>
        <v>-2.3168978647272714E-2</v>
      </c>
      <c r="E95" s="1">
        <f t="shared" si="21"/>
        <v>0.89448347645068949</v>
      </c>
      <c r="F95" s="1">
        <f t="shared" si="22"/>
        <v>1.6570199999999979E-2</v>
      </c>
      <c r="G95" s="9">
        <f t="shared" si="23"/>
        <v>0.89448347645068949</v>
      </c>
      <c r="H95" s="1">
        <f t="shared" si="24"/>
        <v>6.6263278931199959E-3</v>
      </c>
      <c r="I95" s="1">
        <f t="shared" si="25"/>
        <v>0.38530182403081326</v>
      </c>
      <c r="J95" s="1">
        <f t="shared" si="26"/>
        <v>1.4036651288705659</v>
      </c>
      <c r="K95" s="3"/>
      <c r="L95" s="3">
        <f t="shared" si="27"/>
        <v>0.89448347645068949</v>
      </c>
      <c r="M95" s="6">
        <v>-0.14299999999999999</v>
      </c>
      <c r="N95" s="4">
        <v>-0.151</v>
      </c>
      <c r="O95" s="5">
        <v>-0.112</v>
      </c>
      <c r="P95">
        <f t="shared" si="28"/>
        <v>-0.112</v>
      </c>
      <c r="Q95">
        <f t="shared" si="29"/>
        <v>1.3482142857142856</v>
      </c>
      <c r="R95">
        <f t="shared" si="30"/>
        <v>1.2767857142857142</v>
      </c>
      <c r="S95">
        <f t="shared" si="17"/>
        <v>-1.3050508928571427</v>
      </c>
      <c r="U95">
        <v>-0.112</v>
      </c>
      <c r="V95">
        <v>-0.110167</v>
      </c>
      <c r="W95" s="11">
        <f t="shared" si="31"/>
        <v>0.74277898017317057</v>
      </c>
      <c r="X95">
        <f t="shared" si="32"/>
        <v>-0.17715411606823195</v>
      </c>
      <c r="Y95" s="13">
        <f t="shared" si="33"/>
        <v>-0.33106488135991796</v>
      </c>
      <c r="Z95" s="13">
        <v>0.16893511864008201</v>
      </c>
    </row>
    <row r="96" spans="1:26" x14ac:dyDescent="0.25">
      <c r="A96" s="1">
        <v>1937</v>
      </c>
      <c r="B96" s="1">
        <f t="shared" si="18"/>
        <v>-2.5000000000000001E-2</v>
      </c>
      <c r="C96" s="1">
        <f t="shared" si="19"/>
        <v>-1.87137E-2</v>
      </c>
      <c r="D96" s="1">
        <f t="shared" si="20"/>
        <v>-6.9094679984000006E-3</v>
      </c>
      <c r="E96" s="1">
        <f t="shared" si="21"/>
        <v>0.46090425728044371</v>
      </c>
      <c r="F96" s="1">
        <f t="shared" si="22"/>
        <v>6.2863000000000016E-3</v>
      </c>
      <c r="G96" s="9">
        <f t="shared" si="23"/>
        <v>0.46090425728044371</v>
      </c>
      <c r="H96" s="1">
        <f t="shared" si="24"/>
        <v>3.4547339992000017E-4</v>
      </c>
      <c r="I96" s="1">
        <f t="shared" si="25"/>
        <v>0.1182327317629652</v>
      </c>
      <c r="J96" s="1">
        <f t="shared" si="26"/>
        <v>0.80357578279792219</v>
      </c>
      <c r="K96" s="3"/>
      <c r="L96" s="3">
        <f t="shared" si="27"/>
        <v>0.46090425728044371</v>
      </c>
      <c r="M96" s="6">
        <v>-2.5000000000000001E-2</v>
      </c>
      <c r="N96" s="4">
        <v>-8.9999999999999993E-3</v>
      </c>
      <c r="O96" s="5">
        <v>-3.7999999999999999E-2</v>
      </c>
      <c r="P96">
        <f t="shared" si="28"/>
        <v>-3.7999999999999999E-2</v>
      </c>
      <c r="Q96">
        <f t="shared" si="29"/>
        <v>0.23684210526315788</v>
      </c>
      <c r="R96">
        <f t="shared" si="30"/>
        <v>0.65789473684210531</v>
      </c>
      <c r="S96">
        <f t="shared" si="17"/>
        <v>-0.86045526315789478</v>
      </c>
      <c r="U96">
        <v>-3.7999999999999999E-2</v>
      </c>
      <c r="V96">
        <v>-4.1666700000000001E-2</v>
      </c>
      <c r="W96" s="11">
        <f t="shared" si="31"/>
        <v>0.74156786222010851</v>
      </c>
      <c r="X96">
        <f t="shared" si="32"/>
        <v>-1.9541183131714879E-2</v>
      </c>
      <c r="Y96" s="13">
        <f t="shared" si="33"/>
        <v>-0.30874775540356403</v>
      </c>
      <c r="Z96" s="13">
        <v>0.191252244596436</v>
      </c>
    </row>
    <row r="97" spans="1:26" x14ac:dyDescent="0.25">
      <c r="A97" s="1">
        <v>1938</v>
      </c>
      <c r="B97" s="1">
        <f t="shared" si="18"/>
        <v>-5.0000000000000001E-3</v>
      </c>
      <c r="C97" s="1">
        <f t="shared" si="19"/>
        <v>1.0350350000000008E-2</v>
      </c>
      <c r="D97" s="1">
        <f t="shared" si="20"/>
        <v>1.1663482544880002</v>
      </c>
      <c r="E97" s="1">
        <f t="shared" si="21"/>
        <v>2.0975283564858511E-2</v>
      </c>
      <c r="F97" s="1">
        <f t="shared" si="22"/>
        <v>1.5350350000000009E-2</v>
      </c>
      <c r="G97" s="9">
        <f t="shared" si="23"/>
        <v>2.0975283564858511E-2</v>
      </c>
      <c r="H97" s="1">
        <f t="shared" si="24"/>
        <v>1.1763482544879999E-2</v>
      </c>
      <c r="I97" s="1">
        <f t="shared" si="25"/>
        <v>0.4340188452670633</v>
      </c>
      <c r="J97" s="1">
        <f t="shared" si="26"/>
        <v>-0.47596941239678037</v>
      </c>
      <c r="K97" s="3"/>
      <c r="L97" s="3">
        <f t="shared" si="27"/>
        <v>-2.0975283564858511E-2</v>
      </c>
      <c r="M97" s="6">
        <v>-5.0000000000000001E-3</v>
      </c>
      <c r="N97" s="4">
        <v>-8.5999999999999993E-2</v>
      </c>
      <c r="O97" s="5">
        <v>0.16700000000000001</v>
      </c>
      <c r="P97">
        <f t="shared" si="28"/>
        <v>0.16700000000000001</v>
      </c>
      <c r="Q97">
        <f t="shared" si="29"/>
        <v>-0.51497005988023947</v>
      </c>
      <c r="R97">
        <f t="shared" si="30"/>
        <v>-2.9940119760479042E-2</v>
      </c>
      <c r="S97">
        <f t="shared" si="17"/>
        <v>-2.1353892215568854E-2</v>
      </c>
      <c r="U97">
        <v>0.16700000000000001</v>
      </c>
      <c r="V97">
        <v>0.16</v>
      </c>
      <c r="W97" s="11">
        <f t="shared" si="31"/>
        <v>0.74022275302559137</v>
      </c>
      <c r="X97">
        <f t="shared" si="32"/>
        <v>-3.5106453569344269E-2</v>
      </c>
      <c r="Y97" s="13">
        <f t="shared" si="33"/>
        <v>-0.277537826971608</v>
      </c>
      <c r="Z97" s="13">
        <v>0.222462173028392</v>
      </c>
    </row>
    <row r="98" spans="1:26" x14ac:dyDescent="0.25">
      <c r="A98" s="1">
        <v>1939</v>
      </c>
      <c r="B98" s="1">
        <f t="shared" si="18"/>
        <v>-5.5E-2</v>
      </c>
      <c r="C98" s="1">
        <f t="shared" si="19"/>
        <v>-4.7019650000000003E-2</v>
      </c>
      <c r="D98" s="1">
        <f t="shared" si="20"/>
        <v>-2.4565045001818182E-2</v>
      </c>
      <c r="E98" s="1">
        <f t="shared" si="21"/>
        <v>7.7063191817290182</v>
      </c>
      <c r="F98" s="1">
        <f t="shared" si="22"/>
        <v>7.9803499999999972E-3</v>
      </c>
      <c r="G98" s="9">
        <f t="shared" si="23"/>
        <v>7.7063191817290182</v>
      </c>
      <c r="H98" s="1">
        <f t="shared" si="24"/>
        <v>2.7021549501999999E-3</v>
      </c>
      <c r="I98" s="1">
        <f t="shared" si="25"/>
        <v>0.42283086602545439</v>
      </c>
      <c r="J98" s="1">
        <f t="shared" si="26"/>
        <v>14.989807497432581</v>
      </c>
      <c r="K98" s="3"/>
      <c r="L98" s="3">
        <f t="shared" si="27"/>
        <v>7.7063191817290182</v>
      </c>
      <c r="M98" s="6">
        <v>-5.5E-2</v>
      </c>
      <c r="N98" s="4">
        <v>-7.9000000000000001E-2</v>
      </c>
      <c r="O98" s="5">
        <v>-5.0000000000000001E-3</v>
      </c>
      <c r="P98">
        <f t="shared" si="28"/>
        <v>-5.0000000000000001E-3</v>
      </c>
      <c r="Q98">
        <f t="shared" si="29"/>
        <v>15.8</v>
      </c>
      <c r="R98">
        <f t="shared" si="30"/>
        <v>11</v>
      </c>
      <c r="S98">
        <f t="shared" si="17"/>
        <v>-10.437239999999999</v>
      </c>
      <c r="U98">
        <v>-5.0000000000000001E-3</v>
      </c>
      <c r="V98">
        <v>1.9166700000000001E-3</v>
      </c>
      <c r="W98" s="11">
        <f t="shared" si="31"/>
        <v>0.73875237349420786</v>
      </c>
      <c r="X98">
        <f t="shared" si="32"/>
        <v>-7.7752473066142122E-2</v>
      </c>
      <c r="Y98" s="13">
        <f t="shared" si="33"/>
        <v>-0.28907925762875497</v>
      </c>
      <c r="Z98" s="13">
        <v>0.210920742371245</v>
      </c>
    </row>
    <row r="99" spans="1:26" x14ac:dyDescent="0.25">
      <c r="A99" s="1">
        <v>1940</v>
      </c>
      <c r="B99" s="1">
        <f t="shared" si="18"/>
        <v>1.7999999999999999E-2</v>
      </c>
      <c r="C99" s="1">
        <f t="shared" si="19"/>
        <v>-6.1829499999999978E-3</v>
      </c>
      <c r="D99" s="1">
        <f t="shared" si="20"/>
        <v>1.1379930079999998E-2</v>
      </c>
      <c r="E99" s="1">
        <f t="shared" si="21"/>
        <v>0.29326373207425438</v>
      </c>
      <c r="F99" s="1">
        <f t="shared" si="22"/>
        <v>2.4182949999999995E-2</v>
      </c>
      <c r="G99" s="9">
        <f t="shared" si="23"/>
        <v>0.29326373207425438</v>
      </c>
      <c r="H99" s="1">
        <f t="shared" si="24"/>
        <v>8.8632251711999997E-4</v>
      </c>
      <c r="I99" s="1">
        <f t="shared" si="25"/>
        <v>-0.77830840960828485</v>
      </c>
      <c r="J99" s="1">
        <f t="shared" si="26"/>
        <v>0.19178094545977614</v>
      </c>
      <c r="K99" s="3"/>
      <c r="L99" s="3">
        <f t="shared" si="27"/>
        <v>-0.29326373207425438</v>
      </c>
      <c r="M99" s="6">
        <v>1.7999999999999999E-2</v>
      </c>
      <c r="N99" s="4">
        <v>1.6E-2</v>
      </c>
      <c r="O99" s="5">
        <v>-4.2999999999999997E-2</v>
      </c>
      <c r="P99">
        <f t="shared" si="28"/>
        <v>-4.2999999999999997E-2</v>
      </c>
      <c r="Q99">
        <f t="shared" si="29"/>
        <v>-0.372093023255814</v>
      </c>
      <c r="R99">
        <f t="shared" si="30"/>
        <v>-0.41860465116279072</v>
      </c>
      <c r="S99">
        <f t="shared" si="17"/>
        <v>0.85794651162790703</v>
      </c>
      <c r="U99">
        <v>-4.2999999999999997E-2</v>
      </c>
      <c r="V99">
        <v>-4.55833E-2</v>
      </c>
      <c r="W99" s="11">
        <f t="shared" si="31"/>
        <v>0.73716547060757875</v>
      </c>
      <c r="X99">
        <f t="shared" si="32"/>
        <v>3.1797875800736956E-3</v>
      </c>
      <c r="Y99" s="13">
        <f t="shared" si="33"/>
        <v>-0.28557064335307403</v>
      </c>
      <c r="Z99" s="13">
        <v>0.214429356646926</v>
      </c>
    </row>
    <row r="100" spans="1:26" x14ac:dyDescent="0.25">
      <c r="A100" s="1">
        <v>1941</v>
      </c>
      <c r="B100" s="1">
        <f t="shared" si="18"/>
        <v>1.7999999999999999E-2</v>
      </c>
      <c r="C100" s="1">
        <f t="shared" si="19"/>
        <v>1.8231300000000002E-2</v>
      </c>
      <c r="D100" s="1">
        <f t="shared" si="20"/>
        <v>-4.4516308500000018E-2</v>
      </c>
      <c r="E100" s="1">
        <f t="shared" si="21"/>
        <v>0.25220680958385872</v>
      </c>
      <c r="F100" s="1">
        <f t="shared" si="22"/>
        <v>2.3130000000000372E-4</v>
      </c>
      <c r="G100" s="9">
        <f t="shared" si="23"/>
        <v>0.25220680958385872</v>
      </c>
      <c r="H100" s="1">
        <f t="shared" si="24"/>
        <v>2.8985871060000002E-3</v>
      </c>
      <c r="I100" s="1">
        <f t="shared" si="25"/>
        <v>-1.0065647762598129</v>
      </c>
      <c r="J100" s="1">
        <f t="shared" si="26"/>
        <v>0.50215115709209557</v>
      </c>
      <c r="K100" s="3"/>
      <c r="L100" s="3">
        <f t="shared" si="27"/>
        <v>-0.25220680958385872</v>
      </c>
      <c r="M100" s="6">
        <v>1.7999999999999999E-2</v>
      </c>
      <c r="N100" s="4">
        <v>6.3E-2</v>
      </c>
      <c r="O100" s="5">
        <v>-0.05</v>
      </c>
      <c r="P100">
        <f t="shared" si="28"/>
        <v>-0.05</v>
      </c>
      <c r="Q100">
        <f t="shared" si="29"/>
        <v>-1.26</v>
      </c>
      <c r="R100">
        <f t="shared" si="30"/>
        <v>-0.35999999999999993</v>
      </c>
      <c r="S100">
        <f t="shared" si="17"/>
        <v>0.10703799999999986</v>
      </c>
      <c r="U100">
        <v>-0.05</v>
      </c>
      <c r="V100">
        <v>-5.4416699999999998E-2</v>
      </c>
      <c r="W100" s="11">
        <f t="shared" si="31"/>
        <v>0.73547085467725992</v>
      </c>
      <c r="X100">
        <f t="shared" si="32"/>
        <v>4.682012141787148E-2</v>
      </c>
      <c r="Y100" s="13">
        <f t="shared" si="33"/>
        <v>-0.290868642848229</v>
      </c>
      <c r="Z100" s="13">
        <v>0.209131357151771</v>
      </c>
    </row>
    <row r="101" spans="1:26" x14ac:dyDescent="0.25">
      <c r="A101" s="1">
        <v>1942</v>
      </c>
      <c r="B101" s="1">
        <f t="shared" si="18"/>
        <v>-2.3E-2</v>
      </c>
      <c r="C101" s="1">
        <f t="shared" si="19"/>
        <v>-8.3986999999999985E-3</v>
      </c>
      <c r="D101" s="1">
        <f t="shared" si="20"/>
        <v>-2.2942609359999998E-2</v>
      </c>
      <c r="E101" s="1">
        <f t="shared" si="21"/>
        <v>0.35028723553313718</v>
      </c>
      <c r="F101" s="1">
        <f t="shared" si="22"/>
        <v>1.4601300000000001E-2</v>
      </c>
      <c r="G101" s="9">
        <f t="shared" si="23"/>
        <v>0.35028723553313718</v>
      </c>
      <c r="H101" s="1">
        <f t="shared" si="24"/>
        <v>1.0553600305599998E-3</v>
      </c>
      <c r="I101" s="1">
        <f t="shared" si="25"/>
        <v>-0.1444752891719692</v>
      </c>
      <c r="J101" s="1">
        <f t="shared" si="26"/>
        <v>0.84504976023824352</v>
      </c>
      <c r="K101" s="3"/>
      <c r="L101" s="3">
        <f t="shared" si="27"/>
        <v>0.35028723553313718</v>
      </c>
      <c r="M101" s="6">
        <v>-2.3E-2</v>
      </c>
      <c r="N101" s="4">
        <v>1.4E-2</v>
      </c>
      <c r="O101" s="5">
        <v>-4.5999999999999999E-2</v>
      </c>
      <c r="P101">
        <f t="shared" si="28"/>
        <v>-4.5999999999999999E-2</v>
      </c>
      <c r="Q101">
        <f t="shared" si="29"/>
        <v>-0.30434782608695654</v>
      </c>
      <c r="R101">
        <f t="shared" si="30"/>
        <v>0.5</v>
      </c>
      <c r="S101">
        <f t="shared" si="17"/>
        <v>-0.93091304347826087</v>
      </c>
      <c r="U101">
        <v>-4.5999999999999999E-2</v>
      </c>
      <c r="V101">
        <v>-4.84167E-2</v>
      </c>
      <c r="W101" s="11">
        <f t="shared" si="31"/>
        <v>0.73367728013545275</v>
      </c>
      <c r="X101">
        <f t="shared" si="32"/>
        <v>4.4899435350008107E-4</v>
      </c>
      <c r="Y101" s="13">
        <f t="shared" si="33"/>
        <v>-0.28677343872864602</v>
      </c>
      <c r="Z101" s="13">
        <v>0.213226561271354</v>
      </c>
    </row>
    <row r="102" spans="1:26" x14ac:dyDescent="0.25">
      <c r="A102" s="1">
        <v>1943</v>
      </c>
      <c r="B102" s="1">
        <f t="shared" si="18"/>
        <v>-3.0000000000000001E-3</v>
      </c>
      <c r="C102" s="1">
        <f t="shared" si="19"/>
        <v>2.5643999999999997E-3</v>
      </c>
      <c r="D102" s="1">
        <f t="shared" si="20"/>
        <v>4.0397543999999954E-4</v>
      </c>
      <c r="E102" s="1">
        <f t="shared" si="21"/>
        <v>0.17514361776656859</v>
      </c>
      <c r="F102" s="1">
        <f t="shared" si="22"/>
        <v>5.5643999999999997E-3</v>
      </c>
      <c r="G102" s="9">
        <f t="shared" si="23"/>
        <v>0.17514361776656859</v>
      </c>
      <c r="H102" s="1">
        <f t="shared" si="24"/>
        <v>3.8423852640000001E-5</v>
      </c>
      <c r="I102" s="1">
        <f t="shared" si="25"/>
        <v>0.18674382658249841</v>
      </c>
      <c r="J102" s="1">
        <f t="shared" si="26"/>
        <v>-0.53703106211563567</v>
      </c>
      <c r="K102" s="3"/>
      <c r="L102" s="3">
        <f t="shared" si="27"/>
        <v>-0.17514361776656859</v>
      </c>
      <c r="M102" s="6">
        <v>-3.0000000000000001E-3</v>
      </c>
      <c r="N102" s="4">
        <v>-3.0000000000000001E-3</v>
      </c>
      <c r="O102" s="5">
        <v>1.2E-2</v>
      </c>
      <c r="P102">
        <f t="shared" si="28"/>
        <v>1.2E-2</v>
      </c>
      <c r="Q102">
        <f t="shared" si="29"/>
        <v>-0.25</v>
      </c>
      <c r="R102">
        <f t="shared" si="30"/>
        <v>-0.25</v>
      </c>
      <c r="S102">
        <f t="shared" si="17"/>
        <v>0.60787499999999994</v>
      </c>
      <c r="U102">
        <v>1.2E-2</v>
      </c>
      <c r="V102">
        <v>1.6750000000000001E-2</v>
      </c>
      <c r="W102" s="11">
        <f t="shared" si="31"/>
        <v>0.73179346788674593</v>
      </c>
      <c r="X102">
        <f t="shared" si="32"/>
        <v>5.0977448507293641E-4</v>
      </c>
      <c r="Y102" s="13">
        <f t="shared" si="33"/>
        <v>-0.27260411364773901</v>
      </c>
      <c r="Z102" s="13">
        <v>0.22739588635226099</v>
      </c>
    </row>
    <row r="103" spans="1:26" x14ac:dyDescent="0.25">
      <c r="A103" s="1">
        <v>1944</v>
      </c>
      <c r="B103" s="1">
        <f t="shared" si="18"/>
        <v>0.15</v>
      </c>
      <c r="C103" s="1">
        <f t="shared" si="19"/>
        <v>0.12592365</v>
      </c>
      <c r="D103" s="1">
        <f t="shared" si="20"/>
        <v>2.8142514670800006E-2</v>
      </c>
      <c r="E103" s="1">
        <f t="shared" si="21"/>
        <v>0.89817239880291577</v>
      </c>
      <c r="F103" s="1">
        <f t="shared" si="22"/>
        <v>2.4076349999999996E-2</v>
      </c>
      <c r="G103" s="9">
        <f t="shared" si="23"/>
        <v>0.89817239880291577</v>
      </c>
      <c r="H103" s="1">
        <f t="shared" si="24"/>
        <v>8.4427544012399998E-3</v>
      </c>
      <c r="I103" s="1">
        <f t="shared" si="25"/>
        <v>1.4483596512251482</v>
      </c>
      <c r="J103" s="1">
        <f t="shared" si="26"/>
        <v>0.34798514638068317</v>
      </c>
      <c r="K103" s="3"/>
      <c r="L103" s="3">
        <f t="shared" si="27"/>
        <v>0.89817239880291577</v>
      </c>
      <c r="M103" s="6">
        <v>0.15</v>
      </c>
      <c r="N103" s="4">
        <v>0.14699999999999999</v>
      </c>
      <c r="O103" s="5">
        <v>0.11700000000000001</v>
      </c>
      <c r="P103">
        <f t="shared" si="28"/>
        <v>0.11700000000000001</v>
      </c>
      <c r="Q103">
        <f t="shared" si="29"/>
        <v>1.2564102564102562</v>
      </c>
      <c r="R103">
        <f t="shared" si="30"/>
        <v>1.2820512820512819</v>
      </c>
      <c r="S103">
        <f t="shared" si="17"/>
        <v>-1.381102564102564</v>
      </c>
      <c r="U103">
        <v>0.11700000000000001</v>
      </c>
      <c r="V103">
        <v>0.111417</v>
      </c>
      <c r="W103" s="11">
        <f t="shared" si="31"/>
        <v>0.72982809785753489</v>
      </c>
      <c r="X103">
        <f t="shared" si="32"/>
        <v>0.17724862218444673</v>
      </c>
      <c r="Y103" s="13">
        <f t="shared" si="33"/>
        <v>-0.25629011927150203</v>
      </c>
      <c r="Z103" s="13">
        <v>0.243709880728498</v>
      </c>
    </row>
    <row r="104" spans="1:26" x14ac:dyDescent="0.25">
      <c r="A104" s="1">
        <v>1945</v>
      </c>
      <c r="B104" s="1">
        <f t="shared" si="18"/>
        <v>3.3000000000000002E-2</v>
      </c>
      <c r="C104" s="1">
        <f t="shared" si="19"/>
        <v>3.3906400000000003E-2</v>
      </c>
      <c r="D104" s="1">
        <f t="shared" si="20"/>
        <v>-0.14963112392727271</v>
      </c>
      <c r="E104" s="1">
        <f t="shared" si="21"/>
        <v>0.19265797954322547</v>
      </c>
      <c r="F104" s="1">
        <f t="shared" si="22"/>
        <v>9.0640000000000165E-4</v>
      </c>
      <c r="G104" s="9">
        <f t="shared" si="23"/>
        <v>0.19265797954322547</v>
      </c>
      <c r="H104" s="1">
        <f t="shared" si="24"/>
        <v>1.42316541792E-2</v>
      </c>
      <c r="I104" s="1">
        <f t="shared" si="25"/>
        <v>-0.88912531483590851</v>
      </c>
      <c r="J104" s="1">
        <f t="shared" si="26"/>
        <v>0.50380935574945762</v>
      </c>
      <c r="K104" s="3"/>
      <c r="L104" s="3">
        <f t="shared" si="27"/>
        <v>-0.19265797954322547</v>
      </c>
      <c r="M104" s="6">
        <v>3.3000000000000002E-2</v>
      </c>
      <c r="N104" s="4">
        <v>0.13400000000000001</v>
      </c>
      <c r="O104" s="5">
        <v>-0.12</v>
      </c>
      <c r="P104">
        <f t="shared" si="28"/>
        <v>-0.12</v>
      </c>
      <c r="Q104">
        <f t="shared" si="29"/>
        <v>-1.1166666666666667</v>
      </c>
      <c r="R104">
        <f t="shared" si="30"/>
        <v>-0.27500000000000002</v>
      </c>
      <c r="S104">
        <f t="shared" si="17"/>
        <v>3.9335000000000009E-2</v>
      </c>
      <c r="U104">
        <v>-0.12</v>
      </c>
      <c r="V104">
        <v>-0.11700000000000001</v>
      </c>
      <c r="W104" s="11">
        <f t="shared" si="31"/>
        <v>0.72778974194079638</v>
      </c>
      <c r="X104">
        <f t="shared" si="32"/>
        <v>9.7049809245082358E-2</v>
      </c>
      <c r="Y104" s="13">
        <f t="shared" si="33"/>
        <v>-0.29043820532974196</v>
      </c>
      <c r="Z104" s="13">
        <v>0.20956179467025801</v>
      </c>
    </row>
    <row r="105" spans="1:26" x14ac:dyDescent="0.25">
      <c r="A105" s="1">
        <v>1946</v>
      </c>
      <c r="B105" s="1">
        <f t="shared" si="18"/>
        <v>-6.8000000000000005E-2</v>
      </c>
      <c r="C105" s="1">
        <f t="shared" si="19"/>
        <v>-3.7211649999999999E-2</v>
      </c>
      <c r="D105" s="1">
        <f t="shared" si="20"/>
        <v>-2.6133206065000004E-2</v>
      </c>
      <c r="E105" s="1">
        <f t="shared" si="21"/>
        <v>0.61868914327930724</v>
      </c>
      <c r="F105" s="1">
        <f t="shared" si="22"/>
        <v>3.0788350000000006E-2</v>
      </c>
      <c r="G105" s="9">
        <f t="shared" si="23"/>
        <v>0.61868914327930724</v>
      </c>
      <c r="H105" s="1">
        <f t="shared" si="24"/>
        <v>3.5541160248400002E-3</v>
      </c>
      <c r="I105" s="1">
        <f t="shared" si="25"/>
        <v>7.6277025834231821E-2</v>
      </c>
      <c r="J105" s="1">
        <f t="shared" si="26"/>
        <v>1.1611012607243827</v>
      </c>
      <c r="K105" s="3"/>
      <c r="L105" s="3">
        <f t="shared" si="27"/>
        <v>0.61868914327930724</v>
      </c>
      <c r="M105" s="6">
        <v>-6.8000000000000005E-2</v>
      </c>
      <c r="N105" s="4">
        <v>-1.7000000000000001E-2</v>
      </c>
      <c r="O105" s="5">
        <v>-7.6999999999999999E-2</v>
      </c>
      <c r="P105">
        <f t="shared" si="28"/>
        <v>-7.6999999999999999E-2</v>
      </c>
      <c r="Q105">
        <f t="shared" si="29"/>
        <v>0.2207792207792208</v>
      </c>
      <c r="R105">
        <f t="shared" si="30"/>
        <v>0.88311688311688319</v>
      </c>
      <c r="S105">
        <f t="shared" si="17"/>
        <v>-1.3223636363636366</v>
      </c>
      <c r="U105">
        <v>-7.6999999999999999E-2</v>
      </c>
      <c r="V105">
        <v>-7.2583300000000003E-2</v>
      </c>
      <c r="W105" s="11">
        <f t="shared" si="31"/>
        <v>0.72568684164434671</v>
      </c>
      <c r="X105">
        <f t="shared" si="32"/>
        <v>-3.8764295255777056E-2</v>
      </c>
      <c r="Y105" s="13">
        <f t="shared" si="33"/>
        <v>-0.27877164456166703</v>
      </c>
      <c r="Z105" s="13">
        <v>0.221228355438333</v>
      </c>
    </row>
    <row r="106" spans="1:26" x14ac:dyDescent="0.25">
      <c r="A106" s="1">
        <v>1947</v>
      </c>
      <c r="B106" s="1">
        <f t="shared" si="18"/>
        <v>-3.7999999999999999E-2</v>
      </c>
      <c r="C106" s="1">
        <f t="shared" si="19"/>
        <v>-3.2779299999999997E-2</v>
      </c>
      <c r="D106" s="1">
        <f t="shared" si="20"/>
        <v>-1.7795514804210526E-2</v>
      </c>
      <c r="E106" s="1">
        <f t="shared" si="21"/>
        <v>13.310914950259212</v>
      </c>
      <c r="F106" s="1">
        <f t="shared" si="22"/>
        <v>5.2207000000000017E-3</v>
      </c>
      <c r="G106" s="9">
        <f t="shared" si="23"/>
        <v>13.310914950259212</v>
      </c>
      <c r="H106" s="1">
        <f t="shared" si="24"/>
        <v>1.3524591251199999E-3</v>
      </c>
      <c r="I106" s="1">
        <f t="shared" si="25"/>
        <v>0.42882325545580846</v>
      </c>
      <c r="J106" s="1">
        <f t="shared" si="26"/>
        <v>26.19300664506261</v>
      </c>
      <c r="K106" s="3"/>
      <c r="L106" s="3">
        <f t="shared" si="27"/>
        <v>13.310914950259212</v>
      </c>
      <c r="M106" s="6">
        <v>-3.7999999999999999E-2</v>
      </c>
      <c r="N106" s="4">
        <v>-5.6000000000000001E-2</v>
      </c>
      <c r="O106" s="5">
        <v>-2E-3</v>
      </c>
      <c r="P106">
        <f t="shared" si="28"/>
        <v>-2E-3</v>
      </c>
      <c r="Q106">
        <f t="shared" si="29"/>
        <v>28</v>
      </c>
      <c r="R106">
        <f t="shared" si="30"/>
        <v>19</v>
      </c>
      <c r="S106">
        <f t="shared" si="17"/>
        <v>-17.7301</v>
      </c>
      <c r="U106">
        <v>-2E-3</v>
      </c>
      <c r="V106">
        <v>-1.175E-2</v>
      </c>
      <c r="W106" s="11">
        <f t="shared" si="31"/>
        <v>0.72352771554142237</v>
      </c>
      <c r="X106">
        <f t="shared" si="32"/>
        <v>-5.5811949013869058E-2</v>
      </c>
      <c r="Y106" s="13">
        <f t="shared" si="33"/>
        <v>-0.25626860749149999</v>
      </c>
      <c r="Z106" s="13">
        <v>0.24373139250850001</v>
      </c>
    </row>
    <row r="107" spans="1:26" x14ac:dyDescent="0.25">
      <c r="A107" s="1">
        <v>1948</v>
      </c>
      <c r="B107" s="1">
        <f t="shared" si="18"/>
        <v>-3.5000000000000003E-2</v>
      </c>
      <c r="C107" s="1">
        <f t="shared" si="19"/>
        <v>-2.4986850000000001E-2</v>
      </c>
      <c r="D107" s="1">
        <f t="shared" si="20"/>
        <v>-4.8576819648000008E-2</v>
      </c>
      <c r="E107" s="1">
        <f t="shared" si="21"/>
        <v>3.5028723553313719</v>
      </c>
      <c r="F107" s="1">
        <f t="shared" si="22"/>
        <v>1.0013150000000002E-2</v>
      </c>
      <c r="G107" s="9">
        <f t="shared" si="23"/>
        <v>3.5028723553313719</v>
      </c>
      <c r="H107" s="1">
        <f t="shared" si="24"/>
        <v>1.4996226246400002E-3</v>
      </c>
      <c r="I107" s="1">
        <f t="shared" si="25"/>
        <v>0.37280182356181396</v>
      </c>
      <c r="J107" s="1">
        <f t="shared" si="26"/>
        <v>-7.378546534224558</v>
      </c>
      <c r="K107" s="3"/>
      <c r="L107" s="3">
        <f t="shared" si="27"/>
        <v>-3.5028723553313719</v>
      </c>
      <c r="M107" s="6">
        <v>-3.5000000000000003E-2</v>
      </c>
      <c r="N107" s="4">
        <v>-4.8000000000000001E-2</v>
      </c>
      <c r="O107" s="5">
        <v>7.0000000000000001E-3</v>
      </c>
      <c r="P107">
        <f t="shared" si="28"/>
        <v>7.0000000000000001E-3</v>
      </c>
      <c r="Q107">
        <f t="shared" si="29"/>
        <v>-6.8571428571428568</v>
      </c>
      <c r="R107">
        <f t="shared" si="30"/>
        <v>-5</v>
      </c>
      <c r="S107">
        <f t="shared" si="17"/>
        <v>5.3923571428571426</v>
      </c>
      <c r="U107">
        <v>7.0000000000000001E-3</v>
      </c>
      <c r="V107">
        <v>2.1666699999999999E-3</v>
      </c>
      <c r="W107" s="11">
        <f t="shared" si="31"/>
        <v>0.72132047731429338</v>
      </c>
      <c r="X107">
        <f t="shared" si="32"/>
        <v>-4.5488798201853343E-2</v>
      </c>
      <c r="Y107" s="13">
        <f t="shared" si="33"/>
        <v>-0.25919023196313501</v>
      </c>
      <c r="Z107" s="13">
        <v>0.24080976803686499</v>
      </c>
    </row>
    <row r="108" spans="1:26" x14ac:dyDescent="0.25">
      <c r="A108" s="1">
        <v>1949</v>
      </c>
      <c r="B108" s="1">
        <f t="shared" si="18"/>
        <v>-7.5999999999999998E-2</v>
      </c>
      <c r="C108" s="1">
        <f t="shared" si="19"/>
        <v>-7.1742399999999998E-2</v>
      </c>
      <c r="D108" s="1">
        <f t="shared" si="20"/>
        <v>-4.9411831084210517E-3</v>
      </c>
      <c r="E108" s="1">
        <f t="shared" si="21"/>
        <v>0.45899706725031764</v>
      </c>
      <c r="F108" s="1">
        <f t="shared" si="22"/>
        <v>4.2576000000000003E-3</v>
      </c>
      <c r="G108" s="9">
        <f t="shared" si="23"/>
        <v>0.45899706725031764</v>
      </c>
      <c r="H108" s="1">
        <f t="shared" si="24"/>
        <v>7.5105983247999997E-4</v>
      </c>
      <c r="I108" s="1">
        <f t="shared" si="25"/>
        <v>0.29348350479622326</v>
      </c>
      <c r="J108" s="1">
        <f t="shared" si="26"/>
        <v>0.62451062970441196</v>
      </c>
      <c r="K108" s="3"/>
      <c r="L108" s="3">
        <f t="shared" si="27"/>
        <v>0.45899706725031764</v>
      </c>
      <c r="M108" s="6">
        <v>-7.5999999999999998E-2</v>
      </c>
      <c r="N108" s="4">
        <v>-5.2999999999999999E-2</v>
      </c>
      <c r="O108" s="5">
        <v>-0.11600000000000001</v>
      </c>
      <c r="P108">
        <f t="shared" si="28"/>
        <v>-0.11600000000000001</v>
      </c>
      <c r="Q108">
        <f t="shared" si="29"/>
        <v>0.4568965517241379</v>
      </c>
      <c r="R108">
        <f t="shared" si="30"/>
        <v>0.65517241379310343</v>
      </c>
      <c r="S108">
        <f t="shared" si="17"/>
        <v>-0.69795775862068965</v>
      </c>
      <c r="U108">
        <v>-0.11600000000000001</v>
      </c>
      <c r="V108">
        <v>-0.112417</v>
      </c>
      <c r="W108" s="11">
        <f t="shared" si="31"/>
        <v>0.719073043204844</v>
      </c>
      <c r="X108">
        <f t="shared" si="32"/>
        <v>-8.5814774460525545E-2</v>
      </c>
      <c r="Y108" s="13">
        <f t="shared" si="33"/>
        <v>-0.27318015730463596</v>
      </c>
      <c r="Z108" s="13">
        <v>0.22681984269536401</v>
      </c>
    </row>
    <row r="109" spans="1:26" x14ac:dyDescent="0.25">
      <c r="A109" s="1">
        <v>1950</v>
      </c>
      <c r="B109" s="1">
        <f t="shared" si="18"/>
        <v>-0.17399999999999999</v>
      </c>
      <c r="C109" s="1">
        <f t="shared" si="19"/>
        <v>-0.15900409999999998</v>
      </c>
      <c r="D109" s="1">
        <f t="shared" si="20"/>
        <v>-2.6527030828965514E-2</v>
      </c>
      <c r="E109" s="1">
        <f t="shared" si="21"/>
        <v>0.38821642664182077</v>
      </c>
      <c r="F109" s="1">
        <f t="shared" si="22"/>
        <v>1.4995900000000006E-2</v>
      </c>
      <c r="G109" s="9">
        <f t="shared" si="23"/>
        <v>0.38821642664182077</v>
      </c>
      <c r="H109" s="1">
        <f t="shared" si="24"/>
        <v>9.2314067284799961E-3</v>
      </c>
      <c r="I109" s="1">
        <f t="shared" si="25"/>
        <v>0.17384909476620361</v>
      </c>
      <c r="J109" s="1">
        <f t="shared" si="26"/>
        <v>0.60258375851743795</v>
      </c>
      <c r="K109" s="3"/>
      <c r="L109" s="3">
        <f t="shared" si="27"/>
        <v>0.38821642664182077</v>
      </c>
      <c r="M109" s="6">
        <v>-0.17399999999999999</v>
      </c>
      <c r="N109" s="4">
        <v>-8.2000000000000003E-2</v>
      </c>
      <c r="O109" s="5">
        <v>-0.314</v>
      </c>
      <c r="P109">
        <f t="shared" si="28"/>
        <v>-0.314</v>
      </c>
      <c r="Q109">
        <f t="shared" si="29"/>
        <v>0.26114649681528662</v>
      </c>
      <c r="R109">
        <f t="shared" si="30"/>
        <v>0.55414012738853502</v>
      </c>
      <c r="S109">
        <f t="shared" si="17"/>
        <v>-0.63559999999999994</v>
      </c>
      <c r="U109">
        <v>-0.314</v>
      </c>
      <c r="V109">
        <v>-0.29958299999999999</v>
      </c>
      <c r="W109" s="11">
        <f t="shared" si="31"/>
        <v>0.71679310221225023</v>
      </c>
      <c r="X109">
        <f t="shared" si="32"/>
        <v>-0.17154435398694307</v>
      </c>
      <c r="Y109" s="13">
        <f t="shared" si="33"/>
        <v>-0.29590290166177102</v>
      </c>
      <c r="Z109" s="13">
        <v>0.204097098338229</v>
      </c>
    </row>
    <row r="110" spans="1:26" x14ac:dyDescent="0.25">
      <c r="A110" s="1">
        <v>1951</v>
      </c>
      <c r="B110" s="1">
        <f t="shared" si="18"/>
        <v>-4.8000000000000001E-2</v>
      </c>
      <c r="C110" s="1">
        <f t="shared" si="19"/>
        <v>-3.3394600000000003E-2</v>
      </c>
      <c r="D110" s="1">
        <f t="shared" si="20"/>
        <v>-2.74055385E-2</v>
      </c>
      <c r="E110" s="1">
        <f t="shared" si="21"/>
        <v>0.33627574611181166</v>
      </c>
      <c r="F110" s="1">
        <f t="shared" si="22"/>
        <v>1.4605399999999998E-2</v>
      </c>
      <c r="G110" s="9">
        <f t="shared" si="23"/>
        <v>0.33627574611181166</v>
      </c>
      <c r="H110" s="1">
        <f t="shared" si="24"/>
        <v>2.6309316960000002E-3</v>
      </c>
      <c r="I110" s="1">
        <f t="shared" si="25"/>
        <v>-2.3067175215932826E-2</v>
      </c>
      <c r="J110" s="1">
        <f t="shared" si="26"/>
        <v>0.69561866743955614</v>
      </c>
      <c r="K110" s="3"/>
      <c r="L110" s="3">
        <f t="shared" si="27"/>
        <v>0.33627574611181166</v>
      </c>
      <c r="M110" s="6">
        <v>-4.8000000000000001E-2</v>
      </c>
      <c r="N110" s="4">
        <v>4.0000000000000001E-3</v>
      </c>
      <c r="O110" s="5">
        <v>-0.1</v>
      </c>
      <c r="P110">
        <f t="shared" si="28"/>
        <v>-0.1</v>
      </c>
      <c r="Q110">
        <f t="shared" si="29"/>
        <v>-0.04</v>
      </c>
      <c r="R110">
        <f t="shared" si="30"/>
        <v>0.48</v>
      </c>
      <c r="S110">
        <f t="shared" si="17"/>
        <v>-0.70224799999999998</v>
      </c>
      <c r="U110">
        <v>-0.1</v>
      </c>
      <c r="V110">
        <v>-0.10066700000000001</v>
      </c>
      <c r="W110" s="11">
        <f t="shared" si="31"/>
        <v>0.71448810119181871</v>
      </c>
      <c r="X110">
        <f t="shared" si="32"/>
        <v>-2.4634412116537725E-2</v>
      </c>
      <c r="Y110" s="13">
        <f t="shared" si="33"/>
        <v>-0.25676155611001</v>
      </c>
      <c r="Z110" s="13">
        <v>0.24323844388999</v>
      </c>
    </row>
    <row r="111" spans="1:26" x14ac:dyDescent="0.25">
      <c r="A111" s="1">
        <v>1952</v>
      </c>
      <c r="B111" s="1">
        <f t="shared" si="18"/>
        <v>3.3000000000000002E-2</v>
      </c>
      <c r="C111" s="1">
        <f t="shared" si="19"/>
        <v>2.9118899999999996E-2</v>
      </c>
      <c r="D111" s="1">
        <f t="shared" si="20"/>
        <v>-1.298853553090909E-2</v>
      </c>
      <c r="E111" s="1">
        <f t="shared" si="21"/>
        <v>0.39860271629632849</v>
      </c>
      <c r="F111" s="1">
        <f t="shared" si="22"/>
        <v>3.8811000000000054E-3</v>
      </c>
      <c r="G111" s="9">
        <f t="shared" si="23"/>
        <v>0.39860271629632849</v>
      </c>
      <c r="H111" s="1">
        <f t="shared" si="24"/>
        <v>5.2132433450399994E-3</v>
      </c>
      <c r="I111" s="1">
        <f t="shared" si="25"/>
        <v>-1.2707308827017223</v>
      </c>
      <c r="J111" s="1">
        <f t="shared" si="26"/>
        <v>0.47352545010906527</v>
      </c>
      <c r="K111" s="3"/>
      <c r="L111" s="3">
        <f t="shared" si="27"/>
        <v>-0.39860271629632849</v>
      </c>
      <c r="M111" s="6">
        <v>3.3000000000000002E-2</v>
      </c>
      <c r="N111" s="4">
        <v>8.6999999999999994E-2</v>
      </c>
      <c r="O111" s="5">
        <v>-5.8000000000000003E-2</v>
      </c>
      <c r="P111">
        <f t="shared" si="28"/>
        <v>-5.8000000000000003E-2</v>
      </c>
      <c r="Q111">
        <f t="shared" si="29"/>
        <v>-1.4999999999999998</v>
      </c>
      <c r="R111">
        <f t="shared" si="30"/>
        <v>-0.56896551724137934</v>
      </c>
      <c r="S111">
        <f t="shared" si="17"/>
        <v>0.35368103448275878</v>
      </c>
      <c r="U111">
        <v>-5.8000000000000003E-2</v>
      </c>
      <c r="V111">
        <v>-6.5000000000000002E-2</v>
      </c>
      <c r="W111" s="11">
        <f t="shared" si="31"/>
        <v>0.7121651703491807</v>
      </c>
      <c r="X111">
        <f t="shared" si="32"/>
        <v>7.0582098890960648E-2</v>
      </c>
      <c r="Y111" s="13">
        <f t="shared" si="33"/>
        <v>-0.250575422506566</v>
      </c>
      <c r="Z111" s="13">
        <v>0.249424577493434</v>
      </c>
    </row>
    <row r="112" spans="1:26" x14ac:dyDescent="0.25">
      <c r="A112" s="1">
        <v>1953</v>
      </c>
      <c r="B112" s="1">
        <f t="shared" si="18"/>
        <v>0.10100000000000001</v>
      </c>
      <c r="C112" s="1">
        <f t="shared" si="19"/>
        <v>9.8638199999999995E-2</v>
      </c>
      <c r="D112" s="1">
        <f t="shared" si="20"/>
        <v>2.4313298455445609E-3</v>
      </c>
      <c r="E112" s="1">
        <f t="shared" si="21"/>
        <v>0.53604561801283113</v>
      </c>
      <c r="F112" s="1">
        <f t="shared" si="22"/>
        <v>2.3618000000000111E-3</v>
      </c>
      <c r="G112" s="9">
        <f t="shared" si="23"/>
        <v>0.53604561801283113</v>
      </c>
      <c r="H112" s="1">
        <f t="shared" si="24"/>
        <v>4.9112862880000205E-4</v>
      </c>
      <c r="I112" s="1">
        <f t="shared" si="25"/>
        <v>0.65366475857956341</v>
      </c>
      <c r="J112" s="1">
        <f t="shared" si="26"/>
        <v>0.41842647744609884</v>
      </c>
      <c r="K112" s="3"/>
      <c r="L112" s="3">
        <f t="shared" si="27"/>
        <v>0.53604561801283113</v>
      </c>
      <c r="M112" s="6">
        <v>0.10100000000000001</v>
      </c>
      <c r="N112" s="4">
        <v>0.09</v>
      </c>
      <c r="O112" s="5">
        <v>0.13200000000000001</v>
      </c>
      <c r="P112">
        <f t="shared" si="28"/>
        <v>0.13200000000000001</v>
      </c>
      <c r="Q112">
        <f t="shared" si="29"/>
        <v>0.68181818181818177</v>
      </c>
      <c r="R112">
        <f t="shared" si="30"/>
        <v>0.76515151515151514</v>
      </c>
      <c r="S112">
        <f t="shared" si="17"/>
        <v>-0.75738939393939397</v>
      </c>
      <c r="U112">
        <v>0.13200000000000001</v>
      </c>
      <c r="V112">
        <v>0.11749999999999999</v>
      </c>
      <c r="W112" s="11">
        <f t="shared" si="31"/>
        <v>0.70983115304261446</v>
      </c>
      <c r="X112">
        <f t="shared" si="32"/>
        <v>0.12828213387509438</v>
      </c>
      <c r="Y112" s="13">
        <f t="shared" si="33"/>
        <v>-0.21243072146800501</v>
      </c>
      <c r="Z112" s="13">
        <v>0.28756927853199499</v>
      </c>
    </row>
    <row r="113" spans="1:26" x14ac:dyDescent="0.25">
      <c r="A113" s="1">
        <v>1954</v>
      </c>
      <c r="B113" s="1">
        <f t="shared" si="18"/>
        <v>-0.128</v>
      </c>
      <c r="C113" s="1">
        <f t="shared" si="19"/>
        <v>-0.11014025</v>
      </c>
      <c r="D113" s="1">
        <f t="shared" si="20"/>
        <v>-1.6617252926406256E-2</v>
      </c>
      <c r="E113" s="1">
        <f t="shared" si="21"/>
        <v>0.58610151827766743</v>
      </c>
      <c r="F113" s="1">
        <f t="shared" si="22"/>
        <v>1.7859750000000008E-2</v>
      </c>
      <c r="G113" s="9">
        <f t="shared" si="23"/>
        <v>0.58610151827766743</v>
      </c>
      <c r="H113" s="1">
        <f t="shared" si="24"/>
        <v>4.2540167491600007E-3</v>
      </c>
      <c r="I113" s="1">
        <f t="shared" si="25"/>
        <v>0.28745154892830954</v>
      </c>
      <c r="J113" s="1">
        <f t="shared" si="26"/>
        <v>0.88475148762702527</v>
      </c>
      <c r="K113" s="3"/>
      <c r="L113" s="3">
        <f t="shared" si="27"/>
        <v>0.58610151827766743</v>
      </c>
      <c r="M113" s="6">
        <v>-0.128</v>
      </c>
      <c r="N113" s="4">
        <v>-9.7000000000000003E-2</v>
      </c>
      <c r="O113" s="5">
        <v>-0.153</v>
      </c>
      <c r="P113">
        <f t="shared" si="28"/>
        <v>-0.153</v>
      </c>
      <c r="Q113">
        <f t="shared" si="29"/>
        <v>0.63398692810457524</v>
      </c>
      <c r="R113">
        <f t="shared" si="30"/>
        <v>0.83660130718954251</v>
      </c>
      <c r="S113">
        <f t="shared" si="17"/>
        <v>-0.93442614379084965</v>
      </c>
      <c r="U113">
        <v>-0.153</v>
      </c>
      <c r="V113">
        <v>-0.151</v>
      </c>
      <c r="W113" s="11">
        <f t="shared" si="31"/>
        <v>0.70749252382665873</v>
      </c>
      <c r="X113">
        <f t="shared" si="32"/>
        <v>-0.14165496933082111</v>
      </c>
      <c r="Y113" s="13">
        <f t="shared" si="33"/>
        <v>-0.24797719395909501</v>
      </c>
      <c r="Z113" s="13">
        <v>0.25202280604090499</v>
      </c>
    </row>
    <row r="114" spans="1:26" x14ac:dyDescent="0.25">
      <c r="A114" s="1">
        <v>1955</v>
      </c>
      <c r="B114" s="1">
        <f t="shared" si="18"/>
        <v>-0.185</v>
      </c>
      <c r="C114" s="1">
        <f t="shared" si="19"/>
        <v>-0.16020584999999998</v>
      </c>
      <c r="D114" s="1">
        <f t="shared" si="20"/>
        <v>-2.4864900891027025E-2</v>
      </c>
      <c r="E114" s="1">
        <f t="shared" si="21"/>
        <v>0.68574749813365476</v>
      </c>
      <c r="F114" s="1">
        <f t="shared" si="22"/>
        <v>2.4794150000000015E-2</v>
      </c>
      <c r="G114" s="9">
        <f t="shared" si="23"/>
        <v>0.68574749813365476</v>
      </c>
      <c r="H114" s="1">
        <f t="shared" si="24"/>
        <v>9.2000133296799985E-3</v>
      </c>
      <c r="I114" s="1">
        <f t="shared" si="25"/>
        <v>0.33020891964006938</v>
      </c>
      <c r="J114" s="1">
        <f t="shared" si="26"/>
        <v>1.0412860766272403</v>
      </c>
      <c r="K114" s="3"/>
      <c r="L114" s="3">
        <f t="shared" si="27"/>
        <v>0.68574749813365476</v>
      </c>
      <c r="M114" s="6">
        <v>-0.185</v>
      </c>
      <c r="N114" s="4">
        <v>-0.16200000000000001</v>
      </c>
      <c r="O114" s="5">
        <v>-0.189</v>
      </c>
      <c r="P114">
        <f t="shared" si="28"/>
        <v>-0.189</v>
      </c>
      <c r="Q114">
        <f t="shared" si="29"/>
        <v>0.85714285714285721</v>
      </c>
      <c r="R114">
        <f t="shared" si="30"/>
        <v>0.97883597883597884</v>
      </c>
      <c r="S114">
        <f t="shared" si="17"/>
        <v>-1.0596291005291005</v>
      </c>
      <c r="U114">
        <v>-0.189</v>
      </c>
      <c r="V114">
        <v>-0.184</v>
      </c>
      <c r="W114" s="11">
        <f t="shared" si="31"/>
        <v>0.70515540707856417</v>
      </c>
      <c r="X114">
        <f t="shared" si="32"/>
        <v>-0.21807370565716061</v>
      </c>
      <c r="Y114" s="13">
        <f t="shared" si="33"/>
        <v>-0.23089254542153298</v>
      </c>
      <c r="Z114" s="13">
        <v>0.26910745457846702</v>
      </c>
    </row>
    <row r="115" spans="1:26" x14ac:dyDescent="0.25">
      <c r="A115" s="1">
        <v>1956</v>
      </c>
      <c r="B115" s="1">
        <f t="shared" si="18"/>
        <v>-0.26200000000000001</v>
      </c>
      <c r="C115" s="1">
        <f t="shared" si="19"/>
        <v>-0.24570875000000003</v>
      </c>
      <c r="D115" s="1">
        <f t="shared" si="20"/>
        <v>-2.2437151844961811E-2</v>
      </c>
      <c r="E115" s="1">
        <f t="shared" si="21"/>
        <v>0.42986068248094583</v>
      </c>
      <c r="F115" s="1">
        <f t="shared" si="22"/>
        <v>1.6291249999999979E-2</v>
      </c>
      <c r="G115" s="9">
        <f t="shared" si="23"/>
        <v>0.42986068248094583</v>
      </c>
      <c r="H115" s="1">
        <f t="shared" si="24"/>
        <v>1.175706756676001E-2</v>
      </c>
      <c r="I115" s="1">
        <f t="shared" si="25"/>
        <v>0.25196068596388449</v>
      </c>
      <c r="J115" s="1">
        <f t="shared" si="26"/>
        <v>0.60776067899800723</v>
      </c>
      <c r="K115" s="3"/>
      <c r="L115" s="3">
        <f t="shared" si="27"/>
        <v>0.42986068248094583</v>
      </c>
      <c r="M115" s="6">
        <v>-0.26200000000000001</v>
      </c>
      <c r="N115" s="4">
        <v>-0.16300000000000001</v>
      </c>
      <c r="O115" s="5">
        <v>-0.42699999999999999</v>
      </c>
      <c r="P115">
        <f t="shared" si="28"/>
        <v>-0.42699999999999999</v>
      </c>
      <c r="Q115">
        <f t="shared" si="29"/>
        <v>0.38173302107728341</v>
      </c>
      <c r="R115">
        <f t="shared" si="30"/>
        <v>0.61358313817330212</v>
      </c>
      <c r="S115">
        <f t="shared" si="17"/>
        <v>-0.66842341920374704</v>
      </c>
      <c r="U115">
        <v>-0.42699999999999999</v>
      </c>
      <c r="V115">
        <v>-0.41108299999999998</v>
      </c>
      <c r="W115" s="11">
        <f t="shared" si="31"/>
        <v>0.70282551366835833</v>
      </c>
      <c r="X115">
        <f t="shared" si="32"/>
        <v>-0.28777212180709966</v>
      </c>
      <c r="Y115" s="13">
        <f t="shared" si="33"/>
        <v>-0.27004392174505099</v>
      </c>
      <c r="Z115" s="13">
        <v>0.22995607825494899</v>
      </c>
    </row>
    <row r="116" spans="1:26" x14ac:dyDescent="0.25">
      <c r="A116" s="1">
        <v>1957</v>
      </c>
      <c r="B116" s="1">
        <f t="shared" si="18"/>
        <v>-1E-3</v>
      </c>
      <c r="C116" s="1">
        <f t="shared" si="19"/>
        <v>4.9367999999999981E-3</v>
      </c>
      <c r="D116" s="1">
        <f t="shared" si="20"/>
        <v>-1.4177489021599998</v>
      </c>
      <c r="E116" s="1">
        <f t="shared" si="21"/>
        <v>1.0302565750974622E-2</v>
      </c>
      <c r="F116" s="1">
        <f t="shared" si="22"/>
        <v>5.9367999999999982E-3</v>
      </c>
      <c r="G116" s="9">
        <f t="shared" si="23"/>
        <v>1.0302565750974622E-2</v>
      </c>
      <c r="H116" s="1">
        <f t="shared" si="24"/>
        <v>2.8354978043200001E-3</v>
      </c>
      <c r="I116" s="1">
        <f t="shared" si="25"/>
        <v>-0.53830280194101643</v>
      </c>
      <c r="J116" s="1">
        <f t="shared" si="26"/>
        <v>0.55890793344296563</v>
      </c>
      <c r="K116" s="3"/>
      <c r="L116" s="3">
        <f t="shared" si="27"/>
        <v>1.0302565750974622E-2</v>
      </c>
      <c r="M116" s="6">
        <v>-1E-3</v>
      </c>
      <c r="N116" s="4">
        <v>5.0999999999999997E-2</v>
      </c>
      <c r="O116" s="5">
        <v>-6.8000000000000005E-2</v>
      </c>
      <c r="P116">
        <f t="shared" si="28"/>
        <v>-6.8000000000000005E-2</v>
      </c>
      <c r="Q116">
        <f t="shared" si="29"/>
        <v>-0.74999999999999989</v>
      </c>
      <c r="R116">
        <f t="shared" si="30"/>
        <v>1.4705882352941176E-2</v>
      </c>
      <c r="S116">
        <f t="shared" si="17"/>
        <v>-0.27838676470588231</v>
      </c>
      <c r="U116">
        <v>-6.8000000000000005E-2</v>
      </c>
      <c r="V116">
        <v>-7.0749999999999993E-2</v>
      </c>
      <c r="W116" s="11">
        <f t="shared" si="31"/>
        <v>0.70050814840942621</v>
      </c>
      <c r="X116">
        <f t="shared" si="32"/>
        <v>3.2492023419266269E-2</v>
      </c>
      <c r="Y116" s="13">
        <f t="shared" si="33"/>
        <v>-0.20729024415282199</v>
      </c>
      <c r="Z116" s="13">
        <v>0.29270975584717801</v>
      </c>
    </row>
    <row r="117" spans="1:26" x14ac:dyDescent="0.25">
      <c r="A117" s="1">
        <v>1958</v>
      </c>
      <c r="B117" s="1">
        <f t="shared" si="18"/>
        <v>4.9000000000000002E-2</v>
      </c>
      <c r="C117" s="1">
        <f t="shared" si="19"/>
        <v>6.5725149999999996E-2</v>
      </c>
      <c r="D117" s="1">
        <f t="shared" si="20"/>
        <v>-1.0803619111428568E-2</v>
      </c>
      <c r="E117" s="7">
        <f t="shared" si="21"/>
        <v>0.67310096239700878</v>
      </c>
      <c r="F117" s="1">
        <f t="shared" si="22"/>
        <v>1.6725149999999994E-2</v>
      </c>
      <c r="G117" s="9">
        <f t="shared" si="23"/>
        <v>0.67310096239700878</v>
      </c>
      <c r="H117" s="1">
        <f t="shared" si="24"/>
        <v>-1.0587546729199991E-3</v>
      </c>
      <c r="I117" s="1" t="e">
        <f t="shared" si="25"/>
        <v>#NUM!</v>
      </c>
      <c r="J117" s="1" t="e">
        <f t="shared" si="26"/>
        <v>#NUM!</v>
      </c>
      <c r="K117" s="3"/>
      <c r="L117" s="3">
        <f t="shared" si="27"/>
        <v>0.67310096239700878</v>
      </c>
      <c r="M117" s="6">
        <v>4.9000000000000002E-2</v>
      </c>
      <c r="N117" s="4">
        <v>8.3000000000000004E-2</v>
      </c>
      <c r="O117" s="5">
        <v>5.0999999999999997E-2</v>
      </c>
      <c r="P117">
        <f t="shared" si="28"/>
        <v>5.0999999999999997E-2</v>
      </c>
      <c r="Q117">
        <f t="shared" si="29"/>
        <v>1.6274509803921571</v>
      </c>
      <c r="R117">
        <f t="shared" si="30"/>
        <v>0.96078431372549034</v>
      </c>
      <c r="S117">
        <f t="shared" si="17"/>
        <v>-0.4737568627450981</v>
      </c>
      <c r="U117">
        <v>5.0999999999999997E-2</v>
      </c>
      <c r="V117">
        <v>4.0750000000000001E-2</v>
      </c>
      <c r="W117" s="11">
        <f t="shared" si="31"/>
        <v>0.69820815790444613</v>
      </c>
      <c r="X117">
        <f t="shared" si="32"/>
        <v>9.9442903939132063E-2</v>
      </c>
      <c r="Y117" s="13">
        <f t="shared" si="33"/>
        <v>-0.19634656888110802</v>
      </c>
      <c r="Z117" s="13">
        <v>0.30365343111889198</v>
      </c>
    </row>
    <row r="118" spans="1:26" x14ac:dyDescent="0.25">
      <c r="A118" s="1">
        <v>1959</v>
      </c>
      <c r="B118" s="1">
        <f t="shared" si="18"/>
        <v>1.7000000000000001E-2</v>
      </c>
      <c r="C118" s="1">
        <f t="shared" si="19"/>
        <v>3.0256749999999999E-2</v>
      </c>
      <c r="D118" s="1">
        <f t="shared" si="20"/>
        <v>-1.0226455234117648E-2</v>
      </c>
      <c r="E118" s="7">
        <f t="shared" si="21"/>
        <v>0.62682978990140337</v>
      </c>
      <c r="F118" s="1">
        <f t="shared" si="22"/>
        <v>1.3256749999999998E-2</v>
      </c>
      <c r="G118" s="9">
        <f t="shared" si="23"/>
        <v>0.62682978990140337</v>
      </c>
      <c r="H118" s="1">
        <f t="shared" si="24"/>
        <v>-3.476994779599999E-4</v>
      </c>
      <c r="I118" s="1" t="e">
        <f t="shared" si="25"/>
        <v>#NUM!</v>
      </c>
      <c r="J118" s="1" t="e">
        <f t="shared" si="26"/>
        <v>#NUM!</v>
      </c>
      <c r="K118" s="3"/>
      <c r="L118" s="3">
        <f t="shared" si="27"/>
        <v>0.62682978990140337</v>
      </c>
      <c r="M118" s="6">
        <v>1.7000000000000001E-2</v>
      </c>
      <c r="N118" s="4">
        <v>4.1000000000000002E-2</v>
      </c>
      <c r="O118" s="5">
        <v>1.9E-2</v>
      </c>
      <c r="P118">
        <f t="shared" si="28"/>
        <v>1.9E-2</v>
      </c>
      <c r="Q118">
        <f t="shared" si="29"/>
        <v>2.1578947368421053</v>
      </c>
      <c r="R118">
        <f t="shared" si="30"/>
        <v>0.89473684210526327</v>
      </c>
      <c r="S118">
        <f t="shared" si="17"/>
        <v>3.6915789473684013E-2</v>
      </c>
      <c r="U118">
        <v>1.9E-2</v>
      </c>
      <c r="V118">
        <v>1.55E-2</v>
      </c>
      <c r="W118" s="11">
        <f t="shared" si="31"/>
        <v>0.69592991564422846</v>
      </c>
      <c r="X118">
        <f t="shared" si="32"/>
        <v>4.7486606365437944E-2</v>
      </c>
      <c r="Y118" s="13">
        <f t="shared" si="33"/>
        <v>-0.18371469156629799</v>
      </c>
      <c r="Z118" s="13">
        <v>0.31628530843370201</v>
      </c>
    </row>
    <row r="119" spans="1:26" x14ac:dyDescent="0.25">
      <c r="A119" s="1">
        <v>1960</v>
      </c>
      <c r="B119" s="1">
        <f t="shared" si="18"/>
        <v>-0.05</v>
      </c>
      <c r="C119" s="1">
        <f t="shared" si="19"/>
        <v>-2.8265799999999997E-2</v>
      </c>
      <c r="D119" s="1">
        <f t="shared" si="20"/>
        <v>-2.3757659555200001E-2</v>
      </c>
      <c r="E119" s="1">
        <f t="shared" si="21"/>
        <v>0.46090425728044371</v>
      </c>
      <c r="F119" s="1">
        <f t="shared" si="22"/>
        <v>2.1734200000000006E-2</v>
      </c>
      <c r="G119" s="9">
        <f t="shared" si="23"/>
        <v>0.46090425728044371</v>
      </c>
      <c r="H119" s="1">
        <f t="shared" si="24"/>
        <v>2.3757659555200005E-3</v>
      </c>
      <c r="I119" s="1">
        <f t="shared" si="25"/>
        <v>1.1597921613466719E-2</v>
      </c>
      <c r="J119" s="1">
        <f t="shared" si="26"/>
        <v>0.91021059294742068</v>
      </c>
      <c r="K119" s="3"/>
      <c r="L119" s="3">
        <f t="shared" si="27"/>
        <v>0.46090425728044371</v>
      </c>
      <c r="M119" s="6">
        <v>-0.05</v>
      </c>
      <c r="N119" s="4">
        <v>-2E-3</v>
      </c>
      <c r="O119" s="5">
        <v>-7.5999999999999998E-2</v>
      </c>
      <c r="P119">
        <f t="shared" si="28"/>
        <v>-7.5999999999999998E-2</v>
      </c>
      <c r="Q119">
        <f t="shared" si="29"/>
        <v>2.6315789473684213E-2</v>
      </c>
      <c r="R119">
        <f t="shared" si="30"/>
        <v>0.65789473684210531</v>
      </c>
      <c r="S119">
        <f t="shared" si="17"/>
        <v>-1.0107078947368422</v>
      </c>
      <c r="U119">
        <v>-7.5999999999999998E-2</v>
      </c>
      <c r="V119">
        <v>-7.2666700000000001E-2</v>
      </c>
      <c r="W119" s="11">
        <f t="shared" si="31"/>
        <v>0.69367724750190973</v>
      </c>
      <c r="X119">
        <f t="shared" si="32"/>
        <v>-2.3816529304428527E-2</v>
      </c>
      <c r="Y119" s="13">
        <f t="shared" si="33"/>
        <v>-0.20211075387052302</v>
      </c>
      <c r="Z119" s="13">
        <v>0.29788924612947698</v>
      </c>
    </row>
    <row r="120" spans="1:26" x14ac:dyDescent="0.25">
      <c r="A120" s="1">
        <v>1961</v>
      </c>
      <c r="B120" s="1">
        <f t="shared" si="18"/>
        <v>3.9E-2</v>
      </c>
      <c r="C120" s="1">
        <f t="shared" si="19"/>
        <v>4.5692349999999993E-2</v>
      </c>
      <c r="D120" s="1">
        <f t="shared" si="20"/>
        <v>-4.3806838200000017E-3</v>
      </c>
      <c r="E120" s="7">
        <f t="shared" si="21"/>
        <v>0.63540475282755116</v>
      </c>
      <c r="F120" s="1">
        <f t="shared" si="22"/>
        <v>6.6923499999999927E-3</v>
      </c>
      <c r="G120" s="9">
        <f t="shared" si="23"/>
        <v>0.63540475282755116</v>
      </c>
      <c r="H120" s="1">
        <f t="shared" si="24"/>
        <v>-3.4169333795999973E-4</v>
      </c>
      <c r="I120" s="1" t="e">
        <f t="shared" si="25"/>
        <v>#NUM!</v>
      </c>
      <c r="J120" s="1" t="e">
        <f t="shared" si="26"/>
        <v>#NUM!</v>
      </c>
      <c r="K120" s="3"/>
      <c r="L120" s="3">
        <f t="shared" si="27"/>
        <v>0.63540475282755116</v>
      </c>
      <c r="M120" s="6">
        <v>3.9E-2</v>
      </c>
      <c r="N120" s="4">
        <v>5.2999999999999999E-2</v>
      </c>
      <c r="O120" s="5">
        <v>4.2999999999999997E-2</v>
      </c>
      <c r="P120">
        <f t="shared" si="28"/>
        <v>4.2999999999999997E-2</v>
      </c>
      <c r="Q120">
        <f t="shared" si="29"/>
        <v>1.2325581395348837</v>
      </c>
      <c r="R120">
        <f t="shared" si="30"/>
        <v>0.90697674418604657</v>
      </c>
      <c r="S120">
        <f t="shared" si="17"/>
        <v>-0.64797674418604667</v>
      </c>
      <c r="U120">
        <v>4.2999999999999997E-2</v>
      </c>
      <c r="V120">
        <v>4.2250000000000003E-2</v>
      </c>
      <c r="W120" s="11">
        <f t="shared" si="31"/>
        <v>0.69145351368933916</v>
      </c>
      <c r="X120">
        <f t="shared" si="32"/>
        <v>6.701609601263428E-2</v>
      </c>
      <c r="Y120" s="13">
        <f t="shared" si="33"/>
        <v>-0.15616340507113102</v>
      </c>
      <c r="Z120" s="13">
        <v>0.34383659492886898</v>
      </c>
    </row>
    <row r="121" spans="1:26" x14ac:dyDescent="0.25">
      <c r="A121" s="1">
        <v>1962</v>
      </c>
      <c r="B121" s="1">
        <f t="shared" si="18"/>
        <v>1.7999999999999999E-2</v>
      </c>
      <c r="C121" s="1">
        <f t="shared" si="19"/>
        <v>1.6431500000000002E-2</v>
      </c>
      <c r="D121" s="1">
        <f t="shared" si="20"/>
        <v>2.1889229999999989E-3</v>
      </c>
      <c r="E121" s="1">
        <f t="shared" si="21"/>
        <v>0.42034468263976454</v>
      </c>
      <c r="F121" s="1">
        <f t="shared" si="22"/>
        <v>1.568499999999997E-3</v>
      </c>
      <c r="G121" s="9">
        <f t="shared" si="23"/>
        <v>0.42034468263976454</v>
      </c>
      <c r="H121" s="1">
        <f t="shared" si="24"/>
        <v>7.8801227999999936E-5</v>
      </c>
      <c r="I121" s="1">
        <f t="shared" si="25"/>
        <v>0.62764479884653734</v>
      </c>
      <c r="J121" s="1">
        <f t="shared" si="26"/>
        <v>0.21304456643299183</v>
      </c>
      <c r="K121" s="3"/>
      <c r="L121" s="3">
        <f t="shared" si="27"/>
        <v>0.42034468263976454</v>
      </c>
      <c r="M121" s="6">
        <v>1.7999999999999999E-2</v>
      </c>
      <c r="N121" s="4">
        <v>0.01</v>
      </c>
      <c r="O121" s="5">
        <v>0.03</v>
      </c>
      <c r="P121">
        <f t="shared" si="28"/>
        <v>0.03</v>
      </c>
      <c r="Q121">
        <f t="shared" si="29"/>
        <v>0.33333333333333337</v>
      </c>
      <c r="R121">
        <f t="shared" si="30"/>
        <v>0.6</v>
      </c>
      <c r="S121">
        <f t="shared" si="17"/>
        <v>-0.67579999999999996</v>
      </c>
      <c r="U121">
        <v>0.03</v>
      </c>
      <c r="V121">
        <v>2.54167E-2</v>
      </c>
      <c r="W121" s="11">
        <f t="shared" si="31"/>
        <v>0.68926143739372492</v>
      </c>
      <c r="X121">
        <f t="shared" si="32"/>
        <v>1.8943561582593152E-2</v>
      </c>
      <c r="Y121" s="13">
        <f t="shared" si="33"/>
        <v>-0.168833856052097</v>
      </c>
      <c r="Z121" s="13">
        <v>0.331166143947903</v>
      </c>
    </row>
    <row r="122" spans="1:26" x14ac:dyDescent="0.25">
      <c r="A122" s="1">
        <v>1963</v>
      </c>
      <c r="B122" s="1">
        <f t="shared" si="18"/>
        <v>0.05</v>
      </c>
      <c r="C122" s="1">
        <f t="shared" si="19"/>
        <v>4.2347799999999998E-2</v>
      </c>
      <c r="D122" s="1">
        <f t="shared" si="20"/>
        <v>1.3426617961600003E-2</v>
      </c>
      <c r="E122" s="1">
        <f t="shared" si="21"/>
        <v>1.4595301480547382</v>
      </c>
      <c r="F122" s="1">
        <f t="shared" si="22"/>
        <v>7.6522000000000048E-3</v>
      </c>
      <c r="G122" s="9">
        <f t="shared" si="23"/>
        <v>1.4595301480547382</v>
      </c>
      <c r="H122" s="1">
        <f t="shared" si="24"/>
        <v>1.3426617961600008E-3</v>
      </c>
      <c r="I122" s="1">
        <f t="shared" si="25"/>
        <v>2.5291424315504156</v>
      </c>
      <c r="J122" s="1">
        <f t="shared" si="26"/>
        <v>0.38991786455906063</v>
      </c>
      <c r="K122" s="3"/>
      <c r="L122" s="3">
        <f t="shared" si="27"/>
        <v>1.4595301480547382</v>
      </c>
      <c r="M122" s="6">
        <v>0.05</v>
      </c>
      <c r="N122" s="4">
        <v>5.8999999999999997E-2</v>
      </c>
      <c r="O122" s="5">
        <v>2.4E-2</v>
      </c>
      <c r="P122">
        <f t="shared" si="28"/>
        <v>2.4E-2</v>
      </c>
      <c r="Q122">
        <f t="shared" si="29"/>
        <v>2.458333333333333</v>
      </c>
      <c r="R122">
        <f t="shared" si="30"/>
        <v>2.0833333333333335</v>
      </c>
      <c r="S122">
        <f t="shared" si="17"/>
        <v>-2.1258541666666675</v>
      </c>
      <c r="U122">
        <v>2.4E-2</v>
      </c>
      <c r="V122">
        <v>1.7500000000000002E-2</v>
      </c>
      <c r="W122" s="11">
        <f t="shared" si="31"/>
        <v>0.68710322398692369</v>
      </c>
      <c r="X122">
        <f t="shared" si="32"/>
        <v>6.8155005009189376E-2</v>
      </c>
      <c r="Y122" s="13">
        <f t="shared" si="33"/>
        <v>-0.13247393411721398</v>
      </c>
      <c r="Z122" s="13">
        <v>0.36752606588278602</v>
      </c>
    </row>
    <row r="123" spans="1:26" x14ac:dyDescent="0.25">
      <c r="A123" s="1">
        <v>1964</v>
      </c>
      <c r="B123" s="1">
        <f t="shared" si="18"/>
        <v>-0.224</v>
      </c>
      <c r="C123" s="1">
        <f t="shared" si="19"/>
        <v>-0.1923724</v>
      </c>
      <c r="D123" s="1">
        <f t="shared" si="20"/>
        <v>-3.0449515562500001E-2</v>
      </c>
      <c r="E123" s="1">
        <f t="shared" si="21"/>
        <v>0.52309560506281816</v>
      </c>
      <c r="F123" s="1">
        <f t="shared" si="22"/>
        <v>3.1627600000000006E-2</v>
      </c>
      <c r="G123" s="9">
        <f t="shared" si="23"/>
        <v>0.52309560506281816</v>
      </c>
      <c r="H123" s="1">
        <f t="shared" si="24"/>
        <v>1.3641382972000009E-2</v>
      </c>
      <c r="I123" s="1">
        <f t="shared" si="25"/>
        <v>0.25034717865085265</v>
      </c>
      <c r="J123" s="1">
        <f t="shared" si="26"/>
        <v>0.79584403147478378</v>
      </c>
      <c r="K123" s="3"/>
      <c r="L123" s="3">
        <f t="shared" si="27"/>
        <v>0.52309560506281816</v>
      </c>
      <c r="M123" s="6">
        <v>-0.224</v>
      </c>
      <c r="N123" s="4">
        <v>-0.14899999999999999</v>
      </c>
      <c r="O123" s="5">
        <v>-0.3</v>
      </c>
      <c r="P123">
        <f t="shared" si="28"/>
        <v>-0.3</v>
      </c>
      <c r="Q123">
        <f t="shared" si="29"/>
        <v>0.49666666666666665</v>
      </c>
      <c r="R123">
        <f t="shared" si="30"/>
        <v>0.7466666666666667</v>
      </c>
      <c r="S123">
        <f t="shared" si="17"/>
        <v>-0.85256233333333342</v>
      </c>
      <c r="U123">
        <v>-0.3</v>
      </c>
      <c r="V123">
        <v>-0.28925000000000001</v>
      </c>
      <c r="W123" s="11">
        <f t="shared" si="31"/>
        <v>0.68498040456324816</v>
      </c>
      <c r="X123">
        <f t="shared" si="32"/>
        <v>-0.24113721479850872</v>
      </c>
      <c r="Y123" s="13">
        <f t="shared" si="33"/>
        <v>-0.18478657518355002</v>
      </c>
      <c r="Z123" s="13">
        <v>0.31521342481644998</v>
      </c>
    </row>
    <row r="124" spans="1:26" x14ac:dyDescent="0.25">
      <c r="A124" s="1">
        <v>1965</v>
      </c>
      <c r="B124" s="1">
        <f t="shared" si="18"/>
        <v>-0.14099999999999999</v>
      </c>
      <c r="C124" s="1">
        <f t="shared" si="19"/>
        <v>-0.1459163</v>
      </c>
      <c r="D124" s="1">
        <f t="shared" si="20"/>
        <v>3.4248212604255646E-3</v>
      </c>
      <c r="E124" s="7">
        <f t="shared" si="21"/>
        <v>0.42214102743737036</v>
      </c>
      <c r="F124" s="1">
        <f t="shared" si="22"/>
        <v>4.9163000000000123E-3</v>
      </c>
      <c r="G124" s="9">
        <f t="shared" si="23"/>
        <v>0.42214102743737036</v>
      </c>
      <c r="H124" s="1">
        <f t="shared" si="24"/>
        <v>-9.6579959544000268E-4</v>
      </c>
      <c r="I124" s="1" t="e">
        <f t="shared" si="25"/>
        <v>#NUM!</v>
      </c>
      <c r="J124" s="1" t="e">
        <f t="shared" si="26"/>
        <v>#NUM!</v>
      </c>
      <c r="K124" s="3"/>
      <c r="L124" s="3">
        <f t="shared" si="27"/>
        <v>0.42214102743737036</v>
      </c>
      <c r="M124" s="6">
        <v>-0.14099999999999999</v>
      </c>
      <c r="N124" s="4">
        <v>-0.109</v>
      </c>
      <c r="O124" s="5">
        <v>-0.23400000000000001</v>
      </c>
      <c r="P124">
        <f t="shared" si="28"/>
        <v>-0.23400000000000001</v>
      </c>
      <c r="Q124">
        <f t="shared" si="29"/>
        <v>0.46581196581196577</v>
      </c>
      <c r="R124">
        <f t="shared" si="30"/>
        <v>0.60256410256410242</v>
      </c>
      <c r="S124">
        <f t="shared" si="17"/>
        <v>-0.58637820512820493</v>
      </c>
      <c r="U124">
        <v>-0.23400000000000001</v>
      </c>
      <c r="V124">
        <v>-0.22916700000000001</v>
      </c>
      <c r="W124" s="11">
        <f t="shared" si="31"/>
        <v>0.68289388809353113</v>
      </c>
      <c r="X124">
        <f t="shared" si="32"/>
        <v>-0.18091131268229305</v>
      </c>
      <c r="Y124" s="13">
        <f t="shared" si="33"/>
        <v>-0.15011188578410101</v>
      </c>
      <c r="Z124" s="13">
        <v>0.34988811421589899</v>
      </c>
    </row>
    <row r="125" spans="1:26" x14ac:dyDescent="0.25">
      <c r="A125" s="1">
        <v>1966</v>
      </c>
      <c r="B125" s="1">
        <f t="shared" si="18"/>
        <v>-7.2999999999999995E-2</v>
      </c>
      <c r="C125" s="1">
        <f t="shared" si="19"/>
        <v>-5.3029549999999995E-2</v>
      </c>
      <c r="D125" s="1">
        <f t="shared" si="20"/>
        <v>-3.5677072614520543E-2</v>
      </c>
      <c r="E125" s="1">
        <f t="shared" si="21"/>
        <v>0.34790432916896619</v>
      </c>
      <c r="F125" s="1">
        <f t="shared" si="22"/>
        <v>1.9970450000000001E-2</v>
      </c>
      <c r="G125" s="9">
        <f t="shared" si="23"/>
        <v>0.34790432916896619</v>
      </c>
      <c r="H125" s="1">
        <f t="shared" si="24"/>
        <v>5.2088526017199993E-3</v>
      </c>
      <c r="I125" s="1">
        <f t="shared" si="25"/>
        <v>3.9442764211801845E-3</v>
      </c>
      <c r="J125" s="1">
        <f t="shared" si="26"/>
        <v>0.69186438191675215</v>
      </c>
      <c r="K125" s="3"/>
      <c r="L125" s="3">
        <f t="shared" si="27"/>
        <v>0.34790432916896619</v>
      </c>
      <c r="M125" s="6">
        <v>-7.2999999999999995E-2</v>
      </c>
      <c r="N125" s="4">
        <v>-1E-3</v>
      </c>
      <c r="O125" s="5">
        <v>-0.14699999999999999</v>
      </c>
      <c r="P125">
        <f t="shared" si="28"/>
        <v>-0.14699999999999999</v>
      </c>
      <c r="Q125">
        <f t="shared" si="29"/>
        <v>6.8027210884353748E-3</v>
      </c>
      <c r="R125">
        <f t="shared" si="30"/>
        <v>0.49659863945578231</v>
      </c>
      <c r="S125">
        <f t="shared" si="17"/>
        <v>-0.70204217687074832</v>
      </c>
      <c r="U125">
        <v>-0.14699999999999999</v>
      </c>
      <c r="V125">
        <v>-0.15024999999999999</v>
      </c>
      <c r="W125" s="11">
        <f t="shared" si="31"/>
        <v>0.68084390182048082</v>
      </c>
      <c r="X125">
        <f t="shared" si="32"/>
        <v>-4.3134357901835743E-2</v>
      </c>
      <c r="Y125" s="13">
        <f t="shared" si="33"/>
        <v>-0.13148478978093597</v>
      </c>
      <c r="Z125" s="13">
        <v>0.36851521021906403</v>
      </c>
    </row>
    <row r="126" spans="1:26" x14ac:dyDescent="0.25">
      <c r="A126" s="1">
        <v>1967</v>
      </c>
      <c r="B126" s="1">
        <f t="shared" si="18"/>
        <v>-7.5999999999999998E-2</v>
      </c>
      <c r="C126" s="1">
        <f t="shared" si="19"/>
        <v>-6.5966350000000007E-2</v>
      </c>
      <c r="D126" s="1">
        <f t="shared" si="20"/>
        <v>-9.393476599999992E-3</v>
      </c>
      <c r="E126" s="1">
        <f t="shared" si="21"/>
        <v>0.56045957685301939</v>
      </c>
      <c r="F126" s="1">
        <f t="shared" si="22"/>
        <v>1.0033649999999991E-2</v>
      </c>
      <c r="G126" s="9">
        <f t="shared" si="23"/>
        <v>0.56045957685301939</v>
      </c>
      <c r="H126" s="1">
        <f t="shared" si="24"/>
        <v>1.4278084432000002E-3</v>
      </c>
      <c r="I126" s="1">
        <f t="shared" si="25"/>
        <v>0.28180532432807243</v>
      </c>
      <c r="J126" s="1">
        <f t="shared" si="26"/>
        <v>0.83911382937796652</v>
      </c>
      <c r="K126" s="3"/>
      <c r="L126" s="3">
        <f t="shared" si="27"/>
        <v>0.56045957685301939</v>
      </c>
      <c r="M126" s="6">
        <v>-7.5999999999999998E-2</v>
      </c>
      <c r="N126" s="4">
        <v>-5.6000000000000001E-2</v>
      </c>
      <c r="O126" s="5">
        <v>-9.5000000000000001E-2</v>
      </c>
      <c r="P126">
        <f t="shared" si="28"/>
        <v>-9.5000000000000001E-2</v>
      </c>
      <c r="Q126">
        <f t="shared" si="29"/>
        <v>0.58947368421052637</v>
      </c>
      <c r="R126">
        <f t="shared" si="30"/>
        <v>0.79999999999999993</v>
      </c>
      <c r="S126">
        <f t="shared" si="17"/>
        <v>-0.89299263157894715</v>
      </c>
      <c r="U126">
        <v>-9.5000000000000001E-2</v>
      </c>
      <c r="V126">
        <v>-9.5833299999999996E-2</v>
      </c>
      <c r="W126" s="11">
        <f t="shared" si="31"/>
        <v>0.67883000615984201</v>
      </c>
      <c r="X126">
        <f t="shared" si="32"/>
        <v>-8.6075095962655557E-2</v>
      </c>
      <c r="Y126" s="13">
        <f t="shared" si="33"/>
        <v>-0.10405663048996799</v>
      </c>
      <c r="Z126" s="13">
        <v>0.39594336951003201</v>
      </c>
    </row>
    <row r="127" spans="1:26" x14ac:dyDescent="0.25">
      <c r="A127" s="1">
        <v>1968</v>
      </c>
      <c r="B127" s="1">
        <f t="shared" si="18"/>
        <v>-0.113</v>
      </c>
      <c r="C127" s="1">
        <f t="shared" si="19"/>
        <v>-0.10742739999999999</v>
      </c>
      <c r="D127" s="1">
        <f t="shared" si="20"/>
        <v>-1.5098295842831858E-2</v>
      </c>
      <c r="E127" s="1">
        <f t="shared" si="21"/>
        <v>0.36650423717818986</v>
      </c>
      <c r="F127" s="1">
        <f t="shared" si="22"/>
        <v>5.5726000000000109E-3</v>
      </c>
      <c r="G127" s="9">
        <f t="shared" si="23"/>
        <v>0.36650423717818986</v>
      </c>
      <c r="H127" s="1">
        <f t="shared" si="24"/>
        <v>3.4122148604800017E-3</v>
      </c>
      <c r="I127" s="1">
        <f t="shared" si="25"/>
        <v>0.17704370998368135</v>
      </c>
      <c r="J127" s="1">
        <f t="shared" si="26"/>
        <v>0.55596476437269826</v>
      </c>
      <c r="K127" s="3"/>
      <c r="L127" s="3">
        <f t="shared" si="27"/>
        <v>0.36650423717818986</v>
      </c>
      <c r="M127" s="6">
        <v>-0.113</v>
      </c>
      <c r="N127" s="4">
        <v>-5.2999999999999999E-2</v>
      </c>
      <c r="O127" s="5">
        <v>-0.216</v>
      </c>
      <c r="P127">
        <f t="shared" si="28"/>
        <v>-0.216</v>
      </c>
      <c r="Q127">
        <f t="shared" si="29"/>
        <v>0.24537037037037038</v>
      </c>
      <c r="R127">
        <f t="shared" si="30"/>
        <v>0.52314814814814814</v>
      </c>
      <c r="S127">
        <f t="shared" si="17"/>
        <v>-0.58487546296296289</v>
      </c>
      <c r="U127">
        <v>-0.216</v>
      </c>
      <c r="V127">
        <v>-0.21066699999999999</v>
      </c>
      <c r="W127" s="11">
        <f t="shared" si="31"/>
        <v>0.67685096431523561</v>
      </c>
      <c r="X127">
        <f t="shared" si="32"/>
        <v>-0.11772621938219494</v>
      </c>
      <c r="Y127" s="13">
        <f t="shared" si="33"/>
        <v>-0.11740308429359197</v>
      </c>
      <c r="Z127" s="13">
        <v>0.38259691570640803</v>
      </c>
    </row>
    <row r="128" spans="1:26" x14ac:dyDescent="0.25">
      <c r="A128" s="1">
        <v>1969</v>
      </c>
      <c r="B128" s="1">
        <f t="shared" si="18"/>
        <v>2.9000000000000001E-2</v>
      </c>
      <c r="C128" s="1">
        <f t="shared" si="19"/>
        <v>1.9599599999999995E-2</v>
      </c>
      <c r="D128" s="1">
        <f t="shared" si="20"/>
        <v>-0.16212876327724138</v>
      </c>
      <c r="E128" s="1">
        <f t="shared" si="21"/>
        <v>0.15872390360095279</v>
      </c>
      <c r="F128" s="1">
        <f t="shared" si="22"/>
        <v>9.4004000000000067E-3</v>
      </c>
      <c r="G128" s="9">
        <f t="shared" si="23"/>
        <v>0.15872390360095279</v>
      </c>
      <c r="H128" s="1">
        <f t="shared" si="24"/>
        <v>1.2767468270079999E-2</v>
      </c>
      <c r="I128" s="1">
        <f t="shared" si="25"/>
        <v>-0.77716270749437411</v>
      </c>
      <c r="J128" s="1">
        <f t="shared" si="26"/>
        <v>0.45971490029246859</v>
      </c>
      <c r="K128" s="3"/>
      <c r="L128" s="3">
        <f t="shared" si="27"/>
        <v>-0.15872390360095279</v>
      </c>
      <c r="M128" s="6">
        <v>2.9000000000000001E-2</v>
      </c>
      <c r="N128" s="4">
        <v>0.114</v>
      </c>
      <c r="O128" s="5">
        <v>-0.128</v>
      </c>
      <c r="P128">
        <f t="shared" si="28"/>
        <v>-0.128</v>
      </c>
      <c r="Q128">
        <f t="shared" si="29"/>
        <v>-0.890625</v>
      </c>
      <c r="R128">
        <f t="shared" si="30"/>
        <v>-0.2265625</v>
      </c>
      <c r="S128">
        <f t="shared" si="17"/>
        <v>0.10378593749999998</v>
      </c>
      <c r="U128">
        <v>-0.128</v>
      </c>
      <c r="V128">
        <v>-0.13783300000000001</v>
      </c>
      <c r="W128" s="11">
        <f t="shared" si="31"/>
        <v>0.67490488011389971</v>
      </c>
      <c r="X128">
        <f t="shared" si="32"/>
        <v>8.3906588128147858E-2</v>
      </c>
      <c r="Y128" s="13">
        <f t="shared" si="33"/>
        <v>-9.6711278899433983E-2</v>
      </c>
      <c r="Z128" s="13">
        <v>0.40328872110056602</v>
      </c>
    </row>
    <row r="129" spans="1:26" x14ac:dyDescent="0.25">
      <c r="A129" s="1">
        <v>1970</v>
      </c>
      <c r="B129" s="1">
        <f t="shared" si="18"/>
        <v>-2.9000000000000001E-2</v>
      </c>
      <c r="C129" s="1">
        <f t="shared" si="19"/>
        <v>-2.7850699999999999E-2</v>
      </c>
      <c r="D129" s="1">
        <f t="shared" si="20"/>
        <v>-5.7630322620689685E-3</v>
      </c>
      <c r="E129" s="1">
        <f t="shared" si="21"/>
        <v>0.32768805904712833</v>
      </c>
      <c r="F129" s="1">
        <f t="shared" si="22"/>
        <v>1.1493000000000024E-3</v>
      </c>
      <c r="G129" s="9">
        <f t="shared" si="23"/>
        <v>0.32768805904712833</v>
      </c>
      <c r="H129" s="1">
        <f t="shared" si="24"/>
        <v>3.3425587120000004E-4</v>
      </c>
      <c r="I129" s="1">
        <f t="shared" si="25"/>
        <v>0.12110146276694631</v>
      </c>
      <c r="J129" s="1">
        <f t="shared" si="26"/>
        <v>0.53427465532731033</v>
      </c>
      <c r="K129" s="3"/>
      <c r="L129" s="3">
        <f t="shared" si="27"/>
        <v>0.32768805904712833</v>
      </c>
      <c r="M129" s="6">
        <v>-2.9000000000000001E-2</v>
      </c>
      <c r="N129" s="4">
        <v>-0.01</v>
      </c>
      <c r="O129" s="5">
        <v>-6.2E-2</v>
      </c>
      <c r="P129">
        <f t="shared" si="28"/>
        <v>-6.2E-2</v>
      </c>
      <c r="Q129">
        <f t="shared" si="29"/>
        <v>0.16129032258064516</v>
      </c>
      <c r="R129">
        <f t="shared" si="30"/>
        <v>0.467741935483871</v>
      </c>
      <c r="S129">
        <f t="shared" si="17"/>
        <v>-0.53407096774193552</v>
      </c>
      <c r="U129">
        <v>-6.2E-2</v>
      </c>
      <c r="V129">
        <v>-6.6500000000000004E-2</v>
      </c>
      <c r="W129" s="11">
        <f t="shared" si="31"/>
        <v>0.67298896703869104</v>
      </c>
      <c r="X129">
        <f t="shared" si="32"/>
        <v>-2.835552868316173E-2</v>
      </c>
      <c r="Y129" s="13">
        <f t="shared" si="33"/>
        <v>-6.5932586912830993E-2</v>
      </c>
      <c r="Z129" s="13">
        <v>0.43406741308716901</v>
      </c>
    </row>
    <row r="130" spans="1:26" x14ac:dyDescent="0.25">
      <c r="A130" s="1">
        <v>1971</v>
      </c>
      <c r="B130" s="1">
        <f t="shared" si="18"/>
        <v>-0.184</v>
      </c>
      <c r="C130" s="1">
        <f t="shared" si="19"/>
        <v>-0.1808777</v>
      </c>
      <c r="D130" s="1">
        <f t="shared" si="20"/>
        <v>-6.7578906760869528E-3</v>
      </c>
      <c r="E130" s="7">
        <f t="shared" si="21"/>
        <v>0.63814704295145774</v>
      </c>
      <c r="F130" s="1">
        <f t="shared" si="22"/>
        <v>3.1222999999999945E-3</v>
      </c>
      <c r="G130" s="9">
        <f t="shared" si="23"/>
        <v>0.63814704295145774</v>
      </c>
      <c r="H130" s="1">
        <f t="shared" si="24"/>
        <v>2.4869037687999945E-3</v>
      </c>
      <c r="I130" s="1">
        <f t="shared" si="25"/>
        <v>0.46519231904708747</v>
      </c>
      <c r="J130" s="1">
        <f t="shared" si="26"/>
        <v>0.81110176685582813</v>
      </c>
      <c r="K130" s="3"/>
      <c r="L130" s="3">
        <f t="shared" si="27"/>
        <v>0.63814704295145774</v>
      </c>
      <c r="M130" s="6">
        <v>-0.184</v>
      </c>
      <c r="N130" s="4">
        <v>-0.19</v>
      </c>
      <c r="O130" s="5">
        <v>-0.20200000000000001</v>
      </c>
      <c r="P130">
        <f t="shared" si="28"/>
        <v>-0.20200000000000001</v>
      </c>
      <c r="Q130">
        <f t="shared" si="29"/>
        <v>0.94059405940594054</v>
      </c>
      <c r="R130">
        <f t="shared" si="30"/>
        <v>0.91089108910891081</v>
      </c>
      <c r="S130">
        <f t="shared" si="17"/>
        <v>-0.86418019801980184</v>
      </c>
      <c r="U130">
        <v>-0.20200000000000001</v>
      </c>
      <c r="V130">
        <v>-0.19375000000000001</v>
      </c>
      <c r="W130" s="11">
        <f t="shared" si="31"/>
        <v>0.67109971959143877</v>
      </c>
      <c r="X130">
        <f t="shared" si="32"/>
        <v>-0.25989348013649333</v>
      </c>
      <c r="Y130" s="13">
        <f t="shared" si="33"/>
        <v>-6.4472826067501987E-2</v>
      </c>
      <c r="Z130" s="13">
        <v>0.43552717393249801</v>
      </c>
    </row>
    <row r="131" spans="1:26" x14ac:dyDescent="0.25">
      <c r="A131" s="1">
        <v>1972</v>
      </c>
      <c r="B131" s="1">
        <f t="shared" si="18"/>
        <v>-6.9000000000000006E-2</v>
      </c>
      <c r="C131" s="1">
        <f t="shared" si="19"/>
        <v>-8.2780999999999993E-2</v>
      </c>
      <c r="D131" s="1">
        <f t="shared" si="20"/>
        <v>-4.1607210782608699E-2</v>
      </c>
      <c r="E131" s="1">
        <f t="shared" si="21"/>
        <v>0.20141516043155389</v>
      </c>
      <c r="F131" s="1">
        <f t="shared" si="22"/>
        <v>1.3780999999999988E-2</v>
      </c>
      <c r="G131" s="9">
        <f t="shared" si="23"/>
        <v>0.20141516043155389</v>
      </c>
      <c r="H131" s="1">
        <f t="shared" si="24"/>
        <v>5.7417950880000006E-3</v>
      </c>
      <c r="I131" s="1">
        <f t="shared" si="25"/>
        <v>-1.9775563784969308E-2</v>
      </c>
      <c r="J131" s="1">
        <f t="shared" si="26"/>
        <v>0.42260588464807713</v>
      </c>
      <c r="K131" s="3"/>
      <c r="L131" s="3">
        <f t="shared" si="27"/>
        <v>0.20141516043155389</v>
      </c>
      <c r="M131" s="6">
        <v>-6.9000000000000006E-2</v>
      </c>
      <c r="N131" s="4">
        <v>5.0000000000000001E-3</v>
      </c>
      <c r="O131" s="5">
        <v>-0.24</v>
      </c>
      <c r="P131">
        <f t="shared" si="28"/>
        <v>-0.24</v>
      </c>
      <c r="Q131">
        <f t="shared" si="29"/>
        <v>-2.0833333333333336E-2</v>
      </c>
      <c r="R131">
        <f t="shared" si="30"/>
        <v>0.28750000000000003</v>
      </c>
      <c r="S131">
        <f t="shared" si="17"/>
        <v>-0.30356875000000005</v>
      </c>
      <c r="U131">
        <v>-0.24</v>
      </c>
      <c r="V131">
        <v>-0.23408300000000001</v>
      </c>
      <c r="W131" s="11">
        <f t="shared" si="31"/>
        <v>0.6692327419295907</v>
      </c>
      <c r="X131">
        <f t="shared" si="32"/>
        <v>-6.3379774338549258E-2</v>
      </c>
      <c r="Y131" s="13">
        <f t="shared" si="33"/>
        <v>-6.0197291891745996E-2</v>
      </c>
      <c r="Z131" s="13">
        <v>0.439802708108254</v>
      </c>
    </row>
    <row r="132" spans="1:26" x14ac:dyDescent="0.25">
      <c r="A132" s="1">
        <v>1973</v>
      </c>
      <c r="B132" s="1">
        <f t="shared" si="18"/>
        <v>6.3E-2</v>
      </c>
      <c r="C132" s="1">
        <f t="shared" si="19"/>
        <v>5.8191150000000004E-2</v>
      </c>
      <c r="D132" s="1">
        <f t="shared" si="20"/>
        <v>1.7975147099999998E-2</v>
      </c>
      <c r="E132" s="1">
        <f t="shared" si="21"/>
        <v>0.31752655882859915</v>
      </c>
      <c r="F132" s="1">
        <f t="shared" si="22"/>
        <v>4.8088499999999965E-3</v>
      </c>
      <c r="G132" s="9">
        <f t="shared" si="23"/>
        <v>0.31752655882859915</v>
      </c>
      <c r="H132" s="1">
        <f t="shared" si="24"/>
        <v>2.2648685346000003E-3</v>
      </c>
      <c r="I132" s="1">
        <f t="shared" si="25"/>
        <v>0.55738831354278062</v>
      </c>
      <c r="J132" s="1">
        <f t="shared" si="26"/>
        <v>7.766480411441766E-2</v>
      </c>
      <c r="K132" s="3"/>
      <c r="L132" s="3">
        <f t="shared" si="27"/>
        <v>0.31752655882859915</v>
      </c>
      <c r="M132" s="6">
        <v>6.3E-2</v>
      </c>
      <c r="N132" s="4">
        <v>1.4999999999999999E-2</v>
      </c>
      <c r="O132" s="5">
        <v>0.13900000000000001</v>
      </c>
      <c r="P132">
        <f t="shared" si="28"/>
        <v>0.13900000000000001</v>
      </c>
      <c r="Q132">
        <f t="shared" si="29"/>
        <v>0.10791366906474818</v>
      </c>
      <c r="R132">
        <f t="shared" si="30"/>
        <v>0.4532374100719424</v>
      </c>
      <c r="S132">
        <f t="shared" si="17"/>
        <v>-0.54315683453237407</v>
      </c>
      <c r="U132">
        <v>0.13900000000000001</v>
      </c>
      <c r="V132">
        <v>0.122417</v>
      </c>
      <c r="W132" s="11">
        <f t="shared" si="31"/>
        <v>0.66738278511911631</v>
      </c>
      <c r="X132">
        <f t="shared" si="32"/>
        <v>5.5836719095344593E-2</v>
      </c>
      <c r="Y132" s="13">
        <f t="shared" si="33"/>
        <v>1.7840579678051971E-2</v>
      </c>
      <c r="Z132" s="13">
        <v>0.51784057967805197</v>
      </c>
    </row>
    <row r="133" spans="1:26" x14ac:dyDescent="0.25">
      <c r="A133" s="1">
        <v>1974</v>
      </c>
      <c r="B133" s="1">
        <f t="shared" si="18"/>
        <v>-0.21099999999999999</v>
      </c>
      <c r="C133" s="1">
        <f t="shared" si="19"/>
        <v>-0.19303605000000001</v>
      </c>
      <c r="D133" s="1">
        <f t="shared" si="20"/>
        <v>-1.7333029233933622E-2</v>
      </c>
      <c r="E133" s="1">
        <f t="shared" si="21"/>
        <v>0.52605414019567209</v>
      </c>
      <c r="F133" s="1">
        <f t="shared" si="22"/>
        <v>1.7963949999999979E-2</v>
      </c>
      <c r="G133" s="9">
        <f t="shared" si="23"/>
        <v>0.52605414019567209</v>
      </c>
      <c r="H133" s="1">
        <f t="shared" si="24"/>
        <v>7.3145383367199945E-3</v>
      </c>
      <c r="I133" s="1">
        <f t="shared" si="25"/>
        <v>0.31282750780534252</v>
      </c>
      <c r="J133" s="1">
        <f t="shared" si="26"/>
        <v>0.73928077258600178</v>
      </c>
      <c r="K133" s="3"/>
      <c r="L133" s="3">
        <f t="shared" si="27"/>
        <v>0.52605414019567209</v>
      </c>
      <c r="M133" s="6">
        <v>-0.21099999999999999</v>
      </c>
      <c r="N133" s="4">
        <v>-0.16200000000000001</v>
      </c>
      <c r="O133" s="5">
        <v>-0.28100000000000003</v>
      </c>
      <c r="P133">
        <f t="shared" si="28"/>
        <v>-0.28100000000000003</v>
      </c>
      <c r="Q133">
        <f t="shared" si="29"/>
        <v>0.57651245551601416</v>
      </c>
      <c r="R133">
        <f t="shared" si="30"/>
        <v>0.7508896797153024</v>
      </c>
      <c r="S133">
        <f t="shared" si="17"/>
        <v>-0.8040224199288255</v>
      </c>
      <c r="U133">
        <v>-0.28100000000000003</v>
      </c>
      <c r="V133">
        <v>-0.27274999999999999</v>
      </c>
      <c r="W133" s="11">
        <f t="shared" si="31"/>
        <v>0.66554370988160372</v>
      </c>
      <c r="X133">
        <f t="shared" si="32"/>
        <v>-0.25417202298130204</v>
      </c>
      <c r="Y133" s="13">
        <f t="shared" si="33"/>
        <v>-2.7159713015963982E-2</v>
      </c>
      <c r="Z133" s="13">
        <v>0.47284028698403602</v>
      </c>
    </row>
    <row r="134" spans="1:26" x14ac:dyDescent="0.25">
      <c r="A134" s="1">
        <v>1975</v>
      </c>
      <c r="B134" s="1">
        <f t="shared" si="18"/>
        <v>-0.14499999999999999</v>
      </c>
      <c r="C134" s="1">
        <f t="shared" si="19"/>
        <v>-0.12913445000000001</v>
      </c>
      <c r="D134" s="1">
        <f t="shared" si="20"/>
        <v>-4.1976980451034471E-2</v>
      </c>
      <c r="E134" s="1">
        <f t="shared" si="21"/>
        <v>1.7821631281510486</v>
      </c>
      <c r="F134" s="1">
        <f t="shared" si="22"/>
        <v>1.5865549999999978E-2</v>
      </c>
      <c r="G134" s="9">
        <f t="shared" si="23"/>
        <v>1.7821631281510486</v>
      </c>
      <c r="H134" s="1">
        <f t="shared" si="24"/>
        <v>1.2173324330799999E-2</v>
      </c>
      <c r="I134" s="1">
        <f t="shared" si="25"/>
        <v>0.42608707021797593</v>
      </c>
      <c r="J134" s="1">
        <f t="shared" si="26"/>
        <v>3.1382391860841214</v>
      </c>
      <c r="K134" s="3"/>
      <c r="L134" s="3">
        <f t="shared" si="27"/>
        <v>1.7821631281510486</v>
      </c>
      <c r="M134" s="6">
        <v>-0.14499999999999999</v>
      </c>
      <c r="N134" s="4">
        <v>-0.19</v>
      </c>
      <c r="O134" s="5">
        <v>-5.7000000000000002E-2</v>
      </c>
      <c r="P134">
        <f t="shared" si="28"/>
        <v>-5.7000000000000002E-2</v>
      </c>
      <c r="Q134">
        <f t="shared" si="29"/>
        <v>3.333333333333333</v>
      </c>
      <c r="R134">
        <f t="shared" si="30"/>
        <v>2.5438596491228069</v>
      </c>
      <c r="S134">
        <f t="shared" si="17"/>
        <v>-2.4224192982456136</v>
      </c>
      <c r="U134">
        <v>-5.7000000000000002E-2</v>
      </c>
      <c r="V134">
        <v>-5.3833300000000001E-2</v>
      </c>
      <c r="W134" s="11">
        <f t="shared" si="31"/>
        <v>0.66370844934135675</v>
      </c>
      <c r="X134">
        <f t="shared" si="32"/>
        <v>-0.22063019493116764</v>
      </c>
      <c r="Y134" s="13">
        <f t="shared" si="33"/>
        <v>2.2789824078841003E-2</v>
      </c>
      <c r="Z134" s="13">
        <v>0.522789824078841</v>
      </c>
    </row>
    <row r="135" spans="1:26" x14ac:dyDescent="0.25">
      <c r="A135" s="1">
        <v>1976</v>
      </c>
      <c r="B135" s="1">
        <f t="shared" si="18"/>
        <v>-0.23799999999999999</v>
      </c>
      <c r="C135" s="1">
        <f t="shared" si="19"/>
        <v>-0.22939289999999998</v>
      </c>
      <c r="D135" s="1">
        <f t="shared" si="20"/>
        <v>-9.5877748470588331E-3</v>
      </c>
      <c r="E135" s="1">
        <f t="shared" si="21"/>
        <v>0.47100769523664776</v>
      </c>
      <c r="F135" s="1">
        <f t="shared" si="22"/>
        <v>8.6071000000000064E-3</v>
      </c>
      <c r="G135" s="9">
        <f t="shared" si="23"/>
        <v>0.47100769523664776</v>
      </c>
      <c r="H135" s="1">
        <f t="shared" si="24"/>
        <v>4.5637808271999994E-3</v>
      </c>
      <c r="I135" s="1">
        <f t="shared" si="25"/>
        <v>0.33731322788793344</v>
      </c>
      <c r="J135" s="1">
        <f t="shared" si="26"/>
        <v>0.60470216258536202</v>
      </c>
      <c r="K135" s="3"/>
      <c r="L135" s="3">
        <f t="shared" si="27"/>
        <v>0.47100769523664776</v>
      </c>
      <c r="M135" s="6">
        <v>-0.23799999999999999</v>
      </c>
      <c r="N135" s="4">
        <v>-0.18</v>
      </c>
      <c r="O135" s="5">
        <v>-0.35399999999999998</v>
      </c>
      <c r="P135">
        <f t="shared" si="28"/>
        <v>-0.35399999999999998</v>
      </c>
      <c r="Q135">
        <f t="shared" si="29"/>
        <v>0.50847457627118642</v>
      </c>
      <c r="R135">
        <f t="shared" si="30"/>
        <v>0.67231638418079098</v>
      </c>
      <c r="S135">
        <f t="shared" si="17"/>
        <v>-0.69543446327683622</v>
      </c>
      <c r="U135">
        <v>-0.35399999999999998</v>
      </c>
      <c r="V135">
        <v>-0.341333</v>
      </c>
      <c r="W135" s="11">
        <f t="shared" si="31"/>
        <v>0.66186899412423372</v>
      </c>
      <c r="X135">
        <f t="shared" si="32"/>
        <v>-0.29544601222335781</v>
      </c>
      <c r="Y135" s="13">
        <f t="shared" si="33"/>
        <v>-5.0467372764099738E-3</v>
      </c>
      <c r="Z135" s="13">
        <v>0.49495326272359003</v>
      </c>
    </row>
    <row r="136" spans="1:26" x14ac:dyDescent="0.25">
      <c r="A136" s="1">
        <v>1977</v>
      </c>
      <c r="B136" s="1">
        <f t="shared" si="18"/>
        <v>4.5999999999999999E-2</v>
      </c>
      <c r="C136" s="1">
        <f t="shared" si="19"/>
        <v>3.3195250000000003E-2</v>
      </c>
      <c r="D136" s="1">
        <f t="shared" si="20"/>
        <v>1.9224294271739131E-2</v>
      </c>
      <c r="E136" s="1">
        <f t="shared" si="21"/>
        <v>0.37913441963586608</v>
      </c>
      <c r="F136" s="1">
        <f t="shared" si="22"/>
        <v>1.2804749999999997E-2</v>
      </c>
      <c r="G136" s="9">
        <f t="shared" si="23"/>
        <v>0.37913441963586608</v>
      </c>
      <c r="H136" s="1">
        <f t="shared" si="24"/>
        <v>1.7686350729999999E-3</v>
      </c>
      <c r="I136" s="1">
        <f t="shared" si="25"/>
        <v>0.72575512235945228</v>
      </c>
      <c r="J136" s="1">
        <f t="shared" si="26"/>
        <v>3.2513716912279889E-2</v>
      </c>
      <c r="K136" s="3"/>
      <c r="L136" s="3">
        <f t="shared" si="27"/>
        <v>0.37913441963586608</v>
      </c>
      <c r="M136" s="6">
        <v>4.5999999999999999E-2</v>
      </c>
      <c r="N136" s="4">
        <v>5.0000000000000001E-3</v>
      </c>
      <c r="O136" s="5">
        <v>8.5000000000000006E-2</v>
      </c>
      <c r="P136">
        <f t="shared" si="28"/>
        <v>8.5000000000000006E-2</v>
      </c>
      <c r="Q136">
        <f t="shared" si="29"/>
        <v>5.8823529411764705E-2</v>
      </c>
      <c r="R136">
        <f t="shared" si="30"/>
        <v>0.54117647058823526</v>
      </c>
      <c r="S136">
        <f t="shared" si="17"/>
        <v>-0.75407058823529405</v>
      </c>
      <c r="U136">
        <v>8.5000000000000006E-2</v>
      </c>
      <c r="V136">
        <v>7.5499999999999998E-2</v>
      </c>
      <c r="W136" s="11">
        <f t="shared" si="31"/>
        <v>0.66001637745648623</v>
      </c>
      <c r="X136">
        <f t="shared" si="32"/>
        <v>2.9742184018587504E-2</v>
      </c>
      <c r="Y136" s="13">
        <f t="shared" si="33"/>
        <v>6.8620632446191987E-2</v>
      </c>
      <c r="Z136" s="13">
        <v>0.56862063244619199</v>
      </c>
    </row>
    <row r="137" spans="1:26" x14ac:dyDescent="0.25">
      <c r="A137" s="1">
        <v>1978</v>
      </c>
      <c r="B137" s="1">
        <f t="shared" si="18"/>
        <v>-6.2E-2</v>
      </c>
      <c r="C137" s="1">
        <f t="shared" si="19"/>
        <v>-5.370055E-2</v>
      </c>
      <c r="D137" s="1">
        <f t="shared" si="20"/>
        <v>-1.0158104380000005E-2</v>
      </c>
      <c r="E137" s="1">
        <f t="shared" si="21"/>
        <v>0.85167876874723547</v>
      </c>
      <c r="F137" s="1">
        <f t="shared" si="22"/>
        <v>8.2994499999999999E-3</v>
      </c>
      <c r="G137" s="9">
        <f t="shared" si="23"/>
        <v>0.85167876874723547</v>
      </c>
      <c r="H137" s="1">
        <f t="shared" si="24"/>
        <v>1.2596049431200002E-3</v>
      </c>
      <c r="I137" s="1">
        <f t="shared" si="25"/>
        <v>0.36414880848823766</v>
      </c>
      <c r="J137" s="1">
        <f t="shared" si="26"/>
        <v>1.3392087290062333</v>
      </c>
      <c r="K137" s="3"/>
      <c r="L137" s="3">
        <f t="shared" si="27"/>
        <v>0.85167876874723547</v>
      </c>
      <c r="M137" s="6">
        <v>-6.2E-2</v>
      </c>
      <c r="N137" s="4">
        <v>-6.2E-2</v>
      </c>
      <c r="O137" s="5">
        <v>-5.0999999999999997E-2</v>
      </c>
      <c r="P137">
        <f t="shared" si="28"/>
        <v>-5.0999999999999997E-2</v>
      </c>
      <c r="Q137">
        <f t="shared" si="29"/>
        <v>1.215686274509804</v>
      </c>
      <c r="R137">
        <f t="shared" si="30"/>
        <v>1.215686274509804</v>
      </c>
      <c r="S137">
        <f t="shared" si="17"/>
        <v>-1.2774372549019608</v>
      </c>
      <c r="U137">
        <v>-5.0999999999999997E-2</v>
      </c>
      <c r="V137">
        <v>-4.9000000000000002E-2</v>
      </c>
      <c r="W137" s="11">
        <f t="shared" si="31"/>
        <v>0.6581405783072114</v>
      </c>
      <c r="X137">
        <f t="shared" si="32"/>
        <v>-8.1835264077724679E-2</v>
      </c>
      <c r="Y137" s="13">
        <f t="shared" si="33"/>
        <v>6.547330568617904E-2</v>
      </c>
      <c r="Z137" s="13">
        <v>0.56547330568617904</v>
      </c>
    </row>
    <row r="138" spans="1:26" x14ac:dyDescent="0.25">
      <c r="A138" s="1">
        <v>1979</v>
      </c>
      <c r="B138" s="1">
        <f t="shared" si="18"/>
        <v>5.8000000000000003E-2</v>
      </c>
      <c r="C138" s="1">
        <f t="shared" si="19"/>
        <v>4.8563550000000004E-2</v>
      </c>
      <c r="D138" s="1">
        <f t="shared" si="20"/>
        <v>1.3463698498275861E-2</v>
      </c>
      <c r="E138" s="1">
        <f t="shared" si="21"/>
        <v>1.1609519806241118</v>
      </c>
      <c r="F138" s="1">
        <f t="shared" si="22"/>
        <v>9.436449999999999E-3</v>
      </c>
      <c r="G138" s="9">
        <f t="shared" si="23"/>
        <v>1.1609519806241118</v>
      </c>
      <c r="H138" s="1">
        <f t="shared" si="24"/>
        <v>1.5617890258000002E-3</v>
      </c>
      <c r="I138" s="1">
        <f t="shared" si="25"/>
        <v>1.9519901626839034</v>
      </c>
      <c r="J138" s="1">
        <f t="shared" si="26"/>
        <v>0.36991379856432</v>
      </c>
      <c r="K138" s="3"/>
      <c r="L138" s="3">
        <f t="shared" si="27"/>
        <v>1.1609519806241118</v>
      </c>
      <c r="M138" s="6">
        <v>5.8000000000000003E-2</v>
      </c>
      <c r="N138" s="4">
        <v>6.3E-2</v>
      </c>
      <c r="O138" s="5">
        <v>3.5000000000000003E-2</v>
      </c>
      <c r="P138">
        <f t="shared" si="28"/>
        <v>3.5000000000000003E-2</v>
      </c>
      <c r="Q138">
        <f t="shared" si="29"/>
        <v>1.7999999999999998</v>
      </c>
      <c r="R138">
        <f t="shared" si="30"/>
        <v>1.657142857142857</v>
      </c>
      <c r="S138">
        <f t="shared" ref="S138:S171" si="34">+$G$1+$Q138*$G$2-2*$R138</f>
        <v>-1.7433257142857141</v>
      </c>
      <c r="U138">
        <v>3.5000000000000003E-2</v>
      </c>
      <c r="V138">
        <v>3.5999999999999997E-2</v>
      </c>
      <c r="W138" s="11">
        <f t="shared" si="31"/>
        <v>0.65623060334473848</v>
      </c>
      <c r="X138">
        <f t="shared" si="32"/>
        <v>7.8537725150469667E-2</v>
      </c>
      <c r="Y138" s="13">
        <f t="shared" si="33"/>
        <v>7.4038083215329009E-2</v>
      </c>
      <c r="Z138" s="13">
        <v>0.57403808321532901</v>
      </c>
    </row>
    <row r="139" spans="1:26" x14ac:dyDescent="0.25">
      <c r="A139" s="1">
        <v>1980</v>
      </c>
      <c r="B139" s="1">
        <f t="shared" ref="B139:B171" si="35">+$M139</f>
        <v>9.2999999999999999E-2</v>
      </c>
      <c r="C139" s="1">
        <f t="shared" ref="C139:C171" si="36">($P139*($C$1*$G$2 )+$N139*($G$1/$C$1))</f>
        <v>7.9095150000000003E-2</v>
      </c>
      <c r="D139" s="1">
        <f t="shared" ref="D139:D171" si="37">$B139 - (($P139*($E139*$G$2 )+$N139*($G$1/$E139)))</f>
        <v>1.4465966883870973E-2</v>
      </c>
      <c r="E139" s="1">
        <f t="shared" ref="E139:E171" si="38">+$G139</f>
        <v>0.48261796895676673</v>
      </c>
      <c r="F139" s="1">
        <f t="shared" ref="F139:F171" si="39">+ABS($B139-$C139)</f>
        <v>1.3904849999999996E-2</v>
      </c>
      <c r="G139" s="9">
        <f t="shared" ref="G139:G171" si="40">+ABS($M139/2/$G$2/$O139)</f>
        <v>0.48261796895676673</v>
      </c>
      <c r="H139" s="1">
        <f t="shared" ref="H139:H171" si="41">+$M139*$M139-4*$G$1*$G$2*$N139*$O139</f>
        <v>2.6906698404000002E-3</v>
      </c>
      <c r="I139" s="1">
        <f t="shared" ref="I139:I171" si="42">+($M139+SQRT($H139))/2/$G$2/$O139</f>
        <v>0.75180290001148842</v>
      </c>
      <c r="J139" s="1">
        <f t="shared" ref="J139:J171" si="43">+($M139-SQRT($H139))/2/$G$2/$O139</f>
        <v>0.21343303790204515</v>
      </c>
      <c r="K139" s="3"/>
      <c r="L139" s="3">
        <f t="shared" ref="L139:L171" si="44">$M139/2/$G$2/$O139</f>
        <v>0.48261796895676673</v>
      </c>
      <c r="M139" s="6">
        <v>9.2999999999999999E-2</v>
      </c>
      <c r="N139" s="4">
        <v>5.3999999999999999E-2</v>
      </c>
      <c r="O139" s="5">
        <v>0.13500000000000001</v>
      </c>
      <c r="P139">
        <f t="shared" ref="P139:P170" si="45">+$O139+$O$1</f>
        <v>0.13500000000000001</v>
      </c>
      <c r="Q139">
        <f t="shared" ref="Q139:Q171" si="46">+$N139/($P139)</f>
        <v>0.39999999999999997</v>
      </c>
      <c r="R139">
        <f t="shared" ref="R139:R171" si="47">+$M139/($P139)</f>
        <v>0.68888888888888888</v>
      </c>
      <c r="S139">
        <f t="shared" si="34"/>
        <v>-0.80599777777777781</v>
      </c>
      <c r="U139">
        <v>0.13500000000000001</v>
      </c>
      <c r="V139">
        <v>0.1305</v>
      </c>
      <c r="W139" s="11">
        <f t="shared" ref="W139:W171" si="48">-2.2979737161E-10*$A139^5 + 0.0000022285768284*$A139^4 - 0.0086436385146*$A139^3 + 16.759480306*$A139^2 - 16244.935412*$A139 + 6297344.9302</f>
        <v>0.65427434537559748</v>
      </c>
      <c r="X139">
        <f t="shared" ref="X139:X171" si="49">+$G$2*$N139/$W139+$G$1*$O139</f>
        <v>9.7555147985052146E-2</v>
      </c>
      <c r="Y139" s="13">
        <f t="shared" ref="Y139:Y168" si="50">+$Z139+$Y$1</f>
        <v>0.13897487637411798</v>
      </c>
      <c r="Z139" s="13">
        <v>0.63897487637411798</v>
      </c>
    </row>
    <row r="140" spans="1:26" x14ac:dyDescent="0.25">
      <c r="A140" s="1">
        <v>1981</v>
      </c>
      <c r="B140" s="1">
        <f t="shared" si="35"/>
        <v>0.14199999999999999</v>
      </c>
      <c r="C140" s="1">
        <f t="shared" si="36"/>
        <v>0.12858164999999999</v>
      </c>
      <c r="D140" s="1">
        <f t="shared" si="37"/>
        <v>4.6367883925492959E-2</v>
      </c>
      <c r="E140" s="1">
        <f t="shared" si="38"/>
        <v>0.31382200281202194</v>
      </c>
      <c r="F140" s="1">
        <f t="shared" si="39"/>
        <v>1.3418349999999996E-2</v>
      </c>
      <c r="G140" s="9">
        <f t="shared" si="40"/>
        <v>0.31382200281202194</v>
      </c>
      <c r="H140" s="1">
        <f t="shared" si="41"/>
        <v>1.3168479034839999E-2</v>
      </c>
      <c r="I140" s="1">
        <f t="shared" si="42"/>
        <v>0.56742994707539673</v>
      </c>
      <c r="J140" s="1">
        <f t="shared" si="43"/>
        <v>6.021405854864708E-2</v>
      </c>
      <c r="K140" s="3"/>
      <c r="L140" s="3">
        <f t="shared" si="44"/>
        <v>0.31382200281202194</v>
      </c>
      <c r="M140" s="6">
        <v>0.14199999999999999</v>
      </c>
      <c r="N140" s="4">
        <v>2.7E-2</v>
      </c>
      <c r="O140" s="5">
        <v>0.317</v>
      </c>
      <c r="P140">
        <f t="shared" si="45"/>
        <v>0.317</v>
      </c>
      <c r="Q140">
        <f t="shared" si="46"/>
        <v>8.5173501577287064E-2</v>
      </c>
      <c r="R140">
        <f t="shared" si="47"/>
        <v>0.44794952681388006</v>
      </c>
      <c r="S140">
        <f t="shared" si="34"/>
        <v>-0.54881072555205035</v>
      </c>
      <c r="U140">
        <v>0.317</v>
      </c>
      <c r="V140">
        <v>0.31</v>
      </c>
      <c r="W140" s="11">
        <f t="shared" si="48"/>
        <v>0.65225865412503481</v>
      </c>
      <c r="X140">
        <f t="shared" si="49"/>
        <v>0.1203004412468086</v>
      </c>
      <c r="Y140" s="13">
        <f t="shared" si="50"/>
        <v>0.16978943079805198</v>
      </c>
      <c r="Z140" s="13">
        <v>0.66978943079805198</v>
      </c>
    </row>
    <row r="141" spans="1:26" x14ac:dyDescent="0.25">
      <c r="A141" s="1">
        <v>1982</v>
      </c>
      <c r="B141" s="1">
        <f t="shared" si="35"/>
        <v>1.2999999999999999E-2</v>
      </c>
      <c r="C141" s="1">
        <f t="shared" si="36"/>
        <v>6.7300999999999993E-3</v>
      </c>
      <c r="D141" s="1">
        <f t="shared" si="37"/>
        <v>1.8682670759999999E-2</v>
      </c>
      <c r="E141" s="1">
        <f t="shared" si="38"/>
        <v>4.5537340619307827</v>
      </c>
      <c r="F141" s="1">
        <f t="shared" si="39"/>
        <v>6.2699000000000001E-3</v>
      </c>
      <c r="G141" s="9">
        <f t="shared" si="40"/>
        <v>4.5537340619307827</v>
      </c>
      <c r="H141" s="1">
        <f t="shared" si="41"/>
        <v>1.9025056024E-4</v>
      </c>
      <c r="I141" s="1">
        <f t="shared" si="42"/>
        <v>-9.3852930267629606</v>
      </c>
      <c r="J141" s="1">
        <f t="shared" si="43"/>
        <v>0.27782490290139594</v>
      </c>
      <c r="K141" s="3"/>
      <c r="L141" s="3">
        <f t="shared" si="44"/>
        <v>-4.5537340619307827</v>
      </c>
      <c r="M141" s="6">
        <v>1.2999999999999999E-2</v>
      </c>
      <c r="N141" s="4">
        <v>1.2999999999999999E-2</v>
      </c>
      <c r="O141" s="5">
        <v>-2E-3</v>
      </c>
      <c r="P141">
        <f t="shared" si="45"/>
        <v>-2E-3</v>
      </c>
      <c r="Q141">
        <f t="shared" si="46"/>
        <v>-6.5</v>
      </c>
      <c r="R141">
        <f t="shared" si="47"/>
        <v>-6.5</v>
      </c>
      <c r="S141">
        <f t="shared" si="34"/>
        <v>8.6472499999999997</v>
      </c>
      <c r="U141">
        <v>-2E-3</v>
      </c>
      <c r="V141">
        <v>6.3333299999999999E-3</v>
      </c>
      <c r="W141" s="11">
        <f t="shared" si="48"/>
        <v>0.65016922820359468</v>
      </c>
      <c r="X141">
        <f t="shared" si="49"/>
        <v>1.369768471592729E-2</v>
      </c>
      <c r="Y141" s="13">
        <f t="shared" si="50"/>
        <v>0.124775057019747</v>
      </c>
      <c r="Z141" s="13">
        <v>0.624775057019747</v>
      </c>
    </row>
    <row r="142" spans="1:26" x14ac:dyDescent="0.25">
      <c r="A142" s="1">
        <v>1983</v>
      </c>
      <c r="B142" s="1">
        <f t="shared" si="35"/>
        <v>0.191</v>
      </c>
      <c r="C142" s="1">
        <f t="shared" si="36"/>
        <v>0.18625675000000003</v>
      </c>
      <c r="D142" s="1">
        <f t="shared" si="37"/>
        <v>1.1223085250366471E-2</v>
      </c>
      <c r="E142" s="1">
        <f t="shared" si="38"/>
        <v>0.40425898481467792</v>
      </c>
      <c r="F142" s="1">
        <f t="shared" si="39"/>
        <v>4.7432499999999767E-3</v>
      </c>
      <c r="G142" s="9">
        <f t="shared" si="40"/>
        <v>0.40425898481467792</v>
      </c>
      <c r="H142" s="1">
        <f t="shared" si="41"/>
        <v>4.2872185656400025E-3</v>
      </c>
      <c r="I142" s="1">
        <f t="shared" si="42"/>
        <v>0.54284331470041769</v>
      </c>
      <c r="J142" s="1">
        <f t="shared" si="43"/>
        <v>0.26567465492893816</v>
      </c>
      <c r="K142" s="3"/>
      <c r="L142" s="3">
        <f t="shared" si="44"/>
        <v>0.40425898481467792</v>
      </c>
      <c r="M142" s="6">
        <v>0.191</v>
      </c>
      <c r="N142" s="4">
        <v>0.11899999999999999</v>
      </c>
      <c r="O142" s="5">
        <v>0.33100000000000002</v>
      </c>
      <c r="P142">
        <f t="shared" si="45"/>
        <v>0.33100000000000002</v>
      </c>
      <c r="Q142">
        <f t="shared" si="46"/>
        <v>0.35951661631419934</v>
      </c>
      <c r="R142">
        <f t="shared" si="47"/>
        <v>0.57703927492447127</v>
      </c>
      <c r="S142">
        <f t="shared" si="34"/>
        <v>-0.61119154078549842</v>
      </c>
      <c r="U142">
        <v>0.33100000000000002</v>
      </c>
      <c r="V142">
        <v>0.32183299999999998</v>
      </c>
      <c r="W142" s="11">
        <f t="shared" si="48"/>
        <v>0.64799068961292505</v>
      </c>
      <c r="X142">
        <f t="shared" si="49"/>
        <v>0.22583246093518694</v>
      </c>
      <c r="Y142" s="13">
        <f t="shared" si="50"/>
        <v>0.18317437869775899</v>
      </c>
      <c r="Z142" s="13">
        <v>0.68317437869775899</v>
      </c>
    </row>
    <row r="143" spans="1:26" x14ac:dyDescent="0.25">
      <c r="A143" s="1">
        <v>1984</v>
      </c>
      <c r="B143" s="1">
        <f t="shared" si="35"/>
        <v>-1.4E-2</v>
      </c>
      <c r="C143" s="1">
        <f t="shared" si="36"/>
        <v>-2.1784249999999998E-2</v>
      </c>
      <c r="D143" s="1">
        <f t="shared" si="37"/>
        <v>6.1356484999999985E-3</v>
      </c>
      <c r="E143" s="7">
        <f t="shared" si="38"/>
        <v>0.21795650210950759</v>
      </c>
      <c r="F143" s="1">
        <f t="shared" si="39"/>
        <v>7.7842499999999978E-3</v>
      </c>
      <c r="G143" s="9">
        <f t="shared" si="40"/>
        <v>0.21795650210950759</v>
      </c>
      <c r="H143" s="1">
        <f t="shared" si="41"/>
        <v>-1.7179815800000002E-4</v>
      </c>
      <c r="I143" s="1" t="e">
        <f t="shared" si="42"/>
        <v>#NUM!</v>
      </c>
      <c r="J143" s="1" t="e">
        <f t="shared" si="43"/>
        <v>#NUM!</v>
      </c>
      <c r="K143" s="3"/>
      <c r="L143" s="3">
        <f t="shared" si="44"/>
        <v>0.21795650210950759</v>
      </c>
      <c r="M143" s="6">
        <v>-1.4E-2</v>
      </c>
      <c r="N143" s="4">
        <v>-0.01</v>
      </c>
      <c r="O143" s="5">
        <v>-4.4999999999999998E-2</v>
      </c>
      <c r="P143">
        <f t="shared" si="45"/>
        <v>-4.4999999999999998E-2</v>
      </c>
      <c r="Q143">
        <f t="shared" si="46"/>
        <v>0.22222222222222224</v>
      </c>
      <c r="R143">
        <f t="shared" si="47"/>
        <v>0.31111111111111112</v>
      </c>
      <c r="S143">
        <f t="shared" si="34"/>
        <v>-0.17732222222222221</v>
      </c>
      <c r="U143">
        <v>-4.4999999999999998E-2</v>
      </c>
      <c r="V143">
        <v>-3.80833E-2</v>
      </c>
      <c r="W143" s="11">
        <f t="shared" si="48"/>
        <v>0.64570639748126268</v>
      </c>
      <c r="X143">
        <f t="shared" si="49"/>
        <v>-2.3936511132984947E-2</v>
      </c>
      <c r="Y143" s="13">
        <f t="shared" si="50"/>
        <v>0.16544867621009096</v>
      </c>
      <c r="Z143" s="13">
        <v>0.66544867621009096</v>
      </c>
    </row>
    <row r="144" spans="1:26" x14ac:dyDescent="0.25">
      <c r="A144" s="1">
        <v>1985</v>
      </c>
      <c r="B144" s="1">
        <f t="shared" si="35"/>
        <v>-2.9000000000000001E-2</v>
      </c>
      <c r="C144" s="1">
        <f t="shared" si="36"/>
        <v>-3.4680050000000004E-2</v>
      </c>
      <c r="D144" s="1">
        <f t="shared" si="37"/>
        <v>4.1012861517241393E-3</v>
      </c>
      <c r="E144" s="7">
        <f t="shared" si="38"/>
        <v>0.61565635336127134</v>
      </c>
      <c r="F144" s="1">
        <f t="shared" si="39"/>
        <v>5.6800500000000025E-3</v>
      </c>
      <c r="G144" s="9">
        <f t="shared" si="40"/>
        <v>0.61565635336127134</v>
      </c>
      <c r="H144" s="1">
        <f t="shared" si="41"/>
        <v>-2.3787459680000005E-4</v>
      </c>
      <c r="I144" s="1" t="e">
        <f t="shared" si="42"/>
        <v>#NUM!</v>
      </c>
      <c r="J144" s="1" t="e">
        <f t="shared" si="43"/>
        <v>#NUM!</v>
      </c>
      <c r="K144" s="3"/>
      <c r="L144" s="3">
        <f t="shared" si="44"/>
        <v>0.61565635336127134</v>
      </c>
      <c r="M144" s="6">
        <v>-2.9000000000000001E-2</v>
      </c>
      <c r="N144" s="4">
        <v>-0.04</v>
      </c>
      <c r="O144" s="5">
        <v>-3.3000000000000002E-2</v>
      </c>
      <c r="P144">
        <f t="shared" si="45"/>
        <v>-3.3000000000000002E-2</v>
      </c>
      <c r="Q144">
        <f t="shared" si="46"/>
        <v>1.2121212121212122</v>
      </c>
      <c r="R144">
        <f t="shared" si="47"/>
        <v>0.87878787878787878</v>
      </c>
      <c r="S144">
        <f t="shared" si="34"/>
        <v>-0.60618484848484844</v>
      </c>
      <c r="U144">
        <v>-3.3000000000000002E-2</v>
      </c>
      <c r="V144">
        <v>-2.8000000000000001E-2</v>
      </c>
      <c r="W144" s="11">
        <f t="shared" si="48"/>
        <v>0.64329857472330332</v>
      </c>
      <c r="X144">
        <f t="shared" si="49"/>
        <v>-5.3825427203879034E-2</v>
      </c>
      <c r="Y144" s="13">
        <f t="shared" si="50"/>
        <v>0.172984077670994</v>
      </c>
      <c r="Z144" s="13">
        <v>0.672984077670994</v>
      </c>
    </row>
    <row r="145" spans="1:26" x14ac:dyDescent="0.25">
      <c r="A145" s="1">
        <v>1986</v>
      </c>
      <c r="B145" s="1">
        <f t="shared" si="35"/>
        <v>4.7E-2</v>
      </c>
      <c r="C145" s="1">
        <f t="shared" si="36"/>
        <v>3.5378199999999999E-2</v>
      </c>
      <c r="D145" s="1">
        <f t="shared" si="37"/>
        <v>3.7064187387234035E-2</v>
      </c>
      <c r="E145" s="1">
        <f t="shared" si="38"/>
        <v>0.27439166783429081</v>
      </c>
      <c r="F145" s="1">
        <f t="shared" si="39"/>
        <v>1.1621800000000002E-2</v>
      </c>
      <c r="G145" s="9">
        <f t="shared" si="40"/>
        <v>0.27439166783429081</v>
      </c>
      <c r="H145" s="1">
        <f t="shared" si="41"/>
        <v>3.4840336143999997E-3</v>
      </c>
      <c r="I145" s="1">
        <f t="shared" si="42"/>
        <v>0.61899083997671367</v>
      </c>
      <c r="J145" s="1">
        <f t="shared" si="43"/>
        <v>-7.0207504308132121E-2</v>
      </c>
      <c r="K145" s="3"/>
      <c r="L145" s="3">
        <f t="shared" si="44"/>
        <v>0.27439166783429081</v>
      </c>
      <c r="M145" s="6">
        <v>4.7E-2</v>
      </c>
      <c r="N145" s="4">
        <v>-1.2999999999999999E-2</v>
      </c>
      <c r="O145" s="5">
        <v>0.12</v>
      </c>
      <c r="P145">
        <f t="shared" si="45"/>
        <v>0.12</v>
      </c>
      <c r="Q145">
        <f t="shared" si="46"/>
        <v>-0.10833333333333334</v>
      </c>
      <c r="R145">
        <f t="shared" si="47"/>
        <v>0.39166666666666666</v>
      </c>
      <c r="S145">
        <f t="shared" si="34"/>
        <v>-0.57435083333333337</v>
      </c>
      <c r="U145">
        <v>0.12</v>
      </c>
      <c r="V145">
        <v>0.1255</v>
      </c>
      <c r="W145" s="11">
        <f t="shared" si="48"/>
        <v>0.64074825588613749</v>
      </c>
      <c r="X145">
        <f t="shared" si="49"/>
        <v>1.9875898158491841E-2</v>
      </c>
      <c r="Y145" s="13">
        <f t="shared" si="50"/>
        <v>0.21123929043022005</v>
      </c>
      <c r="Z145" s="13">
        <v>0.71123929043022005</v>
      </c>
    </row>
    <row r="146" spans="1:26" x14ac:dyDescent="0.25">
      <c r="A146" s="1">
        <v>1987</v>
      </c>
      <c r="B146" s="1">
        <f t="shared" si="35"/>
        <v>0.186</v>
      </c>
      <c r="C146" s="1">
        <f t="shared" si="36"/>
        <v>0.17295319999999997</v>
      </c>
      <c r="D146" s="1">
        <f t="shared" si="37"/>
        <v>1.2717176264516128E-2</v>
      </c>
      <c r="E146" s="1">
        <f t="shared" si="38"/>
        <v>0.51709068102510725</v>
      </c>
      <c r="F146" s="1">
        <f t="shared" si="39"/>
        <v>1.3046800000000025E-2</v>
      </c>
      <c r="G146" s="9">
        <f t="shared" si="40"/>
        <v>0.51709068102510725</v>
      </c>
      <c r="H146" s="1">
        <f t="shared" si="41"/>
        <v>4.7307895704000041E-3</v>
      </c>
      <c r="I146" s="1">
        <f t="shared" si="42"/>
        <v>0.70830507532806208</v>
      </c>
      <c r="J146" s="1">
        <f t="shared" si="43"/>
        <v>0.32587628672215235</v>
      </c>
      <c r="K146" s="3"/>
      <c r="L146" s="3">
        <f t="shared" si="44"/>
        <v>0.51709068102510725</v>
      </c>
      <c r="M146" s="6">
        <v>0.186</v>
      </c>
      <c r="N146" s="4">
        <v>0.14499999999999999</v>
      </c>
      <c r="O146" s="5">
        <v>0.252</v>
      </c>
      <c r="P146">
        <f t="shared" si="45"/>
        <v>0.252</v>
      </c>
      <c r="Q146">
        <f t="shared" si="46"/>
        <v>0.57539682539682535</v>
      </c>
      <c r="R146">
        <f t="shared" si="47"/>
        <v>0.73809523809523814</v>
      </c>
      <c r="S146">
        <f t="shared" si="34"/>
        <v>-0.77922976190476201</v>
      </c>
      <c r="U146">
        <v>0.252</v>
      </c>
      <c r="V146">
        <v>0.246583</v>
      </c>
      <c r="W146" s="11">
        <f t="shared" si="48"/>
        <v>0.63803509343415499</v>
      </c>
      <c r="X146">
        <f t="shared" si="49"/>
        <v>0.23434322382218678</v>
      </c>
      <c r="Y146" s="13">
        <f t="shared" si="50"/>
        <v>0.24425030625556499</v>
      </c>
      <c r="Z146" s="13">
        <v>0.74425030625556499</v>
      </c>
    </row>
    <row r="147" spans="1:26" x14ac:dyDescent="0.25">
      <c r="A147" s="1">
        <v>1988</v>
      </c>
      <c r="B147" s="1">
        <f t="shared" si="35"/>
        <v>0.20100000000000001</v>
      </c>
      <c r="C147" s="1">
        <f t="shared" si="36"/>
        <v>0.19565954999999999</v>
      </c>
      <c r="D147" s="1">
        <f t="shared" si="37"/>
        <v>1.8157128805970146E-2</v>
      </c>
      <c r="E147" s="1">
        <f t="shared" si="38"/>
        <v>0.3755079164915231</v>
      </c>
      <c r="F147" s="1">
        <f t="shared" si="39"/>
        <v>5.3404500000000243E-3</v>
      </c>
      <c r="G147" s="9">
        <f t="shared" si="40"/>
        <v>0.3755079164915231</v>
      </c>
      <c r="H147" s="1">
        <f t="shared" si="41"/>
        <v>7.2991657800000054E-3</v>
      </c>
      <c r="I147" s="1">
        <f t="shared" si="42"/>
        <v>0.53511775332381428</v>
      </c>
      <c r="J147" s="1">
        <f t="shared" si="43"/>
        <v>0.2158980796592318</v>
      </c>
      <c r="K147" s="3"/>
      <c r="L147" s="3">
        <f t="shared" si="44"/>
        <v>0.3755079164915231</v>
      </c>
      <c r="M147" s="6">
        <v>0.20100000000000001</v>
      </c>
      <c r="N147" s="4">
        <v>0.108</v>
      </c>
      <c r="O147" s="5">
        <v>0.375</v>
      </c>
      <c r="P147">
        <f t="shared" si="45"/>
        <v>0.375</v>
      </c>
      <c r="Q147">
        <f t="shared" si="46"/>
        <v>0.28799999999999998</v>
      </c>
      <c r="R147">
        <f t="shared" si="47"/>
        <v>0.53600000000000003</v>
      </c>
      <c r="S147">
        <f t="shared" si="34"/>
        <v>-0.58015440000000007</v>
      </c>
      <c r="U147">
        <v>0.375</v>
      </c>
      <c r="V147">
        <v>0.36883300000000002</v>
      </c>
      <c r="W147" s="11">
        <f t="shared" si="48"/>
        <v>0.63513761851936579</v>
      </c>
      <c r="X147">
        <f t="shared" si="49"/>
        <v>0.22872139569836553</v>
      </c>
      <c r="Y147" s="13">
        <f t="shared" si="50"/>
        <v>0.29018731742680604</v>
      </c>
      <c r="Z147" s="13">
        <v>0.79018731742680604</v>
      </c>
    </row>
    <row r="148" spans="1:26" x14ac:dyDescent="0.25">
      <c r="A148" s="1">
        <v>1989</v>
      </c>
      <c r="B148" s="1">
        <f t="shared" si="35"/>
        <v>0.121</v>
      </c>
      <c r="C148" s="1">
        <f t="shared" si="36"/>
        <v>0.12693765000000001</v>
      </c>
      <c r="D148" s="1">
        <f t="shared" si="37"/>
        <v>3.4051619743801498E-3</v>
      </c>
      <c r="E148" s="1">
        <f t="shared" si="38"/>
        <v>0.34599800407762937</v>
      </c>
      <c r="F148" s="1">
        <f t="shared" si="39"/>
        <v>5.9376500000000165E-3</v>
      </c>
      <c r="G148" s="9">
        <f t="shared" si="40"/>
        <v>0.34599800407762937</v>
      </c>
      <c r="H148" s="1">
        <f t="shared" si="41"/>
        <v>8.2404919779999891E-4</v>
      </c>
      <c r="I148" s="1">
        <f t="shared" si="42"/>
        <v>0.42808319141499201</v>
      </c>
      <c r="J148" s="1">
        <f t="shared" si="43"/>
        <v>0.26391281674026673</v>
      </c>
      <c r="K148" s="3"/>
      <c r="L148" s="3">
        <f t="shared" si="44"/>
        <v>0.34599800407762937</v>
      </c>
      <c r="M148" s="6">
        <v>0.121</v>
      </c>
      <c r="N148" s="4">
        <v>6.9000000000000006E-2</v>
      </c>
      <c r="O148" s="5">
        <v>0.245</v>
      </c>
      <c r="P148">
        <f t="shared" si="45"/>
        <v>0.245</v>
      </c>
      <c r="Q148">
        <f t="shared" si="46"/>
        <v>0.28163265306122454</v>
      </c>
      <c r="R148">
        <f t="shared" si="47"/>
        <v>0.49387755102040815</v>
      </c>
      <c r="S148">
        <f t="shared" si="34"/>
        <v>-0.50045387755102033</v>
      </c>
      <c r="U148">
        <v>0.245</v>
      </c>
      <c r="V148">
        <v>0.251583</v>
      </c>
      <c r="W148" s="11">
        <f t="shared" si="48"/>
        <v>0.63203293550759554</v>
      </c>
      <c r="X148">
        <f t="shared" si="49"/>
        <v>0.14805921804790573</v>
      </c>
      <c r="Y148" s="13">
        <f t="shared" si="50"/>
        <v>0.28009276132059502</v>
      </c>
      <c r="Z148" s="13">
        <v>0.78009276132059502</v>
      </c>
    </row>
    <row r="149" spans="1:26" x14ac:dyDescent="0.25">
      <c r="A149" s="1">
        <v>1990</v>
      </c>
      <c r="B149" s="1">
        <f t="shared" si="35"/>
        <v>0.29099999999999998</v>
      </c>
      <c r="C149" s="1">
        <f t="shared" si="36"/>
        <v>0.28894500000000001</v>
      </c>
      <c r="D149" s="1">
        <f t="shared" si="37"/>
        <v>8.6942521583504573E-3</v>
      </c>
      <c r="E149" s="1">
        <f t="shared" si="38"/>
        <v>0.41436416886236954</v>
      </c>
      <c r="F149" s="1">
        <f t="shared" si="39"/>
        <v>2.0549999999999735E-3</v>
      </c>
      <c r="G149" s="9">
        <f t="shared" si="40"/>
        <v>0.41436416886236954</v>
      </c>
      <c r="H149" s="1">
        <f t="shared" si="41"/>
        <v>5.0600547561599901E-3</v>
      </c>
      <c r="I149" s="1">
        <f t="shared" si="42"/>
        <v>0.51565422528451299</v>
      </c>
      <c r="J149" s="1">
        <f t="shared" si="43"/>
        <v>0.31307411244022609</v>
      </c>
      <c r="K149" s="3"/>
      <c r="L149" s="3">
        <f t="shared" si="44"/>
        <v>0.41436416886236954</v>
      </c>
      <c r="M149" s="6">
        <v>0.29099999999999998</v>
      </c>
      <c r="N149" s="4">
        <v>0.19800000000000001</v>
      </c>
      <c r="O149" s="5">
        <v>0.49199999999999999</v>
      </c>
      <c r="P149">
        <f t="shared" si="45"/>
        <v>0.49199999999999999</v>
      </c>
      <c r="Q149">
        <f t="shared" si="46"/>
        <v>0.40243902439024393</v>
      </c>
      <c r="R149">
        <f t="shared" si="47"/>
        <v>0.59146341463414631</v>
      </c>
      <c r="S149">
        <f t="shared" si="34"/>
        <v>-0.60940609756097552</v>
      </c>
      <c r="U149">
        <v>0.49199999999999999</v>
      </c>
      <c r="V149">
        <v>0.48341699999999999</v>
      </c>
      <c r="W149" s="11">
        <f t="shared" si="48"/>
        <v>0.62869688589125872</v>
      </c>
      <c r="X149">
        <f t="shared" si="49"/>
        <v>0.36563023776078868</v>
      </c>
      <c r="Y149" s="13">
        <f t="shared" si="50"/>
        <v>0.32790104429118905</v>
      </c>
      <c r="Z149" s="13">
        <v>0.82790104429118905</v>
      </c>
    </row>
    <row r="150" spans="1:26" x14ac:dyDescent="0.25">
      <c r="A150" s="1">
        <v>1991</v>
      </c>
      <c r="B150" s="1">
        <f t="shared" si="35"/>
        <v>0.253</v>
      </c>
      <c r="C150" s="1">
        <f t="shared" si="36"/>
        <v>0.24130184999999998</v>
      </c>
      <c r="D150" s="1">
        <f t="shared" si="37"/>
        <v>1.4920021263399197E-2</v>
      </c>
      <c r="E150" s="1">
        <f t="shared" si="38"/>
        <v>0.44646181657372147</v>
      </c>
      <c r="F150" s="1">
        <f t="shared" si="39"/>
        <v>1.1698150000000018E-2</v>
      </c>
      <c r="G150" s="9">
        <f t="shared" si="40"/>
        <v>0.44646181657372147</v>
      </c>
      <c r="H150" s="1">
        <f t="shared" si="41"/>
        <v>7.5495307592800057E-3</v>
      </c>
      <c r="I150" s="1">
        <f t="shared" si="42"/>
        <v>0.59979063193588367</v>
      </c>
      <c r="J150" s="1">
        <f t="shared" si="43"/>
        <v>0.29313300121155916</v>
      </c>
      <c r="K150" s="3"/>
      <c r="L150" s="3">
        <f t="shared" si="44"/>
        <v>0.44646181657372147</v>
      </c>
      <c r="M150" s="6">
        <v>0.253</v>
      </c>
      <c r="N150" s="4">
        <v>0.17399999999999999</v>
      </c>
      <c r="O150" s="5">
        <v>0.39700000000000002</v>
      </c>
      <c r="P150">
        <f t="shared" si="45"/>
        <v>0.39700000000000002</v>
      </c>
      <c r="Q150">
        <f t="shared" si="46"/>
        <v>0.4382871536523929</v>
      </c>
      <c r="R150">
        <f t="shared" si="47"/>
        <v>0.63727959697732994</v>
      </c>
      <c r="S150">
        <f t="shared" si="34"/>
        <v>-0.67545365239294708</v>
      </c>
      <c r="U150">
        <v>0.39700000000000002</v>
      </c>
      <c r="V150">
        <v>0.38974999999999999</v>
      </c>
      <c r="W150" s="11">
        <f t="shared" si="48"/>
        <v>0.62510389927774668</v>
      </c>
      <c r="X150">
        <f t="shared" si="49"/>
        <v>0.31232215481582121</v>
      </c>
      <c r="Y150" s="13">
        <f t="shared" si="50"/>
        <v>0.34222175090468099</v>
      </c>
      <c r="Z150" s="13">
        <v>0.84222175090468099</v>
      </c>
    </row>
    <row r="151" spans="1:26" x14ac:dyDescent="0.25">
      <c r="A151" s="1">
        <v>1992</v>
      </c>
      <c r="B151" s="1">
        <f t="shared" si="35"/>
        <v>0.10199999999999999</v>
      </c>
      <c r="C151" s="1">
        <f t="shared" si="36"/>
        <v>8.4721049999999992E-2</v>
      </c>
      <c r="D151" s="1">
        <f t="shared" si="37"/>
        <v>1.7465462064705881E-2</v>
      </c>
      <c r="E151" s="1">
        <f t="shared" si="38"/>
        <v>0.76837200052430088</v>
      </c>
      <c r="F151" s="1">
        <f t="shared" si="39"/>
        <v>1.7278950000000001E-2</v>
      </c>
      <c r="G151" s="9">
        <f t="shared" si="40"/>
        <v>0.76837200052430088</v>
      </c>
      <c r="H151" s="1">
        <f t="shared" si="41"/>
        <v>3.5629542611999993E-3</v>
      </c>
      <c r="I151" s="1">
        <f t="shared" si="42"/>
        <v>1.2180239520524314</v>
      </c>
      <c r="J151" s="1">
        <f t="shared" si="43"/>
        <v>0.3187200489961704</v>
      </c>
      <c r="K151" s="3"/>
      <c r="L151" s="3">
        <f t="shared" si="44"/>
        <v>0.76837200052430088</v>
      </c>
      <c r="M151" s="6">
        <v>0.10199999999999999</v>
      </c>
      <c r="N151" s="4">
        <v>0.09</v>
      </c>
      <c r="O151" s="5">
        <v>9.2999999999999999E-2</v>
      </c>
      <c r="P151">
        <f t="shared" si="45"/>
        <v>9.2999999999999999E-2</v>
      </c>
      <c r="Q151">
        <f t="shared" si="46"/>
        <v>0.96774193548387089</v>
      </c>
      <c r="R151">
        <f t="shared" si="47"/>
        <v>1.096774193548387</v>
      </c>
      <c r="S151">
        <f t="shared" si="34"/>
        <v>-1.2165709677419354</v>
      </c>
      <c r="U151">
        <v>9.2999999999999999E-2</v>
      </c>
      <c r="V151">
        <v>0.111167</v>
      </c>
      <c r="W151" s="11">
        <f t="shared" si="48"/>
        <v>0.62122703809291124</v>
      </c>
      <c r="X151">
        <f t="shared" si="49"/>
        <v>0.13002288059052164</v>
      </c>
      <c r="Y151" s="13">
        <f t="shared" si="50"/>
        <v>0.31538855437126101</v>
      </c>
      <c r="Z151" s="13">
        <v>0.81538855437126101</v>
      </c>
    </row>
    <row r="152" spans="1:26" x14ac:dyDescent="0.25">
      <c r="A152" s="1">
        <v>1993</v>
      </c>
      <c r="B152" s="1">
        <f t="shared" si="35"/>
        <v>0.14299999999999999</v>
      </c>
      <c r="C152" s="1">
        <f t="shared" si="36"/>
        <v>0.12199915</v>
      </c>
      <c r="D152" s="1">
        <f t="shared" si="37"/>
        <v>1.9488139272727273E-2</v>
      </c>
      <c r="E152" s="1">
        <f t="shared" si="38"/>
        <v>0.57246942492844133</v>
      </c>
      <c r="F152" s="1">
        <f t="shared" si="39"/>
        <v>2.1000849999999988E-2</v>
      </c>
      <c r="G152" s="9">
        <f t="shared" si="40"/>
        <v>0.57246942492844133</v>
      </c>
      <c r="H152" s="1">
        <f t="shared" si="41"/>
        <v>5.5736078319999979E-3</v>
      </c>
      <c r="I152" s="1">
        <f t="shared" si="42"/>
        <v>0.87134089708277718</v>
      </c>
      <c r="J152" s="1">
        <f t="shared" si="43"/>
        <v>0.27359795277410548</v>
      </c>
      <c r="K152" s="3"/>
      <c r="L152" s="3">
        <f t="shared" si="44"/>
        <v>0.57246942492844133</v>
      </c>
      <c r="M152" s="6">
        <v>0.14299999999999999</v>
      </c>
      <c r="N152" s="4">
        <v>0.104</v>
      </c>
      <c r="O152" s="5">
        <v>0.17499999999999999</v>
      </c>
      <c r="P152">
        <f t="shared" si="45"/>
        <v>0.17499999999999999</v>
      </c>
      <c r="Q152">
        <f t="shared" si="46"/>
        <v>0.59428571428571431</v>
      </c>
      <c r="R152">
        <f t="shared" si="47"/>
        <v>0.81714285714285717</v>
      </c>
      <c r="S152">
        <f t="shared" si="34"/>
        <v>-0.92384400000000011</v>
      </c>
      <c r="U152">
        <v>0.17499999999999999</v>
      </c>
      <c r="V152">
        <v>0.183917</v>
      </c>
      <c r="W152" s="11">
        <f t="shared" si="48"/>
        <v>0.61703796032816172</v>
      </c>
      <c r="X152">
        <f t="shared" si="49"/>
        <v>0.17039461292045099</v>
      </c>
      <c r="Y152" s="13">
        <f t="shared" si="50"/>
        <v>0.33645206007288597</v>
      </c>
      <c r="Z152" s="13">
        <v>0.83645206007288597</v>
      </c>
    </row>
    <row r="153" spans="1:26" x14ac:dyDescent="0.25">
      <c r="A153" s="1">
        <v>1994</v>
      </c>
      <c r="B153" s="1">
        <f t="shared" si="35"/>
        <v>0.20300000000000001</v>
      </c>
      <c r="C153" s="1">
        <f t="shared" si="36"/>
        <v>0.20599915000000002</v>
      </c>
      <c r="D153" s="1">
        <f t="shared" si="37"/>
        <v>6.8666581103449253E-4</v>
      </c>
      <c r="E153" s="1">
        <f t="shared" si="38"/>
        <v>0.41462570736575421</v>
      </c>
      <c r="F153" s="1">
        <f t="shared" si="39"/>
        <v>2.999150000000006E-3</v>
      </c>
      <c r="G153" s="9">
        <f t="shared" si="40"/>
        <v>0.41462570736575421</v>
      </c>
      <c r="H153" s="1">
        <f t="shared" si="41"/>
        <v>2.7878631928000136E-4</v>
      </c>
      <c r="I153" s="1">
        <f t="shared" si="42"/>
        <v>0.44872896897551007</v>
      </c>
      <c r="J153" s="1">
        <f t="shared" si="43"/>
        <v>0.38052244575599831</v>
      </c>
      <c r="K153" s="3"/>
      <c r="L153" s="3">
        <f t="shared" si="44"/>
        <v>0.41462570736575421</v>
      </c>
      <c r="M153" s="6">
        <v>0.20300000000000001</v>
      </c>
      <c r="N153" s="4">
        <v>0.14599999999999999</v>
      </c>
      <c r="O153" s="5">
        <v>0.34300000000000003</v>
      </c>
      <c r="P153">
        <f t="shared" si="45"/>
        <v>0.34300000000000003</v>
      </c>
      <c r="Q153">
        <f t="shared" si="46"/>
        <v>0.42565597667638477</v>
      </c>
      <c r="R153">
        <f t="shared" si="47"/>
        <v>0.59183673469387754</v>
      </c>
      <c r="S153">
        <f t="shared" si="34"/>
        <v>-0.59358279883381926</v>
      </c>
      <c r="U153">
        <v>0.34300000000000003</v>
      </c>
      <c r="V153">
        <v>0.341667</v>
      </c>
      <c r="W153" s="11">
        <f t="shared" si="48"/>
        <v>0.6125068562105298</v>
      </c>
      <c r="X153">
        <f t="shared" si="49"/>
        <v>0.26832177120896566</v>
      </c>
      <c r="Y153" s="13">
        <f t="shared" si="50"/>
        <v>0.37580857910444398</v>
      </c>
      <c r="Z153" s="13">
        <v>0.87580857910444398</v>
      </c>
    </row>
    <row r="154" spans="1:26" x14ac:dyDescent="0.25">
      <c r="A154" s="1">
        <v>1995</v>
      </c>
      <c r="B154" s="1">
        <f t="shared" si="35"/>
        <v>0.32400000000000001</v>
      </c>
      <c r="C154" s="1">
        <f t="shared" si="36"/>
        <v>0.31890399999999997</v>
      </c>
      <c r="D154" s="1">
        <f t="shared" si="37"/>
        <v>2.1621180408888885E-2</v>
      </c>
      <c r="E154" s="1">
        <f t="shared" si="38"/>
        <v>0.38342251457005561</v>
      </c>
      <c r="F154" s="1">
        <f t="shared" si="39"/>
        <v>5.0960000000000449E-3</v>
      </c>
      <c r="G154" s="9">
        <f t="shared" si="40"/>
        <v>0.38342251457005561</v>
      </c>
      <c r="H154" s="1">
        <f t="shared" si="41"/>
        <v>1.4010524904960006E-2</v>
      </c>
      <c r="I154" s="1">
        <f t="shared" si="42"/>
        <v>0.52349724781587714</v>
      </c>
      <c r="J154" s="1">
        <f t="shared" si="43"/>
        <v>0.24334778132423407</v>
      </c>
      <c r="K154" s="3"/>
      <c r="L154" s="3">
        <f t="shared" si="44"/>
        <v>0.38342251457005561</v>
      </c>
      <c r="M154" s="6">
        <v>0.32400000000000001</v>
      </c>
      <c r="N154" s="4">
        <v>0.188</v>
      </c>
      <c r="O154" s="5">
        <v>0.59199999999999997</v>
      </c>
      <c r="P154">
        <f t="shared" si="45"/>
        <v>0.59199999999999997</v>
      </c>
      <c r="Q154">
        <f t="shared" si="46"/>
        <v>0.3175675675675676</v>
      </c>
      <c r="R154">
        <f t="shared" si="47"/>
        <v>0.54729729729729737</v>
      </c>
      <c r="S154">
        <f t="shared" si="34"/>
        <v>-0.58164662162162173</v>
      </c>
      <c r="U154">
        <v>0.59199999999999997</v>
      </c>
      <c r="V154">
        <v>0.58216699999999999</v>
      </c>
      <c r="W154" s="11">
        <f t="shared" si="48"/>
        <v>0.60760245937854052</v>
      </c>
      <c r="X154">
        <f t="shared" si="49"/>
        <v>0.39031754091590021</v>
      </c>
      <c r="Y154" s="13">
        <f t="shared" si="50"/>
        <v>0.42840649273982201</v>
      </c>
      <c r="Z154" s="13">
        <v>0.92840649273982201</v>
      </c>
    </row>
    <row r="155" spans="1:26" x14ac:dyDescent="0.25">
      <c r="A155" s="1">
        <v>1996</v>
      </c>
      <c r="B155" s="1">
        <f t="shared" si="35"/>
        <v>0.17899999999999999</v>
      </c>
      <c r="C155" s="1">
        <f t="shared" si="36"/>
        <v>0.16116895000000003</v>
      </c>
      <c r="D155" s="1">
        <f t="shared" si="37"/>
        <v>1.6944907130726244E-2</v>
      </c>
      <c r="E155" s="1">
        <f t="shared" si="38"/>
        <v>0.55243537586283309</v>
      </c>
      <c r="F155" s="1">
        <f t="shared" si="39"/>
        <v>1.7831049999999959E-2</v>
      </c>
      <c r="G155" s="9">
        <f t="shared" si="40"/>
        <v>0.55243537586283309</v>
      </c>
      <c r="H155" s="1">
        <f t="shared" si="41"/>
        <v>6.0662767527999983E-3</v>
      </c>
      <c r="I155" s="1">
        <f t="shared" si="42"/>
        <v>0.79281052139656416</v>
      </c>
      <c r="J155" s="1">
        <f t="shared" si="43"/>
        <v>0.31206023032910191</v>
      </c>
      <c r="K155" s="3"/>
      <c r="L155" s="3">
        <f t="shared" si="44"/>
        <v>0.55243537586283309</v>
      </c>
      <c r="M155" s="6">
        <v>0.17899999999999999</v>
      </c>
      <c r="N155" s="4">
        <v>0.14000000000000001</v>
      </c>
      <c r="O155" s="5">
        <v>0.22700000000000001</v>
      </c>
      <c r="P155">
        <f t="shared" si="45"/>
        <v>0.22700000000000001</v>
      </c>
      <c r="Q155">
        <f t="shared" si="46"/>
        <v>0.61674008810572689</v>
      </c>
      <c r="R155">
        <f t="shared" si="47"/>
        <v>0.78854625550660784</v>
      </c>
      <c r="S155">
        <f t="shared" si="34"/>
        <v>-0.85062511013215847</v>
      </c>
      <c r="U155">
        <v>0.22700000000000001</v>
      </c>
      <c r="V155">
        <v>0.23908299999999999</v>
      </c>
      <c r="W155" s="11">
        <f t="shared" si="48"/>
        <v>0.60229200217872858</v>
      </c>
      <c r="X155">
        <f t="shared" si="49"/>
        <v>0.23088637562470868</v>
      </c>
      <c r="Y155" s="13">
        <f t="shared" si="50"/>
        <v>0.41509594721117304</v>
      </c>
      <c r="Z155" s="13">
        <v>0.91509594721117304</v>
      </c>
    </row>
    <row r="156" spans="1:26" x14ac:dyDescent="0.25">
      <c r="A156" s="1">
        <v>1997</v>
      </c>
      <c r="B156" s="1">
        <f t="shared" si="35"/>
        <v>0.39200000000000002</v>
      </c>
      <c r="C156" s="1">
        <f t="shared" si="36"/>
        <v>0.36693509999999996</v>
      </c>
      <c r="D156" s="1">
        <f t="shared" si="37"/>
        <v>2.4273288609999999E-2</v>
      </c>
      <c r="E156" s="1">
        <f t="shared" si="38"/>
        <v>0.53016446459069411</v>
      </c>
      <c r="F156" s="1">
        <f t="shared" si="39"/>
        <v>2.5064900000000057E-2</v>
      </c>
      <c r="G156" s="9">
        <f t="shared" si="40"/>
        <v>0.53016446459069411</v>
      </c>
      <c r="H156" s="1">
        <f t="shared" si="41"/>
        <v>1.9030258270240047E-2</v>
      </c>
      <c r="I156" s="1">
        <f t="shared" si="42"/>
        <v>0.71673664585930452</v>
      </c>
      <c r="J156" s="1">
        <f t="shared" si="43"/>
        <v>0.34359228332208369</v>
      </c>
      <c r="K156" s="3"/>
      <c r="L156" s="3">
        <f t="shared" si="44"/>
        <v>0.53016446459069411</v>
      </c>
      <c r="M156" s="6">
        <v>0.39200000000000002</v>
      </c>
      <c r="N156" s="4">
        <v>0.318</v>
      </c>
      <c r="O156" s="5">
        <v>0.51800000000000002</v>
      </c>
      <c r="P156">
        <f t="shared" si="45"/>
        <v>0.51800000000000002</v>
      </c>
      <c r="Q156">
        <f t="shared" si="46"/>
        <v>0.61389961389961389</v>
      </c>
      <c r="R156">
        <f t="shared" si="47"/>
        <v>0.7567567567567568</v>
      </c>
      <c r="S156">
        <f t="shared" si="34"/>
        <v>-0.78907335907335918</v>
      </c>
      <c r="U156">
        <v>0.51800000000000002</v>
      </c>
      <c r="V156">
        <v>0.52058300000000002</v>
      </c>
      <c r="W156" s="11">
        <f t="shared" si="48"/>
        <v>0.59654117841273546</v>
      </c>
      <c r="X156">
        <f t="shared" si="49"/>
        <v>0.52875760536413174</v>
      </c>
      <c r="Y156" s="13">
        <f t="shared" si="50"/>
        <v>0.44321353188775903</v>
      </c>
      <c r="Z156" s="13">
        <v>0.94321353188775903</v>
      </c>
    </row>
    <row r="157" spans="1:26" x14ac:dyDescent="0.25">
      <c r="A157" s="1">
        <v>1998</v>
      </c>
      <c r="B157" s="1">
        <f t="shared" si="35"/>
        <v>0.53100000000000003</v>
      </c>
      <c r="C157" s="1">
        <f t="shared" si="36"/>
        <v>0.53617134999999994</v>
      </c>
      <c r="D157" s="1">
        <f t="shared" si="37"/>
        <v>-1.8328482169490679E-3</v>
      </c>
      <c r="E157" s="7">
        <f t="shared" si="38"/>
        <v>0.44551502291759482</v>
      </c>
      <c r="F157" s="1">
        <f t="shared" si="39"/>
        <v>5.171349999999908E-3</v>
      </c>
      <c r="G157" s="9">
        <f t="shared" si="40"/>
        <v>0.44551502291759482</v>
      </c>
      <c r="H157" s="1">
        <f t="shared" si="41"/>
        <v>-1.9464848063999174E-3</v>
      </c>
      <c r="I157" s="1" t="e">
        <f t="shared" si="42"/>
        <v>#NUM!</v>
      </c>
      <c r="J157" s="1" t="e">
        <f t="shared" si="43"/>
        <v>#NUM!</v>
      </c>
      <c r="K157" s="3"/>
      <c r="L157" s="3">
        <f t="shared" si="44"/>
        <v>0.44551502291759482</v>
      </c>
      <c r="M157" s="6">
        <v>0.53100000000000003</v>
      </c>
      <c r="N157" s="4">
        <v>0.41599999999999998</v>
      </c>
      <c r="O157" s="5">
        <v>0.83499999999999996</v>
      </c>
      <c r="P157">
        <f t="shared" si="45"/>
        <v>0.83499999999999996</v>
      </c>
      <c r="Q157">
        <f t="shared" si="46"/>
        <v>0.49820359281437127</v>
      </c>
      <c r="R157">
        <f t="shared" si="47"/>
        <v>0.63592814371257489</v>
      </c>
      <c r="S157">
        <f t="shared" si="34"/>
        <v>-0.62998838323353301</v>
      </c>
      <c r="U157">
        <v>0.83499999999999996</v>
      </c>
      <c r="V157">
        <v>0.81241699999999994</v>
      </c>
      <c r="W157" s="11">
        <f t="shared" si="48"/>
        <v>0.59031412843614817</v>
      </c>
      <c r="X157">
        <f t="shared" si="49"/>
        <v>0.74201170122999793</v>
      </c>
      <c r="Y157" s="13">
        <f t="shared" si="50"/>
        <v>0.49555536365403996</v>
      </c>
      <c r="Z157" s="13">
        <v>0.99555536365403996</v>
      </c>
    </row>
    <row r="158" spans="1:26" x14ac:dyDescent="0.25">
      <c r="A158" s="1">
        <v>1999</v>
      </c>
      <c r="B158" s="1">
        <f t="shared" si="35"/>
        <v>0.30099999999999999</v>
      </c>
      <c r="C158" s="1">
        <f t="shared" si="36"/>
        <v>0.31299505000000005</v>
      </c>
      <c r="D158" s="1">
        <f t="shared" si="37"/>
        <v>4.5219997162787573E-4</v>
      </c>
      <c r="E158" s="1">
        <f t="shared" si="38"/>
        <v>0.37588755042949834</v>
      </c>
      <c r="F158" s="1">
        <f t="shared" si="39"/>
        <v>1.1995050000000063E-2</v>
      </c>
      <c r="G158" s="9">
        <f t="shared" si="40"/>
        <v>0.37588755042949834</v>
      </c>
      <c r="H158" s="1">
        <f t="shared" si="41"/>
        <v>2.7222438291997497E-4</v>
      </c>
      <c r="I158" s="1">
        <f t="shared" si="42"/>
        <v>0.39649171249945508</v>
      </c>
      <c r="J158" s="1">
        <f t="shared" si="43"/>
        <v>0.35528338835954154</v>
      </c>
      <c r="K158" s="3"/>
      <c r="L158" s="3">
        <f t="shared" si="44"/>
        <v>0.37588755042949834</v>
      </c>
      <c r="M158" s="6">
        <v>0.30099999999999999</v>
      </c>
      <c r="N158" s="4">
        <v>0.19700000000000001</v>
      </c>
      <c r="O158" s="5">
        <v>0.56100000000000005</v>
      </c>
      <c r="P158">
        <f t="shared" si="45"/>
        <v>0.56100000000000005</v>
      </c>
      <c r="Q158">
        <f t="shared" si="46"/>
        <v>0.35115864527629231</v>
      </c>
      <c r="R158">
        <f t="shared" si="47"/>
        <v>0.53654188948306591</v>
      </c>
      <c r="S158">
        <f t="shared" si="34"/>
        <v>-0.53616185383244197</v>
      </c>
      <c r="T158" s="3">
        <f t="shared" ref="T158:T171" si="51">+$S158*$S158-4*$G$1*$G$2*$Q158</f>
        <v>4.5730484193928778E-4</v>
      </c>
      <c r="U158">
        <v>0.56100000000000005</v>
      </c>
      <c r="V158">
        <v>0.56799999999999995</v>
      </c>
      <c r="W158" s="11">
        <f t="shared" si="48"/>
        <v>0.58357342425733805</v>
      </c>
      <c r="X158">
        <f t="shared" si="49"/>
        <v>0.4015418236940882</v>
      </c>
      <c r="Y158" s="13">
        <f t="shared" si="50"/>
        <v>0.48608408586000196</v>
      </c>
      <c r="Z158" s="13">
        <v>0.98608408586000196</v>
      </c>
    </row>
    <row r="159" spans="1:26" x14ac:dyDescent="0.25">
      <c r="A159" s="1">
        <v>2000</v>
      </c>
      <c r="B159" s="1">
        <f t="shared" si="35"/>
        <v>0.29399999999999998</v>
      </c>
      <c r="C159" s="1">
        <f t="shared" si="36"/>
        <v>0.29639700000000002</v>
      </c>
      <c r="D159" s="1">
        <f t="shared" si="37"/>
        <v>1.682197165714272E-3</v>
      </c>
      <c r="E159" s="1">
        <f t="shared" si="38"/>
        <v>0.42555556713529891</v>
      </c>
      <c r="F159" s="1">
        <f t="shared" si="39"/>
        <v>2.397000000000038E-3</v>
      </c>
      <c r="G159" s="9">
        <f t="shared" si="40"/>
        <v>0.42555556713529891</v>
      </c>
      <c r="H159" s="1">
        <f t="shared" si="41"/>
        <v>9.8913193343999617E-4</v>
      </c>
      <c r="I159" s="1">
        <f t="shared" si="42"/>
        <v>0.47107911039887196</v>
      </c>
      <c r="J159" s="1">
        <f t="shared" si="43"/>
        <v>0.3800320238717258</v>
      </c>
      <c r="K159" s="3"/>
      <c r="L159" s="3">
        <f t="shared" si="44"/>
        <v>0.42555556713529891</v>
      </c>
      <c r="M159" s="6">
        <v>0.29399999999999998</v>
      </c>
      <c r="N159" s="4">
        <v>0.216</v>
      </c>
      <c r="O159" s="5">
        <v>0.48399999999999999</v>
      </c>
      <c r="P159">
        <f t="shared" si="45"/>
        <v>0.48399999999999999</v>
      </c>
      <c r="Q159">
        <f t="shared" si="46"/>
        <v>0.4462809917355372</v>
      </c>
      <c r="R159">
        <f t="shared" si="47"/>
        <v>0.6074380165289256</v>
      </c>
      <c r="S159">
        <f t="shared" si="34"/>
        <v>-0.6100652892561983</v>
      </c>
      <c r="T159" s="3">
        <f t="shared" si="51"/>
        <v>7.421153353596055E-3</v>
      </c>
      <c r="U159">
        <v>0.48399999999999999</v>
      </c>
      <c r="V159">
        <v>0.49733300000000003</v>
      </c>
      <c r="W159" s="11">
        <f t="shared" si="48"/>
        <v>0.57628000248223543</v>
      </c>
      <c r="X159">
        <f t="shared" si="49"/>
        <v>0.40607666049834024</v>
      </c>
      <c r="Y159" s="13">
        <f t="shared" si="50"/>
        <v>0.49724644729627698</v>
      </c>
      <c r="Z159" s="13">
        <v>0.99724644729627698</v>
      </c>
    </row>
    <row r="160" spans="1:26" x14ac:dyDescent="0.25">
      <c r="A160" s="1">
        <v>2001</v>
      </c>
      <c r="B160" s="1">
        <f t="shared" si="35"/>
        <v>0.437</v>
      </c>
      <c r="C160" s="1">
        <f t="shared" si="36"/>
        <v>0.43140025000000004</v>
      </c>
      <c r="D160" s="1">
        <f t="shared" si="37"/>
        <v>8.9784909693821358E-3</v>
      </c>
      <c r="E160" s="1">
        <f t="shared" si="38"/>
        <v>0.44956100419377659</v>
      </c>
      <c r="F160" s="1">
        <f t="shared" si="39"/>
        <v>5.5997499999999589E-3</v>
      </c>
      <c r="G160" s="9">
        <f t="shared" si="40"/>
        <v>0.44956100419377659</v>
      </c>
      <c r="H160" s="1">
        <f t="shared" si="41"/>
        <v>7.8472011072399928E-3</v>
      </c>
      <c r="I160" s="1">
        <f t="shared" si="42"/>
        <v>0.54069167919115713</v>
      </c>
      <c r="J160" s="1">
        <f t="shared" si="43"/>
        <v>0.35843032919639606</v>
      </c>
      <c r="K160" s="3"/>
      <c r="L160" s="3">
        <f t="shared" si="44"/>
        <v>0.44956100419377659</v>
      </c>
      <c r="M160" s="6">
        <v>0.437</v>
      </c>
      <c r="N160" s="4">
        <v>0.32900000000000001</v>
      </c>
      <c r="O160" s="5">
        <v>0.68100000000000005</v>
      </c>
      <c r="P160">
        <f t="shared" si="45"/>
        <v>0.68100000000000005</v>
      </c>
      <c r="Q160">
        <f t="shared" si="46"/>
        <v>0.4831130690161527</v>
      </c>
      <c r="R160">
        <f t="shared" si="47"/>
        <v>0.64170337738619676</v>
      </c>
      <c r="S160">
        <f t="shared" si="34"/>
        <v>-0.65230895741556538</v>
      </c>
      <c r="T160" s="3">
        <f t="shared" si="51"/>
        <v>3.0644538391542242E-2</v>
      </c>
      <c r="U160">
        <v>0.68100000000000005</v>
      </c>
      <c r="V160">
        <v>0.68116699999999997</v>
      </c>
      <c r="W160" s="11">
        <f t="shared" si="48"/>
        <v>0.56839317921549082</v>
      </c>
      <c r="X160">
        <f t="shared" si="49"/>
        <v>0.60807747402359824</v>
      </c>
      <c r="Y160" s="13">
        <f t="shared" si="50"/>
        <v>0.53779946244363996</v>
      </c>
      <c r="Z160" s="13">
        <v>1.03779946244364</v>
      </c>
    </row>
    <row r="161" spans="1:26" x14ac:dyDescent="0.25">
      <c r="A161" s="1">
        <v>2002</v>
      </c>
      <c r="B161" s="1">
        <f t="shared" si="35"/>
        <v>0.49199999999999999</v>
      </c>
      <c r="C161" s="1">
        <f t="shared" si="36"/>
        <v>0.48834610000000001</v>
      </c>
      <c r="D161" s="1">
        <f t="shared" si="37"/>
        <v>8.1904159258536779E-3</v>
      </c>
      <c r="E161" s="1">
        <f t="shared" si="38"/>
        <v>0.44303681203676987</v>
      </c>
      <c r="F161" s="1">
        <f t="shared" si="39"/>
        <v>3.6538999999999877E-3</v>
      </c>
      <c r="G161" s="9">
        <f t="shared" si="40"/>
        <v>0.44303681203676987</v>
      </c>
      <c r="H161" s="1">
        <f t="shared" si="41"/>
        <v>8.0593692710400344E-3</v>
      </c>
      <c r="I161" s="1">
        <f t="shared" si="42"/>
        <v>0.52387661347991754</v>
      </c>
      <c r="J161" s="1">
        <f t="shared" si="43"/>
        <v>0.36219701059362214</v>
      </c>
      <c r="K161" s="3"/>
      <c r="L161" s="3">
        <f t="shared" si="44"/>
        <v>0.44303681203676987</v>
      </c>
      <c r="M161" s="6">
        <v>0.49199999999999999</v>
      </c>
      <c r="N161" s="4">
        <v>0.36799999999999999</v>
      </c>
      <c r="O161" s="5">
        <v>0.77800000000000002</v>
      </c>
      <c r="P161">
        <f t="shared" si="45"/>
        <v>0.77800000000000002</v>
      </c>
      <c r="Q161">
        <f t="shared" si="46"/>
        <v>0.47300771208226217</v>
      </c>
      <c r="R161">
        <f t="shared" si="47"/>
        <v>0.63239074550128527</v>
      </c>
      <c r="S161">
        <f t="shared" si="34"/>
        <v>-0.64089588688946009</v>
      </c>
      <c r="T161" s="3">
        <f t="shared" si="51"/>
        <v>2.4144504001493483E-2</v>
      </c>
      <c r="U161">
        <v>0.77800000000000002</v>
      </c>
      <c r="V161">
        <v>0.77258300000000002</v>
      </c>
      <c r="W161" s="11">
        <f t="shared" si="48"/>
        <v>0.55987061280757189</v>
      </c>
      <c r="X161">
        <f t="shared" si="49"/>
        <v>0.69185264461942453</v>
      </c>
      <c r="Y161" s="13">
        <f t="shared" si="50"/>
        <v>0.57343852123087991</v>
      </c>
      <c r="Z161" s="13">
        <v>1.0734385212308799</v>
      </c>
    </row>
    <row r="162" spans="1:26" x14ac:dyDescent="0.25">
      <c r="A162" s="1">
        <v>2003</v>
      </c>
      <c r="B162" s="1">
        <f t="shared" si="35"/>
        <v>0.503</v>
      </c>
      <c r="C162" s="1">
        <f t="shared" si="36"/>
        <v>0.49980630000000004</v>
      </c>
      <c r="D162" s="1">
        <f t="shared" si="37"/>
        <v>5.6431398445327963E-3</v>
      </c>
      <c r="E162" s="1">
        <f t="shared" si="38"/>
        <v>0.45764799863160516</v>
      </c>
      <c r="F162" s="1">
        <f t="shared" si="39"/>
        <v>3.193699999999966E-3</v>
      </c>
      <c r="G162" s="9">
        <f t="shared" si="40"/>
        <v>0.45764799863160516</v>
      </c>
      <c r="H162" s="1">
        <f t="shared" si="41"/>
        <v>5.6769986835999708E-3</v>
      </c>
      <c r="I162" s="1">
        <f t="shared" si="42"/>
        <v>0.52620044839292135</v>
      </c>
      <c r="J162" s="1">
        <f t="shared" si="43"/>
        <v>0.38909554887028885</v>
      </c>
      <c r="K162" s="3"/>
      <c r="L162" s="3">
        <f t="shared" si="44"/>
        <v>0.45764799863160516</v>
      </c>
      <c r="M162" s="6">
        <v>0.503</v>
      </c>
      <c r="N162" s="4">
        <v>0.39300000000000002</v>
      </c>
      <c r="O162" s="5">
        <v>0.77</v>
      </c>
      <c r="P162">
        <f t="shared" si="45"/>
        <v>0.77</v>
      </c>
      <c r="Q162">
        <f t="shared" si="46"/>
        <v>0.51038961038961039</v>
      </c>
      <c r="R162">
        <f t="shared" si="47"/>
        <v>0.65324675324675319</v>
      </c>
      <c r="S162">
        <f t="shared" si="34"/>
        <v>-0.65592844155844143</v>
      </c>
      <c r="T162" s="3">
        <f t="shared" si="51"/>
        <v>1.3085768081649352E-2</v>
      </c>
      <c r="U162">
        <v>0.77</v>
      </c>
      <c r="V162">
        <v>0.76649999999999996</v>
      </c>
      <c r="W162" s="11">
        <f t="shared" si="48"/>
        <v>0.55066824425011873</v>
      </c>
      <c r="X162">
        <f t="shared" si="49"/>
        <v>0.72980323327060326</v>
      </c>
      <c r="Y162" s="13">
        <f t="shared" si="50"/>
        <v>0.58561649761847989</v>
      </c>
      <c r="Z162" s="13">
        <v>1.0856164976184799</v>
      </c>
    </row>
    <row r="163" spans="1:26" x14ac:dyDescent="0.25">
      <c r="A163" s="1">
        <v>2004</v>
      </c>
      <c r="B163" s="1">
        <f t="shared" si="35"/>
        <v>0.44500000000000001</v>
      </c>
      <c r="C163" s="1">
        <f t="shared" si="36"/>
        <v>0.44321729999999998</v>
      </c>
      <c r="D163" s="1">
        <f t="shared" si="37"/>
        <v>3.3859692729887869E-3</v>
      </c>
      <c r="E163" s="1">
        <f t="shared" si="38"/>
        <v>0.46254545938351943</v>
      </c>
      <c r="F163" s="1">
        <f t="shared" si="39"/>
        <v>1.7827000000000259E-3</v>
      </c>
      <c r="G163" s="9">
        <f t="shared" si="40"/>
        <v>0.46254545938351943</v>
      </c>
      <c r="H163" s="1">
        <f t="shared" si="41"/>
        <v>3.0135126529599876E-3</v>
      </c>
      <c r="I163" s="1">
        <f t="shared" si="42"/>
        <v>0.51960534814893777</v>
      </c>
      <c r="J163" s="1">
        <f t="shared" si="43"/>
        <v>0.40548557061810098</v>
      </c>
      <c r="K163" s="3"/>
      <c r="L163" s="3">
        <f t="shared" si="44"/>
        <v>0.46254545938351943</v>
      </c>
      <c r="M163" s="6">
        <v>0.44500000000000001</v>
      </c>
      <c r="N163" s="4">
        <v>0.35399999999999998</v>
      </c>
      <c r="O163" s="5">
        <v>0.67400000000000004</v>
      </c>
      <c r="P163">
        <f t="shared" si="45"/>
        <v>0.67400000000000004</v>
      </c>
      <c r="Q163">
        <f t="shared" si="46"/>
        <v>0.52522255192878331</v>
      </c>
      <c r="R163">
        <f t="shared" si="47"/>
        <v>0.66023738872403559</v>
      </c>
      <c r="S163">
        <f t="shared" si="34"/>
        <v>-0.65932344213649852</v>
      </c>
      <c r="T163" s="3">
        <f t="shared" si="51"/>
        <v>5.4276521519077692E-3</v>
      </c>
      <c r="U163">
        <v>0.67400000000000004</v>
      </c>
      <c r="V163">
        <v>0.68225000000000002</v>
      </c>
      <c r="W163" s="11">
        <f t="shared" si="48"/>
        <v>0.54074032697826624</v>
      </c>
      <c r="X163">
        <f t="shared" si="49"/>
        <v>0.66019563970508532</v>
      </c>
      <c r="Y163" s="13">
        <f t="shared" si="50"/>
        <v>0.58190207127636007</v>
      </c>
      <c r="Z163" s="13">
        <v>1.0819020712763601</v>
      </c>
    </row>
    <row r="164" spans="1:26" x14ac:dyDescent="0.25">
      <c r="A164" s="1">
        <v>2005</v>
      </c>
      <c r="B164" s="1">
        <f t="shared" si="35"/>
        <v>0.53900000000000003</v>
      </c>
      <c r="C164" s="1">
        <f t="shared" si="36"/>
        <v>0.53748309999999999</v>
      </c>
      <c r="D164" s="1">
        <f t="shared" si="37"/>
        <v>9.3663937054545565E-3</v>
      </c>
      <c r="E164" s="1">
        <f t="shared" si="38"/>
        <v>0.42812884342938989</v>
      </c>
      <c r="F164" s="1">
        <f t="shared" si="39"/>
        <v>1.5169000000000432E-3</v>
      </c>
      <c r="G164" s="9">
        <f t="shared" si="40"/>
        <v>0.42812884342938989</v>
      </c>
      <c r="H164" s="1">
        <f t="shared" si="41"/>
        <v>1.0096972414479988E-2</v>
      </c>
      <c r="I164" s="1">
        <f t="shared" si="42"/>
        <v>0.50794325337354818</v>
      </c>
      <c r="J164" s="1">
        <f t="shared" si="43"/>
        <v>0.34831443348523167</v>
      </c>
      <c r="K164" s="3"/>
      <c r="L164" s="3">
        <f t="shared" si="44"/>
        <v>0.42812884342938989</v>
      </c>
      <c r="M164" s="6">
        <v>0.53900000000000003</v>
      </c>
      <c r="N164" s="4">
        <v>0.38900000000000001</v>
      </c>
      <c r="O164" s="5">
        <v>0.88200000000000001</v>
      </c>
      <c r="P164">
        <f t="shared" si="45"/>
        <v>0.88200000000000001</v>
      </c>
      <c r="Q164">
        <f t="shared" si="46"/>
        <v>0.44104308390022678</v>
      </c>
      <c r="R164">
        <f t="shared" si="47"/>
        <v>0.61111111111111116</v>
      </c>
      <c r="S164">
        <f t="shared" si="34"/>
        <v>-0.62114977324263054</v>
      </c>
      <c r="T164" s="3">
        <f t="shared" si="51"/>
        <v>2.5349632227942787E-2</v>
      </c>
      <c r="U164">
        <v>0.88200000000000001</v>
      </c>
      <c r="V164">
        <v>0.87516700000000003</v>
      </c>
      <c r="W164" s="11">
        <f t="shared" si="48"/>
        <v>0.53003933746367693</v>
      </c>
      <c r="X164">
        <f t="shared" si="49"/>
        <v>0.77630659137781099</v>
      </c>
      <c r="Y164" s="13">
        <f t="shared" si="50"/>
        <v>0.64931345678763996</v>
      </c>
      <c r="Z164" s="13">
        <v>1.14931345678764</v>
      </c>
    </row>
    <row r="165" spans="1:26" x14ac:dyDescent="0.25">
      <c r="A165" s="1">
        <v>2006</v>
      </c>
      <c r="B165" s="1">
        <f t="shared" si="35"/>
        <v>0.495</v>
      </c>
      <c r="C165" s="1">
        <f t="shared" si="36"/>
        <v>0.49804750000000003</v>
      </c>
      <c r="D165" s="1">
        <f t="shared" si="37"/>
        <v>3.4157678727272378E-3</v>
      </c>
      <c r="E165" s="1">
        <f t="shared" si="38"/>
        <v>0.42812884342938984</v>
      </c>
      <c r="F165" s="1">
        <f t="shared" si="39"/>
        <v>3.0475000000000363E-3</v>
      </c>
      <c r="G165" s="9">
        <f t="shared" si="40"/>
        <v>0.42812884342938984</v>
      </c>
      <c r="H165" s="1">
        <f t="shared" si="41"/>
        <v>3.3816101940000176E-3</v>
      </c>
      <c r="I165" s="1">
        <f t="shared" si="42"/>
        <v>0.47842456703244191</v>
      </c>
      <c r="J165" s="1">
        <f t="shared" si="43"/>
        <v>0.37783311982633777</v>
      </c>
      <c r="K165" s="3"/>
      <c r="L165" s="3">
        <f t="shared" si="44"/>
        <v>0.42812884342938984</v>
      </c>
      <c r="M165" s="6">
        <v>0.495</v>
      </c>
      <c r="N165" s="4">
        <v>0.36499999999999999</v>
      </c>
      <c r="O165" s="5">
        <v>0.81</v>
      </c>
      <c r="P165">
        <f t="shared" si="45"/>
        <v>0.81</v>
      </c>
      <c r="Q165">
        <f t="shared" si="46"/>
        <v>0.45061728395061723</v>
      </c>
      <c r="R165">
        <f t="shared" si="47"/>
        <v>0.61111111111111105</v>
      </c>
      <c r="S165">
        <f t="shared" si="34"/>
        <v>-0.61431666666666662</v>
      </c>
      <c r="T165" s="3">
        <f t="shared" si="51"/>
        <v>9.0822847222222225E-3</v>
      </c>
      <c r="U165">
        <v>0.81</v>
      </c>
      <c r="V165">
        <v>0.80833299999999997</v>
      </c>
      <c r="W165" s="11">
        <f t="shared" si="48"/>
        <v>0.51851599011570215</v>
      </c>
      <c r="X165">
        <f t="shared" si="49"/>
        <v>0.73429927121599792</v>
      </c>
      <c r="Y165" s="13">
        <f t="shared" si="50"/>
        <v>0.65564387961774995</v>
      </c>
      <c r="Z165" s="13">
        <v>1.1556438796177499</v>
      </c>
    </row>
    <row r="166" spans="1:26" x14ac:dyDescent="0.25">
      <c r="A166" s="1">
        <v>2007</v>
      </c>
      <c r="B166" s="1">
        <f t="shared" si="35"/>
        <v>0.48299999999999998</v>
      </c>
      <c r="C166" s="1">
        <f t="shared" si="36"/>
        <v>0.49386624999999995</v>
      </c>
      <c r="D166" s="1">
        <f t="shared" si="37"/>
        <v>1.3845885474782604E-2</v>
      </c>
      <c r="E166" s="1">
        <f t="shared" si="38"/>
        <v>0.3722524417216837</v>
      </c>
      <c r="F166" s="1">
        <f t="shared" si="39"/>
        <v>1.0866249999999966E-2</v>
      </c>
      <c r="G166" s="9">
        <f t="shared" si="40"/>
        <v>0.3722524417216837</v>
      </c>
      <c r="H166" s="1">
        <f t="shared" si="41"/>
        <v>1.3375125368640023E-2</v>
      </c>
      <c r="I166" s="1">
        <f t="shared" si="42"/>
        <v>0.4613856122788354</v>
      </c>
      <c r="J166" s="1">
        <f t="shared" si="43"/>
        <v>0.28311927116453206</v>
      </c>
      <c r="K166" s="3"/>
      <c r="L166" s="3">
        <f t="shared" si="44"/>
        <v>0.3722524417216837</v>
      </c>
      <c r="M166" s="6">
        <v>0.48299999999999998</v>
      </c>
      <c r="N166" s="4">
        <v>0.29599999999999999</v>
      </c>
      <c r="O166" s="5">
        <v>0.90900000000000003</v>
      </c>
      <c r="P166">
        <f t="shared" si="45"/>
        <v>0.90900000000000003</v>
      </c>
      <c r="Q166">
        <f t="shared" si="46"/>
        <v>0.32563256325632561</v>
      </c>
      <c r="R166">
        <f t="shared" si="47"/>
        <v>0.53135313531353134</v>
      </c>
      <c r="S166">
        <f t="shared" si="34"/>
        <v>-0.54400231023102308</v>
      </c>
      <c r="T166" s="3">
        <f t="shared" si="51"/>
        <v>2.9789498091145727E-2</v>
      </c>
      <c r="U166">
        <v>0.90900000000000003</v>
      </c>
      <c r="V166">
        <v>0.90749999999999997</v>
      </c>
      <c r="W166" s="11">
        <f t="shared" si="48"/>
        <v>0.50611915905028582</v>
      </c>
      <c r="X166">
        <f t="shared" si="49"/>
        <v>0.67764880032043173</v>
      </c>
      <c r="Y166" s="13">
        <f t="shared" si="50"/>
        <v>0.70513621271864002</v>
      </c>
      <c r="Z166" s="13">
        <v>1.20513621271864</v>
      </c>
    </row>
    <row r="167" spans="1:26" x14ac:dyDescent="0.25">
      <c r="A167" s="1">
        <v>2008</v>
      </c>
      <c r="B167" s="1">
        <f t="shared" si="35"/>
        <v>0.38800000000000001</v>
      </c>
      <c r="C167" s="1">
        <f t="shared" si="36"/>
        <v>0.39631414999999998</v>
      </c>
      <c r="D167" s="1">
        <f t="shared" si="37"/>
        <v>4.4080543219072177E-3</v>
      </c>
      <c r="E167" s="1">
        <f t="shared" si="38"/>
        <v>0.39111207881109999</v>
      </c>
      <c r="F167" s="1">
        <f t="shared" si="39"/>
        <v>8.3141499999999646E-3</v>
      </c>
      <c r="G167" s="9">
        <f t="shared" si="40"/>
        <v>0.39111207881109999</v>
      </c>
      <c r="H167" s="1">
        <f t="shared" si="41"/>
        <v>3.4206501538000256E-3</v>
      </c>
      <c r="I167" s="1">
        <f t="shared" si="42"/>
        <v>0.45006751169294068</v>
      </c>
      <c r="J167" s="1">
        <f t="shared" si="43"/>
        <v>0.3321566459292592</v>
      </c>
      <c r="K167" s="3"/>
      <c r="L167" s="3">
        <f t="shared" si="44"/>
        <v>0.39111207881109999</v>
      </c>
      <c r="M167" s="6">
        <v>0.38800000000000001</v>
      </c>
      <c r="N167" s="4">
        <v>0.25900000000000001</v>
      </c>
      <c r="O167" s="5">
        <v>0.69499999999999995</v>
      </c>
      <c r="P167">
        <f t="shared" si="45"/>
        <v>0.69499999999999995</v>
      </c>
      <c r="Q167">
        <f t="shared" si="46"/>
        <v>0.37266187050359717</v>
      </c>
      <c r="R167">
        <f t="shared" si="47"/>
        <v>0.55827338129496407</v>
      </c>
      <c r="S167">
        <f t="shared" si="34"/>
        <v>-0.56427798561151077</v>
      </c>
      <c r="T167" s="3">
        <f t="shared" si="51"/>
        <v>1.382220165010084E-2</v>
      </c>
      <c r="U167">
        <v>0.69499999999999995</v>
      </c>
      <c r="V167">
        <v>0.70574999999999999</v>
      </c>
      <c r="W167" s="11">
        <f t="shared" si="48"/>
        <v>0.49279597122222185</v>
      </c>
      <c r="X167">
        <f t="shared" si="49"/>
        <v>0.57407957791981989</v>
      </c>
      <c r="Y167" s="13">
        <f t="shared" si="50"/>
        <v>0.69304345325791994</v>
      </c>
      <c r="Z167" s="13">
        <v>1.1930434532579199</v>
      </c>
    </row>
    <row r="168" spans="1:26" x14ac:dyDescent="0.25">
      <c r="A168" s="1">
        <v>2009</v>
      </c>
      <c r="B168" s="1">
        <f t="shared" si="35"/>
        <v>0.49399999999999999</v>
      </c>
      <c r="C168" s="1">
        <f t="shared" si="36"/>
        <v>0.48703435</v>
      </c>
      <c r="D168" s="1">
        <f t="shared" si="37"/>
        <v>8.1338750973684038E-3</v>
      </c>
      <c r="E168" s="1">
        <f t="shared" si="38"/>
        <v>0.47343883544013615</v>
      </c>
      <c r="F168" s="1">
        <f t="shared" si="39"/>
        <v>6.9656499999999899E-3</v>
      </c>
      <c r="G168" s="9">
        <f t="shared" si="40"/>
        <v>0.47343883544013615</v>
      </c>
      <c r="H168" s="1">
        <f t="shared" si="41"/>
        <v>8.0362685961999913E-3</v>
      </c>
      <c r="I168" s="1">
        <f t="shared" si="42"/>
        <v>0.55935287758130436</v>
      </c>
      <c r="J168" s="1">
        <f t="shared" si="43"/>
        <v>0.38752479329896794</v>
      </c>
      <c r="K168" s="3"/>
      <c r="L168" s="3">
        <f t="shared" si="44"/>
        <v>0.47343883544013615</v>
      </c>
      <c r="M168" s="6">
        <v>0.49399999999999999</v>
      </c>
      <c r="N168" s="4">
        <v>0.39500000000000002</v>
      </c>
      <c r="O168" s="5">
        <v>0.73099999999999998</v>
      </c>
      <c r="P168">
        <f t="shared" si="45"/>
        <v>0.73099999999999998</v>
      </c>
      <c r="Q168">
        <f t="shared" si="46"/>
        <v>0.54035567715458277</v>
      </c>
      <c r="R168">
        <f t="shared" si="47"/>
        <v>0.67578659370725036</v>
      </c>
      <c r="S168">
        <f t="shared" si="34"/>
        <v>-0.67962134062927504</v>
      </c>
      <c r="T168" s="3">
        <f t="shared" si="51"/>
        <v>2.0236671700292586E-2</v>
      </c>
      <c r="U168">
        <v>0.73099999999999998</v>
      </c>
      <c r="V168">
        <v>0.73158299999999998</v>
      </c>
      <c r="W168" s="11">
        <f t="shared" si="48"/>
        <v>0.47849161271005869</v>
      </c>
      <c r="X168">
        <f t="shared" si="49"/>
        <v>0.79845236690703048</v>
      </c>
      <c r="Y168" s="13">
        <f t="shared" si="50"/>
        <v>0.72025462562749998</v>
      </c>
      <c r="Z168" s="13">
        <v>1.2202546256275</v>
      </c>
    </row>
    <row r="169" spans="1:26" x14ac:dyDescent="0.25">
      <c r="A169" s="1">
        <v>2010</v>
      </c>
      <c r="B169" s="1">
        <f t="shared" si="35"/>
        <v>0.54700000000000004</v>
      </c>
      <c r="C169" s="1">
        <f t="shared" si="36"/>
        <v>0.55399745</v>
      </c>
      <c r="D169" s="1">
        <f t="shared" si="37"/>
        <v>2.0572215042047315E-4</v>
      </c>
      <c r="E169" s="7">
        <f t="shared" si="38"/>
        <v>0.42532101628551838</v>
      </c>
      <c r="F169" s="1">
        <f t="shared" si="39"/>
        <v>6.9974499999999606E-3</v>
      </c>
      <c r="G169" s="9">
        <f t="shared" si="40"/>
        <v>0.42532101628551838</v>
      </c>
      <c r="H169" s="1">
        <f t="shared" si="41"/>
        <v>2.250600325600649E-4</v>
      </c>
      <c r="I169" s="1">
        <f t="shared" si="42"/>
        <v>0.43698585411215074</v>
      </c>
      <c r="J169" s="1">
        <f t="shared" si="43"/>
        <v>0.41365617845888608</v>
      </c>
      <c r="K169" s="3"/>
      <c r="L169" s="3">
        <f t="shared" si="44"/>
        <v>0.42532101628551838</v>
      </c>
      <c r="M169" s="6">
        <v>0.54700000000000004</v>
      </c>
      <c r="N169" s="4">
        <v>0.40600000000000003</v>
      </c>
      <c r="O169" s="5">
        <v>0.90100000000000002</v>
      </c>
      <c r="P169">
        <f t="shared" si="45"/>
        <v>0.90100000000000002</v>
      </c>
      <c r="Q169">
        <f t="shared" si="46"/>
        <v>0.45061043285238628</v>
      </c>
      <c r="R169">
        <f t="shared" si="47"/>
        <v>0.60710321864594896</v>
      </c>
      <c r="S169">
        <f t="shared" si="34"/>
        <v>-0.60630577136514985</v>
      </c>
      <c r="T169" s="3">
        <f t="shared" si="51"/>
        <v>-6.9039422862249289E-4</v>
      </c>
      <c r="U169">
        <v>0.90100000000000002</v>
      </c>
      <c r="V169">
        <v>0.88758300000000001</v>
      </c>
      <c r="W169" s="11">
        <f t="shared" si="48"/>
        <v>0.46314943302422762</v>
      </c>
      <c r="X169">
        <f t="shared" si="49"/>
        <v>0.88359066191196289</v>
      </c>
    </row>
    <row r="170" spans="1:26" x14ac:dyDescent="0.25">
      <c r="A170" s="1">
        <v>2011</v>
      </c>
      <c r="B170" s="1">
        <f t="shared" si="35"/>
        <v>0.40600000000000003</v>
      </c>
      <c r="C170" s="1">
        <f t="shared" si="36"/>
        <v>0.41406474999999998</v>
      </c>
      <c r="D170" s="1">
        <f t="shared" si="37"/>
        <v>1.2720650000008771E-4</v>
      </c>
      <c r="E170" s="1">
        <f t="shared" si="38"/>
        <v>0.40925645360130569</v>
      </c>
      <c r="F170" s="1">
        <f t="shared" si="39"/>
        <v>8.0647499999999539E-3</v>
      </c>
      <c r="G170" s="9">
        <f t="shared" si="40"/>
        <v>0.40925645360130569</v>
      </c>
      <c r="H170" s="1">
        <f t="shared" si="41"/>
        <v>1.0329167800005035E-4</v>
      </c>
      <c r="I170" s="1">
        <f t="shared" si="42"/>
        <v>0.41950122257789363</v>
      </c>
      <c r="J170" s="1">
        <f t="shared" si="43"/>
        <v>0.39901168462471764</v>
      </c>
      <c r="K170" s="3"/>
      <c r="L170" s="3">
        <f t="shared" si="44"/>
        <v>0.40925645360130569</v>
      </c>
      <c r="M170" s="6">
        <v>0.40600000000000003</v>
      </c>
      <c r="N170" s="4">
        <v>0.28999999999999998</v>
      </c>
      <c r="O170" s="5">
        <v>0.69499999999999995</v>
      </c>
      <c r="P170">
        <f t="shared" si="45"/>
        <v>0.69499999999999995</v>
      </c>
      <c r="Q170">
        <f t="shared" si="46"/>
        <v>0.41726618705035973</v>
      </c>
      <c r="R170">
        <f t="shared" si="47"/>
        <v>0.58417266187050365</v>
      </c>
      <c r="S170">
        <f t="shared" si="34"/>
        <v>-0.58424244604316555</v>
      </c>
      <c r="T170" s="3">
        <f t="shared" si="51"/>
        <v>2.9538021893288358E-4</v>
      </c>
      <c r="U170">
        <v>0.69499999999999995</v>
      </c>
      <c r="V170">
        <v>0.70058299999999996</v>
      </c>
      <c r="W170" s="11">
        <f t="shared" si="48"/>
        <v>0.44671081099659204</v>
      </c>
      <c r="X170">
        <f t="shared" si="49"/>
        <v>0.66230509721902042</v>
      </c>
    </row>
    <row r="171" spans="1:26" x14ac:dyDescent="0.25">
      <c r="A171" s="1">
        <v>2012</v>
      </c>
      <c r="B171" s="1">
        <f t="shared" si="35"/>
        <v>0.44800000000000001</v>
      </c>
      <c r="C171" s="1">
        <f t="shared" si="36"/>
        <v>0.46611395</v>
      </c>
      <c r="D171" s="1">
        <f t="shared" si="37"/>
        <v>-1.3030952786874939E-2</v>
      </c>
      <c r="E171" s="7">
        <f t="shared" si="38"/>
        <v>0.41791925837242466</v>
      </c>
      <c r="F171" s="1">
        <f t="shared" si="39"/>
        <v>1.811394999999999E-2</v>
      </c>
      <c r="G171" s="9">
        <f t="shared" si="40"/>
        <v>0.41791925837242466</v>
      </c>
      <c r="H171" s="1">
        <f t="shared" si="41"/>
        <v>-1.1675733697039947E-2</v>
      </c>
      <c r="I171" s="1" t="e">
        <f t="shared" si="42"/>
        <v>#NUM!</v>
      </c>
      <c r="J171" s="1" t="e">
        <f t="shared" si="43"/>
        <v>#NUM!</v>
      </c>
      <c r="K171" s="3"/>
      <c r="L171" s="3">
        <f t="shared" si="44"/>
        <v>0.41791925837242466</v>
      </c>
      <c r="M171" s="6">
        <v>0.44800000000000001</v>
      </c>
      <c r="N171" s="4">
        <v>0.34599999999999997</v>
      </c>
      <c r="O171" s="5">
        <v>0.751</v>
      </c>
      <c r="P171">
        <f>+$O171+$O$1</f>
        <v>0.751</v>
      </c>
      <c r="Q171">
        <f t="shared" si="46"/>
        <v>0.46071904127829555</v>
      </c>
      <c r="R171">
        <f t="shared" si="47"/>
        <v>0.59653794940079896</v>
      </c>
      <c r="S171">
        <f t="shared" si="34"/>
        <v>-0.57796071904127833</v>
      </c>
      <c r="T171" s="3">
        <f t="shared" si="51"/>
        <v>-4.2520551106806415E-2</v>
      </c>
      <c r="U171">
        <v>0.751</v>
      </c>
      <c r="V171">
        <v>0.75416700000000003</v>
      </c>
      <c r="W171" s="11">
        <f t="shared" si="48"/>
        <v>0.42911526653915644</v>
      </c>
      <c r="X171">
        <f t="shared" si="49"/>
        <v>0.79047486248657695</v>
      </c>
    </row>
    <row r="172" spans="1:26" x14ac:dyDescent="0.25">
      <c r="A172" s="1"/>
      <c r="B172" s="1"/>
      <c r="C172" s="1"/>
      <c r="D172" s="1"/>
      <c r="E172" s="1"/>
      <c r="F172" s="1"/>
      <c r="G172" s="9"/>
      <c r="H172" s="1"/>
      <c r="I172" s="1"/>
      <c r="J172" s="1"/>
      <c r="K172" s="3"/>
      <c r="L172" s="3"/>
    </row>
    <row r="173" spans="1:26" x14ac:dyDescent="0.25">
      <c r="A173" s="1"/>
      <c r="B173" s="1"/>
      <c r="C173" s="1"/>
      <c r="D173" s="1"/>
      <c r="E173" s="1"/>
      <c r="F173" s="1"/>
      <c r="G173" s="9"/>
      <c r="H173" s="1"/>
      <c r="I173" s="1"/>
      <c r="J173" s="1"/>
      <c r="K173" s="3"/>
      <c r="L173" s="3"/>
    </row>
    <row r="174" spans="1:26" x14ac:dyDescent="0.25">
      <c r="A174" s="1"/>
      <c r="B174" s="1"/>
      <c r="C174" s="1"/>
      <c r="D174" s="1"/>
      <c r="E174" s="1"/>
      <c r="F174" s="1"/>
      <c r="G174" s="9"/>
      <c r="H174" s="1"/>
      <c r="I174" s="1"/>
      <c r="J174" s="1"/>
      <c r="K174" s="3"/>
      <c r="L174" s="3"/>
    </row>
    <row r="175" spans="1:26" x14ac:dyDescent="0.25">
      <c r="A175" s="1"/>
      <c r="B175" s="1"/>
      <c r="C175" s="1"/>
      <c r="D175" s="1"/>
      <c r="E175" s="1"/>
      <c r="F175" s="1"/>
      <c r="G175" s="9"/>
      <c r="H175" s="1"/>
      <c r="I175" s="1"/>
      <c r="J175" s="1"/>
      <c r="K175" s="3"/>
      <c r="L175" s="3"/>
    </row>
    <row r="176" spans="1:26" x14ac:dyDescent="0.25">
      <c r="A176" s="1"/>
      <c r="B176" s="1"/>
      <c r="C176" s="1"/>
      <c r="D176" s="1"/>
      <c r="E176" s="1"/>
      <c r="F176" s="1"/>
      <c r="G176" s="9"/>
      <c r="H176" s="1"/>
      <c r="I176" s="1"/>
      <c r="J176" s="1"/>
      <c r="K176" s="3"/>
      <c r="L176" s="3"/>
    </row>
    <row r="177" spans="1:12" x14ac:dyDescent="0.25">
      <c r="A177" s="1"/>
      <c r="B177" s="1"/>
      <c r="C177" s="1"/>
      <c r="D177" s="1"/>
      <c r="E177" s="1"/>
      <c r="F177" s="1"/>
      <c r="G177" s="9"/>
      <c r="H177" s="1"/>
      <c r="I177" s="1"/>
      <c r="J177" s="1"/>
      <c r="K177" s="3"/>
      <c r="L177" s="3"/>
    </row>
    <row r="178" spans="1:12" x14ac:dyDescent="0.25">
      <c r="A178" s="1"/>
      <c r="B178" s="1"/>
      <c r="C178" s="1"/>
      <c r="D178" s="1"/>
      <c r="E178" s="1"/>
      <c r="F178" s="1"/>
      <c r="G178" s="9"/>
      <c r="H178" s="1"/>
      <c r="I178" s="1"/>
      <c r="J178" s="1"/>
      <c r="K178" s="3"/>
      <c r="L178" s="3"/>
    </row>
    <row r="179" spans="1:12" x14ac:dyDescent="0.25">
      <c r="A179" s="1"/>
      <c r="B179" s="1"/>
      <c r="C179" s="1"/>
      <c r="D179" s="1"/>
      <c r="E179" s="1"/>
      <c r="F179" s="1"/>
      <c r="G179" s="9"/>
      <c r="H179" s="1"/>
      <c r="I179" s="1"/>
      <c r="J179" s="1"/>
      <c r="K179" s="3"/>
      <c r="L179" s="3"/>
    </row>
    <row r="180" spans="1:12" x14ac:dyDescent="0.25">
      <c r="A180" s="1"/>
      <c r="B180" s="1"/>
      <c r="C180" s="1"/>
      <c r="D180" s="1"/>
      <c r="E180" s="1"/>
      <c r="F180" s="1"/>
      <c r="G180" s="9"/>
      <c r="H180" s="1"/>
      <c r="I180" s="1"/>
      <c r="J180" s="1"/>
      <c r="K180" s="3"/>
      <c r="L180" s="3"/>
    </row>
    <row r="181" spans="1:12" x14ac:dyDescent="0.25">
      <c r="A181" s="1"/>
      <c r="B181" s="1"/>
      <c r="C181" s="1"/>
      <c r="D181" s="1"/>
      <c r="E181" s="1"/>
      <c r="F181" s="1"/>
      <c r="G181" s="9"/>
      <c r="H181" s="1"/>
      <c r="I181" s="1"/>
      <c r="J181" s="1"/>
      <c r="K181" s="3"/>
      <c r="L181" s="3"/>
    </row>
    <row r="182" spans="1:12" x14ac:dyDescent="0.25">
      <c r="A182" s="1"/>
      <c r="B182" s="1"/>
      <c r="C182" s="1"/>
      <c r="D182" s="1"/>
      <c r="E182" s="1"/>
      <c r="F182" s="1"/>
      <c r="G182" s="9"/>
      <c r="H182" s="1"/>
      <c r="I182" s="1"/>
      <c r="J182" s="1"/>
      <c r="K182" s="3"/>
      <c r="L182" s="3"/>
    </row>
    <row r="183" spans="1:12" x14ac:dyDescent="0.25">
      <c r="A183" s="1"/>
      <c r="B183" s="1"/>
      <c r="C183" s="1"/>
      <c r="D183" s="1"/>
      <c r="E183" s="1"/>
      <c r="F183" s="1"/>
      <c r="G183" s="9"/>
      <c r="H183" s="1"/>
      <c r="I183" s="1"/>
      <c r="J183" s="1"/>
      <c r="K183" s="3"/>
      <c r="L183" s="3"/>
    </row>
    <row r="184" spans="1:12" x14ac:dyDescent="0.25">
      <c r="A184" s="1"/>
      <c r="B184" s="1"/>
      <c r="C184" s="1"/>
      <c r="D184" s="1"/>
      <c r="E184" s="1"/>
      <c r="F184" s="1"/>
      <c r="G184" s="9"/>
      <c r="H184" s="1"/>
      <c r="I184" s="1"/>
      <c r="J184" s="1"/>
      <c r="K184" s="3"/>
      <c r="L184" s="3"/>
    </row>
    <row r="185" spans="1:12" x14ac:dyDescent="0.25">
      <c r="A185" s="1"/>
      <c r="B185" s="1"/>
      <c r="C185" s="1"/>
      <c r="D185" s="1"/>
      <c r="E185" s="1"/>
      <c r="F185" s="1"/>
      <c r="G185" s="9"/>
      <c r="H185" s="1"/>
      <c r="I185" s="1"/>
      <c r="J185" s="1"/>
      <c r="K185" s="3"/>
      <c r="L185" s="3"/>
    </row>
    <row r="186" spans="1:12" x14ac:dyDescent="0.25">
      <c r="A186" s="1"/>
      <c r="B186" s="1"/>
      <c r="C186" s="1"/>
      <c r="D186" s="1"/>
      <c r="E186" s="1"/>
      <c r="F186" s="1"/>
      <c r="G186" s="9"/>
      <c r="H186" s="1"/>
      <c r="I186" s="1"/>
      <c r="J186" s="1"/>
      <c r="K186" s="3"/>
      <c r="L186" s="3"/>
    </row>
    <row r="187" spans="1:12" x14ac:dyDescent="0.25">
      <c r="A187" s="1"/>
      <c r="B187" s="1"/>
      <c r="C187" s="1"/>
      <c r="D187" s="1"/>
      <c r="E187" s="1"/>
      <c r="F187" s="1"/>
      <c r="G187" s="9"/>
      <c r="H187" s="1"/>
      <c r="I187" s="1"/>
      <c r="J187" s="1"/>
      <c r="K187" s="3"/>
      <c r="L187" s="3"/>
    </row>
    <row r="188" spans="1:12" x14ac:dyDescent="0.25">
      <c r="A188" s="1"/>
      <c r="B188" s="1"/>
      <c r="C188" s="1"/>
      <c r="D188" s="1"/>
      <c r="E188" s="1"/>
      <c r="F188" s="1"/>
      <c r="G188" s="9"/>
      <c r="H188" s="1"/>
      <c r="I188" s="1"/>
      <c r="J188" s="1"/>
      <c r="K188" s="3"/>
      <c r="L188" s="3"/>
    </row>
    <row r="189" spans="1:12" x14ac:dyDescent="0.25">
      <c r="A189" s="1"/>
      <c r="B189" s="1"/>
      <c r="C189" s="1"/>
      <c r="D189" s="1"/>
      <c r="E189" s="1"/>
      <c r="F189" s="1"/>
      <c r="G189" s="9"/>
      <c r="H189" s="1"/>
      <c r="I189" s="1"/>
      <c r="J189" s="1"/>
      <c r="K189" s="3"/>
      <c r="L189" s="3"/>
    </row>
    <row r="190" spans="1:12" x14ac:dyDescent="0.25">
      <c r="A190" s="1"/>
      <c r="B190" s="1"/>
      <c r="C190" s="1"/>
      <c r="D190" s="1"/>
      <c r="E190" s="1"/>
      <c r="F190" s="1"/>
      <c r="G190" s="9"/>
      <c r="H190" s="1"/>
      <c r="I190" s="1"/>
      <c r="J190" s="1"/>
      <c r="K190" s="3"/>
      <c r="L190" s="3"/>
    </row>
    <row r="191" spans="1:12" x14ac:dyDescent="0.25">
      <c r="A191" s="1"/>
      <c r="B191" s="1"/>
      <c r="C191" s="1"/>
      <c r="D191" s="1"/>
      <c r="E191" s="1"/>
      <c r="F191" s="1"/>
      <c r="G191" s="9"/>
      <c r="H191" s="1"/>
      <c r="I191" s="1"/>
      <c r="J191" s="1"/>
      <c r="K191" s="3"/>
      <c r="L191" s="3"/>
    </row>
    <row r="192" spans="1:12" x14ac:dyDescent="0.25">
      <c r="A192" s="1"/>
      <c r="B192" s="1"/>
      <c r="C192" s="1"/>
      <c r="D192" s="1"/>
      <c r="E192" s="1"/>
      <c r="F192" s="1"/>
      <c r="G192" s="9"/>
      <c r="H192" s="1"/>
      <c r="I192" s="1"/>
      <c r="J192" s="1"/>
      <c r="K192" s="3"/>
      <c r="L192" s="3"/>
    </row>
    <row r="193" spans="1:12" x14ac:dyDescent="0.25">
      <c r="A193" s="1"/>
      <c r="B193" s="1"/>
      <c r="C193" s="1"/>
      <c r="D193" s="1"/>
      <c r="E193" s="1"/>
      <c r="F193" s="1"/>
      <c r="G193" s="9"/>
      <c r="H193" s="1"/>
      <c r="I193" s="1"/>
      <c r="J193" s="1"/>
      <c r="K193" s="3"/>
      <c r="L193" s="3"/>
    </row>
    <row r="194" spans="1:12" x14ac:dyDescent="0.25">
      <c r="A194" s="1"/>
      <c r="B194" s="1"/>
      <c r="C194" s="1"/>
      <c r="D194" s="1"/>
      <c r="E194" s="1"/>
      <c r="F194" s="1"/>
      <c r="G194" s="9"/>
      <c r="H194" s="1"/>
      <c r="I194" s="1"/>
      <c r="J194" s="1"/>
      <c r="K194" s="3"/>
      <c r="L194" s="3"/>
    </row>
    <row r="195" spans="1:12" x14ac:dyDescent="0.25">
      <c r="A195" s="1"/>
      <c r="B195" s="1"/>
      <c r="C195" s="1"/>
      <c r="D195" s="1"/>
      <c r="E195" s="1"/>
      <c r="F195" s="1"/>
      <c r="G195" s="9"/>
      <c r="H195" s="1"/>
      <c r="I195" s="1"/>
      <c r="J195" s="1"/>
      <c r="K195" s="3"/>
      <c r="L195" s="3"/>
    </row>
    <row r="196" spans="1:12" x14ac:dyDescent="0.25">
      <c r="A196" s="1"/>
      <c r="B196" s="1"/>
      <c r="C196" s="1"/>
      <c r="D196" s="1"/>
      <c r="E196" s="1"/>
      <c r="F196" s="1"/>
      <c r="G196" s="9"/>
      <c r="H196" s="1"/>
      <c r="I196" s="1"/>
      <c r="J196" s="1"/>
      <c r="K196" s="3"/>
      <c r="L196" s="3"/>
    </row>
    <row r="197" spans="1:12" x14ac:dyDescent="0.25">
      <c r="A197" s="1"/>
      <c r="B197" s="1"/>
      <c r="C197" s="1"/>
      <c r="D197" s="1"/>
      <c r="E197" s="1"/>
      <c r="F197" s="1"/>
      <c r="G197" s="9"/>
      <c r="H197" s="1"/>
      <c r="I197" s="1"/>
      <c r="J197" s="1"/>
      <c r="K197" s="3"/>
      <c r="L197" s="3"/>
    </row>
    <row r="198" spans="1:12" x14ac:dyDescent="0.25">
      <c r="A198" s="1"/>
      <c r="B198" s="1"/>
      <c r="C198" s="1"/>
      <c r="D198" s="1"/>
      <c r="E198" s="1"/>
      <c r="F198" s="1"/>
      <c r="G198" s="9"/>
      <c r="H198" s="1"/>
      <c r="I198" s="1"/>
      <c r="J198" s="1"/>
      <c r="K198" s="3"/>
      <c r="L198" s="3"/>
    </row>
    <row r="199" spans="1:12" x14ac:dyDescent="0.25">
      <c r="A199" s="1"/>
      <c r="B199" s="1"/>
      <c r="C199" s="1"/>
      <c r="D199" s="1"/>
      <c r="E199" s="1"/>
      <c r="F199" s="1"/>
      <c r="G199" s="9"/>
      <c r="H199" s="1"/>
      <c r="I199" s="1"/>
      <c r="J199" s="1"/>
      <c r="K199" s="3"/>
      <c r="L199" s="3"/>
    </row>
    <row r="200" spans="1:12" x14ac:dyDescent="0.25">
      <c r="A200" s="1"/>
      <c r="B200" s="1"/>
      <c r="C200" s="1"/>
      <c r="D200" s="1"/>
      <c r="E200" s="1"/>
      <c r="F200" s="1"/>
      <c r="G200" s="9"/>
      <c r="H200" s="1"/>
      <c r="I200" s="1"/>
      <c r="J200" s="1"/>
      <c r="K200" s="3"/>
      <c r="L200" s="3"/>
    </row>
    <row r="201" spans="1:12" x14ac:dyDescent="0.25">
      <c r="A201" s="1"/>
      <c r="B201" s="1"/>
      <c r="C201" s="1"/>
      <c r="D201" s="1"/>
      <c r="E201" s="1"/>
      <c r="F201" s="1"/>
      <c r="G201" s="9"/>
      <c r="H201" s="1"/>
      <c r="I201" s="1"/>
      <c r="J201" s="1"/>
      <c r="K201" s="3"/>
      <c r="L201" s="3"/>
    </row>
    <row r="202" spans="1:12" x14ac:dyDescent="0.25">
      <c r="A202" s="1"/>
      <c r="B202" s="1"/>
      <c r="C202" s="1"/>
      <c r="D202" s="1"/>
      <c r="E202" s="1"/>
      <c r="F202" s="1"/>
      <c r="G202" s="9"/>
      <c r="H202" s="1"/>
      <c r="I202" s="1"/>
      <c r="J202" s="1"/>
      <c r="K202" s="3"/>
      <c r="L202" s="3"/>
    </row>
    <row r="203" spans="1:12" x14ac:dyDescent="0.25">
      <c r="A203" s="1"/>
      <c r="B203" s="1"/>
      <c r="C203" s="1"/>
      <c r="D203" s="1"/>
      <c r="E203" s="1"/>
      <c r="F203" s="1"/>
      <c r="G203" s="9"/>
      <c r="H203" s="1"/>
      <c r="I203" s="1"/>
      <c r="J203" s="1"/>
      <c r="K203" s="3"/>
      <c r="L203" s="3"/>
    </row>
    <row r="204" spans="1:12" x14ac:dyDescent="0.25">
      <c r="A204" s="1"/>
      <c r="B204" s="1"/>
      <c r="C204" s="1"/>
      <c r="D204" s="1"/>
      <c r="E204" s="1"/>
      <c r="F204" s="1"/>
      <c r="G204" s="9"/>
      <c r="H204" s="1"/>
      <c r="I204" s="1"/>
      <c r="J204" s="1"/>
      <c r="K204" s="3"/>
      <c r="L204" s="3"/>
    </row>
    <row r="205" spans="1:12" x14ac:dyDescent="0.25">
      <c r="A205" s="1"/>
      <c r="B205" s="1"/>
      <c r="C205" s="1"/>
      <c r="D205" s="1"/>
      <c r="E205" s="1"/>
      <c r="F205" s="1"/>
      <c r="G205" s="9"/>
      <c r="H205" s="1"/>
      <c r="I205" s="1"/>
      <c r="J205" s="1"/>
      <c r="K205" s="3"/>
      <c r="L205" s="3"/>
    </row>
    <row r="206" spans="1:12" x14ac:dyDescent="0.25">
      <c r="A206" s="1"/>
      <c r="B206" s="1"/>
      <c r="C206" s="1"/>
      <c r="D206" s="1"/>
      <c r="E206" s="1"/>
      <c r="F206" s="1"/>
      <c r="G206" s="9"/>
      <c r="H206" s="1"/>
      <c r="I206" s="1"/>
      <c r="J206" s="1"/>
      <c r="K206" s="3"/>
      <c r="L206" s="3"/>
    </row>
    <row r="207" spans="1:12" x14ac:dyDescent="0.25">
      <c r="A207" s="1"/>
      <c r="B207" s="1"/>
      <c r="C207" s="1"/>
      <c r="D207" s="1"/>
      <c r="E207" s="1"/>
      <c r="F207" s="1"/>
      <c r="G207" s="9"/>
      <c r="H207" s="1"/>
      <c r="I207" s="1"/>
      <c r="J207" s="1"/>
      <c r="K207" s="3"/>
      <c r="L207" s="3"/>
    </row>
    <row r="208" spans="1:12" x14ac:dyDescent="0.25">
      <c r="A208" s="1"/>
      <c r="B208" s="1"/>
      <c r="C208" s="1"/>
      <c r="D208" s="1"/>
      <c r="E208" s="1"/>
      <c r="F208" s="1"/>
      <c r="G208" s="9"/>
      <c r="H208" s="1"/>
      <c r="I208" s="1"/>
      <c r="J208" s="1"/>
      <c r="K208" s="3"/>
      <c r="L208" s="3"/>
    </row>
    <row r="209" spans="1:12" x14ac:dyDescent="0.25">
      <c r="A209" s="1"/>
      <c r="B209" s="1"/>
      <c r="C209" s="1"/>
      <c r="D209" s="1"/>
      <c r="E209" s="1"/>
      <c r="F209" s="1"/>
      <c r="G209" s="9"/>
      <c r="H209" s="1"/>
      <c r="I209" s="1"/>
      <c r="J209" s="1"/>
      <c r="K209" s="3"/>
      <c r="L209" s="3"/>
    </row>
    <row r="210" spans="1:12" x14ac:dyDescent="0.25">
      <c r="A210" s="1"/>
      <c r="B210" s="1"/>
      <c r="C210" s="1"/>
      <c r="D210" s="1"/>
      <c r="E210" s="1"/>
      <c r="F210" s="1"/>
      <c r="G210" s="9"/>
      <c r="H210" s="1"/>
      <c r="I210" s="1"/>
      <c r="J210" s="1"/>
      <c r="K210" s="3"/>
      <c r="L210" s="3"/>
    </row>
    <row r="211" spans="1:12" x14ac:dyDescent="0.25">
      <c r="A211" s="1"/>
      <c r="B211" s="1"/>
      <c r="C211" s="1"/>
      <c r="D211" s="1"/>
      <c r="E211" s="1"/>
      <c r="F211" s="1"/>
      <c r="G211" s="9"/>
      <c r="H211" s="1"/>
      <c r="I211" s="1"/>
      <c r="J211" s="1"/>
      <c r="K211" s="3"/>
      <c r="L211" s="3"/>
    </row>
    <row r="212" spans="1:12" x14ac:dyDescent="0.25">
      <c r="A212" s="1"/>
      <c r="B212" s="1"/>
      <c r="C212" s="1"/>
      <c r="D212" s="1"/>
      <c r="E212" s="1"/>
      <c r="F212" s="1"/>
      <c r="G212" s="9"/>
      <c r="H212" s="1"/>
      <c r="I212" s="1"/>
      <c r="J212" s="1"/>
      <c r="K212" s="3"/>
      <c r="L212" s="3"/>
    </row>
    <row r="213" spans="1:12" x14ac:dyDescent="0.25">
      <c r="A213" s="1"/>
      <c r="B213" s="1"/>
      <c r="C213" s="1"/>
      <c r="D213" s="1"/>
      <c r="E213" s="1"/>
      <c r="F213" s="1"/>
      <c r="G213" s="9"/>
      <c r="H213" s="1"/>
      <c r="I213" s="1"/>
      <c r="J213" s="1"/>
      <c r="K213" s="3"/>
      <c r="L213" s="3"/>
    </row>
    <row r="214" spans="1:12" x14ac:dyDescent="0.25">
      <c r="A214" s="1"/>
      <c r="B214" s="1"/>
      <c r="C214" s="1"/>
      <c r="D214" s="1"/>
      <c r="E214" s="1"/>
      <c r="F214" s="1"/>
      <c r="G214" s="9"/>
      <c r="H214" s="1"/>
      <c r="I214" s="1"/>
      <c r="J214" s="1"/>
      <c r="K214" s="3"/>
      <c r="L214" s="3"/>
    </row>
    <row r="215" spans="1:12" x14ac:dyDescent="0.25">
      <c r="A215" s="1"/>
      <c r="B215" s="1"/>
      <c r="C215" s="1"/>
      <c r="D215" s="1"/>
      <c r="E215" s="1"/>
      <c r="F215" s="1"/>
      <c r="G215" s="9"/>
      <c r="H215" s="1"/>
      <c r="I215" s="1"/>
      <c r="J215" s="1"/>
      <c r="K215" s="3"/>
      <c r="L215" s="3"/>
    </row>
    <row r="216" spans="1:12" x14ac:dyDescent="0.25">
      <c r="A216" s="1"/>
      <c r="B216" s="1"/>
      <c r="C216" s="1"/>
      <c r="D216" s="1"/>
      <c r="E216" s="1"/>
      <c r="F216" s="1"/>
      <c r="G216" s="9"/>
      <c r="H216" s="1"/>
      <c r="I216" s="1"/>
      <c r="J216" s="1"/>
      <c r="K216" s="3"/>
      <c r="L216" s="3"/>
    </row>
    <row r="217" spans="1:12" x14ac:dyDescent="0.25">
      <c r="A217" s="1"/>
      <c r="B217" s="1"/>
      <c r="C217" s="1"/>
      <c r="D217" s="1"/>
      <c r="E217" s="1"/>
      <c r="F217" s="1"/>
      <c r="G217" s="9"/>
      <c r="H217" s="1"/>
      <c r="I217" s="1"/>
      <c r="J217" s="1"/>
      <c r="K217" s="3"/>
      <c r="L217" s="3"/>
    </row>
    <row r="218" spans="1:12" x14ac:dyDescent="0.25">
      <c r="A218" s="1"/>
      <c r="B218" s="1"/>
      <c r="C218" s="1"/>
      <c r="D218" s="1"/>
      <c r="E218" s="1"/>
      <c r="F218" s="1"/>
      <c r="G218" s="9"/>
      <c r="H218" s="1"/>
      <c r="I218" s="1"/>
      <c r="J218" s="1"/>
      <c r="K218" s="3"/>
      <c r="L218" s="3"/>
    </row>
    <row r="219" spans="1:12" x14ac:dyDescent="0.25">
      <c r="A219" s="1"/>
      <c r="B219" s="1"/>
      <c r="C219" s="1"/>
      <c r="D219" s="1"/>
      <c r="E219" s="1"/>
      <c r="F219" s="1"/>
      <c r="G219" s="9"/>
      <c r="H219" s="1"/>
      <c r="I219" s="1"/>
      <c r="J219" s="1"/>
      <c r="K219" s="3"/>
      <c r="L219" s="3"/>
    </row>
    <row r="220" spans="1:12" x14ac:dyDescent="0.25">
      <c r="A220" s="1"/>
      <c r="B220" s="1"/>
      <c r="C220" s="1"/>
      <c r="D220" s="1"/>
      <c r="E220" s="1"/>
      <c r="F220" s="1"/>
      <c r="G220" s="9"/>
      <c r="H220" s="1"/>
      <c r="I220" s="1"/>
      <c r="J220" s="1"/>
      <c r="K220" s="3"/>
      <c r="L220" s="3"/>
    </row>
    <row r="221" spans="1:12" x14ac:dyDescent="0.25">
      <c r="A221" s="1"/>
      <c r="B221" s="1"/>
      <c r="C221" s="1"/>
      <c r="D221" s="1"/>
      <c r="E221" s="1"/>
      <c r="F221" s="1"/>
      <c r="G221" s="9"/>
      <c r="H221" s="1"/>
      <c r="I221" s="1"/>
      <c r="J221" s="1"/>
      <c r="K221" s="3"/>
      <c r="L221" s="3"/>
    </row>
    <row r="222" spans="1:12" x14ac:dyDescent="0.25">
      <c r="A222" s="1"/>
      <c r="B222" s="1"/>
      <c r="C222" s="1"/>
      <c r="D222" s="1"/>
      <c r="E222" s="1"/>
      <c r="F222" s="1"/>
      <c r="G222" s="9"/>
      <c r="H222" s="1"/>
      <c r="I222" s="1"/>
      <c r="J222" s="1"/>
      <c r="K222" s="3"/>
      <c r="L222" s="3"/>
    </row>
    <row r="223" spans="1:12" x14ac:dyDescent="0.25">
      <c r="A223" s="1"/>
      <c r="B223" s="1"/>
      <c r="C223" s="1"/>
      <c r="D223" s="1"/>
      <c r="E223" s="1"/>
      <c r="F223" s="1"/>
      <c r="G223" s="9"/>
      <c r="H223" s="1"/>
      <c r="I223" s="1"/>
      <c r="J223" s="1"/>
      <c r="K223" s="3"/>
      <c r="L223" s="3"/>
    </row>
    <row r="224" spans="1:12" x14ac:dyDescent="0.25">
      <c r="A224" s="1"/>
      <c r="B224" s="1"/>
      <c r="C224" s="1"/>
      <c r="D224" s="1"/>
      <c r="E224" s="1"/>
      <c r="F224" s="1"/>
      <c r="G224" s="9"/>
      <c r="H224" s="1"/>
      <c r="I224" s="1"/>
      <c r="J224" s="1"/>
      <c r="K224" s="3"/>
      <c r="L224" s="3"/>
    </row>
    <row r="225" spans="1:12" x14ac:dyDescent="0.25">
      <c r="A225" s="1"/>
      <c r="B225" s="1"/>
      <c r="C225" s="1"/>
      <c r="D225" s="1"/>
      <c r="E225" s="1"/>
      <c r="F225" s="1"/>
      <c r="G225" s="9"/>
      <c r="H225" s="1"/>
      <c r="I225" s="1"/>
      <c r="J225" s="1"/>
      <c r="K225" s="3"/>
      <c r="L225" s="3"/>
    </row>
    <row r="226" spans="1:12" x14ac:dyDescent="0.25">
      <c r="A226" s="1"/>
      <c r="B226" s="1"/>
      <c r="C226" s="1"/>
      <c r="D226" s="1"/>
      <c r="E226" s="1"/>
      <c r="F226" s="1"/>
      <c r="G226" s="9"/>
      <c r="H226" s="1"/>
      <c r="I226" s="1"/>
      <c r="J226" s="1"/>
      <c r="K226" s="3"/>
      <c r="L226" s="3"/>
    </row>
    <row r="227" spans="1:12" x14ac:dyDescent="0.25">
      <c r="A227" s="1"/>
      <c r="B227" s="1"/>
      <c r="C227" s="1"/>
      <c r="D227" s="1"/>
      <c r="E227" s="1"/>
      <c r="F227" s="1"/>
      <c r="G227" s="9"/>
      <c r="H227" s="1"/>
      <c r="I227" s="1"/>
      <c r="J227" s="1"/>
      <c r="K227" s="3"/>
      <c r="L227" s="3"/>
    </row>
    <row r="228" spans="1:12" x14ac:dyDescent="0.25">
      <c r="A228" s="1"/>
      <c r="B228" s="1"/>
      <c r="C228" s="1"/>
      <c r="D228" s="1"/>
      <c r="E228" s="1"/>
      <c r="F228" s="1"/>
      <c r="G228" s="9"/>
      <c r="H228" s="1"/>
      <c r="I228" s="1"/>
      <c r="J228" s="1"/>
      <c r="K228" s="3"/>
      <c r="L228" s="3"/>
    </row>
    <row r="229" spans="1:12" x14ac:dyDescent="0.25">
      <c r="A229" s="1"/>
      <c r="B229" s="1"/>
      <c r="C229" s="1"/>
      <c r="D229" s="1"/>
      <c r="E229" s="1"/>
      <c r="F229" s="1"/>
      <c r="G229" s="9"/>
      <c r="H229" s="1"/>
      <c r="I229" s="1"/>
      <c r="J229" s="1"/>
      <c r="K229" s="3"/>
      <c r="L229" s="3"/>
    </row>
    <row r="230" spans="1:12" x14ac:dyDescent="0.25">
      <c r="A230" s="1"/>
      <c r="B230" s="1"/>
      <c r="C230" s="1"/>
      <c r="D230" s="1"/>
      <c r="E230" s="1"/>
      <c r="F230" s="1"/>
      <c r="G230" s="9"/>
      <c r="H230" s="1"/>
      <c r="I230" s="1"/>
      <c r="J230" s="1"/>
      <c r="K230" s="3"/>
      <c r="L230" s="3"/>
    </row>
    <row r="231" spans="1:12" x14ac:dyDescent="0.25">
      <c r="A231" s="1"/>
      <c r="B231" s="1"/>
      <c r="C231" s="1"/>
      <c r="D231" s="1"/>
      <c r="E231" s="1"/>
      <c r="F231" s="1"/>
      <c r="G231" s="9"/>
      <c r="H231" s="1"/>
      <c r="I231" s="1"/>
      <c r="J231" s="1"/>
      <c r="K231" s="3"/>
      <c r="L231" s="3"/>
    </row>
    <row r="232" spans="1:12" x14ac:dyDescent="0.25">
      <c r="A232" s="1"/>
      <c r="B232" s="1"/>
      <c r="C232" s="1"/>
      <c r="D232" s="1"/>
      <c r="E232" s="1"/>
      <c r="F232" s="1"/>
      <c r="G232" s="9"/>
      <c r="H232" s="1"/>
      <c r="I232" s="1"/>
      <c r="J232" s="1"/>
      <c r="K232" s="3"/>
      <c r="L232" s="3"/>
    </row>
    <row r="233" spans="1:12" x14ac:dyDescent="0.25">
      <c r="A233" s="1"/>
      <c r="B233" s="1"/>
      <c r="C233" s="1"/>
      <c r="D233" s="1"/>
      <c r="E233" s="1"/>
      <c r="F233" s="1"/>
      <c r="G233" s="9"/>
      <c r="H233" s="1"/>
      <c r="I233" s="1"/>
      <c r="J233" s="1"/>
      <c r="K233" s="3"/>
      <c r="L233" s="3"/>
    </row>
    <row r="234" spans="1:12" x14ac:dyDescent="0.25">
      <c r="A234" s="1"/>
      <c r="B234" s="1"/>
      <c r="C234" s="1"/>
      <c r="D234" s="1"/>
      <c r="E234" s="1"/>
      <c r="F234" s="1"/>
      <c r="G234" s="9"/>
      <c r="H234" s="1"/>
      <c r="I234" s="1"/>
      <c r="J234" s="1"/>
      <c r="K234" s="3"/>
      <c r="L234" s="3"/>
    </row>
    <row r="235" spans="1:12" x14ac:dyDescent="0.25">
      <c r="A235" s="1"/>
      <c r="B235" s="1"/>
      <c r="C235" s="1"/>
      <c r="D235" s="1"/>
      <c r="E235" s="1"/>
      <c r="F235" s="1"/>
      <c r="G235" s="9"/>
      <c r="H235" s="1"/>
      <c r="I235" s="1"/>
      <c r="J235" s="1"/>
      <c r="K235" s="3"/>
      <c r="L235" s="3"/>
    </row>
    <row r="236" spans="1:12" x14ac:dyDescent="0.25">
      <c r="A236" s="1"/>
      <c r="B236" s="1"/>
      <c r="C236" s="1"/>
      <c r="D236" s="1"/>
      <c r="E236" s="1"/>
      <c r="F236" s="1"/>
      <c r="G236" s="9"/>
      <c r="H236" s="1"/>
      <c r="I236" s="1"/>
      <c r="J236" s="1"/>
      <c r="K236" s="3"/>
      <c r="L236" s="3"/>
    </row>
    <row r="237" spans="1:12" x14ac:dyDescent="0.25">
      <c r="A237" s="1"/>
      <c r="B237" s="1"/>
      <c r="C237" s="1"/>
      <c r="D237" s="1"/>
      <c r="E237" s="1"/>
      <c r="F237" s="1"/>
      <c r="G237" s="9"/>
      <c r="H237" s="1"/>
      <c r="I237" s="1"/>
      <c r="J237" s="1"/>
      <c r="K237" s="3"/>
      <c r="L237" s="3"/>
    </row>
    <row r="238" spans="1:12" x14ac:dyDescent="0.25">
      <c r="A238" s="1"/>
      <c r="B238" s="1"/>
      <c r="C238" s="1"/>
      <c r="D238" s="1"/>
      <c r="E238" s="1"/>
      <c r="F238" s="1"/>
      <c r="G238" s="9"/>
      <c r="H238" s="1"/>
      <c r="I238" s="1"/>
      <c r="J238" s="1"/>
      <c r="K238" s="3"/>
      <c r="L238" s="3"/>
    </row>
    <row r="239" spans="1:12" x14ac:dyDescent="0.25">
      <c r="A239" s="1"/>
      <c r="B239" s="1"/>
      <c r="C239" s="1"/>
      <c r="D239" s="1"/>
      <c r="E239" s="1"/>
      <c r="F239" s="1"/>
      <c r="G239" s="9"/>
      <c r="H239" s="1"/>
      <c r="I239" s="1"/>
      <c r="J239" s="1"/>
      <c r="K239" s="3"/>
      <c r="L239" s="3"/>
    </row>
    <row r="240" spans="1:12" x14ac:dyDescent="0.25">
      <c r="A240" s="1"/>
      <c r="B240" s="1"/>
      <c r="C240" s="1"/>
      <c r="D240" s="1"/>
      <c r="E240" s="1"/>
      <c r="F240" s="1"/>
      <c r="G240" s="9"/>
      <c r="H240" s="1"/>
      <c r="I240" s="1"/>
      <c r="J240" s="1"/>
      <c r="K240" s="3"/>
      <c r="L240" s="3"/>
    </row>
    <row r="241" spans="1:12" x14ac:dyDescent="0.25">
      <c r="A241" s="1"/>
      <c r="B241" s="1"/>
      <c r="C241" s="1"/>
      <c r="D241" s="1"/>
      <c r="E241" s="1"/>
      <c r="F241" s="1"/>
      <c r="G241" s="9"/>
      <c r="H241" s="1"/>
      <c r="I241" s="1"/>
      <c r="J241" s="1"/>
      <c r="K241" s="3"/>
      <c r="L241" s="3"/>
    </row>
    <row r="242" spans="1:12" x14ac:dyDescent="0.25">
      <c r="A242" s="1"/>
      <c r="B242" s="1"/>
      <c r="C242" s="1"/>
      <c r="D242" s="1"/>
      <c r="E242" s="1"/>
      <c r="F242" s="1"/>
      <c r="G242" s="9"/>
      <c r="H242" s="1"/>
      <c r="I242" s="1"/>
      <c r="J242" s="1"/>
      <c r="K242" s="3"/>
      <c r="L242" s="3"/>
    </row>
    <row r="243" spans="1:12" x14ac:dyDescent="0.25">
      <c r="A243" s="1"/>
      <c r="B243" s="1"/>
      <c r="C243" s="1"/>
      <c r="D243" s="1"/>
      <c r="E243" s="1"/>
      <c r="F243" s="1"/>
      <c r="G243" s="9"/>
      <c r="H243" s="1"/>
      <c r="I243" s="1"/>
      <c r="J243" s="1"/>
      <c r="K243" s="3"/>
      <c r="L243" s="3"/>
    </row>
    <row r="244" spans="1:12" x14ac:dyDescent="0.25">
      <c r="A244" s="1"/>
      <c r="B244" s="1"/>
      <c r="C244" s="1"/>
      <c r="D244" s="1"/>
      <c r="E244" s="1"/>
      <c r="F244" s="1"/>
      <c r="G244" s="9"/>
      <c r="H244" s="1"/>
      <c r="I244" s="1"/>
      <c r="J244" s="1"/>
      <c r="K244" s="3"/>
      <c r="L244" s="3"/>
    </row>
    <row r="245" spans="1:12" x14ac:dyDescent="0.25">
      <c r="A245" s="1"/>
      <c r="B245" s="1"/>
      <c r="C245" s="1"/>
      <c r="D245" s="1"/>
      <c r="E245" s="1"/>
      <c r="F245" s="1"/>
      <c r="G245" s="9"/>
      <c r="H245" s="1"/>
      <c r="I245" s="1"/>
      <c r="J245" s="1"/>
      <c r="K245" s="3"/>
      <c r="L245" s="3"/>
    </row>
    <row r="246" spans="1:12" x14ac:dyDescent="0.25">
      <c r="A246" s="1"/>
      <c r="B246" s="1"/>
      <c r="C246" s="1"/>
      <c r="D246" s="1"/>
      <c r="E246" s="1"/>
      <c r="F246" s="1"/>
      <c r="G246" s="9"/>
      <c r="H246" s="1"/>
      <c r="I246" s="1"/>
      <c r="J246" s="1"/>
      <c r="K246" s="3"/>
      <c r="L246" s="3"/>
    </row>
    <row r="247" spans="1:12" x14ac:dyDescent="0.25">
      <c r="A247" s="1"/>
      <c r="B247" s="1"/>
      <c r="C247" s="1"/>
      <c r="D247" s="1"/>
      <c r="E247" s="1"/>
      <c r="F247" s="1"/>
      <c r="G247" s="9"/>
      <c r="H247" s="1"/>
      <c r="I247" s="1"/>
      <c r="J247" s="1"/>
      <c r="K247" s="3"/>
      <c r="L247" s="3"/>
    </row>
    <row r="248" spans="1:12" x14ac:dyDescent="0.25">
      <c r="A248" s="1"/>
      <c r="B248" s="1"/>
      <c r="C248" s="1"/>
      <c r="D248" s="1"/>
      <c r="E248" s="1"/>
      <c r="F248" s="1"/>
      <c r="G248" s="9"/>
      <c r="H248" s="1"/>
      <c r="I248" s="1"/>
      <c r="J248" s="1"/>
      <c r="K248" s="3"/>
      <c r="L248" s="3"/>
    </row>
    <row r="249" spans="1:12" x14ac:dyDescent="0.25">
      <c r="A249" s="1"/>
      <c r="B249" s="1"/>
      <c r="C249" s="1"/>
      <c r="D249" s="1"/>
      <c r="E249" s="1"/>
      <c r="F249" s="1"/>
      <c r="G249" s="9"/>
      <c r="H249" s="1"/>
      <c r="I249" s="1"/>
      <c r="J249" s="1"/>
      <c r="K249" s="3"/>
      <c r="L249" s="3"/>
    </row>
    <row r="250" spans="1:12" x14ac:dyDescent="0.25">
      <c r="A250" s="1"/>
      <c r="B250" s="1"/>
      <c r="C250" s="1"/>
      <c r="D250" s="1"/>
      <c r="E250" s="1"/>
      <c r="F250" s="1"/>
      <c r="G250" s="9"/>
      <c r="H250" s="1"/>
      <c r="I250" s="1"/>
      <c r="J250" s="1"/>
      <c r="K250" s="3"/>
      <c r="L250" s="3"/>
    </row>
    <row r="251" spans="1:12" x14ac:dyDescent="0.25">
      <c r="A251" s="1"/>
      <c r="B251" s="1"/>
      <c r="C251" s="1"/>
      <c r="D251" s="1"/>
      <c r="E251" s="1"/>
      <c r="F251" s="1"/>
      <c r="G251" s="9"/>
      <c r="H251" s="1"/>
      <c r="I251" s="1"/>
      <c r="J251" s="1"/>
      <c r="K251" s="3"/>
      <c r="L251" s="3"/>
    </row>
    <row r="252" spans="1:12" x14ac:dyDescent="0.25">
      <c r="A252" s="1"/>
      <c r="B252" s="1"/>
      <c r="C252" s="1"/>
      <c r="D252" s="1"/>
      <c r="E252" s="1"/>
      <c r="F252" s="1"/>
      <c r="G252" s="9"/>
      <c r="H252" s="1"/>
      <c r="I252" s="1"/>
      <c r="J252" s="1"/>
      <c r="K252" s="3"/>
      <c r="L252" s="3"/>
    </row>
    <row r="253" spans="1:12" x14ac:dyDescent="0.25">
      <c r="A253" s="1"/>
      <c r="B253" s="1"/>
      <c r="C253" s="1"/>
      <c r="D253" s="1"/>
      <c r="E253" s="1"/>
      <c r="F253" s="1"/>
      <c r="G253" s="9"/>
      <c r="H253" s="1"/>
      <c r="I253" s="1"/>
      <c r="J253" s="1"/>
      <c r="K253" s="3"/>
      <c r="L253" s="3"/>
    </row>
    <row r="254" spans="1:12" x14ac:dyDescent="0.25">
      <c r="A254" s="1"/>
      <c r="B254" s="1"/>
      <c r="C254" s="1"/>
      <c r="D254" s="1"/>
      <c r="E254" s="1"/>
      <c r="F254" s="1"/>
      <c r="G254" s="9"/>
      <c r="H254" s="1"/>
      <c r="I254" s="1"/>
      <c r="J254" s="1"/>
      <c r="K254" s="3"/>
      <c r="L254" s="3"/>
    </row>
    <row r="255" spans="1:12" x14ac:dyDescent="0.25">
      <c r="A255" s="1"/>
      <c r="B255" s="1"/>
      <c r="C255" s="1"/>
      <c r="D255" s="1"/>
      <c r="E255" s="1"/>
      <c r="F255" s="1"/>
      <c r="G255" s="9"/>
      <c r="H255" s="1"/>
      <c r="I255" s="1"/>
      <c r="J255" s="1"/>
      <c r="K255" s="3"/>
      <c r="L255" s="3"/>
    </row>
    <row r="256" spans="1:12" x14ac:dyDescent="0.25">
      <c r="A256" s="1"/>
      <c r="B256" s="1"/>
      <c r="C256" s="1"/>
      <c r="D256" s="1"/>
      <c r="E256" s="1"/>
      <c r="F256" s="1"/>
      <c r="G256" s="9"/>
      <c r="H256" s="1"/>
      <c r="I256" s="1"/>
      <c r="J256" s="1"/>
      <c r="K256" s="3"/>
      <c r="L256" s="3"/>
    </row>
    <row r="257" spans="1:12" x14ac:dyDescent="0.25">
      <c r="A257" s="1"/>
      <c r="B257" s="1"/>
      <c r="C257" s="1"/>
      <c r="D257" s="1"/>
      <c r="E257" s="1"/>
      <c r="F257" s="1"/>
      <c r="G257" s="9"/>
      <c r="H257" s="1"/>
      <c r="I257" s="1"/>
      <c r="J257" s="1"/>
      <c r="K257" s="3"/>
      <c r="L257" s="3"/>
    </row>
    <row r="258" spans="1:12" x14ac:dyDescent="0.25">
      <c r="A258" s="1"/>
      <c r="B258" s="1"/>
      <c r="C258" s="1"/>
      <c r="D258" s="1"/>
      <c r="E258" s="1"/>
      <c r="F258" s="1"/>
      <c r="G258" s="9"/>
      <c r="H258" s="1"/>
      <c r="I258" s="1"/>
      <c r="J258" s="1"/>
      <c r="K258" s="3"/>
      <c r="L258" s="3"/>
    </row>
    <row r="259" spans="1:12" x14ac:dyDescent="0.25">
      <c r="A259" s="1"/>
      <c r="B259" s="1"/>
      <c r="C259" s="1"/>
      <c r="D259" s="1"/>
      <c r="E259" s="1"/>
      <c r="F259" s="1"/>
      <c r="G259" s="9"/>
      <c r="H259" s="1"/>
      <c r="I259" s="1"/>
      <c r="J259" s="1"/>
      <c r="K259" s="3"/>
      <c r="L259" s="3"/>
    </row>
    <row r="260" spans="1:12" x14ac:dyDescent="0.25">
      <c r="A260" s="1"/>
      <c r="B260" s="1"/>
      <c r="C260" s="1"/>
      <c r="D260" s="1"/>
      <c r="E260" s="1"/>
      <c r="F260" s="1"/>
      <c r="G260" s="9"/>
      <c r="H260" s="1"/>
      <c r="I260" s="1"/>
      <c r="J260" s="1"/>
      <c r="K260" s="3"/>
      <c r="L260" s="3"/>
    </row>
    <row r="261" spans="1:12" x14ac:dyDescent="0.25">
      <c r="A261" s="1"/>
      <c r="B261" s="1"/>
      <c r="C261" s="1"/>
      <c r="D261" s="1"/>
      <c r="E261" s="1"/>
      <c r="F261" s="1"/>
      <c r="G261" s="9"/>
      <c r="H261" s="1"/>
      <c r="I261" s="1"/>
      <c r="J261" s="1"/>
      <c r="K261" s="3"/>
      <c r="L261" s="3"/>
    </row>
    <row r="262" spans="1:12" x14ac:dyDescent="0.25">
      <c r="A262" s="1"/>
      <c r="B262" s="1"/>
      <c r="C262" s="1"/>
      <c r="D262" s="1"/>
      <c r="E262" s="1"/>
      <c r="F262" s="1"/>
      <c r="G262" s="9"/>
      <c r="H262" s="1"/>
      <c r="I262" s="1"/>
      <c r="J262" s="1"/>
      <c r="K262" s="3"/>
      <c r="L262" s="3"/>
    </row>
    <row r="263" spans="1:12" x14ac:dyDescent="0.25">
      <c r="A263" s="1"/>
      <c r="B263" s="1"/>
      <c r="C263" s="1"/>
      <c r="D263" s="1"/>
      <c r="E263" s="1"/>
      <c r="F263" s="1"/>
      <c r="G263" s="9"/>
      <c r="H263" s="1"/>
      <c r="I263" s="1"/>
      <c r="J263" s="1"/>
      <c r="K263" s="3"/>
      <c r="L263" s="3"/>
    </row>
    <row r="264" spans="1:12" x14ac:dyDescent="0.25">
      <c r="A264" s="1"/>
      <c r="B264" s="1"/>
      <c r="C264" s="1"/>
      <c r="D264" s="1"/>
      <c r="E264" s="1"/>
      <c r="F264" s="1"/>
      <c r="G264" s="9"/>
      <c r="H264" s="1"/>
      <c r="I264" s="1"/>
      <c r="J264" s="1"/>
      <c r="K264" s="3"/>
      <c r="L264" s="3"/>
    </row>
    <row r="265" spans="1:12" x14ac:dyDescent="0.25">
      <c r="A265" s="1"/>
      <c r="B265" s="1"/>
      <c r="C265" s="1"/>
      <c r="D265" s="1"/>
      <c r="E265" s="1"/>
      <c r="F265" s="1"/>
      <c r="G265" s="9"/>
      <c r="H265" s="1"/>
      <c r="I265" s="1"/>
      <c r="J265" s="1"/>
      <c r="K265" s="3"/>
      <c r="L265" s="3"/>
    </row>
    <row r="266" spans="1:12" x14ac:dyDescent="0.25">
      <c r="A266" s="1"/>
      <c r="B266" s="1"/>
      <c r="C266" s="1"/>
      <c r="D266" s="1"/>
      <c r="E266" s="1"/>
      <c r="F266" s="1"/>
      <c r="G266" s="9"/>
      <c r="H266" s="1"/>
      <c r="I266" s="1"/>
      <c r="J266" s="1"/>
      <c r="K266" s="3"/>
      <c r="L266" s="3"/>
    </row>
    <row r="267" spans="1:12" x14ac:dyDescent="0.25">
      <c r="A267" s="1"/>
      <c r="B267" s="1"/>
      <c r="C267" s="1"/>
      <c r="D267" s="1"/>
      <c r="E267" s="1"/>
      <c r="F267" s="1"/>
      <c r="G267" s="9"/>
      <c r="H267" s="1"/>
      <c r="I267" s="1"/>
      <c r="J267" s="1"/>
      <c r="K267" s="3"/>
      <c r="L267" s="3"/>
    </row>
    <row r="268" spans="1:12" x14ac:dyDescent="0.25">
      <c r="A268" s="1"/>
      <c r="B268" s="1"/>
      <c r="C268" s="1"/>
      <c r="D268" s="1"/>
      <c r="E268" s="1"/>
      <c r="F268" s="1"/>
      <c r="G268" s="9"/>
      <c r="H268" s="1"/>
      <c r="I268" s="1"/>
      <c r="J268" s="1"/>
      <c r="K268" s="3"/>
      <c r="L268" s="3"/>
    </row>
    <row r="269" spans="1:12" x14ac:dyDescent="0.25">
      <c r="A269" s="1"/>
      <c r="B269" s="1"/>
      <c r="C269" s="1"/>
      <c r="D269" s="1"/>
      <c r="E269" s="1"/>
      <c r="F269" s="1"/>
      <c r="G269" s="9"/>
      <c r="H269" s="1"/>
      <c r="I269" s="1"/>
      <c r="J269" s="1"/>
      <c r="K269" s="3"/>
      <c r="L269" s="3"/>
    </row>
    <row r="270" spans="1:12" x14ac:dyDescent="0.25">
      <c r="A270" s="1"/>
      <c r="B270" s="1"/>
      <c r="C270" s="1"/>
      <c r="D270" s="1"/>
      <c r="E270" s="1"/>
      <c r="F270" s="1"/>
      <c r="G270" s="9"/>
      <c r="H270" s="1"/>
      <c r="I270" s="1"/>
      <c r="J270" s="1"/>
      <c r="K270" s="3"/>
      <c r="L270" s="3"/>
    </row>
    <row r="271" spans="1:12" x14ac:dyDescent="0.25">
      <c r="A271" s="1"/>
      <c r="B271" s="1"/>
      <c r="C271" s="1"/>
      <c r="D271" s="1"/>
      <c r="E271" s="1"/>
      <c r="F271" s="1"/>
      <c r="G271" s="9"/>
      <c r="H271" s="1"/>
      <c r="I271" s="1"/>
      <c r="J271" s="1"/>
      <c r="K271" s="3"/>
      <c r="L271" s="3"/>
    </row>
    <row r="272" spans="1:12" x14ac:dyDescent="0.25">
      <c r="A272" s="1"/>
      <c r="B272" s="1"/>
      <c r="C272" s="1"/>
      <c r="D272" s="1"/>
      <c r="E272" s="1"/>
      <c r="F272" s="1"/>
      <c r="G272" s="9"/>
      <c r="H272" s="1"/>
      <c r="I272" s="1"/>
      <c r="J272" s="1"/>
      <c r="K272" s="3"/>
      <c r="L272" s="3"/>
    </row>
    <row r="273" spans="1:12" x14ac:dyDescent="0.25">
      <c r="A273" s="1"/>
      <c r="B273" s="1"/>
      <c r="C273" s="1"/>
      <c r="D273" s="1"/>
      <c r="E273" s="1"/>
      <c r="F273" s="1"/>
      <c r="G273" s="9"/>
      <c r="H273" s="1"/>
      <c r="I273" s="1"/>
      <c r="J273" s="1"/>
      <c r="K273" s="3"/>
      <c r="L273" s="3"/>
    </row>
    <row r="274" spans="1:12" x14ac:dyDescent="0.25">
      <c r="A274" s="1"/>
      <c r="B274" s="1"/>
      <c r="C274" s="1"/>
      <c r="D274" s="1"/>
      <c r="E274" s="1"/>
      <c r="F274" s="1"/>
      <c r="G274" s="9"/>
      <c r="H274" s="1"/>
      <c r="I274" s="1"/>
      <c r="J274" s="1"/>
      <c r="K274" s="3"/>
      <c r="L274" s="3"/>
    </row>
    <row r="275" spans="1:12" x14ac:dyDescent="0.25">
      <c r="A275" s="1"/>
      <c r="B275" s="1"/>
      <c r="C275" s="1"/>
      <c r="D275" s="1"/>
      <c r="E275" s="1"/>
      <c r="F275" s="1"/>
      <c r="G275" s="9"/>
      <c r="H275" s="1"/>
      <c r="I275" s="1"/>
      <c r="J275" s="1"/>
      <c r="K275" s="3"/>
      <c r="L275" s="3"/>
    </row>
    <row r="276" spans="1:12" x14ac:dyDescent="0.25">
      <c r="A276" s="1"/>
      <c r="B276" s="1"/>
      <c r="C276" s="1"/>
      <c r="D276" s="1"/>
      <c r="E276" s="1"/>
      <c r="F276" s="1"/>
      <c r="G276" s="9"/>
      <c r="H276" s="1"/>
      <c r="I276" s="1"/>
      <c r="J276" s="1"/>
      <c r="K276" s="3"/>
      <c r="L276" s="3"/>
    </row>
    <row r="277" spans="1:12" x14ac:dyDescent="0.25">
      <c r="A277" s="1"/>
      <c r="B277" s="1"/>
      <c r="C277" s="1"/>
      <c r="D277" s="1"/>
      <c r="E277" s="1"/>
      <c r="F277" s="1"/>
      <c r="G277" s="9"/>
      <c r="H277" s="1"/>
      <c r="I277" s="1"/>
      <c r="J277" s="1"/>
      <c r="K277" s="3"/>
      <c r="L277" s="3"/>
    </row>
    <row r="278" spans="1:12" x14ac:dyDescent="0.25">
      <c r="A278" s="1"/>
      <c r="B278" s="1"/>
      <c r="C278" s="1"/>
      <c r="D278" s="1"/>
      <c r="E278" s="1"/>
      <c r="F278" s="1"/>
      <c r="G278" s="9"/>
      <c r="H278" s="1"/>
      <c r="I278" s="1"/>
      <c r="J278" s="1"/>
      <c r="K278" s="3"/>
      <c r="L278" s="3"/>
    </row>
    <row r="279" spans="1:12" x14ac:dyDescent="0.25">
      <c r="A279" s="1"/>
      <c r="B279" s="1"/>
      <c r="C279" s="1"/>
      <c r="D279" s="1"/>
      <c r="E279" s="1"/>
      <c r="F279" s="1"/>
      <c r="G279" s="9"/>
      <c r="H279" s="1"/>
      <c r="I279" s="1"/>
      <c r="J279" s="1"/>
      <c r="K279" s="3"/>
      <c r="L279" s="3"/>
    </row>
    <row r="280" spans="1:12" x14ac:dyDescent="0.25">
      <c r="A280" s="1"/>
      <c r="B280" s="1"/>
      <c r="C280" s="1"/>
      <c r="D280" s="1"/>
      <c r="E280" s="1"/>
      <c r="F280" s="1"/>
      <c r="G280" s="9"/>
      <c r="H280" s="1"/>
      <c r="I280" s="1"/>
      <c r="J280" s="1"/>
      <c r="K280" s="3"/>
      <c r="L280" s="3"/>
    </row>
    <row r="281" spans="1:12" x14ac:dyDescent="0.25">
      <c r="A281" s="1"/>
      <c r="B281" s="1"/>
      <c r="C281" s="1"/>
      <c r="D281" s="1"/>
      <c r="E281" s="1"/>
      <c r="F281" s="1"/>
      <c r="G281" s="9"/>
      <c r="H281" s="1"/>
      <c r="I281" s="1"/>
      <c r="J281" s="1"/>
      <c r="K281" s="3"/>
      <c r="L281" s="3"/>
    </row>
    <row r="282" spans="1:12" x14ac:dyDescent="0.25">
      <c r="A282" s="1"/>
      <c r="B282" s="1"/>
      <c r="C282" s="1"/>
      <c r="D282" s="1"/>
      <c r="E282" s="1"/>
      <c r="F282" s="1"/>
      <c r="G282" s="9"/>
      <c r="H282" s="1"/>
      <c r="I282" s="1"/>
      <c r="J282" s="1"/>
      <c r="K282" s="3"/>
      <c r="L282" s="3"/>
    </row>
    <row r="283" spans="1:12" x14ac:dyDescent="0.25">
      <c r="A283" s="1"/>
      <c r="B283" s="1"/>
      <c r="C283" s="1"/>
      <c r="D283" s="1"/>
      <c r="E283" s="1"/>
      <c r="F283" s="1"/>
      <c r="G283" s="9"/>
      <c r="H283" s="1"/>
      <c r="I283" s="1"/>
      <c r="J283" s="1"/>
      <c r="K283" s="3"/>
      <c r="L283" s="3"/>
    </row>
    <row r="284" spans="1:12" x14ac:dyDescent="0.25">
      <c r="A284" s="1"/>
      <c r="B284" s="1"/>
      <c r="C284" s="1"/>
      <c r="D284" s="1"/>
      <c r="E284" s="1"/>
      <c r="F284" s="1"/>
      <c r="G284" s="9"/>
      <c r="H284" s="1"/>
      <c r="I284" s="1"/>
      <c r="J284" s="1"/>
      <c r="K284" s="3"/>
      <c r="L284" s="3"/>
    </row>
    <row r="285" spans="1:12" x14ac:dyDescent="0.25">
      <c r="A285" s="1"/>
      <c r="B285" s="1"/>
      <c r="C285" s="1"/>
      <c r="D285" s="1"/>
      <c r="E285" s="1"/>
      <c r="F285" s="1"/>
      <c r="G285" s="9"/>
      <c r="H285" s="1"/>
      <c r="I285" s="1"/>
      <c r="J285" s="1"/>
      <c r="K285" s="3"/>
      <c r="L285" s="3"/>
    </row>
    <row r="286" spans="1:12" x14ac:dyDescent="0.25">
      <c r="A286" s="1"/>
      <c r="B286" s="1"/>
      <c r="C286" s="1"/>
      <c r="D286" s="1"/>
      <c r="E286" s="1"/>
      <c r="F286" s="1"/>
      <c r="G286" s="9"/>
      <c r="H286" s="1"/>
      <c r="I286" s="1"/>
      <c r="J286" s="1"/>
      <c r="K286" s="3"/>
      <c r="L286" s="3"/>
    </row>
    <row r="287" spans="1:12" x14ac:dyDescent="0.25">
      <c r="A287" s="1"/>
      <c r="B287" s="1"/>
      <c r="C287" s="1"/>
      <c r="D287" s="1"/>
      <c r="E287" s="1"/>
      <c r="F287" s="1"/>
      <c r="G287" s="9"/>
      <c r="H287" s="1"/>
      <c r="I287" s="1"/>
      <c r="J287" s="1"/>
      <c r="K287" s="3"/>
      <c r="L287" s="3"/>
    </row>
    <row r="288" spans="1:12" x14ac:dyDescent="0.25">
      <c r="A288" s="1"/>
      <c r="B288" s="1"/>
      <c r="C288" s="1"/>
      <c r="D288" s="1"/>
      <c r="E288" s="1"/>
      <c r="F288" s="1"/>
      <c r="G288" s="9"/>
      <c r="H288" s="1"/>
      <c r="I288" s="1"/>
      <c r="J288" s="1"/>
      <c r="K288" s="3"/>
      <c r="L288" s="3"/>
    </row>
    <row r="289" spans="1:12" x14ac:dyDescent="0.25">
      <c r="A289" s="1"/>
      <c r="B289" s="1"/>
      <c r="C289" s="1"/>
      <c r="D289" s="1"/>
      <c r="E289" s="1"/>
      <c r="F289" s="1"/>
      <c r="G289" s="9"/>
      <c r="H289" s="1"/>
      <c r="I289" s="1"/>
      <c r="J289" s="1"/>
      <c r="K289" s="3"/>
      <c r="L289" s="3"/>
    </row>
    <row r="290" spans="1:12" x14ac:dyDescent="0.25">
      <c r="A290" s="1"/>
      <c r="B290" s="1"/>
      <c r="C290" s="1"/>
      <c r="D290" s="1"/>
      <c r="E290" s="1"/>
      <c r="F290" s="1"/>
      <c r="G290" s="9"/>
      <c r="H290" s="1"/>
      <c r="I290" s="1"/>
      <c r="J290" s="1"/>
      <c r="K290" s="3"/>
      <c r="L290" s="3"/>
    </row>
    <row r="291" spans="1:12" x14ac:dyDescent="0.25">
      <c r="A291" s="1"/>
      <c r="B291" s="1"/>
      <c r="C291" s="1"/>
      <c r="D291" s="1"/>
      <c r="E291" s="1"/>
      <c r="F291" s="1"/>
      <c r="G291" s="9"/>
      <c r="H291" s="1"/>
      <c r="I291" s="1"/>
      <c r="J291" s="1"/>
      <c r="K291" s="3"/>
      <c r="L291" s="3"/>
    </row>
    <row r="292" spans="1:12" x14ac:dyDescent="0.25">
      <c r="A292" s="1"/>
      <c r="B292" s="1"/>
      <c r="C292" s="1"/>
      <c r="D292" s="1"/>
      <c r="E292" s="1"/>
      <c r="F292" s="1"/>
      <c r="G292" s="9"/>
      <c r="H292" s="1"/>
      <c r="I292" s="1"/>
      <c r="J292" s="1"/>
      <c r="K292" s="3"/>
      <c r="L292" s="3"/>
    </row>
    <row r="293" spans="1:12" x14ac:dyDescent="0.25">
      <c r="A293" s="1"/>
      <c r="B293" s="1"/>
      <c r="C293" s="1"/>
      <c r="D293" s="1"/>
      <c r="E293" s="1"/>
      <c r="F293" s="1"/>
      <c r="G293" s="9"/>
      <c r="H293" s="1"/>
      <c r="I293" s="1"/>
      <c r="J293" s="1"/>
      <c r="K293" s="3"/>
      <c r="L293" s="3"/>
    </row>
    <row r="294" spans="1:12" x14ac:dyDescent="0.25">
      <c r="A294" s="1"/>
      <c r="B294" s="1"/>
      <c r="C294" s="1"/>
      <c r="D294" s="1"/>
      <c r="E294" s="1"/>
      <c r="F294" s="1"/>
      <c r="G294" s="9"/>
      <c r="H294" s="1"/>
      <c r="I294" s="1"/>
      <c r="J294" s="1"/>
      <c r="K294" s="3"/>
      <c r="L294" s="3"/>
    </row>
    <row r="295" spans="1:12" x14ac:dyDescent="0.25">
      <c r="A295" s="1"/>
      <c r="B295" s="1"/>
      <c r="C295" s="1"/>
      <c r="D295" s="1"/>
      <c r="E295" s="1"/>
      <c r="F295" s="1"/>
      <c r="G295" s="9"/>
      <c r="H295" s="1"/>
      <c r="I295" s="1"/>
      <c r="J295" s="1"/>
      <c r="K295" s="3"/>
      <c r="L295" s="3"/>
    </row>
    <row r="296" spans="1:12" x14ac:dyDescent="0.25">
      <c r="A296" s="1"/>
      <c r="B296" s="1"/>
      <c r="C296" s="1"/>
      <c r="D296" s="1"/>
      <c r="E296" s="1"/>
      <c r="F296" s="1"/>
      <c r="G296" s="9"/>
      <c r="H296" s="1"/>
      <c r="I296" s="1"/>
      <c r="J296" s="1"/>
      <c r="K296" s="3"/>
      <c r="L296" s="3"/>
    </row>
    <row r="297" spans="1:12" x14ac:dyDescent="0.25">
      <c r="A297" s="1"/>
      <c r="B297" s="1"/>
      <c r="C297" s="1"/>
      <c r="D297" s="1"/>
      <c r="E297" s="1"/>
      <c r="F297" s="1"/>
      <c r="G297" s="9"/>
      <c r="H297" s="1"/>
      <c r="I297" s="1"/>
      <c r="J297" s="1"/>
      <c r="K297" s="3"/>
      <c r="L297" s="3"/>
    </row>
    <row r="298" spans="1:12" x14ac:dyDescent="0.25">
      <c r="A298" s="1"/>
      <c r="B298" s="1"/>
      <c r="C298" s="1"/>
      <c r="D298" s="1"/>
      <c r="E298" s="1"/>
      <c r="F298" s="1"/>
      <c r="G298" s="9"/>
      <c r="H298" s="1"/>
      <c r="I298" s="1"/>
      <c r="J298" s="1"/>
      <c r="K298" s="3"/>
      <c r="L298" s="3"/>
    </row>
    <row r="299" spans="1:12" x14ac:dyDescent="0.25">
      <c r="A299" s="1"/>
      <c r="B299" s="1"/>
      <c r="C299" s="1"/>
      <c r="D299" s="1"/>
      <c r="E299" s="1"/>
      <c r="F299" s="1"/>
      <c r="G299" s="9"/>
      <c r="H299" s="1"/>
      <c r="I299" s="1"/>
      <c r="J299" s="1"/>
      <c r="K299" s="3"/>
      <c r="L299" s="3"/>
    </row>
    <row r="300" spans="1:12" x14ac:dyDescent="0.25">
      <c r="A300" s="1"/>
      <c r="B300" s="1"/>
      <c r="C300" s="1"/>
      <c r="D300" s="1"/>
      <c r="E300" s="1"/>
      <c r="F300" s="1"/>
      <c r="G300" s="9"/>
      <c r="H300" s="1"/>
      <c r="I300" s="1"/>
      <c r="J300" s="1"/>
      <c r="K300" s="3"/>
      <c r="L300" s="3"/>
    </row>
    <row r="301" spans="1:12" x14ac:dyDescent="0.25">
      <c r="A301" s="1"/>
      <c r="B301" s="1"/>
      <c r="C301" s="1"/>
      <c r="D301" s="1"/>
      <c r="E301" s="1"/>
      <c r="F301" s="1"/>
      <c r="G301" s="9"/>
      <c r="H301" s="1"/>
      <c r="I301" s="1"/>
      <c r="J301" s="1"/>
      <c r="K301" s="3"/>
      <c r="L301" s="3"/>
    </row>
    <row r="302" spans="1:12" x14ac:dyDescent="0.25">
      <c r="A302" s="1"/>
      <c r="B302" s="1"/>
      <c r="C302" s="1"/>
      <c r="D302" s="1"/>
      <c r="E302" s="1"/>
      <c r="F302" s="1"/>
      <c r="G302" s="9"/>
      <c r="H302" s="1"/>
      <c r="I302" s="1"/>
      <c r="J302" s="1"/>
      <c r="K302" s="3"/>
      <c r="L302" s="3"/>
    </row>
    <row r="303" spans="1:12" x14ac:dyDescent="0.25">
      <c r="A303" s="1"/>
      <c r="B303" s="1"/>
      <c r="C303" s="1"/>
      <c r="D303" s="1"/>
      <c r="E303" s="1"/>
      <c r="F303" s="1"/>
      <c r="G303" s="9"/>
      <c r="H303" s="1"/>
      <c r="I303" s="1"/>
      <c r="J303" s="1"/>
      <c r="K303" s="3"/>
      <c r="L303" s="3"/>
    </row>
    <row r="304" spans="1:12" x14ac:dyDescent="0.25">
      <c r="A304" s="1"/>
      <c r="B304" s="1"/>
      <c r="C304" s="1"/>
      <c r="D304" s="1"/>
      <c r="E304" s="1"/>
      <c r="F304" s="1"/>
      <c r="G304" s="9"/>
      <c r="H304" s="1"/>
      <c r="I304" s="1"/>
      <c r="J304" s="1"/>
      <c r="K304" s="3"/>
      <c r="L304" s="3"/>
    </row>
    <row r="305" spans="1:12" x14ac:dyDescent="0.25">
      <c r="A305" s="1"/>
      <c r="B305" s="1"/>
      <c r="C305" s="1"/>
      <c r="D305" s="1"/>
      <c r="E305" s="1"/>
      <c r="F305" s="1"/>
      <c r="G305" s="9"/>
      <c r="H305" s="1"/>
      <c r="I305" s="1"/>
      <c r="J305" s="1"/>
      <c r="K305" s="3"/>
      <c r="L305" s="3"/>
    </row>
    <row r="306" spans="1:12" x14ac:dyDescent="0.25">
      <c r="A306" s="1"/>
      <c r="B306" s="1"/>
      <c r="C306" s="1"/>
      <c r="D306" s="1"/>
      <c r="E306" s="1"/>
      <c r="F306" s="1"/>
      <c r="G306" s="9"/>
      <c r="H306" s="1"/>
      <c r="I306" s="1"/>
      <c r="J306" s="1"/>
      <c r="K306" s="3"/>
      <c r="L306" s="3"/>
    </row>
    <row r="307" spans="1:12" x14ac:dyDescent="0.25">
      <c r="A307" s="1"/>
      <c r="B307" s="1"/>
      <c r="C307" s="1"/>
      <c r="D307" s="1"/>
      <c r="E307" s="1"/>
      <c r="F307" s="1"/>
      <c r="G307" s="9"/>
      <c r="H307" s="1"/>
      <c r="I307" s="1"/>
      <c r="J307" s="1"/>
      <c r="K307" s="3"/>
      <c r="L307" s="3"/>
    </row>
    <row r="308" spans="1:12" x14ac:dyDescent="0.25">
      <c r="A308" s="1"/>
      <c r="B308" s="1"/>
      <c r="C308" s="1"/>
      <c r="D308" s="1"/>
      <c r="E308" s="1"/>
      <c r="F308" s="1"/>
      <c r="G308" s="9"/>
      <c r="H308" s="1"/>
      <c r="I308" s="1"/>
      <c r="J308" s="1"/>
      <c r="K308" s="3"/>
      <c r="L308" s="3"/>
    </row>
    <row r="309" spans="1:12" x14ac:dyDescent="0.25">
      <c r="A309" s="1"/>
      <c r="B309" s="1"/>
      <c r="C309" s="1"/>
      <c r="D309" s="1"/>
      <c r="E309" s="1"/>
      <c r="F309" s="1"/>
      <c r="G309" s="9"/>
      <c r="H309" s="1"/>
      <c r="I309" s="1"/>
      <c r="J309" s="1"/>
      <c r="K309" s="3"/>
      <c r="L309" s="3"/>
    </row>
    <row r="310" spans="1:12" x14ac:dyDescent="0.25">
      <c r="A310" s="1"/>
      <c r="B310" s="1"/>
      <c r="C310" s="1"/>
      <c r="D310" s="1"/>
      <c r="E310" s="1"/>
      <c r="F310" s="1"/>
      <c r="G310" s="9"/>
      <c r="H310" s="1"/>
      <c r="I310" s="1"/>
      <c r="J310" s="1"/>
      <c r="K310" s="3"/>
      <c r="L310" s="3"/>
    </row>
    <row r="311" spans="1:12" x14ac:dyDescent="0.25">
      <c r="A311" s="1"/>
      <c r="B311" s="1"/>
      <c r="C311" s="1"/>
      <c r="D311" s="1"/>
      <c r="E311" s="1"/>
      <c r="F311" s="1"/>
      <c r="G311" s="9"/>
      <c r="H311" s="1"/>
      <c r="I311" s="1"/>
      <c r="J311" s="1"/>
      <c r="K311" s="3"/>
      <c r="L311" s="3"/>
    </row>
    <row r="312" spans="1:12" x14ac:dyDescent="0.25">
      <c r="A312" s="1"/>
      <c r="B312" s="1"/>
      <c r="C312" s="1"/>
      <c r="D312" s="1"/>
      <c r="E312" s="1"/>
      <c r="F312" s="1"/>
      <c r="G312" s="9"/>
      <c r="H312" s="1"/>
      <c r="I312" s="1"/>
      <c r="J312" s="1"/>
      <c r="K312" s="3"/>
      <c r="L312" s="3"/>
    </row>
    <row r="313" spans="1:12" x14ac:dyDescent="0.25">
      <c r="A313" s="1"/>
      <c r="B313" s="1"/>
      <c r="C313" s="1"/>
      <c r="D313" s="1"/>
      <c r="E313" s="1"/>
      <c r="F313" s="1"/>
      <c r="G313" s="9"/>
      <c r="H313" s="1"/>
      <c r="I313" s="1"/>
      <c r="J313" s="1"/>
      <c r="K313" s="3"/>
      <c r="L313" s="3"/>
    </row>
    <row r="314" spans="1:12" x14ac:dyDescent="0.25">
      <c r="A314" s="1"/>
      <c r="B314" s="1"/>
      <c r="C314" s="1"/>
      <c r="D314" s="1"/>
      <c r="E314" s="1"/>
      <c r="F314" s="1"/>
      <c r="G314" s="9"/>
      <c r="H314" s="1"/>
      <c r="I314" s="1"/>
      <c r="J314" s="1"/>
      <c r="K314" s="3"/>
      <c r="L314" s="3"/>
    </row>
    <row r="315" spans="1:12" x14ac:dyDescent="0.25">
      <c r="A315" s="1"/>
      <c r="B315" s="1"/>
      <c r="C315" s="1"/>
      <c r="D315" s="1"/>
      <c r="E315" s="1"/>
      <c r="F315" s="1"/>
      <c r="G315" s="9"/>
      <c r="H315" s="1"/>
      <c r="I315" s="1"/>
      <c r="J315" s="1"/>
      <c r="K315" s="3"/>
      <c r="L315" s="3"/>
    </row>
    <row r="316" spans="1:12" x14ac:dyDescent="0.25">
      <c r="A316" s="1"/>
      <c r="B316" s="1"/>
      <c r="C316" s="1"/>
      <c r="D316" s="1"/>
      <c r="E316" s="1"/>
      <c r="F316" s="1"/>
      <c r="G316" s="9"/>
      <c r="H316" s="1"/>
      <c r="I316" s="1"/>
      <c r="J316" s="1"/>
      <c r="K316" s="3"/>
      <c r="L316" s="3"/>
    </row>
    <row r="317" spans="1:12" x14ac:dyDescent="0.25">
      <c r="A317" s="1"/>
      <c r="B317" s="1"/>
      <c r="C317" s="1"/>
      <c r="D317" s="1"/>
      <c r="E317" s="1"/>
      <c r="F317" s="1"/>
      <c r="G317" s="9"/>
      <c r="H317" s="1"/>
      <c r="I317" s="1"/>
      <c r="J317" s="1"/>
      <c r="K317" s="3"/>
      <c r="L317" s="3"/>
    </row>
    <row r="318" spans="1:12" x14ac:dyDescent="0.25">
      <c r="A318" s="1"/>
      <c r="B318" s="1"/>
      <c r="C318" s="1"/>
      <c r="D318" s="1"/>
      <c r="E318" s="1"/>
      <c r="F318" s="1"/>
      <c r="G318" s="9"/>
      <c r="H318" s="1"/>
      <c r="I318" s="1"/>
      <c r="J318" s="1"/>
      <c r="K318" s="3"/>
      <c r="L318" s="3"/>
    </row>
    <row r="319" spans="1:12" x14ac:dyDescent="0.25">
      <c r="A319" s="1"/>
      <c r="B319" s="1"/>
      <c r="C319" s="1"/>
      <c r="D319" s="1"/>
      <c r="E319" s="1"/>
      <c r="F319" s="1"/>
      <c r="G319" s="9"/>
      <c r="H319" s="1"/>
      <c r="I319" s="1"/>
      <c r="J319" s="1"/>
      <c r="K319" s="3"/>
      <c r="L319" s="3"/>
    </row>
    <row r="320" spans="1:12" x14ac:dyDescent="0.25">
      <c r="A320" s="1"/>
      <c r="B320" s="1"/>
      <c r="C320" s="1"/>
      <c r="D320" s="1"/>
      <c r="E320" s="1"/>
      <c r="F320" s="1"/>
      <c r="G320" s="9"/>
      <c r="H320" s="1"/>
      <c r="I320" s="1"/>
      <c r="J320" s="1"/>
      <c r="K320" s="3"/>
      <c r="L320" s="3"/>
    </row>
    <row r="321" spans="1:12" x14ac:dyDescent="0.25">
      <c r="A321" s="1"/>
      <c r="B321" s="1"/>
      <c r="C321" s="1"/>
      <c r="D321" s="1"/>
      <c r="E321" s="1"/>
      <c r="F321" s="1"/>
      <c r="G321" s="9"/>
      <c r="H321" s="1"/>
      <c r="I321" s="1"/>
      <c r="J321" s="1"/>
      <c r="K321" s="3"/>
      <c r="L321" s="3"/>
    </row>
    <row r="322" spans="1:12" x14ac:dyDescent="0.25">
      <c r="A322" s="1"/>
      <c r="B322" s="1"/>
      <c r="C322" s="1"/>
      <c r="D322" s="1"/>
      <c r="E322" s="1"/>
      <c r="F322" s="1"/>
      <c r="G322" s="9"/>
      <c r="H322" s="1"/>
      <c r="I322" s="1"/>
      <c r="J322" s="1"/>
      <c r="K322" s="3"/>
      <c r="L322" s="3"/>
    </row>
    <row r="323" spans="1:12" x14ac:dyDescent="0.25">
      <c r="A323" s="1"/>
      <c r="B323" s="1"/>
      <c r="C323" s="1"/>
      <c r="D323" s="1"/>
      <c r="E323" s="1"/>
      <c r="F323" s="1"/>
      <c r="G323" s="9"/>
      <c r="H323" s="1"/>
      <c r="I323" s="1"/>
      <c r="J323" s="1"/>
      <c r="K323" s="3"/>
      <c r="L323" s="3"/>
    </row>
    <row r="324" spans="1:12" x14ac:dyDescent="0.25">
      <c r="A324" s="1"/>
      <c r="B324" s="1"/>
      <c r="C324" s="1"/>
      <c r="D324" s="1"/>
      <c r="E324" s="1"/>
      <c r="F324" s="1"/>
      <c r="G324" s="9"/>
      <c r="H324" s="1"/>
      <c r="I324" s="1"/>
      <c r="J324" s="1"/>
      <c r="K324" s="3"/>
      <c r="L324" s="3"/>
    </row>
    <row r="325" spans="1:12" x14ac:dyDescent="0.25">
      <c r="A325" s="1"/>
      <c r="B325" s="1"/>
      <c r="C325" s="1"/>
      <c r="D325" s="1"/>
      <c r="E325" s="1"/>
      <c r="F325" s="1"/>
      <c r="G325" s="9"/>
      <c r="H325" s="1"/>
      <c r="I325" s="1"/>
      <c r="J325" s="1"/>
      <c r="K325" s="3"/>
      <c r="L325" s="3"/>
    </row>
    <row r="326" spans="1:12" x14ac:dyDescent="0.25">
      <c r="A326" s="1"/>
      <c r="B326" s="1"/>
      <c r="C326" s="1"/>
      <c r="D326" s="1"/>
      <c r="E326" s="1"/>
      <c r="F326" s="1"/>
      <c r="G326" s="9"/>
      <c r="H326" s="1"/>
      <c r="I326" s="1"/>
      <c r="J326" s="1"/>
      <c r="K326" s="3"/>
      <c r="L326" s="3"/>
    </row>
    <row r="327" spans="1:12" x14ac:dyDescent="0.25">
      <c r="A327" s="1"/>
      <c r="B327" s="1"/>
      <c r="C327" s="1"/>
      <c r="D327" s="1"/>
      <c r="E327" s="1"/>
      <c r="F327" s="1"/>
      <c r="G327" s="9"/>
      <c r="H327" s="1"/>
      <c r="I327" s="1"/>
      <c r="J327" s="1"/>
      <c r="K327" s="3"/>
      <c r="L327" s="3"/>
    </row>
    <row r="328" spans="1:12" x14ac:dyDescent="0.25">
      <c r="A328" s="1"/>
      <c r="B328" s="1"/>
      <c r="C328" s="1"/>
      <c r="D328" s="1"/>
      <c r="E328" s="1"/>
      <c r="F328" s="1"/>
      <c r="G328" s="9"/>
      <c r="H328" s="1"/>
      <c r="I328" s="1"/>
      <c r="J328" s="1"/>
      <c r="K328" s="3"/>
      <c r="L328" s="3"/>
    </row>
    <row r="329" spans="1:12" x14ac:dyDescent="0.25">
      <c r="A329" s="1"/>
      <c r="B329" s="1"/>
      <c r="C329" s="1"/>
      <c r="D329" s="1"/>
      <c r="E329" s="1"/>
      <c r="F329" s="1"/>
      <c r="G329" s="9"/>
      <c r="H329" s="1"/>
      <c r="I329" s="1"/>
      <c r="J329" s="1"/>
      <c r="K329" s="3"/>
      <c r="L329" s="3"/>
    </row>
    <row r="330" spans="1:12" x14ac:dyDescent="0.25">
      <c r="A330" s="1"/>
      <c r="B330" s="1"/>
      <c r="C330" s="1"/>
      <c r="D330" s="1"/>
      <c r="E330" s="1"/>
      <c r="F330" s="1"/>
      <c r="G330" s="9"/>
      <c r="H330" s="1"/>
      <c r="I330" s="1"/>
      <c r="J330" s="1"/>
      <c r="K330" s="3"/>
      <c r="L330" s="3"/>
    </row>
    <row r="331" spans="1:12" x14ac:dyDescent="0.25">
      <c r="A331" s="1"/>
      <c r="B331" s="1"/>
      <c r="C331" s="1"/>
      <c r="D331" s="1"/>
      <c r="E331" s="1"/>
      <c r="F331" s="1"/>
      <c r="G331" s="9"/>
      <c r="H331" s="1"/>
      <c r="I331" s="1"/>
      <c r="J331" s="1"/>
      <c r="K331" s="3"/>
      <c r="L331" s="3"/>
    </row>
    <row r="332" spans="1:12" x14ac:dyDescent="0.25">
      <c r="A332" s="1"/>
      <c r="B332" s="1"/>
      <c r="C332" s="1"/>
      <c r="D332" s="1"/>
      <c r="E332" s="1"/>
      <c r="F332" s="1"/>
      <c r="G332" s="9"/>
      <c r="H332" s="1"/>
      <c r="I332" s="1"/>
      <c r="J332" s="1"/>
      <c r="K332" s="3"/>
      <c r="L332" s="3"/>
    </row>
    <row r="333" spans="1:12" x14ac:dyDescent="0.25">
      <c r="A333" s="1"/>
      <c r="B333" s="1"/>
      <c r="C333" s="1"/>
      <c r="D333" s="1"/>
      <c r="E333" s="1"/>
      <c r="F333" s="1"/>
      <c r="G333" s="9"/>
      <c r="H333" s="1"/>
      <c r="I333" s="1"/>
      <c r="J333" s="1"/>
      <c r="K333" s="3"/>
      <c r="L333" s="3"/>
    </row>
    <row r="334" spans="1:12" x14ac:dyDescent="0.25">
      <c r="A334" s="1"/>
      <c r="B334" s="1"/>
      <c r="C334" s="1"/>
      <c r="D334" s="1"/>
      <c r="E334" s="1"/>
      <c r="F334" s="1"/>
      <c r="G334" s="9"/>
      <c r="H334" s="1"/>
      <c r="I334" s="1"/>
      <c r="J334" s="1"/>
      <c r="K334" s="3"/>
      <c r="L334" s="3"/>
    </row>
    <row r="335" spans="1:12" x14ac:dyDescent="0.25">
      <c r="A335" s="1"/>
      <c r="B335" s="1"/>
      <c r="C335" s="1"/>
      <c r="D335" s="1"/>
      <c r="E335" s="1"/>
      <c r="F335" s="1"/>
      <c r="G335" s="9"/>
      <c r="H335" s="1"/>
      <c r="I335" s="1"/>
      <c r="J335" s="1"/>
      <c r="K335" s="3"/>
      <c r="L335" s="3"/>
    </row>
    <row r="336" spans="1:12" x14ac:dyDescent="0.25">
      <c r="A336" s="1"/>
      <c r="B336" s="1"/>
      <c r="C336" s="1"/>
      <c r="D336" s="1"/>
      <c r="E336" s="1"/>
      <c r="F336" s="1"/>
      <c r="G336" s="9"/>
      <c r="H336" s="1"/>
      <c r="I336" s="1"/>
      <c r="J336" s="1"/>
      <c r="K336" s="3"/>
      <c r="L336" s="3"/>
    </row>
    <row r="337" spans="1:12" x14ac:dyDescent="0.25">
      <c r="A337" s="1"/>
      <c r="B337" s="1"/>
      <c r="C337" s="1"/>
      <c r="D337" s="1"/>
      <c r="E337" s="1"/>
      <c r="F337" s="1"/>
      <c r="G337" s="9"/>
      <c r="H337" s="1"/>
      <c r="I337" s="1"/>
      <c r="J337" s="1"/>
      <c r="K337" s="3"/>
      <c r="L337" s="3"/>
    </row>
    <row r="338" spans="1:12" x14ac:dyDescent="0.25">
      <c r="A338" s="1"/>
      <c r="B338" s="1"/>
      <c r="C338" s="1"/>
      <c r="D338" s="1"/>
      <c r="E338" s="1"/>
      <c r="F338" s="1"/>
      <c r="G338" s="9"/>
      <c r="H338" s="1"/>
      <c r="I338" s="1"/>
      <c r="J338" s="1"/>
      <c r="K338" s="3"/>
      <c r="L338" s="3"/>
    </row>
    <row r="339" spans="1:12" x14ac:dyDescent="0.25">
      <c r="A339" s="1"/>
      <c r="B339" s="1"/>
      <c r="C339" s="1"/>
      <c r="D339" s="1"/>
      <c r="E339" s="1"/>
      <c r="F339" s="1"/>
      <c r="G339" s="9"/>
      <c r="H339" s="1"/>
      <c r="I339" s="1"/>
      <c r="J339" s="1"/>
      <c r="K339" s="3"/>
      <c r="L339" s="3"/>
    </row>
    <row r="340" spans="1:12" x14ac:dyDescent="0.25">
      <c r="A340" s="1"/>
      <c r="B340" s="1"/>
      <c r="C340" s="1"/>
      <c r="D340" s="1"/>
      <c r="E340" s="1"/>
      <c r="F340" s="1"/>
      <c r="G340" s="9"/>
      <c r="H340" s="1"/>
      <c r="I340" s="1"/>
      <c r="J340" s="1"/>
      <c r="K340" s="3"/>
      <c r="L340" s="3"/>
    </row>
    <row r="341" spans="1:12" x14ac:dyDescent="0.25">
      <c r="A341" s="1"/>
      <c r="B341" s="1"/>
      <c r="C341" s="1"/>
      <c r="D341" s="1"/>
      <c r="E341" s="1"/>
      <c r="F341" s="1"/>
      <c r="G341" s="9"/>
      <c r="H341" s="1"/>
      <c r="I341" s="1"/>
      <c r="J341" s="1"/>
      <c r="K341" s="3"/>
      <c r="L341" s="3"/>
    </row>
    <row r="342" spans="1:12" x14ac:dyDescent="0.25">
      <c r="A342" s="1"/>
      <c r="B342" s="1"/>
      <c r="C342" s="1"/>
      <c r="D342" s="1"/>
      <c r="E342" s="1"/>
      <c r="F342" s="1"/>
      <c r="G342" s="9"/>
      <c r="H342" s="1"/>
      <c r="I342" s="1"/>
      <c r="J342" s="1"/>
      <c r="K342" s="3"/>
      <c r="L342" s="3"/>
    </row>
    <row r="343" spans="1:12" x14ac:dyDescent="0.25">
      <c r="A343" s="1"/>
      <c r="B343" s="1"/>
      <c r="C343" s="1"/>
      <c r="D343" s="1"/>
      <c r="E343" s="1"/>
      <c r="F343" s="1"/>
      <c r="G343" s="9"/>
      <c r="H343" s="1"/>
      <c r="I343" s="1"/>
      <c r="J343" s="1"/>
      <c r="K343" s="3"/>
      <c r="L343" s="3"/>
    </row>
    <row r="344" spans="1:12" x14ac:dyDescent="0.25">
      <c r="A344" s="1"/>
      <c r="B344" s="1"/>
      <c r="C344" s="1"/>
      <c r="D344" s="1"/>
      <c r="E344" s="1"/>
      <c r="F344" s="1"/>
      <c r="G344" s="9"/>
      <c r="H344" s="1"/>
      <c r="I344" s="1"/>
      <c r="J344" s="1"/>
      <c r="K344" s="3"/>
      <c r="L344" s="3"/>
    </row>
    <row r="345" spans="1:12" x14ac:dyDescent="0.25">
      <c r="A345" s="1"/>
      <c r="B345" s="1"/>
      <c r="C345" s="1"/>
      <c r="D345" s="1"/>
      <c r="E345" s="1"/>
      <c r="F345" s="1"/>
      <c r="G345" s="9"/>
      <c r="H345" s="1"/>
      <c r="I345" s="1"/>
      <c r="J345" s="1"/>
      <c r="K345" s="3"/>
      <c r="L345" s="3"/>
    </row>
    <row r="346" spans="1:12" x14ac:dyDescent="0.25">
      <c r="A346" s="1"/>
      <c r="B346" s="1"/>
      <c r="C346" s="1"/>
      <c r="D346" s="1"/>
      <c r="E346" s="1"/>
      <c r="F346" s="1"/>
      <c r="G346" s="9"/>
      <c r="H346" s="1"/>
      <c r="I346" s="1"/>
      <c r="J346" s="1"/>
      <c r="K346" s="3"/>
      <c r="L346" s="3"/>
    </row>
    <row r="347" spans="1:12" x14ac:dyDescent="0.25">
      <c r="A347" s="1"/>
      <c r="B347" s="1"/>
      <c r="C347" s="1"/>
      <c r="D347" s="1"/>
      <c r="E347" s="1"/>
      <c r="F347" s="1"/>
      <c r="G347" s="9"/>
      <c r="H347" s="1"/>
      <c r="I347" s="1"/>
      <c r="J347" s="1"/>
      <c r="K347" s="3"/>
      <c r="L347" s="3"/>
    </row>
    <row r="348" spans="1:12" x14ac:dyDescent="0.25">
      <c r="A348" s="1"/>
      <c r="B348" s="1"/>
      <c r="C348" s="1"/>
      <c r="D348" s="1"/>
      <c r="E348" s="1"/>
      <c r="F348" s="1"/>
      <c r="G348" s="9"/>
      <c r="H348" s="1"/>
      <c r="I348" s="1"/>
      <c r="J348" s="1"/>
      <c r="K348" s="3"/>
      <c r="L348" s="3"/>
    </row>
    <row r="349" spans="1:12" x14ac:dyDescent="0.25">
      <c r="A349" s="1"/>
      <c r="B349" s="1"/>
      <c r="C349" s="1"/>
      <c r="D349" s="1"/>
      <c r="E349" s="1"/>
      <c r="F349" s="1"/>
      <c r="G349" s="9"/>
      <c r="H349" s="1"/>
      <c r="I349" s="1"/>
      <c r="J349" s="1"/>
      <c r="K349" s="3"/>
      <c r="L349" s="3"/>
    </row>
    <row r="350" spans="1:12" x14ac:dyDescent="0.25">
      <c r="A350" s="1"/>
      <c r="B350" s="1"/>
      <c r="C350" s="1"/>
      <c r="D350" s="1"/>
      <c r="E350" s="1"/>
      <c r="F350" s="1"/>
      <c r="G350" s="9"/>
      <c r="H350" s="1"/>
      <c r="I350" s="1"/>
      <c r="J350" s="1"/>
      <c r="K350" s="3"/>
      <c r="L350" s="3"/>
    </row>
    <row r="351" spans="1:12" x14ac:dyDescent="0.25">
      <c r="A351" s="1"/>
      <c r="B351" s="1"/>
      <c r="C351" s="1"/>
      <c r="D351" s="1"/>
      <c r="E351" s="1"/>
      <c r="F351" s="1"/>
      <c r="G351" s="9"/>
      <c r="H351" s="1"/>
      <c r="I351" s="1"/>
      <c r="J351" s="1"/>
      <c r="K351" s="3"/>
      <c r="L351" s="3"/>
    </row>
    <row r="352" spans="1:12" x14ac:dyDescent="0.25">
      <c r="A352" s="1"/>
      <c r="B352" s="1"/>
      <c r="C352" s="1"/>
      <c r="D352" s="1"/>
      <c r="E352" s="1"/>
      <c r="F352" s="1"/>
      <c r="G352" s="9"/>
      <c r="H352" s="1"/>
      <c r="I352" s="1"/>
      <c r="J352" s="1"/>
      <c r="K352" s="3"/>
      <c r="L352" s="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52"/>
  <sheetViews>
    <sheetView topLeftCell="A7" zoomScale="60" zoomScaleNormal="60" workbookViewId="0">
      <selection activeCell="G10" sqref="G10"/>
    </sheetView>
  </sheetViews>
  <sheetFormatPr defaultRowHeight="15" x14ac:dyDescent="0.25"/>
  <cols>
    <col min="1" max="1" width="6.85546875" customWidth="1"/>
    <col min="2" max="2" width="9.140625" customWidth="1"/>
    <col min="3" max="5" width="13.42578125" customWidth="1"/>
    <col min="7" max="7" width="9.140625" style="8"/>
    <col min="10" max="11" width="9.140625" style="2"/>
    <col min="12" max="12" width="9.140625" style="6"/>
    <col min="13" max="13" width="9.140625" style="4"/>
    <col min="14" max="14" width="9.140625" style="5"/>
    <col min="19" max="19" width="9.5703125" customWidth="1"/>
    <col min="24" max="24" width="13.140625" bestFit="1" customWidth="1"/>
  </cols>
  <sheetData>
    <row r="1" spans="1:25" x14ac:dyDescent="0.25">
      <c r="C1">
        <v>0.5</v>
      </c>
      <c r="F1">
        <f>10000*SUM(F160:F171)</f>
        <v>609.27224233055574</v>
      </c>
      <c r="G1" s="8">
        <v>0.2863894128322419</v>
      </c>
      <c r="J1">
        <v>0.2863</v>
      </c>
      <c r="N1" s="5">
        <v>0</v>
      </c>
      <c r="X1">
        <v>-0.5</v>
      </c>
    </row>
    <row r="2" spans="1:25" x14ac:dyDescent="0.25">
      <c r="F2">
        <f>10000*SUM(F10:F172)</f>
        <v>25341.436677847956</v>
      </c>
      <c r="G2" s="8">
        <f>1-$G$1</f>
        <v>0.71361058716775805</v>
      </c>
      <c r="N2" s="5">
        <v>-4.0000000000000001E-3</v>
      </c>
    </row>
    <row r="8" spans="1:25" x14ac:dyDescent="0.25">
      <c r="D8" t="s">
        <v>63</v>
      </c>
    </row>
    <row r="9" spans="1:25" ht="15.75" x14ac:dyDescent="0.3">
      <c r="B9" t="s">
        <v>60</v>
      </c>
      <c r="C9" t="s">
        <v>59</v>
      </c>
      <c r="F9" t="s">
        <v>58</v>
      </c>
      <c r="G9" s="8" t="s">
        <v>57</v>
      </c>
      <c r="J9" s="3" t="s">
        <v>61</v>
      </c>
      <c r="K9" s="3" t="s">
        <v>62</v>
      </c>
      <c r="L9" s="6" t="s">
        <v>52</v>
      </c>
      <c r="M9" s="4" t="s">
        <v>53</v>
      </c>
      <c r="N9" s="5" t="s">
        <v>54</v>
      </c>
      <c r="P9" t="s">
        <v>55</v>
      </c>
      <c r="Q9" t="s">
        <v>56</v>
      </c>
      <c r="W9" t="s">
        <v>70</v>
      </c>
      <c r="X9" t="s">
        <v>69</v>
      </c>
    </row>
    <row r="10" spans="1:25" x14ac:dyDescent="0.25">
      <c r="A10" s="1">
        <v>1851</v>
      </c>
      <c r="B10" s="1">
        <f>+$L10</f>
        <v>-0.219</v>
      </c>
      <c r="C10" s="1">
        <f>+$G$1*$N10+$G$2*$M10</f>
        <v>-7.9880907821090141E-2</v>
      </c>
      <c r="D10" s="1">
        <f t="shared" ref="D10:D73" si="0">$B10 - (1/2*($O10*($E10*$G$2+$G$1 )+$M10*($G$2+$G$1/$E10)))</f>
        <v>0</v>
      </c>
      <c r="E10" s="1">
        <f>+$G10</f>
        <v>0.14454212292001092</v>
      </c>
      <c r="F10" s="1">
        <f>+ABS($B10-$C10)</f>
        <v>0.13911909217890986</v>
      </c>
      <c r="G10" s="9">
        <f t="shared" ref="G10:G72" si="1">+IF($H10 &gt; 0,IF($I10&lt;1, $I10, IF($K10&gt;1,1,$K10)), $K10)</f>
        <v>0.14454212292001092</v>
      </c>
      <c r="H10" s="1">
        <f t="shared" ref="H10:H73" si="2">+$R10*$R10-4*$G$1*$G$2*$P10</f>
        <v>4.0972115221516834</v>
      </c>
      <c r="I10" s="1">
        <f>+(-$R10+SQRT($R10*$R10-4*$G$1*$G$2*$P10))/2/$G$2</f>
        <v>0.14454212292001092</v>
      </c>
      <c r="J10" s="3">
        <f t="shared" ref="J10:J73" si="3">+IF($R10*$R10-4*$G$1*$G$2*$P10 &gt; 0,(-$R10+SQRT($R10*$R10-4*$G$1*$G$2*$P10))/2/$G$2)</f>
        <v>0.14454212292001092</v>
      </c>
      <c r="K10" s="3">
        <f t="shared" ref="K10:K73" si="4">-$R10/2/$G$2</f>
        <v>-1.273708269443272</v>
      </c>
      <c r="L10" s="6">
        <v>-0.219</v>
      </c>
      <c r="M10" s="4">
        <v>-0.191</v>
      </c>
      <c r="N10" s="5">
        <v>0.19700000000000001</v>
      </c>
      <c r="O10">
        <f>+$N10+$N$1</f>
        <v>0.19700000000000001</v>
      </c>
      <c r="P10">
        <f>+$M10/($O10)</f>
        <v>-0.96954314720812185</v>
      </c>
      <c r="Q10">
        <f>+$L10/($O10)</f>
        <v>-1.1116751269035532</v>
      </c>
      <c r="R10">
        <f t="shared" ref="R10:R73" si="5">+$G$1+$P10*$G$2-2*$Q10</f>
        <v>1.8178634120756845</v>
      </c>
      <c r="T10">
        <v>0.19700000000000001</v>
      </c>
      <c r="U10">
        <v>0.19550000000000001</v>
      </c>
      <c r="V10" s="11">
        <f>-2.2979737161E-10*$A10^5 + 0.0000022285768284*$A10^4 - 0.0086436385146*$A10^3 + 16.759480306*$A10^2 - 16244.935412*$A10 + 6297344.9302</f>
        <v>0.67922292370349169</v>
      </c>
      <c r="W10">
        <f>+$G$2*$M10/$V10+$G$1*$N10</f>
        <v>-0.14425122390950115</v>
      </c>
      <c r="X10" s="13">
        <f>+$Y10+$X$1</f>
        <v>-0.50603151698803661</v>
      </c>
      <c r="Y10" s="13">
        <v>-6.0315169880365898E-3</v>
      </c>
    </row>
    <row r="11" spans="1:25" x14ac:dyDescent="0.25">
      <c r="A11" s="1">
        <v>1852</v>
      </c>
      <c r="B11" s="1">
        <f t="shared" ref="B11:B74" si="6">+$L11</f>
        <v>-0.223</v>
      </c>
      <c r="C11" s="1">
        <f t="shared" ref="C11:C74" si="7">+$G$1*$N11+$G$2*$M11</f>
        <v>-6.5575614848955119E-2</v>
      </c>
      <c r="D11" s="1">
        <f t="shared" si="0"/>
        <v>0</v>
      </c>
      <c r="E11" s="1">
        <f t="shared" ref="E11:E74" si="8">+$G11</f>
        <v>0.1317202117778877</v>
      </c>
      <c r="F11" s="1">
        <f t="shared" ref="F11:F74" si="9">+ABS($B11-$C11)</f>
        <v>0.1574243851510449</v>
      </c>
      <c r="G11" s="9">
        <f t="shared" si="1"/>
        <v>0.1317202117778877</v>
      </c>
      <c r="H11" s="1">
        <f t="shared" si="2"/>
        <v>3.3406852553631841</v>
      </c>
      <c r="I11" s="1">
        <f t="shared" ref="I11:I74" si="10">+(-$R11+SQRT($R11*$R11-4*$G$1*$G$2*$P11))/2/$G$2</f>
        <v>0.1317202117778877</v>
      </c>
      <c r="J11" s="3">
        <f t="shared" si="3"/>
        <v>0.1317202117778877</v>
      </c>
      <c r="K11" s="3">
        <f t="shared" si="4"/>
        <v>-1.1489181286754009</v>
      </c>
      <c r="L11" s="6">
        <v>-0.223</v>
      </c>
      <c r="M11" s="4">
        <v>-0.185</v>
      </c>
      <c r="N11" s="5">
        <v>0.23200000000000001</v>
      </c>
      <c r="O11">
        <f t="shared" ref="O11:O74" si="11">+$N11+$N$1</f>
        <v>0.23200000000000001</v>
      </c>
      <c r="P11">
        <f t="shared" ref="P11:P74" si="12">+$M11/($O11)</f>
        <v>-0.79741379310344818</v>
      </c>
      <c r="Q11">
        <f t="shared" ref="Q11:Q74" si="13">+$L11/($O11)</f>
        <v>-0.96120689655172409</v>
      </c>
      <c r="R11">
        <f t="shared" si="5"/>
        <v>1.6397602808234693</v>
      </c>
      <c r="T11">
        <v>0.23200000000000001</v>
      </c>
      <c r="U11">
        <v>0.22950000000000001</v>
      </c>
      <c r="V11" s="11">
        <f t="shared" ref="V11:V74" si="14">-2.2979737161E-10*$A11^5 + 0.0000022285768284*$A11^4 - 0.0086436385146*$A11^3 + 16.759480306*$A11^2 - 16244.935412*$A11 + 6297344.9302</f>
        <v>0.65229031909257174</v>
      </c>
      <c r="W11">
        <f t="shared" ref="W11:W74" si="15">+$G$2*$M11/$V11+$G$1*$N11</f>
        <v>-0.13594906808641483</v>
      </c>
      <c r="X11" s="13">
        <f t="shared" ref="X11:X74" si="16">+$Y11+$X$1</f>
        <v>-0.51593497734755367</v>
      </c>
      <c r="Y11" s="13">
        <v>-1.5934977347553701E-2</v>
      </c>
    </row>
    <row r="12" spans="1:25" x14ac:dyDescent="0.25">
      <c r="A12" s="1">
        <v>1853</v>
      </c>
      <c r="B12" s="1">
        <f t="shared" si="6"/>
        <v>-0.26800000000000002</v>
      </c>
      <c r="C12" s="1">
        <f t="shared" si="7"/>
        <v>-0.2370472588982569</v>
      </c>
      <c r="D12" s="1">
        <f t="shared" si="0"/>
        <v>-3.21629227625706E-2</v>
      </c>
      <c r="E12" s="1">
        <f t="shared" si="8"/>
        <v>0.72984285846525754</v>
      </c>
      <c r="F12" s="1">
        <f t="shared" si="9"/>
        <v>3.095274110174312E-2</v>
      </c>
      <c r="G12" s="9">
        <f t="shared" si="1"/>
        <v>0.72984285846525754</v>
      </c>
      <c r="H12" s="1">
        <f t="shared" si="2"/>
        <v>0.46693265290165653</v>
      </c>
      <c r="I12" s="1">
        <f t="shared" si="10"/>
        <v>1.208622684331327</v>
      </c>
      <c r="J12" s="3">
        <f t="shared" si="3"/>
        <v>1.208622684331327</v>
      </c>
      <c r="K12" s="3">
        <f t="shared" si="4"/>
        <v>0.72984285846525754</v>
      </c>
      <c r="L12" s="6">
        <v>-0.26800000000000002</v>
      </c>
      <c r="M12" s="4">
        <v>-0.217</v>
      </c>
      <c r="N12" s="5">
        <v>-0.28699999999999998</v>
      </c>
      <c r="O12">
        <f t="shared" si="11"/>
        <v>-0.28699999999999998</v>
      </c>
      <c r="P12">
        <f t="shared" si="12"/>
        <v>0.75609756097560976</v>
      </c>
      <c r="Q12">
        <f t="shared" si="13"/>
        <v>0.93379790940766561</v>
      </c>
      <c r="R12">
        <f t="shared" si="5"/>
        <v>-1.0416471815391748</v>
      </c>
      <c r="T12">
        <v>-0.28699999999999998</v>
      </c>
      <c r="U12">
        <v>-0.27158300000000002</v>
      </c>
      <c r="V12" s="11">
        <f t="shared" si="14"/>
        <v>0.62756678555160761</v>
      </c>
      <c r="W12">
        <f t="shared" si="15"/>
        <v>-0.32894598129527242</v>
      </c>
      <c r="X12" s="13">
        <f t="shared" si="16"/>
        <v>-0.52774993066807852</v>
      </c>
      <c r="Y12" s="13">
        <v>-2.7749930668078501E-2</v>
      </c>
    </row>
    <row r="13" spans="1:25" x14ac:dyDescent="0.25">
      <c r="A13" s="1">
        <v>1854</v>
      </c>
      <c r="B13" s="1">
        <f t="shared" si="6"/>
        <v>-0.24299999999999999</v>
      </c>
      <c r="C13" s="1">
        <f t="shared" si="7"/>
        <v>-0.13015311956444528</v>
      </c>
      <c r="D13" s="1">
        <f t="shared" si="0"/>
        <v>0</v>
      </c>
      <c r="E13" s="1">
        <f t="shared" si="8"/>
        <v>0.1874442187046296</v>
      </c>
      <c r="F13" s="1">
        <f t="shared" si="9"/>
        <v>0.11284688043555471</v>
      </c>
      <c r="G13" s="9">
        <f t="shared" si="1"/>
        <v>0.1874442187046296</v>
      </c>
      <c r="H13" s="1">
        <f t="shared" si="2"/>
        <v>6.1392620547741519</v>
      </c>
      <c r="I13" s="1">
        <f t="shared" si="10"/>
        <v>0.1874442187046296</v>
      </c>
      <c r="J13" s="3">
        <f t="shared" si="3"/>
        <v>0.1874442187046296</v>
      </c>
      <c r="K13" s="3">
        <f t="shared" si="4"/>
        <v>-1.5486240750718443</v>
      </c>
      <c r="L13" s="6">
        <v>-0.24299999999999999</v>
      </c>
      <c r="M13" s="4">
        <v>-0.247</v>
      </c>
      <c r="N13" s="5">
        <v>0.161</v>
      </c>
      <c r="O13">
        <f t="shared" si="11"/>
        <v>0.161</v>
      </c>
      <c r="P13">
        <f t="shared" si="12"/>
        <v>-1.5341614906832297</v>
      </c>
      <c r="Q13">
        <f t="shared" si="13"/>
        <v>-1.5093167701863353</v>
      </c>
      <c r="R13">
        <f t="shared" si="5"/>
        <v>2.2102290710282899</v>
      </c>
      <c r="T13">
        <v>0.161</v>
      </c>
      <c r="U13">
        <v>0.128917</v>
      </c>
      <c r="V13" s="11">
        <f t="shared" si="14"/>
        <v>0.60495648998767138</v>
      </c>
      <c r="W13">
        <f t="shared" si="15"/>
        <v>-0.24525410160728012</v>
      </c>
      <c r="X13" s="13">
        <f t="shared" si="16"/>
        <v>-0.49461735296234444</v>
      </c>
      <c r="Y13" s="13">
        <v>5.3826470376555496E-3</v>
      </c>
    </row>
    <row r="14" spans="1:25" x14ac:dyDescent="0.25">
      <c r="A14" s="1">
        <v>1855</v>
      </c>
      <c r="B14" s="1">
        <f t="shared" si="6"/>
        <v>-0.26400000000000001</v>
      </c>
      <c r="C14" s="1">
        <f t="shared" si="7"/>
        <v>-0.21271361058716773</v>
      </c>
      <c r="D14" s="1">
        <f t="shared" si="0"/>
        <v>-5.1500000000000018E-2</v>
      </c>
      <c r="E14" s="1">
        <f t="shared" si="8"/>
        <v>1</v>
      </c>
      <c r="F14" s="1">
        <f t="shared" si="9"/>
        <v>5.1286389412832284E-2</v>
      </c>
      <c r="G14" s="9">
        <f t="shared" si="1"/>
        <v>1</v>
      </c>
      <c r="H14" s="1">
        <f t="shared" si="2"/>
        <v>1.390425575769153</v>
      </c>
      <c r="I14" s="1">
        <f t="shared" si="10"/>
        <v>1.8682199232873413</v>
      </c>
      <c r="J14" s="3">
        <f t="shared" si="3"/>
        <v>1.8682199232873413</v>
      </c>
      <c r="K14" s="3">
        <f t="shared" si="4"/>
        <v>1.0420248639829341</v>
      </c>
      <c r="L14" s="6">
        <v>-0.26400000000000001</v>
      </c>
      <c r="M14" s="4">
        <v>-0.21299999999999999</v>
      </c>
      <c r="N14" s="5">
        <v>-0.21199999999999999</v>
      </c>
      <c r="O14">
        <f t="shared" si="11"/>
        <v>-0.21199999999999999</v>
      </c>
      <c r="P14">
        <f t="shared" si="12"/>
        <v>1.0047169811320755</v>
      </c>
      <c r="Q14">
        <f t="shared" si="13"/>
        <v>1.2452830188679247</v>
      </c>
      <c r="R14">
        <f t="shared" si="5"/>
        <v>-1.4871999500605297</v>
      </c>
      <c r="T14">
        <v>-0.21199999999999999</v>
      </c>
      <c r="U14">
        <v>-0.23150000000000001</v>
      </c>
      <c r="V14" s="11">
        <f t="shared" si="14"/>
        <v>0.58436600212007761</v>
      </c>
      <c r="W14">
        <f t="shared" si="15"/>
        <v>-0.32082389541235312</v>
      </c>
      <c r="X14" s="13">
        <f t="shared" si="16"/>
        <v>-0.49258198593832392</v>
      </c>
      <c r="Y14" s="13">
        <v>7.4180140616760702E-3</v>
      </c>
    </row>
    <row r="15" spans="1:25" x14ac:dyDescent="0.25">
      <c r="A15" s="1">
        <v>1856</v>
      </c>
      <c r="B15" s="1">
        <f t="shared" si="6"/>
        <v>-0.35599999999999998</v>
      </c>
      <c r="C15" s="1">
        <f t="shared" si="7"/>
        <v>-0.36671455552043525</v>
      </c>
      <c r="D15" s="1">
        <f t="shared" si="0"/>
        <v>7.4977164996814505E-3</v>
      </c>
      <c r="E15" s="7">
        <f t="shared" si="8"/>
        <v>0.46704339112146342</v>
      </c>
      <c r="F15" s="1">
        <f t="shared" si="9"/>
        <v>1.0714555520435265E-2</v>
      </c>
      <c r="G15" s="9">
        <f t="shared" si="1"/>
        <v>0.46704339112146342</v>
      </c>
      <c r="H15" s="1">
        <f t="shared" si="2"/>
        <v>-3.8592930549250615E-2</v>
      </c>
      <c r="I15" s="1" t="e">
        <f t="shared" si="10"/>
        <v>#NUM!</v>
      </c>
      <c r="J15" s="3" t="b">
        <f t="shared" si="3"/>
        <v>0</v>
      </c>
      <c r="K15" s="3">
        <f t="shared" si="4"/>
        <v>0.46704339112146342</v>
      </c>
      <c r="L15" s="6">
        <v>-0.35599999999999998</v>
      </c>
      <c r="M15" s="4">
        <v>-0.30599999999999999</v>
      </c>
      <c r="N15" s="5">
        <v>-0.51800000000000002</v>
      </c>
      <c r="O15">
        <f t="shared" si="11"/>
        <v>-0.51800000000000002</v>
      </c>
      <c r="P15">
        <f t="shared" si="12"/>
        <v>0.59073359073359066</v>
      </c>
      <c r="Q15">
        <f t="shared" si="13"/>
        <v>0.68725868725868722</v>
      </c>
      <c r="R15">
        <f t="shared" si="5"/>
        <v>-0.66657421714201681</v>
      </c>
      <c r="T15">
        <v>-0.51800000000000002</v>
      </c>
      <c r="U15">
        <v>-0.503583</v>
      </c>
      <c r="V15" s="11">
        <f t="shared" si="14"/>
        <v>0.56570426095277071</v>
      </c>
      <c r="W15">
        <f t="shared" si="15"/>
        <v>-0.5343550100366119</v>
      </c>
      <c r="X15" s="13">
        <f t="shared" si="16"/>
        <v>-0.53337075727969319</v>
      </c>
      <c r="Y15" s="13">
        <v>-3.33707572796932E-2</v>
      </c>
    </row>
    <row r="16" spans="1:25" x14ac:dyDescent="0.25">
      <c r="A16" s="1">
        <v>1857</v>
      </c>
      <c r="B16" s="1">
        <f t="shared" si="6"/>
        <v>-0.45400000000000001</v>
      </c>
      <c r="C16" s="1">
        <f t="shared" si="7"/>
        <v>-0.43127693763318081</v>
      </c>
      <c r="D16" s="1">
        <f t="shared" si="0"/>
        <v>-4.0484560653390178E-2</v>
      </c>
      <c r="E16" s="1">
        <f t="shared" si="8"/>
        <v>0.79152098045690866</v>
      </c>
      <c r="F16" s="1">
        <f t="shared" si="9"/>
        <v>2.2723062366819202E-2</v>
      </c>
      <c r="G16" s="9">
        <f t="shared" si="1"/>
        <v>0.79152098045690866</v>
      </c>
      <c r="H16" s="1">
        <f t="shared" si="2"/>
        <v>0.43350157753103968</v>
      </c>
      <c r="I16" s="1">
        <f t="shared" si="10"/>
        <v>1.2528428685316084</v>
      </c>
      <c r="J16" s="3">
        <f t="shared" si="3"/>
        <v>1.2528428685316084</v>
      </c>
      <c r="K16" s="3">
        <f t="shared" si="4"/>
        <v>0.79152098045690866</v>
      </c>
      <c r="L16" s="6">
        <v>-0.45400000000000001</v>
      </c>
      <c r="M16" s="4">
        <v>-0.435</v>
      </c>
      <c r="N16" s="5">
        <v>-0.42199999999999999</v>
      </c>
      <c r="O16">
        <f t="shared" si="11"/>
        <v>-0.42199999999999999</v>
      </c>
      <c r="P16">
        <f t="shared" si="12"/>
        <v>1.0308056872037914</v>
      </c>
      <c r="Q16">
        <f t="shared" si="13"/>
        <v>1.075829383886256</v>
      </c>
      <c r="R16">
        <f t="shared" si="5"/>
        <v>-1.1296755032389083</v>
      </c>
      <c r="T16">
        <v>-0.42199999999999999</v>
      </c>
      <c r="U16">
        <v>-0.41908299999999998</v>
      </c>
      <c r="V16" s="11">
        <f t="shared" si="14"/>
        <v>0.54888251889497042</v>
      </c>
      <c r="W16">
        <f t="shared" si="15"/>
        <v>-0.68640650867723729</v>
      </c>
      <c r="X16" s="13">
        <f t="shared" si="16"/>
        <v>-0.55175893586952685</v>
      </c>
      <c r="Y16" s="13">
        <v>-5.1758935869526797E-2</v>
      </c>
    </row>
    <row r="17" spans="1:25" x14ac:dyDescent="0.25">
      <c r="A17" s="1">
        <v>1858</v>
      </c>
      <c r="B17" s="1">
        <f t="shared" si="6"/>
        <v>-0.46100000000000002</v>
      </c>
      <c r="C17" s="1">
        <f t="shared" si="7"/>
        <v>-0.46073251414647048</v>
      </c>
      <c r="D17" s="1">
        <f t="shared" si="0"/>
        <v>0</v>
      </c>
      <c r="E17" s="1">
        <f t="shared" si="8"/>
        <v>0.94646159954302667</v>
      </c>
      <c r="F17" s="1">
        <f t="shared" si="9"/>
        <v>2.6748585352953658E-4</v>
      </c>
      <c r="G17" s="9">
        <f t="shared" si="1"/>
        <v>0.94646159954302667</v>
      </c>
      <c r="H17" s="1">
        <f t="shared" si="2"/>
        <v>0.15197219008837803</v>
      </c>
      <c r="I17" s="1">
        <f t="shared" si="10"/>
        <v>0.94646159954302667</v>
      </c>
      <c r="J17" s="3">
        <f t="shared" si="3"/>
        <v>0.94646159954302667</v>
      </c>
      <c r="K17" s="3">
        <f t="shared" si="4"/>
        <v>0.67331815568734743</v>
      </c>
      <c r="L17" s="6">
        <v>-0.46100000000000002</v>
      </c>
      <c r="M17" s="4">
        <v>-0.45300000000000001</v>
      </c>
      <c r="N17" s="5">
        <v>-0.48</v>
      </c>
      <c r="O17">
        <f t="shared" si="11"/>
        <v>-0.48</v>
      </c>
      <c r="P17">
        <f t="shared" si="12"/>
        <v>0.94375000000000009</v>
      </c>
      <c r="Q17">
        <f t="shared" si="13"/>
        <v>0.9604166666666667</v>
      </c>
      <c r="R17">
        <f t="shared" si="5"/>
        <v>-0.96097392886151978</v>
      </c>
      <c r="T17">
        <v>-0.48</v>
      </c>
      <c r="U17">
        <v>-0.47783300000000001</v>
      </c>
      <c r="V17" s="11">
        <f t="shared" si="14"/>
        <v>0.53381431195884943</v>
      </c>
      <c r="W17">
        <f t="shared" si="15"/>
        <v>-0.74304378027237172</v>
      </c>
      <c r="X17" s="13">
        <f t="shared" si="16"/>
        <v>-0.5069596849046244</v>
      </c>
      <c r="Y17" s="13">
        <v>-6.95968490462439E-3</v>
      </c>
    </row>
    <row r="18" spans="1:25" x14ac:dyDescent="0.25">
      <c r="A18" s="1">
        <v>1859</v>
      </c>
      <c r="B18" s="1">
        <f t="shared" si="6"/>
        <v>-0.28199999999999997</v>
      </c>
      <c r="C18" s="1">
        <f t="shared" si="7"/>
        <v>-0.29076465044198285</v>
      </c>
      <c r="D18" s="1">
        <f t="shared" si="0"/>
        <v>-2.0670937491267083E-2</v>
      </c>
      <c r="E18" s="1">
        <f t="shared" si="8"/>
        <v>0.99194660592224215</v>
      </c>
      <c r="F18" s="1">
        <f t="shared" si="9"/>
        <v>8.7646504419828797E-3</v>
      </c>
      <c r="G18" s="9">
        <f t="shared" si="1"/>
        <v>0.99194660592224215</v>
      </c>
      <c r="H18" s="1">
        <f t="shared" si="2"/>
        <v>0.60651623733450877</v>
      </c>
      <c r="I18" s="1">
        <f t="shared" si="10"/>
        <v>1.5376164275803386</v>
      </c>
      <c r="J18" s="3">
        <f t="shared" si="3"/>
        <v>1.5376164275803386</v>
      </c>
      <c r="K18" s="3">
        <f t="shared" si="4"/>
        <v>0.99194660592224215</v>
      </c>
      <c r="L18" s="6">
        <v>-0.28199999999999997</v>
      </c>
      <c r="M18" s="4">
        <v>-0.33</v>
      </c>
      <c r="N18" s="5">
        <v>-0.193</v>
      </c>
      <c r="O18">
        <f t="shared" si="11"/>
        <v>-0.193</v>
      </c>
      <c r="P18">
        <f t="shared" si="12"/>
        <v>1.7098445595854923</v>
      </c>
      <c r="Q18">
        <f t="shared" si="13"/>
        <v>1.4611398963730569</v>
      </c>
      <c r="R18">
        <f t="shared" si="5"/>
        <v>-1.4157271997824719</v>
      </c>
      <c r="T18">
        <v>-0.193</v>
      </c>
      <c r="U18">
        <v>-0.20558299999999999</v>
      </c>
      <c r="V18" s="11">
        <f t="shared" si="14"/>
        <v>0.52041552681475878</v>
      </c>
      <c r="W18">
        <f t="shared" si="15"/>
        <v>-0.50777982035497804</v>
      </c>
      <c r="X18" s="13">
        <f t="shared" si="16"/>
        <v>-0.50055668720888791</v>
      </c>
      <c r="Y18" s="13">
        <v>-5.5668720888794496E-4</v>
      </c>
    </row>
    <row r="19" spans="1:25" x14ac:dyDescent="0.25">
      <c r="A19" s="1">
        <v>1860</v>
      </c>
      <c r="B19" s="1">
        <f t="shared" si="6"/>
        <v>-0.33800000000000002</v>
      </c>
      <c r="C19" s="1">
        <f t="shared" si="7"/>
        <v>-0.35108128506030428</v>
      </c>
      <c r="D19" s="1">
        <f t="shared" si="0"/>
        <v>1.3450879127644255E-2</v>
      </c>
      <c r="E19" s="7">
        <f t="shared" si="8"/>
        <v>0.38717394225472335</v>
      </c>
      <c r="F19" s="1">
        <f t="shared" si="9"/>
        <v>1.308128506030426E-2</v>
      </c>
      <c r="G19" s="9">
        <f t="shared" si="1"/>
        <v>0.38717394225472335</v>
      </c>
      <c r="H19" s="1">
        <f t="shared" si="2"/>
        <v>-5.0562755807341153E-2</v>
      </c>
      <c r="I19" s="1" t="e">
        <f t="shared" si="10"/>
        <v>#NUM!</v>
      </c>
      <c r="J19" s="3" t="b">
        <f t="shared" si="3"/>
        <v>0</v>
      </c>
      <c r="K19" s="3">
        <f t="shared" si="4"/>
        <v>0.38717394225472335</v>
      </c>
      <c r="L19" s="6">
        <v>-0.33800000000000002</v>
      </c>
      <c r="M19" s="4">
        <v>-0.25600000000000001</v>
      </c>
      <c r="N19" s="5">
        <v>-0.58799999999999997</v>
      </c>
      <c r="O19">
        <f t="shared" si="11"/>
        <v>-0.58799999999999997</v>
      </c>
      <c r="P19">
        <f t="shared" si="12"/>
        <v>0.43537414965986398</v>
      </c>
      <c r="Q19">
        <f t="shared" si="13"/>
        <v>0.5748299319727892</v>
      </c>
      <c r="R19">
        <f t="shared" si="5"/>
        <v>-0.55258284853689754</v>
      </c>
      <c r="T19">
        <v>-0.58799999999999997</v>
      </c>
      <c r="U19">
        <v>-0.58391700000000002</v>
      </c>
      <c r="V19" s="11">
        <f t="shared" si="14"/>
        <v>0.50860422942787409</v>
      </c>
      <c r="W19">
        <f t="shared" si="15"/>
        <v>-0.52758453109039016</v>
      </c>
      <c r="X19" s="13">
        <f t="shared" si="16"/>
        <v>-0.56295223459329902</v>
      </c>
      <c r="Y19" s="13">
        <v>-6.2952234593299003E-2</v>
      </c>
    </row>
    <row r="20" spans="1:25" x14ac:dyDescent="0.25">
      <c r="A20" s="1">
        <v>1861</v>
      </c>
      <c r="B20" s="1">
        <f t="shared" si="6"/>
        <v>-0.39100000000000001</v>
      </c>
      <c r="C20" s="1">
        <f t="shared" si="7"/>
        <v>-0.40800945177965142</v>
      </c>
      <c r="D20" s="1">
        <f t="shared" si="0"/>
        <v>0</v>
      </c>
      <c r="E20" s="1">
        <f t="shared" si="8"/>
        <v>0.69838499306552237</v>
      </c>
      <c r="F20" s="1">
        <f t="shared" si="9"/>
        <v>1.7009451779651408E-2</v>
      </c>
      <c r="G20" s="9">
        <f t="shared" si="1"/>
        <v>0.69838499306552237</v>
      </c>
      <c r="H20" s="1">
        <f t="shared" si="2"/>
        <v>1.0411267697573612E-2</v>
      </c>
      <c r="I20" s="1">
        <f t="shared" si="10"/>
        <v>0.69838499306552237</v>
      </c>
      <c r="J20" s="3">
        <f t="shared" si="3"/>
        <v>0.69838499306552237</v>
      </c>
      <c r="K20" s="3">
        <f t="shared" si="4"/>
        <v>0.626892486098927</v>
      </c>
      <c r="L20" s="6">
        <v>-0.39100000000000001</v>
      </c>
      <c r="M20" s="4">
        <v>-0.40400000000000003</v>
      </c>
      <c r="N20" s="5">
        <v>-0.41799999999999998</v>
      </c>
      <c r="O20">
        <f t="shared" si="11"/>
        <v>-0.41799999999999998</v>
      </c>
      <c r="P20">
        <f t="shared" si="12"/>
        <v>0.96650717703349287</v>
      </c>
      <c r="Q20">
        <f t="shared" si="13"/>
        <v>0.93540669856459335</v>
      </c>
      <c r="R20">
        <f t="shared" si="5"/>
        <v>-0.89471423019222174</v>
      </c>
      <c r="T20">
        <v>-0.41799999999999998</v>
      </c>
      <c r="U20">
        <v>-0.42758299999999999</v>
      </c>
      <c r="V20" s="11">
        <f t="shared" si="14"/>
        <v>0.49830075446516275</v>
      </c>
      <c r="W20">
        <f t="shared" si="15"/>
        <v>-0.69827437221528277</v>
      </c>
      <c r="X20" s="13">
        <f t="shared" si="16"/>
        <v>-0.54326489648126097</v>
      </c>
      <c r="Y20" s="13">
        <v>-4.3264896481261E-2</v>
      </c>
    </row>
    <row r="21" spans="1:25" x14ac:dyDescent="0.25">
      <c r="A21" s="1">
        <v>1862</v>
      </c>
      <c r="B21" s="1">
        <f t="shared" si="6"/>
        <v>-0.503</v>
      </c>
      <c r="C21" s="1">
        <f t="shared" si="7"/>
        <v>-0.47661153087753749</v>
      </c>
      <c r="D21" s="1">
        <f t="shared" si="0"/>
        <v>0</v>
      </c>
      <c r="E21" s="1">
        <f t="shared" si="8"/>
        <v>0.81340910095580177</v>
      </c>
      <c r="F21" s="1">
        <f t="shared" si="9"/>
        <v>2.638846912246251E-2</v>
      </c>
      <c r="G21" s="9">
        <f t="shared" si="1"/>
        <v>0.81340910095580177</v>
      </c>
      <c r="H21" s="1">
        <f t="shared" si="2"/>
        <v>0.13747977266224853</v>
      </c>
      <c r="I21" s="1">
        <f t="shared" si="10"/>
        <v>0.81340910095580177</v>
      </c>
      <c r="J21" s="3">
        <f t="shared" si="3"/>
        <v>0.81340910095580177</v>
      </c>
      <c r="K21" s="3">
        <f t="shared" si="4"/>
        <v>0.55361569578326242</v>
      </c>
      <c r="L21" s="6">
        <v>-0.503</v>
      </c>
      <c r="M21" s="4">
        <v>-0.39900000000000002</v>
      </c>
      <c r="N21" s="5">
        <v>-0.67</v>
      </c>
      <c r="O21">
        <f t="shared" si="11"/>
        <v>-0.67</v>
      </c>
      <c r="P21">
        <f t="shared" si="12"/>
        <v>0.59552238805970148</v>
      </c>
      <c r="Q21">
        <f t="shared" si="13"/>
        <v>0.75074626865671634</v>
      </c>
      <c r="R21">
        <f t="shared" si="5"/>
        <v>-0.79013204346636168</v>
      </c>
      <c r="T21">
        <v>-0.67</v>
      </c>
      <c r="U21">
        <v>-0.66333299999999995</v>
      </c>
      <c r="V21" s="11">
        <f t="shared" si="14"/>
        <v>0.48942758608609438</v>
      </c>
      <c r="W21">
        <f t="shared" si="15"/>
        <v>-0.77364342341219161</v>
      </c>
      <c r="X21" s="13">
        <f t="shared" si="16"/>
        <v>-0.59404690608130206</v>
      </c>
      <c r="Y21" s="13">
        <v>-9.4046906081302006E-2</v>
      </c>
    </row>
    <row r="22" spans="1:25" x14ac:dyDescent="0.25">
      <c r="A22" s="1">
        <v>1863</v>
      </c>
      <c r="B22" s="1">
        <f t="shared" si="6"/>
        <v>-0.27500000000000002</v>
      </c>
      <c r="C22" s="1">
        <f t="shared" si="7"/>
        <v>-0.30759546334152543</v>
      </c>
      <c r="D22" s="1">
        <f t="shared" si="0"/>
        <v>-5.6683115679001528E-3</v>
      </c>
      <c r="E22" s="1">
        <f t="shared" si="8"/>
        <v>0.93320718786501233</v>
      </c>
      <c r="F22" s="1">
        <f t="shared" si="9"/>
        <v>3.259546334152541E-2</v>
      </c>
      <c r="G22" s="9">
        <f t="shared" si="1"/>
        <v>0.93320718786501233</v>
      </c>
      <c r="H22" s="1">
        <f t="shared" si="2"/>
        <v>0.16592494134195213</v>
      </c>
      <c r="I22" s="1">
        <f t="shared" si="10"/>
        <v>1.2186141454859094</v>
      </c>
      <c r="J22" s="3">
        <f t="shared" si="3"/>
        <v>1.2186141454859094</v>
      </c>
      <c r="K22" s="3">
        <f t="shared" si="4"/>
        <v>0.93320718786501233</v>
      </c>
      <c r="L22" s="6">
        <v>-0.27500000000000002</v>
      </c>
      <c r="M22" s="4">
        <v>-0.35799999999999998</v>
      </c>
      <c r="N22" s="5">
        <v>-0.182</v>
      </c>
      <c r="O22">
        <f t="shared" si="11"/>
        <v>-0.182</v>
      </c>
      <c r="P22">
        <f t="shared" si="12"/>
        <v>1.9670329670329669</v>
      </c>
      <c r="Q22">
        <f t="shared" si="13"/>
        <v>1.5109890109890112</v>
      </c>
      <c r="R22">
        <f t="shared" si="5"/>
        <v>-1.3318930585630475</v>
      </c>
      <c r="T22">
        <v>-0.182</v>
      </c>
      <c r="U22">
        <v>-0.192167</v>
      </c>
      <c r="V22" s="11">
        <f t="shared" si="14"/>
        <v>0.48190940264612436</v>
      </c>
      <c r="W22">
        <f t="shared" si="15"/>
        <v>-0.58224863703067053</v>
      </c>
      <c r="X22" s="13">
        <f t="shared" si="16"/>
        <v>-0.49633715288056862</v>
      </c>
      <c r="Y22" s="13">
        <v>3.6628471194314E-3</v>
      </c>
    </row>
    <row r="23" spans="1:25" x14ac:dyDescent="0.25">
      <c r="A23" s="1">
        <v>1864</v>
      </c>
      <c r="B23" s="1">
        <f t="shared" si="6"/>
        <v>-0.47799999999999998</v>
      </c>
      <c r="C23" s="1">
        <f t="shared" si="7"/>
        <v>-0.48135822269348516</v>
      </c>
      <c r="D23" s="1">
        <f t="shared" si="0"/>
        <v>3.9880071104397841E-4</v>
      </c>
      <c r="E23" s="7">
        <f t="shared" si="8"/>
        <v>0.46906005060435624</v>
      </c>
      <c r="F23" s="1">
        <f t="shared" si="9"/>
        <v>3.35822269348518E-3</v>
      </c>
      <c r="G23" s="9">
        <f t="shared" si="1"/>
        <v>0.46906005060435624</v>
      </c>
      <c r="H23" s="1">
        <f t="shared" si="2"/>
        <v>-1.5062234560763166E-3</v>
      </c>
      <c r="I23" s="1" t="e">
        <f t="shared" si="10"/>
        <v>#NUM!</v>
      </c>
      <c r="J23" s="3" t="b">
        <f t="shared" si="3"/>
        <v>0</v>
      </c>
      <c r="K23" s="3">
        <f t="shared" si="4"/>
        <v>0.46906005060435624</v>
      </c>
      <c r="L23" s="6">
        <v>-0.47799999999999998</v>
      </c>
      <c r="M23" s="4">
        <v>-0.39</v>
      </c>
      <c r="N23" s="5">
        <v>-0.70899999999999996</v>
      </c>
      <c r="O23">
        <f t="shared" si="11"/>
        <v>-0.70899999999999996</v>
      </c>
      <c r="P23">
        <f t="shared" si="12"/>
        <v>0.55007052186177718</v>
      </c>
      <c r="Q23">
        <f t="shared" si="13"/>
        <v>0.67418899858956283</v>
      </c>
      <c r="R23">
        <f t="shared" si="5"/>
        <v>-0.6694524362574259</v>
      </c>
      <c r="T23">
        <v>-0.70899999999999996</v>
      </c>
      <c r="U23">
        <v>-0.69433299999999998</v>
      </c>
      <c r="V23" s="11">
        <f t="shared" si="14"/>
        <v>0.47567305434495211</v>
      </c>
      <c r="W23">
        <f t="shared" si="15"/>
        <v>-0.78813290730978058</v>
      </c>
      <c r="X23" s="13">
        <f t="shared" si="16"/>
        <v>-0.52905049571307772</v>
      </c>
      <c r="Y23" s="13">
        <v>-2.90504957130777E-2</v>
      </c>
    </row>
    <row r="24" spans="1:25" x14ac:dyDescent="0.25">
      <c r="A24" s="1">
        <v>1865</v>
      </c>
      <c r="B24" s="1">
        <f t="shared" si="6"/>
        <v>-0.27</v>
      </c>
      <c r="C24" s="1">
        <f t="shared" si="7"/>
        <v>-0.2732306236681914</v>
      </c>
      <c r="D24" s="1">
        <f t="shared" si="0"/>
        <v>0</v>
      </c>
      <c r="E24" s="1">
        <f t="shared" si="8"/>
        <v>0.5557999076326664</v>
      </c>
      <c r="F24" s="1">
        <f t="shared" si="9"/>
        <v>3.2306236681913791E-3</v>
      </c>
      <c r="G24" s="9">
        <f t="shared" si="1"/>
        <v>0.5557999076326664</v>
      </c>
      <c r="H24" s="1">
        <f t="shared" si="2"/>
        <v>4.1436667687320128E-3</v>
      </c>
      <c r="I24" s="1">
        <f t="shared" si="10"/>
        <v>0.5557999076326664</v>
      </c>
      <c r="J24" s="3">
        <f t="shared" si="3"/>
        <v>0.5557999076326664</v>
      </c>
      <c r="K24" s="3">
        <f t="shared" si="4"/>
        <v>0.5106973540724431</v>
      </c>
      <c r="L24" s="6">
        <v>-0.27</v>
      </c>
      <c r="M24" s="4">
        <v>-0.23599999999999999</v>
      </c>
      <c r="N24" s="5">
        <v>-0.36599999999999999</v>
      </c>
      <c r="O24">
        <f t="shared" si="11"/>
        <v>-0.36599999999999999</v>
      </c>
      <c r="P24">
        <f t="shared" si="12"/>
        <v>0.64480874316939885</v>
      </c>
      <c r="Q24">
        <f t="shared" si="13"/>
        <v>0.73770491803278693</v>
      </c>
      <c r="R24">
        <f t="shared" si="5"/>
        <v>-0.7288780774093131</v>
      </c>
      <c r="T24">
        <v>-0.36599999999999999</v>
      </c>
      <c r="U24">
        <v>-0.37524999999999997</v>
      </c>
      <c r="V24" s="11">
        <f t="shared" si="14"/>
        <v>0.47064743656665087</v>
      </c>
      <c r="W24">
        <f t="shared" si="15"/>
        <v>-0.46264921849238017</v>
      </c>
      <c r="X24" s="13">
        <f t="shared" si="16"/>
        <v>-0.50239393801633614</v>
      </c>
      <c r="Y24" s="13">
        <v>-2.3939380163361399E-3</v>
      </c>
    </row>
    <row r="25" spans="1:25" x14ac:dyDescent="0.25">
      <c r="A25" s="1">
        <v>1866</v>
      </c>
      <c r="B25" s="1">
        <f t="shared" si="6"/>
        <v>-0.24099999999999999</v>
      </c>
      <c r="C25" s="1">
        <f t="shared" si="7"/>
        <v>-0.25179867660403021</v>
      </c>
      <c r="D25" s="1">
        <f t="shared" si="0"/>
        <v>7.8407563166122962E-3</v>
      </c>
      <c r="E25" s="7">
        <f t="shared" si="8"/>
        <v>0.47300110652008104</v>
      </c>
      <c r="F25" s="1">
        <f t="shared" si="9"/>
        <v>1.0798676604030222E-2</v>
      </c>
      <c r="G25" s="9">
        <f t="shared" si="1"/>
        <v>0.47300110652008104</v>
      </c>
      <c r="H25" s="1">
        <f t="shared" si="2"/>
        <v>-6.2089334646570626E-2</v>
      </c>
      <c r="I25" s="1" t="e">
        <f t="shared" si="10"/>
        <v>#NUM!</v>
      </c>
      <c r="J25" s="3" t="b">
        <f t="shared" si="3"/>
        <v>0</v>
      </c>
      <c r="K25" s="3">
        <f t="shared" si="4"/>
        <v>0.47300110652008104</v>
      </c>
      <c r="L25" s="6">
        <v>-0.24099999999999999</v>
      </c>
      <c r="M25" s="4">
        <v>-0.216</v>
      </c>
      <c r="N25" s="5">
        <v>-0.34100000000000003</v>
      </c>
      <c r="O25">
        <f t="shared" si="11"/>
        <v>-0.34100000000000003</v>
      </c>
      <c r="P25">
        <f t="shared" si="12"/>
        <v>0.63343108504398826</v>
      </c>
      <c r="Q25">
        <f t="shared" si="13"/>
        <v>0.70674486803519054</v>
      </c>
      <c r="R25">
        <f t="shared" si="5"/>
        <v>-0.6750771947095886</v>
      </c>
      <c r="T25">
        <v>-0.34100000000000003</v>
      </c>
      <c r="U25">
        <v>-0.34875</v>
      </c>
      <c r="V25" s="11">
        <f t="shared" si="14"/>
        <v>0.46676357928663492</v>
      </c>
      <c r="W25">
        <f t="shared" si="15"/>
        <v>-0.42788996818909558</v>
      </c>
      <c r="X25" s="13">
        <f t="shared" si="16"/>
        <v>-0.49607541316655412</v>
      </c>
      <c r="Y25" s="13">
        <v>3.9245868334458903E-3</v>
      </c>
    </row>
    <row r="26" spans="1:25" x14ac:dyDescent="0.25">
      <c r="A26" s="1">
        <v>1867</v>
      </c>
      <c r="B26" s="1">
        <f t="shared" si="6"/>
        <v>-0.308</v>
      </c>
      <c r="C26" s="1">
        <f t="shared" si="7"/>
        <v>-0.30534877091383378</v>
      </c>
      <c r="D26" s="1">
        <f t="shared" si="0"/>
        <v>0</v>
      </c>
      <c r="E26" s="1">
        <f t="shared" si="8"/>
        <v>0.49313625954037149</v>
      </c>
      <c r="F26" s="1">
        <f t="shared" si="9"/>
        <v>2.651229086166218E-3</v>
      </c>
      <c r="G26" s="9">
        <f t="shared" si="1"/>
        <v>0.49313625954037149</v>
      </c>
      <c r="H26" s="1">
        <f t="shared" si="2"/>
        <v>1.2063750494687386E-2</v>
      </c>
      <c r="I26" s="1">
        <f t="shared" si="10"/>
        <v>0.49313625954037149</v>
      </c>
      <c r="J26" s="3">
        <f t="shared" si="3"/>
        <v>0.49313625954037149</v>
      </c>
      <c r="K26" s="3">
        <f t="shared" si="4"/>
        <v>0.41617894703322805</v>
      </c>
      <c r="L26" s="6">
        <v>-0.308</v>
      </c>
      <c r="M26" s="4">
        <v>-0.218</v>
      </c>
      <c r="N26" s="5">
        <v>-0.52300000000000002</v>
      </c>
      <c r="O26">
        <f t="shared" si="11"/>
        <v>-0.52300000000000002</v>
      </c>
      <c r="P26">
        <f t="shared" si="12"/>
        <v>0.41682600382409174</v>
      </c>
      <c r="Q26">
        <f t="shared" si="13"/>
        <v>0.58891013384321222</v>
      </c>
      <c r="R26">
        <f t="shared" si="5"/>
        <v>-0.59397940551848227</v>
      </c>
      <c r="T26">
        <v>-0.52300000000000002</v>
      </c>
      <c r="U26">
        <v>-0.51741700000000002</v>
      </c>
      <c r="V26" s="11">
        <f t="shared" si="14"/>
        <v>0.4639545576646924</v>
      </c>
      <c r="W26">
        <f t="shared" si="15"/>
        <v>-0.48508844119923911</v>
      </c>
      <c r="X26" s="13">
        <f t="shared" si="16"/>
        <v>-0.47849527426009369</v>
      </c>
      <c r="Y26" s="13">
        <v>2.1504725739906298E-2</v>
      </c>
    </row>
    <row r="27" spans="1:25" x14ac:dyDescent="0.25">
      <c r="A27" s="1">
        <v>1868</v>
      </c>
      <c r="B27" s="1">
        <f t="shared" si="6"/>
        <v>-0.23</v>
      </c>
      <c r="C27" s="1">
        <f t="shared" si="7"/>
        <v>-0.25278449893455313</v>
      </c>
      <c r="D27" s="1">
        <f t="shared" si="0"/>
        <v>2.0115949250457926E-2</v>
      </c>
      <c r="E27" s="7">
        <f t="shared" si="8"/>
        <v>0.44400024256631837</v>
      </c>
      <c r="F27" s="1">
        <f t="shared" si="9"/>
        <v>2.2784498934553116E-2</v>
      </c>
      <c r="G27" s="9">
        <f t="shared" si="1"/>
        <v>0.44400024256631837</v>
      </c>
      <c r="H27" s="1">
        <f t="shared" si="2"/>
        <v>-0.15592913066953723</v>
      </c>
      <c r="I27" s="1" t="e">
        <f t="shared" si="10"/>
        <v>#NUM!</v>
      </c>
      <c r="J27" s="3" t="b">
        <f t="shared" si="3"/>
        <v>0</v>
      </c>
      <c r="K27" s="3">
        <f t="shared" si="4"/>
        <v>0.44400024256631837</v>
      </c>
      <c r="L27" s="6">
        <v>-0.23</v>
      </c>
      <c r="M27" s="4">
        <v>-0.223</v>
      </c>
      <c r="N27" s="5">
        <v>-0.32700000000000001</v>
      </c>
      <c r="O27">
        <f t="shared" si="11"/>
        <v>-0.32700000000000001</v>
      </c>
      <c r="P27">
        <f t="shared" si="12"/>
        <v>0.68195718654434245</v>
      </c>
      <c r="Q27">
        <f t="shared" si="13"/>
        <v>0.70336391437308865</v>
      </c>
      <c r="R27">
        <f t="shared" si="5"/>
        <v>-0.63368654760075493</v>
      </c>
      <c r="T27">
        <v>-0.32700000000000001</v>
      </c>
      <c r="U27">
        <v>-0.33116699999999999</v>
      </c>
      <c r="V27" s="11">
        <f t="shared" si="14"/>
        <v>0.46215544734150171</v>
      </c>
      <c r="W27">
        <f t="shared" si="15"/>
        <v>-0.43798188206506522</v>
      </c>
      <c r="X27" s="13">
        <f t="shared" si="16"/>
        <v>-0.49927560860419673</v>
      </c>
      <c r="Y27" s="13">
        <v>7.2439139580328198E-4</v>
      </c>
    </row>
    <row r="28" spans="1:25" x14ac:dyDescent="0.25">
      <c r="A28" s="1">
        <v>1869</v>
      </c>
      <c r="B28" s="1">
        <f t="shared" si="6"/>
        <v>-0.25900000000000001</v>
      </c>
      <c r="C28" s="1">
        <f t="shared" si="7"/>
        <v>-0.27059168238496722</v>
      </c>
      <c r="D28" s="1">
        <f t="shared" si="0"/>
        <v>1.3437023189472042E-3</v>
      </c>
      <c r="E28" s="7">
        <f t="shared" si="8"/>
        <v>0.59366324869028897</v>
      </c>
      <c r="F28" s="1">
        <f t="shared" si="9"/>
        <v>1.1591682384967217E-2</v>
      </c>
      <c r="G28" s="9">
        <f t="shared" si="1"/>
        <v>0.59366324869028897</v>
      </c>
      <c r="H28" s="1">
        <f t="shared" si="2"/>
        <v>-1.559594342776105E-2</v>
      </c>
      <c r="I28" s="1" t="e">
        <f t="shared" si="10"/>
        <v>#NUM!</v>
      </c>
      <c r="J28" s="3" t="b">
        <f t="shared" si="3"/>
        <v>0</v>
      </c>
      <c r="K28" s="3">
        <f t="shared" si="4"/>
        <v>0.59366324869028897</v>
      </c>
      <c r="L28" s="6">
        <v>-0.25900000000000001</v>
      </c>
      <c r="M28" s="4">
        <v>-0.26200000000000001</v>
      </c>
      <c r="N28" s="5">
        <v>-0.29199999999999998</v>
      </c>
      <c r="O28">
        <f t="shared" si="11"/>
        <v>-0.29199999999999998</v>
      </c>
      <c r="P28">
        <f t="shared" si="12"/>
        <v>0.89726027397260288</v>
      </c>
      <c r="Q28">
        <f t="shared" si="13"/>
        <v>0.88698630136986312</v>
      </c>
      <c r="R28">
        <f t="shared" si="5"/>
        <v>-0.84728875895559175</v>
      </c>
      <c r="T28">
        <v>-0.29199999999999998</v>
      </c>
      <c r="U28">
        <v>-0.30425000000000002</v>
      </c>
      <c r="V28" s="11">
        <f t="shared" si="14"/>
        <v>0.46130338776856661</v>
      </c>
      <c r="W28">
        <f t="shared" si="15"/>
        <v>-0.488925081574278</v>
      </c>
      <c r="X28" s="13">
        <f t="shared" si="16"/>
        <v>-0.47431898675828033</v>
      </c>
      <c r="Y28" s="13">
        <v>2.5681013241719699E-2</v>
      </c>
    </row>
    <row r="29" spans="1:25" x14ac:dyDescent="0.25">
      <c r="A29" s="1">
        <v>1870</v>
      </c>
      <c r="B29" s="1">
        <f t="shared" si="6"/>
        <v>-0.27100000000000002</v>
      </c>
      <c r="C29" s="1">
        <f t="shared" si="7"/>
        <v>-0.29744234377708012</v>
      </c>
      <c r="D29" s="1">
        <f t="shared" si="0"/>
        <v>2.8238445740685625E-2</v>
      </c>
      <c r="E29" s="7">
        <f t="shared" si="8"/>
        <v>0.37009139911683697</v>
      </c>
      <c r="F29" s="1">
        <f t="shared" si="9"/>
        <v>2.6442343777080102E-2</v>
      </c>
      <c r="G29" s="9">
        <f t="shared" si="1"/>
        <v>0.37009139911683697</v>
      </c>
      <c r="H29" s="1">
        <f t="shared" si="2"/>
        <v>-0.12886057416361818</v>
      </c>
      <c r="I29" s="1" t="e">
        <f t="shared" si="10"/>
        <v>#NUM!</v>
      </c>
      <c r="J29" s="3" t="b">
        <f t="shared" si="3"/>
        <v>0</v>
      </c>
      <c r="K29" s="3">
        <f t="shared" si="4"/>
        <v>0.37009139911683697</v>
      </c>
      <c r="L29" s="6">
        <v>-0.27100000000000002</v>
      </c>
      <c r="M29" s="4">
        <v>-0.23100000000000001</v>
      </c>
      <c r="N29" s="5">
        <v>-0.46300000000000002</v>
      </c>
      <c r="O29">
        <f t="shared" si="11"/>
        <v>-0.46300000000000002</v>
      </c>
      <c r="P29">
        <f t="shared" si="12"/>
        <v>0.49892008639308855</v>
      </c>
      <c r="Q29">
        <f t="shared" si="13"/>
        <v>0.58531317494600432</v>
      </c>
      <c r="R29">
        <f t="shared" si="5"/>
        <v>-0.52820228125900626</v>
      </c>
      <c r="T29">
        <v>-0.46300000000000002</v>
      </c>
      <c r="U29">
        <v>-0.46124999999999999</v>
      </c>
      <c r="V29" s="11">
        <f t="shared" si="14"/>
        <v>0.46133742947131395</v>
      </c>
      <c r="W29">
        <f t="shared" si="15"/>
        <v>-0.48991603371864939</v>
      </c>
      <c r="X29" s="13">
        <f t="shared" si="16"/>
        <v>-0.50714168130126092</v>
      </c>
      <c r="Y29" s="13">
        <v>-7.1416813012609697E-3</v>
      </c>
    </row>
    <row r="30" spans="1:25" x14ac:dyDescent="0.25">
      <c r="A30" s="1">
        <v>1871</v>
      </c>
      <c r="B30" s="1">
        <f t="shared" si="6"/>
        <v>-0.32600000000000001</v>
      </c>
      <c r="C30" s="1">
        <f t="shared" si="7"/>
        <v>-0.33267296744527153</v>
      </c>
      <c r="D30" s="1">
        <f t="shared" si="0"/>
        <v>6.7857173244031954E-3</v>
      </c>
      <c r="E30" s="7">
        <f t="shared" si="8"/>
        <v>0.37857935242255836</v>
      </c>
      <c r="F30" s="1">
        <f t="shared" si="9"/>
        <v>6.672967445271516E-3</v>
      </c>
      <c r="G30" s="9">
        <f t="shared" si="1"/>
        <v>0.37857935242255836</v>
      </c>
      <c r="H30" s="1">
        <f t="shared" si="2"/>
        <v>-2.481512566623334E-2</v>
      </c>
      <c r="I30" s="1" t="e">
        <f t="shared" si="10"/>
        <v>#NUM!</v>
      </c>
      <c r="J30" s="3" t="b">
        <f t="shared" si="3"/>
        <v>0</v>
      </c>
      <c r="K30" s="3">
        <f t="shared" si="4"/>
        <v>0.37857935242255836</v>
      </c>
      <c r="L30" s="6">
        <v>-0.32600000000000001</v>
      </c>
      <c r="M30" s="4">
        <v>-0.22900000000000001</v>
      </c>
      <c r="N30" s="5">
        <v>-0.59099999999999997</v>
      </c>
      <c r="O30">
        <f t="shared" si="11"/>
        <v>-0.59099999999999997</v>
      </c>
      <c r="P30">
        <f t="shared" si="12"/>
        <v>0.38747884940778343</v>
      </c>
      <c r="Q30">
        <f t="shared" si="13"/>
        <v>0.55160744500846026</v>
      </c>
      <c r="R30">
        <f t="shared" si="5"/>
        <v>-0.54031646794370292</v>
      </c>
      <c r="T30">
        <v>-0.59099999999999997</v>
      </c>
      <c r="U30">
        <v>-0.58299999999999996</v>
      </c>
      <c r="V30" s="11">
        <f t="shared" si="14"/>
        <v>0.46219861600548029</v>
      </c>
      <c r="W30">
        <f t="shared" si="15"/>
        <v>-0.5228202143645424</v>
      </c>
      <c r="X30" s="13">
        <f t="shared" si="16"/>
        <v>-0.52176478581286967</v>
      </c>
      <c r="Y30" s="13">
        <v>-2.17647858128697E-2</v>
      </c>
    </row>
    <row r="31" spans="1:25" x14ac:dyDescent="0.25">
      <c r="A31" s="1">
        <v>1872</v>
      </c>
      <c r="B31" s="1">
        <f t="shared" si="6"/>
        <v>-0.22900000000000001</v>
      </c>
      <c r="C31" s="1">
        <f t="shared" si="7"/>
        <v>-0.24747448007259246</v>
      </c>
      <c r="D31" s="1">
        <f t="shared" si="0"/>
        <v>1.2883515596678746E-2</v>
      </c>
      <c r="E31" s="7">
        <f t="shared" si="8"/>
        <v>0.49833542089281019</v>
      </c>
      <c r="F31" s="1">
        <f t="shared" si="9"/>
        <v>1.8474480072592447E-2</v>
      </c>
      <c r="G31" s="9">
        <f t="shared" si="1"/>
        <v>0.49833542089281019</v>
      </c>
      <c r="H31" s="1">
        <f t="shared" si="2"/>
        <v>-0.12382710096254823</v>
      </c>
      <c r="I31" s="1" t="e">
        <f t="shared" si="10"/>
        <v>#NUM!</v>
      </c>
      <c r="J31" s="3" t="b">
        <f t="shared" si="3"/>
        <v>0</v>
      </c>
      <c r="K31" s="3">
        <f t="shared" si="4"/>
        <v>0.49833542089281019</v>
      </c>
      <c r="L31" s="6">
        <v>-0.22900000000000001</v>
      </c>
      <c r="M31" s="4">
        <v>-0.22800000000000001</v>
      </c>
      <c r="N31" s="5">
        <v>-0.29599999999999999</v>
      </c>
      <c r="O31">
        <f t="shared" si="11"/>
        <v>-0.29599999999999999</v>
      </c>
      <c r="P31">
        <f t="shared" si="12"/>
        <v>0.77027027027027029</v>
      </c>
      <c r="Q31">
        <f t="shared" si="13"/>
        <v>0.77364864864864868</v>
      </c>
      <c r="R31">
        <f t="shared" si="5"/>
        <v>-0.71123486461962027</v>
      </c>
      <c r="T31">
        <v>-0.29599999999999999</v>
      </c>
      <c r="U31">
        <v>-0.310083</v>
      </c>
      <c r="V31" s="11">
        <f t="shared" si="14"/>
        <v>0.46382988709956408</v>
      </c>
      <c r="W31">
        <f t="shared" si="15"/>
        <v>-0.43555334902545462</v>
      </c>
      <c r="X31" s="13">
        <f t="shared" si="16"/>
        <v>-0.51215727693299262</v>
      </c>
      <c r="Y31" s="13">
        <v>-1.21572769329926E-2</v>
      </c>
    </row>
    <row r="32" spans="1:25" x14ac:dyDescent="0.25">
      <c r="A32" s="1">
        <v>1873</v>
      </c>
      <c r="B32" s="1">
        <f t="shared" si="6"/>
        <v>-0.30599999999999999</v>
      </c>
      <c r="C32" s="1">
        <f t="shared" si="7"/>
        <v>-0.30533364831108911</v>
      </c>
      <c r="D32" s="1">
        <f t="shared" si="0"/>
        <v>0</v>
      </c>
      <c r="E32" s="1">
        <f t="shared" si="8"/>
        <v>0.810947376123624</v>
      </c>
      <c r="F32" s="1">
        <f t="shared" si="9"/>
        <v>6.6635168891088226E-4</v>
      </c>
      <c r="G32" s="9">
        <f t="shared" si="1"/>
        <v>0.810947376123624</v>
      </c>
      <c r="H32" s="1">
        <f t="shared" si="2"/>
        <v>8.7603527164163308E-2</v>
      </c>
      <c r="I32" s="1">
        <f t="shared" si="10"/>
        <v>0.810947376123624</v>
      </c>
      <c r="J32" s="3">
        <f t="shared" si="3"/>
        <v>0.810947376123624</v>
      </c>
      <c r="K32" s="3">
        <f t="shared" si="4"/>
        <v>0.60356611273362426</v>
      </c>
      <c r="L32" s="6">
        <v>-0.30599999999999999</v>
      </c>
      <c r="M32" s="4">
        <v>-0.28499999999999998</v>
      </c>
      <c r="N32" s="5">
        <v>-0.35599999999999998</v>
      </c>
      <c r="O32">
        <f t="shared" si="11"/>
        <v>-0.35599999999999998</v>
      </c>
      <c r="P32">
        <f t="shared" si="12"/>
        <v>0.800561797752809</v>
      </c>
      <c r="Q32">
        <f t="shared" si="13"/>
        <v>0.8595505617977528</v>
      </c>
      <c r="R32">
        <f t="shared" si="5"/>
        <v>-0.86142233620480568</v>
      </c>
      <c r="T32">
        <v>-0.35599999999999998</v>
      </c>
      <c r="U32">
        <v>-0.372583</v>
      </c>
      <c r="V32" s="11">
        <f t="shared" si="14"/>
        <v>0.4661760563030839</v>
      </c>
      <c r="W32">
        <f t="shared" si="15"/>
        <v>-0.53822546597354992</v>
      </c>
      <c r="X32" s="13">
        <f t="shared" si="16"/>
        <v>-0.49018587205016706</v>
      </c>
      <c r="Y32" s="13">
        <v>9.8141279498329594E-3</v>
      </c>
    </row>
    <row r="33" spans="1:25" x14ac:dyDescent="0.25">
      <c r="A33" s="1">
        <v>1874</v>
      </c>
      <c r="B33" s="1">
        <f t="shared" si="6"/>
        <v>-0.373</v>
      </c>
      <c r="C33" s="1">
        <f t="shared" si="7"/>
        <v>-0.41632892242126351</v>
      </c>
      <c r="D33" s="1">
        <f t="shared" si="0"/>
        <v>3.1571099356115961E-2</v>
      </c>
      <c r="E33" s="7">
        <f t="shared" si="8"/>
        <v>0.49997419728947112</v>
      </c>
      <c r="F33" s="1">
        <f t="shared" si="9"/>
        <v>4.3328922421263516E-2</v>
      </c>
      <c r="G33" s="9">
        <f t="shared" si="1"/>
        <v>0.49997419728947112</v>
      </c>
      <c r="H33" s="1">
        <f t="shared" si="2"/>
        <v>-0.19505028663398549</v>
      </c>
      <c r="I33" s="1" t="e">
        <f t="shared" si="10"/>
        <v>#NUM!</v>
      </c>
      <c r="J33" s="3" t="b">
        <f t="shared" si="3"/>
        <v>0</v>
      </c>
      <c r="K33" s="3">
        <f t="shared" si="4"/>
        <v>0.49997419728947112</v>
      </c>
      <c r="L33" s="6">
        <v>-0.373</v>
      </c>
      <c r="M33" s="4">
        <v>-0.39800000000000002</v>
      </c>
      <c r="N33" s="5">
        <v>-0.46200000000000002</v>
      </c>
      <c r="O33">
        <f t="shared" si="11"/>
        <v>-0.46200000000000002</v>
      </c>
      <c r="P33">
        <f t="shared" si="12"/>
        <v>0.8614718614718615</v>
      </c>
      <c r="Q33">
        <f t="shared" si="13"/>
        <v>0.80735930735930728</v>
      </c>
      <c r="R33">
        <f t="shared" si="5"/>
        <v>-0.71357376099293601</v>
      </c>
      <c r="T33">
        <v>-0.46200000000000002</v>
      </c>
      <c r="U33">
        <v>-0.45658300000000002</v>
      </c>
      <c r="V33" s="11">
        <f t="shared" si="14"/>
        <v>0.46918386314064264</v>
      </c>
      <c r="W33">
        <f t="shared" si="15"/>
        <v>-0.73765458141037932</v>
      </c>
      <c r="X33" s="13">
        <f t="shared" si="16"/>
        <v>-0.47446126685880941</v>
      </c>
      <c r="Y33" s="13">
        <v>2.5538733141190598E-2</v>
      </c>
    </row>
    <row r="34" spans="1:25" x14ac:dyDescent="0.25">
      <c r="A34" s="1">
        <v>1875</v>
      </c>
      <c r="B34" s="1">
        <f t="shared" si="6"/>
        <v>-0.40799999999999997</v>
      </c>
      <c r="C34" s="1">
        <f t="shared" si="7"/>
        <v>-0.42785255125864791</v>
      </c>
      <c r="D34" s="1">
        <f t="shared" si="0"/>
        <v>1.735030236261409E-2</v>
      </c>
      <c r="E34" s="7">
        <f t="shared" si="8"/>
        <v>0.31045692348035187</v>
      </c>
      <c r="F34" s="1">
        <f t="shared" si="9"/>
        <v>1.9852551258647932E-2</v>
      </c>
      <c r="G34" s="9">
        <f t="shared" si="1"/>
        <v>0.31045692348035187</v>
      </c>
      <c r="H34" s="1">
        <f t="shared" si="2"/>
        <v>-3.5103915665539304E-2</v>
      </c>
      <c r="I34" s="1" t="e">
        <f t="shared" si="10"/>
        <v>#NUM!</v>
      </c>
      <c r="J34" s="3" t="b">
        <f t="shared" si="3"/>
        <v>0</v>
      </c>
      <c r="K34" s="3">
        <f t="shared" si="4"/>
        <v>0.31045692348035187</v>
      </c>
      <c r="L34" s="6">
        <v>-0.40799999999999997</v>
      </c>
      <c r="M34" s="4">
        <v>-0.248</v>
      </c>
      <c r="N34" s="5">
        <v>-0.876</v>
      </c>
      <c r="O34">
        <f t="shared" si="11"/>
        <v>-0.876</v>
      </c>
      <c r="P34">
        <f t="shared" si="12"/>
        <v>0.28310502283105021</v>
      </c>
      <c r="Q34">
        <f t="shared" si="13"/>
        <v>0.46575342465753422</v>
      </c>
      <c r="R34">
        <f t="shared" si="5"/>
        <v>-0.44309069491021924</v>
      </c>
      <c r="T34">
        <v>-0.876</v>
      </c>
      <c r="U34">
        <v>-0.84499999999999997</v>
      </c>
      <c r="V34" s="11">
        <f t="shared" si="14"/>
        <v>0.47280180919915438</v>
      </c>
      <c r="W34">
        <f t="shared" si="15"/>
        <v>-0.62518919927157879</v>
      </c>
      <c r="X34" s="13">
        <f t="shared" si="16"/>
        <v>-0.5361879657191988</v>
      </c>
      <c r="Y34" s="13">
        <v>-3.61879657191988E-2</v>
      </c>
    </row>
    <row r="35" spans="1:25" x14ac:dyDescent="0.25">
      <c r="A35" s="1">
        <v>1876</v>
      </c>
      <c r="B35" s="1">
        <f t="shared" si="6"/>
        <v>-0.38400000000000001</v>
      </c>
      <c r="C35" s="1">
        <f t="shared" si="7"/>
        <v>-0.38979395071420453</v>
      </c>
      <c r="D35" s="1">
        <f t="shared" si="0"/>
        <v>0</v>
      </c>
      <c r="E35" s="1">
        <f t="shared" si="8"/>
        <v>0.66456878369227157</v>
      </c>
      <c r="F35" s="1">
        <f t="shared" si="9"/>
        <v>5.793950714204521E-3</v>
      </c>
      <c r="G35" s="9">
        <f t="shared" si="1"/>
        <v>0.66456878369227157</v>
      </c>
      <c r="H35" s="1">
        <f t="shared" si="2"/>
        <v>2.2675415265239751E-2</v>
      </c>
      <c r="I35" s="1">
        <f t="shared" si="10"/>
        <v>0.66456878369227157</v>
      </c>
      <c r="J35" s="3">
        <f t="shared" si="3"/>
        <v>0.66456878369227157</v>
      </c>
      <c r="K35" s="3">
        <f t="shared" si="4"/>
        <v>0.55906055201041716</v>
      </c>
      <c r="L35" s="6">
        <v>-0.38400000000000001</v>
      </c>
      <c r="M35" s="4">
        <v>-0.35599999999999998</v>
      </c>
      <c r="N35" s="5">
        <v>-0.47399999999999998</v>
      </c>
      <c r="O35">
        <f t="shared" si="11"/>
        <v>-0.47399999999999998</v>
      </c>
      <c r="P35">
        <f t="shared" si="12"/>
        <v>0.75105485232067515</v>
      </c>
      <c r="Q35">
        <f t="shared" si="13"/>
        <v>0.81012658227848111</v>
      </c>
      <c r="R35">
        <f t="shared" si="5"/>
        <v>-0.79790305756496949</v>
      </c>
      <c r="T35">
        <v>-0.47399999999999998</v>
      </c>
      <c r="U35">
        <v>-0.46800000000000003</v>
      </c>
      <c r="V35" s="11">
        <f t="shared" si="14"/>
        <v>0.47698025498539209</v>
      </c>
      <c r="W35">
        <f t="shared" si="15"/>
        <v>-0.66836050088970889</v>
      </c>
      <c r="X35" s="13">
        <f t="shared" si="16"/>
        <v>-0.52342392452086639</v>
      </c>
      <c r="Y35" s="13">
        <v>-2.3423924520866401E-2</v>
      </c>
    </row>
    <row r="36" spans="1:25" x14ac:dyDescent="0.25">
      <c r="A36" s="1">
        <v>1877</v>
      </c>
      <c r="B36" s="1">
        <f t="shared" si="6"/>
        <v>-7.2999999999999995E-2</v>
      </c>
      <c r="C36" s="1">
        <f t="shared" si="7"/>
        <v>-9.428733434609976E-2</v>
      </c>
      <c r="D36" s="1">
        <f t="shared" si="0"/>
        <v>1.9284910661727953E-2</v>
      </c>
      <c r="E36" s="7">
        <f t="shared" si="8"/>
        <v>0.14669276395732866</v>
      </c>
      <c r="F36" s="1">
        <f t="shared" si="9"/>
        <v>2.1287334346099765E-2</v>
      </c>
      <c r="G36" s="9">
        <f t="shared" si="1"/>
        <v>0.14669276395732866</v>
      </c>
      <c r="H36" s="1">
        <f t="shared" si="2"/>
        <v>-6.5385378368127578E-2</v>
      </c>
      <c r="I36" s="1" t="e">
        <f t="shared" si="10"/>
        <v>#NUM!</v>
      </c>
      <c r="J36" s="3" t="b">
        <f t="shared" si="3"/>
        <v>0</v>
      </c>
      <c r="K36" s="3">
        <f t="shared" si="4"/>
        <v>0.14669276395732866</v>
      </c>
      <c r="L36" s="6">
        <v>-7.2999999999999995E-2</v>
      </c>
      <c r="M36" s="4">
        <v>-3.3000000000000002E-2</v>
      </c>
      <c r="N36" s="5">
        <v>-0.247</v>
      </c>
      <c r="O36">
        <f t="shared" si="11"/>
        <v>-0.247</v>
      </c>
      <c r="P36">
        <f t="shared" si="12"/>
        <v>0.13360323886639677</v>
      </c>
      <c r="Q36">
        <f t="shared" si="13"/>
        <v>0.2955465587044534</v>
      </c>
      <c r="R36">
        <f t="shared" si="5"/>
        <v>-0.20936301884170128</v>
      </c>
      <c r="T36">
        <v>-0.247</v>
      </c>
      <c r="U36">
        <v>-0.26258300000000001</v>
      </c>
      <c r="V36" s="11">
        <f t="shared" si="14"/>
        <v>0.48167133051902056</v>
      </c>
      <c r="W36">
        <f t="shared" si="15"/>
        <v>-0.11962867913943856</v>
      </c>
      <c r="X36" s="13">
        <f t="shared" si="16"/>
        <v>-0.47260505986157941</v>
      </c>
      <c r="Y36" s="13">
        <v>2.7394940138420601E-2</v>
      </c>
    </row>
    <row r="37" spans="1:25" x14ac:dyDescent="0.25">
      <c r="A37" s="1">
        <v>1878</v>
      </c>
      <c r="B37" s="1">
        <f t="shared" si="6"/>
        <v>3.2000000000000001E-2</v>
      </c>
      <c r="C37" s="1">
        <f t="shared" si="7"/>
        <v>1.0699432917690679E-2</v>
      </c>
      <c r="D37" s="1">
        <f t="shared" si="0"/>
        <v>-1.5265566588595902E-16</v>
      </c>
      <c r="E37" s="1">
        <f t="shared" si="8"/>
        <v>9.0790939786195457E-2</v>
      </c>
      <c r="F37" s="1">
        <f t="shared" si="9"/>
        <v>2.1300567082309322E-2</v>
      </c>
      <c r="G37" s="9">
        <f t="shared" si="1"/>
        <v>9.0790939786195457E-2</v>
      </c>
      <c r="H37" s="1">
        <f t="shared" si="2"/>
        <v>116.41745708370816</v>
      </c>
      <c r="I37" s="1">
        <f t="shared" si="10"/>
        <v>9.0790939786195457E-2</v>
      </c>
      <c r="J37" s="3">
        <f t="shared" si="3"/>
        <v>9.0790939786195457E-2</v>
      </c>
      <c r="K37" s="3">
        <f t="shared" si="4"/>
        <v>-7.4691390571787082</v>
      </c>
      <c r="L37" s="6">
        <v>3.2000000000000001E-2</v>
      </c>
      <c r="M37" s="4">
        <v>1.7000000000000001E-2</v>
      </c>
      <c r="N37" s="5">
        <v>-5.0000000000000001E-3</v>
      </c>
      <c r="O37">
        <f t="shared" si="11"/>
        <v>-5.0000000000000001E-3</v>
      </c>
      <c r="P37">
        <f t="shared" si="12"/>
        <v>-3.4000000000000004</v>
      </c>
      <c r="Q37">
        <f t="shared" si="13"/>
        <v>-6.4</v>
      </c>
      <c r="R37">
        <f t="shared" si="5"/>
        <v>10.660113416461865</v>
      </c>
      <c r="T37">
        <v>-5.0000000000000001E-3</v>
      </c>
      <c r="U37">
        <v>-3.4500000000000003E-2</v>
      </c>
      <c r="V37" s="11">
        <f t="shared" si="14"/>
        <v>0.48682891298085451</v>
      </c>
      <c r="W37">
        <f t="shared" si="15"/>
        <v>2.3487238420471207E-2</v>
      </c>
      <c r="X37" s="13">
        <f t="shared" si="16"/>
        <v>-0.43533151596495429</v>
      </c>
      <c r="Y37" s="13">
        <v>6.4668484035045701E-2</v>
      </c>
    </row>
    <row r="38" spans="1:25" x14ac:dyDescent="0.25">
      <c r="A38" s="1">
        <v>1879</v>
      </c>
      <c r="B38" s="1">
        <f t="shared" si="6"/>
        <v>-0.23400000000000001</v>
      </c>
      <c r="C38" s="1">
        <f t="shared" si="7"/>
        <v>-0.29181852509660056</v>
      </c>
      <c r="D38" s="1">
        <f t="shared" si="0"/>
        <v>7.591139489092355E-2</v>
      </c>
      <c r="E38" s="7">
        <f t="shared" si="8"/>
        <v>0.22322551303034963</v>
      </c>
      <c r="F38" s="1">
        <f t="shared" si="9"/>
        <v>5.7818525096600543E-2</v>
      </c>
      <c r="G38" s="9">
        <f t="shared" si="1"/>
        <v>0.22322551303034963</v>
      </c>
      <c r="H38" s="1">
        <f t="shared" si="2"/>
        <v>-0.17493509365463134</v>
      </c>
      <c r="I38" s="1" t="e">
        <f t="shared" si="10"/>
        <v>#NUM!</v>
      </c>
      <c r="J38" s="3" t="b">
        <f t="shared" si="3"/>
        <v>0</v>
      </c>
      <c r="K38" s="3">
        <f t="shared" si="4"/>
        <v>0.22322551303034963</v>
      </c>
      <c r="L38" s="6">
        <v>-0.23400000000000001</v>
      </c>
      <c r="M38" s="4">
        <v>-0.187</v>
      </c>
      <c r="N38" s="5">
        <v>-0.55300000000000005</v>
      </c>
      <c r="O38">
        <f t="shared" si="11"/>
        <v>-0.55300000000000005</v>
      </c>
      <c r="P38">
        <f t="shared" si="12"/>
        <v>0.33815551537070521</v>
      </c>
      <c r="Q38">
        <f t="shared" si="13"/>
        <v>0.42314647377938513</v>
      </c>
      <c r="R38">
        <f t="shared" si="5"/>
        <v>-0.31859217884882363</v>
      </c>
      <c r="T38">
        <v>-0.55300000000000005</v>
      </c>
      <c r="U38">
        <v>-0.53591699999999998</v>
      </c>
      <c r="V38" s="11">
        <f t="shared" si="14"/>
        <v>0.49240859691053629</v>
      </c>
      <c r="W38">
        <f t="shared" si="15"/>
        <v>-0.42937832091532091</v>
      </c>
      <c r="X38" s="13">
        <f t="shared" si="16"/>
        <v>-0.50159440613136363</v>
      </c>
      <c r="Y38" s="13">
        <v>-1.59440613136367E-3</v>
      </c>
    </row>
    <row r="39" spans="1:25" x14ac:dyDescent="0.25">
      <c r="A39" s="1">
        <v>1880</v>
      </c>
      <c r="B39" s="1">
        <f t="shared" si="6"/>
        <v>-0.23</v>
      </c>
      <c r="C39" s="1">
        <f t="shared" si="7"/>
        <v>-0.23024952722749423</v>
      </c>
      <c r="D39" s="1">
        <f t="shared" si="0"/>
        <v>0</v>
      </c>
      <c r="E39" s="1">
        <f t="shared" si="8"/>
        <v>0.53101019941957872</v>
      </c>
      <c r="F39" s="1">
        <f t="shared" si="9"/>
        <v>2.495272274942173E-4</v>
      </c>
      <c r="G39" s="9">
        <f t="shared" si="1"/>
        <v>0.53101019941957872</v>
      </c>
      <c r="H39" s="1">
        <f t="shared" si="2"/>
        <v>7.7514904639913174E-3</v>
      </c>
      <c r="I39" s="1">
        <f t="shared" si="10"/>
        <v>0.53101019941957872</v>
      </c>
      <c r="J39" s="3">
        <f t="shared" si="3"/>
        <v>0.53101019941957872</v>
      </c>
      <c r="K39" s="3">
        <f t="shared" si="4"/>
        <v>0.46932210877802616</v>
      </c>
      <c r="L39" s="6">
        <v>-0.23</v>
      </c>
      <c r="M39" s="4">
        <v>-0.185</v>
      </c>
      <c r="N39" s="5">
        <v>-0.34300000000000003</v>
      </c>
      <c r="O39">
        <f t="shared" si="11"/>
        <v>-0.34300000000000003</v>
      </c>
      <c r="P39">
        <f t="shared" si="12"/>
        <v>0.53935860058309038</v>
      </c>
      <c r="Q39">
        <f t="shared" si="13"/>
        <v>0.67055393586005829</v>
      </c>
      <c r="R39">
        <f t="shared" si="5"/>
        <v>-0.66982645123179529</v>
      </c>
      <c r="T39">
        <v>-0.34300000000000003</v>
      </c>
      <c r="U39">
        <v>-0.34608299999999997</v>
      </c>
      <c r="V39" s="11">
        <f t="shared" si="14"/>
        <v>0.49836770910769701</v>
      </c>
      <c r="W39">
        <f t="shared" si="15"/>
        <v>-0.36313227587723118</v>
      </c>
      <c r="X39" s="13">
        <f t="shared" si="16"/>
        <v>-0.5102140098701462</v>
      </c>
      <c r="Y39" s="13">
        <v>-1.0214009870146199E-2</v>
      </c>
    </row>
    <row r="40" spans="1:25" x14ac:dyDescent="0.25">
      <c r="A40" s="1">
        <v>1881</v>
      </c>
      <c r="B40" s="1">
        <f t="shared" si="6"/>
        <v>-0.20699999999999999</v>
      </c>
      <c r="C40" s="1">
        <f t="shared" si="7"/>
        <v>-0.23735349680365947</v>
      </c>
      <c r="D40" s="1">
        <f t="shared" si="0"/>
        <v>3.4603277830446394E-2</v>
      </c>
      <c r="E40" s="7">
        <f t="shared" si="8"/>
        <v>0.26906420973058903</v>
      </c>
      <c r="F40" s="1">
        <f t="shared" si="9"/>
        <v>3.035349680365948E-2</v>
      </c>
      <c r="G40" s="9">
        <f t="shared" si="1"/>
        <v>0.26906420973058903</v>
      </c>
      <c r="H40" s="1">
        <f t="shared" si="2"/>
        <v>-0.11554911205821938</v>
      </c>
      <c r="I40" s="1" t="e">
        <f t="shared" si="10"/>
        <v>#NUM!</v>
      </c>
      <c r="J40" s="3" t="b">
        <f t="shared" si="3"/>
        <v>0</v>
      </c>
      <c r="K40" s="3">
        <f t="shared" si="4"/>
        <v>0.26906420973058903</v>
      </c>
      <c r="L40" s="6">
        <v>-0.20699999999999999</v>
      </c>
      <c r="M40" s="4">
        <v>-0.14799999999999999</v>
      </c>
      <c r="N40" s="5">
        <v>-0.46</v>
      </c>
      <c r="O40">
        <f t="shared" si="11"/>
        <v>-0.46</v>
      </c>
      <c r="P40">
        <f t="shared" si="12"/>
        <v>0.32173913043478258</v>
      </c>
      <c r="Q40">
        <f t="shared" si="13"/>
        <v>0.44999999999999996</v>
      </c>
      <c r="R40">
        <f t="shared" si="5"/>
        <v>-0.38401413738334889</v>
      </c>
      <c r="T40">
        <v>-0.46</v>
      </c>
      <c r="U40">
        <v>-0.46550000000000002</v>
      </c>
      <c r="V40" s="11">
        <f t="shared" si="14"/>
        <v>0.50466521922498941</v>
      </c>
      <c r="W40">
        <f t="shared" si="15"/>
        <v>-0.34101522597107109</v>
      </c>
      <c r="X40" s="13">
        <f t="shared" si="16"/>
        <v>-0.48835223447172221</v>
      </c>
      <c r="Y40" s="13">
        <v>1.1647765528277799E-2</v>
      </c>
    </row>
    <row r="41" spans="1:25" x14ac:dyDescent="0.25">
      <c r="A41" s="1">
        <v>1882</v>
      </c>
      <c r="B41" s="1">
        <f t="shared" si="6"/>
        <v>-0.214</v>
      </c>
      <c r="C41" s="1">
        <f t="shared" si="7"/>
        <v>-0.23651701308102369</v>
      </c>
      <c r="D41" s="1">
        <f t="shared" si="0"/>
        <v>2.2219092950594238E-2</v>
      </c>
      <c r="E41" s="7">
        <f t="shared" si="8"/>
        <v>0.40656030469993704</v>
      </c>
      <c r="F41" s="1">
        <f t="shared" si="9"/>
        <v>2.251701308102369E-2</v>
      </c>
      <c r="G41" s="9">
        <f t="shared" si="1"/>
        <v>0.40656030469993704</v>
      </c>
      <c r="H41" s="1">
        <f t="shared" si="2"/>
        <v>-0.15627468447420195</v>
      </c>
      <c r="I41" s="1" t="e">
        <f t="shared" si="10"/>
        <v>#NUM!</v>
      </c>
      <c r="J41" s="3" t="b">
        <f t="shared" si="3"/>
        <v>0</v>
      </c>
      <c r="K41" s="3">
        <f t="shared" si="4"/>
        <v>0.40656030469993704</v>
      </c>
      <c r="L41" s="6">
        <v>-0.214</v>
      </c>
      <c r="M41" s="4">
        <v>-0.19900000000000001</v>
      </c>
      <c r="N41" s="5">
        <v>-0.33</v>
      </c>
      <c r="O41">
        <f t="shared" si="11"/>
        <v>-0.33</v>
      </c>
      <c r="P41">
        <f t="shared" si="12"/>
        <v>0.60303030303030303</v>
      </c>
      <c r="Q41">
        <f t="shared" si="13"/>
        <v>0.64848484848484844</v>
      </c>
      <c r="R41">
        <f t="shared" si="5"/>
        <v>-0.58025147551204936</v>
      </c>
      <c r="T41">
        <v>-0.33</v>
      </c>
      <c r="U41">
        <v>-0.34341699999999997</v>
      </c>
      <c r="V41" s="11">
        <f t="shared" si="14"/>
        <v>0.51126174349337816</v>
      </c>
      <c r="W41">
        <f t="shared" si="15"/>
        <v>-0.37226937657878112</v>
      </c>
      <c r="X41" s="13">
        <f t="shared" si="16"/>
        <v>-0.50130969339069964</v>
      </c>
      <c r="Y41" s="13">
        <v>-1.3096933906996801E-3</v>
      </c>
    </row>
    <row r="42" spans="1:25" x14ac:dyDescent="0.25">
      <c r="A42" s="1">
        <v>1883</v>
      </c>
      <c r="B42" s="1">
        <f t="shared" si="6"/>
        <v>-0.29199999999999998</v>
      </c>
      <c r="C42" s="1">
        <f t="shared" si="7"/>
        <v>-0.33695463096827805</v>
      </c>
      <c r="D42" s="1">
        <f t="shared" si="0"/>
        <v>5.3132530765138242E-2</v>
      </c>
      <c r="E42" s="7">
        <f t="shared" si="8"/>
        <v>0.29288555710043762</v>
      </c>
      <c r="F42" s="1">
        <f t="shared" si="9"/>
        <v>4.4954630968278064E-2</v>
      </c>
      <c r="G42" s="9">
        <f t="shared" si="1"/>
        <v>0.29288555710043762</v>
      </c>
      <c r="H42" s="1">
        <f t="shared" si="2"/>
        <v>-0.1503218975033041</v>
      </c>
      <c r="I42" s="1" t="e">
        <f t="shared" si="10"/>
        <v>#NUM!</v>
      </c>
      <c r="J42" s="3" t="b">
        <f t="shared" si="3"/>
        <v>0</v>
      </c>
      <c r="K42" s="3">
        <f t="shared" si="4"/>
        <v>0.29288555710043762</v>
      </c>
      <c r="L42" s="6">
        <v>-0.29199999999999998</v>
      </c>
      <c r="M42" s="4">
        <v>-0.23499999999999999</v>
      </c>
      <c r="N42" s="5">
        <v>-0.59099999999999997</v>
      </c>
      <c r="O42">
        <f t="shared" si="11"/>
        <v>-0.59099999999999997</v>
      </c>
      <c r="P42">
        <f t="shared" si="12"/>
        <v>0.3976311336717428</v>
      </c>
      <c r="Q42">
        <f t="shared" si="13"/>
        <v>0.49407783417935702</v>
      </c>
      <c r="R42">
        <f t="shared" si="5"/>
        <v>-0.41801246875079845</v>
      </c>
      <c r="T42">
        <v>-0.59099999999999997</v>
      </c>
      <c r="U42">
        <v>-0.59391700000000003</v>
      </c>
      <c r="V42" s="11">
        <f t="shared" si="14"/>
        <v>0.51811951119452715</v>
      </c>
      <c r="W42">
        <f t="shared" si="15"/>
        <v>-0.49292372229927855</v>
      </c>
      <c r="X42" s="13">
        <f t="shared" si="16"/>
        <v>-0.50992971578031143</v>
      </c>
      <c r="Y42" s="13">
        <v>-9.9297157803114201E-3</v>
      </c>
    </row>
    <row r="43" spans="1:25" x14ac:dyDescent="0.25">
      <c r="A43" s="1">
        <v>1884</v>
      </c>
      <c r="B43" s="1">
        <f t="shared" si="6"/>
        <v>-0.40300000000000002</v>
      </c>
      <c r="C43" s="1">
        <f t="shared" si="7"/>
        <v>-0.43866824155544581</v>
      </c>
      <c r="D43" s="1">
        <f t="shared" si="0"/>
        <v>3.7913593223119713E-2</v>
      </c>
      <c r="E43" s="7">
        <f t="shared" si="8"/>
        <v>0.37192990832269135</v>
      </c>
      <c r="F43" s="1">
        <f t="shared" si="9"/>
        <v>3.566824155544579E-2</v>
      </c>
      <c r="G43" s="9">
        <f t="shared" si="1"/>
        <v>0.37192990832269135</v>
      </c>
      <c r="H43" s="1">
        <f t="shared" si="2"/>
        <v>-0.116332544251396</v>
      </c>
      <c r="I43" s="1" t="e">
        <f t="shared" si="10"/>
        <v>#NUM!</v>
      </c>
      <c r="J43" s="3" t="b">
        <f t="shared" si="3"/>
        <v>0</v>
      </c>
      <c r="K43" s="3">
        <f t="shared" si="4"/>
        <v>0.37192990832269135</v>
      </c>
      <c r="L43" s="6">
        <v>-0.40300000000000002</v>
      </c>
      <c r="M43" s="4">
        <v>-0.33700000000000002</v>
      </c>
      <c r="N43" s="5">
        <v>-0.69199999999999995</v>
      </c>
      <c r="O43">
        <f t="shared" si="11"/>
        <v>-0.69199999999999995</v>
      </c>
      <c r="P43">
        <f t="shared" si="12"/>
        <v>0.48699421965317924</v>
      </c>
      <c r="Q43">
        <f t="shared" si="13"/>
        <v>0.58236994219653182</v>
      </c>
      <c r="R43">
        <f t="shared" si="5"/>
        <v>-0.53082624052681238</v>
      </c>
      <c r="T43">
        <v>-0.69199999999999995</v>
      </c>
      <c r="U43">
        <v>-0.67600000000000005</v>
      </c>
      <c r="V43" s="11">
        <f t="shared" si="14"/>
        <v>0.5252023646607995</v>
      </c>
      <c r="W43">
        <f t="shared" si="15"/>
        <v>-0.65607500969026844</v>
      </c>
      <c r="X43" s="13">
        <f t="shared" si="16"/>
        <v>-0.53385403646122231</v>
      </c>
      <c r="Y43" s="13">
        <v>-3.38540364612223E-2</v>
      </c>
    </row>
    <row r="44" spans="1:25" x14ac:dyDescent="0.25">
      <c r="A44" s="1">
        <v>1885</v>
      </c>
      <c r="B44" s="1">
        <f t="shared" si="6"/>
        <v>-0.38500000000000001</v>
      </c>
      <c r="C44" s="1">
        <f t="shared" si="7"/>
        <v>-0.42223156860145894</v>
      </c>
      <c r="D44" s="1">
        <f t="shared" si="0"/>
        <v>4.0056491537305283E-2</v>
      </c>
      <c r="E44" s="7">
        <f t="shared" si="8"/>
        <v>0.36531965787643206</v>
      </c>
      <c r="F44" s="1">
        <f t="shared" si="9"/>
        <v>3.7231568601458931E-2</v>
      </c>
      <c r="G44" s="9">
        <f t="shared" si="1"/>
        <v>0.36531965787643206</v>
      </c>
      <c r="H44" s="1">
        <f t="shared" si="2"/>
        <v>-0.12524816958169438</v>
      </c>
      <c r="I44" s="1" t="e">
        <f t="shared" si="10"/>
        <v>#NUM!</v>
      </c>
      <c r="J44" s="3" t="b">
        <f t="shared" si="3"/>
        <v>0</v>
      </c>
      <c r="K44" s="3">
        <f t="shared" si="4"/>
        <v>0.36531965787643206</v>
      </c>
      <c r="L44" s="6">
        <v>-0.38500000000000001</v>
      </c>
      <c r="M44" s="4">
        <v>-0.32400000000000001</v>
      </c>
      <c r="N44" s="5">
        <v>-0.66700000000000004</v>
      </c>
      <c r="O44">
        <f t="shared" si="11"/>
        <v>-0.66700000000000004</v>
      </c>
      <c r="P44">
        <f t="shared" si="12"/>
        <v>0.48575712143928035</v>
      </c>
      <c r="Q44">
        <f t="shared" si="13"/>
        <v>0.57721139430284851</v>
      </c>
      <c r="R44">
        <f t="shared" si="5"/>
        <v>-0.52139195112225034</v>
      </c>
      <c r="T44">
        <v>-0.66700000000000004</v>
      </c>
      <c r="U44">
        <v>-0.66533299999999995</v>
      </c>
      <c r="V44" s="11">
        <f t="shared" si="14"/>
        <v>0.53247567731887102</v>
      </c>
      <c r="W44">
        <f t="shared" si="15"/>
        <v>-0.62523843611804253</v>
      </c>
      <c r="X44" s="13">
        <f t="shared" si="16"/>
        <v>-0.50964544652168198</v>
      </c>
      <c r="Y44" s="13">
        <v>-9.6454465216819392E-3</v>
      </c>
    </row>
    <row r="45" spans="1:25" x14ac:dyDescent="0.25">
      <c r="A45" s="1">
        <v>1886</v>
      </c>
      <c r="B45" s="1">
        <f t="shared" si="6"/>
        <v>-0.36599999999999999</v>
      </c>
      <c r="C45" s="1">
        <f t="shared" si="7"/>
        <v>-0.39285066139211289</v>
      </c>
      <c r="D45" s="1">
        <f t="shared" si="0"/>
        <v>2.3616928542504578E-2</v>
      </c>
      <c r="E45" s="7">
        <f t="shared" si="8"/>
        <v>0.44251236285184037</v>
      </c>
      <c r="F45" s="1">
        <f t="shared" si="9"/>
        <v>2.6850661392112896E-2</v>
      </c>
      <c r="G45" s="9">
        <f t="shared" si="1"/>
        <v>0.44251236285184037</v>
      </c>
      <c r="H45" s="1">
        <f t="shared" si="2"/>
        <v>-0.11110300615031643</v>
      </c>
      <c r="I45" s="1" t="e">
        <f t="shared" si="10"/>
        <v>#NUM!</v>
      </c>
      <c r="J45" s="3" t="b">
        <f t="shared" si="3"/>
        <v>0</v>
      </c>
      <c r="K45" s="3">
        <f t="shared" si="4"/>
        <v>0.44251236285184037</v>
      </c>
      <c r="L45" s="6">
        <v>-0.36599999999999999</v>
      </c>
      <c r="M45" s="4">
        <v>-0.33500000000000002</v>
      </c>
      <c r="N45" s="5">
        <v>-0.53700000000000003</v>
      </c>
      <c r="O45">
        <f t="shared" si="11"/>
        <v>-0.53700000000000003</v>
      </c>
      <c r="P45">
        <f t="shared" si="12"/>
        <v>0.62383612662942267</v>
      </c>
      <c r="Q45">
        <f t="shared" si="13"/>
        <v>0.68156424581005581</v>
      </c>
      <c r="R45">
        <f t="shared" si="5"/>
        <v>-0.63156301416738758</v>
      </c>
      <c r="T45">
        <v>-0.53700000000000003</v>
      </c>
      <c r="U45">
        <v>-0.54049999999999998</v>
      </c>
      <c r="V45" s="11">
        <f t="shared" si="14"/>
        <v>0.53990636859089136</v>
      </c>
      <c r="W45">
        <f t="shared" si="15"/>
        <v>-0.5965707531773492</v>
      </c>
      <c r="X45" s="13">
        <f t="shared" si="16"/>
        <v>-0.50614904156815355</v>
      </c>
      <c r="Y45" s="13">
        <v>-6.1490415681535E-3</v>
      </c>
    </row>
    <row r="46" spans="1:25" x14ac:dyDescent="0.25">
      <c r="A46" s="1">
        <v>1887</v>
      </c>
      <c r="B46" s="1">
        <f t="shared" si="6"/>
        <v>-0.41799999999999998</v>
      </c>
      <c r="C46" s="1">
        <f t="shared" si="7"/>
        <v>-0.44854536841997783</v>
      </c>
      <c r="D46" s="1">
        <f t="shared" si="0"/>
        <v>2.3519660727471248E-2</v>
      </c>
      <c r="E46" s="7">
        <f t="shared" si="8"/>
        <v>0.47460635338694385</v>
      </c>
      <c r="F46" s="1">
        <f t="shared" si="9"/>
        <v>3.0545368419977847E-2</v>
      </c>
      <c r="G46" s="9">
        <f t="shared" si="1"/>
        <v>0.47460635338694385</v>
      </c>
      <c r="H46" s="1">
        <f t="shared" si="2"/>
        <v>-0.1114088889682805</v>
      </c>
      <c r="I46" s="1" t="e">
        <f t="shared" si="10"/>
        <v>#NUM!</v>
      </c>
      <c r="J46" s="3" t="b">
        <f t="shared" si="3"/>
        <v>0</v>
      </c>
      <c r="K46" s="3">
        <f t="shared" si="4"/>
        <v>0.47460635338694385</v>
      </c>
      <c r="L46" s="6">
        <v>-0.41799999999999998</v>
      </c>
      <c r="M46" s="4">
        <v>-0.39900000000000002</v>
      </c>
      <c r="N46" s="5">
        <v>-0.57199999999999995</v>
      </c>
      <c r="O46">
        <f t="shared" si="11"/>
        <v>-0.57199999999999995</v>
      </c>
      <c r="P46">
        <f t="shared" si="12"/>
        <v>0.69755244755244761</v>
      </c>
      <c r="Q46">
        <f t="shared" si="13"/>
        <v>0.73076923076923084</v>
      </c>
      <c r="R46">
        <f t="shared" si="5"/>
        <v>-0.67736823702801097</v>
      </c>
      <c r="T46">
        <v>-0.57199999999999995</v>
      </c>
      <c r="U46">
        <v>-0.56841699999999995</v>
      </c>
      <c r="V46" s="11">
        <f t="shared" si="14"/>
        <v>0.54746288154274225</v>
      </c>
      <c r="W46">
        <f t="shared" si="15"/>
        <v>-0.68390593914045739</v>
      </c>
      <c r="X46" s="13">
        <f t="shared" si="16"/>
        <v>-0.51396893898336671</v>
      </c>
      <c r="Y46" s="13">
        <v>-1.3968938983366701E-2</v>
      </c>
    </row>
    <row r="47" spans="1:25" x14ac:dyDescent="0.25">
      <c r="A47" s="1">
        <v>1888</v>
      </c>
      <c r="B47" s="1">
        <f t="shared" si="6"/>
        <v>-0.309</v>
      </c>
      <c r="C47" s="1">
        <f t="shared" si="7"/>
        <v>-0.34655103924307107</v>
      </c>
      <c r="D47" s="1">
        <f t="shared" si="0"/>
        <v>4.2599901337879331E-2</v>
      </c>
      <c r="E47" s="7">
        <f t="shared" si="8"/>
        <v>0.30333977630832265</v>
      </c>
      <c r="F47" s="1">
        <f t="shared" si="9"/>
        <v>3.7551039243071072E-2</v>
      </c>
      <c r="G47" s="9">
        <f t="shared" si="1"/>
        <v>0.30333977630832265</v>
      </c>
      <c r="H47" s="1">
        <f t="shared" si="2"/>
        <v>-0.11765806080462193</v>
      </c>
      <c r="I47" s="1" t="e">
        <f t="shared" si="10"/>
        <v>#NUM!</v>
      </c>
      <c r="J47" s="3" t="b">
        <f t="shared" si="3"/>
        <v>0</v>
      </c>
      <c r="K47" s="3">
        <f t="shared" si="4"/>
        <v>0.30333977630832265</v>
      </c>
      <c r="L47" s="6">
        <v>-0.309</v>
      </c>
      <c r="M47" s="4">
        <v>-0.23400000000000001</v>
      </c>
      <c r="N47" s="5">
        <v>-0.627</v>
      </c>
      <c r="O47">
        <f t="shared" si="11"/>
        <v>-0.627</v>
      </c>
      <c r="P47">
        <f t="shared" si="12"/>
        <v>0.37320574162679426</v>
      </c>
      <c r="Q47">
        <f t="shared" si="13"/>
        <v>0.49282296650717705</v>
      </c>
      <c r="R47">
        <f t="shared" si="5"/>
        <v>-0.432932951765437</v>
      </c>
      <c r="T47">
        <v>-0.627</v>
      </c>
      <c r="U47">
        <v>-0.62575000000000003</v>
      </c>
      <c r="V47" s="11">
        <f t="shared" si="14"/>
        <v>0.55511509347707033</v>
      </c>
      <c r="W47">
        <f t="shared" si="15"/>
        <v>-0.48037743388548126</v>
      </c>
      <c r="X47" s="13">
        <f t="shared" si="16"/>
        <v>-0.4885480321756957</v>
      </c>
      <c r="Y47" s="13">
        <v>1.1451967824304301E-2</v>
      </c>
    </row>
    <row r="48" spans="1:25" x14ac:dyDescent="0.25">
      <c r="A48" s="1">
        <v>1889</v>
      </c>
      <c r="B48" s="1">
        <f t="shared" si="6"/>
        <v>-0.17299999999999999</v>
      </c>
      <c r="C48" s="1">
        <f t="shared" si="7"/>
        <v>-0.1875170130810237</v>
      </c>
      <c r="D48" s="1">
        <f t="shared" si="0"/>
        <v>1.4733461637460477E-2</v>
      </c>
      <c r="E48" s="7">
        <f t="shared" si="8"/>
        <v>0.39517098321641542</v>
      </c>
      <c r="F48" s="1">
        <f t="shared" si="9"/>
        <v>1.4517013081023711E-2</v>
      </c>
      <c r="G48" s="9">
        <f t="shared" si="1"/>
        <v>0.39517098321641542</v>
      </c>
      <c r="H48" s="1">
        <f t="shared" si="2"/>
        <v>-0.11828639495248994</v>
      </c>
      <c r="I48" s="1" t="e">
        <f t="shared" si="10"/>
        <v>#NUM!</v>
      </c>
      <c r="J48" s="3" t="b">
        <f t="shared" si="3"/>
        <v>0</v>
      </c>
      <c r="K48" s="3">
        <f t="shared" si="4"/>
        <v>0.39517098321641542</v>
      </c>
      <c r="L48" s="6">
        <v>-0.17299999999999999</v>
      </c>
      <c r="M48" s="4">
        <v>-0.15</v>
      </c>
      <c r="N48" s="5">
        <v>-0.28100000000000003</v>
      </c>
      <c r="O48">
        <f t="shared" si="11"/>
        <v>-0.28100000000000003</v>
      </c>
      <c r="P48">
        <f t="shared" si="12"/>
        <v>0.53380782918149461</v>
      </c>
      <c r="Q48">
        <f t="shared" si="13"/>
        <v>0.61565836298932375</v>
      </c>
      <c r="R48">
        <f t="shared" si="5"/>
        <v>-0.56399639472945295</v>
      </c>
      <c r="T48">
        <v>-0.28100000000000003</v>
      </c>
      <c r="U48">
        <v>-0.30325000000000002</v>
      </c>
      <c r="V48" s="11">
        <f t="shared" si="14"/>
        <v>0.56283437553793192</v>
      </c>
      <c r="W48">
        <f t="shared" si="15"/>
        <v>-0.27065852811298302</v>
      </c>
      <c r="X48" s="13">
        <f t="shared" si="16"/>
        <v>-0.46115586385744811</v>
      </c>
      <c r="Y48" s="13">
        <v>3.8844136142551902E-2</v>
      </c>
    </row>
    <row r="49" spans="1:25" x14ac:dyDescent="0.25">
      <c r="A49" s="1">
        <v>1890</v>
      </c>
      <c r="B49" s="1">
        <f t="shared" si="6"/>
        <v>-0.41899999999999998</v>
      </c>
      <c r="C49" s="1">
        <f t="shared" si="7"/>
        <v>-0.42958695649514156</v>
      </c>
      <c r="D49" s="1">
        <f t="shared" si="0"/>
        <v>0</v>
      </c>
      <c r="E49" s="1">
        <f t="shared" si="8"/>
        <v>0.81779357823838594</v>
      </c>
      <c r="F49" s="1">
        <f t="shared" si="9"/>
        <v>1.0586956495141575E-2</v>
      </c>
      <c r="G49" s="9">
        <f t="shared" si="1"/>
        <v>0.81779357823838594</v>
      </c>
      <c r="H49" s="1">
        <f t="shared" si="2"/>
        <v>6.322609585223038E-2</v>
      </c>
      <c r="I49" s="1">
        <f t="shared" si="10"/>
        <v>0.81779357823838594</v>
      </c>
      <c r="J49" s="3">
        <f t="shared" si="3"/>
        <v>0.81779357823838594</v>
      </c>
      <c r="K49" s="3">
        <f t="shared" si="4"/>
        <v>0.64161345785631585</v>
      </c>
      <c r="L49" s="6">
        <v>-0.41899999999999998</v>
      </c>
      <c r="M49" s="4">
        <v>-0.42299999999999999</v>
      </c>
      <c r="N49" s="5">
        <v>-0.44600000000000001</v>
      </c>
      <c r="O49">
        <f t="shared" si="11"/>
        <v>-0.44600000000000001</v>
      </c>
      <c r="P49">
        <f t="shared" si="12"/>
        <v>0.94843049327354256</v>
      </c>
      <c r="Q49">
        <f t="shared" si="13"/>
        <v>0.93946188340807169</v>
      </c>
      <c r="R49">
        <f t="shared" si="5"/>
        <v>-0.91572431279116229</v>
      </c>
      <c r="T49">
        <v>-0.44600000000000001</v>
      </c>
      <c r="U49">
        <v>-0.44933299999999998</v>
      </c>
      <c r="V49" s="11">
        <f t="shared" si="14"/>
        <v>0.57059348840266466</v>
      </c>
      <c r="W49">
        <f t="shared" si="15"/>
        <v>-0.65675302750802711</v>
      </c>
      <c r="X49" s="13">
        <f t="shared" si="16"/>
        <v>-0.50188845063215926</v>
      </c>
      <c r="Y49" s="13">
        <v>-1.8884506321592701E-3</v>
      </c>
    </row>
    <row r="50" spans="1:25" x14ac:dyDescent="0.25">
      <c r="A50" s="1">
        <v>1891</v>
      </c>
      <c r="B50" s="1">
        <f t="shared" si="6"/>
        <v>-0.33900000000000002</v>
      </c>
      <c r="C50" s="1">
        <f t="shared" si="7"/>
        <v>-0.35419848737267912</v>
      </c>
      <c r="D50" s="1">
        <f t="shared" si="0"/>
        <v>1.5162645169808142E-2</v>
      </c>
      <c r="E50" s="7">
        <f t="shared" si="8"/>
        <v>0.40226151872216753</v>
      </c>
      <c r="F50" s="1">
        <f t="shared" si="9"/>
        <v>1.5198487372679093E-2</v>
      </c>
      <c r="G50" s="9">
        <f t="shared" si="1"/>
        <v>0.40226151872216753</v>
      </c>
      <c r="H50" s="1">
        <f t="shared" si="2"/>
        <v>-6.1738436716151202E-2</v>
      </c>
      <c r="I50" s="1" t="e">
        <f t="shared" si="10"/>
        <v>#NUM!</v>
      </c>
      <c r="J50" s="3" t="b">
        <f t="shared" si="3"/>
        <v>0</v>
      </c>
      <c r="K50" s="3">
        <f t="shared" si="4"/>
        <v>0.40226151872216753</v>
      </c>
      <c r="L50" s="6">
        <v>-0.33900000000000002</v>
      </c>
      <c r="M50" s="4">
        <v>-0.27</v>
      </c>
      <c r="N50" s="5">
        <v>-0.56399999999999995</v>
      </c>
      <c r="O50">
        <f t="shared" si="11"/>
        <v>-0.56399999999999995</v>
      </c>
      <c r="P50">
        <f t="shared" si="12"/>
        <v>0.47872340425531923</v>
      </c>
      <c r="Q50">
        <f t="shared" si="13"/>
        <v>0.60106382978723416</v>
      </c>
      <c r="R50">
        <f t="shared" si="5"/>
        <v>-0.57411615714064013</v>
      </c>
      <c r="T50">
        <v>-0.56399999999999995</v>
      </c>
      <c r="U50">
        <v>-0.55933299999999997</v>
      </c>
      <c r="V50" s="11">
        <f t="shared" si="14"/>
        <v>0.57836661208420992</v>
      </c>
      <c r="W50">
        <f t="shared" si="15"/>
        <v>-0.49465983433335675</v>
      </c>
      <c r="X50" s="13">
        <f t="shared" si="16"/>
        <v>-0.49500258932118113</v>
      </c>
      <c r="Y50" s="13">
        <v>4.9974106788188699E-3</v>
      </c>
    </row>
    <row r="51" spans="1:25" x14ac:dyDescent="0.25">
      <c r="A51" s="1">
        <v>1892</v>
      </c>
      <c r="B51" s="1">
        <f t="shared" si="6"/>
        <v>-0.45600000000000002</v>
      </c>
      <c r="C51" s="1">
        <f t="shared" si="7"/>
        <v>-0.47014650258459645</v>
      </c>
      <c r="D51" s="1">
        <f t="shared" si="0"/>
        <v>7.4817865480119594E-3</v>
      </c>
      <c r="E51" s="7">
        <f t="shared" si="8"/>
        <v>0.49534410543887414</v>
      </c>
      <c r="F51" s="1">
        <f t="shared" si="9"/>
        <v>1.4146502584596432E-2</v>
      </c>
      <c r="G51" s="9">
        <f t="shared" si="1"/>
        <v>0.49534410543887414</v>
      </c>
      <c r="H51" s="1">
        <f t="shared" si="2"/>
        <v>-3.3851940384303281E-2</v>
      </c>
      <c r="I51" s="1" t="e">
        <f t="shared" si="10"/>
        <v>#NUM!</v>
      </c>
      <c r="J51" s="3" t="b">
        <f t="shared" si="3"/>
        <v>0</v>
      </c>
      <c r="K51" s="3">
        <f t="shared" si="4"/>
        <v>0.49534410543887414</v>
      </c>
      <c r="L51" s="6">
        <v>-0.45600000000000002</v>
      </c>
      <c r="M51" s="4">
        <v>-0.40799999999999997</v>
      </c>
      <c r="N51" s="5">
        <v>-0.625</v>
      </c>
      <c r="O51">
        <f t="shared" si="11"/>
        <v>-0.625</v>
      </c>
      <c r="P51">
        <f t="shared" si="12"/>
        <v>0.65279999999999994</v>
      </c>
      <c r="Q51">
        <f t="shared" si="13"/>
        <v>0.72960000000000003</v>
      </c>
      <c r="R51">
        <f t="shared" si="5"/>
        <v>-0.70696559586464569</v>
      </c>
      <c r="T51">
        <v>-0.625</v>
      </c>
      <c r="U51">
        <v>-0.62666699999999997</v>
      </c>
      <c r="V51" s="11">
        <f t="shared" si="14"/>
        <v>0.58612928632646799</v>
      </c>
      <c r="W51">
        <f t="shared" si="15"/>
        <v>-0.67573211687395829</v>
      </c>
      <c r="X51" s="13">
        <f t="shared" si="16"/>
        <v>-0.49085517514769722</v>
      </c>
      <c r="Y51" s="13">
        <v>9.1448248523027693E-3</v>
      </c>
    </row>
    <row r="52" spans="1:25" x14ac:dyDescent="0.25">
      <c r="A52" s="1">
        <v>1893</v>
      </c>
      <c r="B52" s="1">
        <f t="shared" si="6"/>
        <v>-0.47499999999999998</v>
      </c>
      <c r="C52" s="1">
        <f t="shared" si="7"/>
        <v>-0.48377599208816929</v>
      </c>
      <c r="D52" s="1">
        <f t="shared" si="0"/>
        <v>5.2621921183290676E-3</v>
      </c>
      <c r="E52" s="7">
        <f t="shared" si="8"/>
        <v>0.46666508947149871</v>
      </c>
      <c r="F52" s="1">
        <f t="shared" si="9"/>
        <v>8.7759920881693154E-3</v>
      </c>
      <c r="G52" s="9">
        <f t="shared" si="1"/>
        <v>0.46666508947149871</v>
      </c>
      <c r="H52" s="1">
        <f t="shared" si="2"/>
        <v>-2.0027431018852182E-2</v>
      </c>
      <c r="I52" s="1" t="e">
        <f t="shared" si="10"/>
        <v>#NUM!</v>
      </c>
      <c r="J52" s="3" t="b">
        <f t="shared" si="3"/>
        <v>0</v>
      </c>
      <c r="K52" s="3">
        <f t="shared" si="4"/>
        <v>0.46666508947149871</v>
      </c>
      <c r="L52" s="6">
        <v>-0.47499999999999998</v>
      </c>
      <c r="M52" s="4">
        <v>-0.39700000000000002</v>
      </c>
      <c r="N52" s="5">
        <v>-0.7</v>
      </c>
      <c r="O52">
        <f t="shared" si="11"/>
        <v>-0.7</v>
      </c>
      <c r="P52">
        <f t="shared" si="12"/>
        <v>0.56714285714285717</v>
      </c>
      <c r="Q52">
        <f t="shared" si="13"/>
        <v>0.6785714285714286</v>
      </c>
      <c r="R52">
        <f t="shared" si="5"/>
        <v>-0.66603429701690109</v>
      </c>
      <c r="T52">
        <v>-0.7</v>
      </c>
      <c r="U52">
        <v>-0.69633299999999998</v>
      </c>
      <c r="V52" s="11">
        <f t="shared" si="14"/>
        <v>0.59385838825255632</v>
      </c>
      <c r="W52">
        <f t="shared" si="15"/>
        <v>-0.67752807680556293</v>
      </c>
      <c r="X52" s="13">
        <f t="shared" si="16"/>
        <v>-0.49769927046276646</v>
      </c>
      <c r="Y52" s="13">
        <v>2.3007295372335299E-3</v>
      </c>
    </row>
    <row r="53" spans="1:25" x14ac:dyDescent="0.25">
      <c r="A53" s="1">
        <v>1894</v>
      </c>
      <c r="B53" s="1">
        <f t="shared" si="6"/>
        <v>-0.40799999999999997</v>
      </c>
      <c r="C53" s="1">
        <f t="shared" si="7"/>
        <v>-0.43289224946727656</v>
      </c>
      <c r="D53" s="1">
        <f t="shared" si="0"/>
        <v>9.0255147415934656E-3</v>
      </c>
      <c r="E53" s="7">
        <f t="shared" si="8"/>
        <v>0.57112582697869774</v>
      </c>
      <c r="F53" s="1">
        <f t="shared" si="9"/>
        <v>2.4892249467276584E-2</v>
      </c>
      <c r="G53" s="9">
        <f t="shared" si="1"/>
        <v>0.57112582697869774</v>
      </c>
      <c r="H53" s="1">
        <f t="shared" si="2"/>
        <v>-6.2611944772327677E-2</v>
      </c>
      <c r="I53" s="1" t="e">
        <f t="shared" si="10"/>
        <v>#NUM!</v>
      </c>
      <c r="J53" s="3" t="b">
        <f t="shared" si="3"/>
        <v>0</v>
      </c>
      <c r="K53" s="3">
        <f t="shared" si="4"/>
        <v>0.57112582697869774</v>
      </c>
      <c r="L53" s="6">
        <v>-0.40799999999999997</v>
      </c>
      <c r="M53" s="4">
        <v>-0.41799999999999998</v>
      </c>
      <c r="N53" s="5">
        <v>-0.47</v>
      </c>
      <c r="O53">
        <f t="shared" si="11"/>
        <v>-0.47</v>
      </c>
      <c r="P53">
        <f t="shared" si="12"/>
        <v>0.88936170212765964</v>
      </c>
      <c r="Q53">
        <f t="shared" si="13"/>
        <v>0.86808510638297876</v>
      </c>
      <c r="R53">
        <f t="shared" si="5"/>
        <v>-0.81512287347387979</v>
      </c>
      <c r="T53">
        <v>-0.47</v>
      </c>
      <c r="U53">
        <v>-0.46825</v>
      </c>
      <c r="V53" s="11">
        <f t="shared" si="14"/>
        <v>0.60153212491422892</v>
      </c>
      <c r="W53">
        <f t="shared" si="15"/>
        <v>-0.63048547665769494</v>
      </c>
      <c r="X53" s="13">
        <f t="shared" si="16"/>
        <v>-0.4722884710656467</v>
      </c>
      <c r="Y53" s="13">
        <v>2.7711528934353299E-2</v>
      </c>
    </row>
    <row r="54" spans="1:25" x14ac:dyDescent="0.25">
      <c r="A54" s="1">
        <v>1895</v>
      </c>
      <c r="B54" s="1">
        <f t="shared" si="6"/>
        <v>-0.39300000000000002</v>
      </c>
      <c r="C54" s="1">
        <f t="shared" si="7"/>
        <v>-0.40202457438239597</v>
      </c>
      <c r="D54" s="1">
        <f t="shared" si="0"/>
        <v>6.011122583739037E-3</v>
      </c>
      <c r="E54" s="7">
        <f t="shared" si="8"/>
        <v>0.46465817937423265</v>
      </c>
      <c r="F54" s="1">
        <f t="shared" si="9"/>
        <v>9.0245743823959557E-3</v>
      </c>
      <c r="G54" s="9">
        <f t="shared" si="1"/>
        <v>0.46465817937423265</v>
      </c>
      <c r="H54" s="1">
        <f t="shared" si="2"/>
        <v>-2.753986955689558E-2</v>
      </c>
      <c r="I54" s="1" t="e">
        <f t="shared" si="10"/>
        <v>#NUM!</v>
      </c>
      <c r="J54" s="3" t="b">
        <f t="shared" si="3"/>
        <v>0</v>
      </c>
      <c r="K54" s="3">
        <f t="shared" si="4"/>
        <v>0.46465817937423265</v>
      </c>
      <c r="L54" s="6">
        <v>-0.39300000000000002</v>
      </c>
      <c r="M54" s="4">
        <v>-0.33100000000000002</v>
      </c>
      <c r="N54" s="5">
        <v>-0.57899999999999996</v>
      </c>
      <c r="O54">
        <f t="shared" si="11"/>
        <v>-0.57899999999999996</v>
      </c>
      <c r="P54">
        <f t="shared" si="12"/>
        <v>0.57167530224525054</v>
      </c>
      <c r="Q54">
        <f t="shared" si="13"/>
        <v>0.6787564766839379</v>
      </c>
      <c r="R54">
        <f t="shared" si="5"/>
        <v>-0.6631699924310952</v>
      </c>
      <c r="T54">
        <v>-0.57899999999999996</v>
      </c>
      <c r="U54">
        <v>-0.57974999999999999</v>
      </c>
      <c r="V54" s="11">
        <f t="shared" si="14"/>
        <v>0.60912994388490915</v>
      </c>
      <c r="W54">
        <f t="shared" si="15"/>
        <v>-0.55359404378675636</v>
      </c>
      <c r="X54" s="13">
        <f t="shared" si="16"/>
        <v>-0.47917099042215078</v>
      </c>
      <c r="Y54" s="13">
        <v>2.0829009577849202E-2</v>
      </c>
    </row>
    <row r="55" spans="1:25" x14ac:dyDescent="0.25">
      <c r="A55" s="1">
        <v>1896</v>
      </c>
      <c r="B55" s="1">
        <f t="shared" si="6"/>
        <v>-0.191</v>
      </c>
      <c r="C55" s="1">
        <f t="shared" si="7"/>
        <v>-0.20890737207002116</v>
      </c>
      <c r="D55" s="1">
        <f t="shared" si="0"/>
        <v>1.8655754248304707E-2</v>
      </c>
      <c r="E55" s="7">
        <f t="shared" si="8"/>
        <v>0.29365489160744296</v>
      </c>
      <c r="F55" s="1">
        <f t="shared" si="9"/>
        <v>1.790737207002116E-2</v>
      </c>
      <c r="G55" s="9">
        <f t="shared" si="1"/>
        <v>0.29365489160744296</v>
      </c>
      <c r="H55" s="1">
        <f t="shared" si="2"/>
        <v>-7.5727090593365298E-2</v>
      </c>
      <c r="I55" s="1" t="e">
        <f t="shared" si="10"/>
        <v>#NUM!</v>
      </c>
      <c r="J55" s="3" t="b">
        <f t="shared" si="3"/>
        <v>0</v>
      </c>
      <c r="K55" s="3">
        <f t="shared" si="4"/>
        <v>0.29365489160744296</v>
      </c>
      <c r="L55" s="6">
        <v>-0.191</v>
      </c>
      <c r="M55" s="4">
        <v>-0.127</v>
      </c>
      <c r="N55" s="5">
        <v>-0.41299999999999998</v>
      </c>
      <c r="O55">
        <f t="shared" si="11"/>
        <v>-0.41299999999999998</v>
      </c>
      <c r="P55">
        <f t="shared" si="12"/>
        <v>0.30750605326876518</v>
      </c>
      <c r="Q55">
        <f t="shared" si="13"/>
        <v>0.46246973365617439</v>
      </c>
      <c r="R55">
        <f t="shared" si="5"/>
        <v>-0.41911047924934342</v>
      </c>
      <c r="T55">
        <v>-0.41299999999999998</v>
      </c>
      <c r="U55">
        <v>-0.41775000000000001</v>
      </c>
      <c r="V55" s="11">
        <f t="shared" si="14"/>
        <v>0.61663260776549578</v>
      </c>
      <c r="W55">
        <f t="shared" si="15"/>
        <v>-0.26525215234336597</v>
      </c>
      <c r="X55" s="13">
        <f t="shared" si="16"/>
        <v>-0.4666331133130181</v>
      </c>
      <c r="Y55" s="13">
        <v>3.33668866869819E-2</v>
      </c>
    </row>
    <row r="56" spans="1:25" x14ac:dyDescent="0.25">
      <c r="A56" s="1">
        <v>1897</v>
      </c>
      <c r="B56" s="1">
        <f t="shared" si="6"/>
        <v>-0.21</v>
      </c>
      <c r="C56" s="1">
        <f t="shared" si="7"/>
        <v>-0.21666729662217832</v>
      </c>
      <c r="D56" s="1">
        <f t="shared" si="0"/>
        <v>5.420485805790326E-3</v>
      </c>
      <c r="E56" s="7">
        <f t="shared" si="8"/>
        <v>0.44801116211654091</v>
      </c>
      <c r="F56" s="1">
        <f t="shared" si="9"/>
        <v>6.6672966221783259E-3</v>
      </c>
      <c r="G56" s="9">
        <f t="shared" si="1"/>
        <v>0.44801116211654091</v>
      </c>
      <c r="H56" s="1">
        <f t="shared" si="2"/>
        <v>-4.3596457122442089E-2</v>
      </c>
      <c r="I56" s="1" t="e">
        <f t="shared" si="10"/>
        <v>#NUM!</v>
      </c>
      <c r="J56" s="3" t="b">
        <f t="shared" si="3"/>
        <v>0</v>
      </c>
      <c r="K56" s="3">
        <f t="shared" si="4"/>
        <v>0.44801116211654091</v>
      </c>
      <c r="L56" s="6">
        <v>-0.21</v>
      </c>
      <c r="M56" s="4">
        <v>-0.17599999999999999</v>
      </c>
      <c r="N56" s="5">
        <v>-0.318</v>
      </c>
      <c r="O56">
        <f t="shared" si="11"/>
        <v>-0.318</v>
      </c>
      <c r="P56">
        <f t="shared" si="12"/>
        <v>0.55345911949685533</v>
      </c>
      <c r="Q56">
        <f t="shared" si="13"/>
        <v>0.660377358490566</v>
      </c>
      <c r="R56">
        <f t="shared" si="5"/>
        <v>-0.6394110169113888</v>
      </c>
      <c r="T56">
        <v>-0.318</v>
      </c>
      <c r="U56">
        <v>-0.32824999999999999</v>
      </c>
      <c r="V56" s="11">
        <f t="shared" si="14"/>
        <v>0.62402206752449274</v>
      </c>
      <c r="W56">
        <f t="shared" si="15"/>
        <v>-0.29233949652173824</v>
      </c>
      <c r="X56" s="13">
        <f t="shared" si="16"/>
        <v>-0.45518552790300681</v>
      </c>
      <c r="Y56" s="13">
        <v>4.4814472096993199E-2</v>
      </c>
    </row>
    <row r="57" spans="1:25" x14ac:dyDescent="0.25">
      <c r="A57" s="1">
        <v>1898</v>
      </c>
      <c r="B57" s="1">
        <f t="shared" si="6"/>
        <v>-0.40799999999999997</v>
      </c>
      <c r="C57" s="1">
        <f t="shared" si="7"/>
        <v>-0.3984177693946841</v>
      </c>
      <c r="D57" s="1">
        <f t="shared" si="0"/>
        <v>-2.8066087972009657E-2</v>
      </c>
      <c r="E57" s="1">
        <f t="shared" si="8"/>
        <v>0.75603128029241384</v>
      </c>
      <c r="F57" s="1">
        <f t="shared" si="9"/>
        <v>9.5822306053158779E-3</v>
      </c>
      <c r="G57" s="9">
        <f t="shared" si="1"/>
        <v>0.75603128029241384</v>
      </c>
      <c r="H57" s="1">
        <f t="shared" si="2"/>
        <v>0.31301269607774174</v>
      </c>
      <c r="I57" s="1">
        <f t="shared" si="10"/>
        <v>1.1480345561805108</v>
      </c>
      <c r="J57" s="3">
        <f t="shared" si="3"/>
        <v>1.1480345561805108</v>
      </c>
      <c r="K57" s="3">
        <f t="shared" si="4"/>
        <v>0.75603128029241384</v>
      </c>
      <c r="L57" s="6">
        <v>-0.40799999999999997</v>
      </c>
      <c r="M57" s="4">
        <v>-0.40300000000000002</v>
      </c>
      <c r="N57" s="5">
        <v>-0.38700000000000001</v>
      </c>
      <c r="O57">
        <f t="shared" si="11"/>
        <v>-0.38700000000000001</v>
      </c>
      <c r="P57">
        <f t="shared" si="12"/>
        <v>1.0413436692506459</v>
      </c>
      <c r="Q57">
        <f t="shared" si="13"/>
        <v>1.0542635658914727</v>
      </c>
      <c r="R57">
        <f t="shared" si="5"/>
        <v>-1.0790238516933226</v>
      </c>
      <c r="T57">
        <v>-0.38700000000000001</v>
      </c>
      <c r="U57">
        <v>-0.38033299999999998</v>
      </c>
      <c r="V57" s="11">
        <f t="shared" si="14"/>
        <v>0.631281484849751</v>
      </c>
      <c r="W57">
        <f t="shared" si="15"/>
        <v>-0.56639028449533357</v>
      </c>
      <c r="X57" s="13">
        <f t="shared" si="16"/>
        <v>-0.46477888798045841</v>
      </c>
      <c r="Y57" s="13">
        <v>3.5221112019541603E-2</v>
      </c>
    </row>
    <row r="58" spans="1:25" x14ac:dyDescent="0.25">
      <c r="A58" s="1">
        <v>1899</v>
      </c>
      <c r="B58" s="1">
        <f t="shared" si="6"/>
        <v>-0.28799999999999998</v>
      </c>
      <c r="C58" s="1">
        <f t="shared" si="7"/>
        <v>-0.29317391299028311</v>
      </c>
      <c r="D58" s="1">
        <f t="shared" si="0"/>
        <v>0</v>
      </c>
      <c r="E58" s="1">
        <f t="shared" si="8"/>
        <v>0.76538119658640746</v>
      </c>
      <c r="F58" s="1">
        <f t="shared" si="9"/>
        <v>5.173912990283136E-3</v>
      </c>
      <c r="G58" s="9">
        <f t="shared" si="1"/>
        <v>0.76538119658640746</v>
      </c>
      <c r="H58" s="1">
        <f t="shared" si="2"/>
        <v>5.0536643343636278E-2</v>
      </c>
      <c r="I58" s="1">
        <f t="shared" si="10"/>
        <v>0.76538119658640746</v>
      </c>
      <c r="J58" s="3">
        <f t="shared" si="3"/>
        <v>0.76538119658640746</v>
      </c>
      <c r="K58" s="3">
        <f t="shared" si="4"/>
        <v>0.60786982401855527</v>
      </c>
      <c r="L58" s="6">
        <v>-0.28799999999999998</v>
      </c>
      <c r="M58" s="4">
        <v>-0.28000000000000003</v>
      </c>
      <c r="N58" s="5">
        <v>-0.32600000000000001</v>
      </c>
      <c r="O58">
        <f t="shared" si="11"/>
        <v>-0.32600000000000001</v>
      </c>
      <c r="P58">
        <f t="shared" si="12"/>
        <v>0.85889570552147243</v>
      </c>
      <c r="Q58">
        <f t="shared" si="13"/>
        <v>0.88343558282208579</v>
      </c>
      <c r="R58">
        <f t="shared" si="5"/>
        <v>-0.86756468407888598</v>
      </c>
      <c r="T58">
        <v>-0.32600000000000001</v>
      </c>
      <c r="U58">
        <v>-0.32616699999999998</v>
      </c>
      <c r="V58" s="11">
        <f t="shared" si="14"/>
        <v>0.638395213522017</v>
      </c>
      <c r="W58">
        <f t="shared" si="15"/>
        <v>-0.40635239489293795</v>
      </c>
      <c r="X58" s="13">
        <f t="shared" si="16"/>
        <v>-0.43986780948475918</v>
      </c>
      <c r="Y58" s="13">
        <v>6.0132190515240803E-2</v>
      </c>
    </row>
    <row r="59" spans="1:25" x14ac:dyDescent="0.25">
      <c r="A59" s="1">
        <v>1900</v>
      </c>
      <c r="B59" s="1">
        <f t="shared" si="6"/>
        <v>-0.19800000000000001</v>
      </c>
      <c r="C59" s="1">
        <f t="shared" si="7"/>
        <v>-0.19856805293583879</v>
      </c>
      <c r="D59" s="1">
        <f t="shared" si="0"/>
        <v>-8.9873664917350937E-3</v>
      </c>
      <c r="E59" s="1">
        <f t="shared" si="8"/>
        <v>0.70940057617722774</v>
      </c>
      <c r="F59" s="1">
        <f t="shared" si="9"/>
        <v>5.6805293583878091E-4</v>
      </c>
      <c r="G59" s="9">
        <f t="shared" si="1"/>
        <v>0.70940057617722774</v>
      </c>
      <c r="H59" s="1">
        <f t="shared" si="2"/>
        <v>0.18665543883681313</v>
      </c>
      <c r="I59" s="1">
        <f t="shared" si="10"/>
        <v>1.0121121627057943</v>
      </c>
      <c r="J59" s="3">
        <f t="shared" si="3"/>
        <v>1.0121121627057943</v>
      </c>
      <c r="K59" s="3">
        <f t="shared" si="4"/>
        <v>0.70940057617722774</v>
      </c>
      <c r="L59" s="6">
        <v>-0.19800000000000001</v>
      </c>
      <c r="M59" s="4">
        <v>-0.2</v>
      </c>
      <c r="N59" s="5">
        <v>-0.19500000000000001</v>
      </c>
      <c r="O59">
        <f t="shared" si="11"/>
        <v>-0.19500000000000001</v>
      </c>
      <c r="P59">
        <f t="shared" si="12"/>
        <v>1.0256410256410258</v>
      </c>
      <c r="Q59">
        <f t="shared" si="13"/>
        <v>1.0153846153846153</v>
      </c>
      <c r="R59">
        <f t="shared" si="5"/>
        <v>-1.0124715234059547</v>
      </c>
      <c r="T59">
        <v>-0.19500000000000001</v>
      </c>
      <c r="U59">
        <v>-0.20449999999999999</v>
      </c>
      <c r="V59" s="11">
        <f t="shared" si="14"/>
        <v>0.64534874353557825</v>
      </c>
      <c r="W59">
        <f t="shared" si="15"/>
        <v>-0.27700096038331617</v>
      </c>
      <c r="X59" s="13">
        <f t="shared" si="16"/>
        <v>-0.43117006766656163</v>
      </c>
      <c r="Y59" s="13">
        <v>6.8829932333438398E-2</v>
      </c>
    </row>
    <row r="60" spans="1:25" x14ac:dyDescent="0.25">
      <c r="A60" s="1">
        <v>1901</v>
      </c>
      <c r="B60" s="1">
        <f t="shared" si="6"/>
        <v>-0.26700000000000002</v>
      </c>
      <c r="C60" s="1">
        <f t="shared" si="7"/>
        <v>-0.27975992455215715</v>
      </c>
      <c r="D60" s="1">
        <f t="shared" si="0"/>
        <v>-1.8000000000000016E-2</v>
      </c>
      <c r="E60" s="1">
        <f t="shared" si="8"/>
        <v>1</v>
      </c>
      <c r="F60" s="1">
        <f t="shared" si="9"/>
        <v>1.2759924552157131E-2</v>
      </c>
      <c r="G60" s="9">
        <f t="shared" si="1"/>
        <v>1</v>
      </c>
      <c r="H60" s="1">
        <f t="shared" si="2"/>
        <v>0.58064851399152695</v>
      </c>
      <c r="I60" s="1">
        <f t="shared" si="10"/>
        <v>1.540327181597781</v>
      </c>
      <c r="J60" s="3">
        <f t="shared" si="3"/>
        <v>1.540327181597781</v>
      </c>
      <c r="K60" s="3">
        <f t="shared" si="4"/>
        <v>1.0064204713881926</v>
      </c>
      <c r="L60" s="6">
        <v>-0.26700000000000002</v>
      </c>
      <c r="M60" s="4">
        <v>-0.32100000000000001</v>
      </c>
      <c r="N60" s="5">
        <v>-0.17699999999999999</v>
      </c>
      <c r="O60">
        <f t="shared" si="11"/>
        <v>-0.17699999999999999</v>
      </c>
      <c r="P60">
        <f t="shared" si="12"/>
        <v>1.8135593220338984</v>
      </c>
      <c r="Q60">
        <f t="shared" si="13"/>
        <v>1.5084745762711866</v>
      </c>
      <c r="R60">
        <f t="shared" si="5"/>
        <v>-1.43638460704996</v>
      </c>
      <c r="T60">
        <v>-0.17699999999999999</v>
      </c>
      <c r="U60">
        <v>-0.190417</v>
      </c>
      <c r="V60" s="11">
        <f t="shared" si="14"/>
        <v>0.65212867874652147</v>
      </c>
      <c r="W60">
        <f t="shared" si="15"/>
        <v>-0.40195442044967333</v>
      </c>
      <c r="X60" s="13">
        <f t="shared" si="16"/>
        <v>-0.42573480345990011</v>
      </c>
      <c r="Y60" s="13">
        <v>7.4265196540099901E-2</v>
      </c>
    </row>
    <row r="61" spans="1:25" x14ac:dyDescent="0.25">
      <c r="A61" s="1">
        <v>1902</v>
      </c>
      <c r="B61" s="1">
        <f t="shared" si="6"/>
        <v>-0.41199999999999998</v>
      </c>
      <c r="C61" s="1">
        <f t="shared" si="7"/>
        <v>-0.41415028354115463</v>
      </c>
      <c r="D61" s="1">
        <f t="shared" si="0"/>
        <v>0</v>
      </c>
      <c r="E61" s="1">
        <f t="shared" si="8"/>
        <v>0.94919189105120205</v>
      </c>
      <c r="F61" s="1">
        <f t="shared" si="9"/>
        <v>2.1502835411546517E-3</v>
      </c>
      <c r="G61" s="9">
        <f t="shared" si="1"/>
        <v>0.94919189105120205</v>
      </c>
      <c r="H61" s="1">
        <f t="shared" si="2"/>
        <v>0.14707141129331447</v>
      </c>
      <c r="I61" s="1">
        <f t="shared" si="10"/>
        <v>0.94919189105120205</v>
      </c>
      <c r="J61" s="3">
        <f t="shared" si="3"/>
        <v>0.94919189105120205</v>
      </c>
      <c r="K61" s="3">
        <f t="shared" si="4"/>
        <v>0.68048868414483143</v>
      </c>
      <c r="L61" s="6">
        <v>-0.41199999999999998</v>
      </c>
      <c r="M61" s="4">
        <v>-0.41099999999999998</v>
      </c>
      <c r="N61" s="5">
        <v>-0.42199999999999999</v>
      </c>
      <c r="O61">
        <f t="shared" si="11"/>
        <v>-0.42199999999999999</v>
      </c>
      <c r="P61">
        <f t="shared" si="12"/>
        <v>0.97393364928909953</v>
      </c>
      <c r="Q61">
        <f t="shared" si="13"/>
        <v>0.976303317535545</v>
      </c>
      <c r="R61">
        <f t="shared" si="5"/>
        <v>-0.97120785890721639</v>
      </c>
      <c r="T61">
        <v>-0.42199999999999999</v>
      </c>
      <c r="U61">
        <v>-0.42241699999999999</v>
      </c>
      <c r="V61" s="11">
        <f t="shared" si="14"/>
        <v>0.65872271452099085</v>
      </c>
      <c r="W61">
        <f t="shared" si="15"/>
        <v>-0.56610278396269997</v>
      </c>
      <c r="X61" s="13">
        <f t="shared" si="16"/>
        <v>-0.45710331375414293</v>
      </c>
      <c r="Y61" s="13">
        <v>4.2896686245857102E-2</v>
      </c>
    </row>
    <row r="62" spans="1:25" x14ac:dyDescent="0.25">
      <c r="A62" s="1">
        <v>1903</v>
      </c>
      <c r="B62" s="1">
        <f t="shared" si="6"/>
        <v>-0.48099999999999998</v>
      </c>
      <c r="C62" s="1">
        <f t="shared" si="7"/>
        <v>-0.49379773167076269</v>
      </c>
      <c r="D62" s="1">
        <f t="shared" si="0"/>
        <v>-1.9410210166703634E-2</v>
      </c>
      <c r="E62" s="1">
        <f t="shared" si="8"/>
        <v>0.76114073091931356</v>
      </c>
      <c r="F62" s="1">
        <f t="shared" si="9"/>
        <v>1.2797731670762702E-2</v>
      </c>
      <c r="G62" s="9">
        <f t="shared" si="1"/>
        <v>0.76114073091931356</v>
      </c>
      <c r="H62" s="1">
        <f t="shared" si="2"/>
        <v>0.19569025637884907</v>
      </c>
      <c r="I62" s="1">
        <f t="shared" si="10"/>
        <v>1.0710919300045165</v>
      </c>
      <c r="J62" s="3">
        <f t="shared" si="3"/>
        <v>1.0710919300045165</v>
      </c>
      <c r="K62" s="3">
        <f t="shared" si="4"/>
        <v>0.76114073091931356</v>
      </c>
      <c r="L62" s="6">
        <v>-0.48099999999999998</v>
      </c>
      <c r="M62" s="4">
        <v>-0.51900000000000002</v>
      </c>
      <c r="N62" s="5">
        <v>-0.43099999999999999</v>
      </c>
      <c r="O62">
        <f t="shared" si="11"/>
        <v>-0.43099999999999999</v>
      </c>
      <c r="P62">
        <f t="shared" si="12"/>
        <v>1.2041763341067286</v>
      </c>
      <c r="Q62">
        <f t="shared" si="13"/>
        <v>1.1160092807424593</v>
      </c>
      <c r="R62">
        <f t="shared" si="5"/>
        <v>-1.0863161678172557</v>
      </c>
      <c r="T62">
        <v>-0.43099999999999999</v>
      </c>
      <c r="U62">
        <v>-0.42341699999999999</v>
      </c>
      <c r="V62" s="11">
        <f t="shared" si="14"/>
        <v>0.66511963028460741</v>
      </c>
      <c r="W62">
        <f t="shared" si="15"/>
        <v>-0.68027185204323493</v>
      </c>
      <c r="X62" s="13">
        <f t="shared" si="16"/>
        <v>-0.45751193464917611</v>
      </c>
      <c r="Y62" s="13">
        <v>4.2488065350823903E-2</v>
      </c>
    </row>
    <row r="63" spans="1:25" x14ac:dyDescent="0.25">
      <c r="A63" s="1">
        <v>1904</v>
      </c>
      <c r="B63" s="1">
        <f t="shared" si="6"/>
        <v>-0.52800000000000002</v>
      </c>
      <c r="C63" s="1">
        <f t="shared" si="7"/>
        <v>-0.54331001886196062</v>
      </c>
      <c r="D63" s="1">
        <f t="shared" si="0"/>
        <v>0</v>
      </c>
      <c r="E63" s="1">
        <f t="shared" si="8"/>
        <v>0.78177180010964409</v>
      </c>
      <c r="F63" s="1">
        <f t="shared" si="9"/>
        <v>1.5310018861960595E-2</v>
      </c>
      <c r="G63" s="9">
        <f t="shared" si="1"/>
        <v>0.78177180010964409</v>
      </c>
      <c r="H63" s="1">
        <f t="shared" si="2"/>
        <v>4.6106564910594727E-2</v>
      </c>
      <c r="I63" s="1">
        <f t="shared" si="10"/>
        <v>0.78177180010964409</v>
      </c>
      <c r="J63" s="3">
        <f t="shared" si="3"/>
        <v>0.78177180010964409</v>
      </c>
      <c r="K63" s="3">
        <f t="shared" si="4"/>
        <v>0.63132252373169706</v>
      </c>
      <c r="L63" s="6">
        <v>-0.52800000000000002</v>
      </c>
      <c r="M63" s="4">
        <v>-0.53300000000000003</v>
      </c>
      <c r="N63" s="5">
        <v>-0.56899999999999995</v>
      </c>
      <c r="O63">
        <f t="shared" si="11"/>
        <v>-0.56899999999999995</v>
      </c>
      <c r="P63">
        <f t="shared" si="12"/>
        <v>0.93673110720562403</v>
      </c>
      <c r="Q63">
        <f t="shared" si="13"/>
        <v>0.92794376098418285</v>
      </c>
      <c r="R63">
        <f t="shared" si="5"/>
        <v>-0.90103687370481444</v>
      </c>
      <c r="T63">
        <v>-0.56899999999999995</v>
      </c>
      <c r="U63">
        <v>-0.55483300000000002</v>
      </c>
      <c r="V63" s="11">
        <f t="shared" si="14"/>
        <v>0.67130921501666307</v>
      </c>
      <c r="W63">
        <f t="shared" si="15"/>
        <v>-0.72954163557744922</v>
      </c>
      <c r="X63" s="13">
        <f t="shared" si="16"/>
        <v>-0.46993131085770712</v>
      </c>
      <c r="Y63" s="13">
        <v>3.0068689142292899E-2</v>
      </c>
    </row>
    <row r="64" spans="1:25" x14ac:dyDescent="0.25">
      <c r="A64" s="1">
        <v>1905</v>
      </c>
      <c r="B64" s="1">
        <f t="shared" si="6"/>
        <v>-0.38200000000000001</v>
      </c>
      <c r="C64" s="1">
        <f t="shared" si="7"/>
        <v>-0.40516446121063171</v>
      </c>
      <c r="D64" s="1">
        <f t="shared" si="0"/>
        <v>6.8209916649780156E-3</v>
      </c>
      <c r="E64" s="7">
        <f t="shared" si="8"/>
        <v>0.58743578545510744</v>
      </c>
      <c r="F64" s="1">
        <f t="shared" si="9"/>
        <v>2.3164461210631704E-2</v>
      </c>
      <c r="G64" s="9">
        <f t="shared" si="1"/>
        <v>0.58743578545510744</v>
      </c>
      <c r="H64" s="1">
        <f t="shared" si="2"/>
        <v>-5.3446026272603975E-2</v>
      </c>
      <c r="I64" s="1" t="e">
        <f t="shared" si="10"/>
        <v>#NUM!</v>
      </c>
      <c r="J64" s="3" t="b">
        <f t="shared" si="3"/>
        <v>0</v>
      </c>
      <c r="K64" s="3">
        <f t="shared" si="4"/>
        <v>0.58743578545510744</v>
      </c>
      <c r="L64" s="6">
        <v>-0.38200000000000001</v>
      </c>
      <c r="M64" s="4">
        <v>-0.39600000000000002</v>
      </c>
      <c r="N64" s="5">
        <v>-0.42799999999999999</v>
      </c>
      <c r="O64">
        <f t="shared" si="11"/>
        <v>-0.42799999999999999</v>
      </c>
      <c r="P64">
        <f t="shared" si="12"/>
        <v>0.92523364485981319</v>
      </c>
      <c r="Q64">
        <f t="shared" si="13"/>
        <v>0.89252336448598135</v>
      </c>
      <c r="R64">
        <f t="shared" si="5"/>
        <v>-0.83840079156394465</v>
      </c>
      <c r="T64">
        <v>-0.42799999999999999</v>
      </c>
      <c r="U64">
        <v>-0.43416700000000003</v>
      </c>
      <c r="V64" s="11">
        <f t="shared" si="14"/>
        <v>0.67728228960186243</v>
      </c>
      <c r="W64">
        <f t="shared" si="15"/>
        <v>-0.53981545123879682</v>
      </c>
      <c r="X64" s="13">
        <f t="shared" si="16"/>
        <v>-0.4520729798002065</v>
      </c>
      <c r="Y64" s="13">
        <v>4.7927020199793502E-2</v>
      </c>
    </row>
    <row r="65" spans="1:25" x14ac:dyDescent="0.25">
      <c r="A65" s="1">
        <v>1906</v>
      </c>
      <c r="B65" s="1">
        <f t="shared" si="6"/>
        <v>-0.29399999999999998</v>
      </c>
      <c r="C65" s="1">
        <f t="shared" si="7"/>
        <v>-0.30691020809331182</v>
      </c>
      <c r="D65" s="1">
        <f t="shared" si="0"/>
        <v>-1.7094922333948548E-2</v>
      </c>
      <c r="E65" s="1">
        <f t="shared" si="8"/>
        <v>0.92900474620563112</v>
      </c>
      <c r="F65" s="1">
        <f t="shared" si="9"/>
        <v>1.2910208093311837E-2</v>
      </c>
      <c r="G65" s="9">
        <f t="shared" si="1"/>
        <v>0.92900474620563112</v>
      </c>
      <c r="H65" s="1">
        <f t="shared" si="2"/>
        <v>0.42766181572718165</v>
      </c>
      <c r="I65" s="1">
        <f t="shared" si="10"/>
        <v>1.3872088319930975</v>
      </c>
      <c r="J65" s="3">
        <f t="shared" si="3"/>
        <v>1.3872088319930975</v>
      </c>
      <c r="K65" s="3">
        <f t="shared" si="4"/>
        <v>0.92900474620563112</v>
      </c>
      <c r="L65" s="6">
        <v>-0.29399999999999998</v>
      </c>
      <c r="M65" s="4">
        <v>-0.34499999999999997</v>
      </c>
      <c r="N65" s="5">
        <v>-0.21199999999999999</v>
      </c>
      <c r="O65">
        <f t="shared" si="11"/>
        <v>-0.21199999999999999</v>
      </c>
      <c r="P65">
        <f t="shared" si="12"/>
        <v>1.6273584905660377</v>
      </c>
      <c r="Q65">
        <f t="shared" si="13"/>
        <v>1.3867924528301887</v>
      </c>
      <c r="R65">
        <f t="shared" si="5"/>
        <v>-1.3258952448428689</v>
      </c>
      <c r="T65">
        <v>-0.21199999999999999</v>
      </c>
      <c r="U65">
        <v>-0.23166700000000001</v>
      </c>
      <c r="V65" s="11">
        <f t="shared" si="14"/>
        <v>0.68303062487393618</v>
      </c>
      <c r="W65">
        <f t="shared" si="15"/>
        <v>-0.42116054960498417</v>
      </c>
      <c r="X65" s="13">
        <f t="shared" si="16"/>
        <v>-0.42499040391667198</v>
      </c>
      <c r="Y65" s="13">
        <v>7.5009596083327995E-2</v>
      </c>
    </row>
    <row r="66" spans="1:25" x14ac:dyDescent="0.25">
      <c r="A66" s="1">
        <v>1907</v>
      </c>
      <c r="B66" s="1">
        <f t="shared" si="6"/>
        <v>-0.47599999999999998</v>
      </c>
      <c r="C66" s="1">
        <f t="shared" si="7"/>
        <v>-0.49671455552043531</v>
      </c>
      <c r="D66" s="1">
        <f t="shared" si="0"/>
        <v>1.3001040389257978E-2</v>
      </c>
      <c r="E66" s="7">
        <f t="shared" si="8"/>
        <v>0.49228599407120305</v>
      </c>
      <c r="F66" s="1">
        <f t="shared" si="9"/>
        <v>2.0714555520435329E-2</v>
      </c>
      <c r="G66" s="9">
        <f t="shared" si="1"/>
        <v>0.49228599407120305</v>
      </c>
      <c r="H66" s="1">
        <f t="shared" si="2"/>
        <v>-5.6386073505564127E-2</v>
      </c>
      <c r="I66" s="1" t="e">
        <f t="shared" si="10"/>
        <v>#NUM!</v>
      </c>
      <c r="J66" s="3" t="b">
        <f t="shared" si="3"/>
        <v>0</v>
      </c>
      <c r="K66" s="3">
        <f t="shared" si="4"/>
        <v>0.49228599407120305</v>
      </c>
      <c r="L66" s="6">
        <v>-0.47599999999999998</v>
      </c>
      <c r="M66" s="4">
        <v>-0.436</v>
      </c>
      <c r="N66" s="5">
        <v>-0.64800000000000002</v>
      </c>
      <c r="O66">
        <f t="shared" si="11"/>
        <v>-0.64800000000000002</v>
      </c>
      <c r="P66">
        <f t="shared" si="12"/>
        <v>0.6728395061728395</v>
      </c>
      <c r="Q66">
        <f t="shared" si="13"/>
        <v>0.73456790123456783</v>
      </c>
      <c r="R66">
        <f t="shared" si="5"/>
        <v>-0.70260099456722935</v>
      </c>
      <c r="T66">
        <v>-0.64800000000000002</v>
      </c>
      <c r="U66">
        <v>-0.63300000000000001</v>
      </c>
      <c r="V66" s="11">
        <f t="shared" si="14"/>
        <v>0.6885469937697053</v>
      </c>
      <c r="W66">
        <f t="shared" si="15"/>
        <v>-0.63745104524842378</v>
      </c>
      <c r="X66" s="13">
        <f t="shared" si="16"/>
        <v>-0.48498925699964968</v>
      </c>
      <c r="Y66" s="13">
        <v>1.50107430003503E-2</v>
      </c>
    </row>
    <row r="67" spans="1:25" x14ac:dyDescent="0.25">
      <c r="A67" s="1">
        <v>1908</v>
      </c>
      <c r="B67" s="1">
        <f t="shared" si="6"/>
        <v>-0.52300000000000002</v>
      </c>
      <c r="C67" s="1">
        <f t="shared" si="7"/>
        <v>-0.52639886583538131</v>
      </c>
      <c r="D67" s="1">
        <f t="shared" si="0"/>
        <v>-2.4960027994659018E-2</v>
      </c>
      <c r="E67" s="1">
        <f t="shared" si="8"/>
        <v>0.73548464653864276</v>
      </c>
      <c r="F67" s="1">
        <f t="shared" si="9"/>
        <v>3.3988658353812928E-3</v>
      </c>
      <c r="G67" s="9">
        <f t="shared" si="1"/>
        <v>0.73548464653864276</v>
      </c>
      <c r="H67" s="1">
        <f t="shared" si="2"/>
        <v>0.21172139748687657</v>
      </c>
      <c r="I67" s="1">
        <f t="shared" si="10"/>
        <v>1.0578817235606155</v>
      </c>
      <c r="J67" s="3">
        <f t="shared" si="3"/>
        <v>1.0578817235606155</v>
      </c>
      <c r="K67" s="3">
        <f t="shared" si="4"/>
        <v>0.73548464653864276</v>
      </c>
      <c r="L67" s="6">
        <v>-0.52300000000000002</v>
      </c>
      <c r="M67" s="4">
        <v>-0.53900000000000003</v>
      </c>
      <c r="N67" s="5">
        <v>-0.495</v>
      </c>
      <c r="O67">
        <f t="shared" si="11"/>
        <v>-0.495</v>
      </c>
      <c r="P67">
        <f t="shared" si="12"/>
        <v>1.088888888888889</v>
      </c>
      <c r="Q67">
        <f t="shared" si="13"/>
        <v>1.0565656565656567</v>
      </c>
      <c r="R67">
        <f t="shared" si="5"/>
        <v>-1.0496992609386238</v>
      </c>
      <c r="T67">
        <v>-0.495</v>
      </c>
      <c r="U67">
        <v>-0.49399999999999999</v>
      </c>
      <c r="V67" s="11">
        <f t="shared" si="14"/>
        <v>0.6938250744715333</v>
      </c>
      <c r="W67">
        <f t="shared" si="15"/>
        <v>-0.69613319166357357</v>
      </c>
      <c r="X67" s="13">
        <f t="shared" si="16"/>
        <v>-0.45071891850561802</v>
      </c>
      <c r="Y67" s="13">
        <v>4.9281081494381998E-2</v>
      </c>
    </row>
    <row r="68" spans="1:25" x14ac:dyDescent="0.25">
      <c r="A68" s="1">
        <v>1909</v>
      </c>
      <c r="B68" s="1">
        <f t="shared" si="6"/>
        <v>-0.53600000000000003</v>
      </c>
      <c r="C68" s="1">
        <f t="shared" si="7"/>
        <v>-0.53608884697342063</v>
      </c>
      <c r="D68" s="1">
        <f t="shared" si="0"/>
        <v>-3.1866731775105905E-2</v>
      </c>
      <c r="E68" s="1">
        <f t="shared" si="8"/>
        <v>0.78390963373377121</v>
      </c>
      <c r="F68" s="1">
        <f t="shared" si="9"/>
        <v>8.8846973420597664E-5</v>
      </c>
      <c r="G68" s="9">
        <f t="shared" si="1"/>
        <v>0.78390963373377121</v>
      </c>
      <c r="H68" s="1">
        <f t="shared" si="2"/>
        <v>0.2977277290246424</v>
      </c>
      <c r="I68" s="1">
        <f t="shared" si="10"/>
        <v>1.1662220142278248</v>
      </c>
      <c r="J68" s="3">
        <f t="shared" si="3"/>
        <v>1.1662220142278248</v>
      </c>
      <c r="K68" s="3">
        <f t="shared" si="4"/>
        <v>0.78390963373377121</v>
      </c>
      <c r="L68" s="6">
        <v>-0.53600000000000003</v>
      </c>
      <c r="M68" s="4">
        <v>-0.55900000000000005</v>
      </c>
      <c r="N68" s="5">
        <v>-0.47899999999999998</v>
      </c>
      <c r="O68">
        <f t="shared" si="11"/>
        <v>-0.47899999999999998</v>
      </c>
      <c r="P68">
        <f t="shared" si="12"/>
        <v>1.1670146137787059</v>
      </c>
      <c r="Q68">
        <f t="shared" si="13"/>
        <v>1.1189979123173279</v>
      </c>
      <c r="R68">
        <f t="shared" si="5"/>
        <v>-1.1188124280304372</v>
      </c>
      <c r="T68">
        <v>-0.47899999999999998</v>
      </c>
      <c r="U68">
        <v>-0.48249999999999998</v>
      </c>
      <c r="V68" s="11">
        <f t="shared" si="14"/>
        <v>0.69885941315442324</v>
      </c>
      <c r="W68">
        <f t="shared" si="15"/>
        <v>-0.70797962040691775</v>
      </c>
      <c r="X68" s="13">
        <f t="shared" si="16"/>
        <v>-0.44870423337490878</v>
      </c>
      <c r="Y68" s="13">
        <v>5.1295766625091201E-2</v>
      </c>
    </row>
    <row r="69" spans="1:25" x14ac:dyDescent="0.25">
      <c r="A69" s="1">
        <v>1910</v>
      </c>
      <c r="B69" s="1">
        <f t="shared" si="6"/>
        <v>-0.496</v>
      </c>
      <c r="C69" s="1">
        <f t="shared" si="7"/>
        <v>-0.50413516093840993</v>
      </c>
      <c r="D69" s="1">
        <f t="shared" si="0"/>
        <v>-3.9876984810959137E-2</v>
      </c>
      <c r="E69" s="1">
        <f t="shared" si="8"/>
        <v>0.9908071770625132</v>
      </c>
      <c r="F69" s="1">
        <f t="shared" si="9"/>
        <v>8.1351609384099355E-3</v>
      </c>
      <c r="G69" s="9">
        <f t="shared" si="1"/>
        <v>0.9908071770625132</v>
      </c>
      <c r="H69" s="1">
        <f t="shared" si="2"/>
        <v>0.6537980685422411</v>
      </c>
      <c r="I69" s="1">
        <f t="shared" si="10"/>
        <v>1.5573471224159461</v>
      </c>
      <c r="J69" s="3">
        <f t="shared" si="3"/>
        <v>1.5573471224159461</v>
      </c>
      <c r="K69" s="3">
        <f t="shared" si="4"/>
        <v>0.9908071770625132</v>
      </c>
      <c r="L69" s="6">
        <v>-0.496</v>
      </c>
      <c r="M69" s="4">
        <v>-0.56799999999999995</v>
      </c>
      <c r="N69" s="5">
        <v>-0.34499999999999997</v>
      </c>
      <c r="O69">
        <f t="shared" si="11"/>
        <v>-0.34499999999999997</v>
      </c>
      <c r="P69">
        <f t="shared" si="12"/>
        <v>1.6463768115942028</v>
      </c>
      <c r="Q69">
        <f t="shared" si="13"/>
        <v>1.4376811594202901</v>
      </c>
      <c r="R69">
        <f t="shared" si="5"/>
        <v>-1.4141009827872177</v>
      </c>
      <c r="T69">
        <v>-0.34499999999999997</v>
      </c>
      <c r="U69">
        <v>-0.34699999999999998</v>
      </c>
      <c r="V69" s="11">
        <f t="shared" si="14"/>
        <v>0.70364548359066248</v>
      </c>
      <c r="W69">
        <f t="shared" si="15"/>
        <v>-0.67484842496870967</v>
      </c>
      <c r="X69" s="13">
        <f t="shared" si="16"/>
        <v>-0.4451243074797967</v>
      </c>
      <c r="Y69" s="13">
        <v>5.4875692520203301E-2</v>
      </c>
    </row>
    <row r="70" spans="1:25" x14ac:dyDescent="0.25">
      <c r="A70" s="1">
        <v>1911</v>
      </c>
      <c r="B70" s="1">
        <f t="shared" si="6"/>
        <v>-0.55400000000000005</v>
      </c>
      <c r="C70" s="1">
        <f t="shared" si="7"/>
        <v>-0.54120132339596971</v>
      </c>
      <c r="D70" s="1">
        <f t="shared" si="0"/>
        <v>-4.766160849776413E-2</v>
      </c>
      <c r="E70" s="1">
        <f t="shared" si="8"/>
        <v>0.87861600960453268</v>
      </c>
      <c r="F70" s="1">
        <f t="shared" si="9"/>
        <v>1.2798676604030335E-2</v>
      </c>
      <c r="G70" s="9">
        <f t="shared" si="1"/>
        <v>0.87861600960453268</v>
      </c>
      <c r="H70" s="1">
        <f t="shared" si="2"/>
        <v>0.52890861894729646</v>
      </c>
      <c r="I70" s="1">
        <f t="shared" si="10"/>
        <v>1.3881803659540697</v>
      </c>
      <c r="J70" s="3">
        <f t="shared" si="3"/>
        <v>1.3881803659540697</v>
      </c>
      <c r="K70" s="3">
        <f t="shared" si="4"/>
        <v>0.87861600960453268</v>
      </c>
      <c r="L70" s="6">
        <v>-0.55400000000000005</v>
      </c>
      <c r="M70" s="4">
        <v>-0.57699999999999996</v>
      </c>
      <c r="N70" s="5">
        <v>-0.45200000000000001</v>
      </c>
      <c r="O70">
        <f t="shared" si="11"/>
        <v>-0.45200000000000001</v>
      </c>
      <c r="P70">
        <f t="shared" si="12"/>
        <v>1.2765486725663715</v>
      </c>
      <c r="Q70">
        <f t="shared" si="13"/>
        <v>1.2256637168141593</v>
      </c>
      <c r="R70">
        <f t="shared" si="5"/>
        <v>-1.2539793730177662</v>
      </c>
      <c r="T70">
        <v>-0.45200000000000001</v>
      </c>
      <c r="U70">
        <v>-0.44716699999999998</v>
      </c>
      <c r="V70" s="11">
        <f t="shared" si="14"/>
        <v>0.70817953813821077</v>
      </c>
      <c r="W70">
        <f t="shared" si="15"/>
        <v>-0.71087304401896623</v>
      </c>
      <c r="X70" s="13">
        <f t="shared" si="16"/>
        <v>-0.4494442018028279</v>
      </c>
      <c r="Y70" s="13">
        <v>5.0555798197172097E-2</v>
      </c>
    </row>
    <row r="71" spans="1:25" x14ac:dyDescent="0.25">
      <c r="A71" s="1">
        <v>1912</v>
      </c>
      <c r="B71" s="1">
        <f t="shared" si="6"/>
        <v>-0.44900000000000001</v>
      </c>
      <c r="C71" s="1">
        <f t="shared" si="7"/>
        <v>-0.45145557651328966</v>
      </c>
      <c r="D71" s="1">
        <f t="shared" si="0"/>
        <v>0</v>
      </c>
      <c r="E71" s="1">
        <f t="shared" si="8"/>
        <v>0.89056771389902989</v>
      </c>
      <c r="F71" s="1">
        <f t="shared" si="9"/>
        <v>2.4555765132896479E-3</v>
      </c>
      <c r="G71" s="9">
        <f t="shared" si="1"/>
        <v>0.89056771389902989</v>
      </c>
      <c r="H71" s="1">
        <f t="shared" si="2"/>
        <v>0.11610116902503864</v>
      </c>
      <c r="I71" s="1">
        <f t="shared" si="10"/>
        <v>0.89056771389902989</v>
      </c>
      <c r="J71" s="3">
        <f t="shared" si="3"/>
        <v>0.89056771389902989</v>
      </c>
      <c r="K71" s="3">
        <f t="shared" si="4"/>
        <v>0.65182670982800417</v>
      </c>
      <c r="L71" s="6">
        <v>-0.44900000000000001</v>
      </c>
      <c r="M71" s="4">
        <v>-0.44</v>
      </c>
      <c r="N71" s="5">
        <v>-0.48</v>
      </c>
      <c r="O71">
        <f t="shared" si="11"/>
        <v>-0.48</v>
      </c>
      <c r="P71">
        <f t="shared" si="12"/>
        <v>0.91666666666666674</v>
      </c>
      <c r="Q71">
        <f t="shared" si="13"/>
        <v>0.93541666666666667</v>
      </c>
      <c r="R71">
        <f t="shared" si="5"/>
        <v>-0.93030088226397978</v>
      </c>
      <c r="T71">
        <v>-0.48</v>
      </c>
      <c r="U71">
        <v>-0.47733300000000001</v>
      </c>
      <c r="V71" s="11">
        <f t="shared" si="14"/>
        <v>0.7124587083235383</v>
      </c>
      <c r="W71">
        <f t="shared" si="15"/>
        <v>-0.57817829509337493</v>
      </c>
      <c r="X71" s="13">
        <f t="shared" si="16"/>
        <v>-0.44402224431812609</v>
      </c>
      <c r="Y71" s="13">
        <v>5.5977755681873902E-2</v>
      </c>
    </row>
    <row r="72" spans="1:25" x14ac:dyDescent="0.25">
      <c r="A72" s="1">
        <v>1913</v>
      </c>
      <c r="B72" s="1">
        <f t="shared" si="6"/>
        <v>-0.439</v>
      </c>
      <c r="C72" s="1">
        <f t="shared" si="7"/>
        <v>-0.43835160693712438</v>
      </c>
      <c r="D72" s="1">
        <f t="shared" si="0"/>
        <v>-3.1748980027127172E-2</v>
      </c>
      <c r="E72" s="1">
        <f t="shared" si="8"/>
        <v>0.86287123955468414</v>
      </c>
      <c r="F72" s="1">
        <f t="shared" si="9"/>
        <v>6.4839306287561849E-4</v>
      </c>
      <c r="G72" s="9">
        <f t="shared" si="1"/>
        <v>0.86287123955468414</v>
      </c>
      <c r="H72" s="1">
        <f t="shared" si="2"/>
        <v>0.43808544752212453</v>
      </c>
      <c r="I72" s="1">
        <f t="shared" si="10"/>
        <v>1.326625735663576</v>
      </c>
      <c r="J72" s="3">
        <f t="shared" si="3"/>
        <v>1.326625735663576</v>
      </c>
      <c r="K72" s="3">
        <f t="shared" si="4"/>
        <v>0.86287123955468414</v>
      </c>
      <c r="L72" s="6">
        <v>-0.439</v>
      </c>
      <c r="M72" s="4">
        <v>-0.47099999999999997</v>
      </c>
      <c r="N72" s="5">
        <v>-0.35699999999999998</v>
      </c>
      <c r="O72">
        <f t="shared" si="11"/>
        <v>-0.35699999999999998</v>
      </c>
      <c r="P72">
        <f t="shared" si="12"/>
        <v>1.319327731092437</v>
      </c>
      <c r="Q72">
        <f t="shared" si="13"/>
        <v>1.2296918767507004</v>
      </c>
      <c r="R72">
        <f t="shared" si="5"/>
        <v>-1.2315081038175788</v>
      </c>
      <c r="T72">
        <v>-0.35699999999999998</v>
      </c>
      <c r="U72">
        <v>-0.35016700000000001</v>
      </c>
      <c r="V72" s="11">
        <f t="shared" si="14"/>
        <v>0.71648089680820704</v>
      </c>
      <c r="W72">
        <f t="shared" si="15"/>
        <v>-0.5713541370787445</v>
      </c>
      <c r="X72" s="13">
        <f t="shared" si="16"/>
        <v>-0.42296912024122318</v>
      </c>
      <c r="Y72" s="13">
        <v>7.7030879758776802E-2</v>
      </c>
    </row>
    <row r="73" spans="1:25" x14ac:dyDescent="0.25">
      <c r="A73" s="1">
        <v>1914</v>
      </c>
      <c r="B73" s="1">
        <f t="shared" si="6"/>
        <v>-0.25800000000000001</v>
      </c>
      <c r="C73" s="1">
        <f t="shared" si="7"/>
        <v>-0.25413988682823574</v>
      </c>
      <c r="D73" s="1">
        <f t="shared" si="0"/>
        <v>-4.9999999999999989E-2</v>
      </c>
      <c r="E73" s="1">
        <f t="shared" si="8"/>
        <v>1</v>
      </c>
      <c r="F73" s="1">
        <f t="shared" si="9"/>
        <v>3.8601131717642678E-3</v>
      </c>
      <c r="G73" s="9">
        <f>+IF($H73 &gt; 0,IF($I73&lt;1, $I73, IF($K73&gt;1,1,$K73)), $K73)</f>
        <v>1</v>
      </c>
      <c r="H73" s="1">
        <f t="shared" si="2"/>
        <v>4.2738285515228718</v>
      </c>
      <c r="I73" s="1">
        <f t="shared" si="10"/>
        <v>3.2832508537349385</v>
      </c>
      <c r="J73" s="3">
        <f t="shared" si="3"/>
        <v>3.2832508537349385</v>
      </c>
      <c r="K73" s="3">
        <f t="shared" si="4"/>
        <v>1.8347549621640165</v>
      </c>
      <c r="L73" s="6">
        <v>-0.25800000000000001</v>
      </c>
      <c r="M73" s="4">
        <v>-0.316</v>
      </c>
      <c r="N73" s="5">
        <v>-0.1</v>
      </c>
      <c r="O73">
        <f t="shared" si="11"/>
        <v>-0.1</v>
      </c>
      <c r="P73">
        <f t="shared" si="12"/>
        <v>3.1599999999999997</v>
      </c>
      <c r="Q73">
        <f t="shared" si="13"/>
        <v>2.58</v>
      </c>
      <c r="R73">
        <f t="shared" si="5"/>
        <v>-2.618601131717643</v>
      </c>
      <c r="T73">
        <v>-0.1</v>
      </c>
      <c r="U73">
        <v>-0.112417</v>
      </c>
      <c r="V73" s="11">
        <f t="shared" si="14"/>
        <v>0.72024472523480654</v>
      </c>
      <c r="W73">
        <f t="shared" si="15"/>
        <v>-0.34172828112045261</v>
      </c>
      <c r="X73" s="13">
        <f t="shared" si="16"/>
        <v>-0.38251718091815601</v>
      </c>
      <c r="Y73" s="13">
        <v>0.11748281908184401</v>
      </c>
    </row>
    <row r="74" spans="1:25" x14ac:dyDescent="0.25">
      <c r="A74" s="1">
        <v>1915</v>
      </c>
      <c r="B74" s="1">
        <f t="shared" si="6"/>
        <v>-0.16400000000000001</v>
      </c>
      <c r="C74" s="1">
        <f t="shared" si="7"/>
        <v>-0.1698071834504141</v>
      </c>
      <c r="D74" s="1">
        <f t="shared" ref="D74:D137" si="17">$B74 - (1/2*($O74*($E74*$G$2+$G$1 )+$M74*($G$2+$G$1/$E74)))</f>
        <v>-1.0677942869361329E-2</v>
      </c>
      <c r="E74" s="1">
        <f t="shared" si="8"/>
        <v>0.94734816119454168</v>
      </c>
      <c r="F74" s="1">
        <f t="shared" si="9"/>
        <v>5.8071834504140885E-3</v>
      </c>
      <c r="G74" s="9">
        <f t="shared" ref="G74:G137" si="18">+IF($H74 &gt; 0,IF($I74&lt;1, $I74, IF($K74&gt;1,1,$K74)), $K74)</f>
        <v>0.94734816119454168</v>
      </c>
      <c r="H74" s="1">
        <f t="shared" ref="H74:H137" si="19">+$R74*$R74-4*$G$1*$G$2*$P74</f>
        <v>0.49358575716555864</v>
      </c>
      <c r="I74" s="1">
        <f t="shared" si="10"/>
        <v>1.4396030401750248</v>
      </c>
      <c r="J74" s="3">
        <f t="shared" ref="J74:J137" si="20">+IF($R74*$R74-4*$G$1*$G$2*$P74 &gt; 0,(-$R74+SQRT($R74*$R74-4*$G$1*$G$2*$P74))/2/$G$2)</f>
        <v>1.4396030401750248</v>
      </c>
      <c r="K74" s="3">
        <f t="shared" ref="K74:K137" si="21">-$R74/2/$G$2</f>
        <v>0.94734816119454168</v>
      </c>
      <c r="L74" s="6">
        <v>-0.16400000000000001</v>
      </c>
      <c r="M74" s="4">
        <v>-0.191</v>
      </c>
      <c r="N74" s="5">
        <v>-0.11700000000000001</v>
      </c>
      <c r="O74">
        <f t="shared" si="11"/>
        <v>-0.11700000000000001</v>
      </c>
      <c r="P74">
        <f t="shared" si="12"/>
        <v>1.6324786324786325</v>
      </c>
      <c r="Q74">
        <f t="shared" si="13"/>
        <v>1.4017094017094016</v>
      </c>
      <c r="R74">
        <f t="shared" ref="R74:R137" si="22">+$G$1+$P74*$G$2-2*$Q74</f>
        <v>-1.3520753551246656</v>
      </c>
      <c r="T74">
        <v>-0.11700000000000001</v>
      </c>
      <c r="U74">
        <v>-0.13991700000000001</v>
      </c>
      <c r="V74" s="11">
        <f t="shared" si="14"/>
        <v>0.72374959383159876</v>
      </c>
      <c r="W74">
        <f t="shared" si="15"/>
        <v>-0.22183184266982006</v>
      </c>
      <c r="X74" s="13">
        <f t="shared" si="16"/>
        <v>-0.38183748254445898</v>
      </c>
      <c r="Y74" s="13">
        <v>0.118162517455541</v>
      </c>
    </row>
    <row r="75" spans="1:25" x14ac:dyDescent="0.25">
      <c r="A75" s="1">
        <v>1916</v>
      </c>
      <c r="B75" s="1">
        <f t="shared" ref="B75:B138" si="23">+$L75</f>
        <v>-0.39800000000000002</v>
      </c>
      <c r="C75" s="1">
        <f t="shared" ref="C75:C138" si="24">+$G$1*$N75+$G$2*$M75</f>
        <v>-0.39784971645884531</v>
      </c>
      <c r="D75" s="1">
        <f t="shared" si="17"/>
        <v>-1.926259311267664E-2</v>
      </c>
      <c r="E75" s="1">
        <f t="shared" ref="E75:E138" si="25">+$G75</f>
        <v>0.71530480438769128</v>
      </c>
      <c r="F75" s="1">
        <f t="shared" ref="F75:F138" si="26">+ABS($B75-$C75)</f>
        <v>1.5028354115470544E-4</v>
      </c>
      <c r="G75" s="9">
        <f t="shared" si="18"/>
        <v>0.71530480438769128</v>
      </c>
      <c r="H75" s="1">
        <f t="shared" si="19"/>
        <v>0.20169380432741857</v>
      </c>
      <c r="I75" s="1">
        <f t="shared" ref="I75:I138" si="27">+(-$R75+SQRT($R75*$R75-4*$G$1*$G$2*$P75))/2/$G$2</f>
        <v>1.0299745568838878</v>
      </c>
      <c r="J75" s="3">
        <f t="shared" si="20"/>
        <v>1.0299745568838878</v>
      </c>
      <c r="K75" s="3">
        <f t="shared" si="21"/>
        <v>0.71530480438769128</v>
      </c>
      <c r="L75" s="6">
        <v>-0.39800000000000002</v>
      </c>
      <c r="M75" s="4">
        <v>-0.40100000000000002</v>
      </c>
      <c r="N75" s="5">
        <v>-0.39</v>
      </c>
      <c r="O75">
        <f t="shared" ref="O75:O138" si="28">+$N75+$N$1</f>
        <v>-0.39</v>
      </c>
      <c r="P75">
        <f t="shared" ref="P75:P138" si="29">+$M75/($O75)</f>
        <v>1.0282051282051283</v>
      </c>
      <c r="Q75">
        <f t="shared" ref="Q75:Q138" si="30">+$L75/($O75)</f>
        <v>1.0205128205128204</v>
      </c>
      <c r="R75">
        <f t="shared" si="22"/>
        <v>-1.0208981629260374</v>
      </c>
      <c r="T75">
        <v>-0.39</v>
      </c>
      <c r="U75">
        <v>-0.39</v>
      </c>
      <c r="V75" s="11">
        <f t="shared" ref="V75:V138" si="31">-2.2979737161E-10*$A75^5 + 0.0000022285768284*$A75^4 - 0.0086436385146*$A75^3 + 16.759480306*$A75^2 - 16244.935412*$A75 + 6297344.9302</f>
        <v>0.72699561435729265</v>
      </c>
      <c r="W75">
        <f t="shared" ref="W75:W138" si="32">+$G$2*$M75/$V75+$G$1*$N75</f>
        <v>-0.50530888849821021</v>
      </c>
      <c r="X75" s="13">
        <f t="shared" ref="X75:X138" si="33">+$Y75+$X$1</f>
        <v>-0.4239697589021883</v>
      </c>
      <c r="Y75" s="13">
        <v>7.6030241097811702E-2</v>
      </c>
    </row>
    <row r="76" spans="1:25" x14ac:dyDescent="0.25">
      <c r="A76" s="1">
        <v>1917</v>
      </c>
      <c r="B76" s="1">
        <f t="shared" si="23"/>
        <v>-0.48099999999999998</v>
      </c>
      <c r="C76" s="1">
        <f t="shared" si="24"/>
        <v>-0.50434877091383379</v>
      </c>
      <c r="D76" s="1">
        <f t="shared" si="17"/>
        <v>2.003597192900608E-2</v>
      </c>
      <c r="E76" s="7">
        <f t="shared" si="25"/>
        <v>0.44412595585158871</v>
      </c>
      <c r="F76" s="1">
        <f t="shared" si="26"/>
        <v>2.3348770913833805E-2</v>
      </c>
      <c r="G76" s="9">
        <f t="shared" si="18"/>
        <v>0.44412595585158871</v>
      </c>
      <c r="H76" s="1">
        <f t="shared" si="19"/>
        <v>-7.0360779761094394E-2</v>
      </c>
      <c r="I76" s="1" t="e">
        <f t="shared" si="27"/>
        <v>#NUM!</v>
      </c>
      <c r="J76" s="3" t="b">
        <f t="shared" si="20"/>
        <v>0</v>
      </c>
      <c r="K76" s="3">
        <f t="shared" si="21"/>
        <v>0.44412595585158871</v>
      </c>
      <c r="L76" s="6">
        <v>-0.48099999999999998</v>
      </c>
      <c r="M76" s="4">
        <v>-0.41699999999999998</v>
      </c>
      <c r="N76" s="5">
        <v>-0.72199999999999998</v>
      </c>
      <c r="O76">
        <f t="shared" si="28"/>
        <v>-0.72199999999999998</v>
      </c>
      <c r="P76">
        <f t="shared" si="29"/>
        <v>0.57756232686980613</v>
      </c>
      <c r="Q76">
        <f t="shared" si="30"/>
        <v>0.66620498614958445</v>
      </c>
      <c r="R76">
        <f t="shared" si="22"/>
        <v>-0.63386596826338804</v>
      </c>
      <c r="T76">
        <v>-0.72199999999999998</v>
      </c>
      <c r="U76">
        <v>-0.69916699999999998</v>
      </c>
      <c r="V76" s="11">
        <f t="shared" si="31"/>
        <v>0.7299835504963994</v>
      </c>
      <c r="W76">
        <f t="shared" si="32"/>
        <v>-0.61442017036622742</v>
      </c>
      <c r="X76" s="13">
        <f t="shared" si="33"/>
        <v>-0.44655965594904939</v>
      </c>
      <c r="Y76" s="13">
        <v>5.3440344050950599E-2</v>
      </c>
    </row>
    <row r="77" spans="1:25" x14ac:dyDescent="0.25">
      <c r="A77" s="1">
        <v>1918</v>
      </c>
      <c r="B77" s="1">
        <f t="shared" si="23"/>
        <v>-0.34300000000000003</v>
      </c>
      <c r="C77" s="1">
        <f t="shared" si="24"/>
        <v>-0.37649810952172091</v>
      </c>
      <c r="D77" s="1">
        <f t="shared" si="17"/>
        <v>2.573361077897901E-2</v>
      </c>
      <c r="E77" s="7">
        <f t="shared" si="25"/>
        <v>0.481902869161703</v>
      </c>
      <c r="F77" s="1">
        <f t="shared" si="26"/>
        <v>3.3498109521720887E-2</v>
      </c>
      <c r="G77" s="9">
        <f t="shared" si="18"/>
        <v>0.481902869161703</v>
      </c>
      <c r="H77" s="1">
        <f t="shared" si="19"/>
        <v>-0.15732545550471538</v>
      </c>
      <c r="I77" s="1" t="e">
        <f t="shared" si="27"/>
        <v>#NUM!</v>
      </c>
      <c r="J77" s="3" t="b">
        <f t="shared" si="20"/>
        <v>0</v>
      </c>
      <c r="K77" s="3">
        <f t="shared" si="21"/>
        <v>0.481902869161703</v>
      </c>
      <c r="L77" s="6">
        <v>-0.34300000000000003</v>
      </c>
      <c r="M77" s="4">
        <v>-0.34699999999999998</v>
      </c>
      <c r="N77" s="5">
        <v>-0.45</v>
      </c>
      <c r="O77">
        <f t="shared" si="28"/>
        <v>-0.45</v>
      </c>
      <c r="P77">
        <f t="shared" si="29"/>
        <v>0.77111111111111108</v>
      </c>
      <c r="Q77">
        <f t="shared" si="30"/>
        <v>0.76222222222222225</v>
      </c>
      <c r="R77">
        <f t="shared" si="22"/>
        <v>-0.68778197884062031</v>
      </c>
      <c r="T77">
        <v>-0.45</v>
      </c>
      <c r="U77">
        <v>-0.43924999999999997</v>
      </c>
      <c r="V77" s="11">
        <f t="shared" si="31"/>
        <v>0.73271480295807123</v>
      </c>
      <c r="W77">
        <f t="shared" si="32"/>
        <v>-0.4668278371789355</v>
      </c>
      <c r="X77" s="13">
        <f t="shared" si="33"/>
        <v>-0.43139886398325367</v>
      </c>
      <c r="Y77" s="13">
        <v>6.8601136016746306E-2</v>
      </c>
    </row>
    <row r="78" spans="1:25" x14ac:dyDescent="0.25">
      <c r="A78" s="1">
        <v>1919</v>
      </c>
      <c r="B78" s="1">
        <f t="shared" si="23"/>
        <v>-0.28399999999999997</v>
      </c>
      <c r="C78" s="1">
        <f t="shared" si="24"/>
        <v>-0.32384971645884536</v>
      </c>
      <c r="D78" s="1">
        <f t="shared" si="17"/>
        <v>2.5458393655481304E-2</v>
      </c>
      <c r="E78" s="7">
        <f t="shared" si="25"/>
        <v>0.54135090864268798</v>
      </c>
      <c r="F78" s="1">
        <f t="shared" si="26"/>
        <v>3.9849716458845386E-2</v>
      </c>
      <c r="G78" s="9">
        <f t="shared" si="18"/>
        <v>0.54135090864268798</v>
      </c>
      <c r="H78" s="1">
        <f t="shared" si="19"/>
        <v>-0.24898550029995581</v>
      </c>
      <c r="I78" s="1" t="e">
        <f t="shared" si="27"/>
        <v>#NUM!</v>
      </c>
      <c r="J78" s="3" t="b">
        <f t="shared" si="20"/>
        <v>0</v>
      </c>
      <c r="K78" s="3">
        <f t="shared" si="21"/>
        <v>0.54135090864268798</v>
      </c>
      <c r="L78" s="6">
        <v>-0.28399999999999997</v>
      </c>
      <c r="M78" s="4">
        <v>-0.32700000000000001</v>
      </c>
      <c r="N78" s="5">
        <v>-0.316</v>
      </c>
      <c r="O78">
        <f t="shared" si="28"/>
        <v>-0.316</v>
      </c>
      <c r="P78">
        <f t="shared" si="29"/>
        <v>1.0348101265822784</v>
      </c>
      <c r="Q78">
        <f t="shared" si="30"/>
        <v>0.89873417721518978</v>
      </c>
      <c r="R78">
        <f t="shared" si="22"/>
        <v>-0.77262747956061584</v>
      </c>
      <c r="T78">
        <v>-0.316</v>
      </c>
      <c r="U78">
        <v>-0.32641700000000001</v>
      </c>
      <c r="V78" s="11">
        <f t="shared" si="31"/>
        <v>0.73519144672900438</v>
      </c>
      <c r="W78">
        <f t="shared" si="32"/>
        <v>-0.40790027428973341</v>
      </c>
      <c r="X78" s="13">
        <f t="shared" si="33"/>
        <v>-0.40602768060956018</v>
      </c>
      <c r="Y78" s="13">
        <v>9.3972319390439804E-2</v>
      </c>
    </row>
    <row r="79" spans="1:25" x14ac:dyDescent="0.25">
      <c r="A79" s="1">
        <v>1920</v>
      </c>
      <c r="B79" s="1">
        <f t="shared" si="23"/>
        <v>-0.252</v>
      </c>
      <c r="C79" s="1">
        <f t="shared" si="24"/>
        <v>-0.27371833647699345</v>
      </c>
      <c r="D79" s="1">
        <f t="shared" si="17"/>
        <v>9.5373198408865156E-3</v>
      </c>
      <c r="E79" s="7">
        <f t="shared" si="25"/>
        <v>0.58039449143008759</v>
      </c>
      <c r="F79" s="1">
        <f t="shared" si="26"/>
        <v>2.1718336476993449E-2</v>
      </c>
      <c r="G79" s="9">
        <f t="shared" si="18"/>
        <v>0.58039449143008759</v>
      </c>
      <c r="H79" s="1">
        <f t="shared" si="19"/>
        <v>-0.11367268146112131</v>
      </c>
      <c r="I79" s="1" t="e">
        <f t="shared" si="27"/>
        <v>#NUM!</v>
      </c>
      <c r="J79" s="3" t="b">
        <f t="shared" si="20"/>
        <v>0</v>
      </c>
      <c r="K79" s="3">
        <f t="shared" si="21"/>
        <v>0.58039449143008759</v>
      </c>
      <c r="L79" s="6">
        <v>-0.252</v>
      </c>
      <c r="M79" s="4">
        <v>-0.27200000000000002</v>
      </c>
      <c r="N79" s="5">
        <v>-0.27800000000000002</v>
      </c>
      <c r="O79">
        <f t="shared" si="28"/>
        <v>-0.27800000000000002</v>
      </c>
      <c r="P79">
        <f t="shared" si="29"/>
        <v>0.97841726618705038</v>
      </c>
      <c r="Q79">
        <f t="shared" si="30"/>
        <v>0.90647482014388481</v>
      </c>
      <c r="R79">
        <f t="shared" si="22"/>
        <v>-0.82835130763671416</v>
      </c>
      <c r="T79">
        <v>-0.27800000000000002</v>
      </c>
      <c r="U79">
        <v>-0.283167</v>
      </c>
      <c r="V79" s="11">
        <f t="shared" si="31"/>
        <v>0.73741611186414957</v>
      </c>
      <c r="W79">
        <f t="shared" si="32"/>
        <v>-0.34283545768629931</v>
      </c>
      <c r="X79" s="13">
        <f t="shared" si="33"/>
        <v>-0.395272480467382</v>
      </c>
      <c r="Y79" s="13">
        <v>0.104727519532618</v>
      </c>
    </row>
    <row r="80" spans="1:25" x14ac:dyDescent="0.25">
      <c r="A80" s="1">
        <v>1921</v>
      </c>
      <c r="B80" s="1">
        <f t="shared" si="23"/>
        <v>-0.19</v>
      </c>
      <c r="C80" s="1">
        <f t="shared" si="24"/>
        <v>-0.19733742926764733</v>
      </c>
      <c r="D80" s="1">
        <f t="shared" si="17"/>
        <v>-2.1500000000000019E-2</v>
      </c>
      <c r="E80" s="1">
        <f t="shared" si="25"/>
        <v>1</v>
      </c>
      <c r="F80" s="1">
        <f t="shared" si="26"/>
        <v>7.3374292676473274E-3</v>
      </c>
      <c r="G80" s="9">
        <f t="shared" si="18"/>
        <v>1</v>
      </c>
      <c r="H80" s="1">
        <f t="shared" si="19"/>
        <v>1.3606619124547845</v>
      </c>
      <c r="I80" s="1">
        <f t="shared" si="27"/>
        <v>2.0844803138073549</v>
      </c>
      <c r="J80" s="3">
        <f t="shared" si="20"/>
        <v>2.0844803138073549</v>
      </c>
      <c r="K80" s="3">
        <f t="shared" si="21"/>
        <v>1.2671759197538093</v>
      </c>
      <c r="L80" s="6">
        <v>-0.19</v>
      </c>
      <c r="M80" s="4">
        <v>-0.23599999999999999</v>
      </c>
      <c r="N80" s="5">
        <v>-0.10100000000000001</v>
      </c>
      <c r="O80">
        <f t="shared" si="28"/>
        <v>-0.10100000000000001</v>
      </c>
      <c r="P80">
        <f t="shared" si="29"/>
        <v>2.3366336633663365</v>
      </c>
      <c r="Q80">
        <f t="shared" si="30"/>
        <v>1.8811881188118811</v>
      </c>
      <c r="R80">
        <f t="shared" si="22"/>
        <v>-1.8085403042807193</v>
      </c>
      <c r="T80">
        <v>-0.10100000000000001</v>
      </c>
      <c r="U80">
        <v>-0.10324999999999999</v>
      </c>
      <c r="V80" s="11">
        <f t="shared" si="31"/>
        <v>0.73939200583845377</v>
      </c>
      <c r="W80">
        <f t="shared" si="32"/>
        <v>-0.25669638751268431</v>
      </c>
      <c r="X80" s="13">
        <f t="shared" si="33"/>
        <v>-0.362301058478111</v>
      </c>
      <c r="Y80" s="13">
        <v>0.137698941521889</v>
      </c>
    </row>
    <row r="81" spans="1:25" x14ac:dyDescent="0.25">
      <c r="A81" s="1">
        <v>1922</v>
      </c>
      <c r="B81" s="1">
        <f t="shared" si="23"/>
        <v>-0.309</v>
      </c>
      <c r="C81" s="1">
        <f t="shared" si="24"/>
        <v>-0.31225330818405239</v>
      </c>
      <c r="D81" s="1">
        <f t="shared" si="17"/>
        <v>-1.5858123079298347E-2</v>
      </c>
      <c r="E81" s="1">
        <f t="shared" si="25"/>
        <v>0.77059411934124722</v>
      </c>
      <c r="F81" s="1">
        <f t="shared" si="26"/>
        <v>3.2533081840523947E-3</v>
      </c>
      <c r="G81" s="9">
        <f t="shared" si="18"/>
        <v>0.77059411934124722</v>
      </c>
      <c r="H81" s="1">
        <f t="shared" si="19"/>
        <v>0.25094812224551544</v>
      </c>
      <c r="I81" s="1">
        <f t="shared" si="27"/>
        <v>1.1215889294088077</v>
      </c>
      <c r="J81" s="3">
        <f t="shared" si="20"/>
        <v>1.1215889294088077</v>
      </c>
      <c r="K81" s="3">
        <f t="shared" si="21"/>
        <v>0.77059411934124722</v>
      </c>
      <c r="L81" s="6">
        <v>-0.309</v>
      </c>
      <c r="M81" s="4">
        <v>-0.32600000000000001</v>
      </c>
      <c r="N81" s="5">
        <v>-0.27800000000000002</v>
      </c>
      <c r="O81">
        <f t="shared" si="28"/>
        <v>-0.27800000000000002</v>
      </c>
      <c r="P81">
        <f t="shared" si="29"/>
        <v>1.1726618705035972</v>
      </c>
      <c r="Q81">
        <f t="shared" si="30"/>
        <v>1.1115107913669064</v>
      </c>
      <c r="R81">
        <f t="shared" si="22"/>
        <v>-1.0998082439422576</v>
      </c>
      <c r="T81">
        <v>-0.27800000000000002</v>
      </c>
      <c r="U81">
        <v>-0.27925</v>
      </c>
      <c r="V81" s="11">
        <f t="shared" si="31"/>
        <v>0.74112288374453783</v>
      </c>
      <c r="W81">
        <f t="shared" si="32"/>
        <v>-0.39351433833959304</v>
      </c>
      <c r="X81" s="13">
        <f t="shared" si="33"/>
        <v>-0.38666402567547498</v>
      </c>
      <c r="Y81" s="13">
        <v>0.113335974324525</v>
      </c>
    </row>
    <row r="82" spans="1:25" x14ac:dyDescent="0.25">
      <c r="A82" s="1">
        <v>1923</v>
      </c>
      <c r="B82" s="1">
        <f t="shared" si="23"/>
        <v>-0.27500000000000002</v>
      </c>
      <c r="C82" s="1">
        <f t="shared" si="24"/>
        <v>-0.29282608700971685</v>
      </c>
      <c r="D82" s="1">
        <f t="shared" si="17"/>
        <v>0</v>
      </c>
      <c r="E82" s="1">
        <f t="shared" si="25"/>
        <v>0.78240622116677794</v>
      </c>
      <c r="F82" s="1">
        <f t="shared" si="26"/>
        <v>1.7826087009716829E-2</v>
      </c>
      <c r="G82" s="9">
        <f t="shared" si="18"/>
        <v>0.78240622116677794</v>
      </c>
      <c r="H82" s="1">
        <f t="shared" si="19"/>
        <v>1.626550557382922E-2</v>
      </c>
      <c r="I82" s="1">
        <f t="shared" si="27"/>
        <v>0.78240622116677794</v>
      </c>
      <c r="J82" s="3">
        <f t="shared" si="20"/>
        <v>0.78240622116677794</v>
      </c>
      <c r="K82" s="3">
        <f t="shared" si="21"/>
        <v>0.69304635634944967</v>
      </c>
      <c r="L82" s="6">
        <v>-0.27500000000000002</v>
      </c>
      <c r="M82" s="4">
        <v>-0.30599999999999999</v>
      </c>
      <c r="N82" s="5">
        <v>-0.26</v>
      </c>
      <c r="O82">
        <f t="shared" si="28"/>
        <v>-0.26</v>
      </c>
      <c r="P82">
        <f t="shared" si="29"/>
        <v>1.176923076923077</v>
      </c>
      <c r="Q82">
        <f t="shared" si="30"/>
        <v>1.0576923076923077</v>
      </c>
      <c r="R82">
        <f t="shared" si="22"/>
        <v>-0.98913043457801209</v>
      </c>
      <c r="T82">
        <v>-0.26</v>
      </c>
      <c r="U82">
        <v>-0.25858300000000001</v>
      </c>
      <c r="V82" s="11">
        <f t="shared" si="31"/>
        <v>0.7426129961386323</v>
      </c>
      <c r="W82">
        <f t="shared" si="32"/>
        <v>-0.36851055809281519</v>
      </c>
      <c r="X82" s="13">
        <f t="shared" si="33"/>
        <v>-0.37958910533968299</v>
      </c>
      <c r="Y82" s="13">
        <v>0.120410894660317</v>
      </c>
    </row>
    <row r="83" spans="1:25" x14ac:dyDescent="0.25">
      <c r="A83" s="1">
        <v>1924</v>
      </c>
      <c r="B83" s="1">
        <f t="shared" si="23"/>
        <v>-0.3</v>
      </c>
      <c r="C83" s="1">
        <f t="shared" si="24"/>
        <v>-0.30061058594426998</v>
      </c>
      <c r="D83" s="1">
        <f t="shared" si="17"/>
        <v>0</v>
      </c>
      <c r="E83" s="1">
        <f t="shared" si="25"/>
        <v>0.82061641613347347</v>
      </c>
      <c r="F83" s="1">
        <f t="shared" si="26"/>
        <v>6.1058594426999235E-4</v>
      </c>
      <c r="G83" s="9">
        <f t="shared" si="18"/>
        <v>0.82061641613347347</v>
      </c>
      <c r="H83" s="1">
        <f t="shared" si="19"/>
        <v>8.7493783801543601E-2</v>
      </c>
      <c r="I83" s="1">
        <f t="shared" si="27"/>
        <v>0.82061641613347347</v>
      </c>
      <c r="J83" s="3">
        <f t="shared" si="20"/>
        <v>0.82061641613347347</v>
      </c>
      <c r="K83" s="3">
        <f t="shared" si="21"/>
        <v>0.61336508957371538</v>
      </c>
      <c r="L83" s="6">
        <v>-0.3</v>
      </c>
      <c r="M83" s="4">
        <v>-0.28399999999999997</v>
      </c>
      <c r="N83" s="5">
        <v>-0.34200000000000003</v>
      </c>
      <c r="O83">
        <f t="shared" si="28"/>
        <v>-0.34200000000000003</v>
      </c>
      <c r="P83">
        <f t="shared" si="29"/>
        <v>0.83040935672514604</v>
      </c>
      <c r="Q83">
        <f t="shared" si="30"/>
        <v>0.8771929824561403</v>
      </c>
      <c r="R83">
        <f t="shared" si="22"/>
        <v>-0.87540764343780708</v>
      </c>
      <c r="T83">
        <v>-0.34200000000000003</v>
      </c>
      <c r="U83">
        <v>-0.34</v>
      </c>
      <c r="V83" s="11">
        <f t="shared" si="31"/>
        <v>0.7438671262934804</v>
      </c>
      <c r="W83">
        <f t="shared" si="32"/>
        <v>-0.37039357701671544</v>
      </c>
      <c r="X83" s="13">
        <f t="shared" si="33"/>
        <v>-0.362682722991159</v>
      </c>
      <c r="Y83" s="13">
        <v>0.137317277008841</v>
      </c>
    </row>
    <row r="84" spans="1:25" x14ac:dyDescent="0.25">
      <c r="A84" s="1">
        <v>1925</v>
      </c>
      <c r="B84" s="1">
        <f t="shared" si="23"/>
        <v>-0.219</v>
      </c>
      <c r="C84" s="1">
        <f t="shared" si="24"/>
        <v>-0.2429905482203486</v>
      </c>
      <c r="D84" s="1">
        <f t="shared" si="17"/>
        <v>1.1561265545390748E-2</v>
      </c>
      <c r="E84" s="7">
        <f t="shared" si="25"/>
        <v>0.58641957663794075</v>
      </c>
      <c r="F84" s="1">
        <f t="shared" si="26"/>
        <v>2.3990548220348601E-2</v>
      </c>
      <c r="G84" s="9">
        <f t="shared" si="18"/>
        <v>0.58641957663794075</v>
      </c>
      <c r="H84" s="1">
        <f t="shared" si="19"/>
        <v>-0.16611512872851741</v>
      </c>
      <c r="I84" s="1" t="e">
        <f t="shared" si="27"/>
        <v>#NUM!</v>
      </c>
      <c r="J84" s="3" t="b">
        <f t="shared" si="20"/>
        <v>0</v>
      </c>
      <c r="K84" s="3">
        <f t="shared" si="21"/>
        <v>0.58641957663794075</v>
      </c>
      <c r="L84" s="6">
        <v>-0.219</v>
      </c>
      <c r="M84" s="4">
        <v>-0.247</v>
      </c>
      <c r="N84" s="5">
        <v>-0.23300000000000001</v>
      </c>
      <c r="O84">
        <f t="shared" si="28"/>
        <v>-0.23300000000000001</v>
      </c>
      <c r="P84">
        <f t="shared" si="29"/>
        <v>1.0600858369098711</v>
      </c>
      <c r="Q84">
        <f t="shared" si="30"/>
        <v>0.93991416309012865</v>
      </c>
      <c r="R84">
        <f t="shared" si="22"/>
        <v>-0.836950436822538</v>
      </c>
      <c r="T84">
        <v>-0.23300000000000001</v>
      </c>
      <c r="U84">
        <v>-0.22650000000000001</v>
      </c>
      <c r="V84" s="11">
        <f t="shared" si="31"/>
        <v>0.74489045236259699</v>
      </c>
      <c r="W84">
        <f t="shared" si="32"/>
        <v>-0.30335656815729584</v>
      </c>
      <c r="X84" s="13">
        <f t="shared" si="33"/>
        <v>-0.36363192000760802</v>
      </c>
      <c r="Y84" s="13">
        <v>0.13636807999239201</v>
      </c>
    </row>
    <row r="85" spans="1:25" x14ac:dyDescent="0.25">
      <c r="A85" s="1">
        <v>1926</v>
      </c>
      <c r="B85" s="1">
        <f t="shared" si="23"/>
        <v>-0.112</v>
      </c>
      <c r="C85" s="1">
        <f t="shared" si="24"/>
        <v>-0.11224858229422668</v>
      </c>
      <c r="D85" s="1">
        <f t="shared" si="17"/>
        <v>-1.1499999999999996E-2</v>
      </c>
      <c r="E85" s="1">
        <f t="shared" si="25"/>
        <v>1</v>
      </c>
      <c r="F85" s="1">
        <f t="shared" si="26"/>
        <v>2.4858229422668188E-4</v>
      </c>
      <c r="G85" s="9">
        <f t="shared" si="18"/>
        <v>1</v>
      </c>
      <c r="H85" s="1">
        <f t="shared" si="19"/>
        <v>0.91008198798934092</v>
      </c>
      <c r="I85" s="1">
        <f t="shared" si="27"/>
        <v>1.7410220342507117</v>
      </c>
      <c r="J85" s="3">
        <f t="shared" si="20"/>
        <v>1.7410220342507117</v>
      </c>
      <c r="K85" s="3">
        <f t="shared" si="21"/>
        <v>1.0726027373773923</v>
      </c>
      <c r="L85" s="6">
        <v>-0.112</v>
      </c>
      <c r="M85" s="4">
        <v>-0.128</v>
      </c>
      <c r="N85" s="5">
        <v>-7.2999999999999995E-2</v>
      </c>
      <c r="O85">
        <f t="shared" si="28"/>
        <v>-7.2999999999999995E-2</v>
      </c>
      <c r="P85">
        <f t="shared" si="29"/>
        <v>1.7534246575342467</v>
      </c>
      <c r="Q85">
        <f t="shared" si="30"/>
        <v>1.5342465753424659</v>
      </c>
      <c r="R85">
        <f t="shared" si="22"/>
        <v>-1.5308413384352511</v>
      </c>
      <c r="T85">
        <v>-7.2999999999999995E-2</v>
      </c>
      <c r="U85">
        <v>-8.69167E-2</v>
      </c>
      <c r="V85" s="11">
        <f t="shared" si="31"/>
        <v>0.74568860325962305</v>
      </c>
      <c r="W85">
        <f t="shared" si="32"/>
        <v>-0.14340012592494722</v>
      </c>
      <c r="X85" s="13">
        <f t="shared" si="33"/>
        <v>-0.33866225393340099</v>
      </c>
      <c r="Y85" s="13">
        <v>0.16133774606659901</v>
      </c>
    </row>
    <row r="86" spans="1:25" x14ac:dyDescent="0.25">
      <c r="A86" s="1">
        <v>1927</v>
      </c>
      <c r="B86" s="1">
        <f t="shared" si="23"/>
        <v>-0.21299999999999999</v>
      </c>
      <c r="C86" s="1">
        <f t="shared" si="24"/>
        <v>-0.20660586005444431</v>
      </c>
      <c r="D86" s="1">
        <f t="shared" si="17"/>
        <v>0</v>
      </c>
      <c r="E86" s="1">
        <f t="shared" si="25"/>
        <v>0.92083991531552856</v>
      </c>
      <c r="F86" s="1">
        <f t="shared" si="26"/>
        <v>6.3941399455556824E-3</v>
      </c>
      <c r="G86" s="9">
        <f t="shared" si="18"/>
        <v>0.92083991531552856</v>
      </c>
      <c r="H86" s="1">
        <f t="shared" si="19"/>
        <v>0.16923817962268073</v>
      </c>
      <c r="I86" s="1">
        <f t="shared" si="27"/>
        <v>0.92083991531552856</v>
      </c>
      <c r="J86" s="3">
        <f t="shared" si="20"/>
        <v>0.92083991531552856</v>
      </c>
      <c r="K86" s="3">
        <f t="shared" si="21"/>
        <v>0.63259749730533288</v>
      </c>
      <c r="L86" s="6">
        <v>-0.21299999999999999</v>
      </c>
      <c r="M86" s="4">
        <v>-0.192</v>
      </c>
      <c r="N86" s="5">
        <v>-0.24299999999999999</v>
      </c>
      <c r="O86">
        <f t="shared" si="28"/>
        <v>-0.24299999999999999</v>
      </c>
      <c r="P86">
        <f t="shared" si="29"/>
        <v>0.79012345679012352</v>
      </c>
      <c r="Q86">
        <f t="shared" si="30"/>
        <v>0.87654320987654322</v>
      </c>
      <c r="R86">
        <f t="shared" si="22"/>
        <v>-0.90285654298582574</v>
      </c>
      <c r="T86">
        <v>-0.24299999999999999</v>
      </c>
      <c r="U86">
        <v>-0.247</v>
      </c>
      <c r="V86" s="11">
        <f t="shared" si="31"/>
        <v>0.74626765120774508</v>
      </c>
      <c r="W86">
        <f t="shared" si="32"/>
        <v>-0.25319060656129855</v>
      </c>
      <c r="X86" s="13">
        <f t="shared" si="33"/>
        <v>-0.36010301065150296</v>
      </c>
      <c r="Y86" s="13">
        <v>0.13989698934849701</v>
      </c>
    </row>
    <row r="87" spans="1:25" x14ac:dyDescent="0.25">
      <c r="A87" s="1">
        <v>1928</v>
      </c>
      <c r="B87" s="1">
        <f t="shared" si="23"/>
        <v>-0.21099999999999999</v>
      </c>
      <c r="C87" s="1">
        <f t="shared" si="24"/>
        <v>-0.20567107757873651</v>
      </c>
      <c r="D87" s="1">
        <f t="shared" si="17"/>
        <v>-2.0223423150975639E-2</v>
      </c>
      <c r="E87" s="1">
        <f t="shared" si="25"/>
        <v>0.94733443522682115</v>
      </c>
      <c r="F87" s="1">
        <f t="shared" si="26"/>
        <v>5.3289224212634823E-3</v>
      </c>
      <c r="G87" s="9">
        <f t="shared" si="18"/>
        <v>0.94733443522682115</v>
      </c>
      <c r="H87" s="1">
        <f t="shared" si="19"/>
        <v>0.68357989654996709</v>
      </c>
      <c r="I87" s="1">
        <f t="shared" si="27"/>
        <v>1.5266342114307923</v>
      </c>
      <c r="J87" s="3">
        <f t="shared" si="20"/>
        <v>1.5266342114307923</v>
      </c>
      <c r="K87" s="3">
        <f t="shared" si="21"/>
        <v>0.94733443522682115</v>
      </c>
      <c r="L87" s="6">
        <v>-0.21099999999999999</v>
      </c>
      <c r="M87" s="4">
        <v>-0.224</v>
      </c>
      <c r="N87" s="5">
        <v>-0.16</v>
      </c>
      <c r="O87">
        <f t="shared" si="28"/>
        <v>-0.16</v>
      </c>
      <c r="P87">
        <f t="shared" si="29"/>
        <v>1.4</v>
      </c>
      <c r="Q87">
        <f t="shared" si="30"/>
        <v>1.3187499999999999</v>
      </c>
      <c r="R87">
        <f t="shared" si="22"/>
        <v>-1.3520557651328966</v>
      </c>
      <c r="T87">
        <v>-0.16</v>
      </c>
      <c r="U87">
        <v>-0.16508300000000001</v>
      </c>
      <c r="V87" s="11">
        <f t="shared" si="31"/>
        <v>0.74663399253040552</v>
      </c>
      <c r="W87">
        <f t="shared" si="32"/>
        <v>-0.25991485089408783</v>
      </c>
      <c r="X87" s="13">
        <f t="shared" si="33"/>
        <v>-0.33687051143817304</v>
      </c>
      <c r="Y87" s="13">
        <v>0.16312948856182699</v>
      </c>
    </row>
    <row r="88" spans="1:25" x14ac:dyDescent="0.25">
      <c r="A88" s="1">
        <v>1929</v>
      </c>
      <c r="B88" s="1">
        <f t="shared" si="23"/>
        <v>-0.34899999999999998</v>
      </c>
      <c r="C88" s="1">
        <f t="shared" si="24"/>
        <v>-0.34998204137396471</v>
      </c>
      <c r="D88" s="1">
        <f t="shared" si="17"/>
        <v>0</v>
      </c>
      <c r="E88" s="1">
        <f t="shared" si="25"/>
        <v>0.59887189428034293</v>
      </c>
      <c r="F88" s="1">
        <f t="shared" si="26"/>
        <v>9.8204137396473712E-4</v>
      </c>
      <c r="G88" s="9">
        <f t="shared" si="18"/>
        <v>0.59887189428034293</v>
      </c>
      <c r="H88" s="1">
        <f t="shared" si="19"/>
        <v>1.7607614948168981E-2</v>
      </c>
      <c r="I88" s="1">
        <f t="shared" si="27"/>
        <v>0.59887189428034293</v>
      </c>
      <c r="J88" s="3">
        <f t="shared" si="20"/>
        <v>0.59887189428034293</v>
      </c>
      <c r="K88" s="3">
        <f t="shared" si="21"/>
        <v>0.50589843591776429</v>
      </c>
      <c r="L88" s="6">
        <v>-0.34899999999999998</v>
      </c>
      <c r="M88" s="4">
        <v>-0.29699999999999999</v>
      </c>
      <c r="N88" s="5">
        <v>-0.48199999999999998</v>
      </c>
      <c r="O88">
        <f t="shared" si="28"/>
        <v>-0.48199999999999998</v>
      </c>
      <c r="P88">
        <f t="shared" si="29"/>
        <v>0.61618257261410792</v>
      </c>
      <c r="Q88">
        <f t="shared" si="30"/>
        <v>0.72406639004149376</v>
      </c>
      <c r="R88">
        <f t="shared" si="22"/>
        <v>-0.72202895980505244</v>
      </c>
      <c r="T88">
        <v>-0.48199999999999998</v>
      </c>
      <c r="U88">
        <v>-0.47008299999999997</v>
      </c>
      <c r="V88" s="11">
        <f t="shared" si="31"/>
        <v>0.7467943774536252</v>
      </c>
      <c r="W88">
        <f t="shared" si="32"/>
        <v>-0.42184250909453602</v>
      </c>
      <c r="X88" s="13">
        <f t="shared" si="33"/>
        <v>-0.38741846307038297</v>
      </c>
      <c r="Y88" s="13">
        <v>0.112581536929617</v>
      </c>
    </row>
    <row r="89" spans="1:25" x14ac:dyDescent="0.25">
      <c r="A89" s="1">
        <v>1930</v>
      </c>
      <c r="B89" s="1">
        <f t="shared" si="23"/>
        <v>-0.13800000000000001</v>
      </c>
      <c r="C89" s="1">
        <f t="shared" si="24"/>
        <v>-0.13141304350485844</v>
      </c>
      <c r="D89" s="1">
        <f t="shared" si="17"/>
        <v>-1.3714839426871642E-2</v>
      </c>
      <c r="E89" s="1">
        <f t="shared" si="25"/>
        <v>0.88092715072827465</v>
      </c>
      <c r="F89" s="1">
        <f t="shared" si="26"/>
        <v>6.5869564951415716E-3</v>
      </c>
      <c r="G89" s="9">
        <f t="shared" si="18"/>
        <v>0.88092715072827465</v>
      </c>
      <c r="H89" s="1">
        <f t="shared" si="19"/>
        <v>0.59976919215151314</v>
      </c>
      <c r="I89" s="1">
        <f t="shared" si="27"/>
        <v>1.423553397459637</v>
      </c>
      <c r="J89" s="3">
        <f t="shared" si="20"/>
        <v>1.423553397459637</v>
      </c>
      <c r="K89" s="3">
        <f t="shared" si="21"/>
        <v>0.88092715072827465</v>
      </c>
      <c r="L89" s="6">
        <v>-0.13800000000000001</v>
      </c>
      <c r="M89" s="4">
        <v>-0.13800000000000001</v>
      </c>
      <c r="N89" s="5">
        <v>-0.115</v>
      </c>
      <c r="O89">
        <f t="shared" si="28"/>
        <v>-0.115</v>
      </c>
      <c r="P89">
        <f t="shared" si="29"/>
        <v>1.2</v>
      </c>
      <c r="Q89">
        <f t="shared" si="30"/>
        <v>1.2</v>
      </c>
      <c r="R89">
        <f t="shared" si="22"/>
        <v>-1.2572778825664483</v>
      </c>
      <c r="T89">
        <v>-0.115</v>
      </c>
      <c r="U89">
        <v>-0.11724999999999999</v>
      </c>
      <c r="V89" s="11">
        <f t="shared" si="31"/>
        <v>0.74675591010600328</v>
      </c>
      <c r="W89">
        <f t="shared" si="32"/>
        <v>-0.16480954864283659</v>
      </c>
      <c r="X89" s="13">
        <f t="shared" si="33"/>
        <v>-0.33389391199138596</v>
      </c>
      <c r="Y89" s="13">
        <v>0.16610608800861401</v>
      </c>
    </row>
    <row r="90" spans="1:25" x14ac:dyDescent="0.25">
      <c r="A90" s="1">
        <v>1931</v>
      </c>
      <c r="B90" s="1">
        <f t="shared" si="23"/>
        <v>-8.6999999999999994E-2</v>
      </c>
      <c r="C90" s="1">
        <f t="shared" si="24"/>
        <v>-9.5427221174335511E-2</v>
      </c>
      <c r="D90" s="1">
        <f t="shared" si="17"/>
        <v>3.8285416050838628E-3</v>
      </c>
      <c r="E90" s="7">
        <f t="shared" si="25"/>
        <v>0.58567000044272022</v>
      </c>
      <c r="F90" s="1">
        <f t="shared" si="26"/>
        <v>8.4272211743355169E-3</v>
      </c>
      <c r="G90" s="9">
        <f t="shared" si="18"/>
        <v>0.58567000044272022</v>
      </c>
      <c r="H90" s="1">
        <f t="shared" si="19"/>
        <v>-0.13617888309692583</v>
      </c>
      <c r="I90" s="1" t="e">
        <f t="shared" si="27"/>
        <v>#NUM!</v>
      </c>
      <c r="J90" s="3" t="b">
        <f t="shared" si="20"/>
        <v>0</v>
      </c>
      <c r="K90" s="3">
        <f t="shared" si="21"/>
        <v>0.58567000044272022</v>
      </c>
      <c r="L90" s="6">
        <v>-8.6999999999999994E-2</v>
      </c>
      <c r="M90" s="4">
        <v>-9.6000000000000002E-2</v>
      </c>
      <c r="N90" s="5">
        <v>-9.4E-2</v>
      </c>
      <c r="O90">
        <f t="shared" si="28"/>
        <v>-9.4E-2</v>
      </c>
      <c r="P90">
        <f t="shared" si="29"/>
        <v>1.0212765957446808</v>
      </c>
      <c r="Q90">
        <f t="shared" si="30"/>
        <v>0.92553191489361697</v>
      </c>
      <c r="R90">
        <f t="shared" si="22"/>
        <v>-0.83588062580494138</v>
      </c>
      <c r="T90">
        <v>-9.4E-2</v>
      </c>
      <c r="U90">
        <v>-0.10166699999999999</v>
      </c>
      <c r="V90" s="11">
        <f t="shared" si="31"/>
        <v>0.74652595166116953</v>
      </c>
      <c r="W90">
        <f t="shared" si="32"/>
        <v>-0.11868783167311173</v>
      </c>
      <c r="X90" s="13">
        <f t="shared" si="33"/>
        <v>-0.32313941341074603</v>
      </c>
      <c r="Y90" s="13">
        <v>0.17686058658925399</v>
      </c>
    </row>
    <row r="91" spans="1:25" x14ac:dyDescent="0.25">
      <c r="A91" s="1">
        <v>1932</v>
      </c>
      <c r="B91" s="1">
        <f t="shared" si="23"/>
        <v>-0.13500000000000001</v>
      </c>
      <c r="C91" s="1">
        <f t="shared" si="24"/>
        <v>-0.14022495284509823</v>
      </c>
      <c r="D91" s="1">
        <f t="shared" si="17"/>
        <v>-1.4000000000000012E-2</v>
      </c>
      <c r="E91" s="1">
        <f t="shared" si="25"/>
        <v>1</v>
      </c>
      <c r="F91" s="1">
        <f t="shared" si="26"/>
        <v>5.2249528450982186E-3</v>
      </c>
      <c r="G91" s="9">
        <f t="shared" si="18"/>
        <v>1</v>
      </c>
      <c r="H91" s="1">
        <f t="shared" si="19"/>
        <v>1.1302301058957007</v>
      </c>
      <c r="I91" s="1">
        <f t="shared" si="27"/>
        <v>1.9413173432603938</v>
      </c>
      <c r="J91" s="3">
        <f t="shared" si="20"/>
        <v>1.9413173432603938</v>
      </c>
      <c r="K91" s="3">
        <f t="shared" si="21"/>
        <v>1.1964273236962901</v>
      </c>
      <c r="L91" s="6">
        <v>-0.13500000000000001</v>
      </c>
      <c r="M91" s="4">
        <v>-0.16600000000000001</v>
      </c>
      <c r="N91" s="5">
        <v>-7.5999999999999998E-2</v>
      </c>
      <c r="O91">
        <f t="shared" si="28"/>
        <v>-7.5999999999999998E-2</v>
      </c>
      <c r="P91">
        <f t="shared" si="29"/>
        <v>2.1842105263157898</v>
      </c>
      <c r="Q91">
        <f t="shared" si="30"/>
        <v>1.7763157894736843</v>
      </c>
      <c r="R91">
        <f t="shared" si="22"/>
        <v>-1.707566409932918</v>
      </c>
      <c r="T91">
        <v>-7.5999999999999998E-2</v>
      </c>
      <c r="U91">
        <v>-8.4416699999999997E-2</v>
      </c>
      <c r="V91" s="11">
        <f t="shared" si="31"/>
        <v>0.74611215759068727</v>
      </c>
      <c r="W91">
        <f t="shared" si="32"/>
        <v>-0.18053442961107308</v>
      </c>
      <c r="X91" s="13">
        <f t="shared" si="33"/>
        <v>-0.32041504838235702</v>
      </c>
      <c r="Y91" s="13">
        <v>0.17958495161764301</v>
      </c>
    </row>
    <row r="92" spans="1:25" x14ac:dyDescent="0.25">
      <c r="A92" s="1">
        <v>1933</v>
      </c>
      <c r="B92" s="1">
        <f t="shared" si="23"/>
        <v>-0.27300000000000002</v>
      </c>
      <c r="C92" s="1">
        <f t="shared" si="24"/>
        <v>-0.26577977304472744</v>
      </c>
      <c r="D92" s="1">
        <f t="shared" si="17"/>
        <v>0</v>
      </c>
      <c r="E92" s="1">
        <f t="shared" si="25"/>
        <v>0.82770817686359088</v>
      </c>
      <c r="F92" s="1">
        <f t="shared" si="26"/>
        <v>7.2202269552725795E-3</v>
      </c>
      <c r="G92" s="9">
        <f t="shared" si="18"/>
        <v>0.82770817686359088</v>
      </c>
      <c r="H92" s="1">
        <f t="shared" si="19"/>
        <v>0.1189176235003585</v>
      </c>
      <c r="I92" s="1">
        <f t="shared" si="27"/>
        <v>0.82770817686359088</v>
      </c>
      <c r="J92" s="3">
        <f t="shared" si="20"/>
        <v>0.82770817686359088</v>
      </c>
      <c r="K92" s="3">
        <f t="shared" si="21"/>
        <v>0.58608876077540728</v>
      </c>
      <c r="L92" s="6">
        <v>-0.27300000000000002</v>
      </c>
      <c r="M92" s="4">
        <v>-0.23799999999999999</v>
      </c>
      <c r="N92" s="5">
        <v>-0.33500000000000002</v>
      </c>
      <c r="O92">
        <f t="shared" si="28"/>
        <v>-0.33500000000000002</v>
      </c>
      <c r="P92">
        <f t="shared" si="29"/>
        <v>0.71044776119402975</v>
      </c>
      <c r="Q92">
        <f t="shared" si="30"/>
        <v>0.81492537313432833</v>
      </c>
      <c r="R92">
        <f t="shared" si="22"/>
        <v>-0.83647828941872415</v>
      </c>
      <c r="T92">
        <v>-0.33500000000000002</v>
      </c>
      <c r="U92">
        <v>-0.32450000000000001</v>
      </c>
      <c r="V92" s="11">
        <f t="shared" si="31"/>
        <v>0.74552237335592508</v>
      </c>
      <c r="W92">
        <f t="shared" si="32"/>
        <v>-0.32375295875239957</v>
      </c>
      <c r="X92" s="13">
        <f t="shared" si="33"/>
        <v>-0.36837399607061699</v>
      </c>
      <c r="Y92" s="13">
        <v>0.13162600392938301</v>
      </c>
    </row>
    <row r="93" spans="1:25" x14ac:dyDescent="0.25">
      <c r="A93" s="1">
        <v>1934</v>
      </c>
      <c r="B93" s="1">
        <f t="shared" si="23"/>
        <v>-0.126</v>
      </c>
      <c r="C93" s="1">
        <f t="shared" si="24"/>
        <v>-0.13744990569019644</v>
      </c>
      <c r="D93" s="1">
        <f t="shared" si="17"/>
        <v>-2.6999999999999996E-2</v>
      </c>
      <c r="E93" s="1">
        <f t="shared" si="25"/>
        <v>1</v>
      </c>
      <c r="F93" s="1">
        <f t="shared" si="26"/>
        <v>1.1449905690196438E-2</v>
      </c>
      <c r="G93" s="9">
        <f t="shared" si="18"/>
        <v>1</v>
      </c>
      <c r="H93" s="1">
        <f t="shared" si="19"/>
        <v>144.82947047379938</v>
      </c>
      <c r="I93" s="1">
        <f t="shared" si="27"/>
        <v>17.3500087754005</v>
      </c>
      <c r="J93" s="3">
        <f t="shared" si="20"/>
        <v>17.3500087754005</v>
      </c>
      <c r="K93" s="3">
        <f t="shared" si="21"/>
        <v>8.9178807640453019</v>
      </c>
      <c r="L93" s="6">
        <v>-0.126</v>
      </c>
      <c r="M93" s="4">
        <v>-0.189</v>
      </c>
      <c r="N93" s="5">
        <v>-8.9999999999999993E-3</v>
      </c>
      <c r="O93">
        <f t="shared" si="28"/>
        <v>-8.9999999999999993E-3</v>
      </c>
      <c r="P93">
        <f t="shared" si="29"/>
        <v>21</v>
      </c>
      <c r="Q93">
        <f t="shared" si="30"/>
        <v>14.000000000000002</v>
      </c>
      <c r="R93">
        <f t="shared" si="22"/>
        <v>-12.727788256644844</v>
      </c>
      <c r="T93">
        <v>-8.9999999999999993E-3</v>
      </c>
      <c r="U93">
        <v>-1.14167E-2</v>
      </c>
      <c r="V93" s="11">
        <f t="shared" si="31"/>
        <v>0.7447647238150239</v>
      </c>
      <c r="W93">
        <f t="shared" si="32"/>
        <v>-0.18367147528357566</v>
      </c>
      <c r="X93" s="13">
        <f t="shared" si="33"/>
        <v>-0.32221763942225301</v>
      </c>
      <c r="Y93" s="13">
        <v>0.17778236057774699</v>
      </c>
    </row>
    <row r="94" spans="1:25" x14ac:dyDescent="0.25">
      <c r="A94" s="1">
        <v>1935</v>
      </c>
      <c r="B94" s="1">
        <f t="shared" si="23"/>
        <v>-0.17599999999999999</v>
      </c>
      <c r="C94" s="1">
        <f t="shared" si="24"/>
        <v>-0.17984499056901965</v>
      </c>
      <c r="D94" s="1">
        <f t="shared" si="17"/>
        <v>-6.3623457569463304E-3</v>
      </c>
      <c r="E94" s="1">
        <f t="shared" si="25"/>
        <v>0.72229051704333103</v>
      </c>
      <c r="F94" s="1">
        <f t="shared" si="26"/>
        <v>3.8449905690196573E-3</v>
      </c>
      <c r="G94" s="9">
        <f t="shared" si="18"/>
        <v>0.72229051704333103</v>
      </c>
      <c r="H94" s="1">
        <f t="shared" si="19"/>
        <v>0.1570955851827246</v>
      </c>
      <c r="I94" s="1">
        <f t="shared" si="27"/>
        <v>0.99999999999999967</v>
      </c>
      <c r="J94" s="3">
        <f t="shared" si="20"/>
        <v>0.99999999999999967</v>
      </c>
      <c r="K94" s="3">
        <f t="shared" si="21"/>
        <v>0.72229051704333103</v>
      </c>
      <c r="L94" s="6">
        <v>-0.17599999999999999</v>
      </c>
      <c r="M94" s="4">
        <v>-0.185</v>
      </c>
      <c r="N94" s="5">
        <v>-0.16700000000000001</v>
      </c>
      <c r="O94">
        <f t="shared" si="28"/>
        <v>-0.16700000000000001</v>
      </c>
      <c r="P94">
        <f t="shared" si="29"/>
        <v>1.1077844311377245</v>
      </c>
      <c r="Q94">
        <f t="shared" si="30"/>
        <v>1.0538922155688621</v>
      </c>
      <c r="R94">
        <f t="shared" si="22"/>
        <v>-1.03086831994599</v>
      </c>
      <c r="T94">
        <v>-0.16700000000000001</v>
      </c>
      <c r="U94">
        <v>-0.16383300000000001</v>
      </c>
      <c r="V94" s="11">
        <f t="shared" si="31"/>
        <v>0.74384744185954332</v>
      </c>
      <c r="W94">
        <f t="shared" si="32"/>
        <v>-0.22530691719472865</v>
      </c>
      <c r="X94" s="13">
        <f t="shared" si="33"/>
        <v>-0.33512976250100801</v>
      </c>
      <c r="Y94" s="13">
        <v>0.16487023749899199</v>
      </c>
    </row>
    <row r="95" spans="1:25" x14ac:dyDescent="0.25">
      <c r="A95" s="1">
        <v>1936</v>
      </c>
      <c r="B95" s="1">
        <f t="shared" si="23"/>
        <v>-0.14299999999999999</v>
      </c>
      <c r="C95" s="1">
        <f t="shared" si="24"/>
        <v>-0.13983081289954255</v>
      </c>
      <c r="D95" s="1">
        <f t="shared" si="17"/>
        <v>-1.289631328906285E-2</v>
      </c>
      <c r="E95" s="1">
        <f t="shared" si="25"/>
        <v>0.91442171062959043</v>
      </c>
      <c r="F95" s="1">
        <f t="shared" si="26"/>
        <v>3.1691871004574379E-3</v>
      </c>
      <c r="G95" s="9">
        <f t="shared" si="18"/>
        <v>0.91442171062959043</v>
      </c>
      <c r="H95" s="1">
        <f t="shared" si="19"/>
        <v>0.60109809631860456</v>
      </c>
      <c r="I95" s="1">
        <f t="shared" si="27"/>
        <v>1.4576487712229778</v>
      </c>
      <c r="J95" s="3">
        <f t="shared" si="20"/>
        <v>1.4576487712229778</v>
      </c>
      <c r="K95" s="3">
        <f t="shared" si="21"/>
        <v>0.91442171062959043</v>
      </c>
      <c r="L95" s="6">
        <v>-0.14299999999999999</v>
      </c>
      <c r="M95" s="4">
        <v>-0.151</v>
      </c>
      <c r="N95" s="5">
        <v>-0.112</v>
      </c>
      <c r="O95">
        <f t="shared" si="28"/>
        <v>-0.112</v>
      </c>
      <c r="P95">
        <f t="shared" si="29"/>
        <v>1.3482142857142856</v>
      </c>
      <c r="Q95">
        <f t="shared" si="30"/>
        <v>1.2767857142857142</v>
      </c>
      <c r="R95">
        <f t="shared" si="22"/>
        <v>-1.3050820276826556</v>
      </c>
      <c r="T95">
        <v>-0.112</v>
      </c>
      <c r="U95">
        <v>-0.110167</v>
      </c>
      <c r="V95" s="11">
        <f t="shared" si="31"/>
        <v>0.74277898017317057</v>
      </c>
      <c r="W95">
        <f t="shared" si="32"/>
        <v>-0.17714595351526868</v>
      </c>
      <c r="X95" s="13">
        <f t="shared" si="33"/>
        <v>-0.33106488135991796</v>
      </c>
      <c r="Y95" s="13">
        <v>0.16893511864008201</v>
      </c>
    </row>
    <row r="96" spans="1:25" x14ac:dyDescent="0.25">
      <c r="A96" s="1">
        <v>1937</v>
      </c>
      <c r="B96" s="1">
        <f t="shared" si="23"/>
        <v>-2.5000000000000001E-2</v>
      </c>
      <c r="C96" s="1">
        <f t="shared" si="24"/>
        <v>-1.7305292972135015E-2</v>
      </c>
      <c r="D96" s="1">
        <f t="shared" si="17"/>
        <v>-6.0358776088815895E-3</v>
      </c>
      <c r="E96" s="1">
        <f t="shared" si="25"/>
        <v>0.60284071069058842</v>
      </c>
      <c r="F96" s="1">
        <f t="shared" si="26"/>
        <v>7.6947070278649866E-3</v>
      </c>
      <c r="G96" s="9">
        <f t="shared" si="18"/>
        <v>0.60284071069058842</v>
      </c>
      <c r="H96" s="1">
        <f t="shared" si="19"/>
        <v>0.54665166226712991</v>
      </c>
      <c r="I96" s="1">
        <f t="shared" si="27"/>
        <v>1.1208816190615787</v>
      </c>
      <c r="J96" s="3">
        <f t="shared" si="20"/>
        <v>1.1208816190615787</v>
      </c>
      <c r="K96" s="3">
        <f t="shared" si="21"/>
        <v>0.60284071069058842</v>
      </c>
      <c r="L96" s="6">
        <v>-2.5000000000000001E-2</v>
      </c>
      <c r="M96" s="4">
        <v>-8.9999999999999993E-3</v>
      </c>
      <c r="N96" s="5">
        <v>-3.7999999999999999E-2</v>
      </c>
      <c r="O96">
        <f t="shared" si="28"/>
        <v>-3.7999999999999999E-2</v>
      </c>
      <c r="P96">
        <f t="shared" si="29"/>
        <v>0.23684210526315788</v>
      </c>
      <c r="Q96">
        <f t="shared" si="30"/>
        <v>0.65789473684210531</v>
      </c>
      <c r="R96">
        <f t="shared" si="22"/>
        <v>-0.86038702704907866</v>
      </c>
      <c r="T96">
        <v>-3.7999999999999999E-2</v>
      </c>
      <c r="U96">
        <v>-4.1666700000000001E-2</v>
      </c>
      <c r="V96" s="11">
        <f t="shared" si="31"/>
        <v>0.74156786222010851</v>
      </c>
      <c r="W96">
        <f t="shared" si="32"/>
        <v>-1.9543495665126719E-2</v>
      </c>
      <c r="X96" s="13">
        <f t="shared" si="33"/>
        <v>-0.30874775540356403</v>
      </c>
      <c r="Y96" s="13">
        <v>0.191252244596436</v>
      </c>
    </row>
    <row r="97" spans="1:25" x14ac:dyDescent="0.25">
      <c r="A97" s="1">
        <v>1938</v>
      </c>
      <c r="B97" s="1">
        <f t="shared" si="23"/>
        <v>-5.0000000000000001E-3</v>
      </c>
      <c r="C97" s="1">
        <f t="shared" si="24"/>
        <v>-1.3543478553442789E-2</v>
      </c>
      <c r="D97" s="1">
        <f t="shared" si="17"/>
        <v>0</v>
      </c>
      <c r="E97" s="1">
        <f t="shared" si="25"/>
        <v>0.46971982094229747</v>
      </c>
      <c r="F97" s="1">
        <f t="shared" si="26"/>
        <v>8.5434785534427883E-3</v>
      </c>
      <c r="G97" s="9">
        <f t="shared" si="18"/>
        <v>0.46971982094229747</v>
      </c>
      <c r="H97" s="1">
        <f t="shared" si="19"/>
        <v>0.42142901157224133</v>
      </c>
      <c r="I97" s="1">
        <f t="shared" si="27"/>
        <v>0.46971982094229747</v>
      </c>
      <c r="J97" s="3">
        <f t="shared" si="20"/>
        <v>0.46971982094229747</v>
      </c>
      <c r="K97" s="3">
        <f t="shared" si="21"/>
        <v>1.4866956035480682E-2</v>
      </c>
      <c r="L97" s="6">
        <v>-5.0000000000000001E-3</v>
      </c>
      <c r="M97" s="4">
        <v>-8.5999999999999993E-2</v>
      </c>
      <c r="N97" s="5">
        <v>0.16700000000000001</v>
      </c>
      <c r="O97">
        <f t="shared" si="28"/>
        <v>0.16700000000000001</v>
      </c>
      <c r="P97">
        <f t="shared" si="29"/>
        <v>-0.51497005988023947</v>
      </c>
      <c r="Q97">
        <f t="shared" si="30"/>
        <v>-2.9940119760479042E-2</v>
      </c>
      <c r="R97">
        <f t="shared" si="22"/>
        <v>-2.1218434451753226E-2</v>
      </c>
      <c r="T97">
        <v>0.16700000000000001</v>
      </c>
      <c r="U97">
        <v>0.16</v>
      </c>
      <c r="V97" s="11">
        <f t="shared" si="31"/>
        <v>0.74022275302559137</v>
      </c>
      <c r="W97">
        <f t="shared" si="32"/>
        <v>-3.50811335323147E-2</v>
      </c>
      <c r="X97" s="13">
        <f t="shared" si="33"/>
        <v>-0.277537826971608</v>
      </c>
      <c r="Y97" s="13">
        <v>0.222462173028392</v>
      </c>
    </row>
    <row r="98" spans="1:25" x14ac:dyDescent="0.25">
      <c r="A98" s="1">
        <v>1939</v>
      </c>
      <c r="B98" s="1">
        <f t="shared" si="23"/>
        <v>-5.5E-2</v>
      </c>
      <c r="C98" s="1">
        <f t="shared" si="24"/>
        <v>-5.7807183450414093E-2</v>
      </c>
      <c r="D98" s="1">
        <f t="shared" si="17"/>
        <v>-1.2999999999999998E-2</v>
      </c>
      <c r="E98" s="1">
        <f t="shared" si="25"/>
        <v>1</v>
      </c>
      <c r="F98" s="1">
        <f t="shared" si="26"/>
        <v>2.8071834504140927E-3</v>
      </c>
      <c r="G98" s="9">
        <f t="shared" si="18"/>
        <v>1</v>
      </c>
      <c r="H98" s="1">
        <f t="shared" si="19"/>
        <v>96.047387297598917</v>
      </c>
      <c r="I98" s="1">
        <f t="shared" si="27"/>
        <v>14.180661392605289</v>
      </c>
      <c r="J98" s="3">
        <f t="shared" si="20"/>
        <v>14.180661392605289</v>
      </c>
      <c r="K98" s="3">
        <f t="shared" si="21"/>
        <v>7.3139072609241209</v>
      </c>
      <c r="L98" s="6">
        <v>-5.5E-2</v>
      </c>
      <c r="M98" s="4">
        <v>-7.9000000000000001E-2</v>
      </c>
      <c r="N98" s="5">
        <v>-5.0000000000000001E-3</v>
      </c>
      <c r="O98">
        <f t="shared" si="28"/>
        <v>-5.0000000000000001E-3</v>
      </c>
      <c r="P98">
        <f t="shared" si="29"/>
        <v>15.8</v>
      </c>
      <c r="Q98">
        <f t="shared" si="30"/>
        <v>11</v>
      </c>
      <c r="R98">
        <f t="shared" si="22"/>
        <v>-10.438563309917182</v>
      </c>
      <c r="T98">
        <v>-5.0000000000000001E-3</v>
      </c>
      <c r="U98">
        <v>1.9166700000000001E-3</v>
      </c>
      <c r="V98" s="11">
        <f t="shared" si="31"/>
        <v>0.73875237349420786</v>
      </c>
      <c r="W98">
        <f t="shared" si="32"/>
        <v>-7.7743358585730948E-2</v>
      </c>
      <c r="X98" s="13">
        <f t="shared" si="33"/>
        <v>-0.28907925762875497</v>
      </c>
      <c r="Y98" s="13">
        <v>0.210920742371245</v>
      </c>
    </row>
    <row r="99" spans="1:25" x14ac:dyDescent="0.25">
      <c r="A99" s="1">
        <v>1940</v>
      </c>
      <c r="B99" s="1">
        <f t="shared" si="23"/>
        <v>1.7999999999999999E-2</v>
      </c>
      <c r="C99" s="1">
        <f t="shared" si="24"/>
        <v>-8.9697535710227261E-4</v>
      </c>
      <c r="D99" s="1">
        <f t="shared" si="17"/>
        <v>0</v>
      </c>
      <c r="E99" s="1">
        <f t="shared" si="25"/>
        <v>0.11348013704916698</v>
      </c>
      <c r="F99" s="1">
        <f t="shared" si="26"/>
        <v>1.8896975357102271E-2</v>
      </c>
      <c r="G99" s="9">
        <f t="shared" si="18"/>
        <v>0.11348013704916698</v>
      </c>
      <c r="H99" s="1">
        <f t="shared" si="19"/>
        <v>1.0404621165082679</v>
      </c>
      <c r="I99" s="1">
        <f t="shared" si="27"/>
        <v>0.11348013704916698</v>
      </c>
      <c r="J99" s="3">
        <f t="shared" si="20"/>
        <v>0.11348013704916698</v>
      </c>
      <c r="K99" s="3">
        <f t="shared" si="21"/>
        <v>-0.6012166928161744</v>
      </c>
      <c r="L99" s="6">
        <v>1.7999999999999999E-2</v>
      </c>
      <c r="M99" s="4">
        <v>1.6E-2</v>
      </c>
      <c r="N99" s="5">
        <v>-4.2999999999999997E-2</v>
      </c>
      <c r="O99">
        <f t="shared" si="28"/>
        <v>-4.2999999999999997E-2</v>
      </c>
      <c r="P99">
        <f t="shared" si="29"/>
        <v>-0.372093023255814</v>
      </c>
      <c r="Q99">
        <f t="shared" si="30"/>
        <v>-0.41860465116279072</v>
      </c>
      <c r="R99">
        <f t="shared" si="22"/>
        <v>0.85806919435121565</v>
      </c>
      <c r="T99">
        <v>-4.2999999999999997E-2</v>
      </c>
      <c r="U99">
        <v>-4.55833E-2</v>
      </c>
      <c r="V99" s="11">
        <f t="shared" si="31"/>
        <v>0.73716547060757875</v>
      </c>
      <c r="W99">
        <f t="shared" si="32"/>
        <v>3.174002144176449E-3</v>
      </c>
      <c r="X99" s="13">
        <f t="shared" si="33"/>
        <v>-0.28557064335307403</v>
      </c>
      <c r="Y99" s="13">
        <v>0.214429356646926</v>
      </c>
    </row>
    <row r="100" spans="1:25" x14ac:dyDescent="0.25">
      <c r="A100" s="1">
        <v>1941</v>
      </c>
      <c r="B100" s="1">
        <f t="shared" si="23"/>
        <v>1.7999999999999999E-2</v>
      </c>
      <c r="C100" s="1">
        <f t="shared" si="24"/>
        <v>3.0637996349956662E-2</v>
      </c>
      <c r="D100" s="1">
        <f t="shared" si="17"/>
        <v>0</v>
      </c>
      <c r="E100" s="1">
        <f t="shared" si="25"/>
        <v>0.63992368948774736</v>
      </c>
      <c r="F100" s="1">
        <f t="shared" si="26"/>
        <v>1.2637996349956663E-2</v>
      </c>
      <c r="G100" s="9">
        <f t="shared" si="18"/>
        <v>0.63992368948774736</v>
      </c>
      <c r="H100" s="1">
        <f t="shared" si="19"/>
        <v>1.041527839188453</v>
      </c>
      <c r="I100" s="1">
        <f t="shared" si="27"/>
        <v>0.63992368948774736</v>
      </c>
      <c r="J100" s="3">
        <f t="shared" si="20"/>
        <v>0.63992368948774736</v>
      </c>
      <c r="K100" s="3">
        <f t="shared" si="21"/>
        <v>-7.51390708947373E-2</v>
      </c>
      <c r="L100" s="6">
        <v>1.7999999999999999E-2</v>
      </c>
      <c r="M100" s="4">
        <v>6.3E-2</v>
      </c>
      <c r="N100" s="5">
        <v>-0.05</v>
      </c>
      <c r="O100">
        <f t="shared" si="28"/>
        <v>-0.05</v>
      </c>
      <c r="P100">
        <f t="shared" si="29"/>
        <v>-1.26</v>
      </c>
      <c r="Q100">
        <f t="shared" si="30"/>
        <v>-0.35999999999999993</v>
      </c>
      <c r="R100">
        <f t="shared" si="22"/>
        <v>0.10724007300086658</v>
      </c>
      <c r="T100">
        <v>-0.05</v>
      </c>
      <c r="U100">
        <v>-5.4416699999999998E-2</v>
      </c>
      <c r="V100" s="11">
        <f t="shared" si="31"/>
        <v>0.73547085467725992</v>
      </c>
      <c r="W100">
        <f t="shared" si="32"/>
        <v>4.6807991725740364E-2</v>
      </c>
      <c r="X100" s="13">
        <f t="shared" si="33"/>
        <v>-0.290868642848229</v>
      </c>
      <c r="Y100" s="13">
        <v>0.209131357151771</v>
      </c>
    </row>
    <row r="101" spans="1:25" x14ac:dyDescent="0.25">
      <c r="A101" s="1">
        <v>1942</v>
      </c>
      <c r="B101" s="1">
        <f t="shared" si="23"/>
        <v>-2.3E-2</v>
      </c>
      <c r="C101" s="1">
        <f t="shared" si="24"/>
        <v>-3.1833647699345147E-3</v>
      </c>
      <c r="D101" s="1">
        <f t="shared" si="17"/>
        <v>-1.3778071838582434E-2</v>
      </c>
      <c r="E101" s="1">
        <f t="shared" si="25"/>
        <v>0.65217391304347827</v>
      </c>
      <c r="F101" s="1">
        <f t="shared" si="26"/>
        <v>1.9816635230065487E-2</v>
      </c>
      <c r="G101" s="9">
        <f t="shared" si="18"/>
        <v>0.65217391304347827</v>
      </c>
      <c r="H101" s="1">
        <f t="shared" si="19"/>
        <v>1.1151808621667709</v>
      </c>
      <c r="I101" s="1">
        <f t="shared" si="27"/>
        <v>1.3920881325997174</v>
      </c>
      <c r="J101" s="3">
        <f t="shared" si="20"/>
        <v>1.3920881325997174</v>
      </c>
      <c r="K101" s="3">
        <f t="shared" si="21"/>
        <v>0.65217391304347827</v>
      </c>
      <c r="L101" s="6">
        <v>-2.3E-2</v>
      </c>
      <c r="M101" s="4">
        <v>1.4E-2</v>
      </c>
      <c r="N101" s="5">
        <v>-4.5999999999999999E-2</v>
      </c>
      <c r="O101">
        <f t="shared" si="28"/>
        <v>-4.5999999999999999E-2</v>
      </c>
      <c r="P101">
        <f t="shared" si="29"/>
        <v>-0.30434782608695654</v>
      </c>
      <c r="Q101">
        <f t="shared" si="30"/>
        <v>0.5</v>
      </c>
      <c r="R101">
        <f t="shared" si="22"/>
        <v>-0.93079641804490187</v>
      </c>
      <c r="T101">
        <v>-4.5999999999999999E-2</v>
      </c>
      <c r="U101">
        <v>-4.84167E-2</v>
      </c>
      <c r="V101" s="11">
        <f t="shared" si="31"/>
        <v>0.73367728013545275</v>
      </c>
      <c r="W101">
        <f t="shared" si="32"/>
        <v>4.4317519119107737E-4</v>
      </c>
      <c r="X101" s="13">
        <f t="shared" si="33"/>
        <v>-0.28677343872864602</v>
      </c>
      <c r="Y101" s="13">
        <v>0.213226561271354</v>
      </c>
    </row>
    <row r="102" spans="1:25" x14ac:dyDescent="0.25">
      <c r="A102" s="1">
        <v>1943</v>
      </c>
      <c r="B102" s="1">
        <f t="shared" si="23"/>
        <v>-3.0000000000000001E-3</v>
      </c>
      <c r="C102" s="1">
        <f t="shared" si="24"/>
        <v>1.2958411924836287E-3</v>
      </c>
      <c r="D102" s="1">
        <f t="shared" si="17"/>
        <v>0</v>
      </c>
      <c r="E102" s="1">
        <f t="shared" si="25"/>
        <v>0.10485639719581724</v>
      </c>
      <c r="F102" s="1">
        <f t="shared" si="26"/>
        <v>4.2958411924836288E-3</v>
      </c>
      <c r="G102" s="9">
        <f t="shared" si="18"/>
        <v>0.10485639719581724</v>
      </c>
      <c r="H102" s="1">
        <f t="shared" si="19"/>
        <v>0.57401842472999109</v>
      </c>
      <c r="I102" s="1">
        <f t="shared" si="27"/>
        <v>0.10485639719581724</v>
      </c>
      <c r="J102" s="3">
        <f t="shared" si="20"/>
        <v>0.10485639719581724</v>
      </c>
      <c r="K102" s="3">
        <f t="shared" si="21"/>
        <v>-0.42599337578029428</v>
      </c>
      <c r="L102" s="6">
        <v>-3.0000000000000001E-3</v>
      </c>
      <c r="M102" s="4">
        <v>-3.0000000000000001E-3</v>
      </c>
      <c r="N102" s="5">
        <v>1.2E-2</v>
      </c>
      <c r="O102">
        <f t="shared" si="28"/>
        <v>1.2E-2</v>
      </c>
      <c r="P102">
        <f t="shared" si="29"/>
        <v>-0.25</v>
      </c>
      <c r="Q102">
        <f t="shared" si="30"/>
        <v>-0.25</v>
      </c>
      <c r="R102">
        <f t="shared" si="22"/>
        <v>0.60798676604030244</v>
      </c>
      <c r="T102">
        <v>1.2E-2</v>
      </c>
      <c r="U102">
        <v>1.6750000000000001E-2</v>
      </c>
      <c r="V102" s="11">
        <f t="shared" si="31"/>
        <v>0.73179346788674593</v>
      </c>
      <c r="W102">
        <f t="shared" si="32"/>
        <v>5.112139885147019E-4</v>
      </c>
      <c r="X102" s="13">
        <f t="shared" si="33"/>
        <v>-0.27260411364773901</v>
      </c>
      <c r="Y102" s="13">
        <v>0.22739588635226099</v>
      </c>
    </row>
    <row r="103" spans="1:25" x14ac:dyDescent="0.25">
      <c r="A103" s="1">
        <v>1944</v>
      </c>
      <c r="B103" s="1">
        <f t="shared" si="23"/>
        <v>0.15</v>
      </c>
      <c r="C103" s="1">
        <f t="shared" si="24"/>
        <v>0.13840831761503275</v>
      </c>
      <c r="D103" s="1">
        <f t="shared" si="17"/>
        <v>1.8645758165217519E-2</v>
      </c>
      <c r="E103" s="1">
        <f t="shared" si="25"/>
        <v>0.96770249440338374</v>
      </c>
      <c r="F103" s="1">
        <f t="shared" si="26"/>
        <v>1.1591682384967245E-2</v>
      </c>
      <c r="G103" s="9">
        <f t="shared" si="18"/>
        <v>0.96770249440338374</v>
      </c>
      <c r="H103" s="1">
        <f t="shared" si="19"/>
        <v>0.88041476550828857</v>
      </c>
      <c r="I103" s="1">
        <f t="shared" si="27"/>
        <v>1.6251368245221063</v>
      </c>
      <c r="J103" s="3">
        <f t="shared" si="20"/>
        <v>1.6251368245221063</v>
      </c>
      <c r="K103" s="3">
        <f t="shared" si="21"/>
        <v>0.96770249440338374</v>
      </c>
      <c r="L103" s="6">
        <v>0.15</v>
      </c>
      <c r="M103" s="4">
        <v>0.14699999999999999</v>
      </c>
      <c r="N103" s="5">
        <v>0.11700000000000001</v>
      </c>
      <c r="O103">
        <f t="shared" si="28"/>
        <v>0.11700000000000001</v>
      </c>
      <c r="P103">
        <f t="shared" si="29"/>
        <v>1.2564102564102562</v>
      </c>
      <c r="Q103">
        <f t="shared" si="30"/>
        <v>1.2820512820512819</v>
      </c>
      <c r="R103">
        <f t="shared" si="22"/>
        <v>-1.3811254904698056</v>
      </c>
      <c r="T103">
        <v>0.11700000000000001</v>
      </c>
      <c r="U103">
        <v>0.111417</v>
      </c>
      <c r="V103" s="11">
        <f t="shared" si="31"/>
        <v>0.72982809785753489</v>
      </c>
      <c r="W103">
        <f t="shared" si="32"/>
        <v>0.17724107419516807</v>
      </c>
      <c r="X103" s="13">
        <f t="shared" si="33"/>
        <v>-0.25629011927150203</v>
      </c>
      <c r="Y103" s="13">
        <v>0.243709880728498</v>
      </c>
    </row>
    <row r="104" spans="1:25" x14ac:dyDescent="0.25">
      <c r="A104" s="1">
        <v>1945</v>
      </c>
      <c r="B104" s="1">
        <f t="shared" si="23"/>
        <v>3.3000000000000002E-2</v>
      </c>
      <c r="C104" s="1">
        <f t="shared" si="24"/>
        <v>6.1257089140610566E-2</v>
      </c>
      <c r="D104" s="1">
        <f t="shared" si="17"/>
        <v>0</v>
      </c>
      <c r="E104" s="1">
        <f t="shared" si="25"/>
        <v>0.64231625067802089</v>
      </c>
      <c r="F104" s="1">
        <f t="shared" si="26"/>
        <v>2.8257089140610564E-2</v>
      </c>
      <c r="G104" s="9">
        <f t="shared" si="18"/>
        <v>0.64231625067802089</v>
      </c>
      <c r="H104" s="1">
        <f t="shared" si="19"/>
        <v>0.91441714306015165</v>
      </c>
      <c r="I104" s="1">
        <f t="shared" si="27"/>
        <v>0.64231625067802089</v>
      </c>
      <c r="J104" s="3">
        <f t="shared" si="20"/>
        <v>0.64231625067802089</v>
      </c>
      <c r="K104" s="3">
        <f t="shared" si="21"/>
        <v>-2.7693154972970792E-2</v>
      </c>
      <c r="L104" s="6">
        <v>3.3000000000000002E-2</v>
      </c>
      <c r="M104" s="4">
        <v>0.13400000000000001</v>
      </c>
      <c r="N104" s="5">
        <v>-0.12</v>
      </c>
      <c r="O104">
        <f t="shared" si="28"/>
        <v>-0.12</v>
      </c>
      <c r="P104">
        <f t="shared" si="29"/>
        <v>-1.1166666666666667</v>
      </c>
      <c r="Q104">
        <f t="shared" si="30"/>
        <v>-0.27500000000000002</v>
      </c>
      <c r="R104">
        <f t="shared" si="22"/>
        <v>3.9524257161578813E-2</v>
      </c>
      <c r="T104">
        <v>-0.12</v>
      </c>
      <c r="U104">
        <v>-0.11700000000000001</v>
      </c>
      <c r="V104" s="11">
        <f t="shared" si="31"/>
        <v>0.72778974194079638</v>
      </c>
      <c r="W104">
        <f t="shared" si="32"/>
        <v>9.7022617094063485E-2</v>
      </c>
      <c r="X104" s="13">
        <f t="shared" si="33"/>
        <v>-0.29043820532974196</v>
      </c>
      <c r="Y104" s="13">
        <v>0.20956179467025801</v>
      </c>
    </row>
    <row r="105" spans="1:25" x14ac:dyDescent="0.25">
      <c r="A105" s="1">
        <v>1946</v>
      </c>
      <c r="B105" s="1">
        <f t="shared" si="23"/>
        <v>-6.8000000000000005E-2</v>
      </c>
      <c r="C105" s="1">
        <f t="shared" si="24"/>
        <v>-3.4183364769934513E-2</v>
      </c>
      <c r="D105" s="1">
        <f t="shared" si="17"/>
        <v>-2.2826680437073706E-2</v>
      </c>
      <c r="E105" s="1">
        <f t="shared" si="25"/>
        <v>0.92648146468430637</v>
      </c>
      <c r="F105" s="1">
        <f t="shared" si="26"/>
        <v>3.3816635230065492E-2</v>
      </c>
      <c r="G105" s="9">
        <f t="shared" si="18"/>
        <v>0.92648146468430637</v>
      </c>
      <c r="H105" s="1">
        <f t="shared" si="19"/>
        <v>1.5679782732837282</v>
      </c>
      <c r="I105" s="1">
        <f t="shared" si="27"/>
        <v>1.8038433021175688</v>
      </c>
      <c r="J105" s="3">
        <f t="shared" si="20"/>
        <v>1.8038433021175688</v>
      </c>
      <c r="K105" s="3">
        <f t="shared" si="21"/>
        <v>0.92648146468430637</v>
      </c>
      <c r="L105" s="6">
        <v>-6.8000000000000005E-2</v>
      </c>
      <c r="M105" s="4">
        <v>-1.7000000000000001E-2</v>
      </c>
      <c r="N105" s="5">
        <v>-7.6999999999999999E-2</v>
      </c>
      <c r="O105">
        <f t="shared" si="28"/>
        <v>-7.6999999999999999E-2</v>
      </c>
      <c r="P105">
        <f t="shared" si="29"/>
        <v>0.2207792207792208</v>
      </c>
      <c r="Q105">
        <f t="shared" si="30"/>
        <v>0.88311688311688319</v>
      </c>
      <c r="R105">
        <f t="shared" si="22"/>
        <v>-1.3222939640268248</v>
      </c>
      <c r="T105">
        <v>-7.6999999999999999E-2</v>
      </c>
      <c r="U105">
        <v>-7.2583300000000003E-2</v>
      </c>
      <c r="V105" s="11">
        <f t="shared" si="31"/>
        <v>0.72568684164434671</v>
      </c>
      <c r="W105">
        <f t="shared" si="32"/>
        <v>-3.8769085451453036E-2</v>
      </c>
      <c r="X105" s="13">
        <f t="shared" si="33"/>
        <v>-0.27877164456166703</v>
      </c>
      <c r="Y105" s="13">
        <v>0.221228355438333</v>
      </c>
    </row>
    <row r="106" spans="1:25" x14ac:dyDescent="0.25">
      <c r="A106" s="1">
        <v>1947</v>
      </c>
      <c r="B106" s="1">
        <f t="shared" si="23"/>
        <v>-3.7999999999999999E-2</v>
      </c>
      <c r="C106" s="1">
        <f t="shared" si="24"/>
        <v>-4.0534971707058935E-2</v>
      </c>
      <c r="D106" s="1">
        <f t="shared" si="17"/>
        <v>-8.9999999999999976E-3</v>
      </c>
      <c r="E106" s="1">
        <f t="shared" si="25"/>
        <v>1</v>
      </c>
      <c r="F106" s="1">
        <f t="shared" si="26"/>
        <v>2.5349717070589362E-3</v>
      </c>
      <c r="G106" s="9">
        <f t="shared" si="18"/>
        <v>1</v>
      </c>
      <c r="H106" s="1">
        <f t="shared" si="19"/>
        <v>291.55256004519481</v>
      </c>
      <c r="I106" s="1">
        <f t="shared" si="27"/>
        <v>24.388248312435231</v>
      </c>
      <c r="J106" s="3">
        <f t="shared" si="20"/>
        <v>24.388248312435231</v>
      </c>
      <c r="K106" s="3">
        <f t="shared" si="21"/>
        <v>12.424503269247259</v>
      </c>
      <c r="L106" s="6">
        <v>-3.7999999999999999E-2</v>
      </c>
      <c r="M106" s="4">
        <v>-5.6000000000000001E-2</v>
      </c>
      <c r="N106" s="5">
        <v>-2E-3</v>
      </c>
      <c r="O106">
        <f t="shared" si="28"/>
        <v>-2E-3</v>
      </c>
      <c r="P106">
        <f t="shared" si="29"/>
        <v>28</v>
      </c>
      <c r="Q106">
        <f t="shared" si="30"/>
        <v>19</v>
      </c>
      <c r="R106">
        <f t="shared" si="22"/>
        <v>-17.732514146470532</v>
      </c>
      <c r="T106">
        <v>-2E-3</v>
      </c>
      <c r="U106">
        <v>-1.175E-2</v>
      </c>
      <c r="V106" s="11">
        <f t="shared" si="31"/>
        <v>0.72352771554142237</v>
      </c>
      <c r="W106">
        <f t="shared" si="32"/>
        <v>-5.5805207415480673E-2</v>
      </c>
      <c r="X106" s="13">
        <f t="shared" si="33"/>
        <v>-0.25626860749149999</v>
      </c>
      <c r="Y106" s="13">
        <v>0.24373139250850001</v>
      </c>
    </row>
    <row r="107" spans="1:25" x14ac:dyDescent="0.25">
      <c r="A107" s="1">
        <v>1948</v>
      </c>
      <c r="B107" s="1">
        <f t="shared" si="23"/>
        <v>-3.5000000000000003E-2</v>
      </c>
      <c r="C107" s="1">
        <f t="shared" si="24"/>
        <v>-3.2248582294226696E-2</v>
      </c>
      <c r="D107" s="1">
        <f t="shared" si="17"/>
        <v>0</v>
      </c>
      <c r="E107" s="1">
        <f t="shared" si="25"/>
        <v>0.3481031025553562</v>
      </c>
      <c r="F107" s="1">
        <f t="shared" si="26"/>
        <v>2.7514177057733069E-3</v>
      </c>
      <c r="G107" s="9">
        <f t="shared" si="18"/>
        <v>0.3481031025553562</v>
      </c>
      <c r="H107" s="1">
        <f t="shared" si="19"/>
        <v>34.690683953280953</v>
      </c>
      <c r="I107" s="1">
        <f t="shared" si="27"/>
        <v>0.3481031025553562</v>
      </c>
      <c r="J107" s="3">
        <f t="shared" si="20"/>
        <v>0.3481031025553562</v>
      </c>
      <c r="K107" s="3">
        <f t="shared" si="21"/>
        <v>-3.7787133271507294</v>
      </c>
      <c r="L107" s="6">
        <v>-3.5000000000000003E-2</v>
      </c>
      <c r="M107" s="4">
        <v>-4.8000000000000001E-2</v>
      </c>
      <c r="N107" s="5">
        <v>7.0000000000000001E-3</v>
      </c>
      <c r="O107">
        <f t="shared" si="28"/>
        <v>7.0000000000000001E-3</v>
      </c>
      <c r="P107">
        <f t="shared" si="29"/>
        <v>-6.8571428571428568</v>
      </c>
      <c r="Q107">
        <f t="shared" si="30"/>
        <v>-5</v>
      </c>
      <c r="R107">
        <f t="shared" si="22"/>
        <v>5.3930596722533295</v>
      </c>
      <c r="T107">
        <v>7.0000000000000001E-3</v>
      </c>
      <c r="U107">
        <v>2.1666699999999999E-3</v>
      </c>
      <c r="V107" s="11">
        <f t="shared" si="31"/>
        <v>0.72132047731429338</v>
      </c>
      <c r="W107">
        <f t="shared" si="32"/>
        <v>-4.548222236871869E-2</v>
      </c>
      <c r="X107" s="13">
        <f t="shared" si="33"/>
        <v>-0.25919023196313501</v>
      </c>
      <c r="Y107" s="13">
        <v>0.24080976803686499</v>
      </c>
    </row>
    <row r="108" spans="1:25" x14ac:dyDescent="0.25">
      <c r="A108" s="1">
        <v>1949</v>
      </c>
      <c r="B108" s="1">
        <f t="shared" si="23"/>
        <v>-7.5999999999999998E-2</v>
      </c>
      <c r="C108" s="1">
        <f t="shared" si="24"/>
        <v>-7.1042533008431247E-2</v>
      </c>
      <c r="D108" s="1">
        <f t="shared" si="17"/>
        <v>0</v>
      </c>
      <c r="E108" s="1">
        <f t="shared" si="25"/>
        <v>0.72512545763309055</v>
      </c>
      <c r="F108" s="1">
        <f t="shared" si="26"/>
        <v>4.9574669915687514E-3</v>
      </c>
      <c r="G108" s="9">
        <f t="shared" si="18"/>
        <v>0.72512545763309055</v>
      </c>
      <c r="H108" s="1">
        <f t="shared" si="19"/>
        <v>0.11357251087998982</v>
      </c>
      <c r="I108" s="1">
        <f t="shared" si="27"/>
        <v>0.72512545763309055</v>
      </c>
      <c r="J108" s="3">
        <f t="shared" si="20"/>
        <v>0.72512545763309055</v>
      </c>
      <c r="K108" s="3">
        <f t="shared" si="21"/>
        <v>0.48899862947178507</v>
      </c>
      <c r="L108" s="6">
        <v>-7.5999999999999998E-2</v>
      </c>
      <c r="M108" s="4">
        <v>-5.2999999999999999E-2</v>
      </c>
      <c r="N108" s="5">
        <v>-0.11600000000000001</v>
      </c>
      <c r="O108">
        <f t="shared" si="28"/>
        <v>-0.11600000000000001</v>
      </c>
      <c r="P108">
        <f t="shared" si="29"/>
        <v>0.4568965517241379</v>
      </c>
      <c r="Q108">
        <f t="shared" si="30"/>
        <v>0.65517241379310343</v>
      </c>
      <c r="R108">
        <f t="shared" si="22"/>
        <v>-0.69790919820317898</v>
      </c>
      <c r="T108">
        <v>-0.11600000000000001</v>
      </c>
      <c r="U108">
        <v>-0.112417</v>
      </c>
      <c r="V108" s="11">
        <f t="shared" si="31"/>
        <v>0.719073043204844</v>
      </c>
      <c r="W108">
        <f t="shared" si="32"/>
        <v>-8.5818556086569187E-2</v>
      </c>
      <c r="X108" s="13">
        <f t="shared" si="33"/>
        <v>-0.27318015730463596</v>
      </c>
      <c r="Y108" s="13">
        <v>0.22681984269536401</v>
      </c>
    </row>
    <row r="109" spans="1:25" x14ac:dyDescent="0.25">
      <c r="A109" s="1">
        <v>1950</v>
      </c>
      <c r="B109" s="1">
        <f t="shared" si="23"/>
        <v>-0.17399999999999999</v>
      </c>
      <c r="C109" s="1">
        <f t="shared" si="24"/>
        <v>-0.1484423437770801</v>
      </c>
      <c r="D109" s="1">
        <f t="shared" si="17"/>
        <v>0</v>
      </c>
      <c r="E109" s="1">
        <f t="shared" si="25"/>
        <v>0.75104425449523471</v>
      </c>
      <c r="F109" s="1">
        <f t="shared" si="26"/>
        <v>2.5557656222919889E-2</v>
      </c>
      <c r="G109" s="9">
        <f t="shared" si="18"/>
        <v>0.75104425449523471</v>
      </c>
      <c r="H109" s="1">
        <f t="shared" si="19"/>
        <v>0.1904208067790516</v>
      </c>
      <c r="I109" s="1">
        <f t="shared" si="27"/>
        <v>0.75104425449523471</v>
      </c>
      <c r="J109" s="3">
        <f t="shared" si="20"/>
        <v>0.75104425449523471</v>
      </c>
      <c r="K109" s="3">
        <f t="shared" si="21"/>
        <v>0.44529463859135887</v>
      </c>
      <c r="L109" s="6">
        <v>-0.17399999999999999</v>
      </c>
      <c r="M109" s="4">
        <v>-8.2000000000000003E-2</v>
      </c>
      <c r="N109" s="5">
        <v>-0.314</v>
      </c>
      <c r="O109">
        <f t="shared" si="28"/>
        <v>-0.314</v>
      </c>
      <c r="P109">
        <f t="shared" si="29"/>
        <v>0.26114649681528662</v>
      </c>
      <c r="Q109">
        <f t="shared" si="30"/>
        <v>0.55414012738853502</v>
      </c>
      <c r="R109">
        <f t="shared" si="22"/>
        <v>-0.6355339370156684</v>
      </c>
      <c r="T109">
        <v>-0.314</v>
      </c>
      <c r="U109">
        <v>-0.29958299999999999</v>
      </c>
      <c r="V109" s="11">
        <f t="shared" si="31"/>
        <v>0.71679310221225023</v>
      </c>
      <c r="W109">
        <f t="shared" si="32"/>
        <v>-0.17156220092932623</v>
      </c>
      <c r="X109" s="13">
        <f t="shared" si="33"/>
        <v>-0.29590290166177102</v>
      </c>
      <c r="Y109" s="13">
        <v>0.204097098338229</v>
      </c>
    </row>
    <row r="110" spans="1:25" x14ac:dyDescent="0.25">
      <c r="A110" s="1">
        <v>1951</v>
      </c>
      <c r="B110" s="1">
        <f t="shared" si="23"/>
        <v>-4.8000000000000001E-2</v>
      </c>
      <c r="C110" s="1">
        <f t="shared" si="24"/>
        <v>-2.578449893455316E-2</v>
      </c>
      <c r="D110" s="1">
        <f t="shared" si="17"/>
        <v>-1.8718122556197925E-2</v>
      </c>
      <c r="E110" s="1">
        <f t="shared" si="25"/>
        <v>0.49197350997919215</v>
      </c>
      <c r="F110" s="1">
        <f t="shared" si="26"/>
        <v>2.2215501065446841E-2</v>
      </c>
      <c r="G110" s="9">
        <f t="shared" si="18"/>
        <v>0.49197350997919215</v>
      </c>
      <c r="H110" s="1">
        <f t="shared" si="19"/>
        <v>0.52572094171515193</v>
      </c>
      <c r="I110" s="1">
        <f t="shared" si="27"/>
        <v>1</v>
      </c>
      <c r="J110" s="3">
        <f t="shared" si="20"/>
        <v>1</v>
      </c>
      <c r="K110" s="3">
        <f t="shared" si="21"/>
        <v>0.49197350997919215</v>
      </c>
      <c r="L110" s="6">
        <v>-4.8000000000000001E-2</v>
      </c>
      <c r="M110" s="4">
        <v>4.0000000000000001E-3</v>
      </c>
      <c r="N110" s="5">
        <v>-0.1</v>
      </c>
      <c r="O110">
        <f t="shared" si="28"/>
        <v>-0.1</v>
      </c>
      <c r="P110">
        <f t="shared" si="29"/>
        <v>-0.04</v>
      </c>
      <c r="Q110">
        <f t="shared" si="30"/>
        <v>0.48</v>
      </c>
      <c r="R110">
        <f t="shared" si="22"/>
        <v>-0.70215501065446839</v>
      </c>
      <c r="T110">
        <v>-0.1</v>
      </c>
      <c r="U110">
        <v>-0.10066700000000001</v>
      </c>
      <c r="V110" s="11">
        <f t="shared" si="31"/>
        <v>0.71448810119181871</v>
      </c>
      <c r="W110">
        <f t="shared" si="32"/>
        <v>-2.4643853969790123E-2</v>
      </c>
      <c r="X110" s="13">
        <f t="shared" si="33"/>
        <v>-0.25676155611001</v>
      </c>
      <c r="Y110" s="13">
        <v>0.24323844388999</v>
      </c>
    </row>
    <row r="111" spans="1:25" x14ac:dyDescent="0.25">
      <c r="A111" s="1">
        <v>1952</v>
      </c>
      <c r="B111" s="1">
        <f t="shared" si="23"/>
        <v>3.3000000000000002E-2</v>
      </c>
      <c r="C111" s="1">
        <f t="shared" si="24"/>
        <v>4.5473535139324908E-2</v>
      </c>
      <c r="D111" s="1">
        <f t="shared" si="17"/>
        <v>0</v>
      </c>
      <c r="E111" s="1">
        <f t="shared" si="25"/>
        <v>0.56657197308203611</v>
      </c>
      <c r="F111" s="1">
        <f t="shared" si="26"/>
        <v>1.2473535139324907E-2</v>
      </c>
      <c r="G111" s="9">
        <f t="shared" si="18"/>
        <v>0.56657197308203611</v>
      </c>
      <c r="H111" s="1">
        <f t="shared" si="19"/>
        <v>1.351471544533476</v>
      </c>
      <c r="I111" s="1">
        <f t="shared" si="27"/>
        <v>0.56657197308203611</v>
      </c>
      <c r="J111" s="3">
        <f t="shared" si="20"/>
        <v>0.56657197308203611</v>
      </c>
      <c r="K111" s="3">
        <f t="shared" si="21"/>
        <v>-0.24796757007766104</v>
      </c>
      <c r="L111" s="6">
        <v>3.3000000000000002E-2</v>
      </c>
      <c r="M111" s="4">
        <v>8.6999999999999994E-2</v>
      </c>
      <c r="N111" s="5">
        <v>-5.8000000000000003E-2</v>
      </c>
      <c r="O111">
        <f t="shared" si="28"/>
        <v>-5.8000000000000003E-2</v>
      </c>
      <c r="P111">
        <f t="shared" si="29"/>
        <v>-1.4999999999999998</v>
      </c>
      <c r="Q111">
        <f t="shared" si="30"/>
        <v>-0.56896551724137934</v>
      </c>
      <c r="R111">
        <f t="shared" si="22"/>
        <v>0.35390456656336378</v>
      </c>
      <c r="T111">
        <v>-5.8000000000000003E-2</v>
      </c>
      <c r="U111">
        <v>-6.5000000000000002E-2</v>
      </c>
      <c r="V111" s="11">
        <f t="shared" si="31"/>
        <v>0.7121651703491807</v>
      </c>
      <c r="W111">
        <f t="shared" si="32"/>
        <v>7.056599003620731E-2</v>
      </c>
      <c r="X111" s="13">
        <f t="shared" si="33"/>
        <v>-0.250575422506566</v>
      </c>
      <c r="Y111" s="13">
        <v>0.249424577493434</v>
      </c>
    </row>
    <row r="112" spans="1:25" x14ac:dyDescent="0.25">
      <c r="A112" s="1">
        <v>1953</v>
      </c>
      <c r="B112" s="1">
        <f t="shared" si="23"/>
        <v>0.10100000000000001</v>
      </c>
      <c r="C112" s="1">
        <f t="shared" si="24"/>
        <v>0.10202835533895416</v>
      </c>
      <c r="D112" s="1">
        <f t="shared" si="17"/>
        <v>0</v>
      </c>
      <c r="E112" s="1">
        <f t="shared" si="25"/>
        <v>0.61989302460783369</v>
      </c>
      <c r="F112" s="1">
        <f t="shared" si="26"/>
        <v>1.0283553389541511E-3</v>
      </c>
      <c r="G112" s="9">
        <f t="shared" si="18"/>
        <v>0.61989302460783369</v>
      </c>
      <c r="H112" s="1">
        <f t="shared" si="19"/>
        <v>1.6221462696611288E-2</v>
      </c>
      <c r="I112" s="1">
        <f t="shared" si="27"/>
        <v>0.61989302460783369</v>
      </c>
      <c r="J112" s="3">
        <f t="shared" si="20"/>
        <v>0.61989302460783369</v>
      </c>
      <c r="K112" s="3">
        <f t="shared" si="21"/>
        <v>0.53065422376071014</v>
      </c>
      <c r="L112" s="6">
        <v>0.10100000000000001</v>
      </c>
      <c r="M112" s="4">
        <v>0.09</v>
      </c>
      <c r="N112" s="5">
        <v>0.13200000000000001</v>
      </c>
      <c r="O112">
        <f t="shared" si="28"/>
        <v>0.13200000000000001</v>
      </c>
      <c r="P112">
        <f t="shared" si="29"/>
        <v>0.68181818181818177</v>
      </c>
      <c r="Q112">
        <f t="shared" si="30"/>
        <v>0.76515151515151514</v>
      </c>
      <c r="R112">
        <f t="shared" si="22"/>
        <v>-0.75736094440186252</v>
      </c>
      <c r="T112">
        <v>0.13200000000000001</v>
      </c>
      <c r="U112">
        <v>0.11749999999999999</v>
      </c>
      <c r="V112" s="11">
        <f t="shared" si="31"/>
        <v>0.70983115304261446</v>
      </c>
      <c r="W112">
        <f t="shared" si="32"/>
        <v>0.12828259965194755</v>
      </c>
      <c r="X112" s="13">
        <f t="shared" si="33"/>
        <v>-0.21243072146800501</v>
      </c>
      <c r="Y112" s="13">
        <v>0.28756927853199499</v>
      </c>
    </row>
    <row r="113" spans="1:25" x14ac:dyDescent="0.25">
      <c r="A113" s="1">
        <v>1954</v>
      </c>
      <c r="B113" s="1">
        <f t="shared" si="23"/>
        <v>-0.128</v>
      </c>
      <c r="C113" s="1">
        <f t="shared" si="24"/>
        <v>-0.11303780711860555</v>
      </c>
      <c r="D113" s="1">
        <f t="shared" si="17"/>
        <v>-1.4524709386279561E-2</v>
      </c>
      <c r="E113" s="1">
        <f t="shared" si="25"/>
        <v>0.65469419479464197</v>
      </c>
      <c r="F113" s="1">
        <f t="shared" si="26"/>
        <v>1.4962192881394457E-2</v>
      </c>
      <c r="G113" s="9">
        <f t="shared" si="18"/>
        <v>0.65469419479464197</v>
      </c>
      <c r="H113" s="1">
        <f t="shared" si="19"/>
        <v>0.35481811351659609</v>
      </c>
      <c r="I113" s="1">
        <f t="shared" si="27"/>
        <v>1.0720549513471775</v>
      </c>
      <c r="J113" s="3">
        <f t="shared" si="20"/>
        <v>1.0720549513471775</v>
      </c>
      <c r="K113" s="3">
        <f t="shared" si="21"/>
        <v>0.65469419479464197</v>
      </c>
      <c r="L113" s="6">
        <v>-0.128</v>
      </c>
      <c r="M113" s="4">
        <v>-9.7000000000000003E-2</v>
      </c>
      <c r="N113" s="5">
        <v>-0.153</v>
      </c>
      <c r="O113">
        <f t="shared" si="28"/>
        <v>-0.153</v>
      </c>
      <c r="P113">
        <f t="shared" si="29"/>
        <v>0.63398692810457524</v>
      </c>
      <c r="Q113">
        <f t="shared" si="30"/>
        <v>0.83660130718954251</v>
      </c>
      <c r="R113">
        <f t="shared" si="22"/>
        <v>-0.93439341752545402</v>
      </c>
      <c r="T113">
        <v>-0.153</v>
      </c>
      <c r="U113">
        <v>-0.151</v>
      </c>
      <c r="V113" s="11">
        <f t="shared" si="31"/>
        <v>0.70749252382665873</v>
      </c>
      <c r="W113">
        <f t="shared" si="32"/>
        <v>-0.14165639064415164</v>
      </c>
      <c r="X113" s="13">
        <f t="shared" si="33"/>
        <v>-0.24797719395909501</v>
      </c>
      <c r="Y113" s="13">
        <v>0.25202280604090499</v>
      </c>
    </row>
    <row r="114" spans="1:25" x14ac:dyDescent="0.25">
      <c r="A114" s="1">
        <v>1955</v>
      </c>
      <c r="B114" s="1">
        <f t="shared" si="23"/>
        <v>-0.185</v>
      </c>
      <c r="C114" s="1">
        <f t="shared" si="24"/>
        <v>-0.16973251414647053</v>
      </c>
      <c r="D114" s="1">
        <f t="shared" si="17"/>
        <v>-1.8821577379006194E-2</v>
      </c>
      <c r="E114" s="1">
        <f t="shared" si="25"/>
        <v>0.74243316055108743</v>
      </c>
      <c r="F114" s="1">
        <f t="shared" si="26"/>
        <v>1.5267485853529467E-2</v>
      </c>
      <c r="G114" s="9">
        <f t="shared" si="18"/>
        <v>0.74243316055108743</v>
      </c>
      <c r="H114" s="1">
        <f t="shared" si="19"/>
        <v>0.42208784541208089</v>
      </c>
      <c r="I114" s="1">
        <f t="shared" si="27"/>
        <v>1.197641429833054</v>
      </c>
      <c r="J114" s="3">
        <f t="shared" si="20"/>
        <v>1.197641429833054</v>
      </c>
      <c r="K114" s="3">
        <f t="shared" si="21"/>
        <v>0.74243316055108743</v>
      </c>
      <c r="L114" s="6">
        <v>-0.185</v>
      </c>
      <c r="M114" s="4">
        <v>-0.16200000000000001</v>
      </c>
      <c r="N114" s="5">
        <v>-0.189</v>
      </c>
      <c r="O114">
        <f t="shared" si="28"/>
        <v>-0.189</v>
      </c>
      <c r="P114">
        <f t="shared" si="29"/>
        <v>0.85714285714285721</v>
      </c>
      <c r="Q114">
        <f t="shared" si="30"/>
        <v>0.97883597883597884</v>
      </c>
      <c r="R114">
        <f t="shared" si="22"/>
        <v>-1.0596163272673518</v>
      </c>
      <c r="T114">
        <v>-0.189</v>
      </c>
      <c r="U114">
        <v>-0.184</v>
      </c>
      <c r="V114" s="11">
        <f t="shared" si="31"/>
        <v>0.70515540707856417</v>
      </c>
      <c r="W114">
        <f t="shared" si="32"/>
        <v>-0.21807006328310063</v>
      </c>
      <c r="X114" s="13">
        <f t="shared" si="33"/>
        <v>-0.23089254542153298</v>
      </c>
      <c r="Y114" s="13">
        <v>0.26910745457846702</v>
      </c>
    </row>
    <row r="115" spans="1:25" x14ac:dyDescent="0.25">
      <c r="A115" s="1">
        <v>1956</v>
      </c>
      <c r="B115" s="1">
        <f t="shared" si="23"/>
        <v>-0.26200000000000001</v>
      </c>
      <c r="C115" s="1">
        <f t="shared" si="24"/>
        <v>-0.23860680498771186</v>
      </c>
      <c r="D115" s="1">
        <f t="shared" si="17"/>
        <v>0</v>
      </c>
      <c r="E115" s="1">
        <f t="shared" si="25"/>
        <v>0.72541193222197831</v>
      </c>
      <c r="F115" s="1">
        <f t="shared" si="26"/>
        <v>2.3393195012288148E-2</v>
      </c>
      <c r="G115" s="9">
        <f t="shared" si="18"/>
        <v>0.72541193222197831</v>
      </c>
      <c r="H115" s="1">
        <f t="shared" si="19"/>
        <v>0.13465606859345858</v>
      </c>
      <c r="I115" s="1">
        <f t="shared" si="27"/>
        <v>0.72541193222197831</v>
      </c>
      <c r="J115" s="3">
        <f t="shared" si="20"/>
        <v>0.72541193222197831</v>
      </c>
      <c r="K115" s="3">
        <f t="shared" si="21"/>
        <v>0.46830032388866288</v>
      </c>
      <c r="L115" s="6">
        <v>-0.26200000000000001</v>
      </c>
      <c r="M115" s="4">
        <v>-0.16300000000000001</v>
      </c>
      <c r="N115" s="5">
        <v>-0.42699999999999999</v>
      </c>
      <c r="O115">
        <f t="shared" si="28"/>
        <v>-0.42699999999999999</v>
      </c>
      <c r="P115">
        <f t="shared" si="29"/>
        <v>0.38173302107728341</v>
      </c>
      <c r="Q115">
        <f t="shared" si="30"/>
        <v>0.61358313817330212</v>
      </c>
      <c r="R115">
        <f t="shared" si="22"/>
        <v>-0.66836813820207996</v>
      </c>
      <c r="T115">
        <v>-0.42699999999999999</v>
      </c>
      <c r="U115">
        <v>-0.41108299999999998</v>
      </c>
      <c r="V115" s="11">
        <f t="shared" si="31"/>
        <v>0.70282551366835833</v>
      </c>
      <c r="W115">
        <f t="shared" si="32"/>
        <v>-0.28778956437248598</v>
      </c>
      <c r="X115" s="13">
        <f t="shared" si="33"/>
        <v>-0.27004392174505099</v>
      </c>
      <c r="Y115" s="13">
        <v>0.22995607825494899</v>
      </c>
    </row>
    <row r="116" spans="1:25" x14ac:dyDescent="0.25">
      <c r="A116" s="1">
        <v>1957</v>
      </c>
      <c r="B116" s="1">
        <f t="shared" si="23"/>
        <v>-1E-3</v>
      </c>
      <c r="C116" s="1">
        <f t="shared" si="24"/>
        <v>1.6919659872963209E-2</v>
      </c>
      <c r="D116" s="1">
        <f t="shared" si="17"/>
        <v>0</v>
      </c>
      <c r="E116" s="1">
        <f t="shared" si="25"/>
        <v>0.7771800453682407</v>
      </c>
      <c r="F116" s="1">
        <f t="shared" si="26"/>
        <v>1.791965987296321E-2</v>
      </c>
      <c r="G116" s="9">
        <f t="shared" si="18"/>
        <v>0.7771800453682407</v>
      </c>
      <c r="H116" s="1">
        <f t="shared" si="19"/>
        <v>0.69052364667475608</v>
      </c>
      <c r="I116" s="1">
        <f t="shared" si="27"/>
        <v>0.7771800453682407</v>
      </c>
      <c r="J116" s="3">
        <f t="shared" si="20"/>
        <v>0.7771800453682407</v>
      </c>
      <c r="K116" s="3">
        <f t="shared" si="21"/>
        <v>0.19494546273039776</v>
      </c>
      <c r="L116" s="6">
        <v>-1E-3</v>
      </c>
      <c r="M116" s="4">
        <v>5.0999999999999997E-2</v>
      </c>
      <c r="N116" s="5">
        <v>-6.8000000000000005E-2</v>
      </c>
      <c r="O116">
        <f t="shared" si="28"/>
        <v>-6.8000000000000005E-2</v>
      </c>
      <c r="P116">
        <f t="shared" si="29"/>
        <v>-0.74999999999999989</v>
      </c>
      <c r="Q116">
        <f t="shared" si="30"/>
        <v>1.4705882352941176E-2</v>
      </c>
      <c r="R116">
        <f t="shared" si="22"/>
        <v>-0.27823029224945889</v>
      </c>
      <c r="T116">
        <v>-6.8000000000000005E-2</v>
      </c>
      <c r="U116">
        <v>-7.0749999999999993E-2</v>
      </c>
      <c r="V116" s="11">
        <f t="shared" si="31"/>
        <v>0.70050814840942621</v>
      </c>
      <c r="W116">
        <f t="shared" si="32"/>
        <v>3.247943370869931E-2</v>
      </c>
      <c r="X116" s="13">
        <f t="shared" si="33"/>
        <v>-0.20729024415282199</v>
      </c>
      <c r="Y116" s="13">
        <v>0.29270975584717801</v>
      </c>
    </row>
    <row r="117" spans="1:25" x14ac:dyDescent="0.25">
      <c r="A117" s="1">
        <v>1958</v>
      </c>
      <c r="B117" s="1">
        <f t="shared" si="23"/>
        <v>4.9000000000000002E-2</v>
      </c>
      <c r="C117" s="1">
        <f t="shared" si="24"/>
        <v>7.3835538789368257E-2</v>
      </c>
      <c r="D117" s="1">
        <f t="shared" si="17"/>
        <v>-2.9759409738280035E-2</v>
      </c>
      <c r="E117" s="7">
        <f t="shared" si="25"/>
        <v>0.33198285832253388</v>
      </c>
      <c r="F117" s="1">
        <f t="shared" si="26"/>
        <v>2.4835538789368256E-2</v>
      </c>
      <c r="G117" s="9">
        <f t="shared" si="18"/>
        <v>0.33198285832253388</v>
      </c>
      <c r="H117" s="1">
        <f t="shared" si="19"/>
        <v>-1.105913267623168</v>
      </c>
      <c r="I117" s="1" t="e">
        <f t="shared" si="27"/>
        <v>#NUM!</v>
      </c>
      <c r="J117" s="3" t="b">
        <f t="shared" si="20"/>
        <v>0</v>
      </c>
      <c r="K117" s="3">
        <f t="shared" si="21"/>
        <v>0.33198285832253388</v>
      </c>
      <c r="L117" s="6">
        <v>4.9000000000000002E-2</v>
      </c>
      <c r="M117" s="4">
        <v>8.3000000000000004E-2</v>
      </c>
      <c r="N117" s="5">
        <v>5.0999999999999997E-2</v>
      </c>
      <c r="O117">
        <f t="shared" si="28"/>
        <v>5.0999999999999997E-2</v>
      </c>
      <c r="P117">
        <f t="shared" si="29"/>
        <v>1.6274509803921571</v>
      </c>
      <c r="Q117">
        <f t="shared" si="30"/>
        <v>0.96078431372549034</v>
      </c>
      <c r="R117">
        <f t="shared" si="22"/>
        <v>-0.4738129649143481</v>
      </c>
      <c r="T117">
        <v>5.0999999999999997E-2</v>
      </c>
      <c r="U117">
        <v>4.0750000000000001E-2</v>
      </c>
      <c r="V117" s="11">
        <f t="shared" si="31"/>
        <v>0.69820815790444613</v>
      </c>
      <c r="W117">
        <f t="shared" si="32"/>
        <v>9.9436834978443786E-2</v>
      </c>
      <c r="X117" s="13">
        <f t="shared" si="33"/>
        <v>-0.19634656888110802</v>
      </c>
      <c r="Y117" s="13">
        <v>0.30365343111889198</v>
      </c>
    </row>
    <row r="118" spans="1:25" x14ac:dyDescent="0.25">
      <c r="A118" s="1">
        <v>1959</v>
      </c>
      <c r="B118" s="1">
        <f t="shared" si="23"/>
        <v>1.7000000000000001E-2</v>
      </c>
      <c r="C118" s="1">
        <f t="shared" si="24"/>
        <v>3.4699432917690676E-2</v>
      </c>
      <c r="D118" s="1" t="e">
        <f t="shared" si="17"/>
        <v>#DIV/0!</v>
      </c>
      <c r="E118" s="7">
        <f t="shared" si="25"/>
        <v>0</v>
      </c>
      <c r="F118" s="1">
        <f t="shared" si="26"/>
        <v>1.7699432917690675E-2</v>
      </c>
      <c r="G118" s="9"/>
      <c r="H118" s="1">
        <f t="shared" si="19"/>
        <v>-1.7626851100303869</v>
      </c>
      <c r="I118" s="1" t="e">
        <f t="shared" si="27"/>
        <v>#NUM!</v>
      </c>
      <c r="J118" s="3" t="b">
        <f t="shared" si="20"/>
        <v>0</v>
      </c>
      <c r="K118" s="3">
        <f t="shared" si="21"/>
        <v>-2.5792960115634388E-2</v>
      </c>
      <c r="L118" s="6">
        <v>1.7000000000000001E-2</v>
      </c>
      <c r="M118" s="4">
        <v>4.1000000000000002E-2</v>
      </c>
      <c r="N118" s="5">
        <v>1.9E-2</v>
      </c>
      <c r="O118">
        <f t="shared" si="28"/>
        <v>1.9E-2</v>
      </c>
      <c r="P118">
        <f t="shared" si="29"/>
        <v>2.1578947368421053</v>
      </c>
      <c r="Q118">
        <f t="shared" si="30"/>
        <v>0.89473684210526327</v>
      </c>
      <c r="R118">
        <f t="shared" si="22"/>
        <v>3.681225882582484E-2</v>
      </c>
      <c r="T118">
        <v>1.9E-2</v>
      </c>
      <c r="U118">
        <v>1.55E-2</v>
      </c>
      <c r="V118" s="11">
        <f t="shared" si="31"/>
        <v>0.69592991564422846</v>
      </c>
      <c r="W118">
        <f t="shared" si="32"/>
        <v>4.7483037543585488E-2</v>
      </c>
      <c r="X118" s="13">
        <f t="shared" si="33"/>
        <v>-0.18371469156629799</v>
      </c>
      <c r="Y118" s="13">
        <v>0.31628530843370201</v>
      </c>
    </row>
    <row r="119" spans="1:25" x14ac:dyDescent="0.25">
      <c r="A119" s="1">
        <v>1960</v>
      </c>
      <c r="B119" s="1">
        <f t="shared" si="23"/>
        <v>-0.05</v>
      </c>
      <c r="C119" s="1">
        <f t="shared" si="24"/>
        <v>-2.3192816549585903E-2</v>
      </c>
      <c r="D119" s="1">
        <f t="shared" si="17"/>
        <v>-1.8797350377219579E-2</v>
      </c>
      <c r="E119" s="1">
        <f t="shared" si="25"/>
        <v>0.70810386858532526</v>
      </c>
      <c r="F119" s="1">
        <f t="shared" si="26"/>
        <v>2.68071834504141E-2</v>
      </c>
      <c r="G119" s="9">
        <f t="shared" si="18"/>
        <v>0.70810386858532526</v>
      </c>
      <c r="H119" s="1">
        <f t="shared" si="19"/>
        <v>0.99984178587591088</v>
      </c>
      <c r="I119" s="1">
        <f t="shared" si="27"/>
        <v>1.4087106895808772</v>
      </c>
      <c r="J119" s="3">
        <f t="shared" si="20"/>
        <v>1.4087106895808772</v>
      </c>
      <c r="K119" s="3">
        <f t="shared" si="21"/>
        <v>0.70810386858532526</v>
      </c>
      <c r="L119" s="6">
        <v>-0.05</v>
      </c>
      <c r="M119" s="4">
        <v>-2E-3</v>
      </c>
      <c r="N119" s="5">
        <v>-7.5999999999999998E-2</v>
      </c>
      <c r="O119">
        <f t="shared" si="28"/>
        <v>-7.5999999999999998E-2</v>
      </c>
      <c r="P119">
        <f t="shared" si="29"/>
        <v>2.6315789473684213E-2</v>
      </c>
      <c r="Q119">
        <f t="shared" si="30"/>
        <v>0.65789473684210531</v>
      </c>
      <c r="R119">
        <f t="shared" si="22"/>
        <v>-1.0106208348738699</v>
      </c>
      <c r="T119">
        <v>-7.5999999999999998E-2</v>
      </c>
      <c r="U119">
        <v>-7.2666700000000001E-2</v>
      </c>
      <c r="V119" s="11">
        <f t="shared" si="31"/>
        <v>0.69367724750190973</v>
      </c>
      <c r="W119">
        <f t="shared" si="32"/>
        <v>-2.3823066885920896E-2</v>
      </c>
      <c r="X119" s="13">
        <f t="shared" si="33"/>
        <v>-0.20211075387052302</v>
      </c>
      <c r="Y119" s="13">
        <v>0.29788924612947698</v>
      </c>
    </row>
    <row r="120" spans="1:25" x14ac:dyDescent="0.25">
      <c r="A120" s="1">
        <v>1961</v>
      </c>
      <c r="B120" s="1">
        <f t="shared" si="23"/>
        <v>3.9E-2</v>
      </c>
      <c r="C120" s="1">
        <f t="shared" si="24"/>
        <v>5.0136105871677578E-2</v>
      </c>
      <c r="D120" s="1">
        <f t="shared" si="17"/>
        <v>-9.7495798005446735E-3</v>
      </c>
      <c r="E120" s="7">
        <f t="shared" si="25"/>
        <v>0.45402741321411333</v>
      </c>
      <c r="F120" s="1">
        <f t="shared" si="26"/>
        <v>1.1136105871677578E-2</v>
      </c>
      <c r="G120" s="9">
        <f t="shared" si="18"/>
        <v>0.45402741321411333</v>
      </c>
      <c r="H120" s="1">
        <f t="shared" si="19"/>
        <v>-0.58769336800001704</v>
      </c>
      <c r="I120" s="1" t="e">
        <f t="shared" si="27"/>
        <v>#NUM!</v>
      </c>
      <c r="J120" s="3" t="b">
        <f t="shared" si="20"/>
        <v>0</v>
      </c>
      <c r="K120" s="3">
        <f t="shared" si="21"/>
        <v>0.45402741321411333</v>
      </c>
      <c r="L120" s="6">
        <v>3.9E-2</v>
      </c>
      <c r="M120" s="4">
        <v>5.2999999999999999E-2</v>
      </c>
      <c r="N120" s="5">
        <v>4.2999999999999997E-2</v>
      </c>
      <c r="O120">
        <f t="shared" si="28"/>
        <v>4.2999999999999997E-2</v>
      </c>
      <c r="P120">
        <f t="shared" si="29"/>
        <v>1.2325581395348837</v>
      </c>
      <c r="Q120">
        <f t="shared" si="30"/>
        <v>0.90697674418604657</v>
      </c>
      <c r="R120">
        <f t="shared" si="22"/>
        <v>-0.64799753786796344</v>
      </c>
      <c r="T120">
        <v>4.2999999999999997E-2</v>
      </c>
      <c r="U120">
        <v>4.2250000000000003E-2</v>
      </c>
      <c r="V120" s="11">
        <f t="shared" si="31"/>
        <v>0.69145351368933916</v>
      </c>
      <c r="W120">
        <f t="shared" si="32"/>
        <v>6.7013087259427215E-2</v>
      </c>
      <c r="X120" s="13">
        <f t="shared" si="33"/>
        <v>-0.15616340507113102</v>
      </c>
      <c r="Y120" s="13">
        <v>0.34383659492886898</v>
      </c>
    </row>
    <row r="121" spans="1:25" x14ac:dyDescent="0.25">
      <c r="A121" s="1">
        <v>1962</v>
      </c>
      <c r="B121" s="1">
        <f t="shared" si="23"/>
        <v>1.7999999999999999E-2</v>
      </c>
      <c r="C121" s="1">
        <f t="shared" si="24"/>
        <v>1.5727788256644837E-2</v>
      </c>
      <c r="D121" s="1">
        <f t="shared" si="17"/>
        <v>0</v>
      </c>
      <c r="E121" s="1">
        <f t="shared" si="25"/>
        <v>0.77412341997074618</v>
      </c>
      <c r="F121" s="1">
        <f t="shared" si="26"/>
        <v>2.2722117433551618E-3</v>
      </c>
      <c r="G121" s="9">
        <f t="shared" si="18"/>
        <v>0.77412341997074618</v>
      </c>
      <c r="H121" s="1">
        <f t="shared" si="19"/>
        <v>0.18413105389734685</v>
      </c>
      <c r="I121" s="1">
        <f t="shared" si="27"/>
        <v>0.77412341997074618</v>
      </c>
      <c r="J121" s="3">
        <f t="shared" si="20"/>
        <v>0.77412341997074618</v>
      </c>
      <c r="K121" s="3">
        <f t="shared" si="21"/>
        <v>0.47346578343737261</v>
      </c>
      <c r="L121" s="6">
        <v>1.7999999999999999E-2</v>
      </c>
      <c r="M121" s="4">
        <v>0.01</v>
      </c>
      <c r="N121" s="5">
        <v>0.03</v>
      </c>
      <c r="O121">
        <f t="shared" si="28"/>
        <v>0.03</v>
      </c>
      <c r="P121">
        <f t="shared" si="29"/>
        <v>0.33333333333333337</v>
      </c>
      <c r="Q121">
        <f t="shared" si="30"/>
        <v>0.6</v>
      </c>
      <c r="R121">
        <f t="shared" si="22"/>
        <v>-0.67574039144517206</v>
      </c>
      <c r="T121">
        <v>0.03</v>
      </c>
      <c r="U121">
        <v>2.54167E-2</v>
      </c>
      <c r="V121" s="11">
        <f t="shared" si="31"/>
        <v>0.68926143739372492</v>
      </c>
      <c r="W121">
        <f t="shared" si="32"/>
        <v>1.8944946740885725E-2</v>
      </c>
      <c r="X121" s="13">
        <f t="shared" si="33"/>
        <v>-0.168833856052097</v>
      </c>
      <c r="Y121" s="13">
        <v>0.331166143947903</v>
      </c>
    </row>
    <row r="122" spans="1:25" x14ac:dyDescent="0.25">
      <c r="A122" s="1">
        <v>1963</v>
      </c>
      <c r="B122" s="1">
        <f t="shared" si="23"/>
        <v>0.05</v>
      </c>
      <c r="C122" s="1">
        <f t="shared" si="24"/>
        <v>4.8976370550871527E-2</v>
      </c>
      <c r="D122" s="1">
        <f t="shared" si="17"/>
        <v>8.5000000000000075E-3</v>
      </c>
      <c r="E122" s="1">
        <f t="shared" si="25"/>
        <v>1</v>
      </c>
      <c r="F122" s="1">
        <f t="shared" si="26"/>
        <v>1.0236294491284756E-3</v>
      </c>
      <c r="G122" s="9">
        <f t="shared" si="18"/>
        <v>1</v>
      </c>
      <c r="H122" s="1">
        <f t="shared" si="19"/>
        <v>2.5101669333188306</v>
      </c>
      <c r="I122" s="1">
        <f t="shared" si="27"/>
        <v>2.5996918078906921</v>
      </c>
      <c r="J122" s="3">
        <f t="shared" si="20"/>
        <v>2.5996918078906921</v>
      </c>
      <c r="K122" s="3">
        <f t="shared" si="21"/>
        <v>1.4895971266472885</v>
      </c>
      <c r="L122" s="6">
        <v>0.05</v>
      </c>
      <c r="M122" s="4">
        <v>5.8999999999999997E-2</v>
      </c>
      <c r="N122" s="5">
        <v>2.4E-2</v>
      </c>
      <c r="O122">
        <f t="shared" si="28"/>
        <v>2.4E-2</v>
      </c>
      <c r="P122">
        <f t="shared" si="29"/>
        <v>2.458333333333333</v>
      </c>
      <c r="Q122">
        <f t="shared" si="30"/>
        <v>2.0833333333333335</v>
      </c>
      <c r="R122">
        <f t="shared" si="22"/>
        <v>-2.1259845603803535</v>
      </c>
      <c r="T122">
        <v>2.4E-2</v>
      </c>
      <c r="U122">
        <v>1.7500000000000002E-2</v>
      </c>
      <c r="V122" s="11">
        <f t="shared" si="31"/>
        <v>0.68710322398692369</v>
      </c>
      <c r="W122">
        <f t="shared" si="32"/>
        <v>6.8149473239460454E-2</v>
      </c>
      <c r="X122" s="13">
        <f t="shared" si="33"/>
        <v>-0.13247393411721398</v>
      </c>
      <c r="Y122" s="13">
        <v>0.36752606588278602</v>
      </c>
    </row>
    <row r="123" spans="1:25" x14ac:dyDescent="0.25">
      <c r="A123" s="1">
        <v>1964</v>
      </c>
      <c r="B123" s="1">
        <f t="shared" si="23"/>
        <v>-0.224</v>
      </c>
      <c r="C123" s="1">
        <f t="shared" si="24"/>
        <v>-0.19224480133766852</v>
      </c>
      <c r="D123" s="1">
        <f t="shared" si="17"/>
        <v>0</v>
      </c>
      <c r="E123" s="1">
        <f t="shared" si="25"/>
        <v>0.99415752635161714</v>
      </c>
      <c r="F123" s="1">
        <f t="shared" si="26"/>
        <v>3.175519866233148E-2</v>
      </c>
      <c r="G123" s="9">
        <f t="shared" si="18"/>
        <v>0.99415752635161714</v>
      </c>
      <c r="H123" s="1">
        <f t="shared" si="19"/>
        <v>0.32076970215884726</v>
      </c>
      <c r="I123" s="1">
        <f t="shared" si="27"/>
        <v>0.99415752635161714</v>
      </c>
      <c r="J123" s="3">
        <f t="shared" si="20"/>
        <v>0.99415752635161714</v>
      </c>
      <c r="K123" s="3">
        <f t="shared" si="21"/>
        <v>0.5973267102566302</v>
      </c>
      <c r="L123" s="6">
        <v>-0.224</v>
      </c>
      <c r="M123" s="4">
        <v>-0.14899999999999999</v>
      </c>
      <c r="N123" s="5">
        <v>-0.3</v>
      </c>
      <c r="O123">
        <f t="shared" si="28"/>
        <v>-0.3</v>
      </c>
      <c r="P123">
        <f t="shared" si="29"/>
        <v>0.49666666666666665</v>
      </c>
      <c r="Q123">
        <f t="shared" si="30"/>
        <v>0.7466666666666667</v>
      </c>
      <c r="R123">
        <f t="shared" si="22"/>
        <v>-0.85251732887443832</v>
      </c>
      <c r="T123">
        <v>-0.3</v>
      </c>
      <c r="U123">
        <v>-0.28925000000000001</v>
      </c>
      <c r="V123" s="11">
        <f t="shared" si="31"/>
        <v>0.68498040456324816</v>
      </c>
      <c r="W123">
        <f t="shared" si="32"/>
        <v>-0.24114458916916659</v>
      </c>
      <c r="X123" s="13">
        <f t="shared" si="33"/>
        <v>-0.18478657518355002</v>
      </c>
      <c r="Y123" s="13">
        <v>0.31521342481644998</v>
      </c>
    </row>
    <row r="124" spans="1:25" x14ac:dyDescent="0.25">
      <c r="A124" s="1">
        <v>1965</v>
      </c>
      <c r="B124" s="1">
        <f t="shared" si="23"/>
        <v>-0.14099999999999999</v>
      </c>
      <c r="C124" s="1">
        <f t="shared" si="24"/>
        <v>-0.14479867660403023</v>
      </c>
      <c r="D124" s="1">
        <f t="shared" si="17"/>
        <v>3.6925563830740582E-3</v>
      </c>
      <c r="E124" s="7">
        <f t="shared" si="25"/>
        <v>0.41081960694431363</v>
      </c>
      <c r="F124" s="1">
        <f t="shared" si="26"/>
        <v>3.7986766040302433E-3</v>
      </c>
      <c r="G124" s="9">
        <f t="shared" si="18"/>
        <v>0.41081960694431363</v>
      </c>
      <c r="H124" s="1">
        <f t="shared" si="19"/>
        <v>-3.7009542148586039E-2</v>
      </c>
      <c r="I124" s="1" t="e">
        <f t="shared" si="27"/>
        <v>#NUM!</v>
      </c>
      <c r="J124" s="3" t="b">
        <f t="shared" si="20"/>
        <v>0</v>
      </c>
      <c r="K124" s="3">
        <f t="shared" si="21"/>
        <v>0.41081960694431363</v>
      </c>
      <c r="L124" s="6">
        <v>-0.14099999999999999</v>
      </c>
      <c r="M124" s="4">
        <v>-0.109</v>
      </c>
      <c r="N124" s="5">
        <v>-0.23400000000000001</v>
      </c>
      <c r="O124">
        <f t="shared" si="28"/>
        <v>-0.23400000000000001</v>
      </c>
      <c r="P124">
        <f t="shared" si="29"/>
        <v>0.46581196581196577</v>
      </c>
      <c r="Q124">
        <f t="shared" si="30"/>
        <v>0.60256410256410242</v>
      </c>
      <c r="R124">
        <f t="shared" si="22"/>
        <v>-0.58633044186311845</v>
      </c>
      <c r="T124">
        <v>-0.23400000000000001</v>
      </c>
      <c r="U124">
        <v>-0.22916700000000001</v>
      </c>
      <c r="V124" s="11">
        <f t="shared" si="31"/>
        <v>0.68289388809353113</v>
      </c>
      <c r="W124">
        <f t="shared" si="32"/>
        <v>-0.18091796366995325</v>
      </c>
      <c r="X124" s="13">
        <f t="shared" si="33"/>
        <v>-0.15011188578410101</v>
      </c>
      <c r="Y124" s="13">
        <v>0.34988811421589899</v>
      </c>
    </row>
    <row r="125" spans="1:25" x14ac:dyDescent="0.25">
      <c r="A125" s="1">
        <v>1966</v>
      </c>
      <c r="B125" s="1">
        <f t="shared" si="23"/>
        <v>-7.2999999999999995E-2</v>
      </c>
      <c r="C125" s="1">
        <f t="shared" si="24"/>
        <v>-4.2812854273507311E-2</v>
      </c>
      <c r="D125" s="1">
        <f t="shared" si="17"/>
        <v>0</v>
      </c>
      <c r="E125" s="1">
        <f t="shared" si="25"/>
        <v>0.98088114678908578</v>
      </c>
      <c r="F125" s="1">
        <f t="shared" si="26"/>
        <v>3.0187145726492684E-2</v>
      </c>
      <c r="G125" s="9">
        <f t="shared" si="18"/>
        <v>0.98088114678908578</v>
      </c>
      <c r="H125" s="1">
        <f t="shared" si="19"/>
        <v>0.48717743436323413</v>
      </c>
      <c r="I125" s="1">
        <f t="shared" si="27"/>
        <v>0.98088114678908578</v>
      </c>
      <c r="J125" s="3">
        <f t="shared" si="20"/>
        <v>0.98088114678908578</v>
      </c>
      <c r="K125" s="3">
        <f t="shared" si="21"/>
        <v>0.49183222958829803</v>
      </c>
      <c r="L125" s="6">
        <v>-7.2999999999999995E-2</v>
      </c>
      <c r="M125" s="4">
        <v>-1E-3</v>
      </c>
      <c r="N125" s="5">
        <v>-0.14699999999999999</v>
      </c>
      <c r="O125">
        <f t="shared" si="28"/>
        <v>-0.14699999999999999</v>
      </c>
      <c r="P125">
        <f t="shared" si="29"/>
        <v>6.8027210884353748E-3</v>
      </c>
      <c r="Q125">
        <f t="shared" si="30"/>
        <v>0.49659863945578231</v>
      </c>
      <c r="R125">
        <f t="shared" si="22"/>
        <v>-0.70195337228906585</v>
      </c>
      <c r="T125">
        <v>-0.14699999999999999</v>
      </c>
      <c r="U125">
        <v>-0.15024999999999999</v>
      </c>
      <c r="V125" s="11">
        <f t="shared" si="31"/>
        <v>0.68084390182048082</v>
      </c>
      <c r="W125">
        <f t="shared" si="32"/>
        <v>-4.3147370261696495E-2</v>
      </c>
      <c r="X125" s="13">
        <f t="shared" si="33"/>
        <v>-0.13148478978093597</v>
      </c>
      <c r="Y125" s="13">
        <v>0.36851521021906403</v>
      </c>
    </row>
    <row r="126" spans="1:25" x14ac:dyDescent="0.25">
      <c r="A126" s="1">
        <v>1967</v>
      </c>
      <c r="B126" s="1">
        <f t="shared" si="23"/>
        <v>-7.5999999999999998E-2</v>
      </c>
      <c r="C126" s="1">
        <f t="shared" si="24"/>
        <v>-6.7169187100457439E-2</v>
      </c>
      <c r="D126" s="1">
        <f t="shared" si="17"/>
        <v>-8.3910023877415835E-3</v>
      </c>
      <c r="E126" s="1">
        <f t="shared" si="25"/>
        <v>0.62566050820685448</v>
      </c>
      <c r="F126" s="1">
        <f t="shared" si="26"/>
        <v>8.8308128995425589E-3</v>
      </c>
      <c r="G126" s="9">
        <f t="shared" si="18"/>
        <v>0.62566050820685448</v>
      </c>
      <c r="H126" s="1">
        <f t="shared" si="19"/>
        <v>0.31548611793645209</v>
      </c>
      <c r="I126" s="1">
        <f t="shared" si="27"/>
        <v>1.0192095386178417</v>
      </c>
      <c r="J126" s="3">
        <f t="shared" si="20"/>
        <v>1.0192095386178417</v>
      </c>
      <c r="K126" s="3">
        <f t="shared" si="21"/>
        <v>0.62566050820685448</v>
      </c>
      <c r="L126" s="6">
        <v>-7.5999999999999998E-2</v>
      </c>
      <c r="M126" s="4">
        <v>-5.6000000000000001E-2</v>
      </c>
      <c r="N126" s="5">
        <v>-9.5000000000000001E-2</v>
      </c>
      <c r="O126">
        <f t="shared" si="28"/>
        <v>-9.5000000000000001E-2</v>
      </c>
      <c r="P126">
        <f t="shared" si="29"/>
        <v>0.58947368421052637</v>
      </c>
      <c r="Q126">
        <f t="shared" si="30"/>
        <v>0.79999999999999993</v>
      </c>
      <c r="R126">
        <f t="shared" si="22"/>
        <v>-0.89295592525834266</v>
      </c>
      <c r="T126">
        <v>-9.5000000000000001E-2</v>
      </c>
      <c r="U126">
        <v>-9.5833299999999996E-2</v>
      </c>
      <c r="V126" s="11">
        <f t="shared" si="31"/>
        <v>0.67883000615984201</v>
      </c>
      <c r="W126">
        <f t="shared" si="32"/>
        <v>-8.6076214080838917E-2</v>
      </c>
      <c r="X126" s="13">
        <f t="shared" si="33"/>
        <v>-0.10405663048996799</v>
      </c>
      <c r="Y126" s="13">
        <v>0.39594336951003201</v>
      </c>
    </row>
    <row r="127" spans="1:25" x14ac:dyDescent="0.25">
      <c r="A127" s="1">
        <v>1968</v>
      </c>
      <c r="B127" s="1">
        <f t="shared" si="23"/>
        <v>-0.113</v>
      </c>
      <c r="C127" s="1">
        <f t="shared" si="24"/>
        <v>-9.9681474291655428E-2</v>
      </c>
      <c r="D127" s="1">
        <f t="shared" si="17"/>
        <v>0</v>
      </c>
      <c r="E127" s="1">
        <f t="shared" si="25"/>
        <v>0.67323776355099896</v>
      </c>
      <c r="F127" s="1">
        <f t="shared" si="26"/>
        <v>1.3318525708344575E-2</v>
      </c>
      <c r="G127" s="9">
        <f t="shared" si="18"/>
        <v>0.67323776355099896</v>
      </c>
      <c r="H127" s="1">
        <f t="shared" si="19"/>
        <v>0.14141450660972169</v>
      </c>
      <c r="I127" s="1">
        <f t="shared" si="27"/>
        <v>0.67323776355099896</v>
      </c>
      <c r="J127" s="3">
        <f t="shared" si="20"/>
        <v>0.67323776355099896</v>
      </c>
      <c r="K127" s="3">
        <f t="shared" si="21"/>
        <v>0.4097528819685276</v>
      </c>
      <c r="L127" s="6">
        <v>-0.113</v>
      </c>
      <c r="M127" s="4">
        <v>-5.2999999999999999E-2</v>
      </c>
      <c r="N127" s="5">
        <v>-0.216</v>
      </c>
      <c r="O127">
        <f t="shared" si="28"/>
        <v>-0.216</v>
      </c>
      <c r="P127">
        <f t="shared" si="29"/>
        <v>0.24537037037037038</v>
      </c>
      <c r="Q127">
        <f t="shared" si="30"/>
        <v>0.52314814814814814</v>
      </c>
      <c r="R127">
        <f t="shared" si="22"/>
        <v>-0.58480798939048406</v>
      </c>
      <c r="T127">
        <v>-0.216</v>
      </c>
      <c r="U127">
        <v>-0.21066699999999999</v>
      </c>
      <c r="V127" s="11">
        <f t="shared" si="31"/>
        <v>0.67685096431523561</v>
      </c>
      <c r="W127">
        <f t="shared" si="32"/>
        <v>-0.11773853118976135</v>
      </c>
      <c r="X127" s="13">
        <f t="shared" si="33"/>
        <v>-0.11740308429359197</v>
      </c>
      <c r="Y127" s="13">
        <v>0.38259691570640803</v>
      </c>
    </row>
    <row r="128" spans="1:25" x14ac:dyDescent="0.25">
      <c r="A128" s="1">
        <v>1969</v>
      </c>
      <c r="B128" s="1">
        <f t="shared" si="23"/>
        <v>2.9000000000000001E-2</v>
      </c>
      <c r="C128" s="1">
        <f t="shared" si="24"/>
        <v>4.469376209459746E-2</v>
      </c>
      <c r="D128" s="1">
        <f t="shared" si="17"/>
        <v>0</v>
      </c>
      <c r="E128" s="1">
        <f t="shared" si="25"/>
        <v>0.52943744734782694</v>
      </c>
      <c r="F128" s="1">
        <f t="shared" si="26"/>
        <v>1.5693762094597458E-2</v>
      </c>
      <c r="G128" s="9">
        <f t="shared" si="18"/>
        <v>0.52943744734782694</v>
      </c>
      <c r="H128" s="1">
        <f t="shared" si="19"/>
        <v>0.7388766056128272</v>
      </c>
      <c r="I128" s="1">
        <f t="shared" si="27"/>
        <v>0.52943744734782694</v>
      </c>
      <c r="J128" s="3">
        <f t="shared" si="20"/>
        <v>0.52943744734782694</v>
      </c>
      <c r="K128" s="3">
        <f t="shared" si="21"/>
        <v>-7.2837332787160078E-2</v>
      </c>
      <c r="L128" s="6">
        <v>2.9000000000000001E-2</v>
      </c>
      <c r="M128" s="4">
        <v>0.114</v>
      </c>
      <c r="N128" s="5">
        <v>-0.128</v>
      </c>
      <c r="O128">
        <f t="shared" si="28"/>
        <v>-0.128</v>
      </c>
      <c r="P128">
        <f t="shared" si="29"/>
        <v>-0.890625</v>
      </c>
      <c r="Q128">
        <f t="shared" si="30"/>
        <v>-0.2265625</v>
      </c>
      <c r="R128">
        <f t="shared" si="22"/>
        <v>0.1039549836359574</v>
      </c>
      <c r="T128">
        <v>-0.128</v>
      </c>
      <c r="U128">
        <v>-0.13783300000000001</v>
      </c>
      <c r="V128" s="11">
        <f t="shared" si="31"/>
        <v>0.67490488011389971</v>
      </c>
      <c r="W128">
        <f t="shared" si="32"/>
        <v>8.3880040323446647E-2</v>
      </c>
      <c r="X128" s="13">
        <f t="shared" si="33"/>
        <v>-9.6711278899433983E-2</v>
      </c>
      <c r="Y128" s="13">
        <v>0.40328872110056602</v>
      </c>
    </row>
    <row r="129" spans="1:25" x14ac:dyDescent="0.25">
      <c r="A129" s="1">
        <v>1970</v>
      </c>
      <c r="B129" s="1">
        <f t="shared" si="23"/>
        <v>-2.9000000000000001E-2</v>
      </c>
      <c r="C129" s="1">
        <f t="shared" si="24"/>
        <v>-2.4892249467276577E-2</v>
      </c>
      <c r="D129" s="1">
        <f t="shared" si="17"/>
        <v>0</v>
      </c>
      <c r="E129" s="1">
        <f t="shared" si="25"/>
        <v>0.64848470630980548</v>
      </c>
      <c r="F129" s="1">
        <f t="shared" si="26"/>
        <v>4.1077505327234247E-3</v>
      </c>
      <c r="G129" s="9">
        <f t="shared" si="18"/>
        <v>0.64848470630980548</v>
      </c>
      <c r="H129" s="1">
        <f t="shared" si="19"/>
        <v>0.15329975625739622</v>
      </c>
      <c r="I129" s="1">
        <f t="shared" si="27"/>
        <v>0.64848470630980548</v>
      </c>
      <c r="J129" s="3">
        <f t="shared" si="20"/>
        <v>0.64848470630980548</v>
      </c>
      <c r="K129" s="3">
        <f t="shared" si="21"/>
        <v>0.37415082254708421</v>
      </c>
      <c r="L129" s="6">
        <v>-2.9000000000000001E-2</v>
      </c>
      <c r="M129" s="4">
        <v>-0.01</v>
      </c>
      <c r="N129" s="5">
        <v>-6.2E-2</v>
      </c>
      <c r="O129">
        <f t="shared" si="28"/>
        <v>-6.2E-2</v>
      </c>
      <c r="P129">
        <f t="shared" si="29"/>
        <v>0.16129032258064516</v>
      </c>
      <c r="Q129">
        <f t="shared" si="30"/>
        <v>0.467741935483871</v>
      </c>
      <c r="R129">
        <f t="shared" si="22"/>
        <v>-0.53399597633424878</v>
      </c>
      <c r="T129">
        <v>-6.2E-2</v>
      </c>
      <c r="U129">
        <v>-6.6500000000000004E-2</v>
      </c>
      <c r="V129" s="11">
        <f t="shared" si="31"/>
        <v>0.67298896703869104</v>
      </c>
      <c r="W129">
        <f t="shared" si="32"/>
        <v>-2.8359743685921601E-2</v>
      </c>
      <c r="X129" s="13">
        <f t="shared" si="33"/>
        <v>-6.5932586912830993E-2</v>
      </c>
      <c r="Y129" s="13">
        <v>0.43406741308716901</v>
      </c>
    </row>
    <row r="130" spans="1:25" x14ac:dyDescent="0.25">
      <c r="A130" s="1">
        <v>1971</v>
      </c>
      <c r="B130" s="1">
        <f t="shared" si="23"/>
        <v>-0.184</v>
      </c>
      <c r="C130" s="1">
        <f t="shared" si="24"/>
        <v>-0.19343667295398689</v>
      </c>
      <c r="D130" s="1">
        <f t="shared" si="17"/>
        <v>1.2926635900464001E-3</v>
      </c>
      <c r="E130" s="7">
        <f t="shared" si="25"/>
        <v>0.6054947207245176</v>
      </c>
      <c r="F130" s="1">
        <f t="shared" si="26"/>
        <v>9.4366729539868965E-3</v>
      </c>
      <c r="G130" s="9">
        <f t="shared" si="18"/>
        <v>0.6054947207245176</v>
      </c>
      <c r="H130" s="1">
        <f t="shared" si="19"/>
        <v>-2.2120542792838371E-2</v>
      </c>
      <c r="I130" s="1" t="e">
        <f t="shared" si="27"/>
        <v>#NUM!</v>
      </c>
      <c r="J130" s="3" t="b">
        <f t="shared" si="20"/>
        <v>0</v>
      </c>
      <c r="K130" s="3">
        <f t="shared" si="21"/>
        <v>0.6054947207245176</v>
      </c>
      <c r="L130" s="6">
        <v>-0.184</v>
      </c>
      <c r="M130" s="4">
        <v>-0.19</v>
      </c>
      <c r="N130" s="5">
        <v>-0.20200000000000001</v>
      </c>
      <c r="O130">
        <f t="shared" si="28"/>
        <v>-0.20200000000000001</v>
      </c>
      <c r="P130">
        <f t="shared" si="29"/>
        <v>0.94059405940594054</v>
      </c>
      <c r="Q130">
        <f t="shared" si="30"/>
        <v>0.91089108910891081</v>
      </c>
      <c r="R130">
        <f t="shared" si="22"/>
        <v>-0.86417488636640138</v>
      </c>
      <c r="T130">
        <v>-0.20200000000000001</v>
      </c>
      <c r="U130">
        <v>-0.19375000000000001</v>
      </c>
      <c r="V130" s="11">
        <f t="shared" si="31"/>
        <v>0.67109971959143877</v>
      </c>
      <c r="W130">
        <f t="shared" si="32"/>
        <v>-0.25988622720104798</v>
      </c>
      <c r="X130" s="13">
        <f t="shared" si="33"/>
        <v>-6.4472826067501987E-2</v>
      </c>
      <c r="Y130" s="13">
        <v>0.43552717393249801</v>
      </c>
    </row>
    <row r="131" spans="1:25" x14ac:dyDescent="0.25">
      <c r="A131" s="1">
        <v>1972</v>
      </c>
      <c r="B131" s="1">
        <f t="shared" si="23"/>
        <v>-6.9000000000000006E-2</v>
      </c>
      <c r="C131" s="1">
        <f t="shared" si="24"/>
        <v>-6.5165406143899263E-2</v>
      </c>
      <c r="D131" s="1">
        <f t="shared" si="17"/>
        <v>0</v>
      </c>
      <c r="E131" s="1">
        <f t="shared" si="25"/>
        <v>0.44409721511200179</v>
      </c>
      <c r="F131" s="1">
        <f t="shared" si="26"/>
        <v>3.8345938561007431E-3</v>
      </c>
      <c r="G131" s="9">
        <f t="shared" si="18"/>
        <v>0.44409721511200179</v>
      </c>
      <c r="H131" s="1">
        <f t="shared" si="19"/>
        <v>0.10912945388927792</v>
      </c>
      <c r="I131" s="1">
        <f t="shared" si="27"/>
        <v>0.44409721511200179</v>
      </c>
      <c r="J131" s="3">
        <f t="shared" si="20"/>
        <v>0.44409721511200179</v>
      </c>
      <c r="K131" s="3">
        <f t="shared" si="21"/>
        <v>0.21263521019558335</v>
      </c>
      <c r="L131" s="6">
        <v>-6.9000000000000006E-2</v>
      </c>
      <c r="M131" s="4">
        <v>5.0000000000000001E-3</v>
      </c>
      <c r="N131" s="5">
        <v>-0.24</v>
      </c>
      <c r="O131">
        <f t="shared" si="28"/>
        <v>-0.24</v>
      </c>
      <c r="P131">
        <f t="shared" si="29"/>
        <v>-2.0833333333333336E-2</v>
      </c>
      <c r="Q131">
        <f t="shared" si="30"/>
        <v>0.28750000000000003</v>
      </c>
      <c r="R131">
        <f t="shared" si="22"/>
        <v>-0.30347747440041978</v>
      </c>
      <c r="T131">
        <v>-0.24</v>
      </c>
      <c r="U131">
        <v>-0.23408300000000001</v>
      </c>
      <c r="V131" s="11">
        <f t="shared" si="31"/>
        <v>0.6692327419295907</v>
      </c>
      <c r="W131">
        <f t="shared" si="32"/>
        <v>-6.3401901443225717E-2</v>
      </c>
      <c r="X131" s="13">
        <f t="shared" si="33"/>
        <v>-6.0197291891745996E-2</v>
      </c>
      <c r="Y131" s="13">
        <v>0.439802708108254</v>
      </c>
    </row>
    <row r="132" spans="1:25" x14ac:dyDescent="0.25">
      <c r="A132" s="1">
        <v>1973</v>
      </c>
      <c r="B132" s="1">
        <f t="shared" si="23"/>
        <v>6.3E-2</v>
      </c>
      <c r="C132" s="1">
        <f t="shared" si="24"/>
        <v>5.0512287191197998E-2</v>
      </c>
      <c r="D132" s="1">
        <f t="shared" si="17"/>
        <v>0</v>
      </c>
      <c r="E132" s="1">
        <f t="shared" si="25"/>
        <v>0.69907631571641571</v>
      </c>
      <c r="F132" s="1">
        <f t="shared" si="26"/>
        <v>1.2487712808802003E-2</v>
      </c>
      <c r="G132" s="9">
        <f t="shared" si="18"/>
        <v>0.69907631571641571</v>
      </c>
      <c r="H132" s="1">
        <f t="shared" si="19"/>
        <v>0.2067152152015142</v>
      </c>
      <c r="I132" s="1">
        <f t="shared" si="27"/>
        <v>0.69907631571641571</v>
      </c>
      <c r="J132" s="3">
        <f t="shared" si="20"/>
        <v>0.69907631571641571</v>
      </c>
      <c r="K132" s="3">
        <f t="shared" si="21"/>
        <v>0.38051360246933413</v>
      </c>
      <c r="L132" s="6">
        <v>6.3E-2</v>
      </c>
      <c r="M132" s="4">
        <v>1.4999999999999999E-2</v>
      </c>
      <c r="N132" s="5">
        <v>0.13900000000000001</v>
      </c>
      <c r="O132">
        <f t="shared" si="28"/>
        <v>0.13900000000000001</v>
      </c>
      <c r="P132">
        <f t="shared" si="29"/>
        <v>0.10791366906474818</v>
      </c>
      <c r="Q132">
        <f t="shared" si="30"/>
        <v>0.4532374100719424</v>
      </c>
      <c r="R132">
        <f t="shared" si="22"/>
        <v>-0.54307707056692078</v>
      </c>
      <c r="T132">
        <v>0.13900000000000001</v>
      </c>
      <c r="U132">
        <v>0.122417</v>
      </c>
      <c r="V132" s="11">
        <f t="shared" si="31"/>
        <v>0.66738278511911631</v>
      </c>
      <c r="W132">
        <f t="shared" si="32"/>
        <v>5.5847137849000486E-2</v>
      </c>
      <c r="X132" s="13">
        <f t="shared" si="33"/>
        <v>1.7840579678051971E-2</v>
      </c>
      <c r="Y132" s="13">
        <v>0.51784057967805197</v>
      </c>
    </row>
    <row r="133" spans="1:25" x14ac:dyDescent="0.25">
      <c r="A133" s="1">
        <v>1974</v>
      </c>
      <c r="B133" s="1">
        <f t="shared" si="23"/>
        <v>-0.21099999999999999</v>
      </c>
      <c r="C133" s="1">
        <f t="shared" si="24"/>
        <v>-0.19608034012703679</v>
      </c>
      <c r="D133" s="1">
        <f t="shared" si="17"/>
        <v>0</v>
      </c>
      <c r="E133" s="1">
        <f t="shared" si="25"/>
        <v>0.85651556064050594</v>
      </c>
      <c r="F133" s="1">
        <f t="shared" si="26"/>
        <v>1.4919659872963204E-2</v>
      </c>
      <c r="G133" s="9">
        <f t="shared" si="18"/>
        <v>0.85651556064050594</v>
      </c>
      <c r="H133" s="1">
        <f t="shared" si="19"/>
        <v>0.17510256973117233</v>
      </c>
      <c r="I133" s="1">
        <f t="shared" si="27"/>
        <v>0.85651556064050594</v>
      </c>
      <c r="J133" s="3">
        <f t="shared" si="20"/>
        <v>0.85651556064050594</v>
      </c>
      <c r="K133" s="3">
        <f t="shared" si="21"/>
        <v>0.56332162748522296</v>
      </c>
      <c r="L133" s="6">
        <v>-0.21099999999999999</v>
      </c>
      <c r="M133" s="4">
        <v>-0.16200000000000001</v>
      </c>
      <c r="N133" s="5">
        <v>-0.28100000000000003</v>
      </c>
      <c r="O133">
        <f t="shared" si="28"/>
        <v>-0.28100000000000003</v>
      </c>
      <c r="P133">
        <f t="shared" si="29"/>
        <v>0.57651245551601416</v>
      </c>
      <c r="Q133">
        <f t="shared" si="30"/>
        <v>0.7508896797153024</v>
      </c>
      <c r="R133">
        <f t="shared" si="22"/>
        <v>-0.80398455470805408</v>
      </c>
      <c r="T133">
        <v>-0.28100000000000003</v>
      </c>
      <c r="U133">
        <v>-0.27274999999999999</v>
      </c>
      <c r="V133" s="11">
        <f t="shared" si="31"/>
        <v>0.66554370988160372</v>
      </c>
      <c r="W133">
        <f t="shared" si="32"/>
        <v>-0.25417538400891665</v>
      </c>
      <c r="X133" s="13">
        <f t="shared" si="33"/>
        <v>-2.7159713015963982E-2</v>
      </c>
      <c r="Y133" s="13">
        <v>0.47284028698403602</v>
      </c>
    </row>
    <row r="134" spans="1:25" x14ac:dyDescent="0.25">
      <c r="A134" s="1">
        <v>1975</v>
      </c>
      <c r="B134" s="1">
        <f t="shared" si="23"/>
        <v>-0.14499999999999999</v>
      </c>
      <c r="C134" s="1">
        <f t="shared" si="24"/>
        <v>-0.15191020809331182</v>
      </c>
      <c r="D134" s="1">
        <f t="shared" si="17"/>
        <v>-2.1499999999999991E-2</v>
      </c>
      <c r="E134" s="1">
        <f t="shared" si="25"/>
        <v>1</v>
      </c>
      <c r="F134" s="1">
        <f t="shared" si="26"/>
        <v>6.9102080933118315E-3</v>
      </c>
      <c r="G134" s="9">
        <f t="shared" si="18"/>
        <v>1</v>
      </c>
      <c r="H134" s="1">
        <f t="shared" si="19"/>
        <v>3.1441858511028422</v>
      </c>
      <c r="I134" s="1">
        <f t="shared" si="27"/>
        <v>2.9398478884417907</v>
      </c>
      <c r="J134" s="3">
        <f t="shared" si="20"/>
        <v>2.9398478884417907</v>
      </c>
      <c r="K134" s="3">
        <f t="shared" si="21"/>
        <v>1.6974439363369425</v>
      </c>
      <c r="L134" s="6">
        <v>-0.14499999999999999</v>
      </c>
      <c r="M134" s="4">
        <v>-0.19</v>
      </c>
      <c r="N134" s="5">
        <v>-5.7000000000000002E-2</v>
      </c>
      <c r="O134">
        <f t="shared" si="28"/>
        <v>-5.7000000000000002E-2</v>
      </c>
      <c r="P134">
        <f t="shared" si="29"/>
        <v>3.333333333333333</v>
      </c>
      <c r="Q134">
        <f t="shared" si="30"/>
        <v>2.5438596491228069</v>
      </c>
      <c r="R134">
        <f t="shared" si="22"/>
        <v>-2.422627928187512</v>
      </c>
      <c r="T134">
        <v>-5.7000000000000002E-2</v>
      </c>
      <c r="U134">
        <v>-5.3833300000000001E-2</v>
      </c>
      <c r="V134" s="11">
        <f t="shared" si="31"/>
        <v>0.66370844934135675</v>
      </c>
      <c r="W134">
        <f t="shared" si="32"/>
        <v>-0.22060969522657312</v>
      </c>
      <c r="X134" s="13">
        <f t="shared" si="33"/>
        <v>2.2789824078841003E-2</v>
      </c>
      <c r="Y134" s="13">
        <v>0.522789824078841</v>
      </c>
    </row>
    <row r="135" spans="1:25" x14ac:dyDescent="0.25">
      <c r="A135" s="1">
        <v>1976</v>
      </c>
      <c r="B135" s="1">
        <f t="shared" si="23"/>
        <v>-0.23799999999999999</v>
      </c>
      <c r="C135" s="1">
        <f t="shared" si="24"/>
        <v>-0.22983175783281007</v>
      </c>
      <c r="D135" s="1">
        <f t="shared" si="17"/>
        <v>0</v>
      </c>
      <c r="E135" s="1">
        <f t="shared" si="25"/>
        <v>0.66980866510134685</v>
      </c>
      <c r="F135" s="1">
        <f t="shared" si="26"/>
        <v>8.1682421671899208E-3</v>
      </c>
      <c r="G135" s="9">
        <f t="shared" si="18"/>
        <v>0.66980866510134685</v>
      </c>
      <c r="H135" s="1">
        <f t="shared" si="19"/>
        <v>6.7899119553924692E-2</v>
      </c>
      <c r="I135" s="1">
        <f t="shared" si="27"/>
        <v>0.66980866510134685</v>
      </c>
      <c r="J135" s="3">
        <f t="shared" si="20"/>
        <v>0.66980866510134685</v>
      </c>
      <c r="K135" s="3">
        <f t="shared" si="21"/>
        <v>0.48723388294763831</v>
      </c>
      <c r="L135" s="6">
        <v>-0.23799999999999999</v>
      </c>
      <c r="M135" s="4">
        <v>-0.18</v>
      </c>
      <c r="N135" s="5">
        <v>-0.35399999999999998</v>
      </c>
      <c r="O135">
        <f t="shared" si="28"/>
        <v>-0.35399999999999998</v>
      </c>
      <c r="P135">
        <f t="shared" si="29"/>
        <v>0.50847457627118642</v>
      </c>
      <c r="Q135">
        <f t="shared" si="30"/>
        <v>0.67231638418079098</v>
      </c>
      <c r="R135">
        <f t="shared" si="22"/>
        <v>-0.69539051459658174</v>
      </c>
      <c r="T135">
        <v>-0.35399999999999998</v>
      </c>
      <c r="U135">
        <v>-0.341333</v>
      </c>
      <c r="V135" s="11">
        <f t="shared" si="31"/>
        <v>0.66186899412423372</v>
      </c>
      <c r="W135">
        <f t="shared" si="32"/>
        <v>-0.29545334790765954</v>
      </c>
      <c r="X135" s="13">
        <f t="shared" si="33"/>
        <v>-5.0467372764099738E-3</v>
      </c>
      <c r="Y135" s="13">
        <v>0.49495326272359003</v>
      </c>
    </row>
    <row r="136" spans="1:25" x14ac:dyDescent="0.25">
      <c r="A136" s="1">
        <v>1977</v>
      </c>
      <c r="B136" s="1">
        <f t="shared" si="23"/>
        <v>4.5999999999999999E-2</v>
      </c>
      <c r="C136" s="1">
        <f t="shared" si="24"/>
        <v>2.7911153026579354E-2</v>
      </c>
      <c r="D136" s="1">
        <f t="shared" si="17"/>
        <v>1.4666945205603181E-2</v>
      </c>
      <c r="E136" s="1">
        <f t="shared" si="25"/>
        <v>0.52828983239578087</v>
      </c>
      <c r="F136" s="1">
        <f t="shared" si="26"/>
        <v>1.8088846973420645E-2</v>
      </c>
      <c r="G136" s="9">
        <f t="shared" si="18"/>
        <v>0.52828983239578087</v>
      </c>
      <c r="H136" s="1">
        <f t="shared" si="19"/>
        <v>0.52040836365367349</v>
      </c>
      <c r="I136" s="1">
        <f t="shared" si="27"/>
        <v>1.0337429196572505</v>
      </c>
      <c r="J136" s="3">
        <f t="shared" si="20"/>
        <v>1.0337429196572505</v>
      </c>
      <c r="K136" s="3">
        <f t="shared" si="21"/>
        <v>0.52828983239578087</v>
      </c>
      <c r="L136" s="6">
        <v>4.5999999999999999E-2</v>
      </c>
      <c r="M136" s="4">
        <v>5.0000000000000001E-3</v>
      </c>
      <c r="N136" s="5">
        <v>8.5000000000000006E-2</v>
      </c>
      <c r="O136">
        <f t="shared" si="28"/>
        <v>8.5000000000000006E-2</v>
      </c>
      <c r="P136">
        <f t="shared" si="29"/>
        <v>5.8823529411764705E-2</v>
      </c>
      <c r="Q136">
        <f t="shared" si="30"/>
        <v>0.54117647058823526</v>
      </c>
      <c r="R136">
        <f t="shared" si="22"/>
        <v>-0.75398643498141937</v>
      </c>
      <c r="T136">
        <v>8.5000000000000006E-2</v>
      </c>
      <c r="U136">
        <v>7.5499999999999998E-2</v>
      </c>
      <c r="V136" s="11">
        <f t="shared" si="31"/>
        <v>0.66001637745648623</v>
      </c>
      <c r="W136">
        <f t="shared" si="32"/>
        <v>2.9749106756194903E-2</v>
      </c>
      <c r="X136" s="13">
        <f t="shared" si="33"/>
        <v>6.8620632446191987E-2</v>
      </c>
      <c r="Y136" s="13">
        <v>0.56862063244619199</v>
      </c>
    </row>
    <row r="137" spans="1:25" x14ac:dyDescent="0.25">
      <c r="A137" s="1">
        <v>1978</v>
      </c>
      <c r="B137" s="1">
        <f t="shared" si="23"/>
        <v>-6.2E-2</v>
      </c>
      <c r="C137" s="1">
        <f t="shared" si="24"/>
        <v>-5.8849716458845333E-2</v>
      </c>
      <c r="D137" s="1">
        <f t="shared" si="17"/>
        <v>-6.3686643236095866E-3</v>
      </c>
      <c r="E137" s="1">
        <f t="shared" si="25"/>
        <v>0.89506557427400646</v>
      </c>
      <c r="F137" s="1">
        <f t="shared" si="26"/>
        <v>3.1502835411546665E-3</v>
      </c>
      <c r="G137" s="9">
        <f t="shared" si="18"/>
        <v>0.89506557427400646</v>
      </c>
      <c r="H137" s="1">
        <f t="shared" si="19"/>
        <v>0.63809348167873936</v>
      </c>
      <c r="I137" s="1">
        <f t="shared" si="27"/>
        <v>1.4547598611049122</v>
      </c>
      <c r="J137" s="3">
        <f t="shared" si="20"/>
        <v>1.4547598611049122</v>
      </c>
      <c r="K137" s="3">
        <f t="shared" si="21"/>
        <v>0.89506557427400646</v>
      </c>
      <c r="L137" s="6">
        <v>-6.2E-2</v>
      </c>
      <c r="M137" s="4">
        <v>-6.2E-2</v>
      </c>
      <c r="N137" s="5">
        <v>-5.0999999999999997E-2</v>
      </c>
      <c r="O137">
        <f t="shared" si="28"/>
        <v>-5.0999999999999997E-2</v>
      </c>
      <c r="P137">
        <f t="shared" si="29"/>
        <v>1.215686274509804</v>
      </c>
      <c r="Q137">
        <f t="shared" si="30"/>
        <v>1.215686274509804</v>
      </c>
      <c r="R137">
        <f t="shared" si="22"/>
        <v>-1.2774565400226405</v>
      </c>
      <c r="T137">
        <v>-5.0999999999999997E-2</v>
      </c>
      <c r="U137">
        <v>-4.9000000000000002E-2</v>
      </c>
      <c r="V137" s="11">
        <f t="shared" si="31"/>
        <v>0.6581405783072114</v>
      </c>
      <c r="W137">
        <f t="shared" si="32"/>
        <v>-8.1831401014400992E-2</v>
      </c>
      <c r="X137" s="13">
        <f t="shared" si="33"/>
        <v>6.547330568617904E-2</v>
      </c>
      <c r="Y137" s="13">
        <v>0.56547330568617904</v>
      </c>
    </row>
    <row r="138" spans="1:25" x14ac:dyDescent="0.25">
      <c r="A138" s="1">
        <v>1979</v>
      </c>
      <c r="B138" s="1">
        <f t="shared" si="23"/>
        <v>5.8000000000000003E-2</v>
      </c>
      <c r="C138" s="1">
        <f t="shared" si="24"/>
        <v>5.4981096440697229E-2</v>
      </c>
      <c r="D138" s="1">
        <f t="shared" ref="D138:D171" si="34">$B138 - (1/2*($O138*($E138*$G$2+$G$1 )+$M138*($G$2+$G$1/$E138)))</f>
        <v>9.0000000000000011E-3</v>
      </c>
      <c r="E138" s="1">
        <f t="shared" si="25"/>
        <v>1</v>
      </c>
      <c r="F138" s="1">
        <f t="shared" si="26"/>
        <v>3.0189035593027741E-3</v>
      </c>
      <c r="G138" s="9">
        <f t="shared" ref="G138:G171" si="35">+IF($H138 &gt; 0,IF($I138&lt;1, $I138, IF($K138&gt;1,1,$K138)), $K138)</f>
        <v>1</v>
      </c>
      <c r="H138" s="1">
        <f t="shared" ref="H138:H171" si="36">+$R138*$R138-4*$G$1*$G$2*$P138</f>
        <v>1.5679662295509018</v>
      </c>
      <c r="I138" s="1">
        <f t="shared" si="27"/>
        <v>2.0988911048111656</v>
      </c>
      <c r="J138" s="3">
        <f t="shared" ref="J138:J171" si="37">+IF($R138*$R138-4*$G$1*$G$2*$P138 &gt; 0,(-$R138+SQRT($R138*$R138-4*$G$1*$G$2*$P138))/2/$G$2)</f>
        <v>2.0988911048111656</v>
      </c>
      <c r="K138" s="3">
        <f t="shared" ref="K138:K171" si="38">-$R138/2/$G$2</f>
        <v>1.2215326369181683</v>
      </c>
      <c r="L138" s="6">
        <v>5.8000000000000003E-2</v>
      </c>
      <c r="M138" s="4">
        <v>6.3E-2</v>
      </c>
      <c r="N138" s="5">
        <v>3.5000000000000003E-2</v>
      </c>
      <c r="O138">
        <f t="shared" si="28"/>
        <v>3.5000000000000003E-2</v>
      </c>
      <c r="P138">
        <f t="shared" si="29"/>
        <v>1.7999999999999998</v>
      </c>
      <c r="Q138">
        <f t="shared" si="30"/>
        <v>1.657142857142857</v>
      </c>
      <c r="R138">
        <f t="shared" ref="R138:R171" si="39">+$G$1+$P138*$G$2-2*$Q138</f>
        <v>-1.7433972445515078</v>
      </c>
      <c r="T138">
        <v>3.5000000000000003E-2</v>
      </c>
      <c r="U138">
        <v>3.5999999999999997E-2</v>
      </c>
      <c r="V138" s="11">
        <f t="shared" si="31"/>
        <v>0.65623060334473848</v>
      </c>
      <c r="W138">
        <f t="shared" si="32"/>
        <v>7.8532270713990646E-2</v>
      </c>
      <c r="X138" s="13">
        <f t="shared" si="33"/>
        <v>7.4038083215329009E-2</v>
      </c>
      <c r="Y138" s="13">
        <v>0.57403808321532901</v>
      </c>
    </row>
    <row r="139" spans="1:25" x14ac:dyDescent="0.25">
      <c r="A139" s="1">
        <v>1980</v>
      </c>
      <c r="B139" s="1">
        <f t="shared" ref="B139:B171" si="40">+$L139</f>
        <v>9.2999999999999999E-2</v>
      </c>
      <c r="C139" s="1">
        <f t="shared" ref="C139:C171" si="41">+$G$1*$N139+$G$2*$M139</f>
        <v>7.7197542439411598E-2</v>
      </c>
      <c r="D139" s="1">
        <f t="shared" si="34"/>
        <v>0</v>
      </c>
      <c r="E139" s="1">
        <f t="shared" ref="E139:E171" si="42">+$G139</f>
        <v>0.96262706249914398</v>
      </c>
      <c r="F139" s="1">
        <f t="shared" ref="F139:F171" si="43">+ABS($B139-$C139)</f>
        <v>1.5802457560588401E-2</v>
      </c>
      <c r="G139" s="9">
        <f t="shared" si="35"/>
        <v>0.96262706249914398</v>
      </c>
      <c r="H139" s="1">
        <f t="shared" si="36"/>
        <v>0.32255311352812871</v>
      </c>
      <c r="I139" s="1">
        <f t="shared" ref="I139:I171" si="44">+(-$R139+SQRT($R139*$R139-4*$G$1*$G$2*$P139))/2/$G$2</f>
        <v>0.96262706249914398</v>
      </c>
      <c r="J139" s="3">
        <f t="shared" si="37"/>
        <v>0.96262706249914398</v>
      </c>
      <c r="K139" s="3">
        <f t="shared" si="38"/>
        <v>0.56469462797429637</v>
      </c>
      <c r="L139" s="6">
        <v>9.2999999999999999E-2</v>
      </c>
      <c r="M139" s="4">
        <v>5.3999999999999999E-2</v>
      </c>
      <c r="N139" s="5">
        <v>0.13500000000000001</v>
      </c>
      <c r="O139">
        <f t="shared" ref="O139:O170" si="45">+$N139+$N$1</f>
        <v>0.13500000000000001</v>
      </c>
      <c r="P139">
        <f t="shared" ref="P139:P171" si="46">+$M139/($O139)</f>
        <v>0.39999999999999997</v>
      </c>
      <c r="Q139">
        <f t="shared" ref="Q139:Q171" si="47">+$L139/($O139)</f>
        <v>0.68888888888888888</v>
      </c>
      <c r="R139">
        <f t="shared" si="39"/>
        <v>-0.80594413007843269</v>
      </c>
      <c r="T139">
        <v>0.13500000000000001</v>
      </c>
      <c r="U139">
        <v>0.1305</v>
      </c>
      <c r="V139" s="11">
        <f t="shared" ref="V139:V171" si="48">-2.2979737161E-10*$A139^5 + 0.0000022285768284*$A139^4 - 0.0086436385146*$A139^3 + 16.759480306*$A139^2 - 16244.935412*$A139 + 6297344.9302</f>
        <v>0.65427434537559748</v>
      </c>
      <c r="W139">
        <f t="shared" ref="W139:W171" si="49">+$G$2*$M139/$V139+$G$1*$N139</f>
        <v>9.7559839102148313E-2</v>
      </c>
      <c r="X139" s="13">
        <f t="shared" ref="X139:X168" si="50">+$Y139+$X$1</f>
        <v>0.13897487637411798</v>
      </c>
      <c r="Y139" s="13">
        <v>0.63897487637411798</v>
      </c>
    </row>
    <row r="140" spans="1:25" x14ac:dyDescent="0.25">
      <c r="A140" s="1">
        <v>1981</v>
      </c>
      <c r="B140" s="1">
        <f t="shared" si="40"/>
        <v>0.14199999999999999</v>
      </c>
      <c r="C140" s="1">
        <f t="shared" si="41"/>
        <v>0.11005292972135015</v>
      </c>
      <c r="D140" s="1">
        <f t="shared" si="34"/>
        <v>0</v>
      </c>
      <c r="E140" s="1">
        <f t="shared" si="42"/>
        <v>0.72157566501254411</v>
      </c>
      <c r="F140" s="1">
        <f t="shared" si="43"/>
        <v>3.1947070278649833E-2</v>
      </c>
      <c r="G140" s="9">
        <f t="shared" si="35"/>
        <v>0.72157566501254411</v>
      </c>
      <c r="H140" s="1">
        <f t="shared" si="36"/>
        <v>0.23147562655421999</v>
      </c>
      <c r="I140" s="1">
        <f t="shared" si="44"/>
        <v>0.72157566501254411</v>
      </c>
      <c r="J140" s="3">
        <f t="shared" si="37"/>
        <v>0.72157566501254411</v>
      </c>
      <c r="K140" s="3">
        <f t="shared" si="38"/>
        <v>0.38447364584490062</v>
      </c>
      <c r="L140" s="6">
        <v>0.14199999999999999</v>
      </c>
      <c r="M140" s="4">
        <v>2.7E-2</v>
      </c>
      <c r="N140" s="5">
        <v>0.317</v>
      </c>
      <c r="O140">
        <f t="shared" si="45"/>
        <v>0.317</v>
      </c>
      <c r="P140">
        <f t="shared" si="46"/>
        <v>8.5173501577287064E-2</v>
      </c>
      <c r="Q140">
        <f t="shared" si="47"/>
        <v>0.44794952681388006</v>
      </c>
      <c r="R140">
        <f t="shared" si="39"/>
        <v>-0.54872892832381637</v>
      </c>
      <c r="T140">
        <v>0.317</v>
      </c>
      <c r="U140">
        <v>0.31</v>
      </c>
      <c r="V140" s="11">
        <f t="shared" si="48"/>
        <v>0.65225865412503481</v>
      </c>
      <c r="W140">
        <f t="shared" si="49"/>
        <v>0.12032508390429612</v>
      </c>
      <c r="X140" s="13">
        <f t="shared" si="50"/>
        <v>0.16978943079805198</v>
      </c>
      <c r="Y140" s="13">
        <v>0.66978943079805198</v>
      </c>
    </row>
    <row r="141" spans="1:25" x14ac:dyDescent="0.25">
      <c r="A141" s="1">
        <v>1982</v>
      </c>
      <c r="B141" s="1">
        <f t="shared" si="40"/>
        <v>1.2999999999999999E-2</v>
      </c>
      <c r="C141" s="1">
        <f t="shared" si="41"/>
        <v>8.7041588075163698E-3</v>
      </c>
      <c r="D141" s="1">
        <f t="shared" si="34"/>
        <v>0</v>
      </c>
      <c r="E141" s="1">
        <f t="shared" si="42"/>
        <v>0.21156419904309176</v>
      </c>
      <c r="F141" s="1">
        <f t="shared" si="43"/>
        <v>4.2958411924836296E-3</v>
      </c>
      <c r="G141" s="9">
        <f t="shared" si="35"/>
        <v>0.21156419904309176</v>
      </c>
      <c r="H141" s="1">
        <f t="shared" si="36"/>
        <v>80.100164082199356</v>
      </c>
      <c r="I141" s="1">
        <f t="shared" si="44"/>
        <v>0.21156419904309176</v>
      </c>
      <c r="J141" s="3">
        <f t="shared" si="37"/>
        <v>0.21156419904309176</v>
      </c>
      <c r="K141" s="3">
        <f t="shared" si="38"/>
        <v>-6.0592715072827463</v>
      </c>
      <c r="L141" s="6">
        <v>1.2999999999999999E-2</v>
      </c>
      <c r="M141" s="4">
        <v>1.2999999999999999E-2</v>
      </c>
      <c r="N141" s="5">
        <v>-2E-3</v>
      </c>
      <c r="O141">
        <f t="shared" si="45"/>
        <v>-2E-3</v>
      </c>
      <c r="P141">
        <f t="shared" si="46"/>
        <v>-6.5</v>
      </c>
      <c r="Q141">
        <f t="shared" si="47"/>
        <v>-6.5</v>
      </c>
      <c r="R141">
        <f t="shared" si="39"/>
        <v>8.6479205962418142</v>
      </c>
      <c r="T141">
        <v>-2E-3</v>
      </c>
      <c r="U141">
        <v>6.3333299999999999E-3</v>
      </c>
      <c r="V141" s="11">
        <f t="shared" si="48"/>
        <v>0.65016922820359468</v>
      </c>
      <c r="W141">
        <f t="shared" si="49"/>
        <v>1.3695718099071339E-2</v>
      </c>
      <c r="X141" s="13">
        <f t="shared" si="50"/>
        <v>0.124775057019747</v>
      </c>
      <c r="Y141" s="13">
        <v>0.624775057019747</v>
      </c>
    </row>
    <row r="142" spans="1:25" x14ac:dyDescent="0.25">
      <c r="A142" s="1">
        <v>1983</v>
      </c>
      <c r="B142" s="1">
        <f t="shared" si="40"/>
        <v>0.191</v>
      </c>
      <c r="C142" s="1">
        <f t="shared" si="41"/>
        <v>0.17971455552043528</v>
      </c>
      <c r="D142" s="1">
        <f t="shared" si="34"/>
        <v>0</v>
      </c>
      <c r="E142" s="1">
        <f t="shared" si="42"/>
        <v>0.62586336356264161</v>
      </c>
      <c r="F142" s="1">
        <f t="shared" si="43"/>
        <v>1.1285444479564727E-2</v>
      </c>
      <c r="G142" s="9">
        <f t="shared" si="35"/>
        <v>0.62586336356264161</v>
      </c>
      <c r="H142" s="1">
        <f t="shared" si="36"/>
        <v>7.9586713009096144E-2</v>
      </c>
      <c r="I142" s="1">
        <f t="shared" si="44"/>
        <v>0.62586336356264161</v>
      </c>
      <c r="J142" s="3">
        <f t="shared" si="37"/>
        <v>0.62586336356264161</v>
      </c>
      <c r="K142" s="3">
        <f t="shared" si="38"/>
        <v>0.42819871533694864</v>
      </c>
      <c r="L142" s="6">
        <v>0.191</v>
      </c>
      <c r="M142" s="4">
        <v>0.11899999999999999</v>
      </c>
      <c r="N142" s="5">
        <v>0.33100000000000002</v>
      </c>
      <c r="O142">
        <f t="shared" si="45"/>
        <v>0.33100000000000002</v>
      </c>
      <c r="P142">
        <f t="shared" si="46"/>
        <v>0.35951661631419934</v>
      </c>
      <c r="Q142">
        <f t="shared" si="47"/>
        <v>0.57703927492447127</v>
      </c>
      <c r="R142">
        <f t="shared" si="39"/>
        <v>-0.6111342733521592</v>
      </c>
      <c r="T142">
        <v>0.33100000000000002</v>
      </c>
      <c r="U142">
        <v>0.32183299999999998</v>
      </c>
      <c r="V142" s="11">
        <f t="shared" si="48"/>
        <v>0.64799068961292505</v>
      </c>
      <c r="W142">
        <f t="shared" si="49"/>
        <v>0.22584563639760485</v>
      </c>
      <c r="X142" s="13">
        <f t="shared" si="50"/>
        <v>0.18317437869775899</v>
      </c>
      <c r="Y142" s="13">
        <v>0.68317437869775899</v>
      </c>
    </row>
    <row r="143" spans="1:25" x14ac:dyDescent="0.25">
      <c r="A143" s="1">
        <v>1984</v>
      </c>
      <c r="B143" s="1">
        <f t="shared" si="40"/>
        <v>-1.4E-2</v>
      </c>
      <c r="C143" s="1">
        <f t="shared" si="41"/>
        <v>-2.0023629449128465E-2</v>
      </c>
      <c r="D143" s="1">
        <f t="shared" si="34"/>
        <v>9.5358045863249263E-3</v>
      </c>
      <c r="E143" s="7">
        <f t="shared" si="42"/>
        <v>0.12419426091459257</v>
      </c>
      <c r="F143" s="1">
        <f t="shared" si="43"/>
        <v>6.0236294491284644E-3</v>
      </c>
      <c r="G143" s="9">
        <f t="shared" si="35"/>
        <v>0.12419426091459257</v>
      </c>
      <c r="H143" s="1">
        <f t="shared" si="36"/>
        <v>-0.1502441696419316</v>
      </c>
      <c r="I143" s="1" t="e">
        <f t="shared" si="44"/>
        <v>#NUM!</v>
      </c>
      <c r="J143" s="3" t="b">
        <f t="shared" si="37"/>
        <v>0</v>
      </c>
      <c r="K143" s="3">
        <f t="shared" si="38"/>
        <v>0.12419426091459257</v>
      </c>
      <c r="L143" s="6">
        <v>-1.4E-2</v>
      </c>
      <c r="M143" s="4">
        <v>-0.01</v>
      </c>
      <c r="N143" s="5">
        <v>-4.4999999999999998E-2</v>
      </c>
      <c r="O143">
        <f t="shared" si="45"/>
        <v>-4.4999999999999998E-2</v>
      </c>
      <c r="P143">
        <f t="shared" si="46"/>
        <v>0.22222222222222224</v>
      </c>
      <c r="Q143">
        <f t="shared" si="47"/>
        <v>0.31111111111111112</v>
      </c>
      <c r="R143">
        <f t="shared" si="39"/>
        <v>-0.1772526789082563</v>
      </c>
      <c r="T143">
        <v>-4.4999999999999998E-2</v>
      </c>
      <c r="U143">
        <v>-3.80833E-2</v>
      </c>
      <c r="V143" s="11">
        <f t="shared" si="48"/>
        <v>0.64570639748126268</v>
      </c>
      <c r="W143">
        <f t="shared" si="49"/>
        <v>-2.3939149981515837E-2</v>
      </c>
      <c r="X143" s="13">
        <f t="shared" si="50"/>
        <v>0.16544867621009096</v>
      </c>
      <c r="Y143" s="13">
        <v>0.66544867621009096</v>
      </c>
    </row>
    <row r="144" spans="1:25" x14ac:dyDescent="0.25">
      <c r="A144" s="1">
        <v>1985</v>
      </c>
      <c r="B144" s="1">
        <f t="shared" si="40"/>
        <v>-2.9000000000000001E-2</v>
      </c>
      <c r="C144" s="1">
        <f t="shared" si="41"/>
        <v>-3.799527411017431E-2</v>
      </c>
      <c r="D144" s="1">
        <f t="shared" si="34"/>
        <v>8.4840861583787251E-3</v>
      </c>
      <c r="E144" s="7">
        <f t="shared" si="42"/>
        <v>0.42474412918196691</v>
      </c>
      <c r="F144" s="1">
        <f t="shared" si="43"/>
        <v>8.9952741101743082E-3</v>
      </c>
      <c r="G144" s="9">
        <f t="shared" si="35"/>
        <v>0.42474412918196691</v>
      </c>
      <c r="H144" s="1">
        <f t="shared" si="36"/>
        <v>-0.62340429026273858</v>
      </c>
      <c r="I144" s="1" t="e">
        <f t="shared" si="44"/>
        <v>#NUM!</v>
      </c>
      <c r="J144" s="3" t="b">
        <f t="shared" si="37"/>
        <v>0</v>
      </c>
      <c r="K144" s="3">
        <f t="shared" si="38"/>
        <v>0.42474412918196691</v>
      </c>
      <c r="L144" s="6">
        <v>-2.9000000000000001E-2</v>
      </c>
      <c r="M144" s="4">
        <v>-0.04</v>
      </c>
      <c r="N144" s="5">
        <v>-3.3000000000000002E-2</v>
      </c>
      <c r="O144">
        <f t="shared" si="45"/>
        <v>-3.3000000000000002E-2</v>
      </c>
      <c r="P144">
        <f t="shared" si="46"/>
        <v>1.2121212121212122</v>
      </c>
      <c r="Q144">
        <f t="shared" si="47"/>
        <v>0.87878787878787878</v>
      </c>
      <c r="R144">
        <f t="shared" si="39"/>
        <v>-0.60620381484320296</v>
      </c>
      <c r="T144">
        <v>-3.3000000000000002E-2</v>
      </c>
      <c r="U144">
        <v>-2.8000000000000001E-2</v>
      </c>
      <c r="V144" s="11">
        <f t="shared" si="48"/>
        <v>0.64329857472330332</v>
      </c>
      <c r="W144">
        <f t="shared" si="49"/>
        <v>-5.3822818179878829E-2</v>
      </c>
      <c r="X144" s="13">
        <f t="shared" si="50"/>
        <v>0.172984077670994</v>
      </c>
      <c r="Y144" s="13">
        <v>0.672984077670994</v>
      </c>
    </row>
    <row r="145" spans="1:25" x14ac:dyDescent="0.25">
      <c r="A145" s="1">
        <v>1986</v>
      </c>
      <c r="B145" s="1">
        <f t="shared" si="40"/>
        <v>4.7E-2</v>
      </c>
      <c r="C145" s="1">
        <f t="shared" si="41"/>
        <v>2.5089791906688169E-2</v>
      </c>
      <c r="D145" s="1">
        <f t="shared" si="34"/>
        <v>0</v>
      </c>
      <c r="E145" s="1">
        <f t="shared" si="42"/>
        <v>0.85553151611819689</v>
      </c>
      <c r="F145" s="1">
        <f t="shared" si="43"/>
        <v>2.1910208093311831E-2</v>
      </c>
      <c r="G145" s="9">
        <f t="shared" si="35"/>
        <v>0.85553151611819689</v>
      </c>
      <c r="H145" s="1">
        <f t="shared" si="36"/>
        <v>0.41832561151767889</v>
      </c>
      <c r="I145" s="1">
        <f t="shared" si="44"/>
        <v>0.85553151611819689</v>
      </c>
      <c r="J145" s="3">
        <f t="shared" si="37"/>
        <v>0.85553151611819689</v>
      </c>
      <c r="K145" s="3">
        <f t="shared" si="38"/>
        <v>0.40235651238729087</v>
      </c>
      <c r="L145" s="6">
        <v>4.7E-2</v>
      </c>
      <c r="M145" s="4">
        <v>-1.2999999999999999E-2</v>
      </c>
      <c r="N145" s="5">
        <v>0.12</v>
      </c>
      <c r="O145">
        <f t="shared" si="45"/>
        <v>0.12</v>
      </c>
      <c r="P145">
        <f t="shared" si="46"/>
        <v>-0.10833333333333334</v>
      </c>
      <c r="Q145">
        <f t="shared" si="47"/>
        <v>0.39166666666666666</v>
      </c>
      <c r="R145">
        <f t="shared" si="39"/>
        <v>-0.57425173411093189</v>
      </c>
      <c r="T145">
        <v>0.12</v>
      </c>
      <c r="U145">
        <v>0.1255</v>
      </c>
      <c r="V145" s="11">
        <f t="shared" si="48"/>
        <v>0.64074825588613749</v>
      </c>
      <c r="W145">
        <f t="shared" si="49"/>
        <v>1.9888441775587712E-2</v>
      </c>
      <c r="X145" s="13">
        <f t="shared" si="50"/>
        <v>0.21123929043022005</v>
      </c>
      <c r="Y145" s="13">
        <v>0.71123929043022005</v>
      </c>
    </row>
    <row r="146" spans="1:25" x14ac:dyDescent="0.25">
      <c r="A146" s="1">
        <v>1987</v>
      </c>
      <c r="B146" s="1">
        <f t="shared" si="40"/>
        <v>0.186</v>
      </c>
      <c r="C146" s="1">
        <f t="shared" si="41"/>
        <v>0.17564366717304986</v>
      </c>
      <c r="D146" s="1">
        <f t="shared" si="34"/>
        <v>0</v>
      </c>
      <c r="E146" s="1">
        <f t="shared" si="42"/>
        <v>0.80506581639303698</v>
      </c>
      <c r="F146" s="1">
        <f t="shared" si="43"/>
        <v>1.0356332826950143E-2</v>
      </c>
      <c r="G146" s="9">
        <f t="shared" si="35"/>
        <v>0.80506581639303698</v>
      </c>
      <c r="H146" s="1">
        <f t="shared" si="36"/>
        <v>0.13676326954589618</v>
      </c>
      <c r="I146" s="1">
        <f t="shared" si="44"/>
        <v>0.80506581639303698</v>
      </c>
      <c r="J146" s="3">
        <f t="shared" si="37"/>
        <v>0.80506581639303698</v>
      </c>
      <c r="K146" s="3">
        <f t="shared" si="38"/>
        <v>0.54595027802549034</v>
      </c>
      <c r="L146" s="6">
        <v>0.186</v>
      </c>
      <c r="M146" s="4">
        <v>0.14499999999999999</v>
      </c>
      <c r="N146" s="5">
        <v>0.252</v>
      </c>
      <c r="O146">
        <f t="shared" si="45"/>
        <v>0.252</v>
      </c>
      <c r="P146">
        <f t="shared" si="46"/>
        <v>0.57539682539682535</v>
      </c>
      <c r="Q146">
        <f t="shared" si="47"/>
        <v>0.73809523809523814</v>
      </c>
      <c r="R146">
        <f t="shared" si="39"/>
        <v>-0.77919179693234186</v>
      </c>
      <c r="T146">
        <v>0.252</v>
      </c>
      <c r="U146">
        <v>0.246583</v>
      </c>
      <c r="V146" s="11">
        <f t="shared" si="48"/>
        <v>0.63803509343415499</v>
      </c>
      <c r="W146">
        <f t="shared" si="49"/>
        <v>0.23434543587538323</v>
      </c>
      <c r="X146" s="13">
        <f t="shared" si="50"/>
        <v>0.24425030625556499</v>
      </c>
      <c r="Y146" s="13">
        <v>0.74425030625556499</v>
      </c>
    </row>
    <row r="147" spans="1:25" x14ac:dyDescent="0.25">
      <c r="A147" s="1">
        <v>1988</v>
      </c>
      <c r="B147" s="1">
        <f t="shared" si="40"/>
        <v>0.20100000000000001</v>
      </c>
      <c r="C147" s="1">
        <f t="shared" si="41"/>
        <v>0.18446597322620856</v>
      </c>
      <c r="D147" s="1">
        <f t="shared" si="34"/>
        <v>0</v>
      </c>
      <c r="E147" s="1">
        <f t="shared" si="42"/>
        <v>0.62919925202964655</v>
      </c>
      <c r="F147" s="1">
        <f t="shared" si="43"/>
        <v>1.6534026773791455E-2</v>
      </c>
      <c r="G147" s="9">
        <f t="shared" si="35"/>
        <v>0.62919925202964655</v>
      </c>
      <c r="H147" s="1">
        <f t="shared" si="36"/>
        <v>0.10107042874556896</v>
      </c>
      <c r="I147" s="1">
        <f t="shared" si="44"/>
        <v>0.62919925202964655</v>
      </c>
      <c r="J147" s="3">
        <f t="shared" si="37"/>
        <v>0.62919925202964655</v>
      </c>
      <c r="K147" s="3">
        <f t="shared" si="38"/>
        <v>0.40644768203745424</v>
      </c>
      <c r="L147" s="6">
        <v>0.20100000000000001</v>
      </c>
      <c r="M147" s="4">
        <v>0.108</v>
      </c>
      <c r="N147" s="5">
        <v>0.375</v>
      </c>
      <c r="O147">
        <f t="shared" si="45"/>
        <v>0.375</v>
      </c>
      <c r="P147">
        <f t="shared" si="46"/>
        <v>0.28799999999999998</v>
      </c>
      <c r="Q147">
        <f t="shared" si="47"/>
        <v>0.53600000000000003</v>
      </c>
      <c r="R147">
        <f t="shared" si="39"/>
        <v>-0.58009073806344391</v>
      </c>
      <c r="T147">
        <v>0.375</v>
      </c>
      <c r="U147">
        <v>0.36883300000000002</v>
      </c>
      <c r="V147" s="11">
        <f t="shared" si="48"/>
        <v>0.63513761851936579</v>
      </c>
      <c r="W147">
        <f t="shared" si="49"/>
        <v>0.22873972158362124</v>
      </c>
      <c r="X147" s="13">
        <f t="shared" si="50"/>
        <v>0.29018731742680604</v>
      </c>
      <c r="Y147" s="13">
        <v>0.79018731742680604</v>
      </c>
    </row>
    <row r="148" spans="1:25" x14ac:dyDescent="0.25">
      <c r="A148" s="1">
        <v>1989</v>
      </c>
      <c r="B148" s="1">
        <f t="shared" si="40"/>
        <v>0.121</v>
      </c>
      <c r="C148" s="1">
        <f t="shared" si="41"/>
        <v>0.11940453665847459</v>
      </c>
      <c r="D148" s="1">
        <f t="shared" si="34"/>
        <v>0</v>
      </c>
      <c r="E148" s="1">
        <f t="shared" si="42"/>
        <v>0.45008868731778601</v>
      </c>
      <c r="F148" s="1">
        <f t="shared" si="43"/>
        <v>1.5954633415254105E-3</v>
      </c>
      <c r="G148" s="9">
        <f t="shared" si="35"/>
        <v>0.45008868731778601</v>
      </c>
      <c r="H148" s="1">
        <f t="shared" si="36"/>
        <v>2.0160154419204324E-2</v>
      </c>
      <c r="I148" s="1">
        <f t="shared" si="44"/>
        <v>0.45008868731778601</v>
      </c>
      <c r="J148" s="3">
        <f t="shared" si="37"/>
        <v>0.45008868731778601</v>
      </c>
      <c r="K148" s="3">
        <f t="shared" si="38"/>
        <v>0.35060413570791599</v>
      </c>
      <c r="L148" s="6">
        <v>0.121</v>
      </c>
      <c r="M148" s="4">
        <v>6.9000000000000006E-2</v>
      </c>
      <c r="N148" s="5">
        <v>0.245</v>
      </c>
      <c r="O148">
        <f t="shared" si="45"/>
        <v>0.245</v>
      </c>
      <c r="P148">
        <f t="shared" si="46"/>
        <v>0.28163265306122454</v>
      </c>
      <c r="Q148">
        <f t="shared" si="47"/>
        <v>0.49387755102040815</v>
      </c>
      <c r="R148">
        <f t="shared" si="39"/>
        <v>-0.50038964629194049</v>
      </c>
      <c r="T148">
        <v>0.245</v>
      </c>
      <c r="U148">
        <v>0.251583</v>
      </c>
      <c r="V148" s="11">
        <f t="shared" si="48"/>
        <v>0.63203293550759554</v>
      </c>
      <c r="W148">
        <f t="shared" si="49"/>
        <v>0.14807136285647249</v>
      </c>
      <c r="X148" s="13">
        <f t="shared" si="50"/>
        <v>0.28009276132059502</v>
      </c>
      <c r="Y148" s="13">
        <v>0.78009276132059502</v>
      </c>
    </row>
    <row r="149" spans="1:25" x14ac:dyDescent="0.25">
      <c r="A149" s="1">
        <v>1990</v>
      </c>
      <c r="B149" s="1">
        <f t="shared" si="40"/>
        <v>0.29099999999999998</v>
      </c>
      <c r="C149" s="1">
        <f t="shared" si="41"/>
        <v>0.28219848737267911</v>
      </c>
      <c r="D149" s="1">
        <f t="shared" si="34"/>
        <v>0</v>
      </c>
      <c r="E149" s="1">
        <f t="shared" si="42"/>
        <v>0.57109621762565588</v>
      </c>
      <c r="F149" s="1">
        <f t="shared" si="43"/>
        <v>8.8015126273208732E-3</v>
      </c>
      <c r="G149" s="9">
        <f t="shared" si="35"/>
        <v>0.57109621762565588</v>
      </c>
      <c r="H149" s="1">
        <f t="shared" si="36"/>
        <v>4.2323987945000419E-2</v>
      </c>
      <c r="I149" s="1">
        <f t="shared" si="44"/>
        <v>0.57109621762565588</v>
      </c>
      <c r="J149" s="3">
        <f t="shared" si="37"/>
        <v>0.57109621762565588</v>
      </c>
      <c r="K149" s="3">
        <f t="shared" si="38"/>
        <v>0.42695041168052367</v>
      </c>
      <c r="L149" s="6">
        <v>0.29099999999999998</v>
      </c>
      <c r="M149" s="4">
        <v>0.19800000000000001</v>
      </c>
      <c r="N149" s="5">
        <v>0.49199999999999999</v>
      </c>
      <c r="O149">
        <f t="shared" si="45"/>
        <v>0.49199999999999999</v>
      </c>
      <c r="P149">
        <f t="shared" si="46"/>
        <v>0.40243902439024393</v>
      </c>
      <c r="Q149">
        <f t="shared" si="47"/>
        <v>0.59146341463414631</v>
      </c>
      <c r="R149">
        <f t="shared" si="39"/>
        <v>-0.60935266794170906</v>
      </c>
      <c r="T149">
        <v>0.49199999999999999</v>
      </c>
      <c r="U149">
        <v>0.48341699999999999</v>
      </c>
      <c r="V149" s="11">
        <f t="shared" si="48"/>
        <v>0.62869688589125872</v>
      </c>
      <c r="W149">
        <f t="shared" si="49"/>
        <v>0.36564606945246803</v>
      </c>
      <c r="X149" s="13">
        <f t="shared" si="50"/>
        <v>0.32790104429118905</v>
      </c>
      <c r="Y149" s="13">
        <v>0.82790104429118905</v>
      </c>
    </row>
    <row r="150" spans="1:25" x14ac:dyDescent="0.25">
      <c r="A150" s="1">
        <v>1991</v>
      </c>
      <c r="B150" s="1">
        <f t="shared" si="40"/>
        <v>0.253</v>
      </c>
      <c r="C150" s="1">
        <f t="shared" si="41"/>
        <v>0.23786483906158992</v>
      </c>
      <c r="D150" s="1">
        <f t="shared" si="34"/>
        <v>0</v>
      </c>
      <c r="E150" s="1">
        <f t="shared" si="42"/>
        <v>0.69243498323655128</v>
      </c>
      <c r="F150" s="1">
        <f t="shared" si="43"/>
        <v>1.513516093841008E-2</v>
      </c>
      <c r="G150" s="9">
        <f t="shared" si="35"/>
        <v>0.69243498323655128</v>
      </c>
      <c r="H150" s="1">
        <f t="shared" si="36"/>
        <v>9.7877901797423561E-2</v>
      </c>
      <c r="I150" s="1">
        <f t="shared" si="44"/>
        <v>0.69243498323655128</v>
      </c>
      <c r="J150" s="3">
        <f t="shared" si="37"/>
        <v>0.69243498323655128</v>
      </c>
      <c r="K150" s="3">
        <f t="shared" si="38"/>
        <v>0.47322968591108661</v>
      </c>
      <c r="L150" s="6">
        <v>0.253</v>
      </c>
      <c r="M150" s="4">
        <v>0.17399999999999999</v>
      </c>
      <c r="N150" s="5">
        <v>0.39700000000000002</v>
      </c>
      <c r="O150">
        <f t="shared" si="45"/>
        <v>0.39700000000000002</v>
      </c>
      <c r="P150">
        <f t="shared" si="46"/>
        <v>0.4382871536523929</v>
      </c>
      <c r="Q150">
        <f t="shared" si="47"/>
        <v>0.63727959697732994</v>
      </c>
      <c r="R150">
        <f t="shared" si="39"/>
        <v>-0.67540342805644848</v>
      </c>
      <c r="T150">
        <v>0.39700000000000002</v>
      </c>
      <c r="U150">
        <v>0.38974999999999999</v>
      </c>
      <c r="V150" s="11">
        <f t="shared" si="48"/>
        <v>0.62510389927774668</v>
      </c>
      <c r="W150">
        <f t="shared" si="49"/>
        <v>0.31233276331514309</v>
      </c>
      <c r="X150" s="13">
        <f t="shared" si="50"/>
        <v>0.34222175090468099</v>
      </c>
      <c r="Y150" s="13">
        <v>0.84222175090468099</v>
      </c>
    </row>
    <row r="151" spans="1:25" x14ac:dyDescent="0.25">
      <c r="A151" s="1">
        <v>1992</v>
      </c>
      <c r="B151" s="1">
        <f t="shared" si="40"/>
        <v>0.10199999999999999</v>
      </c>
      <c r="C151" s="1">
        <f t="shared" si="41"/>
        <v>9.0859168238496713E-2</v>
      </c>
      <c r="D151" s="1">
        <f t="shared" si="34"/>
        <v>1.3166163815677756E-2</v>
      </c>
      <c r="E151" s="1">
        <f t="shared" si="42"/>
        <v>0.85240333126604062</v>
      </c>
      <c r="F151" s="1">
        <f t="shared" si="43"/>
        <v>1.1140831761503281E-2</v>
      </c>
      <c r="G151" s="9">
        <f t="shared" si="35"/>
        <v>0.85240333126604062</v>
      </c>
      <c r="H151" s="1">
        <f t="shared" si="36"/>
        <v>0.68892622278366966</v>
      </c>
      <c r="I151" s="1">
        <f t="shared" si="44"/>
        <v>1.4339640673542977</v>
      </c>
      <c r="J151" s="3">
        <f t="shared" si="37"/>
        <v>1.4339640673542977</v>
      </c>
      <c r="K151" s="3">
        <f t="shared" si="38"/>
        <v>0.85240333126604062</v>
      </c>
      <c r="L151" s="6">
        <v>0.10199999999999999</v>
      </c>
      <c r="M151" s="4">
        <v>0.09</v>
      </c>
      <c r="N151" s="5">
        <v>9.2999999999999999E-2</v>
      </c>
      <c r="O151">
        <f t="shared" si="45"/>
        <v>9.2999999999999999E-2</v>
      </c>
      <c r="P151">
        <f t="shared" si="46"/>
        <v>0.96774193548387089</v>
      </c>
      <c r="Q151">
        <f t="shared" si="47"/>
        <v>1.096774193548387</v>
      </c>
      <c r="R151">
        <f t="shared" si="39"/>
        <v>-1.2165680834570245</v>
      </c>
      <c r="T151">
        <v>9.2999999999999999E-2</v>
      </c>
      <c r="U151">
        <v>0.111167</v>
      </c>
      <c r="V151" s="11">
        <f t="shared" si="48"/>
        <v>0.62122703809291124</v>
      </c>
      <c r="W151">
        <f t="shared" si="49"/>
        <v>0.13001824233829892</v>
      </c>
      <c r="X151" s="13">
        <f t="shared" si="50"/>
        <v>0.31538855437126101</v>
      </c>
      <c r="Y151" s="13">
        <v>0.81538855437126101</v>
      </c>
    </row>
    <row r="152" spans="1:25" x14ac:dyDescent="0.25">
      <c r="A152" s="1">
        <v>1993</v>
      </c>
      <c r="B152" s="1">
        <f t="shared" si="40"/>
        <v>0.14299999999999999</v>
      </c>
      <c r="C152" s="1">
        <f t="shared" si="41"/>
        <v>0.12433364831108916</v>
      </c>
      <c r="D152" s="1">
        <f t="shared" si="34"/>
        <v>1.7409058084079415E-2</v>
      </c>
      <c r="E152" s="1">
        <f t="shared" si="42"/>
        <v>0.64727719890138169</v>
      </c>
      <c r="F152" s="1">
        <f t="shared" si="43"/>
        <v>1.8666351688910829E-2</v>
      </c>
      <c r="G152" s="9">
        <f t="shared" si="35"/>
        <v>0.64727719890138169</v>
      </c>
      <c r="H152" s="1">
        <f t="shared" si="36"/>
        <v>0.36760279598934997</v>
      </c>
      <c r="I152" s="1">
        <f t="shared" si="44"/>
        <v>1.0720905160849079</v>
      </c>
      <c r="J152" s="3">
        <f t="shared" si="37"/>
        <v>1.0720905160849079</v>
      </c>
      <c r="K152" s="3">
        <f t="shared" si="38"/>
        <v>0.64727719890138169</v>
      </c>
      <c r="L152" s="6">
        <v>0.14299999999999999</v>
      </c>
      <c r="M152" s="4">
        <v>0.104</v>
      </c>
      <c r="N152" s="5">
        <v>0.17499999999999999</v>
      </c>
      <c r="O152">
        <f t="shared" si="45"/>
        <v>0.17499999999999999</v>
      </c>
      <c r="P152">
        <f t="shared" si="46"/>
        <v>0.59428571428571431</v>
      </c>
      <c r="Q152">
        <f t="shared" si="47"/>
        <v>0.81714285714285717</v>
      </c>
      <c r="R152">
        <f t="shared" si="39"/>
        <v>-0.92380772393663335</v>
      </c>
      <c r="T152">
        <v>0.17499999999999999</v>
      </c>
      <c r="U152">
        <v>0.183917</v>
      </c>
      <c r="V152" s="11">
        <f t="shared" si="48"/>
        <v>0.61703796032816172</v>
      </c>
      <c r="W152">
        <f t="shared" si="49"/>
        <v>0.17039518988654648</v>
      </c>
      <c r="X152" s="13">
        <f t="shared" si="50"/>
        <v>0.33645206007288597</v>
      </c>
      <c r="Y152" s="13">
        <v>0.83645206007288597</v>
      </c>
    </row>
    <row r="153" spans="1:25" x14ac:dyDescent="0.25">
      <c r="A153" s="1">
        <v>1994</v>
      </c>
      <c r="B153" s="1">
        <f t="shared" si="40"/>
        <v>0.20300000000000001</v>
      </c>
      <c r="C153" s="1">
        <f t="shared" si="41"/>
        <v>0.20241871432795167</v>
      </c>
      <c r="D153" s="1">
        <f t="shared" si="34"/>
        <v>0</v>
      </c>
      <c r="E153" s="1">
        <f t="shared" si="42"/>
        <v>0.4618823652182249</v>
      </c>
      <c r="F153" s="1">
        <f t="shared" si="43"/>
        <v>5.8128567204834836E-4</v>
      </c>
      <c r="G153" s="9">
        <f t="shared" si="35"/>
        <v>0.4618823652182249</v>
      </c>
      <c r="H153" s="1">
        <f t="shared" si="36"/>
        <v>4.3134481771667788E-3</v>
      </c>
      <c r="I153" s="1">
        <f t="shared" si="44"/>
        <v>0.4618823652182249</v>
      </c>
      <c r="J153" s="3">
        <f t="shared" si="37"/>
        <v>0.4618823652182249</v>
      </c>
      <c r="K153" s="3">
        <f t="shared" si="38"/>
        <v>0.41586507808388445</v>
      </c>
      <c r="L153" s="6">
        <v>0.20300000000000001</v>
      </c>
      <c r="M153" s="4">
        <v>0.14599999999999999</v>
      </c>
      <c r="N153" s="5">
        <v>0.34300000000000003</v>
      </c>
      <c r="O153">
        <f t="shared" si="45"/>
        <v>0.34300000000000003</v>
      </c>
      <c r="P153">
        <f t="shared" si="46"/>
        <v>0.42565597667638477</v>
      </c>
      <c r="Q153">
        <f t="shared" si="47"/>
        <v>0.59183673469387754</v>
      </c>
      <c r="R153">
        <f t="shared" si="39"/>
        <v>-0.5935314451080127</v>
      </c>
      <c r="T153">
        <v>0.34300000000000003</v>
      </c>
      <c r="U153">
        <v>0.341667</v>
      </c>
      <c r="V153" s="11">
        <f t="shared" si="48"/>
        <v>0.6125068562105298</v>
      </c>
      <c r="W153">
        <f t="shared" si="49"/>
        <v>0.26833112694939304</v>
      </c>
      <c r="X153" s="13">
        <f t="shared" si="50"/>
        <v>0.37580857910444398</v>
      </c>
      <c r="Y153" s="13">
        <v>0.87580857910444398</v>
      </c>
    </row>
    <row r="154" spans="1:25" x14ac:dyDescent="0.25">
      <c r="A154" s="1">
        <v>1995</v>
      </c>
      <c r="B154" s="1">
        <f t="shared" si="40"/>
        <v>0.32400000000000001</v>
      </c>
      <c r="C154" s="1">
        <f t="shared" si="41"/>
        <v>0.30370132278422568</v>
      </c>
      <c r="D154" s="1">
        <f t="shared" si="34"/>
        <v>0</v>
      </c>
      <c r="E154" s="1">
        <f t="shared" si="42"/>
        <v>0.60397559279442181</v>
      </c>
      <c r="F154" s="1">
        <f t="shared" si="43"/>
        <v>2.029867721577433E-2</v>
      </c>
      <c r="G154" s="9">
        <f t="shared" si="35"/>
        <v>0.60397559279442181</v>
      </c>
      <c r="H154" s="1">
        <f t="shared" si="36"/>
        <v>7.8636022159803809E-2</v>
      </c>
      <c r="I154" s="1">
        <f t="shared" si="44"/>
        <v>0.60397559279442181</v>
      </c>
      <c r="J154" s="3">
        <f t="shared" si="37"/>
        <v>0.60397559279442181</v>
      </c>
      <c r="K154" s="3">
        <f t="shared" si="38"/>
        <v>0.40749507775191052</v>
      </c>
      <c r="L154" s="6">
        <v>0.32400000000000001</v>
      </c>
      <c r="M154" s="4">
        <v>0.188</v>
      </c>
      <c r="N154" s="5">
        <v>0.59199999999999997</v>
      </c>
      <c r="O154">
        <f t="shared" si="45"/>
        <v>0.59199999999999997</v>
      </c>
      <c r="P154">
        <f t="shared" si="46"/>
        <v>0.3175675675675676</v>
      </c>
      <c r="Q154">
        <f t="shared" si="47"/>
        <v>0.54729729729729737</v>
      </c>
      <c r="R154">
        <f t="shared" si="39"/>
        <v>-0.58158560340502419</v>
      </c>
      <c r="T154">
        <v>0.59199999999999997</v>
      </c>
      <c r="U154">
        <v>0.58216699999999999</v>
      </c>
      <c r="V154" s="11">
        <f t="shared" si="48"/>
        <v>0.60760245937854052</v>
      </c>
      <c r="W154">
        <f t="shared" si="49"/>
        <v>0.39034280783460584</v>
      </c>
      <c r="X154" s="13">
        <f t="shared" si="50"/>
        <v>0.42840649273982201</v>
      </c>
      <c r="Y154" s="13">
        <v>0.92840649273982201</v>
      </c>
    </row>
    <row r="155" spans="1:25" x14ac:dyDescent="0.25">
      <c r="A155" s="1">
        <v>1996</v>
      </c>
      <c r="B155" s="1">
        <f t="shared" si="40"/>
        <v>0.17899999999999999</v>
      </c>
      <c r="C155" s="1">
        <f t="shared" si="41"/>
        <v>0.16491587891640505</v>
      </c>
      <c r="D155" s="1">
        <f t="shared" si="34"/>
        <v>0</v>
      </c>
      <c r="E155" s="1">
        <f t="shared" si="42"/>
        <v>0.92411642084093937</v>
      </c>
      <c r="F155" s="1">
        <f t="shared" si="43"/>
        <v>1.4084121083594942E-2</v>
      </c>
      <c r="G155" s="9">
        <f t="shared" si="35"/>
        <v>0.92411642084093937</v>
      </c>
      <c r="H155" s="1">
        <f t="shared" si="36"/>
        <v>0.21933081735038473</v>
      </c>
      <c r="I155" s="1">
        <f t="shared" si="44"/>
        <v>0.92411642084093937</v>
      </c>
      <c r="J155" s="3">
        <f t="shared" si="37"/>
        <v>0.92411642084093937</v>
      </c>
      <c r="K155" s="3">
        <f t="shared" si="38"/>
        <v>0.59597689347200744</v>
      </c>
      <c r="L155" s="6">
        <v>0.17899999999999999</v>
      </c>
      <c r="M155" s="4">
        <v>0.14000000000000001</v>
      </c>
      <c r="N155" s="5">
        <v>0.22700000000000001</v>
      </c>
      <c r="O155">
        <f t="shared" si="45"/>
        <v>0.22700000000000001</v>
      </c>
      <c r="P155">
        <f t="shared" si="46"/>
        <v>0.61674008810572689</v>
      </c>
      <c r="Q155">
        <f t="shared" si="47"/>
        <v>0.78854625550660784</v>
      </c>
      <c r="R155">
        <f t="shared" si="39"/>
        <v>-0.85059084177795119</v>
      </c>
      <c r="T155">
        <v>0.22700000000000001</v>
      </c>
      <c r="U155">
        <v>0.23908299999999999</v>
      </c>
      <c r="V155" s="11">
        <f t="shared" si="48"/>
        <v>0.60229200217872858</v>
      </c>
      <c r="W155">
        <f t="shared" si="49"/>
        <v>0.23088588873686819</v>
      </c>
      <c r="X155" s="13">
        <f t="shared" si="50"/>
        <v>0.41509594721117304</v>
      </c>
      <c r="Y155" s="13">
        <v>0.91509594721117304</v>
      </c>
    </row>
    <row r="156" spans="1:25" x14ac:dyDescent="0.25">
      <c r="A156" s="1">
        <v>1997</v>
      </c>
      <c r="B156" s="1">
        <f t="shared" si="40"/>
        <v>0.39200000000000002</v>
      </c>
      <c r="C156" s="1">
        <f t="shared" si="41"/>
        <v>0.37527788256644834</v>
      </c>
      <c r="D156" s="1">
        <f t="shared" si="34"/>
        <v>0</v>
      </c>
      <c r="E156" s="1">
        <f t="shared" si="42"/>
        <v>0.79630375668084652</v>
      </c>
      <c r="F156" s="1">
        <f t="shared" si="43"/>
        <v>1.6722117433551675E-2</v>
      </c>
      <c r="G156" s="9">
        <f t="shared" si="35"/>
        <v>0.79630375668084652</v>
      </c>
      <c r="H156" s="1">
        <f t="shared" si="36"/>
        <v>0.12073035985335234</v>
      </c>
      <c r="I156" s="1">
        <f t="shared" si="44"/>
        <v>0.79630375668084652</v>
      </c>
      <c r="J156" s="3">
        <f t="shared" si="37"/>
        <v>0.79630375668084652</v>
      </c>
      <c r="K156" s="3">
        <f t="shared" si="38"/>
        <v>0.55284972710110469</v>
      </c>
      <c r="L156" s="6">
        <v>0.39200000000000002</v>
      </c>
      <c r="M156" s="4">
        <v>0.318</v>
      </c>
      <c r="N156" s="5">
        <v>0.51800000000000002</v>
      </c>
      <c r="O156">
        <f t="shared" si="45"/>
        <v>0.51800000000000002</v>
      </c>
      <c r="P156">
        <f t="shared" si="46"/>
        <v>0.61389961389961389</v>
      </c>
      <c r="Q156">
        <f t="shared" si="47"/>
        <v>0.7567567567567568</v>
      </c>
      <c r="R156">
        <f t="shared" si="39"/>
        <v>-0.78903883674430819</v>
      </c>
      <c r="T156">
        <v>0.51800000000000002</v>
      </c>
      <c r="U156">
        <v>0.52058300000000002</v>
      </c>
      <c r="V156" s="11">
        <f t="shared" si="48"/>
        <v>0.59654117841273546</v>
      </c>
      <c r="W156">
        <f t="shared" si="49"/>
        <v>0.52875625764385181</v>
      </c>
      <c r="X156" s="13">
        <f t="shared" si="50"/>
        <v>0.44321353188775903</v>
      </c>
      <c r="Y156" s="13">
        <v>0.94321353188775903</v>
      </c>
    </row>
    <row r="157" spans="1:25" x14ac:dyDescent="0.25">
      <c r="A157" s="1">
        <v>1998</v>
      </c>
      <c r="B157" s="1">
        <f t="shared" si="40"/>
        <v>0.53100000000000003</v>
      </c>
      <c r="C157" s="1">
        <f t="shared" si="41"/>
        <v>0.53599716397670927</v>
      </c>
      <c r="D157" s="1">
        <f t="shared" si="34"/>
        <v>-3.4608119987732389E-3</v>
      </c>
      <c r="E157" s="7">
        <f t="shared" si="42"/>
        <v>0.44137764175818517</v>
      </c>
      <c r="F157" s="1">
        <f t="shared" si="43"/>
        <v>4.9971639767092402E-3</v>
      </c>
      <c r="G157" s="9">
        <f t="shared" si="35"/>
        <v>0.44137764175818517</v>
      </c>
      <c r="H157" s="1">
        <f t="shared" si="36"/>
        <v>-1.0443669841432246E-2</v>
      </c>
      <c r="I157" s="1" t="e">
        <f t="shared" si="44"/>
        <v>#NUM!</v>
      </c>
      <c r="J157" s="3" t="b">
        <f t="shared" si="37"/>
        <v>0</v>
      </c>
      <c r="K157" s="3">
        <f t="shared" si="38"/>
        <v>0.44137764175818517</v>
      </c>
      <c r="L157" s="6">
        <v>0.53100000000000003</v>
      </c>
      <c r="M157" s="4">
        <v>0.41599999999999998</v>
      </c>
      <c r="N157" s="5">
        <v>0.83499999999999996</v>
      </c>
      <c r="O157">
        <f t="shared" si="45"/>
        <v>0.83499999999999996</v>
      </c>
      <c r="P157">
        <f t="shared" si="46"/>
        <v>0.49820359281437127</v>
      </c>
      <c r="Q157">
        <f t="shared" si="47"/>
        <v>0.63592814371257489</v>
      </c>
      <c r="R157">
        <f t="shared" si="39"/>
        <v>-0.62994351619555777</v>
      </c>
      <c r="T157">
        <v>0.83499999999999996</v>
      </c>
      <c r="U157">
        <v>0.81241699999999994</v>
      </c>
      <c r="V157" s="11">
        <f t="shared" si="48"/>
        <v>0.59031412843614817</v>
      </c>
      <c r="W157">
        <f t="shared" si="49"/>
        <v>0.74202335086872329</v>
      </c>
      <c r="X157" s="13">
        <f t="shared" si="50"/>
        <v>0.49555536365403996</v>
      </c>
      <c r="Y157" s="13">
        <v>0.99555536365403996</v>
      </c>
    </row>
    <row r="158" spans="1:25" x14ac:dyDescent="0.25">
      <c r="A158" s="1">
        <v>1999</v>
      </c>
      <c r="B158" s="1">
        <f t="shared" si="40"/>
        <v>0.30099999999999999</v>
      </c>
      <c r="C158" s="1">
        <f t="shared" si="41"/>
        <v>0.30124574627093603</v>
      </c>
      <c r="D158" s="1">
        <f t="shared" si="34"/>
        <v>0</v>
      </c>
      <c r="E158" s="1">
        <f t="shared" si="42"/>
        <v>0.38857444942694064</v>
      </c>
      <c r="F158" s="1">
        <f t="shared" si="43"/>
        <v>2.4574627093604251E-4</v>
      </c>
      <c r="G158" s="9">
        <f t="shared" si="35"/>
        <v>0.38857444942694064</v>
      </c>
      <c r="H158" s="1">
        <f t="shared" si="36"/>
        <v>3.414306796655775E-4</v>
      </c>
      <c r="I158" s="1">
        <f t="shared" si="44"/>
        <v>0.38857444942694064</v>
      </c>
      <c r="J158" s="3">
        <f t="shared" si="37"/>
        <v>0.38857444942694064</v>
      </c>
      <c r="K158" s="3">
        <f t="shared" si="38"/>
        <v>0.37562772240878439</v>
      </c>
      <c r="L158" s="6">
        <v>0.30099999999999999</v>
      </c>
      <c r="M158" s="4">
        <v>0.19700000000000001</v>
      </c>
      <c r="N158" s="5">
        <v>0.56100000000000005</v>
      </c>
      <c r="O158">
        <f t="shared" si="45"/>
        <v>0.56100000000000005</v>
      </c>
      <c r="P158">
        <f t="shared" si="46"/>
        <v>0.35115864527629231</v>
      </c>
      <c r="Q158">
        <f t="shared" si="47"/>
        <v>0.53654188948306591</v>
      </c>
      <c r="R158">
        <f t="shared" si="39"/>
        <v>-0.53610383908924053</v>
      </c>
      <c r="S158" s="3">
        <f t="shared" ref="S158:S171" si="51">+$R158*$R158-4*$G$1*$G$2*$P158</f>
        <v>3.414306796655775E-4</v>
      </c>
      <c r="T158">
        <v>0.56100000000000005</v>
      </c>
      <c r="U158">
        <v>0.56799999999999995</v>
      </c>
      <c r="V158" s="11">
        <f t="shared" si="48"/>
        <v>0.58357342425733805</v>
      </c>
      <c r="W158">
        <f t="shared" si="49"/>
        <v>0.40156180072528846</v>
      </c>
      <c r="X158" s="13">
        <f t="shared" si="50"/>
        <v>0.48608408586000196</v>
      </c>
      <c r="Y158" s="13">
        <v>0.98608408586000196</v>
      </c>
    </row>
    <row r="159" spans="1:25" x14ac:dyDescent="0.25">
      <c r="A159" s="1">
        <v>2000</v>
      </c>
      <c r="B159" s="1">
        <f t="shared" si="40"/>
        <v>0.29399999999999998</v>
      </c>
      <c r="C159" s="1">
        <f t="shared" si="41"/>
        <v>0.29275236263904081</v>
      </c>
      <c r="D159" s="1">
        <f t="shared" si="34"/>
        <v>0</v>
      </c>
      <c r="E159" s="1">
        <f t="shared" si="42"/>
        <v>0.48724905543512076</v>
      </c>
      <c r="F159" s="1">
        <f t="shared" si="43"/>
        <v>1.2476373609591751E-3</v>
      </c>
      <c r="G159" s="9">
        <f t="shared" si="35"/>
        <v>0.48724905543512076</v>
      </c>
      <c r="H159" s="1">
        <f t="shared" si="36"/>
        <v>7.2925433260714878E-3</v>
      </c>
      <c r="I159" s="1">
        <f t="shared" si="44"/>
        <v>0.48724905543512076</v>
      </c>
      <c r="J159" s="3">
        <f t="shared" si="37"/>
        <v>0.48724905543512076</v>
      </c>
      <c r="K159" s="3">
        <f t="shared" si="38"/>
        <v>0.42741502903739753</v>
      </c>
      <c r="L159" s="6">
        <v>0.29399999999999998</v>
      </c>
      <c r="M159" s="4">
        <v>0.216</v>
      </c>
      <c r="N159" s="5">
        <v>0.48399999999999999</v>
      </c>
      <c r="O159">
        <f t="shared" si="45"/>
        <v>0.48399999999999999</v>
      </c>
      <c r="P159">
        <f t="shared" si="46"/>
        <v>0.4462809917355372</v>
      </c>
      <c r="Q159">
        <f t="shared" si="47"/>
        <v>0.6074380165289256</v>
      </c>
      <c r="R159">
        <f t="shared" si="39"/>
        <v>-0.61001577967140319</v>
      </c>
      <c r="S159" s="3">
        <f t="shared" si="51"/>
        <v>7.2925433260714878E-3</v>
      </c>
      <c r="T159">
        <v>0.48399999999999999</v>
      </c>
      <c r="U159">
        <v>0.49733300000000003</v>
      </c>
      <c r="V159" s="11">
        <f t="shared" si="48"/>
        <v>0.57628000248223543</v>
      </c>
      <c r="W159">
        <f t="shared" si="49"/>
        <v>0.40608642278849372</v>
      </c>
      <c r="X159" s="13">
        <f t="shared" si="50"/>
        <v>0.49724644729627698</v>
      </c>
      <c r="Y159" s="13">
        <v>0.99724644729627698</v>
      </c>
    </row>
    <row r="160" spans="1:25" x14ac:dyDescent="0.25">
      <c r="A160" s="1">
        <v>2001</v>
      </c>
      <c r="B160" s="1">
        <f t="shared" si="40"/>
        <v>0.437</v>
      </c>
      <c r="C160" s="1">
        <f t="shared" si="41"/>
        <v>0.42980907331694918</v>
      </c>
      <c r="D160" s="1">
        <f t="shared" si="34"/>
        <v>0</v>
      </c>
      <c r="E160" s="1">
        <f t="shared" si="42"/>
        <v>0.5794021673158789</v>
      </c>
      <c r="F160" s="1">
        <f t="shared" si="43"/>
        <v>7.1909266830508245E-3</v>
      </c>
      <c r="G160" s="9">
        <f t="shared" si="35"/>
        <v>0.5794021673158789</v>
      </c>
      <c r="H160" s="1">
        <f t="shared" si="36"/>
        <v>3.0510412582222368E-2</v>
      </c>
      <c r="I160" s="1">
        <f t="shared" si="44"/>
        <v>0.5794021673158789</v>
      </c>
      <c r="J160" s="3">
        <f t="shared" si="37"/>
        <v>0.5794021673158789</v>
      </c>
      <c r="K160" s="3">
        <f t="shared" si="38"/>
        <v>0.45701588010337429</v>
      </c>
      <c r="L160" s="6">
        <v>0.437</v>
      </c>
      <c r="M160" s="4">
        <v>0.32900000000000001</v>
      </c>
      <c r="N160" s="5">
        <v>0.68100000000000005</v>
      </c>
      <c r="O160">
        <f t="shared" si="45"/>
        <v>0.68100000000000005</v>
      </c>
      <c r="P160">
        <f t="shared" si="46"/>
        <v>0.4831130690161527</v>
      </c>
      <c r="Q160">
        <f t="shared" si="47"/>
        <v>0.64170337738619676</v>
      </c>
      <c r="R160">
        <f t="shared" si="39"/>
        <v>-0.65226274109111726</v>
      </c>
      <c r="S160" s="3">
        <f t="shared" si="51"/>
        <v>3.0510412582222368E-2</v>
      </c>
      <c r="T160">
        <v>0.68100000000000005</v>
      </c>
      <c r="U160">
        <v>0.68116699999999997</v>
      </c>
      <c r="V160" s="11">
        <f t="shared" si="48"/>
        <v>0.56839317921549082</v>
      </c>
      <c r="W160">
        <f t="shared" si="49"/>
        <v>0.60808660980835616</v>
      </c>
      <c r="X160" s="13">
        <f t="shared" si="50"/>
        <v>0.53779946244363996</v>
      </c>
      <c r="Y160" s="13">
        <v>1.03779946244364</v>
      </c>
    </row>
    <row r="161" spans="1:25" x14ac:dyDescent="0.25">
      <c r="A161" s="1">
        <v>2002</v>
      </c>
      <c r="B161" s="1">
        <f t="shared" si="40"/>
        <v>0.49199999999999999</v>
      </c>
      <c r="C161" s="1">
        <f t="shared" si="41"/>
        <v>0.48541965926121916</v>
      </c>
      <c r="D161" s="1">
        <f t="shared" si="34"/>
        <v>0</v>
      </c>
      <c r="E161" s="1">
        <f t="shared" si="42"/>
        <v>0.55759139337024843</v>
      </c>
      <c r="F161" s="1">
        <f t="shared" si="43"/>
        <v>6.5803407387808321E-3</v>
      </c>
      <c r="G161" s="9">
        <f t="shared" si="35"/>
        <v>0.55759139337024843</v>
      </c>
      <c r="H161" s="1">
        <f t="shared" si="36"/>
        <v>2.4011819439209936E-2</v>
      </c>
      <c r="I161" s="1">
        <f t="shared" si="44"/>
        <v>0.55759139337024843</v>
      </c>
      <c r="J161" s="3">
        <f t="shared" si="37"/>
        <v>0.55759139337024843</v>
      </c>
      <c r="K161" s="3">
        <f t="shared" si="38"/>
        <v>0.44901853934082309</v>
      </c>
      <c r="L161" s="6">
        <v>0.49199999999999999</v>
      </c>
      <c r="M161" s="4">
        <v>0.36799999999999999</v>
      </c>
      <c r="N161" s="5">
        <v>0.77800000000000002</v>
      </c>
      <c r="O161">
        <f t="shared" si="45"/>
        <v>0.77800000000000002</v>
      </c>
      <c r="P161">
        <f t="shared" si="46"/>
        <v>0.47300771208226217</v>
      </c>
      <c r="Q161">
        <f t="shared" si="47"/>
        <v>0.63239074550128527</v>
      </c>
      <c r="R161">
        <f t="shared" si="39"/>
        <v>-0.64084876701642768</v>
      </c>
      <c r="S161" s="3">
        <f t="shared" si="51"/>
        <v>2.4011819439209936E-2</v>
      </c>
      <c r="T161">
        <v>0.77800000000000002</v>
      </c>
      <c r="U161">
        <v>0.77258300000000002</v>
      </c>
      <c r="V161" s="11">
        <f t="shared" si="48"/>
        <v>0.55987061280757189</v>
      </c>
      <c r="W161">
        <f t="shared" si="49"/>
        <v>0.69186343722000565</v>
      </c>
      <c r="X161" s="13">
        <f t="shared" si="50"/>
        <v>0.57343852123087991</v>
      </c>
      <c r="Y161" s="13">
        <v>1.0734385212308799</v>
      </c>
    </row>
    <row r="162" spans="1:25" x14ac:dyDescent="0.25">
      <c r="A162" s="1">
        <v>2003</v>
      </c>
      <c r="B162" s="1">
        <f t="shared" si="40"/>
        <v>0.503</v>
      </c>
      <c r="C162" s="1">
        <f t="shared" si="41"/>
        <v>0.50096880863775517</v>
      </c>
      <c r="D162" s="1">
        <f t="shared" si="34"/>
        <v>0</v>
      </c>
      <c r="E162" s="1">
        <f t="shared" si="42"/>
        <v>0.5392886759287312</v>
      </c>
      <c r="F162" s="1">
        <f t="shared" si="43"/>
        <v>2.031191362244833E-3</v>
      </c>
      <c r="G162" s="9">
        <f t="shared" si="35"/>
        <v>0.5392886759287312</v>
      </c>
      <c r="H162" s="1">
        <f t="shared" si="36"/>
        <v>1.2950338321729038E-2</v>
      </c>
      <c r="I162" s="1">
        <f t="shared" si="44"/>
        <v>0.5392886759287312</v>
      </c>
      <c r="J162" s="3">
        <f t="shared" si="37"/>
        <v>0.5392886759287312</v>
      </c>
      <c r="K162" s="3">
        <f t="shared" si="38"/>
        <v>0.45955362483476137</v>
      </c>
      <c r="L162" s="6">
        <v>0.503</v>
      </c>
      <c r="M162" s="4">
        <v>0.39300000000000002</v>
      </c>
      <c r="N162" s="5">
        <v>0.77</v>
      </c>
      <c r="O162">
        <f t="shared" si="45"/>
        <v>0.77</v>
      </c>
      <c r="P162">
        <f t="shared" si="46"/>
        <v>0.51038961038961039</v>
      </c>
      <c r="Q162">
        <f t="shared" si="47"/>
        <v>0.65324675324675319</v>
      </c>
      <c r="R162">
        <f t="shared" si="39"/>
        <v>-0.65588466410681134</v>
      </c>
      <c r="S162" s="3">
        <f t="shared" si="51"/>
        <v>1.2950338321729038E-2</v>
      </c>
      <c r="T162">
        <v>0.77</v>
      </c>
      <c r="U162">
        <v>0.76649999999999996</v>
      </c>
      <c r="V162" s="11">
        <f t="shared" si="48"/>
        <v>0.55066824425011873</v>
      </c>
      <c r="W162">
        <f t="shared" si="49"/>
        <v>0.72980826914948826</v>
      </c>
      <c r="X162" s="13">
        <f t="shared" si="50"/>
        <v>0.58561649761847989</v>
      </c>
      <c r="Y162" s="13">
        <v>1.0856164976184799</v>
      </c>
    </row>
    <row r="163" spans="1:25" x14ac:dyDescent="0.25">
      <c r="A163" s="1">
        <v>2004</v>
      </c>
      <c r="B163" s="1">
        <f t="shared" si="40"/>
        <v>0.44500000000000001</v>
      </c>
      <c r="C163" s="1">
        <f t="shared" si="41"/>
        <v>0.44564461210631739</v>
      </c>
      <c r="D163" s="1">
        <f t="shared" si="34"/>
        <v>0</v>
      </c>
      <c r="E163" s="1">
        <f t="shared" si="42"/>
        <v>0.5129009168900498</v>
      </c>
      <c r="F163" s="1">
        <f t="shared" si="43"/>
        <v>6.4461210631738819E-4</v>
      </c>
      <c r="G163" s="9">
        <f t="shared" si="35"/>
        <v>0.5129009168900498</v>
      </c>
      <c r="H163" s="1">
        <f t="shared" si="36"/>
        <v>5.2914069993690305E-3</v>
      </c>
      <c r="I163" s="1">
        <f t="shared" si="44"/>
        <v>0.5129009168900498</v>
      </c>
      <c r="J163" s="3">
        <f t="shared" si="37"/>
        <v>0.5129009168900498</v>
      </c>
      <c r="K163" s="3">
        <f t="shared" si="38"/>
        <v>0.46193330283733303</v>
      </c>
      <c r="L163" s="6">
        <v>0.44500000000000001</v>
      </c>
      <c r="M163" s="4">
        <v>0.35399999999999998</v>
      </c>
      <c r="N163" s="5">
        <v>0.67400000000000004</v>
      </c>
      <c r="O163">
        <f t="shared" si="45"/>
        <v>0.67400000000000004</v>
      </c>
      <c r="P163">
        <f t="shared" si="46"/>
        <v>0.52522255192878331</v>
      </c>
      <c r="Q163">
        <f t="shared" si="47"/>
        <v>0.66023738872403559</v>
      </c>
      <c r="R163">
        <f t="shared" si="39"/>
        <v>-0.659280990940182</v>
      </c>
      <c r="S163" s="3">
        <f t="shared" si="51"/>
        <v>5.2914069993690305E-3</v>
      </c>
      <c r="T163">
        <v>0.67400000000000004</v>
      </c>
      <c r="U163">
        <v>0.68225000000000002</v>
      </c>
      <c r="V163" s="11">
        <f t="shared" si="48"/>
        <v>0.54074032697826624</v>
      </c>
      <c r="W163">
        <f t="shared" si="49"/>
        <v>0.66019736912494142</v>
      </c>
      <c r="X163" s="13">
        <f t="shared" si="50"/>
        <v>0.58190207127636007</v>
      </c>
      <c r="Y163" s="13">
        <v>1.0819020712763601</v>
      </c>
    </row>
    <row r="164" spans="1:25" x14ac:dyDescent="0.25">
      <c r="A164" s="1">
        <v>2005</v>
      </c>
      <c r="B164" s="1">
        <f t="shared" si="40"/>
        <v>0.53900000000000003</v>
      </c>
      <c r="C164" s="1">
        <f t="shared" si="41"/>
        <v>0.53018998052629529</v>
      </c>
      <c r="D164" s="1">
        <f t="shared" si="34"/>
        <v>0</v>
      </c>
      <c r="E164" s="1">
        <f t="shared" si="42"/>
        <v>0.54645230952759116</v>
      </c>
      <c r="F164" s="1">
        <f t="shared" si="43"/>
        <v>8.8100194737047444E-3</v>
      </c>
      <c r="G164" s="9">
        <f t="shared" si="35"/>
        <v>0.54645230952759116</v>
      </c>
      <c r="H164" s="1">
        <f t="shared" si="36"/>
        <v>2.5220143356817826E-2</v>
      </c>
      <c r="I164" s="1">
        <f t="shared" si="44"/>
        <v>0.54645230952759116</v>
      </c>
      <c r="J164" s="3">
        <f t="shared" si="37"/>
        <v>0.54645230952759116</v>
      </c>
      <c r="K164" s="3">
        <f t="shared" si="38"/>
        <v>0.43518118038770809</v>
      </c>
      <c r="L164" s="6">
        <v>0.53900000000000003</v>
      </c>
      <c r="M164" s="4">
        <v>0.38900000000000001</v>
      </c>
      <c r="N164" s="5">
        <v>0.88200000000000001</v>
      </c>
      <c r="O164">
        <f t="shared" si="45"/>
        <v>0.88200000000000001</v>
      </c>
      <c r="P164">
        <f t="shared" si="46"/>
        <v>0.44104308390022678</v>
      </c>
      <c r="Q164">
        <f t="shared" si="47"/>
        <v>0.61111111111111116</v>
      </c>
      <c r="R164">
        <f t="shared" si="39"/>
        <v>-0.62109979532166082</v>
      </c>
      <c r="S164" s="3">
        <f t="shared" si="51"/>
        <v>2.5220143356817826E-2</v>
      </c>
      <c r="T164">
        <v>0.88200000000000001</v>
      </c>
      <c r="U164">
        <v>0.87516700000000003</v>
      </c>
      <c r="V164" s="11">
        <f t="shared" si="48"/>
        <v>0.53003933746367693</v>
      </c>
      <c r="W164">
        <f t="shared" si="49"/>
        <v>0.77631983272153282</v>
      </c>
      <c r="X164" s="13">
        <f t="shared" si="50"/>
        <v>0.64931345678763996</v>
      </c>
      <c r="Y164" s="13">
        <v>1.14931345678764</v>
      </c>
    </row>
    <row r="165" spans="1:25" x14ac:dyDescent="0.25">
      <c r="A165" s="1">
        <v>2006</v>
      </c>
      <c r="B165" s="1">
        <f t="shared" si="40"/>
        <v>0.495</v>
      </c>
      <c r="C165" s="1">
        <f t="shared" si="41"/>
        <v>0.49244328871034765</v>
      </c>
      <c r="D165" s="1">
        <f t="shared" si="34"/>
        <v>0</v>
      </c>
      <c r="E165" s="1">
        <f t="shared" si="42"/>
        <v>0.49669119771639753</v>
      </c>
      <c r="F165" s="1">
        <f t="shared" si="43"/>
        <v>2.556711289652347E-3</v>
      </c>
      <c r="G165" s="9">
        <f t="shared" si="35"/>
        <v>0.49669119771639753</v>
      </c>
      <c r="H165" s="1">
        <f t="shared" si="36"/>
        <v>8.9530673467870803E-3</v>
      </c>
      <c r="I165" s="1">
        <f t="shared" si="44"/>
        <v>0.49669119771639753</v>
      </c>
      <c r="J165" s="3">
        <f t="shared" si="37"/>
        <v>0.49669119771639753</v>
      </c>
      <c r="K165" s="3">
        <f t="shared" si="38"/>
        <v>0.4303940803625127</v>
      </c>
      <c r="L165" s="6">
        <v>0.495</v>
      </c>
      <c r="M165" s="4">
        <v>0.36499999999999999</v>
      </c>
      <c r="N165" s="5">
        <v>0.81</v>
      </c>
      <c r="O165">
        <f t="shared" si="45"/>
        <v>0.81</v>
      </c>
      <c r="P165">
        <f t="shared" si="46"/>
        <v>0.45061728395061723</v>
      </c>
      <c r="Q165">
        <f t="shared" si="47"/>
        <v>0.61111111111111105</v>
      </c>
      <c r="R165">
        <f t="shared" si="39"/>
        <v>-0.61426754480203982</v>
      </c>
      <c r="S165" s="3">
        <f t="shared" si="51"/>
        <v>8.9530673467870803E-3</v>
      </c>
      <c r="T165">
        <v>0.81</v>
      </c>
      <c r="U165">
        <v>0.80833299999999997</v>
      </c>
      <c r="V165" s="11">
        <f t="shared" si="48"/>
        <v>0.51851599011570215</v>
      </c>
      <c r="W165">
        <f t="shared" si="49"/>
        <v>0.73430875505593529</v>
      </c>
      <c r="X165" s="13">
        <f t="shared" si="50"/>
        <v>0.65564387961774995</v>
      </c>
      <c r="Y165" s="13">
        <v>1.1556438796177499</v>
      </c>
    </row>
    <row r="166" spans="1:25" x14ac:dyDescent="0.25">
      <c r="A166" s="1">
        <v>2007</v>
      </c>
      <c r="B166" s="1">
        <f t="shared" si="40"/>
        <v>0.48299999999999998</v>
      </c>
      <c r="C166" s="1">
        <f t="shared" si="41"/>
        <v>0.47155671006616429</v>
      </c>
      <c r="D166" s="1">
        <f t="shared" si="34"/>
        <v>0</v>
      </c>
      <c r="E166" s="1">
        <f t="shared" si="42"/>
        <v>0.50181698494011384</v>
      </c>
      <c r="F166" s="1">
        <f t="shared" si="43"/>
        <v>1.1443289933835699E-2</v>
      </c>
      <c r="G166" s="9">
        <f t="shared" si="35"/>
        <v>0.50181698494011384</v>
      </c>
      <c r="H166" s="1">
        <f t="shared" si="36"/>
        <v>2.9674132362473016E-2</v>
      </c>
      <c r="I166" s="1">
        <f t="shared" si="44"/>
        <v>0.50181698494011384</v>
      </c>
      <c r="J166" s="3">
        <f t="shared" si="37"/>
        <v>0.50181698494011384</v>
      </c>
      <c r="K166" s="3">
        <f t="shared" si="38"/>
        <v>0.38111963507112345</v>
      </c>
      <c r="L166" s="6">
        <v>0.48299999999999998</v>
      </c>
      <c r="M166" s="4">
        <v>0.29599999999999999</v>
      </c>
      <c r="N166" s="5">
        <v>0.90900000000000003</v>
      </c>
      <c r="O166">
        <f t="shared" si="45"/>
        <v>0.90900000000000003</v>
      </c>
      <c r="P166">
        <f t="shared" si="46"/>
        <v>0.32563256325632561</v>
      </c>
      <c r="Q166">
        <f t="shared" si="47"/>
        <v>0.53135313531353134</v>
      </c>
      <c r="R166">
        <f t="shared" si="39"/>
        <v>-0.54394201312853219</v>
      </c>
      <c r="S166" s="3">
        <f t="shared" si="51"/>
        <v>2.9674132362473016E-2</v>
      </c>
      <c r="T166">
        <v>0.90900000000000003</v>
      </c>
      <c r="U166">
        <v>0.90749999999999997</v>
      </c>
      <c r="V166" s="11">
        <f t="shared" si="48"/>
        <v>0.50611915905028582</v>
      </c>
      <c r="W166">
        <f t="shared" si="49"/>
        <v>0.67767778415958824</v>
      </c>
      <c r="X166" s="13">
        <f t="shared" si="50"/>
        <v>0.70513621271864002</v>
      </c>
      <c r="Y166" s="13">
        <v>1.20513621271864</v>
      </c>
    </row>
    <row r="167" spans="1:25" x14ac:dyDescent="0.25">
      <c r="A167" s="1">
        <v>2008</v>
      </c>
      <c r="B167" s="1">
        <f t="shared" si="40"/>
        <v>0.38800000000000001</v>
      </c>
      <c r="C167" s="1">
        <f t="shared" si="41"/>
        <v>0.38386578399485749</v>
      </c>
      <c r="D167" s="1">
        <f t="shared" si="34"/>
        <v>0</v>
      </c>
      <c r="E167" s="1">
        <f t="shared" si="42"/>
        <v>0.47734522734641821</v>
      </c>
      <c r="F167" s="1">
        <f t="shared" si="43"/>
        <v>4.1342160051425214E-3</v>
      </c>
      <c r="G167" s="9">
        <f t="shared" si="35"/>
        <v>0.47734522734641821</v>
      </c>
      <c r="H167" s="1">
        <f t="shared" si="36"/>
        <v>1.3701948503158146E-2</v>
      </c>
      <c r="I167" s="1">
        <f t="shared" si="44"/>
        <v>0.47734522734641821</v>
      </c>
      <c r="J167" s="3">
        <f t="shared" si="37"/>
        <v>0.47734522734641821</v>
      </c>
      <c r="K167" s="3">
        <f t="shared" si="38"/>
        <v>0.39532898171530351</v>
      </c>
      <c r="L167" s="6">
        <v>0.38800000000000001</v>
      </c>
      <c r="M167" s="4">
        <v>0.25900000000000001</v>
      </c>
      <c r="N167" s="5">
        <v>0.69499999999999995</v>
      </c>
      <c r="O167">
        <f t="shared" si="45"/>
        <v>0.69499999999999995</v>
      </c>
      <c r="P167">
        <f t="shared" si="46"/>
        <v>0.37266187050359717</v>
      </c>
      <c r="Q167">
        <f t="shared" si="47"/>
        <v>0.55827338129496407</v>
      </c>
      <c r="R167">
        <f t="shared" si="39"/>
        <v>-0.56422189353257923</v>
      </c>
      <c r="S167" s="3">
        <f t="shared" si="51"/>
        <v>1.3701948503158146E-2</v>
      </c>
      <c r="T167">
        <v>0.69499999999999995</v>
      </c>
      <c r="U167">
        <v>0.70574999999999999</v>
      </c>
      <c r="V167" s="11">
        <f t="shared" si="48"/>
        <v>0.49279597122222185</v>
      </c>
      <c r="W167">
        <f t="shared" si="49"/>
        <v>0.57409472691437524</v>
      </c>
      <c r="X167" s="13">
        <f t="shared" si="50"/>
        <v>0.69304345325791994</v>
      </c>
      <c r="Y167" s="13">
        <v>1.1930434532579199</v>
      </c>
    </row>
    <row r="168" spans="1:25" x14ac:dyDescent="0.25">
      <c r="A168" s="1">
        <v>2009</v>
      </c>
      <c r="B168" s="1">
        <f t="shared" si="40"/>
        <v>0.49399999999999999</v>
      </c>
      <c r="C168" s="1">
        <f t="shared" si="41"/>
        <v>0.4912268427116333</v>
      </c>
      <c r="D168" s="1">
        <f t="shared" si="34"/>
        <v>0</v>
      </c>
      <c r="E168" s="1">
        <f t="shared" si="42"/>
        <v>0.57548786545273334</v>
      </c>
      <c r="F168" s="1">
        <f t="shared" si="43"/>
        <v>2.77315728836669E-3</v>
      </c>
      <c r="G168" s="9">
        <f t="shared" si="35"/>
        <v>0.57548786545273334</v>
      </c>
      <c r="H168" s="1">
        <f t="shared" si="36"/>
        <v>2.0098229511550658E-2</v>
      </c>
      <c r="I168" s="1">
        <f t="shared" si="44"/>
        <v>0.57548786545273334</v>
      </c>
      <c r="J168" s="3">
        <f t="shared" si="37"/>
        <v>0.57548786545273334</v>
      </c>
      <c r="K168" s="3">
        <f t="shared" si="38"/>
        <v>0.47615622213911146</v>
      </c>
      <c r="L168" s="6">
        <v>0.49399999999999999</v>
      </c>
      <c r="M168" s="4">
        <v>0.39500000000000002</v>
      </c>
      <c r="N168" s="5">
        <v>0.73099999999999998</v>
      </c>
      <c r="O168">
        <f t="shared" si="45"/>
        <v>0.73099999999999998</v>
      </c>
      <c r="P168">
        <f t="shared" si="46"/>
        <v>0.54035567715458277</v>
      </c>
      <c r="Q168">
        <f t="shared" si="47"/>
        <v>0.67578659370725036</v>
      </c>
      <c r="R168">
        <f t="shared" si="39"/>
        <v>-0.67958024252854554</v>
      </c>
      <c r="S168" s="3">
        <f t="shared" si="51"/>
        <v>2.0098229511550658E-2</v>
      </c>
      <c r="T168">
        <v>0.73099999999999998</v>
      </c>
      <c r="U168">
        <v>0.73158299999999998</v>
      </c>
      <c r="V168" s="11">
        <f t="shared" si="48"/>
        <v>0.47849161271005869</v>
      </c>
      <c r="W168">
        <f t="shared" si="49"/>
        <v>0.79844391642760404</v>
      </c>
      <c r="X168" s="13">
        <f t="shared" si="50"/>
        <v>0.72025462562749998</v>
      </c>
      <c r="Y168" s="13">
        <v>1.2202546256275</v>
      </c>
    </row>
    <row r="169" spans="1:25" x14ac:dyDescent="0.25">
      <c r="A169" s="1">
        <v>2010</v>
      </c>
      <c r="B169" s="1">
        <f t="shared" si="40"/>
        <v>0.54700000000000004</v>
      </c>
      <c r="C169" s="1">
        <f t="shared" si="41"/>
        <v>0.54776275935195973</v>
      </c>
      <c r="D169" s="1">
        <f t="shared" si="34"/>
        <v>-3.0422787000461415E-4</v>
      </c>
      <c r="E169" s="7">
        <f t="shared" si="42"/>
        <v>0.42478114800266137</v>
      </c>
      <c r="F169" s="1">
        <f t="shared" si="43"/>
        <v>7.6275935195968536E-4</v>
      </c>
      <c r="G169" s="9">
        <f t="shared" si="35"/>
        <v>0.42478114800266137</v>
      </c>
      <c r="H169" s="1">
        <f t="shared" si="36"/>
        <v>-8.1882427954416137E-4</v>
      </c>
      <c r="I169" s="1" t="e">
        <f t="shared" si="44"/>
        <v>#NUM!</v>
      </c>
      <c r="J169" s="3" t="b">
        <f t="shared" si="37"/>
        <v>0</v>
      </c>
      <c r="K169" s="3">
        <f t="shared" si="38"/>
        <v>0.42478114800266137</v>
      </c>
      <c r="L169" s="6">
        <v>0.54700000000000004</v>
      </c>
      <c r="M169" s="4">
        <v>0.40600000000000003</v>
      </c>
      <c r="N169" s="5">
        <v>0.90100000000000002</v>
      </c>
      <c r="O169">
        <f t="shared" si="45"/>
        <v>0.90100000000000002</v>
      </c>
      <c r="P169">
        <f t="shared" si="46"/>
        <v>0.45061043285238628</v>
      </c>
      <c r="Q169">
        <f t="shared" si="47"/>
        <v>0.60710321864594896</v>
      </c>
      <c r="R169">
        <f t="shared" si="39"/>
        <v>-0.60625664888794706</v>
      </c>
      <c r="S169" s="3">
        <f t="shared" si="51"/>
        <v>-8.1882427954416137E-4</v>
      </c>
      <c r="T169">
        <v>0.90100000000000002</v>
      </c>
      <c r="U169">
        <v>0.88758300000000001</v>
      </c>
      <c r="V169" s="11">
        <f t="shared" si="48"/>
        <v>0.46314943302422762</v>
      </c>
      <c r="W169">
        <f t="shared" si="49"/>
        <v>0.88359284296594331</v>
      </c>
    </row>
    <row r="170" spans="1:25" x14ac:dyDescent="0.25">
      <c r="A170" s="1">
        <v>2011</v>
      </c>
      <c r="B170" s="1">
        <f t="shared" si="40"/>
        <v>0.40600000000000003</v>
      </c>
      <c r="C170" s="1">
        <f t="shared" si="41"/>
        <v>0.40598771219705793</v>
      </c>
      <c r="D170" s="1">
        <f t="shared" si="34"/>
        <v>0</v>
      </c>
      <c r="E170" s="1">
        <f t="shared" si="42"/>
        <v>0.41847523935798614</v>
      </c>
      <c r="F170" s="1">
        <f t="shared" si="43"/>
        <v>1.2287802942101411E-5</v>
      </c>
      <c r="G170" s="9">
        <f t="shared" si="35"/>
        <v>0.41847523935798614</v>
      </c>
      <c r="H170" s="1">
        <f t="shared" si="36"/>
        <v>1.7073029634812054E-4</v>
      </c>
      <c r="I170" s="1">
        <f t="shared" si="44"/>
        <v>0.41847523935798614</v>
      </c>
      <c r="J170" s="3">
        <f t="shared" si="37"/>
        <v>0.41847523935798614</v>
      </c>
      <c r="K170" s="3">
        <f t="shared" si="38"/>
        <v>0.40932011987174538</v>
      </c>
      <c r="L170" s="6">
        <v>0.40600000000000003</v>
      </c>
      <c r="M170" s="4">
        <v>0.28999999999999998</v>
      </c>
      <c r="N170" s="5">
        <v>0.69499999999999995</v>
      </c>
      <c r="O170">
        <f t="shared" si="45"/>
        <v>0.69499999999999995</v>
      </c>
      <c r="P170">
        <f t="shared" si="46"/>
        <v>0.41726618705035973</v>
      </c>
      <c r="Q170">
        <f t="shared" si="47"/>
        <v>0.58417266187050365</v>
      </c>
      <c r="R170">
        <f t="shared" si="39"/>
        <v>-0.58419034216250665</v>
      </c>
      <c r="S170" s="3">
        <f t="shared" si="51"/>
        <v>1.7073029634812054E-4</v>
      </c>
      <c r="T170">
        <v>0.69499999999999995</v>
      </c>
      <c r="U170">
        <v>0.70058299999999996</v>
      </c>
      <c r="V170" s="11">
        <f t="shared" si="48"/>
        <v>0.44671081099659204</v>
      </c>
      <c r="W170">
        <f t="shared" si="49"/>
        <v>0.66230919325917392</v>
      </c>
    </row>
    <row r="171" spans="1:25" x14ac:dyDescent="0.25">
      <c r="A171" s="1">
        <v>2012</v>
      </c>
      <c r="B171" s="1">
        <f t="shared" si="40"/>
        <v>0.44800000000000001</v>
      </c>
      <c r="C171" s="1">
        <f t="shared" si="41"/>
        <v>0.46198771219705792</v>
      </c>
      <c r="D171" s="1">
        <f t="shared" si="34"/>
        <v>-1.3854895474937401E-2</v>
      </c>
      <c r="E171" s="7">
        <f t="shared" si="42"/>
        <v>0.40492147313638949</v>
      </c>
      <c r="F171" s="1">
        <f t="shared" si="43"/>
        <v>1.3987712197057911E-2</v>
      </c>
      <c r="G171" s="9">
        <f t="shared" si="35"/>
        <v>0.40492147313638949</v>
      </c>
      <c r="H171" s="1">
        <f t="shared" si="36"/>
        <v>-4.264669660052528E-2</v>
      </c>
      <c r="I171" s="1" t="e">
        <f t="shared" si="44"/>
        <v>#NUM!</v>
      </c>
      <c r="J171" s="3" t="b">
        <f t="shared" si="37"/>
        <v>0</v>
      </c>
      <c r="K171" s="3">
        <f t="shared" si="38"/>
        <v>0.40492147313638949</v>
      </c>
      <c r="L171" s="6">
        <v>0.44800000000000001</v>
      </c>
      <c r="M171" s="4">
        <v>0.34599999999999997</v>
      </c>
      <c r="N171" s="5">
        <v>0.751</v>
      </c>
      <c r="O171">
        <f>+$N171+$N$1</f>
        <v>0.751</v>
      </c>
      <c r="P171">
        <f t="shared" si="46"/>
        <v>0.46071904127829555</v>
      </c>
      <c r="Q171">
        <f t="shared" si="47"/>
        <v>0.59653794940079896</v>
      </c>
      <c r="R171">
        <f t="shared" si="39"/>
        <v>-0.57791250040338493</v>
      </c>
      <c r="S171" s="3">
        <f t="shared" si="51"/>
        <v>-4.264669660052528E-2</v>
      </c>
      <c r="T171">
        <v>0.751</v>
      </c>
      <c r="U171">
        <v>0.75416700000000003</v>
      </c>
      <c r="V171" s="11">
        <f t="shared" si="48"/>
        <v>0.42911526653915644</v>
      </c>
      <c r="W171">
        <f t="shared" si="49"/>
        <v>0.79046991704835745</v>
      </c>
    </row>
    <row r="172" spans="1:25" x14ac:dyDescent="0.25">
      <c r="A172" s="1"/>
      <c r="B172" s="1"/>
      <c r="C172" s="1"/>
      <c r="D172" s="1"/>
      <c r="E172" s="1"/>
      <c r="F172" s="1"/>
      <c r="G172" s="9"/>
      <c r="H172" s="1"/>
      <c r="I172" s="1"/>
      <c r="J172" s="3"/>
      <c r="K172" s="3"/>
    </row>
    <row r="173" spans="1:25" x14ac:dyDescent="0.25">
      <c r="A173" s="1"/>
      <c r="B173" s="1"/>
      <c r="C173" s="1"/>
      <c r="D173" s="1"/>
      <c r="E173" s="1"/>
      <c r="F173" s="1"/>
      <c r="G173" s="9"/>
      <c r="H173" s="1"/>
      <c r="I173" s="1"/>
      <c r="J173" s="3"/>
      <c r="K173" s="3"/>
    </row>
    <row r="174" spans="1:25" x14ac:dyDescent="0.25">
      <c r="A174" s="1"/>
      <c r="B174" s="1"/>
      <c r="C174" s="1"/>
      <c r="D174" s="1"/>
      <c r="E174" s="1"/>
      <c r="F174" s="1"/>
      <c r="G174" s="9"/>
      <c r="H174" s="1"/>
      <c r="I174" s="1"/>
      <c r="J174" s="3"/>
      <c r="K174" s="3"/>
    </row>
    <row r="175" spans="1:25" x14ac:dyDescent="0.25">
      <c r="A175" s="1"/>
      <c r="B175" s="1"/>
      <c r="C175" s="1"/>
      <c r="D175" s="1"/>
      <c r="E175" s="1"/>
      <c r="F175" s="1"/>
      <c r="G175" s="9"/>
      <c r="H175" s="1"/>
      <c r="I175" s="1"/>
      <c r="J175" s="3"/>
      <c r="K175" s="3"/>
    </row>
    <row r="176" spans="1:25" x14ac:dyDescent="0.25">
      <c r="A176" s="1"/>
      <c r="B176" s="1"/>
      <c r="C176" s="1"/>
      <c r="D176" s="1"/>
      <c r="E176" s="1"/>
      <c r="F176" s="1"/>
      <c r="G176" s="9"/>
      <c r="H176" s="1"/>
      <c r="I176" s="1"/>
      <c r="J176" s="3"/>
      <c r="K176" s="3"/>
    </row>
    <row r="177" spans="1:11" x14ac:dyDescent="0.25">
      <c r="A177" s="1"/>
      <c r="B177" s="1"/>
      <c r="C177" s="1"/>
      <c r="D177" s="1"/>
      <c r="E177" s="1"/>
      <c r="F177" s="1"/>
      <c r="G177" s="9"/>
      <c r="H177" s="1"/>
      <c r="I177" s="1"/>
      <c r="J177" s="3"/>
      <c r="K177" s="3"/>
    </row>
    <row r="178" spans="1:11" x14ac:dyDescent="0.25">
      <c r="A178" s="1"/>
      <c r="B178" s="1"/>
      <c r="C178" s="1"/>
      <c r="D178" s="1"/>
      <c r="E178" s="1"/>
      <c r="F178" s="1"/>
      <c r="G178" s="9"/>
      <c r="H178" s="1"/>
      <c r="I178" s="1"/>
      <c r="J178" s="3"/>
      <c r="K178" s="3"/>
    </row>
    <row r="179" spans="1:11" x14ac:dyDescent="0.25">
      <c r="A179" s="1"/>
      <c r="B179" s="1"/>
      <c r="C179" s="1"/>
      <c r="D179" s="1"/>
      <c r="E179" s="1"/>
      <c r="F179" s="1"/>
      <c r="G179" s="9"/>
      <c r="H179" s="1"/>
      <c r="I179" s="1"/>
      <c r="J179" s="3"/>
      <c r="K179" s="3"/>
    </row>
    <row r="180" spans="1:11" x14ac:dyDescent="0.25">
      <c r="A180" s="1"/>
      <c r="B180" s="1"/>
      <c r="C180" s="1"/>
      <c r="D180" s="1"/>
      <c r="E180" s="1"/>
      <c r="F180" s="1"/>
      <c r="G180" s="9"/>
      <c r="H180" s="1"/>
      <c r="I180" s="1"/>
      <c r="J180" s="3"/>
      <c r="K180" s="3"/>
    </row>
    <row r="181" spans="1:11" x14ac:dyDescent="0.25">
      <c r="A181" s="1"/>
      <c r="B181" s="1"/>
      <c r="C181" s="1"/>
      <c r="D181" s="1"/>
      <c r="E181" s="1"/>
      <c r="F181" s="1"/>
      <c r="G181" s="9"/>
      <c r="H181" s="1"/>
      <c r="I181" s="1"/>
      <c r="J181" s="3"/>
      <c r="K181" s="3"/>
    </row>
    <row r="182" spans="1:11" x14ac:dyDescent="0.25">
      <c r="A182" s="1"/>
      <c r="B182" s="1"/>
      <c r="C182" s="1"/>
      <c r="D182" s="1"/>
      <c r="E182" s="1"/>
      <c r="F182" s="1"/>
      <c r="G182" s="9"/>
      <c r="H182" s="1"/>
      <c r="I182" s="1"/>
      <c r="J182" s="3"/>
      <c r="K182" s="3"/>
    </row>
    <row r="183" spans="1:11" x14ac:dyDescent="0.25">
      <c r="A183" s="1"/>
      <c r="B183" s="1"/>
      <c r="C183" s="1"/>
      <c r="D183" s="1"/>
      <c r="E183" s="1"/>
      <c r="F183" s="1"/>
      <c r="G183" s="9"/>
      <c r="H183" s="1"/>
      <c r="I183" s="1"/>
      <c r="J183" s="3"/>
      <c r="K183" s="3"/>
    </row>
    <row r="184" spans="1:11" x14ac:dyDescent="0.25">
      <c r="A184" s="1"/>
      <c r="B184" s="1"/>
      <c r="C184" s="1"/>
      <c r="D184" s="1"/>
      <c r="E184" s="1"/>
      <c r="F184" s="1"/>
      <c r="G184" s="9"/>
      <c r="H184" s="1"/>
      <c r="I184" s="1"/>
      <c r="J184" s="3"/>
      <c r="K184" s="3"/>
    </row>
    <row r="185" spans="1:11" x14ac:dyDescent="0.25">
      <c r="A185" s="1"/>
      <c r="B185" s="1"/>
      <c r="C185" s="1"/>
      <c r="D185" s="1"/>
      <c r="E185" s="1"/>
      <c r="F185" s="1"/>
      <c r="G185" s="9"/>
      <c r="H185" s="1"/>
      <c r="I185" s="1"/>
      <c r="J185" s="3"/>
      <c r="K185" s="3"/>
    </row>
    <row r="186" spans="1:11" x14ac:dyDescent="0.25">
      <c r="A186" s="1"/>
      <c r="B186" s="1"/>
      <c r="C186" s="1"/>
      <c r="D186" s="1"/>
      <c r="E186" s="1"/>
      <c r="F186" s="1"/>
      <c r="G186" s="9"/>
      <c r="H186" s="1"/>
      <c r="I186" s="1"/>
      <c r="J186" s="3"/>
      <c r="K186" s="3"/>
    </row>
    <row r="187" spans="1:11" x14ac:dyDescent="0.25">
      <c r="A187" s="1"/>
      <c r="B187" s="1"/>
      <c r="C187" s="1"/>
      <c r="D187" s="1"/>
      <c r="E187" s="1"/>
      <c r="F187" s="1"/>
      <c r="G187" s="9"/>
      <c r="H187" s="1"/>
      <c r="I187" s="1"/>
      <c r="J187" s="3"/>
      <c r="K187" s="3"/>
    </row>
    <row r="188" spans="1:11" x14ac:dyDescent="0.25">
      <c r="A188" s="1"/>
      <c r="B188" s="1"/>
      <c r="C188" s="1"/>
      <c r="D188" s="1"/>
      <c r="E188" s="1"/>
      <c r="F188" s="1"/>
      <c r="G188" s="9"/>
      <c r="H188" s="1"/>
      <c r="I188" s="1"/>
      <c r="J188" s="3"/>
      <c r="K188" s="3"/>
    </row>
    <row r="189" spans="1:11" x14ac:dyDescent="0.25">
      <c r="A189" s="1"/>
      <c r="B189" s="1"/>
      <c r="C189" s="1"/>
      <c r="D189" s="1"/>
      <c r="E189" s="1"/>
      <c r="F189" s="1"/>
      <c r="G189" s="9"/>
      <c r="H189" s="1"/>
      <c r="I189" s="1"/>
      <c r="J189" s="3"/>
      <c r="K189" s="3"/>
    </row>
    <row r="190" spans="1:11" x14ac:dyDescent="0.25">
      <c r="A190" s="1"/>
      <c r="B190" s="1"/>
      <c r="C190" s="1"/>
      <c r="D190" s="1"/>
      <c r="E190" s="1"/>
      <c r="F190" s="1"/>
      <c r="G190" s="9"/>
      <c r="H190" s="1"/>
      <c r="I190" s="1"/>
      <c r="J190" s="3"/>
      <c r="K190" s="3"/>
    </row>
    <row r="191" spans="1:11" x14ac:dyDescent="0.25">
      <c r="A191" s="1"/>
      <c r="B191" s="1"/>
      <c r="C191" s="1"/>
      <c r="D191" s="1"/>
      <c r="E191" s="1"/>
      <c r="F191" s="1"/>
      <c r="G191" s="9"/>
      <c r="H191" s="1"/>
      <c r="I191" s="1"/>
      <c r="J191" s="3"/>
      <c r="K191" s="3"/>
    </row>
    <row r="192" spans="1:11" x14ac:dyDescent="0.25">
      <c r="A192" s="1"/>
      <c r="B192" s="1"/>
      <c r="C192" s="1"/>
      <c r="D192" s="1"/>
      <c r="E192" s="1"/>
      <c r="F192" s="1"/>
      <c r="G192" s="9"/>
      <c r="H192" s="1"/>
      <c r="I192" s="1"/>
      <c r="J192" s="3"/>
      <c r="K192" s="3"/>
    </row>
    <row r="193" spans="1:11" x14ac:dyDescent="0.25">
      <c r="A193" s="1"/>
      <c r="B193" s="1"/>
      <c r="C193" s="1"/>
      <c r="D193" s="1"/>
      <c r="E193" s="1"/>
      <c r="F193" s="1"/>
      <c r="G193" s="9"/>
      <c r="H193" s="1"/>
      <c r="I193" s="1"/>
      <c r="J193" s="3"/>
      <c r="K193" s="3"/>
    </row>
    <row r="194" spans="1:11" x14ac:dyDescent="0.25">
      <c r="A194" s="1"/>
      <c r="B194" s="1"/>
      <c r="C194" s="1"/>
      <c r="D194" s="1"/>
      <c r="E194" s="1"/>
      <c r="F194" s="1"/>
      <c r="G194" s="9"/>
      <c r="H194" s="1"/>
      <c r="I194" s="1"/>
      <c r="J194" s="3"/>
      <c r="K194" s="3"/>
    </row>
    <row r="195" spans="1:11" x14ac:dyDescent="0.25">
      <c r="A195" s="1"/>
      <c r="B195" s="1"/>
      <c r="C195" s="1"/>
      <c r="D195" s="1"/>
      <c r="E195" s="1"/>
      <c r="F195" s="1"/>
      <c r="G195" s="9"/>
      <c r="H195" s="1"/>
      <c r="I195" s="1"/>
      <c r="J195" s="3"/>
      <c r="K195" s="3"/>
    </row>
    <row r="196" spans="1:11" x14ac:dyDescent="0.25">
      <c r="A196" s="1"/>
      <c r="B196" s="1"/>
      <c r="C196" s="1"/>
      <c r="D196" s="1"/>
      <c r="E196" s="1"/>
      <c r="F196" s="1"/>
      <c r="G196" s="9"/>
      <c r="H196" s="1"/>
      <c r="I196" s="1"/>
      <c r="J196" s="3"/>
      <c r="K196" s="3"/>
    </row>
    <row r="197" spans="1:11" x14ac:dyDescent="0.25">
      <c r="A197" s="1"/>
      <c r="B197" s="1"/>
      <c r="C197" s="1"/>
      <c r="D197" s="1"/>
      <c r="E197" s="1"/>
      <c r="F197" s="1"/>
      <c r="G197" s="9"/>
      <c r="H197" s="1"/>
      <c r="I197" s="1"/>
      <c r="J197" s="3"/>
      <c r="K197" s="3"/>
    </row>
    <row r="198" spans="1:11" x14ac:dyDescent="0.25">
      <c r="A198" s="1"/>
      <c r="B198" s="1"/>
      <c r="C198" s="1"/>
      <c r="D198" s="1"/>
      <c r="E198" s="1"/>
      <c r="F198" s="1"/>
      <c r="G198" s="9"/>
      <c r="H198" s="1"/>
      <c r="I198" s="1"/>
      <c r="J198" s="3"/>
      <c r="K198" s="3"/>
    </row>
    <row r="199" spans="1:11" x14ac:dyDescent="0.25">
      <c r="A199" s="1"/>
      <c r="B199" s="1"/>
      <c r="C199" s="1"/>
      <c r="D199" s="1"/>
      <c r="E199" s="1"/>
      <c r="F199" s="1"/>
      <c r="G199" s="9"/>
      <c r="H199" s="1"/>
      <c r="I199" s="1"/>
      <c r="J199" s="3"/>
      <c r="K199" s="3"/>
    </row>
    <row r="200" spans="1:11" x14ac:dyDescent="0.25">
      <c r="A200" s="1"/>
      <c r="B200" s="1"/>
      <c r="C200" s="1"/>
      <c r="D200" s="1"/>
      <c r="E200" s="1"/>
      <c r="F200" s="1"/>
      <c r="G200" s="9"/>
      <c r="H200" s="1"/>
      <c r="I200" s="1"/>
      <c r="J200" s="3"/>
      <c r="K200" s="3"/>
    </row>
    <row r="201" spans="1:11" x14ac:dyDescent="0.25">
      <c r="A201" s="1"/>
      <c r="B201" s="1"/>
      <c r="C201" s="1"/>
      <c r="D201" s="1"/>
      <c r="E201" s="1"/>
      <c r="F201" s="1"/>
      <c r="G201" s="9"/>
      <c r="H201" s="1"/>
      <c r="I201" s="1"/>
      <c r="J201" s="3"/>
      <c r="K201" s="3"/>
    </row>
    <row r="202" spans="1:11" x14ac:dyDescent="0.25">
      <c r="A202" s="1"/>
      <c r="B202" s="1"/>
      <c r="C202" s="1"/>
      <c r="D202" s="1"/>
      <c r="E202" s="1"/>
      <c r="F202" s="1"/>
      <c r="G202" s="9"/>
      <c r="H202" s="1"/>
      <c r="I202" s="1"/>
      <c r="J202" s="3"/>
      <c r="K202" s="3"/>
    </row>
    <row r="203" spans="1:11" x14ac:dyDescent="0.25">
      <c r="A203" s="1"/>
      <c r="B203" s="1"/>
      <c r="C203" s="1"/>
      <c r="D203" s="1"/>
      <c r="E203" s="1"/>
      <c r="F203" s="1"/>
      <c r="G203" s="9"/>
      <c r="H203" s="1"/>
      <c r="I203" s="1"/>
      <c r="J203" s="3"/>
      <c r="K203" s="3"/>
    </row>
    <row r="204" spans="1:11" x14ac:dyDescent="0.25">
      <c r="A204" s="1"/>
      <c r="B204" s="1"/>
      <c r="C204" s="1"/>
      <c r="D204" s="1"/>
      <c r="E204" s="1"/>
      <c r="F204" s="1"/>
      <c r="G204" s="9"/>
      <c r="H204" s="1"/>
      <c r="I204" s="1"/>
      <c r="J204" s="3"/>
      <c r="K204" s="3"/>
    </row>
    <row r="205" spans="1:11" x14ac:dyDescent="0.25">
      <c r="A205" s="1"/>
      <c r="B205" s="1"/>
      <c r="C205" s="1"/>
      <c r="D205" s="1"/>
      <c r="E205" s="1"/>
      <c r="F205" s="1"/>
      <c r="G205" s="9"/>
      <c r="H205" s="1"/>
      <c r="I205" s="1"/>
      <c r="J205" s="3"/>
      <c r="K205" s="3"/>
    </row>
    <row r="206" spans="1:11" x14ac:dyDescent="0.25">
      <c r="A206" s="1"/>
      <c r="B206" s="1"/>
      <c r="C206" s="1"/>
      <c r="D206" s="1"/>
      <c r="E206" s="1"/>
      <c r="F206" s="1"/>
      <c r="G206" s="9"/>
      <c r="H206" s="1"/>
      <c r="I206" s="1"/>
      <c r="J206" s="3"/>
      <c r="K206" s="3"/>
    </row>
    <row r="207" spans="1:11" x14ac:dyDescent="0.25">
      <c r="A207" s="1"/>
      <c r="B207" s="1"/>
      <c r="C207" s="1"/>
      <c r="D207" s="1"/>
      <c r="E207" s="1"/>
      <c r="F207" s="1"/>
      <c r="G207" s="9"/>
      <c r="H207" s="1"/>
      <c r="I207" s="1"/>
      <c r="J207" s="3"/>
      <c r="K207" s="3"/>
    </row>
    <row r="208" spans="1:11" x14ac:dyDescent="0.25">
      <c r="A208" s="1"/>
      <c r="B208" s="1"/>
      <c r="C208" s="1"/>
      <c r="D208" s="1"/>
      <c r="E208" s="1"/>
      <c r="F208" s="1"/>
      <c r="G208" s="9"/>
      <c r="H208" s="1"/>
      <c r="I208" s="1"/>
      <c r="J208" s="3"/>
      <c r="K208" s="3"/>
    </row>
    <row r="209" spans="1:11" x14ac:dyDescent="0.25">
      <c r="A209" s="1"/>
      <c r="B209" s="1"/>
      <c r="C209" s="1"/>
      <c r="D209" s="1"/>
      <c r="E209" s="1"/>
      <c r="F209" s="1"/>
      <c r="G209" s="9"/>
      <c r="H209" s="1"/>
      <c r="I209" s="1"/>
      <c r="J209" s="3"/>
      <c r="K209" s="3"/>
    </row>
    <row r="210" spans="1:11" x14ac:dyDescent="0.25">
      <c r="A210" s="1"/>
      <c r="B210" s="1"/>
      <c r="C210" s="1"/>
      <c r="D210" s="1"/>
      <c r="E210" s="1"/>
      <c r="F210" s="1"/>
      <c r="G210" s="9"/>
      <c r="H210" s="1"/>
      <c r="I210" s="1"/>
      <c r="J210" s="3"/>
      <c r="K210" s="3"/>
    </row>
    <row r="211" spans="1:11" x14ac:dyDescent="0.25">
      <c r="A211" s="1"/>
      <c r="B211" s="1"/>
      <c r="C211" s="1"/>
      <c r="D211" s="1"/>
      <c r="E211" s="1"/>
      <c r="F211" s="1"/>
      <c r="G211" s="9"/>
      <c r="H211" s="1"/>
      <c r="I211" s="1"/>
      <c r="J211" s="3"/>
      <c r="K211" s="3"/>
    </row>
    <row r="212" spans="1:11" x14ac:dyDescent="0.25">
      <c r="A212" s="1"/>
      <c r="B212" s="1"/>
      <c r="C212" s="1"/>
      <c r="D212" s="1"/>
      <c r="E212" s="1"/>
      <c r="F212" s="1"/>
      <c r="G212" s="9"/>
      <c r="H212" s="1"/>
      <c r="I212" s="1"/>
      <c r="J212" s="3"/>
      <c r="K212" s="3"/>
    </row>
    <row r="213" spans="1:11" x14ac:dyDescent="0.25">
      <c r="A213" s="1"/>
      <c r="B213" s="1"/>
      <c r="C213" s="1"/>
      <c r="D213" s="1"/>
      <c r="E213" s="1"/>
      <c r="F213" s="1"/>
      <c r="G213" s="9"/>
      <c r="H213" s="1"/>
      <c r="I213" s="1"/>
      <c r="J213" s="3"/>
      <c r="K213" s="3"/>
    </row>
    <row r="214" spans="1:11" x14ac:dyDescent="0.25">
      <c r="A214" s="1"/>
      <c r="B214" s="1"/>
      <c r="C214" s="1"/>
      <c r="D214" s="1"/>
      <c r="E214" s="1"/>
      <c r="F214" s="1"/>
      <c r="G214" s="9"/>
      <c r="H214" s="1"/>
      <c r="I214" s="1"/>
      <c r="J214" s="3"/>
      <c r="K214" s="3"/>
    </row>
    <row r="215" spans="1:11" x14ac:dyDescent="0.25">
      <c r="A215" s="1"/>
      <c r="B215" s="1"/>
      <c r="C215" s="1"/>
      <c r="D215" s="1"/>
      <c r="E215" s="1"/>
      <c r="F215" s="1"/>
      <c r="G215" s="9"/>
      <c r="H215" s="1"/>
      <c r="I215" s="1"/>
      <c r="J215" s="3"/>
      <c r="K215" s="3"/>
    </row>
    <row r="216" spans="1:11" x14ac:dyDescent="0.25">
      <c r="A216" s="1"/>
      <c r="B216" s="1"/>
      <c r="C216" s="1"/>
      <c r="D216" s="1"/>
      <c r="E216" s="1"/>
      <c r="F216" s="1"/>
      <c r="G216" s="9"/>
      <c r="H216" s="1"/>
      <c r="I216" s="1"/>
      <c r="J216" s="3"/>
      <c r="K216" s="3"/>
    </row>
    <row r="217" spans="1:11" x14ac:dyDescent="0.25">
      <c r="A217" s="1"/>
      <c r="B217" s="1"/>
      <c r="C217" s="1"/>
      <c r="D217" s="1"/>
      <c r="E217" s="1"/>
      <c r="F217" s="1"/>
      <c r="G217" s="9"/>
      <c r="H217" s="1"/>
      <c r="I217" s="1"/>
      <c r="J217" s="3"/>
      <c r="K217" s="3"/>
    </row>
    <row r="218" spans="1:11" x14ac:dyDescent="0.25">
      <c r="A218" s="1"/>
      <c r="B218" s="1"/>
      <c r="C218" s="1"/>
      <c r="D218" s="1"/>
      <c r="E218" s="1"/>
      <c r="F218" s="1"/>
      <c r="G218" s="9"/>
      <c r="H218" s="1"/>
      <c r="I218" s="1"/>
      <c r="J218" s="3"/>
      <c r="K218" s="3"/>
    </row>
    <row r="219" spans="1:11" x14ac:dyDescent="0.25">
      <c r="A219" s="1"/>
      <c r="B219" s="1"/>
      <c r="C219" s="1"/>
      <c r="D219" s="1"/>
      <c r="E219" s="1"/>
      <c r="F219" s="1"/>
      <c r="G219" s="9"/>
      <c r="H219" s="1"/>
      <c r="I219" s="1"/>
      <c r="J219" s="3"/>
      <c r="K219" s="3"/>
    </row>
    <row r="220" spans="1:11" x14ac:dyDescent="0.25">
      <c r="A220" s="1"/>
      <c r="B220" s="1"/>
      <c r="C220" s="1"/>
      <c r="D220" s="1"/>
      <c r="E220" s="1"/>
      <c r="F220" s="1"/>
      <c r="G220" s="9"/>
      <c r="H220" s="1"/>
      <c r="I220" s="1"/>
      <c r="J220" s="3"/>
      <c r="K220" s="3"/>
    </row>
    <row r="221" spans="1:11" x14ac:dyDescent="0.25">
      <c r="A221" s="1"/>
      <c r="B221" s="1"/>
      <c r="C221" s="1"/>
      <c r="D221" s="1"/>
      <c r="E221" s="1"/>
      <c r="F221" s="1"/>
      <c r="G221" s="9"/>
      <c r="H221" s="1"/>
      <c r="I221" s="1"/>
      <c r="J221" s="3"/>
      <c r="K221" s="3"/>
    </row>
    <row r="222" spans="1:11" x14ac:dyDescent="0.25">
      <c r="A222" s="1"/>
      <c r="B222" s="1"/>
      <c r="C222" s="1"/>
      <c r="D222" s="1"/>
      <c r="E222" s="1"/>
      <c r="F222" s="1"/>
      <c r="G222" s="9"/>
      <c r="H222" s="1"/>
      <c r="I222" s="1"/>
      <c r="J222" s="3"/>
      <c r="K222" s="3"/>
    </row>
    <row r="223" spans="1:11" x14ac:dyDescent="0.25">
      <c r="A223" s="1"/>
      <c r="B223" s="1"/>
      <c r="C223" s="1"/>
      <c r="D223" s="1"/>
      <c r="E223" s="1"/>
      <c r="F223" s="1"/>
      <c r="G223" s="9"/>
      <c r="H223" s="1"/>
      <c r="I223" s="1"/>
      <c r="J223" s="3"/>
      <c r="K223" s="3"/>
    </row>
    <row r="224" spans="1:11" x14ac:dyDescent="0.25">
      <c r="A224" s="1"/>
      <c r="B224" s="1"/>
      <c r="C224" s="1"/>
      <c r="D224" s="1"/>
      <c r="E224" s="1"/>
      <c r="F224" s="1"/>
      <c r="G224" s="9"/>
      <c r="H224" s="1"/>
      <c r="I224" s="1"/>
      <c r="J224" s="3"/>
      <c r="K224" s="3"/>
    </row>
    <row r="225" spans="1:11" x14ac:dyDescent="0.25">
      <c r="A225" s="1"/>
      <c r="B225" s="1"/>
      <c r="C225" s="1"/>
      <c r="D225" s="1"/>
      <c r="E225" s="1"/>
      <c r="F225" s="1"/>
      <c r="G225" s="9"/>
      <c r="H225" s="1"/>
      <c r="I225" s="1"/>
      <c r="J225" s="3"/>
      <c r="K225" s="3"/>
    </row>
    <row r="226" spans="1:11" x14ac:dyDescent="0.25">
      <c r="A226" s="1"/>
      <c r="B226" s="1"/>
      <c r="C226" s="1"/>
      <c r="D226" s="1"/>
      <c r="E226" s="1"/>
      <c r="F226" s="1"/>
      <c r="G226" s="9"/>
      <c r="H226" s="1"/>
      <c r="I226" s="1"/>
      <c r="J226" s="3"/>
      <c r="K226" s="3"/>
    </row>
    <row r="227" spans="1:11" x14ac:dyDescent="0.25">
      <c r="A227" s="1"/>
      <c r="B227" s="1"/>
      <c r="C227" s="1"/>
      <c r="D227" s="1"/>
      <c r="E227" s="1"/>
      <c r="F227" s="1"/>
      <c r="G227" s="9"/>
      <c r="H227" s="1"/>
      <c r="I227" s="1"/>
      <c r="J227" s="3"/>
      <c r="K227" s="3"/>
    </row>
    <row r="228" spans="1:11" x14ac:dyDescent="0.25">
      <c r="A228" s="1"/>
      <c r="B228" s="1"/>
      <c r="C228" s="1"/>
      <c r="D228" s="1"/>
      <c r="E228" s="1"/>
      <c r="F228" s="1"/>
      <c r="G228" s="9"/>
      <c r="H228" s="1"/>
      <c r="I228" s="1"/>
      <c r="J228" s="3"/>
      <c r="K228" s="3"/>
    </row>
    <row r="229" spans="1:11" x14ac:dyDescent="0.25">
      <c r="A229" s="1"/>
      <c r="B229" s="1"/>
      <c r="C229" s="1"/>
      <c r="D229" s="1"/>
      <c r="E229" s="1"/>
      <c r="F229" s="1"/>
      <c r="G229" s="9"/>
      <c r="H229" s="1"/>
      <c r="I229" s="1"/>
      <c r="J229" s="3"/>
      <c r="K229" s="3"/>
    </row>
    <row r="230" spans="1:11" x14ac:dyDescent="0.25">
      <c r="A230" s="1"/>
      <c r="B230" s="1"/>
      <c r="C230" s="1"/>
      <c r="D230" s="1"/>
      <c r="E230" s="1"/>
      <c r="F230" s="1"/>
      <c r="G230" s="9"/>
      <c r="H230" s="1"/>
      <c r="I230" s="1"/>
      <c r="J230" s="3"/>
      <c r="K230" s="3"/>
    </row>
    <row r="231" spans="1:11" x14ac:dyDescent="0.25">
      <c r="A231" s="1"/>
      <c r="B231" s="1"/>
      <c r="C231" s="1"/>
      <c r="D231" s="1"/>
      <c r="E231" s="1"/>
      <c r="F231" s="1"/>
      <c r="G231" s="9"/>
      <c r="H231" s="1"/>
      <c r="I231" s="1"/>
      <c r="J231" s="3"/>
      <c r="K231" s="3"/>
    </row>
    <row r="232" spans="1:11" x14ac:dyDescent="0.25">
      <c r="A232" s="1"/>
      <c r="B232" s="1"/>
      <c r="C232" s="1"/>
      <c r="D232" s="1"/>
      <c r="E232" s="1"/>
      <c r="F232" s="1"/>
      <c r="G232" s="9"/>
      <c r="H232" s="1"/>
      <c r="I232" s="1"/>
      <c r="J232" s="3"/>
      <c r="K232" s="3"/>
    </row>
    <row r="233" spans="1:11" x14ac:dyDescent="0.25">
      <c r="A233" s="1"/>
      <c r="B233" s="1"/>
      <c r="C233" s="1"/>
      <c r="D233" s="1"/>
      <c r="E233" s="1"/>
      <c r="F233" s="1"/>
      <c r="G233" s="9"/>
      <c r="H233" s="1"/>
      <c r="I233" s="1"/>
      <c r="J233" s="3"/>
      <c r="K233" s="3"/>
    </row>
    <row r="234" spans="1:11" x14ac:dyDescent="0.25">
      <c r="A234" s="1"/>
      <c r="B234" s="1"/>
      <c r="C234" s="1"/>
      <c r="D234" s="1"/>
      <c r="E234" s="1"/>
      <c r="F234" s="1"/>
      <c r="G234" s="9"/>
      <c r="H234" s="1"/>
      <c r="I234" s="1"/>
      <c r="J234" s="3"/>
      <c r="K234" s="3"/>
    </row>
    <row r="235" spans="1:11" x14ac:dyDescent="0.25">
      <c r="A235" s="1"/>
      <c r="B235" s="1"/>
      <c r="C235" s="1"/>
      <c r="D235" s="1"/>
      <c r="E235" s="1"/>
      <c r="F235" s="1"/>
      <c r="G235" s="9"/>
      <c r="H235" s="1"/>
      <c r="I235" s="1"/>
      <c r="J235" s="3"/>
      <c r="K235" s="3"/>
    </row>
    <row r="236" spans="1:11" x14ac:dyDescent="0.25">
      <c r="A236" s="1"/>
      <c r="B236" s="1"/>
      <c r="C236" s="1"/>
      <c r="D236" s="1"/>
      <c r="E236" s="1"/>
      <c r="F236" s="1"/>
      <c r="G236" s="9"/>
      <c r="H236" s="1"/>
      <c r="I236" s="1"/>
      <c r="J236" s="3"/>
      <c r="K236" s="3"/>
    </row>
    <row r="237" spans="1:11" x14ac:dyDescent="0.25">
      <c r="A237" s="1"/>
      <c r="B237" s="1"/>
      <c r="C237" s="1"/>
      <c r="D237" s="1"/>
      <c r="E237" s="1"/>
      <c r="F237" s="1"/>
      <c r="G237" s="9"/>
      <c r="H237" s="1"/>
      <c r="I237" s="1"/>
      <c r="J237" s="3"/>
      <c r="K237" s="3"/>
    </row>
    <row r="238" spans="1:11" x14ac:dyDescent="0.25">
      <c r="A238" s="1"/>
      <c r="B238" s="1"/>
      <c r="C238" s="1"/>
      <c r="D238" s="1"/>
      <c r="E238" s="1"/>
      <c r="F238" s="1"/>
      <c r="G238" s="9"/>
      <c r="H238" s="1"/>
      <c r="I238" s="1"/>
      <c r="J238" s="3"/>
      <c r="K238" s="3"/>
    </row>
    <row r="239" spans="1:11" x14ac:dyDescent="0.25">
      <c r="A239" s="1"/>
      <c r="B239" s="1"/>
      <c r="C239" s="1"/>
      <c r="D239" s="1"/>
      <c r="E239" s="1"/>
      <c r="F239" s="1"/>
      <c r="G239" s="9"/>
      <c r="H239" s="1"/>
      <c r="I239" s="1"/>
      <c r="J239" s="3"/>
      <c r="K239" s="3"/>
    </row>
    <row r="240" spans="1:11" x14ac:dyDescent="0.25">
      <c r="A240" s="1"/>
      <c r="B240" s="1"/>
      <c r="C240" s="1"/>
      <c r="D240" s="1"/>
      <c r="E240" s="1"/>
      <c r="F240" s="1"/>
      <c r="G240" s="9"/>
      <c r="H240" s="1"/>
      <c r="I240" s="1"/>
      <c r="J240" s="3"/>
      <c r="K240" s="3"/>
    </row>
    <row r="241" spans="1:11" x14ac:dyDescent="0.25">
      <c r="A241" s="1"/>
      <c r="B241" s="1"/>
      <c r="C241" s="1"/>
      <c r="D241" s="1"/>
      <c r="E241" s="1"/>
      <c r="F241" s="1"/>
      <c r="G241" s="9"/>
      <c r="H241" s="1"/>
      <c r="I241" s="1"/>
      <c r="J241" s="3"/>
      <c r="K241" s="3"/>
    </row>
    <row r="242" spans="1:11" x14ac:dyDescent="0.25">
      <c r="A242" s="1"/>
      <c r="B242" s="1"/>
      <c r="C242" s="1"/>
      <c r="D242" s="1"/>
      <c r="E242" s="1"/>
      <c r="F242" s="1"/>
      <c r="G242" s="9"/>
      <c r="H242" s="1"/>
      <c r="I242" s="1"/>
      <c r="J242" s="3"/>
      <c r="K242" s="3"/>
    </row>
    <row r="243" spans="1:11" x14ac:dyDescent="0.25">
      <c r="A243" s="1"/>
      <c r="B243" s="1"/>
      <c r="C243" s="1"/>
      <c r="D243" s="1"/>
      <c r="E243" s="1"/>
      <c r="F243" s="1"/>
      <c r="G243" s="9"/>
      <c r="H243" s="1"/>
      <c r="I243" s="1"/>
      <c r="J243" s="3"/>
      <c r="K243" s="3"/>
    </row>
    <row r="244" spans="1:11" x14ac:dyDescent="0.25">
      <c r="A244" s="1"/>
      <c r="B244" s="1"/>
      <c r="C244" s="1"/>
      <c r="D244" s="1"/>
      <c r="E244" s="1"/>
      <c r="F244" s="1"/>
      <c r="G244" s="9"/>
      <c r="H244" s="1"/>
      <c r="I244" s="1"/>
      <c r="J244" s="3"/>
      <c r="K244" s="3"/>
    </row>
    <row r="245" spans="1:11" x14ac:dyDescent="0.25">
      <c r="A245" s="1"/>
      <c r="B245" s="1"/>
      <c r="C245" s="1"/>
      <c r="D245" s="1"/>
      <c r="E245" s="1"/>
      <c r="F245" s="1"/>
      <c r="G245" s="9"/>
      <c r="H245" s="1"/>
      <c r="I245" s="1"/>
      <c r="J245" s="3"/>
      <c r="K245" s="3"/>
    </row>
    <row r="246" spans="1:11" x14ac:dyDescent="0.25">
      <c r="A246" s="1"/>
      <c r="B246" s="1"/>
      <c r="C246" s="1"/>
      <c r="D246" s="1"/>
      <c r="E246" s="1"/>
      <c r="F246" s="1"/>
      <c r="G246" s="9"/>
      <c r="H246" s="1"/>
      <c r="I246" s="1"/>
      <c r="J246" s="3"/>
      <c r="K246" s="3"/>
    </row>
    <row r="247" spans="1:11" x14ac:dyDescent="0.25">
      <c r="A247" s="1"/>
      <c r="B247" s="1"/>
      <c r="C247" s="1"/>
      <c r="D247" s="1"/>
      <c r="E247" s="1"/>
      <c r="F247" s="1"/>
      <c r="G247" s="9"/>
      <c r="H247" s="1"/>
      <c r="I247" s="1"/>
      <c r="J247" s="3"/>
      <c r="K247" s="3"/>
    </row>
    <row r="248" spans="1:11" x14ac:dyDescent="0.25">
      <c r="A248" s="1"/>
      <c r="B248" s="1"/>
      <c r="C248" s="1"/>
      <c r="D248" s="1"/>
      <c r="E248" s="1"/>
      <c r="F248" s="1"/>
      <c r="G248" s="9"/>
      <c r="H248" s="1"/>
      <c r="I248" s="1"/>
      <c r="J248" s="3"/>
      <c r="K248" s="3"/>
    </row>
    <row r="249" spans="1:11" x14ac:dyDescent="0.25">
      <c r="A249" s="1"/>
      <c r="B249" s="1"/>
      <c r="C249" s="1"/>
      <c r="D249" s="1"/>
      <c r="E249" s="1"/>
      <c r="F249" s="1"/>
      <c r="G249" s="9"/>
      <c r="H249" s="1"/>
      <c r="I249" s="1"/>
      <c r="J249" s="3"/>
      <c r="K249" s="3"/>
    </row>
    <row r="250" spans="1:11" x14ac:dyDescent="0.25">
      <c r="A250" s="1"/>
      <c r="B250" s="1"/>
      <c r="C250" s="1"/>
      <c r="D250" s="1"/>
      <c r="E250" s="1"/>
      <c r="F250" s="1"/>
      <c r="G250" s="9"/>
      <c r="H250" s="1"/>
      <c r="I250" s="1"/>
      <c r="J250" s="3"/>
      <c r="K250" s="3"/>
    </row>
    <row r="251" spans="1:11" x14ac:dyDescent="0.25">
      <c r="A251" s="1"/>
      <c r="B251" s="1"/>
      <c r="C251" s="1"/>
      <c r="D251" s="1"/>
      <c r="E251" s="1"/>
      <c r="F251" s="1"/>
      <c r="G251" s="9"/>
      <c r="H251" s="1"/>
      <c r="I251" s="1"/>
      <c r="J251" s="3"/>
      <c r="K251" s="3"/>
    </row>
    <row r="252" spans="1:11" x14ac:dyDescent="0.25">
      <c r="A252" s="1"/>
      <c r="B252" s="1"/>
      <c r="C252" s="1"/>
      <c r="D252" s="1"/>
      <c r="E252" s="1"/>
      <c r="F252" s="1"/>
      <c r="G252" s="9"/>
      <c r="H252" s="1"/>
      <c r="I252" s="1"/>
      <c r="J252" s="3"/>
      <c r="K252" s="3"/>
    </row>
    <row r="253" spans="1:11" x14ac:dyDescent="0.25">
      <c r="A253" s="1"/>
      <c r="B253" s="1"/>
      <c r="C253" s="1"/>
      <c r="D253" s="1"/>
      <c r="E253" s="1"/>
      <c r="F253" s="1"/>
      <c r="G253" s="9"/>
      <c r="H253" s="1"/>
      <c r="I253" s="1"/>
      <c r="J253" s="3"/>
      <c r="K253" s="3"/>
    </row>
    <row r="254" spans="1:11" x14ac:dyDescent="0.25">
      <c r="A254" s="1"/>
      <c r="B254" s="1"/>
      <c r="C254" s="1"/>
      <c r="D254" s="1"/>
      <c r="E254" s="1"/>
      <c r="F254" s="1"/>
      <c r="G254" s="9"/>
      <c r="H254" s="1"/>
      <c r="I254" s="1"/>
      <c r="J254" s="3"/>
      <c r="K254" s="3"/>
    </row>
    <row r="255" spans="1:11" x14ac:dyDescent="0.25">
      <c r="A255" s="1"/>
      <c r="B255" s="1"/>
      <c r="C255" s="1"/>
      <c r="D255" s="1"/>
      <c r="E255" s="1"/>
      <c r="F255" s="1"/>
      <c r="G255" s="9"/>
      <c r="H255" s="1"/>
      <c r="I255" s="1"/>
      <c r="J255" s="3"/>
      <c r="K255" s="3"/>
    </row>
    <row r="256" spans="1:11" x14ac:dyDescent="0.25">
      <c r="A256" s="1"/>
      <c r="B256" s="1"/>
      <c r="C256" s="1"/>
      <c r="D256" s="1"/>
      <c r="E256" s="1"/>
      <c r="F256" s="1"/>
      <c r="G256" s="9"/>
      <c r="H256" s="1"/>
      <c r="I256" s="1"/>
      <c r="J256" s="3"/>
      <c r="K256" s="3"/>
    </row>
    <row r="257" spans="1:11" x14ac:dyDescent="0.25">
      <c r="A257" s="1"/>
      <c r="B257" s="1"/>
      <c r="C257" s="1"/>
      <c r="D257" s="1"/>
      <c r="E257" s="1"/>
      <c r="F257" s="1"/>
      <c r="G257" s="9"/>
      <c r="H257" s="1"/>
      <c r="I257" s="1"/>
      <c r="J257" s="3"/>
      <c r="K257" s="3"/>
    </row>
    <row r="258" spans="1:11" x14ac:dyDescent="0.25">
      <c r="A258" s="1"/>
      <c r="B258" s="1"/>
      <c r="C258" s="1"/>
      <c r="D258" s="1"/>
      <c r="E258" s="1"/>
      <c r="F258" s="1"/>
      <c r="G258" s="9"/>
      <c r="H258" s="1"/>
      <c r="I258" s="1"/>
      <c r="J258" s="3"/>
      <c r="K258" s="3"/>
    </row>
    <row r="259" spans="1:11" x14ac:dyDescent="0.25">
      <c r="A259" s="1"/>
      <c r="B259" s="1"/>
      <c r="C259" s="1"/>
      <c r="D259" s="1"/>
      <c r="E259" s="1"/>
      <c r="F259" s="1"/>
      <c r="G259" s="9"/>
      <c r="H259" s="1"/>
      <c r="I259" s="1"/>
      <c r="J259" s="3"/>
      <c r="K259" s="3"/>
    </row>
    <row r="260" spans="1:11" x14ac:dyDescent="0.25">
      <c r="A260" s="1"/>
      <c r="B260" s="1"/>
      <c r="C260" s="1"/>
      <c r="D260" s="1"/>
      <c r="E260" s="1"/>
      <c r="F260" s="1"/>
      <c r="G260" s="9"/>
      <c r="H260" s="1"/>
      <c r="I260" s="1"/>
      <c r="J260" s="3"/>
      <c r="K260" s="3"/>
    </row>
    <row r="261" spans="1:11" x14ac:dyDescent="0.25">
      <c r="A261" s="1"/>
      <c r="B261" s="1"/>
      <c r="C261" s="1"/>
      <c r="D261" s="1"/>
      <c r="E261" s="1"/>
      <c r="F261" s="1"/>
      <c r="G261" s="9"/>
      <c r="H261" s="1"/>
      <c r="I261" s="1"/>
      <c r="J261" s="3"/>
      <c r="K261" s="3"/>
    </row>
    <row r="262" spans="1:11" x14ac:dyDescent="0.25">
      <c r="A262" s="1"/>
      <c r="B262" s="1"/>
      <c r="C262" s="1"/>
      <c r="D262" s="1"/>
      <c r="E262" s="1"/>
      <c r="F262" s="1"/>
      <c r="G262" s="9"/>
      <c r="H262" s="1"/>
      <c r="I262" s="1"/>
      <c r="J262" s="3"/>
      <c r="K262" s="3"/>
    </row>
    <row r="263" spans="1:11" x14ac:dyDescent="0.25">
      <c r="A263" s="1"/>
      <c r="B263" s="1"/>
      <c r="C263" s="1"/>
      <c r="D263" s="1"/>
      <c r="E263" s="1"/>
      <c r="F263" s="1"/>
      <c r="G263" s="9"/>
      <c r="H263" s="1"/>
      <c r="I263" s="1"/>
      <c r="J263" s="3"/>
      <c r="K263" s="3"/>
    </row>
    <row r="264" spans="1:11" x14ac:dyDescent="0.25">
      <c r="A264" s="1"/>
      <c r="B264" s="1"/>
      <c r="C264" s="1"/>
      <c r="D264" s="1"/>
      <c r="E264" s="1"/>
      <c r="F264" s="1"/>
      <c r="G264" s="9"/>
      <c r="H264" s="1"/>
      <c r="I264" s="1"/>
      <c r="J264" s="3"/>
      <c r="K264" s="3"/>
    </row>
    <row r="265" spans="1:11" x14ac:dyDescent="0.25">
      <c r="A265" s="1"/>
      <c r="B265" s="1"/>
      <c r="C265" s="1"/>
      <c r="D265" s="1"/>
      <c r="E265" s="1"/>
      <c r="F265" s="1"/>
      <c r="G265" s="9"/>
      <c r="H265" s="1"/>
      <c r="I265" s="1"/>
      <c r="J265" s="3"/>
      <c r="K265" s="3"/>
    </row>
    <row r="266" spans="1:11" x14ac:dyDescent="0.25">
      <c r="A266" s="1"/>
      <c r="B266" s="1"/>
      <c r="C266" s="1"/>
      <c r="D266" s="1"/>
      <c r="E266" s="1"/>
      <c r="F266" s="1"/>
      <c r="G266" s="9"/>
      <c r="H266" s="1"/>
      <c r="I266" s="1"/>
      <c r="J266" s="3"/>
      <c r="K266" s="3"/>
    </row>
    <row r="267" spans="1:11" x14ac:dyDescent="0.25">
      <c r="A267" s="1"/>
      <c r="B267" s="1"/>
      <c r="C267" s="1"/>
      <c r="D267" s="1"/>
      <c r="E267" s="1"/>
      <c r="F267" s="1"/>
      <c r="G267" s="9"/>
      <c r="H267" s="1"/>
      <c r="I267" s="1"/>
      <c r="J267" s="3"/>
      <c r="K267" s="3"/>
    </row>
    <row r="268" spans="1:11" x14ac:dyDescent="0.25">
      <c r="A268" s="1"/>
      <c r="B268" s="1"/>
      <c r="C268" s="1"/>
      <c r="D268" s="1"/>
      <c r="E268" s="1"/>
      <c r="F268" s="1"/>
      <c r="G268" s="9"/>
      <c r="H268" s="1"/>
      <c r="I268" s="1"/>
      <c r="J268" s="3"/>
      <c r="K268" s="3"/>
    </row>
    <row r="269" spans="1:11" x14ac:dyDescent="0.25">
      <c r="A269" s="1"/>
      <c r="B269" s="1"/>
      <c r="C269" s="1"/>
      <c r="D269" s="1"/>
      <c r="E269" s="1"/>
      <c r="F269" s="1"/>
      <c r="G269" s="9"/>
      <c r="H269" s="1"/>
      <c r="I269" s="1"/>
      <c r="J269" s="3"/>
      <c r="K269" s="3"/>
    </row>
    <row r="270" spans="1:11" x14ac:dyDescent="0.25">
      <c r="A270" s="1"/>
      <c r="B270" s="1"/>
      <c r="C270" s="1"/>
      <c r="D270" s="1"/>
      <c r="E270" s="1"/>
      <c r="F270" s="1"/>
      <c r="G270" s="9"/>
      <c r="H270" s="1"/>
      <c r="I270" s="1"/>
      <c r="J270" s="3"/>
      <c r="K270" s="3"/>
    </row>
    <row r="271" spans="1:11" x14ac:dyDescent="0.25">
      <c r="A271" s="1"/>
      <c r="B271" s="1"/>
      <c r="C271" s="1"/>
      <c r="D271" s="1"/>
      <c r="E271" s="1"/>
      <c r="F271" s="1"/>
      <c r="G271" s="9"/>
      <c r="H271" s="1"/>
      <c r="I271" s="1"/>
      <c r="J271" s="3"/>
      <c r="K271" s="3"/>
    </row>
    <row r="272" spans="1:11" x14ac:dyDescent="0.25">
      <c r="A272" s="1"/>
      <c r="B272" s="1"/>
      <c r="C272" s="1"/>
      <c r="D272" s="1"/>
      <c r="E272" s="1"/>
      <c r="F272" s="1"/>
      <c r="G272" s="9"/>
      <c r="H272" s="1"/>
      <c r="I272" s="1"/>
      <c r="J272" s="3"/>
      <c r="K272" s="3"/>
    </row>
    <row r="273" spans="1:11" x14ac:dyDescent="0.25">
      <c r="A273" s="1"/>
      <c r="B273" s="1"/>
      <c r="C273" s="1"/>
      <c r="D273" s="1"/>
      <c r="E273" s="1"/>
      <c r="F273" s="1"/>
      <c r="G273" s="9"/>
      <c r="H273" s="1"/>
      <c r="I273" s="1"/>
      <c r="J273" s="3"/>
      <c r="K273" s="3"/>
    </row>
    <row r="274" spans="1:11" x14ac:dyDescent="0.25">
      <c r="A274" s="1"/>
      <c r="B274" s="1"/>
      <c r="C274" s="1"/>
      <c r="D274" s="1"/>
      <c r="E274" s="1"/>
      <c r="F274" s="1"/>
      <c r="G274" s="9"/>
      <c r="H274" s="1"/>
      <c r="I274" s="1"/>
      <c r="J274" s="3"/>
      <c r="K274" s="3"/>
    </row>
    <row r="275" spans="1:11" x14ac:dyDescent="0.25">
      <c r="A275" s="1"/>
      <c r="B275" s="1"/>
      <c r="C275" s="1"/>
      <c r="D275" s="1"/>
      <c r="E275" s="1"/>
      <c r="F275" s="1"/>
      <c r="G275" s="9"/>
      <c r="H275" s="1"/>
      <c r="I275" s="1"/>
      <c r="J275" s="3"/>
      <c r="K275" s="3"/>
    </row>
    <row r="276" spans="1:11" x14ac:dyDescent="0.25">
      <c r="A276" s="1"/>
      <c r="B276" s="1"/>
      <c r="C276" s="1"/>
      <c r="D276" s="1"/>
      <c r="E276" s="1"/>
      <c r="F276" s="1"/>
      <c r="G276" s="9"/>
      <c r="H276" s="1"/>
      <c r="I276" s="1"/>
      <c r="J276" s="3"/>
      <c r="K276" s="3"/>
    </row>
    <row r="277" spans="1:11" x14ac:dyDescent="0.25">
      <c r="A277" s="1"/>
      <c r="B277" s="1"/>
      <c r="C277" s="1"/>
      <c r="D277" s="1"/>
      <c r="E277" s="1"/>
      <c r="F277" s="1"/>
      <c r="G277" s="9"/>
      <c r="H277" s="1"/>
      <c r="I277" s="1"/>
      <c r="J277" s="3"/>
      <c r="K277" s="3"/>
    </row>
    <row r="278" spans="1:11" x14ac:dyDescent="0.25">
      <c r="A278" s="1"/>
      <c r="B278" s="1"/>
      <c r="C278" s="1"/>
      <c r="D278" s="1"/>
      <c r="E278" s="1"/>
      <c r="F278" s="1"/>
      <c r="G278" s="9"/>
      <c r="H278" s="1"/>
      <c r="I278" s="1"/>
      <c r="J278" s="3"/>
      <c r="K278" s="3"/>
    </row>
    <row r="279" spans="1:11" x14ac:dyDescent="0.25">
      <c r="A279" s="1"/>
      <c r="B279" s="1"/>
      <c r="C279" s="1"/>
      <c r="D279" s="1"/>
      <c r="E279" s="1"/>
      <c r="F279" s="1"/>
      <c r="G279" s="9"/>
      <c r="H279" s="1"/>
      <c r="I279" s="1"/>
      <c r="J279" s="3"/>
      <c r="K279" s="3"/>
    </row>
    <row r="280" spans="1:11" x14ac:dyDescent="0.25">
      <c r="A280" s="1"/>
      <c r="B280" s="1"/>
      <c r="C280" s="1"/>
      <c r="D280" s="1"/>
      <c r="E280" s="1"/>
      <c r="F280" s="1"/>
      <c r="G280" s="9"/>
      <c r="H280" s="1"/>
      <c r="I280" s="1"/>
      <c r="J280" s="3"/>
      <c r="K280" s="3"/>
    </row>
    <row r="281" spans="1:11" x14ac:dyDescent="0.25">
      <c r="A281" s="1"/>
      <c r="B281" s="1"/>
      <c r="C281" s="1"/>
      <c r="D281" s="1"/>
      <c r="E281" s="1"/>
      <c r="F281" s="1"/>
      <c r="G281" s="9"/>
      <c r="H281" s="1"/>
      <c r="I281" s="1"/>
      <c r="J281" s="3"/>
      <c r="K281" s="3"/>
    </row>
    <row r="282" spans="1:11" x14ac:dyDescent="0.25">
      <c r="A282" s="1"/>
      <c r="B282" s="1"/>
      <c r="C282" s="1"/>
      <c r="D282" s="1"/>
      <c r="E282" s="1"/>
      <c r="F282" s="1"/>
      <c r="G282" s="9"/>
      <c r="H282" s="1"/>
      <c r="I282" s="1"/>
      <c r="J282" s="3"/>
      <c r="K282" s="3"/>
    </row>
    <row r="283" spans="1:11" x14ac:dyDescent="0.25">
      <c r="A283" s="1"/>
      <c r="B283" s="1"/>
      <c r="C283" s="1"/>
      <c r="D283" s="1"/>
      <c r="E283" s="1"/>
      <c r="F283" s="1"/>
      <c r="G283" s="9"/>
      <c r="H283" s="1"/>
      <c r="I283" s="1"/>
      <c r="J283" s="3"/>
      <c r="K283" s="3"/>
    </row>
    <row r="284" spans="1:11" x14ac:dyDescent="0.25">
      <c r="A284" s="1"/>
      <c r="B284" s="1"/>
      <c r="C284" s="1"/>
      <c r="D284" s="1"/>
      <c r="E284" s="1"/>
      <c r="F284" s="1"/>
      <c r="G284" s="9"/>
      <c r="H284" s="1"/>
      <c r="I284" s="1"/>
      <c r="J284" s="3"/>
      <c r="K284" s="3"/>
    </row>
    <row r="285" spans="1:11" x14ac:dyDescent="0.25">
      <c r="A285" s="1"/>
      <c r="B285" s="1"/>
      <c r="C285" s="1"/>
      <c r="D285" s="1"/>
      <c r="E285" s="1"/>
      <c r="F285" s="1"/>
      <c r="G285" s="9"/>
      <c r="H285" s="1"/>
      <c r="I285" s="1"/>
      <c r="J285" s="3"/>
      <c r="K285" s="3"/>
    </row>
    <row r="286" spans="1:11" x14ac:dyDescent="0.25">
      <c r="A286" s="1"/>
      <c r="B286" s="1"/>
      <c r="C286" s="1"/>
      <c r="D286" s="1"/>
      <c r="E286" s="1"/>
      <c r="F286" s="1"/>
      <c r="G286" s="9"/>
      <c r="H286" s="1"/>
      <c r="I286" s="1"/>
      <c r="J286" s="3"/>
      <c r="K286" s="3"/>
    </row>
    <row r="287" spans="1:11" x14ac:dyDescent="0.25">
      <c r="A287" s="1"/>
      <c r="B287" s="1"/>
      <c r="C287" s="1"/>
      <c r="D287" s="1"/>
      <c r="E287" s="1"/>
      <c r="F287" s="1"/>
      <c r="G287" s="9"/>
      <c r="H287" s="1"/>
      <c r="I287" s="1"/>
      <c r="J287" s="3"/>
      <c r="K287" s="3"/>
    </row>
    <row r="288" spans="1:11" x14ac:dyDescent="0.25">
      <c r="A288" s="1"/>
      <c r="B288" s="1"/>
      <c r="C288" s="1"/>
      <c r="D288" s="1"/>
      <c r="E288" s="1"/>
      <c r="F288" s="1"/>
      <c r="G288" s="9"/>
      <c r="H288" s="1"/>
      <c r="I288" s="1"/>
      <c r="J288" s="3"/>
      <c r="K288" s="3"/>
    </row>
    <row r="289" spans="1:11" x14ac:dyDescent="0.25">
      <c r="A289" s="1"/>
      <c r="B289" s="1"/>
      <c r="C289" s="1"/>
      <c r="D289" s="1"/>
      <c r="E289" s="1"/>
      <c r="F289" s="1"/>
      <c r="G289" s="9"/>
      <c r="H289" s="1"/>
      <c r="I289" s="1"/>
      <c r="J289" s="3"/>
      <c r="K289" s="3"/>
    </row>
    <row r="290" spans="1:11" x14ac:dyDescent="0.25">
      <c r="A290" s="1"/>
      <c r="B290" s="1"/>
      <c r="C290" s="1"/>
      <c r="D290" s="1"/>
      <c r="E290" s="1"/>
      <c r="F290" s="1"/>
      <c r="G290" s="9"/>
      <c r="H290" s="1"/>
      <c r="I290" s="1"/>
      <c r="J290" s="3"/>
      <c r="K290" s="3"/>
    </row>
    <row r="291" spans="1:11" x14ac:dyDescent="0.25">
      <c r="A291" s="1"/>
      <c r="B291" s="1"/>
      <c r="C291" s="1"/>
      <c r="D291" s="1"/>
      <c r="E291" s="1"/>
      <c r="F291" s="1"/>
      <c r="G291" s="9"/>
      <c r="H291" s="1"/>
      <c r="I291" s="1"/>
      <c r="J291" s="3"/>
      <c r="K291" s="3"/>
    </row>
    <row r="292" spans="1:11" x14ac:dyDescent="0.25">
      <c r="A292" s="1"/>
      <c r="B292" s="1"/>
      <c r="C292" s="1"/>
      <c r="D292" s="1"/>
      <c r="E292" s="1"/>
      <c r="F292" s="1"/>
      <c r="G292" s="9"/>
      <c r="H292" s="1"/>
      <c r="I292" s="1"/>
      <c r="J292" s="3"/>
      <c r="K292" s="3"/>
    </row>
    <row r="293" spans="1:11" x14ac:dyDescent="0.25">
      <c r="A293" s="1"/>
      <c r="B293" s="1"/>
      <c r="C293" s="1"/>
      <c r="D293" s="1"/>
      <c r="E293" s="1"/>
      <c r="F293" s="1"/>
      <c r="G293" s="9"/>
      <c r="H293" s="1"/>
      <c r="I293" s="1"/>
      <c r="J293" s="3"/>
      <c r="K293" s="3"/>
    </row>
    <row r="294" spans="1:11" x14ac:dyDescent="0.25">
      <c r="A294" s="1"/>
      <c r="B294" s="1"/>
      <c r="C294" s="1"/>
      <c r="D294" s="1"/>
      <c r="E294" s="1"/>
      <c r="F294" s="1"/>
      <c r="G294" s="9"/>
      <c r="H294" s="1"/>
      <c r="I294" s="1"/>
      <c r="J294" s="3"/>
      <c r="K294" s="3"/>
    </row>
    <row r="295" spans="1:11" x14ac:dyDescent="0.25">
      <c r="A295" s="1"/>
      <c r="B295" s="1"/>
      <c r="C295" s="1"/>
      <c r="D295" s="1"/>
      <c r="E295" s="1"/>
      <c r="F295" s="1"/>
      <c r="G295" s="9"/>
      <c r="H295" s="1"/>
      <c r="I295" s="1"/>
      <c r="J295" s="3"/>
      <c r="K295" s="3"/>
    </row>
    <row r="296" spans="1:11" x14ac:dyDescent="0.25">
      <c r="A296" s="1"/>
      <c r="B296" s="1"/>
      <c r="C296" s="1"/>
      <c r="D296" s="1"/>
      <c r="E296" s="1"/>
      <c r="F296" s="1"/>
      <c r="G296" s="9"/>
      <c r="H296" s="1"/>
      <c r="I296" s="1"/>
      <c r="J296" s="3"/>
      <c r="K296" s="3"/>
    </row>
    <row r="297" spans="1:11" x14ac:dyDescent="0.25">
      <c r="A297" s="1"/>
      <c r="B297" s="1"/>
      <c r="C297" s="1"/>
      <c r="D297" s="1"/>
      <c r="E297" s="1"/>
      <c r="F297" s="1"/>
      <c r="G297" s="9"/>
      <c r="H297" s="1"/>
      <c r="I297" s="1"/>
      <c r="J297" s="3"/>
      <c r="K297" s="3"/>
    </row>
    <row r="298" spans="1:11" x14ac:dyDescent="0.25">
      <c r="A298" s="1"/>
      <c r="B298" s="1"/>
      <c r="C298" s="1"/>
      <c r="D298" s="1"/>
      <c r="E298" s="1"/>
      <c r="F298" s="1"/>
      <c r="G298" s="9"/>
      <c r="H298" s="1"/>
      <c r="I298" s="1"/>
      <c r="J298" s="3"/>
      <c r="K298" s="3"/>
    </row>
    <row r="299" spans="1:11" x14ac:dyDescent="0.25">
      <c r="A299" s="1"/>
      <c r="B299" s="1"/>
      <c r="C299" s="1"/>
      <c r="D299" s="1"/>
      <c r="E299" s="1"/>
      <c r="F299" s="1"/>
      <c r="G299" s="9"/>
      <c r="H299" s="1"/>
      <c r="I299" s="1"/>
      <c r="J299" s="3"/>
      <c r="K299" s="3"/>
    </row>
    <row r="300" spans="1:11" x14ac:dyDescent="0.25">
      <c r="A300" s="1"/>
      <c r="B300" s="1"/>
      <c r="C300" s="1"/>
      <c r="D300" s="1"/>
      <c r="E300" s="1"/>
      <c r="F300" s="1"/>
      <c r="G300" s="9"/>
      <c r="H300" s="1"/>
      <c r="I300" s="1"/>
      <c r="J300" s="3"/>
      <c r="K300" s="3"/>
    </row>
    <row r="301" spans="1:11" x14ac:dyDescent="0.25">
      <c r="A301" s="1"/>
      <c r="B301" s="1"/>
      <c r="C301" s="1"/>
      <c r="D301" s="1"/>
      <c r="E301" s="1"/>
      <c r="F301" s="1"/>
      <c r="G301" s="9"/>
      <c r="H301" s="1"/>
      <c r="I301" s="1"/>
      <c r="J301" s="3"/>
      <c r="K301" s="3"/>
    </row>
    <row r="302" spans="1:11" x14ac:dyDescent="0.25">
      <c r="A302" s="1"/>
      <c r="B302" s="1"/>
      <c r="C302" s="1"/>
      <c r="D302" s="1"/>
      <c r="E302" s="1"/>
      <c r="F302" s="1"/>
      <c r="G302" s="9"/>
      <c r="H302" s="1"/>
      <c r="I302" s="1"/>
      <c r="J302" s="3"/>
      <c r="K302" s="3"/>
    </row>
    <row r="303" spans="1:11" x14ac:dyDescent="0.25">
      <c r="A303" s="1"/>
      <c r="B303" s="1"/>
      <c r="C303" s="1"/>
      <c r="D303" s="1"/>
      <c r="E303" s="1"/>
      <c r="F303" s="1"/>
      <c r="G303" s="9"/>
      <c r="H303" s="1"/>
      <c r="I303" s="1"/>
      <c r="J303" s="3"/>
      <c r="K303" s="3"/>
    </row>
    <row r="304" spans="1:11" x14ac:dyDescent="0.25">
      <c r="A304" s="1"/>
      <c r="B304" s="1"/>
      <c r="C304" s="1"/>
      <c r="D304" s="1"/>
      <c r="E304" s="1"/>
      <c r="F304" s="1"/>
      <c r="G304" s="9"/>
      <c r="H304" s="1"/>
      <c r="I304" s="1"/>
      <c r="J304" s="3"/>
      <c r="K304" s="3"/>
    </row>
    <row r="305" spans="1:11" x14ac:dyDescent="0.25">
      <c r="A305" s="1"/>
      <c r="B305" s="1"/>
      <c r="C305" s="1"/>
      <c r="D305" s="1"/>
      <c r="E305" s="1"/>
      <c r="F305" s="1"/>
      <c r="G305" s="9"/>
      <c r="H305" s="1"/>
      <c r="I305" s="1"/>
      <c r="J305" s="3"/>
      <c r="K305" s="3"/>
    </row>
    <row r="306" spans="1:11" x14ac:dyDescent="0.25">
      <c r="A306" s="1"/>
      <c r="B306" s="1"/>
      <c r="C306" s="1"/>
      <c r="D306" s="1"/>
      <c r="E306" s="1"/>
      <c r="F306" s="1"/>
      <c r="G306" s="9"/>
      <c r="H306" s="1"/>
      <c r="I306" s="1"/>
      <c r="J306" s="3"/>
      <c r="K306" s="3"/>
    </row>
    <row r="307" spans="1:11" x14ac:dyDescent="0.25">
      <c r="A307" s="1"/>
      <c r="B307" s="1"/>
      <c r="C307" s="1"/>
      <c r="D307" s="1"/>
      <c r="E307" s="1"/>
      <c r="F307" s="1"/>
      <c r="G307" s="9"/>
      <c r="H307" s="1"/>
      <c r="I307" s="1"/>
      <c r="J307" s="3"/>
      <c r="K307" s="3"/>
    </row>
    <row r="308" spans="1:11" x14ac:dyDescent="0.25">
      <c r="A308" s="1"/>
      <c r="B308" s="1"/>
      <c r="C308" s="1"/>
      <c r="D308" s="1"/>
      <c r="E308" s="1"/>
      <c r="F308" s="1"/>
      <c r="G308" s="9"/>
      <c r="H308" s="1"/>
      <c r="I308" s="1"/>
      <c r="J308" s="3"/>
      <c r="K308" s="3"/>
    </row>
    <row r="309" spans="1:11" x14ac:dyDescent="0.25">
      <c r="A309" s="1"/>
      <c r="B309" s="1"/>
      <c r="C309" s="1"/>
      <c r="D309" s="1"/>
      <c r="E309" s="1"/>
      <c r="F309" s="1"/>
      <c r="G309" s="9"/>
      <c r="H309" s="1"/>
      <c r="I309" s="1"/>
      <c r="J309" s="3"/>
      <c r="K309" s="3"/>
    </row>
    <row r="310" spans="1:11" x14ac:dyDescent="0.25">
      <c r="A310" s="1"/>
      <c r="B310" s="1"/>
      <c r="C310" s="1"/>
      <c r="D310" s="1"/>
      <c r="E310" s="1"/>
      <c r="F310" s="1"/>
      <c r="G310" s="9"/>
      <c r="H310" s="1"/>
      <c r="I310" s="1"/>
      <c r="J310" s="3"/>
      <c r="K310" s="3"/>
    </row>
    <row r="311" spans="1:11" x14ac:dyDescent="0.25">
      <c r="A311" s="1"/>
      <c r="B311" s="1"/>
      <c r="C311" s="1"/>
      <c r="D311" s="1"/>
      <c r="E311" s="1"/>
      <c r="F311" s="1"/>
      <c r="G311" s="9"/>
      <c r="H311" s="1"/>
      <c r="I311" s="1"/>
      <c r="J311" s="3"/>
      <c r="K311" s="3"/>
    </row>
    <row r="312" spans="1:11" x14ac:dyDescent="0.25">
      <c r="A312" s="1"/>
      <c r="B312" s="1"/>
      <c r="C312" s="1"/>
      <c r="D312" s="1"/>
      <c r="E312" s="1"/>
      <c r="F312" s="1"/>
      <c r="G312" s="9"/>
      <c r="H312" s="1"/>
      <c r="I312" s="1"/>
      <c r="J312" s="3"/>
      <c r="K312" s="3"/>
    </row>
    <row r="313" spans="1:11" x14ac:dyDescent="0.25">
      <c r="A313" s="1"/>
      <c r="B313" s="1"/>
      <c r="C313" s="1"/>
      <c r="D313" s="1"/>
      <c r="E313" s="1"/>
      <c r="F313" s="1"/>
      <c r="G313" s="9"/>
      <c r="H313" s="1"/>
      <c r="I313" s="1"/>
      <c r="J313" s="3"/>
      <c r="K313" s="3"/>
    </row>
    <row r="314" spans="1:11" x14ac:dyDescent="0.25">
      <c r="A314" s="1"/>
      <c r="B314" s="1"/>
      <c r="C314" s="1"/>
      <c r="D314" s="1"/>
      <c r="E314" s="1"/>
      <c r="F314" s="1"/>
      <c r="G314" s="9"/>
      <c r="H314" s="1"/>
      <c r="I314" s="1"/>
      <c r="J314" s="3"/>
      <c r="K314" s="3"/>
    </row>
    <row r="315" spans="1:11" x14ac:dyDescent="0.25">
      <c r="A315" s="1"/>
      <c r="B315" s="1"/>
      <c r="C315" s="1"/>
      <c r="D315" s="1"/>
      <c r="E315" s="1"/>
      <c r="F315" s="1"/>
      <c r="G315" s="9"/>
      <c r="H315" s="1"/>
      <c r="I315" s="1"/>
      <c r="J315" s="3"/>
      <c r="K315" s="3"/>
    </row>
    <row r="316" spans="1:11" x14ac:dyDescent="0.25">
      <c r="A316" s="1"/>
      <c r="B316" s="1"/>
      <c r="C316" s="1"/>
      <c r="D316" s="1"/>
      <c r="E316" s="1"/>
      <c r="F316" s="1"/>
      <c r="G316" s="9"/>
      <c r="H316" s="1"/>
      <c r="I316" s="1"/>
      <c r="J316" s="3"/>
      <c r="K316" s="3"/>
    </row>
    <row r="317" spans="1:11" x14ac:dyDescent="0.25">
      <c r="A317" s="1"/>
      <c r="B317" s="1"/>
      <c r="C317" s="1"/>
      <c r="D317" s="1"/>
      <c r="E317" s="1"/>
      <c r="F317" s="1"/>
      <c r="G317" s="9"/>
      <c r="H317" s="1"/>
      <c r="I317" s="1"/>
      <c r="J317" s="3"/>
      <c r="K317" s="3"/>
    </row>
    <row r="318" spans="1:11" x14ac:dyDescent="0.25">
      <c r="A318" s="1"/>
      <c r="B318" s="1"/>
      <c r="C318" s="1"/>
      <c r="D318" s="1"/>
      <c r="E318" s="1"/>
      <c r="F318" s="1"/>
      <c r="G318" s="9"/>
      <c r="H318" s="1"/>
      <c r="I318" s="1"/>
      <c r="J318" s="3"/>
      <c r="K318" s="3"/>
    </row>
    <row r="319" spans="1:11" x14ac:dyDescent="0.25">
      <c r="A319" s="1"/>
      <c r="B319" s="1"/>
      <c r="C319" s="1"/>
      <c r="D319" s="1"/>
      <c r="E319" s="1"/>
      <c r="F319" s="1"/>
      <c r="G319" s="9"/>
      <c r="H319" s="1"/>
      <c r="I319" s="1"/>
      <c r="J319" s="3"/>
      <c r="K319" s="3"/>
    </row>
    <row r="320" spans="1:11" x14ac:dyDescent="0.25">
      <c r="A320" s="1"/>
      <c r="B320" s="1"/>
      <c r="C320" s="1"/>
      <c r="D320" s="1"/>
      <c r="E320" s="1"/>
      <c r="F320" s="1"/>
      <c r="G320" s="9"/>
      <c r="H320" s="1"/>
      <c r="I320" s="1"/>
      <c r="J320" s="3"/>
      <c r="K320" s="3"/>
    </row>
    <row r="321" spans="1:11" x14ac:dyDescent="0.25">
      <c r="A321" s="1"/>
      <c r="B321" s="1"/>
      <c r="C321" s="1"/>
      <c r="D321" s="1"/>
      <c r="E321" s="1"/>
      <c r="F321" s="1"/>
      <c r="G321" s="9"/>
      <c r="H321" s="1"/>
      <c r="I321" s="1"/>
      <c r="J321" s="3"/>
      <c r="K321" s="3"/>
    </row>
    <row r="322" spans="1:11" x14ac:dyDescent="0.25">
      <c r="A322" s="1"/>
      <c r="B322" s="1"/>
      <c r="C322" s="1"/>
      <c r="D322" s="1"/>
      <c r="E322" s="1"/>
      <c r="F322" s="1"/>
      <c r="G322" s="9"/>
      <c r="H322" s="1"/>
      <c r="I322" s="1"/>
      <c r="J322" s="3"/>
      <c r="K322" s="3"/>
    </row>
    <row r="323" spans="1:11" x14ac:dyDescent="0.25">
      <c r="A323" s="1"/>
      <c r="B323" s="1"/>
      <c r="C323" s="1"/>
      <c r="D323" s="1"/>
      <c r="E323" s="1"/>
      <c r="F323" s="1"/>
      <c r="G323" s="9"/>
      <c r="H323" s="1"/>
      <c r="I323" s="1"/>
      <c r="J323" s="3"/>
      <c r="K323" s="3"/>
    </row>
    <row r="324" spans="1:11" x14ac:dyDescent="0.25">
      <c r="A324" s="1"/>
      <c r="B324" s="1"/>
      <c r="C324" s="1"/>
      <c r="D324" s="1"/>
      <c r="E324" s="1"/>
      <c r="F324" s="1"/>
      <c r="G324" s="9"/>
      <c r="H324" s="1"/>
      <c r="I324" s="1"/>
      <c r="J324" s="3"/>
      <c r="K324" s="3"/>
    </row>
    <row r="325" spans="1:11" x14ac:dyDescent="0.25">
      <c r="A325" s="1"/>
      <c r="B325" s="1"/>
      <c r="C325" s="1"/>
      <c r="D325" s="1"/>
      <c r="E325" s="1"/>
      <c r="F325" s="1"/>
      <c r="G325" s="9"/>
      <c r="H325" s="1"/>
      <c r="I325" s="1"/>
      <c r="J325" s="3"/>
      <c r="K325" s="3"/>
    </row>
    <row r="326" spans="1:11" x14ac:dyDescent="0.25">
      <c r="A326" s="1"/>
      <c r="B326" s="1"/>
      <c r="C326" s="1"/>
      <c r="D326" s="1"/>
      <c r="E326" s="1"/>
      <c r="F326" s="1"/>
      <c r="G326" s="9"/>
      <c r="H326" s="1"/>
      <c r="I326" s="1"/>
      <c r="J326" s="3"/>
      <c r="K326" s="3"/>
    </row>
    <row r="327" spans="1:11" x14ac:dyDescent="0.25">
      <c r="A327" s="1"/>
      <c r="B327" s="1"/>
      <c r="C327" s="1"/>
      <c r="D327" s="1"/>
      <c r="E327" s="1"/>
      <c r="F327" s="1"/>
      <c r="G327" s="9"/>
      <c r="H327" s="1"/>
      <c r="I327" s="1"/>
      <c r="J327" s="3"/>
      <c r="K327" s="3"/>
    </row>
    <row r="328" spans="1:11" x14ac:dyDescent="0.25">
      <c r="A328" s="1"/>
      <c r="B328" s="1"/>
      <c r="C328" s="1"/>
      <c r="D328" s="1"/>
      <c r="E328" s="1"/>
      <c r="F328" s="1"/>
      <c r="G328" s="9"/>
      <c r="H328" s="1"/>
      <c r="I328" s="1"/>
      <c r="J328" s="3"/>
      <c r="K328" s="3"/>
    </row>
    <row r="329" spans="1:11" x14ac:dyDescent="0.25">
      <c r="A329" s="1"/>
      <c r="B329" s="1"/>
      <c r="C329" s="1"/>
      <c r="D329" s="1"/>
      <c r="E329" s="1"/>
      <c r="F329" s="1"/>
      <c r="G329" s="9"/>
      <c r="H329" s="1"/>
      <c r="I329" s="1"/>
      <c r="J329" s="3"/>
      <c r="K329" s="3"/>
    </row>
    <row r="330" spans="1:11" x14ac:dyDescent="0.25">
      <c r="A330" s="1"/>
      <c r="B330" s="1"/>
      <c r="C330" s="1"/>
      <c r="D330" s="1"/>
      <c r="E330" s="1"/>
      <c r="F330" s="1"/>
      <c r="G330" s="9"/>
      <c r="H330" s="1"/>
      <c r="I330" s="1"/>
      <c r="J330" s="3"/>
      <c r="K330" s="3"/>
    </row>
    <row r="331" spans="1:11" x14ac:dyDescent="0.25">
      <c r="A331" s="1"/>
      <c r="B331" s="1"/>
      <c r="C331" s="1"/>
      <c r="D331" s="1"/>
      <c r="E331" s="1"/>
      <c r="F331" s="1"/>
      <c r="G331" s="9"/>
      <c r="H331" s="1"/>
      <c r="I331" s="1"/>
      <c r="J331" s="3"/>
      <c r="K331" s="3"/>
    </row>
    <row r="332" spans="1:11" x14ac:dyDescent="0.25">
      <c r="A332" s="1"/>
      <c r="B332" s="1"/>
      <c r="C332" s="1"/>
      <c r="D332" s="1"/>
      <c r="E332" s="1"/>
      <c r="F332" s="1"/>
      <c r="G332" s="9"/>
      <c r="H332" s="1"/>
      <c r="I332" s="1"/>
      <c r="J332" s="3"/>
      <c r="K332" s="3"/>
    </row>
    <row r="333" spans="1:11" x14ac:dyDescent="0.25">
      <c r="A333" s="1"/>
      <c r="B333" s="1"/>
      <c r="C333" s="1"/>
      <c r="D333" s="1"/>
      <c r="E333" s="1"/>
      <c r="F333" s="1"/>
      <c r="G333" s="9"/>
      <c r="H333" s="1"/>
      <c r="I333" s="1"/>
      <c r="J333" s="3"/>
      <c r="K333" s="3"/>
    </row>
    <row r="334" spans="1:11" x14ac:dyDescent="0.25">
      <c r="A334" s="1"/>
      <c r="B334" s="1"/>
      <c r="C334" s="1"/>
      <c r="D334" s="1"/>
      <c r="E334" s="1"/>
      <c r="F334" s="1"/>
      <c r="G334" s="9"/>
      <c r="H334" s="1"/>
      <c r="I334" s="1"/>
      <c r="J334" s="3"/>
      <c r="K334" s="3"/>
    </row>
    <row r="335" spans="1:11" x14ac:dyDescent="0.25">
      <c r="A335" s="1"/>
      <c r="B335" s="1"/>
      <c r="C335" s="1"/>
      <c r="D335" s="1"/>
      <c r="E335" s="1"/>
      <c r="F335" s="1"/>
      <c r="G335" s="9"/>
      <c r="H335" s="1"/>
      <c r="I335" s="1"/>
      <c r="J335" s="3"/>
      <c r="K335" s="3"/>
    </row>
    <row r="336" spans="1:11" x14ac:dyDescent="0.25">
      <c r="A336" s="1"/>
      <c r="B336" s="1"/>
      <c r="C336" s="1"/>
      <c r="D336" s="1"/>
      <c r="E336" s="1"/>
      <c r="F336" s="1"/>
      <c r="G336" s="9"/>
      <c r="H336" s="1"/>
      <c r="I336" s="1"/>
      <c r="J336" s="3"/>
      <c r="K336" s="3"/>
    </row>
    <row r="337" spans="1:11" x14ac:dyDescent="0.25">
      <c r="A337" s="1"/>
      <c r="B337" s="1"/>
      <c r="C337" s="1"/>
      <c r="D337" s="1"/>
      <c r="E337" s="1"/>
      <c r="F337" s="1"/>
      <c r="G337" s="9"/>
      <c r="H337" s="1"/>
      <c r="I337" s="1"/>
      <c r="J337" s="3"/>
      <c r="K337" s="3"/>
    </row>
    <row r="338" spans="1:11" x14ac:dyDescent="0.25">
      <c r="A338" s="1"/>
      <c r="B338" s="1"/>
      <c r="C338" s="1"/>
      <c r="D338" s="1"/>
      <c r="E338" s="1"/>
      <c r="F338" s="1"/>
      <c r="G338" s="9"/>
      <c r="H338" s="1"/>
      <c r="I338" s="1"/>
      <c r="J338" s="3"/>
      <c r="K338" s="3"/>
    </row>
    <row r="339" spans="1:11" x14ac:dyDescent="0.25">
      <c r="A339" s="1"/>
      <c r="B339" s="1"/>
      <c r="C339" s="1"/>
      <c r="D339" s="1"/>
      <c r="E339" s="1"/>
      <c r="F339" s="1"/>
      <c r="G339" s="9"/>
      <c r="H339" s="1"/>
      <c r="I339" s="1"/>
      <c r="J339" s="3"/>
      <c r="K339" s="3"/>
    </row>
    <row r="340" spans="1:11" x14ac:dyDescent="0.25">
      <c r="A340" s="1"/>
      <c r="B340" s="1"/>
      <c r="C340" s="1"/>
      <c r="D340" s="1"/>
      <c r="E340" s="1"/>
      <c r="F340" s="1"/>
      <c r="G340" s="9"/>
      <c r="H340" s="1"/>
      <c r="I340" s="1"/>
      <c r="J340" s="3"/>
      <c r="K340" s="3"/>
    </row>
    <row r="341" spans="1:11" x14ac:dyDescent="0.25">
      <c r="A341" s="1"/>
      <c r="B341" s="1"/>
      <c r="C341" s="1"/>
      <c r="D341" s="1"/>
      <c r="E341" s="1"/>
      <c r="F341" s="1"/>
      <c r="G341" s="9"/>
      <c r="H341" s="1"/>
      <c r="I341" s="1"/>
      <c r="J341" s="3"/>
      <c r="K341" s="3"/>
    </row>
    <row r="342" spans="1:11" x14ac:dyDescent="0.25">
      <c r="A342" s="1"/>
      <c r="B342" s="1"/>
      <c r="C342" s="1"/>
      <c r="D342" s="1"/>
      <c r="E342" s="1"/>
      <c r="F342" s="1"/>
      <c r="G342" s="9"/>
      <c r="H342" s="1"/>
      <c r="I342" s="1"/>
      <c r="J342" s="3"/>
      <c r="K342" s="3"/>
    </row>
    <row r="343" spans="1:11" x14ac:dyDescent="0.25">
      <c r="A343" s="1"/>
      <c r="B343" s="1"/>
      <c r="C343" s="1"/>
      <c r="D343" s="1"/>
      <c r="E343" s="1"/>
      <c r="F343" s="1"/>
      <c r="G343" s="9"/>
      <c r="H343" s="1"/>
      <c r="I343" s="1"/>
      <c r="J343" s="3"/>
      <c r="K343" s="3"/>
    </row>
    <row r="344" spans="1:11" x14ac:dyDescent="0.25">
      <c r="A344" s="1"/>
      <c r="B344" s="1"/>
      <c r="C344" s="1"/>
      <c r="D344" s="1"/>
      <c r="E344" s="1"/>
      <c r="F344" s="1"/>
      <c r="G344" s="9"/>
      <c r="H344" s="1"/>
      <c r="I344" s="1"/>
      <c r="J344" s="3"/>
      <c r="K344" s="3"/>
    </row>
    <row r="345" spans="1:11" x14ac:dyDescent="0.25">
      <c r="A345" s="1"/>
      <c r="B345" s="1"/>
      <c r="C345" s="1"/>
      <c r="D345" s="1"/>
      <c r="E345" s="1"/>
      <c r="F345" s="1"/>
      <c r="G345" s="9"/>
      <c r="H345" s="1"/>
      <c r="I345" s="1"/>
      <c r="J345" s="3"/>
      <c r="K345" s="3"/>
    </row>
    <row r="346" spans="1:11" x14ac:dyDescent="0.25">
      <c r="A346" s="1"/>
      <c r="B346" s="1"/>
      <c r="C346" s="1"/>
      <c r="D346" s="1"/>
      <c r="E346" s="1"/>
      <c r="F346" s="1"/>
      <c r="G346" s="9"/>
      <c r="H346" s="1"/>
      <c r="I346" s="1"/>
      <c r="J346" s="3"/>
      <c r="K346" s="3"/>
    </row>
    <row r="347" spans="1:11" x14ac:dyDescent="0.25">
      <c r="A347" s="1"/>
      <c r="B347" s="1"/>
      <c r="C347" s="1"/>
      <c r="D347" s="1"/>
      <c r="E347" s="1"/>
      <c r="F347" s="1"/>
      <c r="G347" s="9"/>
      <c r="H347" s="1"/>
      <c r="I347" s="1"/>
      <c r="J347" s="3"/>
      <c r="K347" s="3"/>
    </row>
    <row r="348" spans="1:11" x14ac:dyDescent="0.25">
      <c r="A348" s="1"/>
      <c r="B348" s="1"/>
      <c r="C348" s="1"/>
      <c r="D348" s="1"/>
      <c r="E348" s="1"/>
      <c r="F348" s="1"/>
      <c r="G348" s="9"/>
      <c r="H348" s="1"/>
      <c r="I348" s="1"/>
      <c r="J348" s="3"/>
      <c r="K348" s="3"/>
    </row>
    <row r="349" spans="1:11" x14ac:dyDescent="0.25">
      <c r="A349" s="1"/>
      <c r="B349" s="1"/>
      <c r="C349" s="1"/>
      <c r="D349" s="1"/>
      <c r="E349" s="1"/>
      <c r="F349" s="1"/>
      <c r="G349" s="9"/>
      <c r="H349" s="1"/>
      <c r="I349" s="1"/>
      <c r="J349" s="3"/>
      <c r="K349" s="3"/>
    </row>
    <row r="350" spans="1:11" x14ac:dyDescent="0.25">
      <c r="A350" s="1"/>
      <c r="B350" s="1"/>
      <c r="C350" s="1"/>
      <c r="D350" s="1"/>
      <c r="E350" s="1"/>
      <c r="F350" s="1"/>
      <c r="G350" s="9"/>
      <c r="H350" s="1"/>
      <c r="I350" s="1"/>
      <c r="J350" s="3"/>
      <c r="K350" s="3"/>
    </row>
    <row r="351" spans="1:11" x14ac:dyDescent="0.25">
      <c r="A351" s="1"/>
      <c r="B351" s="1"/>
      <c r="C351" s="1"/>
      <c r="D351" s="1"/>
      <c r="E351" s="1"/>
      <c r="F351" s="1"/>
      <c r="G351" s="9"/>
      <c r="H351" s="1"/>
      <c r="I351" s="1"/>
      <c r="J351" s="3"/>
      <c r="K351" s="3"/>
    </row>
    <row r="352" spans="1:11" x14ac:dyDescent="0.25">
      <c r="A352" s="1"/>
      <c r="B352" s="1"/>
      <c r="C352" s="1"/>
      <c r="D352" s="1"/>
      <c r="E352" s="1"/>
      <c r="F352" s="1"/>
      <c r="G352" s="9"/>
      <c r="H352" s="1"/>
      <c r="I352" s="1"/>
      <c r="J352" s="3"/>
      <c r="K352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wft</vt:lpstr>
      <vt:lpstr>co2 log</vt:lpstr>
      <vt:lpstr>triple</vt:lpstr>
      <vt:lpstr>main (2)</vt:lpstr>
      <vt:lpstr>main (3)</vt:lpstr>
      <vt:lpstr>main (4)</vt:lpstr>
    </vt:vector>
  </TitlesOfParts>
  <Company>Customer Solutions BAE Systems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pukitepa</dc:creator>
  <cp:lastModifiedBy>pp</cp:lastModifiedBy>
  <dcterms:created xsi:type="dcterms:W3CDTF">2013-06-20T18:41:49Z</dcterms:created>
  <dcterms:modified xsi:type="dcterms:W3CDTF">2013-06-25T12:56:18Z</dcterms:modified>
</cp:coreProperties>
</file>