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7100" windowHeight="13425" activeTab="2"/>
  </bookViews>
  <sheets>
    <sheet name="venera" sheetId="1" r:id="rId1"/>
    <sheet name="Sheet2" sheetId="2" r:id="rId2"/>
    <sheet name="adiabatic" sheetId="3" r:id="rId3"/>
  </sheets>
  <definedNames>
    <definedName name="a" localSheetId="2">adiabatic!$D$10</definedName>
    <definedName name="a">Sheet2!$D$10</definedName>
    <definedName name="b" localSheetId="2">adiabatic!$D$11</definedName>
    <definedName name="b">Sheet2!$D$11</definedName>
    <definedName name="cc" localSheetId="2">adiabatic!$D$12</definedName>
    <definedName name="cc">Sheet2!$D$12</definedName>
    <definedName name="f" localSheetId="2">adiabatic!$D$9</definedName>
    <definedName name="f">Sheet2!$D$9</definedName>
    <definedName name="g" localSheetId="2">adiabatic!$D$7</definedName>
    <definedName name="g">Sheet2!$D$7</definedName>
    <definedName name="k" localSheetId="2">adiabatic!$D$8</definedName>
    <definedName name="k">Sheet2!$D$8</definedName>
    <definedName name="L" localSheetId="2">adiabatic!$D$4</definedName>
    <definedName name="L">Sheet2!$D$4</definedName>
    <definedName name="MW" localSheetId="2">adiabatic!$D$6</definedName>
    <definedName name="MW">Sheet2!$D$6</definedName>
    <definedName name="R_gas" localSheetId="2">adiabatic!$D$5</definedName>
    <definedName name="R_gas">Sheet2!$D$5</definedName>
    <definedName name="u" localSheetId="2">adiabatic!$D$3</definedName>
    <definedName name="u">Sheet2!$D$3</definedName>
  </definedNames>
  <calcPr calcId="125725"/>
</workbook>
</file>

<file path=xl/calcChain.xml><?xml version="1.0" encoding="utf-8"?>
<calcChain xmlns="http://schemas.openxmlformats.org/spreadsheetml/2006/main">
  <c r="A85" i="3"/>
  <c r="A80"/>
  <c r="A63"/>
  <c r="A62"/>
  <c r="A40"/>
  <c r="A14"/>
  <c r="B68"/>
  <c r="B67"/>
  <c r="B66"/>
  <c r="B65"/>
  <c r="D7"/>
  <c r="D11"/>
  <c r="A97" s="1"/>
  <c r="D10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D7" i="2"/>
  <c r="D10" s="1"/>
  <c r="B36"/>
  <c r="B37" s="1"/>
  <c r="B35"/>
  <c r="B34"/>
  <c r="D12"/>
  <c r="B4"/>
  <c r="B5" s="1"/>
  <c r="B6" s="1"/>
  <c r="D11"/>
  <c r="D63" i="1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8"/>
  <c r="A7"/>
  <c r="A6"/>
  <c r="A5"/>
  <c r="A4"/>
  <c r="A39" i="3" l="1"/>
  <c r="A104"/>
  <c r="A16"/>
  <c r="A103"/>
  <c r="A15"/>
  <c r="A86"/>
  <c r="A102"/>
  <c r="A7"/>
  <c r="A32"/>
  <c r="A6"/>
  <c r="A30"/>
  <c r="A54"/>
  <c r="A78"/>
  <c r="A95"/>
  <c r="A38"/>
  <c r="A79"/>
  <c r="A24"/>
  <c r="A47"/>
  <c r="A72"/>
  <c r="A94"/>
  <c r="A96"/>
  <c r="A23"/>
  <c r="A46"/>
  <c r="A70"/>
  <c r="A93"/>
  <c r="A56"/>
  <c r="A55"/>
  <c r="A22"/>
  <c r="A45"/>
  <c r="A64"/>
  <c r="A87"/>
  <c r="A8"/>
  <c r="A31"/>
  <c r="A48"/>
  <c r="A71"/>
  <c r="A88"/>
  <c r="A5"/>
  <c r="A13"/>
  <c r="A21"/>
  <c r="A29"/>
  <c r="A37"/>
  <c r="A53"/>
  <c r="A61"/>
  <c r="A69"/>
  <c r="A77"/>
  <c r="A101"/>
  <c r="A4"/>
  <c r="A12"/>
  <c r="A20"/>
  <c r="A28"/>
  <c r="A36"/>
  <c r="A44"/>
  <c r="A52"/>
  <c r="A60"/>
  <c r="A68"/>
  <c r="A76"/>
  <c r="A84"/>
  <c r="A92"/>
  <c r="A100"/>
  <c r="A3"/>
  <c r="A11"/>
  <c r="A19"/>
  <c r="A27"/>
  <c r="A35"/>
  <c r="A43"/>
  <c r="A51"/>
  <c r="A59"/>
  <c r="A67"/>
  <c r="A75"/>
  <c r="A83"/>
  <c r="A91"/>
  <c r="A99"/>
  <c r="A10"/>
  <c r="A18"/>
  <c r="A26"/>
  <c r="A34"/>
  <c r="A42"/>
  <c r="A50"/>
  <c r="A58"/>
  <c r="A66"/>
  <c r="A74"/>
  <c r="A82"/>
  <c r="A90"/>
  <c r="A98"/>
  <c r="A9"/>
  <c r="A17"/>
  <c r="A25"/>
  <c r="A33"/>
  <c r="A41"/>
  <c r="A49"/>
  <c r="A57"/>
  <c r="A65"/>
  <c r="A73"/>
  <c r="A81"/>
  <c r="A89"/>
  <c r="B69"/>
  <c r="A35" i="2"/>
  <c r="A34"/>
  <c r="A37"/>
  <c r="B38"/>
  <c r="A36"/>
  <c r="A3"/>
  <c r="A4"/>
  <c r="B7"/>
  <c r="A6"/>
  <c r="A5"/>
  <c r="B70" i="3" l="1"/>
  <c r="B39" i="2"/>
  <c r="A38"/>
  <c r="B8"/>
  <c r="A7"/>
  <c r="B71" i="3" l="1"/>
  <c r="A39" i="2"/>
  <c r="B40"/>
  <c r="B9"/>
  <c r="A8"/>
  <c r="B72" i="3" l="1"/>
  <c r="A40" i="2"/>
  <c r="B41"/>
  <c r="B10"/>
  <c r="A9"/>
  <c r="B73" i="3" l="1"/>
  <c r="A41" i="2"/>
  <c r="B42"/>
  <c r="B11"/>
  <c r="A10"/>
  <c r="B74" i="3" l="1"/>
  <c r="B43" i="2"/>
  <c r="A42"/>
  <c r="B12"/>
  <c r="A11"/>
  <c r="B75" i="3" l="1"/>
  <c r="B44" i="2"/>
  <c r="A43"/>
  <c r="B13"/>
  <c r="A12"/>
  <c r="B76" i="3" l="1"/>
  <c r="B45" i="2"/>
  <c r="A44"/>
  <c r="B14"/>
  <c r="A13"/>
  <c r="B77" i="3" l="1"/>
  <c r="A45" i="2"/>
  <c r="B46"/>
  <c r="B15"/>
  <c r="A14"/>
  <c r="B78" i="3" l="1"/>
  <c r="B47" i="2"/>
  <c r="A46"/>
  <c r="B16"/>
  <c r="A15"/>
  <c r="B79" i="3" l="1"/>
  <c r="A47" i="2"/>
  <c r="B48"/>
  <c r="B17"/>
  <c r="A16"/>
  <c r="B80" i="3" l="1"/>
  <c r="B49" i="2"/>
  <c r="A48"/>
  <c r="B18"/>
  <c r="A17"/>
  <c r="B81" i="3" l="1"/>
  <c r="A49" i="2"/>
  <c r="B50"/>
  <c r="B19"/>
  <c r="A18"/>
  <c r="B82" i="3" l="1"/>
  <c r="B51" i="2"/>
  <c r="A50"/>
  <c r="B20"/>
  <c r="A19"/>
  <c r="B83" i="3" l="1"/>
  <c r="B52" i="2"/>
  <c r="A51"/>
  <c r="B21"/>
  <c r="A20"/>
  <c r="B84" i="3" l="1"/>
  <c r="B53" i="2"/>
  <c r="A52"/>
  <c r="B22"/>
  <c r="A21"/>
  <c r="B85" i="3" l="1"/>
  <c r="A53" i="2"/>
  <c r="B54"/>
  <c r="B23"/>
  <c r="A22"/>
  <c r="B86" i="3" l="1"/>
  <c r="A54" i="2"/>
  <c r="B55"/>
  <c r="B24"/>
  <c r="A23"/>
  <c r="B87" i="3" l="1"/>
  <c r="B56" i="2"/>
  <c r="A55"/>
  <c r="B25"/>
  <c r="A24"/>
  <c r="B88" i="3" l="1"/>
  <c r="B57" i="2"/>
  <c r="A56"/>
  <c r="B26"/>
  <c r="A25"/>
  <c r="B89" i="3" l="1"/>
  <c r="A57" i="2"/>
  <c r="B58"/>
  <c r="B27"/>
  <c r="A26"/>
  <c r="B90" i="3" l="1"/>
  <c r="B59" i="2"/>
  <c r="A58"/>
  <c r="B28"/>
  <c r="A27"/>
  <c r="B91" i="3" l="1"/>
  <c r="B60" i="2"/>
  <c r="A59"/>
  <c r="B29"/>
  <c r="A28"/>
  <c r="B92" i="3" l="1"/>
  <c r="A60" i="2"/>
  <c r="B61"/>
  <c r="B30"/>
  <c r="A29"/>
  <c r="B93" i="3" l="1"/>
  <c r="A61" i="2"/>
  <c r="B62"/>
  <c r="B31"/>
  <c r="A30"/>
  <c r="B94" i="3" l="1"/>
  <c r="B63" i="2"/>
  <c r="A62"/>
  <c r="B32"/>
  <c r="A31"/>
  <c r="B95" i="3" l="1"/>
  <c r="A63" i="2"/>
  <c r="B64"/>
  <c r="A64" s="1"/>
  <c r="B33"/>
  <c r="A33" s="1"/>
  <c r="A32"/>
  <c r="B96" i="3" l="1"/>
  <c r="B97" l="1"/>
  <c r="B98" l="1"/>
  <c r="B99" l="1"/>
  <c r="B100" l="1"/>
  <c r="B101" l="1"/>
  <c r="B102" l="1"/>
  <c r="B103" l="1"/>
  <c r="B104" l="1"/>
</calcChain>
</file>

<file path=xl/sharedStrings.xml><?xml version="1.0" encoding="utf-8"?>
<sst xmlns="http://schemas.openxmlformats.org/spreadsheetml/2006/main" count="20" uniqueCount="14">
  <si>
    <t>ln(T/Ts)</t>
  </si>
  <si>
    <t>ln(P/Ps)</t>
  </si>
  <si>
    <t>ln(P/Ps)=6 ln(T/Ts)  Model</t>
  </si>
  <si>
    <t>Z</t>
  </si>
  <si>
    <t>T</t>
  </si>
  <si>
    <t>k-a*Z = -(b+c)*ln(b+T) + c*ln(T) + T</t>
  </si>
  <si>
    <t>u=fraction</t>
  </si>
  <si>
    <t>L=energy</t>
  </si>
  <si>
    <t>a=(1/6)*g*MW/R</t>
  </si>
  <si>
    <t>b=L*u/R</t>
  </si>
  <si>
    <t>c=L/cp=L/(6R)</t>
  </si>
  <si>
    <t>Z = 1/a*((b+c)*ln(b+T) - c*ln(T) - T + k)</t>
  </si>
  <si>
    <t>k-4*a*Z = b*ln(T)-5*b*ln(b+T)  + 4*T</t>
  </si>
  <si>
    <t>Z = 1/(4a)*(5*b*ln(b+T)- b*ln(T) -4*T + 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</si>
</sst>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Venera data for Venus P-T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8120635863913235E-2"/>
          <c:y val="0.20743176272295036"/>
          <c:w val="0.73375427128212756"/>
          <c:h val="0.71213168641459756"/>
        </c:manualLayout>
      </c:layout>
      <c:scatterChart>
        <c:scatterStyle val="lineMarker"/>
        <c:ser>
          <c:idx val="0"/>
          <c:order val="0"/>
          <c:tx>
            <c:strRef>
              <c:f>venera!$D$2</c:f>
              <c:strCache>
                <c:ptCount val="1"/>
                <c:pt idx="0">
                  <c:v>ln(P/Ps)=6 ln(T/Ts)  Model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rgbClr val="FFFF00"/>
              </a:solidFill>
              <a:ln w="19050">
                <a:solidFill>
                  <a:srgbClr val="FF00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venera!$C$27:$C$56</c:f>
              <c:numCache>
                <c:formatCode>General</c:formatCode>
                <c:ptCount val="30"/>
                <c:pt idx="0">
                  <c:v>-0.51581316527702981</c:v>
                </c:pt>
                <c:pt idx="1">
                  <c:v>-0.49334030942497115</c:v>
                </c:pt>
                <c:pt idx="2">
                  <c:v>-0.47136140270619586</c:v>
                </c:pt>
                <c:pt idx="3">
                  <c:v>-0.44985519748523234</c:v>
                </c:pt>
                <c:pt idx="4">
                  <c:v>-0.42880178828739995</c:v>
                </c:pt>
                <c:pt idx="5">
                  <c:v>-0.40818250108466436</c:v>
                </c:pt>
                <c:pt idx="6">
                  <c:v>-0.38797979376714481</c:v>
                </c:pt>
                <c:pt idx="7">
                  <c:v>-0.36817716647096521</c:v>
                </c:pt>
                <c:pt idx="8">
                  <c:v>-0.34875908061386357</c:v>
                </c:pt>
                <c:pt idx="9">
                  <c:v>-0.32971088564316914</c:v>
                </c:pt>
                <c:pt idx="10">
                  <c:v>-0.31101875263101653</c:v>
                </c:pt>
                <c:pt idx="11">
                  <c:v>-0.29266961396281993</c:v>
                </c:pt>
                <c:pt idx="12">
                  <c:v>-0.27465110846014174</c:v>
                </c:pt>
                <c:pt idx="13">
                  <c:v>-0.25695153136074073</c:v>
                </c:pt>
                <c:pt idx="14">
                  <c:v>-0.23955978864887162</c:v>
                </c:pt>
                <c:pt idx="15">
                  <c:v>-0.22246535528957145</c:v>
                </c:pt>
                <c:pt idx="16">
                  <c:v>-0.2056582369731903</c:v>
                </c:pt>
                <c:pt idx="17">
                  <c:v>-0.18912893502197967</c:v>
                </c:pt>
                <c:pt idx="18">
                  <c:v>-0.17286841415019943</c:v>
                </c:pt>
                <c:pt idx="19">
                  <c:v>-0.15686807280375825</c:v>
                </c:pt>
                <c:pt idx="20">
                  <c:v>-0.14111971583561903</c:v>
                </c:pt>
                <c:pt idx="21">
                  <c:v>-0.12561552929965383</c:v>
                </c:pt>
                <c:pt idx="22">
                  <c:v>-0.11034805716886534</c:v>
                </c:pt>
                <c:pt idx="23">
                  <c:v>-9.5310179804324893E-2</c:v>
                </c:pt>
                <c:pt idx="24">
                  <c:v>-8.0495094019184199E-2</c:v>
                </c:pt>
                <c:pt idx="25">
                  <c:v>-6.5896294598031577E-2</c:v>
                </c:pt>
                <c:pt idx="26">
                  <c:v>-5.1507557145931922E-2</c:v>
                </c:pt>
                <c:pt idx="27">
                  <c:v>-3.7322922153975556E-2</c:v>
                </c:pt>
                <c:pt idx="28">
                  <c:v>-2.3336680179235614E-2</c:v>
                </c:pt>
                <c:pt idx="29">
                  <c:v>-9.5433580468997463E-3</c:v>
                </c:pt>
              </c:numCache>
            </c:numRef>
          </c:xVal>
          <c:yVal>
            <c:numRef>
              <c:f>venera!$D$27:$D$56</c:f>
              <c:numCache>
                <c:formatCode>General</c:formatCode>
                <c:ptCount val="30"/>
                <c:pt idx="0">
                  <c:v>-3.0948789916621786</c:v>
                </c:pt>
                <c:pt idx="1">
                  <c:v>-2.960041856549827</c:v>
                </c:pt>
                <c:pt idx="2">
                  <c:v>-2.8281684162371752</c:v>
                </c:pt>
                <c:pt idx="3">
                  <c:v>-2.6991311849113941</c:v>
                </c:pt>
                <c:pt idx="4">
                  <c:v>-2.5728107297243996</c:v>
                </c:pt>
                <c:pt idx="5">
                  <c:v>-2.4490950065079859</c:v>
                </c:pt>
                <c:pt idx="6">
                  <c:v>-2.327878762602869</c:v>
                </c:pt>
                <c:pt idx="7">
                  <c:v>-2.2090629988257913</c:v>
                </c:pt>
                <c:pt idx="8">
                  <c:v>-2.0925544836831813</c:v>
                </c:pt>
                <c:pt idx="9">
                  <c:v>-1.9782653138590147</c:v>
                </c:pt>
                <c:pt idx="10">
                  <c:v>-1.8661125157860992</c:v>
                </c:pt>
                <c:pt idx="11">
                  <c:v>-1.7560176837769195</c:v>
                </c:pt>
                <c:pt idx="12">
                  <c:v>-1.6479066507608504</c:v>
                </c:pt>
                <c:pt idx="13">
                  <c:v>-1.5417091881644445</c:v>
                </c:pt>
                <c:pt idx="14">
                  <c:v>-1.4373587318932297</c:v>
                </c:pt>
                <c:pt idx="15">
                  <c:v>-1.3347921317374287</c:v>
                </c:pt>
                <c:pt idx="16">
                  <c:v>-1.2339494218391418</c:v>
                </c:pt>
                <c:pt idx="17">
                  <c:v>-1.1347736101318779</c:v>
                </c:pt>
                <c:pt idx="18">
                  <c:v>-1.0372104849011965</c:v>
                </c:pt>
                <c:pt idx="19">
                  <c:v>-0.94120843682254951</c:v>
                </c:pt>
                <c:pt idx="20">
                  <c:v>-0.84671829501371421</c:v>
                </c:pt>
                <c:pt idx="21">
                  <c:v>-0.75369317579792305</c:v>
                </c:pt>
                <c:pt idx="22">
                  <c:v>-0.66208834301319208</c:v>
                </c:pt>
                <c:pt idx="23">
                  <c:v>-0.57186107882594939</c:v>
                </c:pt>
                <c:pt idx="24">
                  <c:v>-0.48297056411510519</c:v>
                </c:pt>
                <c:pt idx="25">
                  <c:v>-0.39537776758818943</c:v>
                </c:pt>
                <c:pt idx="26">
                  <c:v>-0.30904534287559154</c:v>
                </c:pt>
                <c:pt idx="27">
                  <c:v>-0.22393753292385332</c:v>
                </c:pt>
                <c:pt idx="28">
                  <c:v>-0.14002008107541369</c:v>
                </c:pt>
                <c:pt idx="29">
                  <c:v>-5.7260148281398478E-2</c:v>
                </c:pt>
              </c:numCache>
            </c:numRef>
          </c:yVal>
        </c:ser>
        <c:axId val="85419136"/>
        <c:axId val="85288832"/>
      </c:scatterChart>
      <c:valAx>
        <c:axId val="85419136"/>
        <c:scaling>
          <c:orientation val="minMax"/>
          <c:max val="0"/>
          <c:min val="-0.44"/>
        </c:scaling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 (T/Ts)</a:t>
                </a:r>
              </a:p>
            </c:rich>
          </c:tx>
          <c:layout>
            <c:manualLayout>
              <c:xMode val="edge"/>
              <c:yMode val="edge"/>
              <c:x val="0.476054300030678"/>
              <c:y val="0.94498939230040335"/>
            </c:manualLayout>
          </c:layout>
        </c:title>
        <c:numFmt formatCode="General" sourceLinked="1"/>
        <c:tickLblPos val="low"/>
        <c:crossAx val="85288832"/>
        <c:crosses val="autoZero"/>
        <c:crossBetween val="midCat"/>
        <c:majorUnit val="0.11"/>
      </c:valAx>
      <c:valAx>
        <c:axId val="85288832"/>
        <c:scaling>
          <c:orientation val="maxMin"/>
          <c:max val="0"/>
          <c:min val="-3.03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(P/Ps)</a:t>
                </a:r>
              </a:p>
            </c:rich>
          </c:tx>
          <c:layout>
            <c:manualLayout>
              <c:xMode val="edge"/>
              <c:yMode val="edge"/>
              <c:x val="1.9186450750259994E-2"/>
              <c:y val="0.45283191601049871"/>
            </c:manualLayout>
          </c:layout>
        </c:title>
        <c:numFmt formatCode="General" sourceLinked="1"/>
        <c:tickLblPos val="high"/>
        <c:crossAx val="85419136"/>
        <c:crosses val="autoZero"/>
        <c:crossBetween val="midCat"/>
        <c:majorUnit val="0.505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260227698810376"/>
          <c:y val="0.21871684569780214"/>
          <c:w val="0.37084039023423965"/>
          <c:h val="0.20802830956034649"/>
        </c:manualLayout>
      </c:layout>
    </c:legend>
    <c:plotVisOnly val="1"/>
  </c:chart>
  <c:spPr>
    <a:solidFill>
      <a:schemeClr val="accent3">
        <a:lumMod val="20000"/>
        <a:lumOff val="80000"/>
      </a:schemeClr>
    </a:solidFill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Sheet2!$B$2</c:f>
              <c:strCache>
                <c:ptCount val="1"/>
                <c:pt idx="0">
                  <c:v>T</c:v>
                </c:pt>
              </c:strCache>
            </c:strRef>
          </c:tx>
          <c:xVal>
            <c:numRef>
              <c:f>Sheet2!$B$3:$B$100</c:f>
              <c:numCache>
                <c:formatCode>General</c:formatCode>
                <c:ptCount val="98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410</c:v>
                </c:pt>
                <c:pt idx="32">
                  <c:v>420</c:v>
                </c:pt>
                <c:pt idx="33">
                  <c:v>430</c:v>
                </c:pt>
                <c:pt idx="34">
                  <c:v>440</c:v>
                </c:pt>
                <c:pt idx="35">
                  <c:v>450</c:v>
                </c:pt>
                <c:pt idx="36">
                  <c:v>460</c:v>
                </c:pt>
                <c:pt idx="37">
                  <c:v>470</c:v>
                </c:pt>
                <c:pt idx="38">
                  <c:v>480</c:v>
                </c:pt>
                <c:pt idx="39">
                  <c:v>490</c:v>
                </c:pt>
                <c:pt idx="40">
                  <c:v>500</c:v>
                </c:pt>
                <c:pt idx="41">
                  <c:v>510</c:v>
                </c:pt>
                <c:pt idx="42">
                  <c:v>520</c:v>
                </c:pt>
                <c:pt idx="43">
                  <c:v>530</c:v>
                </c:pt>
                <c:pt idx="44">
                  <c:v>540</c:v>
                </c:pt>
                <c:pt idx="45">
                  <c:v>550</c:v>
                </c:pt>
                <c:pt idx="46">
                  <c:v>560</c:v>
                </c:pt>
                <c:pt idx="47">
                  <c:v>570</c:v>
                </c:pt>
                <c:pt idx="48">
                  <c:v>580</c:v>
                </c:pt>
                <c:pt idx="49">
                  <c:v>590</c:v>
                </c:pt>
                <c:pt idx="50">
                  <c:v>600</c:v>
                </c:pt>
                <c:pt idx="51">
                  <c:v>610</c:v>
                </c:pt>
                <c:pt idx="52">
                  <c:v>620</c:v>
                </c:pt>
                <c:pt idx="53">
                  <c:v>630</c:v>
                </c:pt>
                <c:pt idx="54">
                  <c:v>640</c:v>
                </c:pt>
                <c:pt idx="55">
                  <c:v>650</c:v>
                </c:pt>
                <c:pt idx="56">
                  <c:v>660</c:v>
                </c:pt>
                <c:pt idx="57">
                  <c:v>670</c:v>
                </c:pt>
                <c:pt idx="58">
                  <c:v>680</c:v>
                </c:pt>
                <c:pt idx="59">
                  <c:v>690</c:v>
                </c:pt>
                <c:pt idx="60">
                  <c:v>700</c:v>
                </c:pt>
                <c:pt idx="61">
                  <c:v>710</c:v>
                </c:pt>
              </c:numCache>
            </c:numRef>
          </c:xVal>
          <c:yVal>
            <c:numRef>
              <c:f>Sheet2!$A$3:$A$100</c:f>
              <c:numCache>
                <c:formatCode>General</c:formatCode>
                <c:ptCount val="98"/>
                <c:pt idx="0">
                  <c:v>151.46266306745113</c:v>
                </c:pt>
                <c:pt idx="1">
                  <c:v>144.26080635688129</c:v>
                </c:pt>
                <c:pt idx="2">
                  <c:v>137.70224651941112</c:v>
                </c:pt>
                <c:pt idx="3">
                  <c:v>131.68293357434592</c:v>
                </c:pt>
                <c:pt idx="4">
                  <c:v>126.12199813268499</c:v>
                </c:pt>
                <c:pt idx="5">
                  <c:v>120.95534169236483</c:v>
                </c:pt>
                <c:pt idx="6">
                  <c:v>116.13129980707315</c:v>
                </c:pt>
                <c:pt idx="7">
                  <c:v>111.60762233799045</c:v>
                </c:pt>
                <c:pt idx="8">
                  <c:v>107.34931815886036</c:v>
                </c:pt>
                <c:pt idx="9">
                  <c:v>103.32708337107807</c:v>
                </c:pt>
                <c:pt idx="10">
                  <c:v>99.516133156850188</c:v>
                </c:pt>
                <c:pt idx="11">
                  <c:v>95.895318937763363</c:v>
                </c:pt>
                <c:pt idx="12">
                  <c:v>92.446451100457281</c:v>
                </c:pt>
                <c:pt idx="13">
                  <c:v>89.153772397817065</c:v>
                </c:pt>
                <c:pt idx="14">
                  <c:v>86.003543508268152</c:v>
                </c:pt>
                <c:pt idx="15">
                  <c:v>82.983713255171111</c:v>
                </c:pt>
                <c:pt idx="16">
                  <c:v>80.083653545848136</c:v>
                </c:pt>
                <c:pt idx="17">
                  <c:v>77.293944362879216</c:v>
                </c:pt>
                <c:pt idx="18">
                  <c:v>74.606197877638706</c:v>
                </c:pt>
                <c:pt idx="19">
                  <c:v>72.012913443118691</c:v>
                </c:pt>
                <c:pt idx="20">
                  <c:v>69.507357180787167</c:v>
                </c:pt>
                <c:pt idx="21">
                  <c:v>67.08346131988641</c:v>
                </c:pt>
                <c:pt idx="22">
                  <c:v>64.735739524339635</c:v>
                </c:pt>
                <c:pt idx="23">
                  <c:v>62.459215253873545</c:v>
                </c:pt>
                <c:pt idx="24">
                  <c:v>60.249360823516554</c:v>
                </c:pt>
                <c:pt idx="25">
                  <c:v>58.102045299869239</c:v>
                </c:pt>
                <c:pt idx="26">
                  <c:v>56.013489739820777</c:v>
                </c:pt>
                <c:pt idx="27">
                  <c:v>53.980228564155283</c:v>
                </c:pt>
                <c:pt idx="28">
                  <c:v>51.999076083996009</c:v>
                </c:pt>
                <c:pt idx="29">
                  <c:v>50.067097376691635</c:v>
                </c:pt>
                <c:pt idx="30">
                  <c:v>48.181582850193919</c:v>
                </c:pt>
                <c:pt idx="31">
                  <c:v>46.340025949248215</c:v>
                </c:pt>
                <c:pt idx="32">
                  <c:v>44.540103548992349</c:v>
                </c:pt>
                <c:pt idx="33">
                  <c:v>42.779658656414732</c:v>
                </c:pt>
                <c:pt idx="34">
                  <c:v>41.056685101228588</c:v>
                </c:pt>
                <c:pt idx="35">
                  <c:v>39.369313947836623</c:v>
                </c:pt>
                <c:pt idx="36">
                  <c:v>37.715801401341665</c:v>
                </c:pt>
                <c:pt idx="37">
                  <c:v>36.094518014765896</c:v>
                </c:pt>
                <c:pt idx="38">
                  <c:v>34.503939033054145</c:v>
                </c:pt>
                <c:pt idx="39">
                  <c:v>32.942635733189711</c:v>
                </c:pt>
                <c:pt idx="40">
                  <c:v>31.409267639631654</c:v>
                </c:pt>
                <c:pt idx="41">
                  <c:v>29.90257551105417</c:v>
                </c:pt>
                <c:pt idx="42">
                  <c:v>28.421375008486116</c:v>
                </c:pt>
                <c:pt idx="43">
                  <c:v>26.96455096696425</c:v>
                </c:pt>
                <c:pt idx="44">
                  <c:v>25.531052202979176</c:v>
                </c:pt>
                <c:pt idx="45">
                  <c:v>24.119886798730004</c:v>
                </c:pt>
                <c:pt idx="46">
                  <c:v>22.7301178115958</c:v>
                </c:pt>
                <c:pt idx="47">
                  <c:v>21.360859363682778</c:v>
                </c:pt>
                <c:pt idx="48">
                  <c:v>20.011273071750121</c:v>
                </c:pt>
                <c:pt idx="49">
                  <c:v>18.680564782604058</c:v>
                </c:pt>
                <c:pt idx="50">
                  <c:v>17.367981583142189</c:v>
                </c:pt>
                <c:pt idx="51">
                  <c:v>16.07280905780242</c:v>
                </c:pt>
                <c:pt idx="52">
                  <c:v>14.794368769264329</c:v>
                </c:pt>
                <c:pt idx="53">
                  <c:v>13.53201594097334</c:v>
                </c:pt>
                <c:pt idx="54">
                  <c:v>12.285137322393105</c:v>
                </c:pt>
                <c:pt idx="55">
                  <c:v>11.053149220004343</c:v>
                </c:pt>
                <c:pt idx="56">
                  <c:v>9.8354956788361498</c:v>
                </c:pt>
                <c:pt idx="57">
                  <c:v>8.63164680095859</c:v>
                </c:pt>
                <c:pt idx="58">
                  <c:v>7.4410971887539468</c:v>
                </c:pt>
                <c:pt idx="59">
                  <c:v>6.263364502022462</c:v>
                </c:pt>
                <c:pt idx="60">
                  <c:v>5.0979881190994663</c:v>
                </c:pt>
                <c:pt idx="61">
                  <c:v>3.9445278931304069</c:v>
                </c:pt>
              </c:numCache>
            </c:numRef>
          </c:yVal>
        </c:ser>
        <c:axId val="183166848"/>
        <c:axId val="182921088"/>
      </c:scatterChart>
      <c:valAx>
        <c:axId val="183166848"/>
        <c:scaling>
          <c:orientation val="minMax"/>
          <c:max val="700"/>
          <c:min val="0"/>
        </c:scaling>
        <c:axPos val="b"/>
        <c:numFmt formatCode="General" sourceLinked="1"/>
        <c:tickLblPos val="nextTo"/>
        <c:crossAx val="182921088"/>
        <c:crosses val="autoZero"/>
        <c:crossBetween val="midCat"/>
      </c:valAx>
      <c:valAx>
        <c:axId val="182921088"/>
        <c:scaling>
          <c:orientation val="minMax"/>
          <c:max val="120"/>
          <c:min val="0"/>
        </c:scaling>
        <c:axPos val="l"/>
        <c:majorGridlines/>
        <c:numFmt formatCode="General" sourceLinked="1"/>
        <c:tickLblPos val="nextTo"/>
        <c:crossAx val="18316684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adiabatic!$B$2</c:f>
              <c:strCache>
                <c:ptCount val="1"/>
                <c:pt idx="0">
                  <c:v>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adiabatic!$B$3:$B$100</c:f>
              <c:numCache>
                <c:formatCode>General</c:formatCode>
                <c:ptCount val="9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</c:numCache>
            </c:numRef>
          </c:xVal>
          <c:yVal>
            <c:numRef>
              <c:f>adiabatic!$A$3:$A$100</c:f>
              <c:numCache>
                <c:formatCode>General</c:formatCode>
                <c:ptCount val="98"/>
                <c:pt idx="0">
                  <c:v>252.28522808270554</c:v>
                </c:pt>
                <c:pt idx="1">
                  <c:v>211.35351159191168</c:v>
                </c:pt>
                <c:pt idx="2">
                  <c:v>187.5299803763512</c:v>
                </c:pt>
                <c:pt idx="3">
                  <c:v>170.70592794627169</c:v>
                </c:pt>
                <c:pt idx="4">
                  <c:v>157.71345656732137</c:v>
                </c:pt>
                <c:pt idx="5">
                  <c:v>147.14154848072235</c:v>
                </c:pt>
                <c:pt idx="6">
                  <c:v>138.23756367950682</c:v>
                </c:pt>
                <c:pt idx="7">
                  <c:v>130.55227684801343</c:v>
                </c:pt>
                <c:pt idx="8">
                  <c:v>123.79595750446583</c:v>
                </c:pt>
                <c:pt idx="9">
                  <c:v>117.77080513888473</c:v>
                </c:pt>
                <c:pt idx="10">
                  <c:v>112.33575921238435</c:v>
                </c:pt>
                <c:pt idx="11">
                  <c:v>107.38668596317621</c:v>
                </c:pt>
                <c:pt idx="12">
                  <c:v>102.84452319247907</c:v>
                </c:pt>
                <c:pt idx="13">
                  <c:v>98.647831042631651</c:v>
                </c:pt>
                <c:pt idx="14">
                  <c:v>94.747919020079735</c:v>
                </c:pt>
                <c:pt idx="15">
                  <c:v>91.105548925278526</c:v>
                </c:pt>
                <c:pt idx="16">
                  <c:v>87.688639097779742</c:v>
                </c:pt>
                <c:pt idx="17">
                  <c:v>84.470625863710666</c:v>
                </c:pt>
                <c:pt idx="18">
                  <c:v>81.429268597802547</c:v>
                </c:pt>
                <c:pt idx="19">
                  <c:v>78.545761651866997</c:v>
                </c:pt>
                <c:pt idx="20">
                  <c:v>75.804063187035126</c:v>
                </c:pt>
                <c:pt idx="21">
                  <c:v>73.19038028852151</c:v>
                </c:pt>
                <c:pt idx="22">
                  <c:v>70.692768631457966</c:v>
                </c:pt>
                <c:pt idx="23">
                  <c:v>68.300817414838775</c:v>
                </c:pt>
                <c:pt idx="24">
                  <c:v>66.005398658179047</c:v>
                </c:pt>
                <c:pt idx="25">
                  <c:v>63.798465701079749</c:v>
                </c:pt>
                <c:pt idx="26">
                  <c:v>61.67288975484189</c:v>
                </c:pt>
                <c:pt idx="27">
                  <c:v>59.622326196522863</c:v>
                </c:pt>
                <c:pt idx="28">
                  <c:v>57.641104338753621</c:v>
                </c:pt>
                <c:pt idx="29">
                  <c:v>55.724135896914959</c:v>
                </c:pt>
                <c:pt idx="30">
                  <c:v>53.866838472871677</c:v>
                </c:pt>
                <c:pt idx="31">
                  <c:v>52.065071193036601</c:v>
                </c:pt>
                <c:pt idx="32">
                  <c:v>50.315080255456223</c:v>
                </c:pt>
                <c:pt idx="33">
                  <c:v>48.613452610089325</c:v>
                </c:pt>
                <c:pt idx="34">
                  <c:v>46.957076357007736</c:v>
                </c:pt>
                <c:pt idx="35">
                  <c:v>45.343106726455744</c:v>
                </c:pt>
                <c:pt idx="36">
                  <c:v>43.768936722726949</c:v>
                </c:pt>
                <c:pt idx="37">
                  <c:v>42.232171685261619</c:v>
                </c:pt>
                <c:pt idx="38">
                  <c:v>40.730607156186124</c:v>
                </c:pt>
                <c:pt idx="39">
                  <c:v>39.262209551810656</c:v>
                </c:pt>
                <c:pt idx="40">
                  <c:v>37.825099222480276</c:v>
                </c:pt>
                <c:pt idx="41">
                  <c:v>36.417535555322274</c:v>
                </c:pt>
                <c:pt idx="42">
                  <c:v>35.03790383133969</c:v>
                </c:pt>
                <c:pt idx="43">
                  <c:v>33.684703594768735</c:v>
                </c:pt>
                <c:pt idx="44">
                  <c:v>32.356538330693866</c:v>
                </c:pt>
                <c:pt idx="45">
                  <c:v>31.052106278337078</c:v>
                </c:pt>
                <c:pt idx="46">
                  <c:v>29.770192233398575</c:v>
                </c:pt>
                <c:pt idx="47">
                  <c:v>28.509660214471523</c:v>
                </c:pt>
                <c:pt idx="48">
                  <c:v>27.26944688656954</c:v>
                </c:pt>
                <c:pt idx="49">
                  <c:v>26.048555649955688</c:v>
                </c:pt>
                <c:pt idx="50">
                  <c:v>24.846051315189925</c:v>
                </c:pt>
                <c:pt idx="51">
                  <c:v>23.661055296048062</c:v>
                </c:pt>
                <c:pt idx="52">
                  <c:v>22.492741261115043</c:v>
                </c:pt>
                <c:pt idx="53">
                  <c:v>21.340331192557414</c:v>
                </c:pt>
                <c:pt idx="54">
                  <c:v>20.203091807242345</c:v>
                </c:pt>
                <c:pt idx="55">
                  <c:v>19.08033130099102</c:v>
                </c:pt>
                <c:pt idx="56">
                  <c:v>17.971396381640034</c:v>
                </c:pt>
                <c:pt idx="57">
                  <c:v>16.875669560741471</c:v>
                </c:pt>
                <c:pt idx="58">
                  <c:v>15.792566677364675</c:v>
                </c:pt>
                <c:pt idx="59">
                  <c:v>14.721534630569977</c:v>
                </c:pt>
                <c:pt idx="60">
                  <c:v>13.662049299849741</c:v>
                </c:pt>
                <c:pt idx="61">
                  <c:v>12.61361363517176</c:v>
                </c:pt>
                <c:pt idx="62">
                  <c:v>11.575755900338208</c:v>
                </c:pt>
                <c:pt idx="63">
                  <c:v>10.548028055158511</c:v>
                </c:pt>
                <c:pt idx="64">
                  <c:v>9.5300042635001319</c:v>
                </c:pt>
                <c:pt idx="65">
                  <c:v>8.5212795156896846</c:v>
                </c:pt>
                <c:pt idx="66">
                  <c:v>7.5214683549215806</c:v>
                </c:pt>
                <c:pt idx="67">
                  <c:v>6.5302036984253391</c:v>
                </c:pt>
                <c:pt idx="68">
                  <c:v>5.547135745080368</c:v>
                </c:pt>
                <c:pt idx="69">
                  <c:v>4.5719309619985324</c:v>
                </c:pt>
                <c:pt idx="70">
                  <c:v>3.6042711433567547</c:v>
                </c:pt>
                <c:pt idx="71">
                  <c:v>2.6438525353960358</c:v>
                </c:pt>
                <c:pt idx="72">
                  <c:v>1.6903850221060566</c:v>
                </c:pt>
                <c:pt idx="73">
                  <c:v>0.74359136663701975</c:v>
                </c:pt>
                <c:pt idx="74">
                  <c:v>-0.19679349606303731</c:v>
                </c:pt>
                <c:pt idx="75">
                  <c:v>-1.1310231194602238</c:v>
                </c:pt>
                <c:pt idx="76">
                  <c:v>-2.0593401622013516</c:v>
                </c:pt>
                <c:pt idx="77">
                  <c:v>-2.9819769648097463</c:v>
                </c:pt>
                <c:pt idx="78">
                  <c:v>-3.8991560893725818</c:v>
                </c:pt>
                <c:pt idx="79">
                  <c:v>-4.8110908250246212</c:v>
                </c:pt>
                <c:pt idx="80">
                  <c:v>-5.7179856617833593</c:v>
                </c:pt>
                <c:pt idx="81">
                  <c:v>-6.6200367350688794</c:v>
                </c:pt>
                <c:pt idx="82">
                  <c:v>-7.5174322430441407</c:v>
                </c:pt>
                <c:pt idx="83">
                  <c:v>-8.4103528387458937</c:v>
                </c:pt>
                <c:pt idx="84">
                  <c:v>-9.2989719987815533</c:v>
                </c:pt>
                <c:pt idx="85">
                  <c:v>-10.183456370259137</c:v>
                </c:pt>
                <c:pt idx="86">
                  <c:v>-11.063966097460707</c:v>
                </c:pt>
                <c:pt idx="87">
                  <c:v>-11.940655129641527</c:v>
                </c:pt>
                <c:pt idx="88">
                  <c:v>-12.813671511255734</c:v>
                </c:pt>
                <c:pt idx="89">
                  <c:v>-13.683157655779496</c:v>
                </c:pt>
                <c:pt idx="90">
                  <c:v>-14.549250604227836</c:v>
                </c:pt>
                <c:pt idx="91">
                  <c:v>-15.41208226937033</c:v>
                </c:pt>
                <c:pt idx="92">
                  <c:v>-16.27177966657905</c:v>
                </c:pt>
                <c:pt idx="93">
                  <c:v>-17.128465132168913</c:v>
                </c:pt>
                <c:pt idx="94">
                  <c:v>-17.982256530030099</c:v>
                </c:pt>
                <c:pt idx="95">
                  <c:v>-18.833267447286289</c:v>
                </c:pt>
                <c:pt idx="96">
                  <c:v>-19.681607379673551</c:v>
                </c:pt>
                <c:pt idx="97">
                  <c:v>-20.527381907263816</c:v>
                </c:pt>
              </c:numCache>
            </c:numRef>
          </c:yVal>
        </c:ser>
        <c:axId val="183891072"/>
        <c:axId val="184218752"/>
      </c:scatterChart>
      <c:valAx>
        <c:axId val="183891072"/>
        <c:scaling>
          <c:orientation val="minMax"/>
          <c:max val="800"/>
          <c:min val="0"/>
        </c:scaling>
        <c:axPos val="b"/>
        <c:numFmt formatCode="General" sourceLinked="1"/>
        <c:tickLblPos val="nextTo"/>
        <c:crossAx val="184218752"/>
        <c:crosses val="autoZero"/>
        <c:crossBetween val="midCat"/>
      </c:valAx>
      <c:valAx>
        <c:axId val="184218752"/>
        <c:scaling>
          <c:orientation val="minMax"/>
          <c:max val="120"/>
          <c:min val="0"/>
        </c:scaling>
        <c:axPos val="l"/>
        <c:majorGridlines/>
        <c:numFmt formatCode="General" sourceLinked="1"/>
        <c:tickLblPos val="nextTo"/>
        <c:crossAx val="18389107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447676</xdr:colOff>
      <xdr:row>4</xdr:row>
      <xdr:rowOff>171451</xdr:rowOff>
    </xdr:from>
    <xdr:to>
      <xdr:col>14</xdr:col>
      <xdr:colOff>9526</xdr:colOff>
      <xdr:row>29</xdr:row>
      <xdr:rowOff>171451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3</xdr:row>
      <xdr:rowOff>171450</xdr:rowOff>
    </xdr:from>
    <xdr:to>
      <xdr:col>16</xdr:col>
      <xdr:colOff>257175</xdr:colOff>
      <xdr:row>11</xdr:row>
      <xdr:rowOff>133350</xdr:rowOff>
    </xdr:to>
    <xdr:pic>
      <xdr:nvPicPr>
        <xdr:cNvPr id="2049" name="Picture 1" descr="http://www4b.wolframalpha.com/Calculate/MSP/MSP12411d5d62d56660297b00000e48c4d63684d0dh?MSPStoreType=image/gif&amp;s=28&amp;w=349.&amp;h=156.&amp;cdf=Coordinates&amp;cdf=Tooltip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76950" y="552450"/>
          <a:ext cx="3324225" cy="14859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28575</xdr:colOff>
      <xdr:row>9</xdr:row>
      <xdr:rowOff>152400</xdr:rowOff>
    </xdr:from>
    <xdr:to>
      <xdr:col>12</xdr:col>
      <xdr:colOff>333375</xdr:colOff>
      <xdr:row>29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3</xdr:row>
      <xdr:rowOff>171450</xdr:rowOff>
    </xdr:from>
    <xdr:to>
      <xdr:col>16</xdr:col>
      <xdr:colOff>257175</xdr:colOff>
      <xdr:row>11</xdr:row>
      <xdr:rowOff>133350</xdr:rowOff>
    </xdr:to>
    <xdr:pic>
      <xdr:nvPicPr>
        <xdr:cNvPr id="2" name="Picture 1" descr="http://www4b.wolframalpha.com/Calculate/MSP/MSP12411d5d62d56660297b00000e48c4d63684d0dh?MSPStoreType=image/gif&amp;s=28&amp;w=349.&amp;h=156.&amp;cdf=Coordinates&amp;cdf=Tooltip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742950"/>
          <a:ext cx="3324225" cy="14859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28575</xdr:colOff>
      <xdr:row>9</xdr:row>
      <xdr:rowOff>152400</xdr:rowOff>
    </xdr:from>
    <xdr:to>
      <xdr:col>12</xdr:col>
      <xdr:colOff>333375</xdr:colOff>
      <xdr:row>29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selection activeCell="B2" sqref="B2"/>
    </sheetView>
  </sheetViews>
  <sheetFormatPr defaultRowHeight="15"/>
  <sheetData>
    <row r="1" spans="1:5">
      <c r="A1">
        <v>10</v>
      </c>
      <c r="D1">
        <v>6</v>
      </c>
    </row>
    <row r="2" spans="1:5">
      <c r="B2">
        <v>737</v>
      </c>
      <c r="C2" t="s">
        <v>0</v>
      </c>
      <c r="D2" t="s">
        <v>2</v>
      </c>
      <c r="E2" t="s">
        <v>1</v>
      </c>
    </row>
    <row r="3" spans="1:5">
      <c r="A3">
        <v>200</v>
      </c>
      <c r="B3">
        <f>+$A3/$B$2</f>
        <v>0.27137042062415195</v>
      </c>
      <c r="C3">
        <f>+LN(B3)</f>
        <v>-1.3042705256413001</v>
      </c>
      <c r="D3">
        <f>+$D$1*LN($B3)</f>
        <v>-7.8256231538478005</v>
      </c>
      <c r="E3">
        <f>+($B3)^$D$1</f>
        <v>3.9936964001797287E-4</v>
      </c>
    </row>
    <row r="4" spans="1:5">
      <c r="A4">
        <f>+$A3+$A$1</f>
        <v>210</v>
      </c>
      <c r="B4">
        <f t="shared" ref="B4:B63" si="0">+$A4/$B$2</f>
        <v>0.28493894165535955</v>
      </c>
      <c r="C4">
        <f t="shared" ref="C4:C63" si="1">+LN(B4)</f>
        <v>-1.2554803614718679</v>
      </c>
      <c r="D4">
        <f t="shared" ref="D4:D63" si="2">+$D$1*LN($B4)</f>
        <v>-7.5328821688312075</v>
      </c>
      <c r="E4">
        <f t="shared" ref="D4:E63" si="3">+($B4)^$D$1</f>
        <v>5.3519351358606105E-4</v>
      </c>
    </row>
    <row r="5" spans="1:5">
      <c r="A5">
        <f t="shared" ref="A5:A68" si="4">+$A4+$A$1</f>
        <v>220</v>
      </c>
      <c r="B5">
        <f t="shared" si="0"/>
        <v>0.29850746268656714</v>
      </c>
      <c r="C5">
        <f t="shared" si="1"/>
        <v>-1.2089603458369751</v>
      </c>
      <c r="D5">
        <f t="shared" si="2"/>
        <v>-7.2537620750218501</v>
      </c>
      <c r="E5">
        <f t="shared" si="3"/>
        <v>7.0750767883987994E-4</v>
      </c>
    </row>
    <row r="6" spans="1:5">
      <c r="A6">
        <f t="shared" si="4"/>
        <v>230</v>
      </c>
      <c r="B6">
        <f t="shared" si="0"/>
        <v>0.31207598371777479</v>
      </c>
      <c r="C6">
        <f t="shared" si="1"/>
        <v>-1.1645085832661413</v>
      </c>
      <c r="D6">
        <f t="shared" si="2"/>
        <v>-6.9870514995968476</v>
      </c>
      <c r="E6">
        <f t="shared" si="3"/>
        <v>9.2376624530735366E-4</v>
      </c>
    </row>
    <row r="7" spans="1:5">
      <c r="A7">
        <f t="shared" si="4"/>
        <v>240</v>
      </c>
      <c r="B7">
        <f t="shared" si="0"/>
        <v>0.32564450474898238</v>
      </c>
      <c r="C7">
        <f t="shared" si="1"/>
        <v>-1.1219489688473452</v>
      </c>
      <c r="D7">
        <f t="shared" si="2"/>
        <v>-6.7316938130840711</v>
      </c>
      <c r="E7">
        <f t="shared" si="3"/>
        <v>1.1925113551794276E-3</v>
      </c>
    </row>
    <row r="8" spans="1:5">
      <c r="A8">
        <f t="shared" si="4"/>
        <v>250</v>
      </c>
      <c r="B8">
        <f t="shared" si="0"/>
        <v>0.33921302578018997</v>
      </c>
      <c r="C8">
        <f t="shared" si="1"/>
        <v>-1.0811269743270902</v>
      </c>
      <c r="D8">
        <f t="shared" si="2"/>
        <v>-6.4867618459625405</v>
      </c>
      <c r="E8">
        <f t="shared" si="3"/>
        <v>1.5234742737502023E-3</v>
      </c>
    </row>
    <row r="9" spans="1:5">
      <c r="A9">
        <f t="shared" si="4"/>
        <v>260</v>
      </c>
      <c r="B9">
        <f t="shared" si="0"/>
        <v>0.35278154681139756</v>
      </c>
      <c r="C9">
        <f t="shared" si="1"/>
        <v>-1.0419062611738088</v>
      </c>
      <c r="D9">
        <f t="shared" si="2"/>
        <v>-6.2514375670428528</v>
      </c>
      <c r="E9">
        <f t="shared" si="3"/>
        <v>1.9276809727655126E-3</v>
      </c>
    </row>
    <row r="10" spans="1:5">
      <c r="A10">
        <f t="shared" si="4"/>
        <v>270</v>
      </c>
      <c r="B10">
        <f t="shared" si="0"/>
        <v>0.36635006784260515</v>
      </c>
      <c r="C10">
        <f t="shared" si="1"/>
        <v>-1.0041659331909618</v>
      </c>
      <c r="D10">
        <f t="shared" si="2"/>
        <v>-6.0249955991457709</v>
      </c>
      <c r="E10">
        <f t="shared" si="3"/>
        <v>2.4175622066799534E-3</v>
      </c>
    </row>
    <row r="11" spans="1:5">
      <c r="A11">
        <f t="shared" si="4"/>
        <v>280</v>
      </c>
      <c r="B11">
        <f t="shared" si="0"/>
        <v>0.37991858887381275</v>
      </c>
      <c r="C11">
        <f t="shared" si="1"/>
        <v>-0.96779828902008702</v>
      </c>
      <c r="D11">
        <f t="shared" si="2"/>
        <v>-5.8067897341205219</v>
      </c>
      <c r="E11">
        <f t="shared" si="3"/>
        <v>3.0070680818223682E-3</v>
      </c>
    </row>
    <row r="12" spans="1:5">
      <c r="A12">
        <f t="shared" si="4"/>
        <v>290</v>
      </c>
      <c r="B12">
        <f t="shared" si="0"/>
        <v>0.39348710990502034</v>
      </c>
      <c r="C12">
        <f t="shared" si="1"/>
        <v>-0.93270696920881691</v>
      </c>
      <c r="D12">
        <f t="shared" si="2"/>
        <v>-5.5962418152529017</v>
      </c>
      <c r="E12">
        <f t="shared" si="3"/>
        <v>3.7117871184697685E-3</v>
      </c>
    </row>
    <row r="13" spans="1:5">
      <c r="A13">
        <f t="shared" si="4"/>
        <v>300</v>
      </c>
      <c r="B13">
        <f t="shared" si="0"/>
        <v>0.40705563093622793</v>
      </c>
      <c r="C13">
        <f t="shared" si="1"/>
        <v>-0.89880541753313559</v>
      </c>
      <c r="D13">
        <f t="shared" si="2"/>
        <v>-5.3928325051988137</v>
      </c>
      <c r="E13">
        <f t="shared" si="3"/>
        <v>4.5490698058297217E-3</v>
      </c>
    </row>
    <row r="14" spans="1:5">
      <c r="A14">
        <f t="shared" si="4"/>
        <v>310</v>
      </c>
      <c r="B14">
        <f t="shared" si="0"/>
        <v>0.42062415196743552</v>
      </c>
      <c r="C14">
        <f t="shared" si="1"/>
        <v>-0.86601559471014478</v>
      </c>
      <c r="D14">
        <f t="shared" si="2"/>
        <v>-5.1960935682608689</v>
      </c>
      <c r="E14">
        <f t="shared" si="3"/>
        <v>5.5381566499311851E-3</v>
      </c>
    </row>
    <row r="15" spans="1:5">
      <c r="A15">
        <f t="shared" si="4"/>
        <v>320</v>
      </c>
      <c r="B15">
        <f t="shared" si="0"/>
        <v>0.43419267299864317</v>
      </c>
      <c r="C15">
        <f t="shared" si="1"/>
        <v>-0.83426689639556428</v>
      </c>
      <c r="D15">
        <f t="shared" si="2"/>
        <v>-5.0056013783733855</v>
      </c>
      <c r="E15">
        <f t="shared" si="3"/>
        <v>6.7003107144237781E-3</v>
      </c>
    </row>
    <row r="16" spans="1:5">
      <c r="A16">
        <f t="shared" si="4"/>
        <v>330</v>
      </c>
      <c r="B16">
        <f t="shared" si="0"/>
        <v>0.44776119402985076</v>
      </c>
      <c r="C16">
        <f t="shared" si="1"/>
        <v>-0.8034952377288106</v>
      </c>
      <c r="D16">
        <f t="shared" si="2"/>
        <v>-4.8209714263728634</v>
      </c>
      <c r="E16">
        <f t="shared" si="3"/>
        <v>8.0589546542855113E-3</v>
      </c>
    </row>
    <row r="17" spans="1:5">
      <c r="A17">
        <f t="shared" si="4"/>
        <v>340</v>
      </c>
      <c r="B17">
        <f t="shared" si="0"/>
        <v>0.46132971506105835</v>
      </c>
      <c r="C17">
        <f t="shared" si="1"/>
        <v>-0.77364227457912949</v>
      </c>
      <c r="D17">
        <f t="shared" si="2"/>
        <v>-4.6418536474747771</v>
      </c>
      <c r="E17">
        <f t="shared" si="3"/>
        <v>9.6398122424389866E-3</v>
      </c>
    </row>
    <row r="18" spans="1:5">
      <c r="A18">
        <f t="shared" si="4"/>
        <v>350</v>
      </c>
      <c r="B18">
        <f t="shared" si="0"/>
        <v>0.47489823609226595</v>
      </c>
      <c r="C18">
        <f t="shared" si="1"/>
        <v>-0.7446547377058772</v>
      </c>
      <c r="D18">
        <f t="shared" si="2"/>
        <v>-4.4679284262352628</v>
      </c>
      <c r="E18">
        <f t="shared" si="3"/>
        <v>1.1471054389276003E-2</v>
      </c>
    </row>
    <row r="19" spans="1:5">
      <c r="A19">
        <f t="shared" si="4"/>
        <v>360</v>
      </c>
      <c r="B19">
        <f t="shared" si="0"/>
        <v>0.48846675712347354</v>
      </c>
      <c r="C19">
        <f t="shared" si="1"/>
        <v>-0.71648386073918091</v>
      </c>
      <c r="D19">
        <f t="shared" si="2"/>
        <v>-4.2989031644350852</v>
      </c>
      <c r="E19">
        <f t="shared" si="3"/>
        <v>1.3583449655090663E-2</v>
      </c>
    </row>
    <row r="20" spans="1:5">
      <c r="A20">
        <f t="shared" si="4"/>
        <v>370</v>
      </c>
      <c r="B20">
        <f t="shared" si="0"/>
        <v>0.50203527815468119</v>
      </c>
      <c r="C20">
        <f t="shared" si="1"/>
        <v>-0.68908488655106637</v>
      </c>
      <c r="D20">
        <f t="shared" si="2"/>
        <v>-4.1345093193063978</v>
      </c>
      <c r="E20">
        <f t="shared" si="3"/>
        <v>1.6010519255420897E-2</v>
      </c>
    </row>
    <row r="21" spans="1:5">
      <c r="A21">
        <f t="shared" si="4"/>
        <v>380</v>
      </c>
      <c r="B21">
        <f t="shared" si="0"/>
        <v>0.51560379918588872</v>
      </c>
      <c r="C21">
        <f t="shared" si="1"/>
        <v>-0.66241663946890517</v>
      </c>
      <c r="D21">
        <f t="shared" si="2"/>
        <v>-3.9744998368134308</v>
      </c>
      <c r="E21">
        <f t="shared" si="3"/>
        <v>1.8788696559298393E-2</v>
      </c>
    </row>
    <row r="22" spans="1:5">
      <c r="A22">
        <f t="shared" si="4"/>
        <v>390</v>
      </c>
      <c r="B22">
        <f t="shared" si="0"/>
        <v>0.52917232021709637</v>
      </c>
      <c r="C22">
        <f t="shared" si="1"/>
        <v>-0.63644115306564442</v>
      </c>
      <c r="D22">
        <f t="shared" si="2"/>
        <v>-3.8186469183938665</v>
      </c>
      <c r="E22">
        <f t="shared" si="3"/>
        <v>2.195749108040717E-2</v>
      </c>
    </row>
    <row r="23" spans="1:5">
      <c r="A23">
        <f t="shared" si="4"/>
        <v>400</v>
      </c>
      <c r="B23">
        <f t="shared" si="0"/>
        <v>0.54274084124830391</v>
      </c>
      <c r="C23">
        <f t="shared" si="1"/>
        <v>-0.61112334508135469</v>
      </c>
      <c r="D23">
        <f t="shared" si="2"/>
        <v>-3.6667400704881281</v>
      </c>
      <c r="E23">
        <f t="shared" si="3"/>
        <v>2.5559656961150264E-2</v>
      </c>
    </row>
    <row r="24" spans="1:5">
      <c r="A24">
        <f t="shared" si="4"/>
        <v>410</v>
      </c>
      <c r="B24">
        <f t="shared" si="0"/>
        <v>0.55630936227951155</v>
      </c>
      <c r="C24">
        <f t="shared" si="1"/>
        <v>-0.5864307324909831</v>
      </c>
      <c r="D24">
        <f t="shared" si="2"/>
        <v>-3.5185843949458988</v>
      </c>
      <c r="E24">
        <f t="shared" si="3"/>
        <v>2.9641365949625263E-2</v>
      </c>
    </row>
    <row r="25" spans="1:5">
      <c r="A25">
        <f t="shared" si="4"/>
        <v>420</v>
      </c>
      <c r="B25">
        <f t="shared" si="0"/>
        <v>0.56987788331071909</v>
      </c>
      <c r="C25">
        <f t="shared" si="1"/>
        <v>-0.56233318091192264</v>
      </c>
      <c r="D25">
        <f t="shared" si="2"/>
        <v>-3.373999085471536</v>
      </c>
      <c r="E25">
        <f t="shared" si="3"/>
        <v>3.4252384869507907E-2</v>
      </c>
    </row>
    <row r="26" spans="1:5">
      <c r="A26">
        <f t="shared" si="4"/>
        <v>430</v>
      </c>
      <c r="B26">
        <f t="shared" si="0"/>
        <v>0.58344640434192674</v>
      </c>
      <c r="C26">
        <f t="shared" si="1"/>
        <v>-0.53880268350172844</v>
      </c>
      <c r="D26">
        <f t="shared" si="2"/>
        <v>-3.2328161010103704</v>
      </c>
      <c r="E26">
        <f t="shared" si="3"/>
        <v>3.9446257582844479E-2</v>
      </c>
    </row>
    <row r="27" spans="1:5">
      <c r="A27">
        <f t="shared" si="4"/>
        <v>440</v>
      </c>
      <c r="B27">
        <f t="shared" si="0"/>
        <v>0.59701492537313428</v>
      </c>
      <c r="C27">
        <f t="shared" si="1"/>
        <v>-0.51581316527702981</v>
      </c>
      <c r="D27">
        <f t="shared" si="2"/>
        <v>-3.0948789916621786</v>
      </c>
      <c r="E27">
        <f t="shared" si="3"/>
        <v>4.5280491445752316E-2</v>
      </c>
    </row>
    <row r="28" spans="1:5">
      <c r="A28">
        <f t="shared" si="4"/>
        <v>450</v>
      </c>
      <c r="B28">
        <f t="shared" si="0"/>
        <v>0.61058344640434192</v>
      </c>
      <c r="C28">
        <f t="shared" si="1"/>
        <v>-0.49334030942497115</v>
      </c>
      <c r="D28">
        <f t="shared" si="2"/>
        <v>-2.960041856549827</v>
      </c>
      <c r="E28">
        <f t="shared" si="3"/>
        <v>5.1816748257029185E-2</v>
      </c>
    </row>
    <row r="29" spans="1:5">
      <c r="A29">
        <f t="shared" si="4"/>
        <v>460</v>
      </c>
      <c r="B29">
        <f t="shared" si="0"/>
        <v>0.62415196743554957</v>
      </c>
      <c r="C29">
        <f t="shared" si="1"/>
        <v>-0.47136140270619586</v>
      </c>
      <c r="D29">
        <f t="shared" si="2"/>
        <v>-2.8281684162371752</v>
      </c>
      <c r="E29">
        <f t="shared" si="3"/>
        <v>5.9121039699670634E-2</v>
      </c>
    </row>
    <row r="30" spans="1:5">
      <c r="A30">
        <f t="shared" si="4"/>
        <v>470</v>
      </c>
      <c r="B30">
        <f t="shared" si="0"/>
        <v>0.63772048846675711</v>
      </c>
      <c r="C30">
        <f t="shared" si="1"/>
        <v>-0.44985519748523234</v>
      </c>
      <c r="D30">
        <f t="shared" si="2"/>
        <v>-2.6991311849113941</v>
      </c>
      <c r="E30">
        <f t="shared" si="3"/>
        <v>6.7263927275296037E-2</v>
      </c>
    </row>
    <row r="31" spans="1:5">
      <c r="A31">
        <f t="shared" si="4"/>
        <v>480</v>
      </c>
      <c r="B31">
        <f t="shared" si="0"/>
        <v>0.65128900949796475</v>
      </c>
      <c r="C31">
        <f t="shared" si="1"/>
        <v>-0.42880178828739995</v>
      </c>
      <c r="D31">
        <f t="shared" si="2"/>
        <v>-2.5728107297243996</v>
      </c>
      <c r="E31">
        <f t="shared" si="3"/>
        <v>7.6320726731483365E-2</v>
      </c>
    </row>
    <row r="32" spans="1:5">
      <c r="A32">
        <f t="shared" si="4"/>
        <v>490</v>
      </c>
      <c r="B32">
        <f t="shared" si="0"/>
        <v>0.66485753052917229</v>
      </c>
      <c r="C32">
        <f t="shared" si="1"/>
        <v>-0.40818250108466436</v>
      </c>
      <c r="D32">
        <f t="shared" si="2"/>
        <v>-2.4490950065079859</v>
      </c>
      <c r="E32">
        <f t="shared" si="3"/>
        <v>8.637171698201164E-2</v>
      </c>
    </row>
    <row r="33" spans="1:5">
      <c r="A33">
        <f t="shared" si="4"/>
        <v>500</v>
      </c>
      <c r="B33">
        <f t="shared" si="0"/>
        <v>0.67842605156037994</v>
      </c>
      <c r="C33">
        <f t="shared" si="1"/>
        <v>-0.38797979376714481</v>
      </c>
      <c r="D33">
        <f t="shared" si="2"/>
        <v>-2.327878762602869</v>
      </c>
      <c r="E33">
        <f t="shared" si="3"/>
        <v>9.7502353520012949E-2</v>
      </c>
    </row>
    <row r="34" spans="1:5">
      <c r="A34">
        <f t="shared" si="4"/>
        <v>510</v>
      </c>
      <c r="B34">
        <f t="shared" si="0"/>
        <v>0.69199457259158748</v>
      </c>
      <c r="C34">
        <f t="shared" si="1"/>
        <v>-0.36817716647096521</v>
      </c>
      <c r="D34">
        <f t="shared" si="2"/>
        <v>-2.2090629988257913</v>
      </c>
      <c r="E34">
        <f t="shared" si="3"/>
        <v>0.1098034863240315</v>
      </c>
    </row>
    <row r="35" spans="1:5">
      <c r="A35">
        <f t="shared" si="4"/>
        <v>520</v>
      </c>
      <c r="B35">
        <f t="shared" si="0"/>
        <v>0.70556309362279512</v>
      </c>
      <c r="C35">
        <f t="shared" si="1"/>
        <v>-0.34875908061386357</v>
      </c>
      <c r="D35">
        <f t="shared" si="2"/>
        <v>-2.0925544836831813</v>
      </c>
      <c r="E35">
        <f t="shared" si="3"/>
        <v>0.12337158225699281</v>
      </c>
    </row>
    <row r="36" spans="1:5">
      <c r="A36">
        <f t="shared" si="4"/>
        <v>530</v>
      </c>
      <c r="B36">
        <f t="shared" si="0"/>
        <v>0.71913161465400266</v>
      </c>
      <c r="C36">
        <f t="shared" si="1"/>
        <v>-0.32971088564316914</v>
      </c>
      <c r="D36">
        <f t="shared" si="2"/>
        <v>-1.9782653138590147</v>
      </c>
      <c r="E36">
        <f t="shared" si="3"/>
        <v>0.13830895195807938</v>
      </c>
    </row>
    <row r="37" spans="1:5">
      <c r="A37">
        <f t="shared" si="4"/>
        <v>540</v>
      </c>
      <c r="B37">
        <f t="shared" si="0"/>
        <v>0.73270013568521031</v>
      </c>
      <c r="C37">
        <f t="shared" si="1"/>
        <v>-0.31101875263101653</v>
      </c>
      <c r="D37">
        <f t="shared" si="2"/>
        <v>-1.8661125157860992</v>
      </c>
      <c r="E37">
        <f t="shared" si="3"/>
        <v>0.15472398122751702</v>
      </c>
    </row>
    <row r="38" spans="1:5">
      <c r="A38">
        <f t="shared" si="4"/>
        <v>550</v>
      </c>
      <c r="B38">
        <f t="shared" si="0"/>
        <v>0.74626865671641796</v>
      </c>
      <c r="C38">
        <f t="shared" si="1"/>
        <v>-0.29266961396281993</v>
      </c>
      <c r="D38">
        <f t="shared" si="2"/>
        <v>-1.7560176837769195</v>
      </c>
      <c r="E38">
        <f t="shared" si="3"/>
        <v>0.17273136690426769</v>
      </c>
    </row>
    <row r="39" spans="1:5">
      <c r="A39">
        <f t="shared" si="4"/>
        <v>560</v>
      </c>
      <c r="B39">
        <f t="shared" si="0"/>
        <v>0.75983717774762549</v>
      </c>
      <c r="C39">
        <f t="shared" si="1"/>
        <v>-0.27465110846014174</v>
      </c>
      <c r="D39">
        <f t="shared" si="2"/>
        <v>-1.6479066507608504</v>
      </c>
      <c r="E39">
        <f t="shared" si="3"/>
        <v>0.19245235723663157</v>
      </c>
    </row>
    <row r="40" spans="1:5">
      <c r="A40">
        <f t="shared" si="4"/>
        <v>570</v>
      </c>
      <c r="B40">
        <f t="shared" si="0"/>
        <v>0.77340569877883314</v>
      </c>
      <c r="C40">
        <f t="shared" si="1"/>
        <v>-0.25695153136074073</v>
      </c>
      <c r="D40">
        <f t="shared" si="2"/>
        <v>-1.5417091881644445</v>
      </c>
      <c r="E40">
        <f t="shared" si="3"/>
        <v>0.21401499674575836</v>
      </c>
    </row>
    <row r="41" spans="1:5">
      <c r="A41">
        <f t="shared" si="4"/>
        <v>580</v>
      </c>
      <c r="B41">
        <f t="shared" si="0"/>
        <v>0.78697421981004068</v>
      </c>
      <c r="C41">
        <f t="shared" si="1"/>
        <v>-0.23955978864887162</v>
      </c>
      <c r="D41">
        <f t="shared" si="2"/>
        <v>-1.4373587318932297</v>
      </c>
      <c r="E41">
        <f t="shared" si="3"/>
        <v>0.23755437558206519</v>
      </c>
    </row>
    <row r="42" spans="1:5">
      <c r="A42">
        <f t="shared" si="4"/>
        <v>590</v>
      </c>
      <c r="B42">
        <f t="shared" si="0"/>
        <v>0.80054274084124832</v>
      </c>
      <c r="C42">
        <f t="shared" si="1"/>
        <v>-0.22246535528957145</v>
      </c>
      <c r="D42">
        <f t="shared" si="2"/>
        <v>-1.3347921317374287</v>
      </c>
      <c r="E42">
        <f t="shared" si="3"/>
        <v>0.26321288337456517</v>
      </c>
    </row>
    <row r="43" spans="1:5">
      <c r="A43">
        <f t="shared" si="4"/>
        <v>600</v>
      </c>
      <c r="B43">
        <f t="shared" si="0"/>
        <v>0.81411126187245586</v>
      </c>
      <c r="C43">
        <f t="shared" si="1"/>
        <v>-0.2056582369731903</v>
      </c>
      <c r="D43">
        <f t="shared" si="2"/>
        <v>-1.2339494218391418</v>
      </c>
      <c r="E43">
        <f t="shared" si="3"/>
        <v>0.29114046757310219</v>
      </c>
    </row>
    <row r="44" spans="1:5">
      <c r="A44">
        <f t="shared" si="4"/>
        <v>610</v>
      </c>
      <c r="B44">
        <f t="shared" si="0"/>
        <v>0.82767978290366351</v>
      </c>
      <c r="C44">
        <f t="shared" si="1"/>
        <v>-0.18912893502197967</v>
      </c>
      <c r="D44">
        <f t="shared" si="2"/>
        <v>-1.1347736101318779</v>
      </c>
      <c r="E44">
        <f t="shared" si="3"/>
        <v>0.32149489628349648</v>
      </c>
    </row>
    <row r="45" spans="1:5">
      <c r="A45">
        <f t="shared" si="4"/>
        <v>620</v>
      </c>
      <c r="B45">
        <f t="shared" si="0"/>
        <v>0.84124830393487104</v>
      </c>
      <c r="C45">
        <f t="shared" si="1"/>
        <v>-0.17286841415019943</v>
      </c>
      <c r="D45">
        <f t="shared" si="2"/>
        <v>-1.0372104849011965</v>
      </c>
      <c r="E45">
        <f t="shared" si="3"/>
        <v>0.35444202559559584</v>
      </c>
    </row>
    <row r="46" spans="1:5">
      <c r="A46">
        <f t="shared" si="4"/>
        <v>630</v>
      </c>
      <c r="B46">
        <f t="shared" si="0"/>
        <v>0.85481682496607869</v>
      </c>
      <c r="C46">
        <f t="shared" si="1"/>
        <v>-0.15686807280375825</v>
      </c>
      <c r="D46">
        <f t="shared" si="2"/>
        <v>-0.94120843682254951</v>
      </c>
      <c r="E46">
        <f t="shared" si="3"/>
        <v>0.39015607140423858</v>
      </c>
    </row>
    <row r="47" spans="1:5">
      <c r="A47">
        <f t="shared" si="4"/>
        <v>640</v>
      </c>
      <c r="B47">
        <f t="shared" si="0"/>
        <v>0.86838534599728634</v>
      </c>
      <c r="C47">
        <f t="shared" si="1"/>
        <v>-0.14111971583561903</v>
      </c>
      <c r="D47">
        <f t="shared" si="2"/>
        <v>-0.84671829501371421</v>
      </c>
      <c r="E47">
        <f t="shared" si="3"/>
        <v>0.4288198857231218</v>
      </c>
    </row>
    <row r="48" spans="1:5">
      <c r="A48">
        <f t="shared" si="4"/>
        <v>650</v>
      </c>
      <c r="B48">
        <f t="shared" si="0"/>
        <v>0.88195386702849388</v>
      </c>
      <c r="C48">
        <f t="shared" si="1"/>
        <v>-0.12561552929965383</v>
      </c>
      <c r="D48">
        <f t="shared" si="2"/>
        <v>-0.75369317579792305</v>
      </c>
      <c r="E48">
        <f t="shared" si="3"/>
        <v>0.47062523749157997</v>
      </c>
    </row>
    <row r="49" spans="1:5">
      <c r="A49">
        <f t="shared" si="4"/>
        <v>660</v>
      </c>
      <c r="B49">
        <f t="shared" si="0"/>
        <v>0.89552238805970152</v>
      </c>
      <c r="C49">
        <f t="shared" si="1"/>
        <v>-0.11034805716886534</v>
      </c>
      <c r="D49">
        <f t="shared" si="2"/>
        <v>-0.66208834301319208</v>
      </c>
      <c r="E49">
        <f t="shared" si="3"/>
        <v>0.51577309787427272</v>
      </c>
    </row>
    <row r="50" spans="1:5">
      <c r="A50">
        <f t="shared" si="4"/>
        <v>670</v>
      </c>
      <c r="B50">
        <f t="shared" si="0"/>
        <v>0.90909090909090906</v>
      </c>
      <c r="C50">
        <f t="shared" si="1"/>
        <v>-9.5310179804324893E-2</v>
      </c>
      <c r="D50">
        <f t="shared" si="2"/>
        <v>-0.57186107882594939</v>
      </c>
      <c r="E50">
        <f t="shared" si="3"/>
        <v>0.56447393005377722</v>
      </c>
    </row>
    <row r="51" spans="1:5">
      <c r="A51">
        <f t="shared" si="4"/>
        <v>680</v>
      </c>
      <c r="B51">
        <f t="shared" si="0"/>
        <v>0.92265943012211671</v>
      </c>
      <c r="C51">
        <f t="shared" si="1"/>
        <v>-8.0495094019184199E-2</v>
      </c>
      <c r="D51">
        <f t="shared" si="2"/>
        <v>-0.48297056411510519</v>
      </c>
      <c r="E51">
        <f t="shared" si="3"/>
        <v>0.61694798351609514</v>
      </c>
    </row>
    <row r="52" spans="1:5">
      <c r="A52">
        <f t="shared" si="4"/>
        <v>690</v>
      </c>
      <c r="B52">
        <f t="shared" si="0"/>
        <v>0.93622795115332424</v>
      </c>
      <c r="C52">
        <f t="shared" si="1"/>
        <v>-6.5896294598031577E-2</v>
      </c>
      <c r="D52">
        <f t="shared" si="2"/>
        <v>-0.39537776758818943</v>
      </c>
      <c r="E52">
        <f t="shared" si="3"/>
        <v>0.67342559282906023</v>
      </c>
    </row>
    <row r="53" spans="1:5">
      <c r="A53">
        <f t="shared" si="4"/>
        <v>700</v>
      </c>
      <c r="B53">
        <f t="shared" si="0"/>
        <v>0.94979647218453189</v>
      </c>
      <c r="C53">
        <f t="shared" si="1"/>
        <v>-5.1507557145931922E-2</v>
      </c>
      <c r="D53">
        <f t="shared" si="2"/>
        <v>-0.30904534287559154</v>
      </c>
      <c r="E53">
        <f t="shared" si="3"/>
        <v>0.73414748091366422</v>
      </c>
    </row>
    <row r="54" spans="1:5">
      <c r="A54">
        <f t="shared" si="4"/>
        <v>710</v>
      </c>
      <c r="B54">
        <f t="shared" si="0"/>
        <v>0.96336499321573943</v>
      </c>
      <c r="C54">
        <f t="shared" si="1"/>
        <v>-3.7322922153975556E-2</v>
      </c>
      <c r="D54">
        <f t="shared" si="2"/>
        <v>-0.22393753292385332</v>
      </c>
      <c r="E54">
        <f t="shared" si="3"/>
        <v>0.79936506680827957</v>
      </c>
    </row>
    <row r="55" spans="1:5">
      <c r="A55">
        <f t="shared" si="4"/>
        <v>720</v>
      </c>
      <c r="B55">
        <f t="shared" si="0"/>
        <v>0.97693351424694708</v>
      </c>
      <c r="C55">
        <f t="shared" si="1"/>
        <v>-2.3336680179235614E-2</v>
      </c>
      <c r="D55">
        <f t="shared" si="2"/>
        <v>-0.14002008107541369</v>
      </c>
      <c r="E55">
        <f t="shared" si="3"/>
        <v>0.86934077792580244</v>
      </c>
    </row>
    <row r="56" spans="1:5">
      <c r="A56">
        <f t="shared" si="4"/>
        <v>730</v>
      </c>
      <c r="B56">
        <f t="shared" si="0"/>
        <v>0.99050203527815472</v>
      </c>
      <c r="C56">
        <f t="shared" si="1"/>
        <v>-9.5433580468997463E-3</v>
      </c>
      <c r="D56">
        <f t="shared" si="2"/>
        <v>-5.7260148281398478E-2</v>
      </c>
      <c r="E56">
        <f t="shared" si="3"/>
        <v>0.94434836680369394</v>
      </c>
    </row>
    <row r="57" spans="1:5">
      <c r="A57">
        <f t="shared" si="4"/>
        <v>740</v>
      </c>
      <c r="B57">
        <f t="shared" si="0"/>
        <v>1.0040705563093624</v>
      </c>
      <c r="C57">
        <f t="shared" si="1"/>
        <v>4.0622940088789264E-3</v>
      </c>
      <c r="D57">
        <f t="shared" si="2"/>
        <v>2.4373764053273558E-2</v>
      </c>
      <c r="E57">
        <f t="shared" si="3"/>
        <v>1.0246732323469374</v>
      </c>
    </row>
    <row r="58" spans="1:5">
      <c r="A58">
        <f t="shared" si="4"/>
        <v>750</v>
      </c>
      <c r="B58">
        <f t="shared" si="0"/>
        <v>1.0176390773405699</v>
      </c>
      <c r="C58">
        <f t="shared" si="1"/>
        <v>1.7485314341019551E-2</v>
      </c>
      <c r="D58">
        <f t="shared" si="2"/>
        <v>0.10491188604611731</v>
      </c>
      <c r="E58">
        <f t="shared" si="3"/>
        <v>1.1106127455638977</v>
      </c>
    </row>
    <row r="59" spans="1:5">
      <c r="A59">
        <f t="shared" si="4"/>
        <v>760</v>
      </c>
      <c r="B59">
        <f t="shared" si="0"/>
        <v>1.0312075983717774</v>
      </c>
      <c r="C59">
        <f t="shared" si="1"/>
        <v>3.073054109104013E-2</v>
      </c>
      <c r="D59">
        <f t="shared" si="2"/>
        <v>0.18438324654624078</v>
      </c>
      <c r="E59">
        <f t="shared" si="3"/>
        <v>1.2024765797950971</v>
      </c>
    </row>
    <row r="60" spans="1:5">
      <c r="A60">
        <f t="shared" si="4"/>
        <v>770</v>
      </c>
      <c r="B60">
        <f t="shared" si="0"/>
        <v>1.044776119402985</v>
      </c>
      <c r="C60">
        <f t="shared" si="1"/>
        <v>4.380262265839284E-2</v>
      </c>
      <c r="D60">
        <f t="shared" si="2"/>
        <v>0.26281573595035701</v>
      </c>
      <c r="E60">
        <f t="shared" si="3"/>
        <v>1.3005870454348911</v>
      </c>
    </row>
    <row r="61" spans="1:5">
      <c r="A61">
        <f t="shared" si="4"/>
        <v>780</v>
      </c>
      <c r="B61">
        <f t="shared" si="0"/>
        <v>1.0583446404341927</v>
      </c>
      <c r="C61">
        <f t="shared" si="1"/>
        <v>5.6706027494300884E-2</v>
      </c>
      <c r="D61">
        <f t="shared" si="2"/>
        <v>0.34023616496580533</v>
      </c>
      <c r="E61">
        <f t="shared" si="3"/>
        <v>1.4052794291460589</v>
      </c>
    </row>
    <row r="62" spans="1:5">
      <c r="A62">
        <f t="shared" si="4"/>
        <v>790</v>
      </c>
      <c r="B62">
        <f t="shared" si="0"/>
        <v>1.0719131614654003</v>
      </c>
      <c r="C62">
        <f t="shared" si="1"/>
        <v>6.9445053271730575E-2</v>
      </c>
      <c r="D62">
        <f t="shared" si="2"/>
        <v>0.41667031963038348</v>
      </c>
      <c r="E62">
        <f t="shared" si="3"/>
        <v>1.5169023375672939</v>
      </c>
    </row>
    <row r="63" spans="1:5">
      <c r="A63">
        <f t="shared" si="4"/>
        <v>800</v>
      </c>
      <c r="B63">
        <f t="shared" si="0"/>
        <v>1.0854816824966078</v>
      </c>
      <c r="C63">
        <f t="shared" si="1"/>
        <v>8.2023835478590643E-2</v>
      </c>
      <c r="D63">
        <f t="shared" si="2"/>
        <v>0.49214301287154383</v>
      </c>
      <c r="E63">
        <f t="shared" si="3"/>
        <v>1.6358180455136169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4"/>
  <sheetViews>
    <sheetView workbookViewId="0">
      <selection activeCell="D4" sqref="D4"/>
    </sheetView>
  </sheetViews>
  <sheetFormatPr defaultRowHeight="15"/>
  <sheetData>
    <row r="1" spans="1:10">
      <c r="B1">
        <v>10</v>
      </c>
    </row>
    <row r="2" spans="1:10">
      <c r="A2" t="s">
        <v>3</v>
      </c>
      <c r="B2" t="s">
        <v>4</v>
      </c>
      <c r="D2" t="s">
        <v>5</v>
      </c>
      <c r="H2" t="s">
        <v>6</v>
      </c>
      <c r="J2" t="s">
        <v>11</v>
      </c>
    </row>
    <row r="3" spans="1:10">
      <c r="A3">
        <f>1/a*((b+cc)*LN(b+$B3) - cc*LN($B3) - $B3 + k)</f>
        <v>151.46266306745113</v>
      </c>
      <c r="B3">
        <v>100</v>
      </c>
      <c r="D3">
        <v>1</v>
      </c>
      <c r="E3">
        <v>1</v>
      </c>
      <c r="H3" t="s">
        <v>7</v>
      </c>
    </row>
    <row r="4" spans="1:10">
      <c r="A4">
        <f>1/a*((b+cc)*LN(b+$B4) - cc*LN($B4) - $B4 + k)</f>
        <v>144.26080635688129</v>
      </c>
      <c r="B4">
        <f>+$B3+$B$1</f>
        <v>110</v>
      </c>
      <c r="D4">
        <v>20000</v>
      </c>
      <c r="E4">
        <v>20000</v>
      </c>
      <c r="H4" t="s">
        <v>8</v>
      </c>
    </row>
    <row r="5" spans="1:10">
      <c r="A5">
        <f>1/a*((b+cc)*LN(b+$B5) - cc*LN($B5) - $B5 + k)</f>
        <v>137.70224651941112</v>
      </c>
      <c r="B5">
        <f t="shared" ref="B5:B68" si="0">+$B4+$B$1</f>
        <v>120</v>
      </c>
      <c r="D5">
        <v>8.3140000000000001</v>
      </c>
      <c r="H5" t="s">
        <v>9</v>
      </c>
    </row>
    <row r="6" spans="1:10">
      <c r="A6">
        <f>1/a*((b+cc)*LN(b+$B6) - cc*LN($B6) - $B6 + k)</f>
        <v>131.68293357434592</v>
      </c>
      <c r="B6">
        <f t="shared" si="0"/>
        <v>130</v>
      </c>
      <c r="D6">
        <v>43.56</v>
      </c>
      <c r="H6" t="s">
        <v>10</v>
      </c>
    </row>
    <row r="7" spans="1:10">
      <c r="A7">
        <f>1/a*((b+cc)*LN(b+$B7) - cc*LN($B7) - $B7 + k)</f>
        <v>126.12199813268499</v>
      </c>
      <c r="B7">
        <f t="shared" si="0"/>
        <v>140</v>
      </c>
      <c r="D7">
        <f>8.8*2/3</f>
        <v>5.8666666666666671</v>
      </c>
    </row>
    <row r="8" spans="1:10">
      <c r="A8">
        <f>1/a*((b+cc)*LN(b+$B8) - cc*LN($B8) - $B8 + k)</f>
        <v>120.95534169236483</v>
      </c>
      <c r="B8">
        <f t="shared" si="0"/>
        <v>150</v>
      </c>
      <c r="D8">
        <v>-19500</v>
      </c>
      <c r="E8">
        <v>-19700</v>
      </c>
    </row>
    <row r="9" spans="1:10">
      <c r="A9">
        <f>1/a*((b+cc)*LN(b+$B9) - cc*LN($B9) - $B9 + k)</f>
        <v>116.13129980707315</v>
      </c>
      <c r="B9">
        <f t="shared" si="0"/>
        <v>160</v>
      </c>
      <c r="D9">
        <v>4</v>
      </c>
    </row>
    <row r="10" spans="1:10">
      <c r="A10">
        <f>1/a*((b+cc)*LN(b+$B10) - cc*LN($B10) - $B10 + k)</f>
        <v>111.60762233799045</v>
      </c>
      <c r="B10">
        <f t="shared" si="0"/>
        <v>170</v>
      </c>
      <c r="D10">
        <f>1/f*g*MW/R_gas</f>
        <v>7.6843877796487856</v>
      </c>
    </row>
    <row r="11" spans="1:10">
      <c r="A11">
        <f>1/a*((b+cc)*LN(b+$B11) - cc*LN($B11) - $B11 + k)</f>
        <v>107.34931815886036</v>
      </c>
      <c r="B11">
        <f t="shared" si="0"/>
        <v>180</v>
      </c>
      <c r="D11">
        <f>L*u/R_gas</f>
        <v>2405.5809477988932</v>
      </c>
    </row>
    <row r="12" spans="1:10">
      <c r="A12">
        <f>1/a*((b+cc)*LN(b+$B12) - cc*LN($B12) - $B12 + k)</f>
        <v>103.32708337107807</v>
      </c>
      <c r="B12">
        <f t="shared" si="0"/>
        <v>190</v>
      </c>
      <c r="D12">
        <f>+$D$13*L/f/R_gas</f>
        <v>601.39523694972331</v>
      </c>
    </row>
    <row r="13" spans="1:10">
      <c r="A13">
        <f>1/a*((b+cc)*LN(b+$B13) - cc*LN($B13) - $B13 + k)</f>
        <v>99.516133156850188</v>
      </c>
      <c r="B13">
        <f t="shared" si="0"/>
        <v>200</v>
      </c>
      <c r="D13">
        <v>1</v>
      </c>
    </row>
    <row r="14" spans="1:10">
      <c r="A14">
        <f>1/a*((b+cc)*LN(b+$B14) - cc*LN($B14) - $B14 + k)</f>
        <v>95.895318937763363</v>
      </c>
      <c r="B14">
        <f t="shared" si="0"/>
        <v>210</v>
      </c>
    </row>
    <row r="15" spans="1:10">
      <c r="A15">
        <f>1/a*((b+cc)*LN(b+$B15) - cc*LN($B15) - $B15 + k)</f>
        <v>92.446451100457281</v>
      </c>
      <c r="B15">
        <f t="shared" si="0"/>
        <v>220</v>
      </c>
    </row>
    <row r="16" spans="1:10">
      <c r="A16">
        <f>1/a*((b+cc)*LN(b+$B16) - cc*LN($B16) - $B16 + k)</f>
        <v>89.153772397817065</v>
      </c>
      <c r="B16">
        <f t="shared" si="0"/>
        <v>230</v>
      </c>
    </row>
    <row r="17" spans="1:2">
      <c r="A17">
        <f>1/a*((b+cc)*LN(b+$B17) - cc*LN($B17) - $B17 + k)</f>
        <v>86.003543508268152</v>
      </c>
      <c r="B17">
        <f t="shared" si="0"/>
        <v>240</v>
      </c>
    </row>
    <row r="18" spans="1:2">
      <c r="A18">
        <f>1/a*((b+cc)*LN(b+$B18) - cc*LN($B18) - $B18 + k)</f>
        <v>82.983713255171111</v>
      </c>
      <c r="B18">
        <f t="shared" si="0"/>
        <v>250</v>
      </c>
    </row>
    <row r="19" spans="1:2">
      <c r="A19">
        <f>1/a*((b+cc)*LN(b+$B19) - cc*LN($B19) - $B19 + k)</f>
        <v>80.083653545848136</v>
      </c>
      <c r="B19">
        <f t="shared" si="0"/>
        <v>260</v>
      </c>
    </row>
    <row r="20" spans="1:2">
      <c r="A20">
        <f>1/a*((b+cc)*LN(b+$B20) - cc*LN($B20) - $B20 + k)</f>
        <v>77.293944362879216</v>
      </c>
      <c r="B20">
        <f t="shared" si="0"/>
        <v>270</v>
      </c>
    </row>
    <row r="21" spans="1:2">
      <c r="A21">
        <f>1/a*((b+cc)*LN(b+$B21) - cc*LN($B21) - $B21 + k)</f>
        <v>74.606197877638706</v>
      </c>
      <c r="B21">
        <f t="shared" si="0"/>
        <v>280</v>
      </c>
    </row>
    <row r="22" spans="1:2">
      <c r="A22">
        <f>1/a*((b+cc)*LN(b+$B22) - cc*LN($B22) - $B22 + k)</f>
        <v>72.012913443118691</v>
      </c>
      <c r="B22">
        <f t="shared" si="0"/>
        <v>290</v>
      </c>
    </row>
    <row r="23" spans="1:2">
      <c r="A23">
        <f>1/a*((b+cc)*LN(b+$B23) - cc*LN($B23) - $B23 + k)</f>
        <v>69.507357180787167</v>
      </c>
      <c r="B23">
        <f t="shared" si="0"/>
        <v>300</v>
      </c>
    </row>
    <row r="24" spans="1:2">
      <c r="A24">
        <f>1/a*((b+cc)*LN(b+$B24) - cc*LN($B24) - $B24 + k)</f>
        <v>67.08346131988641</v>
      </c>
      <c r="B24">
        <f t="shared" si="0"/>
        <v>310</v>
      </c>
    </row>
    <row r="25" spans="1:2">
      <c r="A25">
        <f>1/a*((b+cc)*LN(b+$B25) - cc*LN($B25) - $B25 + k)</f>
        <v>64.735739524339635</v>
      </c>
      <c r="B25">
        <f t="shared" si="0"/>
        <v>320</v>
      </c>
    </row>
    <row r="26" spans="1:2">
      <c r="A26">
        <f>1/a*((b+cc)*LN(b+$B26) - cc*LN($B26) - $B26 + k)</f>
        <v>62.459215253873545</v>
      </c>
      <c r="B26">
        <f t="shared" si="0"/>
        <v>330</v>
      </c>
    </row>
    <row r="27" spans="1:2">
      <c r="A27">
        <f>1/a*((b+cc)*LN(b+$B27) - cc*LN($B27) - $B27 + k)</f>
        <v>60.249360823516554</v>
      </c>
      <c r="B27">
        <f t="shared" si="0"/>
        <v>340</v>
      </c>
    </row>
    <row r="28" spans="1:2">
      <c r="A28">
        <f>1/a*((b+cc)*LN(b+$B28) - cc*LN($B28) - $B28 + k)</f>
        <v>58.102045299869239</v>
      </c>
      <c r="B28">
        <f t="shared" si="0"/>
        <v>350</v>
      </c>
    </row>
    <row r="29" spans="1:2">
      <c r="A29">
        <f>1/a*((b+cc)*LN(b+$B29) - cc*LN($B29) - $B29 + k)</f>
        <v>56.013489739820777</v>
      </c>
      <c r="B29">
        <f t="shared" si="0"/>
        <v>360</v>
      </c>
    </row>
    <row r="30" spans="1:2">
      <c r="A30">
        <f>1/a*((b+cc)*LN(b+$B30) - cc*LN($B30) - $B30 + k)</f>
        <v>53.980228564155283</v>
      </c>
      <c r="B30">
        <f t="shared" si="0"/>
        <v>370</v>
      </c>
    </row>
    <row r="31" spans="1:2">
      <c r="A31">
        <f>1/a*((b+cc)*LN(b+$B31) - cc*LN($B31) - $B31 + k)</f>
        <v>51.999076083996009</v>
      </c>
      <c r="B31">
        <f t="shared" si="0"/>
        <v>380</v>
      </c>
    </row>
    <row r="32" spans="1:2">
      <c r="A32">
        <f>1/a*((b+cc)*LN(b+$B32) - cc*LN($B32) - $B32 + k)</f>
        <v>50.067097376691635</v>
      </c>
      <c r="B32">
        <f t="shared" si="0"/>
        <v>390</v>
      </c>
    </row>
    <row r="33" spans="1:2">
      <c r="A33">
        <f>1/a*((b+cc)*LN(b+$B33) - cc*LN($B33) - $B33 + k)</f>
        <v>48.181582850193919</v>
      </c>
      <c r="B33">
        <f t="shared" si="0"/>
        <v>400</v>
      </c>
    </row>
    <row r="34" spans="1:2">
      <c r="A34">
        <f>1/a*((b+cc)*LN(b+$B34) - cc*LN($B34) - $B34 + k)</f>
        <v>46.340025949248215</v>
      </c>
      <c r="B34">
        <f t="shared" ref="B34:B64" si="1">+$B33+$B$1</f>
        <v>410</v>
      </c>
    </row>
    <row r="35" spans="1:2">
      <c r="A35">
        <f>1/a*((b+cc)*LN(b+$B35) - cc*LN($B35) - $B35 + k)</f>
        <v>44.540103548992349</v>
      </c>
      <c r="B35">
        <f t="shared" si="1"/>
        <v>420</v>
      </c>
    </row>
    <row r="36" spans="1:2">
      <c r="A36">
        <f>1/a*((b+cc)*LN(b+$B36) - cc*LN($B36) - $B36 + k)</f>
        <v>42.779658656414732</v>
      </c>
      <c r="B36">
        <f t="shared" si="1"/>
        <v>430</v>
      </c>
    </row>
    <row r="37" spans="1:2">
      <c r="A37">
        <f>1/a*((b+cc)*LN(b+$B37) - cc*LN($B37) - $B37 + k)</f>
        <v>41.056685101228588</v>
      </c>
      <c r="B37">
        <f t="shared" si="1"/>
        <v>440</v>
      </c>
    </row>
    <row r="38" spans="1:2">
      <c r="A38">
        <f>1/a*((b+cc)*LN(b+$B38) - cc*LN($B38) - $B38 + k)</f>
        <v>39.369313947836623</v>
      </c>
      <c r="B38">
        <f t="shared" si="1"/>
        <v>450</v>
      </c>
    </row>
    <row r="39" spans="1:2">
      <c r="A39">
        <f>1/a*((b+cc)*LN(b+$B39) - cc*LN($B39) - $B39 + k)</f>
        <v>37.715801401341665</v>
      </c>
      <c r="B39">
        <f t="shared" si="1"/>
        <v>460</v>
      </c>
    </row>
    <row r="40" spans="1:2">
      <c r="A40">
        <f>1/a*((b+cc)*LN(b+$B40) - cc*LN($B40) - $B40 + k)</f>
        <v>36.094518014765896</v>
      </c>
      <c r="B40">
        <f t="shared" si="1"/>
        <v>470</v>
      </c>
    </row>
    <row r="41" spans="1:2">
      <c r="A41">
        <f>1/a*((b+cc)*LN(b+$B41) - cc*LN($B41) - $B41 + k)</f>
        <v>34.503939033054145</v>
      </c>
      <c r="B41">
        <f t="shared" si="1"/>
        <v>480</v>
      </c>
    </row>
    <row r="42" spans="1:2">
      <c r="A42">
        <f>1/a*((b+cc)*LN(b+$B42) - cc*LN($B42) - $B42 + k)</f>
        <v>32.942635733189711</v>
      </c>
      <c r="B42">
        <f t="shared" si="1"/>
        <v>490</v>
      </c>
    </row>
    <row r="43" spans="1:2">
      <c r="A43">
        <f>1/a*((b+cc)*LN(b+$B43) - cc*LN($B43) - $B43 + k)</f>
        <v>31.409267639631654</v>
      </c>
      <c r="B43">
        <f t="shared" si="1"/>
        <v>500</v>
      </c>
    </row>
    <row r="44" spans="1:2">
      <c r="A44">
        <f>1/a*((b+cc)*LN(b+$B44) - cc*LN($B44) - $B44 + k)</f>
        <v>29.90257551105417</v>
      </c>
      <c r="B44">
        <f t="shared" si="1"/>
        <v>510</v>
      </c>
    </row>
    <row r="45" spans="1:2">
      <c r="A45">
        <f>1/a*((b+cc)*LN(b+$B45) - cc*LN($B45) - $B45 + k)</f>
        <v>28.421375008486116</v>
      </c>
      <c r="B45">
        <f t="shared" si="1"/>
        <v>520</v>
      </c>
    </row>
    <row r="46" spans="1:2">
      <c r="A46">
        <f>1/a*((b+cc)*LN(b+$B46) - cc*LN($B46) - $B46 + k)</f>
        <v>26.96455096696425</v>
      </c>
      <c r="B46">
        <f t="shared" si="1"/>
        <v>530</v>
      </c>
    </row>
    <row r="47" spans="1:2">
      <c r="A47">
        <f>1/a*((b+cc)*LN(b+$B47) - cc*LN($B47) - $B47 + k)</f>
        <v>25.531052202979176</v>
      </c>
      <c r="B47">
        <f t="shared" si="1"/>
        <v>540</v>
      </c>
    </row>
    <row r="48" spans="1:2">
      <c r="A48">
        <f>1/a*((b+cc)*LN(b+$B48) - cc*LN($B48) - $B48 + k)</f>
        <v>24.119886798730004</v>
      </c>
      <c r="B48">
        <f t="shared" si="1"/>
        <v>550</v>
      </c>
    </row>
    <row r="49" spans="1:2">
      <c r="A49">
        <f>1/a*((b+cc)*LN(b+$B49) - cc*LN($B49) - $B49 + k)</f>
        <v>22.7301178115958</v>
      </c>
      <c r="B49">
        <f t="shared" si="1"/>
        <v>560</v>
      </c>
    </row>
    <row r="50" spans="1:2">
      <c r="A50">
        <f>1/a*((b+cc)*LN(b+$B50) - cc*LN($B50) - $B50 + k)</f>
        <v>21.360859363682778</v>
      </c>
      <c r="B50">
        <f t="shared" si="1"/>
        <v>570</v>
      </c>
    </row>
    <row r="51" spans="1:2">
      <c r="A51">
        <f>1/a*((b+cc)*LN(b+$B51) - cc*LN($B51) - $B51 + k)</f>
        <v>20.011273071750121</v>
      </c>
      <c r="B51">
        <f t="shared" si="1"/>
        <v>580</v>
      </c>
    </row>
    <row r="52" spans="1:2">
      <c r="A52">
        <f>1/a*((b+cc)*LN(b+$B52) - cc*LN($B52) - $B52 + k)</f>
        <v>18.680564782604058</v>
      </c>
      <c r="B52">
        <f t="shared" si="1"/>
        <v>590</v>
      </c>
    </row>
    <row r="53" spans="1:2">
      <c r="A53">
        <f>1/a*((b+cc)*LN(b+$B53) - cc*LN($B53) - $B53 + k)</f>
        <v>17.367981583142189</v>
      </c>
      <c r="B53">
        <f t="shared" si="1"/>
        <v>600</v>
      </c>
    </row>
    <row r="54" spans="1:2">
      <c r="A54">
        <f>1/a*((b+cc)*LN(b+$B54) - cc*LN($B54) - $B54 + k)</f>
        <v>16.07280905780242</v>
      </c>
      <c r="B54">
        <f t="shared" si="1"/>
        <v>610</v>
      </c>
    </row>
    <row r="55" spans="1:2">
      <c r="A55">
        <f>1/a*((b+cc)*LN(b+$B55) - cc*LN($B55) - $B55 + k)</f>
        <v>14.794368769264329</v>
      </c>
      <c r="B55">
        <f t="shared" si="1"/>
        <v>620</v>
      </c>
    </row>
    <row r="56" spans="1:2">
      <c r="A56">
        <f>1/a*((b+cc)*LN(b+$B56) - cc*LN($B56) - $B56 + k)</f>
        <v>13.53201594097334</v>
      </c>
      <c r="B56">
        <f t="shared" si="1"/>
        <v>630</v>
      </c>
    </row>
    <row r="57" spans="1:2">
      <c r="A57">
        <f>1/a*((b+cc)*LN(b+$B57) - cc*LN($B57) - $B57 + k)</f>
        <v>12.285137322393105</v>
      </c>
      <c r="B57">
        <f t="shared" si="1"/>
        <v>640</v>
      </c>
    </row>
    <row r="58" spans="1:2">
      <c r="A58">
        <f>1/a*((b+cc)*LN(b+$B58) - cc*LN($B58) - $B58 + k)</f>
        <v>11.053149220004343</v>
      </c>
      <c r="B58">
        <f t="shared" si="1"/>
        <v>650</v>
      </c>
    </row>
    <row r="59" spans="1:2">
      <c r="A59">
        <f>1/a*((b+cc)*LN(b+$B59) - cc*LN($B59) - $B59 + k)</f>
        <v>9.8354956788361498</v>
      </c>
      <c r="B59">
        <f t="shared" si="1"/>
        <v>660</v>
      </c>
    </row>
    <row r="60" spans="1:2">
      <c r="A60">
        <f>1/a*((b+cc)*LN(b+$B60) - cc*LN($B60) - $B60 + k)</f>
        <v>8.63164680095859</v>
      </c>
      <c r="B60">
        <f t="shared" si="1"/>
        <v>670</v>
      </c>
    </row>
    <row r="61" spans="1:2">
      <c r="A61">
        <f>1/a*((b+cc)*LN(b+$B61) - cc*LN($B61) - $B61 + k)</f>
        <v>7.4410971887539468</v>
      </c>
      <c r="B61">
        <f t="shared" si="1"/>
        <v>680</v>
      </c>
    </row>
    <row r="62" spans="1:2">
      <c r="A62">
        <f>1/a*((b+cc)*LN(b+$B62) - cc*LN($B62) - $B62 + k)</f>
        <v>6.263364502022462</v>
      </c>
      <c r="B62">
        <f t="shared" si="1"/>
        <v>690</v>
      </c>
    </row>
    <row r="63" spans="1:2">
      <c r="A63">
        <f>1/a*((b+cc)*LN(b+$B63) - cc*LN($B63) - $B63 + k)</f>
        <v>5.0979881190994663</v>
      </c>
      <c r="B63">
        <f t="shared" si="1"/>
        <v>700</v>
      </c>
    </row>
    <row r="64" spans="1:2">
      <c r="A64">
        <f>1/a*((b+cc)*LN(b+$B64) - cc*LN($B64) - $B64 + k)</f>
        <v>3.9445278931304069</v>
      </c>
      <c r="B64">
        <f t="shared" si="1"/>
        <v>710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>
      <selection activeCell="D9" sqref="D9"/>
    </sheetView>
  </sheetViews>
  <sheetFormatPr defaultRowHeight="15"/>
  <sheetData>
    <row r="1" spans="1:10">
      <c r="B1">
        <v>10</v>
      </c>
    </row>
    <row r="2" spans="1:10">
      <c r="A2" t="s">
        <v>3</v>
      </c>
      <c r="B2" t="s">
        <v>4</v>
      </c>
      <c r="D2" t="s">
        <v>12</v>
      </c>
      <c r="H2" t="s">
        <v>6</v>
      </c>
      <c r="J2" t="s">
        <v>13</v>
      </c>
    </row>
    <row r="3" spans="1:10">
      <c r="A3">
        <f>1/(4*a)*(5*b*LN(b+$B3)- b*LN($B3) -4*$B3) + k</f>
        <v>252.28522808270554</v>
      </c>
      <c r="B3">
        <v>10</v>
      </c>
      <c r="D3">
        <v>1</v>
      </c>
      <c r="E3">
        <v>1</v>
      </c>
      <c r="H3" t="s">
        <v>7</v>
      </c>
    </row>
    <row r="4" spans="1:10">
      <c r="A4">
        <f>1/(4*a)*(5*b*LN(b+$B4)- b*LN($B4) -4*$B4) + k</f>
        <v>211.35351159191168</v>
      </c>
      <c r="B4">
        <f>+$B3+$B$1</f>
        <v>20</v>
      </c>
      <c r="D4">
        <v>15326</v>
      </c>
      <c r="E4">
        <v>20000</v>
      </c>
      <c r="H4" t="s">
        <v>8</v>
      </c>
    </row>
    <row r="5" spans="1:10">
      <c r="A5">
        <f>1/(4*a)*(5*b*LN(b+$B5)- b*LN($B5) -4*$B5) + k</f>
        <v>187.5299803763512</v>
      </c>
      <c r="B5">
        <f t="shared" ref="B5:B68" si="0">+$B4+$B$1</f>
        <v>30</v>
      </c>
      <c r="D5">
        <v>8.3140000000000001</v>
      </c>
      <c r="H5" t="s">
        <v>9</v>
      </c>
    </row>
    <row r="6" spans="1:10">
      <c r="A6">
        <f>1/(4*a)*(5*b*LN(b+$B6)- b*LN($B6) -4*$B6) + k</f>
        <v>170.70592794627169</v>
      </c>
      <c r="B6">
        <f t="shared" si="0"/>
        <v>40</v>
      </c>
      <c r="D6">
        <v>43.56</v>
      </c>
    </row>
    <row r="7" spans="1:10">
      <c r="A7">
        <f>1/(4*a)*(5*b*LN(b+$B7)- b*LN($B7) -4*$B7) + k</f>
        <v>157.71345656732137</v>
      </c>
      <c r="B7">
        <f t="shared" si="0"/>
        <v>50</v>
      </c>
      <c r="D7">
        <f>8.87</f>
        <v>8.8699999999999992</v>
      </c>
    </row>
    <row r="8" spans="1:10">
      <c r="A8">
        <f>1/(4*a)*(5*b*LN(b+$B8)- b*LN($B8) -4*$B8) + k</f>
        <v>147.14154848072235</v>
      </c>
      <c r="B8">
        <f t="shared" si="0"/>
        <v>60</v>
      </c>
      <c r="D8">
        <v>-1848</v>
      </c>
      <c r="E8">
        <v>-26000</v>
      </c>
    </row>
    <row r="9" spans="1:10">
      <c r="A9">
        <f>1/(4*a)*(5*b*LN(b+$B9)- b*LN($B9) -4*$B9) + k</f>
        <v>138.23756367950682</v>
      </c>
      <c r="B9">
        <f t="shared" si="0"/>
        <v>70</v>
      </c>
      <c r="D9">
        <v>6</v>
      </c>
    </row>
    <row r="10" spans="1:10">
      <c r="A10">
        <f>1/(4*a)*(5*b*LN(b+$B10)- b*LN($B10) -4*$B10) + k</f>
        <v>130.55227684801343</v>
      </c>
      <c r="B10">
        <f t="shared" si="0"/>
        <v>80</v>
      </c>
      <c r="D10">
        <f>1/f*g*MW/R_gas</f>
        <v>7.7455135915323545</v>
      </c>
    </row>
    <row r="11" spans="1:10">
      <c r="A11">
        <f>1/(4*a)*(5*b*LN(b+$B11)- b*LN($B11) -4*$B11) + k</f>
        <v>123.79595750446583</v>
      </c>
      <c r="B11">
        <f t="shared" si="0"/>
        <v>90</v>
      </c>
      <c r="D11">
        <f>L*u/R_gas</f>
        <v>1843.396680298292</v>
      </c>
    </row>
    <row r="12" spans="1:10">
      <c r="A12">
        <f>1/(4*a)*(5*b*LN(b+$B12)- b*LN($B12) -4*$B12) + k</f>
        <v>117.77080513888473</v>
      </c>
      <c r="B12">
        <f t="shared" si="0"/>
        <v>100</v>
      </c>
    </row>
    <row r="13" spans="1:10">
      <c r="A13">
        <f>1/(4*a)*(5*b*LN(b+$B13)- b*LN($B13) -4*$B13) + k</f>
        <v>112.33575921238435</v>
      </c>
      <c r="B13">
        <f t="shared" si="0"/>
        <v>110</v>
      </c>
    </row>
    <row r="14" spans="1:10">
      <c r="A14">
        <f>1/(4*a)*(5*b*LN(b+$B14)- b*LN($B14) -4*$B14) + k</f>
        <v>107.38668596317621</v>
      </c>
      <c r="B14">
        <f t="shared" si="0"/>
        <v>120</v>
      </c>
    </row>
    <row r="15" spans="1:10">
      <c r="A15">
        <f>1/(4*a)*(5*b*LN(b+$B15)- b*LN($B15) -4*$B15) + k</f>
        <v>102.84452319247907</v>
      </c>
      <c r="B15">
        <f t="shared" si="0"/>
        <v>130</v>
      </c>
    </row>
    <row r="16" spans="1:10">
      <c r="A16">
        <f>1/(4*a)*(5*b*LN(b+$B16)- b*LN($B16) -4*$B16) + k</f>
        <v>98.647831042631651</v>
      </c>
      <c r="B16">
        <f t="shared" si="0"/>
        <v>140</v>
      </c>
    </row>
    <row r="17" spans="1:2">
      <c r="A17">
        <f>1/(4*a)*(5*b*LN(b+$B17)- b*LN($B17) -4*$B17) + k</f>
        <v>94.747919020079735</v>
      </c>
      <c r="B17">
        <f t="shared" si="0"/>
        <v>150</v>
      </c>
    </row>
    <row r="18" spans="1:2">
      <c r="A18">
        <f>1/(4*a)*(5*b*LN(b+$B18)- b*LN($B18) -4*$B18) + k</f>
        <v>91.105548925278526</v>
      </c>
      <c r="B18">
        <f t="shared" si="0"/>
        <v>160</v>
      </c>
    </row>
    <row r="19" spans="1:2">
      <c r="A19">
        <f>1/(4*a)*(5*b*LN(b+$B19)- b*LN($B19) -4*$B19) + k</f>
        <v>87.688639097779742</v>
      </c>
      <c r="B19">
        <f t="shared" si="0"/>
        <v>170</v>
      </c>
    </row>
    <row r="20" spans="1:2">
      <c r="A20">
        <f>1/(4*a)*(5*b*LN(b+$B20)- b*LN($B20) -4*$B20) + k</f>
        <v>84.470625863710666</v>
      </c>
      <c r="B20">
        <f t="shared" si="0"/>
        <v>180</v>
      </c>
    </row>
    <row r="21" spans="1:2">
      <c r="A21">
        <f>1/(4*a)*(5*b*LN(b+$B21)- b*LN($B21) -4*$B21) + k</f>
        <v>81.429268597802547</v>
      </c>
      <c r="B21">
        <f t="shared" si="0"/>
        <v>190</v>
      </c>
    </row>
    <row r="22" spans="1:2">
      <c r="A22">
        <f>1/(4*a)*(5*b*LN(b+$B22)- b*LN($B22) -4*$B22) + k</f>
        <v>78.545761651866997</v>
      </c>
      <c r="B22">
        <f t="shared" si="0"/>
        <v>200</v>
      </c>
    </row>
    <row r="23" spans="1:2">
      <c r="A23">
        <f>1/(4*a)*(5*b*LN(b+$B23)- b*LN($B23) -4*$B23) + k</f>
        <v>75.804063187035126</v>
      </c>
      <c r="B23">
        <f t="shared" si="0"/>
        <v>210</v>
      </c>
    </row>
    <row r="24" spans="1:2">
      <c r="A24">
        <f>1/(4*a)*(5*b*LN(b+$B24)- b*LN($B24) -4*$B24) + k</f>
        <v>73.19038028852151</v>
      </c>
      <c r="B24">
        <f t="shared" si="0"/>
        <v>220</v>
      </c>
    </row>
    <row r="25" spans="1:2">
      <c r="A25">
        <f>1/(4*a)*(5*b*LN(b+$B25)- b*LN($B25) -4*$B25) + k</f>
        <v>70.692768631457966</v>
      </c>
      <c r="B25">
        <f t="shared" si="0"/>
        <v>230</v>
      </c>
    </row>
    <row r="26" spans="1:2">
      <c r="A26">
        <f>1/(4*a)*(5*b*LN(b+$B26)- b*LN($B26) -4*$B26) + k</f>
        <v>68.300817414838775</v>
      </c>
      <c r="B26">
        <f t="shared" si="0"/>
        <v>240</v>
      </c>
    </row>
    <row r="27" spans="1:2">
      <c r="A27">
        <f>1/(4*a)*(5*b*LN(b+$B27)- b*LN($B27) -4*$B27) + k</f>
        <v>66.005398658179047</v>
      </c>
      <c r="B27">
        <f t="shared" si="0"/>
        <v>250</v>
      </c>
    </row>
    <row r="28" spans="1:2">
      <c r="A28">
        <f>1/(4*a)*(5*b*LN(b+$B28)- b*LN($B28) -4*$B28) + k</f>
        <v>63.798465701079749</v>
      </c>
      <c r="B28">
        <f t="shared" si="0"/>
        <v>260</v>
      </c>
    </row>
    <row r="29" spans="1:2">
      <c r="A29">
        <f>1/(4*a)*(5*b*LN(b+$B29)- b*LN($B29) -4*$B29) + k</f>
        <v>61.67288975484189</v>
      </c>
      <c r="B29">
        <f t="shared" si="0"/>
        <v>270</v>
      </c>
    </row>
    <row r="30" spans="1:2">
      <c r="A30">
        <f>1/(4*a)*(5*b*LN(b+$B30)- b*LN($B30) -4*$B30) + k</f>
        <v>59.622326196522863</v>
      </c>
      <c r="B30">
        <f t="shared" si="0"/>
        <v>280</v>
      </c>
    </row>
    <row r="31" spans="1:2">
      <c r="A31">
        <f>1/(4*a)*(5*b*LN(b+$B31)- b*LN($B31) -4*$B31) + k</f>
        <v>57.641104338753621</v>
      </c>
      <c r="B31">
        <f t="shared" si="0"/>
        <v>290</v>
      </c>
    </row>
    <row r="32" spans="1:2">
      <c r="A32">
        <f>1/(4*a)*(5*b*LN(b+$B32)- b*LN($B32) -4*$B32) + k</f>
        <v>55.724135896914959</v>
      </c>
      <c r="B32">
        <f t="shared" si="0"/>
        <v>300</v>
      </c>
    </row>
    <row r="33" spans="1:2">
      <c r="A33">
        <f>1/(4*a)*(5*b*LN(b+$B33)- b*LN($B33) -4*$B33) + k</f>
        <v>53.866838472871677</v>
      </c>
      <c r="B33">
        <f t="shared" si="0"/>
        <v>310</v>
      </c>
    </row>
    <row r="34" spans="1:2">
      <c r="A34">
        <f>1/(4*a)*(5*b*LN(b+$B34)- b*LN($B34) -4*$B34) + k</f>
        <v>52.065071193036601</v>
      </c>
      <c r="B34">
        <f t="shared" si="0"/>
        <v>320</v>
      </c>
    </row>
    <row r="35" spans="1:2">
      <c r="A35">
        <f>1/(4*a)*(5*b*LN(b+$B35)- b*LN($B35) -4*$B35) + k</f>
        <v>50.315080255456223</v>
      </c>
      <c r="B35">
        <f t="shared" si="0"/>
        <v>330</v>
      </c>
    </row>
    <row r="36" spans="1:2">
      <c r="A36">
        <f>1/(4*a)*(5*b*LN(b+$B36)- b*LN($B36) -4*$B36) + k</f>
        <v>48.613452610089325</v>
      </c>
      <c r="B36">
        <f t="shared" si="0"/>
        <v>340</v>
      </c>
    </row>
    <row r="37" spans="1:2">
      <c r="A37">
        <f>1/(4*a)*(5*b*LN(b+$B37)- b*LN($B37) -4*$B37) + k</f>
        <v>46.957076357007736</v>
      </c>
      <c r="B37">
        <f t="shared" si="0"/>
        <v>350</v>
      </c>
    </row>
    <row r="38" spans="1:2">
      <c r="A38">
        <f>1/(4*a)*(5*b*LN(b+$B38)- b*LN($B38) -4*$B38) + k</f>
        <v>45.343106726455744</v>
      </c>
      <c r="B38">
        <f t="shared" si="0"/>
        <v>360</v>
      </c>
    </row>
    <row r="39" spans="1:2">
      <c r="A39">
        <f>1/(4*a)*(5*b*LN(b+$B39)- b*LN($B39) -4*$B39) + k</f>
        <v>43.768936722726949</v>
      </c>
      <c r="B39">
        <f t="shared" si="0"/>
        <v>370</v>
      </c>
    </row>
    <row r="40" spans="1:2">
      <c r="A40">
        <f>1/(4*a)*(5*b*LN(b+$B40)- b*LN($B40) -4*$B40) + k</f>
        <v>42.232171685261619</v>
      </c>
      <c r="B40">
        <f t="shared" si="0"/>
        <v>380</v>
      </c>
    </row>
    <row r="41" spans="1:2">
      <c r="A41">
        <f>1/(4*a)*(5*b*LN(b+$B41)- b*LN($B41) -4*$B41) + k</f>
        <v>40.730607156186124</v>
      </c>
      <c r="B41">
        <f t="shared" si="0"/>
        <v>390</v>
      </c>
    </row>
    <row r="42" spans="1:2">
      <c r="A42">
        <f>1/(4*a)*(5*b*LN(b+$B42)- b*LN($B42) -4*$B42) + k</f>
        <v>39.262209551810656</v>
      </c>
      <c r="B42">
        <f t="shared" si="0"/>
        <v>400</v>
      </c>
    </row>
    <row r="43" spans="1:2">
      <c r="A43">
        <f>1/(4*a)*(5*b*LN(b+$B43)- b*LN($B43) -4*$B43) + k</f>
        <v>37.825099222480276</v>
      </c>
      <c r="B43">
        <f t="shared" si="0"/>
        <v>410</v>
      </c>
    </row>
    <row r="44" spans="1:2">
      <c r="A44">
        <f>1/(4*a)*(5*b*LN(b+$B44)- b*LN($B44) -4*$B44) + k</f>
        <v>36.417535555322274</v>
      </c>
      <c r="B44">
        <f t="shared" si="0"/>
        <v>420</v>
      </c>
    </row>
    <row r="45" spans="1:2">
      <c r="A45">
        <f>1/(4*a)*(5*b*LN(b+$B45)- b*LN($B45) -4*$B45) + k</f>
        <v>35.03790383133969</v>
      </c>
      <c r="B45">
        <f t="shared" si="0"/>
        <v>430</v>
      </c>
    </row>
    <row r="46" spans="1:2">
      <c r="A46">
        <f>1/(4*a)*(5*b*LN(b+$B46)- b*LN($B46) -4*$B46) + k</f>
        <v>33.684703594768735</v>
      </c>
      <c r="B46">
        <f t="shared" si="0"/>
        <v>440</v>
      </c>
    </row>
    <row r="47" spans="1:2">
      <c r="A47">
        <f>1/(4*a)*(5*b*LN(b+$B47)- b*LN($B47) -4*$B47) + k</f>
        <v>32.356538330693866</v>
      </c>
      <c r="B47">
        <f t="shared" si="0"/>
        <v>450</v>
      </c>
    </row>
    <row r="48" spans="1:2">
      <c r="A48">
        <f>1/(4*a)*(5*b*LN(b+$B48)- b*LN($B48) -4*$B48) + k</f>
        <v>31.052106278337078</v>
      </c>
      <c r="B48">
        <f t="shared" si="0"/>
        <v>460</v>
      </c>
    </row>
    <row r="49" spans="1:2">
      <c r="A49">
        <f>1/(4*a)*(5*b*LN(b+$B49)- b*LN($B49) -4*$B49) + k</f>
        <v>29.770192233398575</v>
      </c>
      <c r="B49">
        <f t="shared" si="0"/>
        <v>470</v>
      </c>
    </row>
    <row r="50" spans="1:2">
      <c r="A50">
        <f>1/(4*a)*(5*b*LN(b+$B50)- b*LN($B50) -4*$B50) + k</f>
        <v>28.509660214471523</v>
      </c>
      <c r="B50">
        <f t="shared" si="0"/>
        <v>480</v>
      </c>
    </row>
    <row r="51" spans="1:2">
      <c r="A51">
        <f>1/(4*a)*(5*b*LN(b+$B51)- b*LN($B51) -4*$B51) + k</f>
        <v>27.26944688656954</v>
      </c>
      <c r="B51">
        <f t="shared" si="0"/>
        <v>490</v>
      </c>
    </row>
    <row r="52" spans="1:2">
      <c r="A52">
        <f>1/(4*a)*(5*b*LN(b+$B52)- b*LN($B52) -4*$B52) + k</f>
        <v>26.048555649955688</v>
      </c>
      <c r="B52">
        <f t="shared" si="0"/>
        <v>500</v>
      </c>
    </row>
    <row r="53" spans="1:2">
      <c r="A53">
        <f>1/(4*a)*(5*b*LN(b+$B53)- b*LN($B53) -4*$B53) + k</f>
        <v>24.846051315189925</v>
      </c>
      <c r="B53">
        <f t="shared" si="0"/>
        <v>510</v>
      </c>
    </row>
    <row r="54" spans="1:2">
      <c r="A54">
        <f>1/(4*a)*(5*b*LN(b+$B54)- b*LN($B54) -4*$B54) + k</f>
        <v>23.661055296048062</v>
      </c>
      <c r="B54">
        <f t="shared" si="0"/>
        <v>520</v>
      </c>
    </row>
    <row r="55" spans="1:2">
      <c r="A55">
        <f>1/(4*a)*(5*b*LN(b+$B55)- b*LN($B55) -4*$B55) + k</f>
        <v>22.492741261115043</v>
      </c>
      <c r="B55">
        <f t="shared" si="0"/>
        <v>530</v>
      </c>
    </row>
    <row r="56" spans="1:2">
      <c r="A56">
        <f>1/(4*a)*(5*b*LN(b+$B56)- b*LN($B56) -4*$B56) + k</f>
        <v>21.340331192557414</v>
      </c>
      <c r="B56">
        <f t="shared" si="0"/>
        <v>540</v>
      </c>
    </row>
    <row r="57" spans="1:2">
      <c r="A57">
        <f>1/(4*a)*(5*b*LN(b+$B57)- b*LN($B57) -4*$B57) + k</f>
        <v>20.203091807242345</v>
      </c>
      <c r="B57">
        <f t="shared" si="0"/>
        <v>550</v>
      </c>
    </row>
    <row r="58" spans="1:2">
      <c r="A58">
        <f>1/(4*a)*(5*b*LN(b+$B58)- b*LN($B58) -4*$B58) + k</f>
        <v>19.08033130099102</v>
      </c>
      <c r="B58">
        <f t="shared" si="0"/>
        <v>560</v>
      </c>
    </row>
    <row r="59" spans="1:2">
      <c r="A59">
        <f>1/(4*a)*(5*b*LN(b+$B59)- b*LN($B59) -4*$B59) + k</f>
        <v>17.971396381640034</v>
      </c>
      <c r="B59">
        <f t="shared" si="0"/>
        <v>570</v>
      </c>
    </row>
    <row r="60" spans="1:2">
      <c r="A60">
        <f>1/(4*a)*(5*b*LN(b+$B60)- b*LN($B60) -4*$B60) + k</f>
        <v>16.875669560741471</v>
      </c>
      <c r="B60">
        <f t="shared" si="0"/>
        <v>580</v>
      </c>
    </row>
    <row r="61" spans="1:2">
      <c r="A61">
        <f>1/(4*a)*(5*b*LN(b+$B61)- b*LN($B61) -4*$B61) + k</f>
        <v>15.792566677364675</v>
      </c>
      <c r="B61">
        <f t="shared" si="0"/>
        <v>590</v>
      </c>
    </row>
    <row r="62" spans="1:2">
      <c r="A62">
        <f>1/(4*a)*(5*b*LN(b+$B62)- b*LN($B62) -4*$B62) + k</f>
        <v>14.721534630569977</v>
      </c>
      <c r="B62">
        <f t="shared" si="0"/>
        <v>600</v>
      </c>
    </row>
    <row r="63" spans="1:2">
      <c r="A63">
        <f>1/(4*a)*(5*b*LN(b+$B63)- b*LN($B63) -4*$B63) + k</f>
        <v>13.662049299849741</v>
      </c>
      <c r="B63">
        <f t="shared" si="0"/>
        <v>610</v>
      </c>
    </row>
    <row r="64" spans="1:2">
      <c r="A64">
        <f>1/(4*a)*(5*b*LN(b+$B64)- b*LN($B64) -4*$B64) + k</f>
        <v>12.61361363517176</v>
      </c>
      <c r="B64">
        <f t="shared" si="0"/>
        <v>620</v>
      </c>
    </row>
    <row r="65" spans="1:2">
      <c r="A65">
        <f>1/(4*a)*(5*b*LN(b+$B65)- b*LN($B65) -4*$B65) + k</f>
        <v>11.575755900338208</v>
      </c>
      <c r="B65">
        <f t="shared" ref="B65:B104" si="1">+$B64+$B$1</f>
        <v>630</v>
      </c>
    </row>
    <row r="66" spans="1:2">
      <c r="A66">
        <f>1/(4*a)*(5*b*LN(b+$B66)- b*LN($B66) -4*$B66) + k</f>
        <v>10.548028055158511</v>
      </c>
      <c r="B66">
        <f t="shared" si="1"/>
        <v>640</v>
      </c>
    </row>
    <row r="67" spans="1:2">
      <c r="A67">
        <f>1/(4*a)*(5*b*LN(b+$B67)- b*LN($B67) -4*$B67) + k</f>
        <v>9.5300042635001319</v>
      </c>
      <c r="B67">
        <f t="shared" si="1"/>
        <v>650</v>
      </c>
    </row>
    <row r="68" spans="1:2">
      <c r="A68">
        <f>1/(4*a)*(5*b*LN(b+$B68)- b*LN($B68) -4*$B68) + k</f>
        <v>8.5212795156896846</v>
      </c>
      <c r="B68">
        <f t="shared" si="1"/>
        <v>660</v>
      </c>
    </row>
    <row r="69" spans="1:2">
      <c r="A69">
        <f>1/(4*a)*(5*b*LN(b+$B69)- b*LN($B69) -4*$B69) + k</f>
        <v>7.5214683549215806</v>
      </c>
      <c r="B69">
        <f t="shared" si="1"/>
        <v>670</v>
      </c>
    </row>
    <row r="70" spans="1:2">
      <c r="A70">
        <f>1/(4*a)*(5*b*LN(b+$B70)- b*LN($B70) -4*$B70) + k</f>
        <v>6.5302036984253391</v>
      </c>
      <c r="B70">
        <f t="shared" si="1"/>
        <v>680</v>
      </c>
    </row>
    <row r="71" spans="1:2">
      <c r="A71">
        <f>1/(4*a)*(5*b*LN(b+$B71)- b*LN($B71) -4*$B71) + k</f>
        <v>5.547135745080368</v>
      </c>
      <c r="B71">
        <f t="shared" si="1"/>
        <v>690</v>
      </c>
    </row>
    <row r="72" spans="1:2">
      <c r="A72">
        <f>1/(4*a)*(5*b*LN(b+$B72)- b*LN($B72) -4*$B72) + k</f>
        <v>4.5719309619985324</v>
      </c>
      <c r="B72">
        <f t="shared" si="1"/>
        <v>700</v>
      </c>
    </row>
    <row r="73" spans="1:2">
      <c r="A73">
        <f>1/(4*a)*(5*b*LN(b+$B73)- b*LN($B73) -4*$B73) + k</f>
        <v>3.6042711433567547</v>
      </c>
      <c r="B73">
        <f t="shared" si="1"/>
        <v>710</v>
      </c>
    </row>
    <row r="74" spans="1:2">
      <c r="A74">
        <f>1/(4*a)*(5*b*LN(b+$B74)- b*LN($B74) -4*$B74) + k</f>
        <v>2.6438525353960358</v>
      </c>
      <c r="B74">
        <f t="shared" si="1"/>
        <v>720</v>
      </c>
    </row>
    <row r="75" spans="1:2">
      <c r="A75">
        <f>1/(4*a)*(5*b*LN(b+$B75)- b*LN($B75) -4*$B75) + k</f>
        <v>1.6903850221060566</v>
      </c>
      <c r="B75">
        <f t="shared" si="1"/>
        <v>730</v>
      </c>
    </row>
    <row r="76" spans="1:2">
      <c r="A76">
        <f>1/(4*a)*(5*b*LN(b+$B76)- b*LN($B76) -4*$B76) + k</f>
        <v>0.74359136663701975</v>
      </c>
      <c r="B76">
        <f t="shared" si="1"/>
        <v>740</v>
      </c>
    </row>
    <row r="77" spans="1:2">
      <c r="A77">
        <f>1/(4*a)*(5*b*LN(b+$B77)- b*LN($B77) -4*$B77) + k</f>
        <v>-0.19679349606303731</v>
      </c>
      <c r="B77">
        <f t="shared" si="1"/>
        <v>750</v>
      </c>
    </row>
    <row r="78" spans="1:2">
      <c r="A78">
        <f>1/(4*a)*(5*b*LN(b+$B78)- b*LN($B78) -4*$B78) + k</f>
        <v>-1.1310231194602238</v>
      </c>
      <c r="B78">
        <f t="shared" si="1"/>
        <v>760</v>
      </c>
    </row>
    <row r="79" spans="1:2">
      <c r="A79">
        <f>1/(4*a)*(5*b*LN(b+$B79)- b*LN($B79) -4*$B79) + k</f>
        <v>-2.0593401622013516</v>
      </c>
      <c r="B79">
        <f t="shared" si="1"/>
        <v>770</v>
      </c>
    </row>
    <row r="80" spans="1:2">
      <c r="A80">
        <f>1/(4*a)*(5*b*LN(b+$B80)- b*LN($B80) -4*$B80) + k</f>
        <v>-2.9819769648097463</v>
      </c>
      <c r="B80">
        <f t="shared" si="1"/>
        <v>780</v>
      </c>
    </row>
    <row r="81" spans="1:2">
      <c r="A81">
        <f>1/(4*a)*(5*b*LN(b+$B81)- b*LN($B81) -4*$B81) + k</f>
        <v>-3.8991560893725818</v>
      </c>
      <c r="B81">
        <f t="shared" si="1"/>
        <v>790</v>
      </c>
    </row>
    <row r="82" spans="1:2">
      <c r="A82">
        <f>1/(4*a)*(5*b*LN(b+$B82)- b*LN($B82) -4*$B82) + k</f>
        <v>-4.8110908250246212</v>
      </c>
      <c r="B82">
        <f t="shared" si="1"/>
        <v>800</v>
      </c>
    </row>
    <row r="83" spans="1:2">
      <c r="A83">
        <f>1/(4*a)*(5*b*LN(b+$B83)- b*LN($B83) -4*$B83) + k</f>
        <v>-5.7179856617833593</v>
      </c>
      <c r="B83">
        <f t="shared" si="1"/>
        <v>810</v>
      </c>
    </row>
    <row r="84" spans="1:2">
      <c r="A84">
        <f>1/(4*a)*(5*b*LN(b+$B84)- b*LN($B84) -4*$B84) + k</f>
        <v>-6.6200367350688794</v>
      </c>
      <c r="B84">
        <f t="shared" si="1"/>
        <v>820</v>
      </c>
    </row>
    <row r="85" spans="1:2">
      <c r="A85">
        <f>1/(4*a)*(5*b*LN(b+$B85)- b*LN($B85) -4*$B85) + k</f>
        <v>-7.5174322430441407</v>
      </c>
      <c r="B85">
        <f t="shared" si="1"/>
        <v>830</v>
      </c>
    </row>
    <row r="86" spans="1:2">
      <c r="A86">
        <f>1/(4*a)*(5*b*LN(b+$B86)- b*LN($B86) -4*$B86) + k</f>
        <v>-8.4103528387458937</v>
      </c>
      <c r="B86">
        <f t="shared" si="1"/>
        <v>840</v>
      </c>
    </row>
    <row r="87" spans="1:2">
      <c r="A87">
        <f>1/(4*a)*(5*b*LN(b+$B87)- b*LN($B87) -4*$B87) + k</f>
        <v>-9.2989719987815533</v>
      </c>
      <c r="B87">
        <f t="shared" si="1"/>
        <v>850</v>
      </c>
    </row>
    <row r="88" spans="1:2">
      <c r="A88">
        <f>1/(4*a)*(5*b*LN(b+$B88)- b*LN($B88) -4*$B88) + k</f>
        <v>-10.183456370259137</v>
      </c>
      <c r="B88">
        <f t="shared" si="1"/>
        <v>860</v>
      </c>
    </row>
    <row r="89" spans="1:2">
      <c r="A89">
        <f>1/(4*a)*(5*b*LN(b+$B89)- b*LN($B89) -4*$B89) + k</f>
        <v>-11.063966097460707</v>
      </c>
      <c r="B89">
        <f t="shared" si="1"/>
        <v>870</v>
      </c>
    </row>
    <row r="90" spans="1:2">
      <c r="A90">
        <f>1/(4*a)*(5*b*LN(b+$B90)- b*LN($B90) -4*$B90) + k</f>
        <v>-11.940655129641527</v>
      </c>
      <c r="B90">
        <f t="shared" si="1"/>
        <v>880</v>
      </c>
    </row>
    <row r="91" spans="1:2">
      <c r="A91">
        <f>1/(4*a)*(5*b*LN(b+$B91)- b*LN($B91) -4*$B91) + k</f>
        <v>-12.813671511255734</v>
      </c>
      <c r="B91">
        <f t="shared" si="1"/>
        <v>890</v>
      </c>
    </row>
    <row r="92" spans="1:2">
      <c r="A92">
        <f>1/(4*a)*(5*b*LN(b+$B92)- b*LN($B92) -4*$B92) + k</f>
        <v>-13.683157655779496</v>
      </c>
      <c r="B92">
        <f t="shared" si="1"/>
        <v>900</v>
      </c>
    </row>
    <row r="93" spans="1:2">
      <c r="A93">
        <f>1/(4*a)*(5*b*LN(b+$B93)- b*LN($B93) -4*$B93) + k</f>
        <v>-14.549250604227836</v>
      </c>
      <c r="B93">
        <f t="shared" si="1"/>
        <v>910</v>
      </c>
    </row>
    <row r="94" spans="1:2">
      <c r="A94">
        <f>1/(4*a)*(5*b*LN(b+$B94)- b*LN($B94) -4*$B94) + k</f>
        <v>-15.41208226937033</v>
      </c>
      <c r="B94">
        <f t="shared" si="1"/>
        <v>920</v>
      </c>
    </row>
    <row r="95" spans="1:2">
      <c r="A95">
        <f>1/(4*a)*(5*b*LN(b+$B95)- b*LN($B95) -4*$B95) + k</f>
        <v>-16.27177966657905</v>
      </c>
      <c r="B95">
        <f t="shared" si="1"/>
        <v>930</v>
      </c>
    </row>
    <row r="96" spans="1:2">
      <c r="A96">
        <f>1/(4*a)*(5*b*LN(b+$B96)- b*LN($B96) -4*$B96) + k</f>
        <v>-17.128465132168913</v>
      </c>
      <c r="B96">
        <f t="shared" si="1"/>
        <v>940</v>
      </c>
    </row>
    <row r="97" spans="1:2">
      <c r="A97">
        <f>1/(4*a)*(5*b*LN(b+$B97)- b*LN($B97) -4*$B97) + k</f>
        <v>-17.982256530030099</v>
      </c>
      <c r="B97">
        <f t="shared" si="1"/>
        <v>950</v>
      </c>
    </row>
    <row r="98" spans="1:2">
      <c r="A98">
        <f>1/(4*a)*(5*b*LN(b+$B98)- b*LN($B98) -4*$B98) + k</f>
        <v>-18.833267447286289</v>
      </c>
      <c r="B98">
        <f t="shared" si="1"/>
        <v>960</v>
      </c>
    </row>
    <row r="99" spans="1:2">
      <c r="A99">
        <f>1/(4*a)*(5*b*LN(b+$B99)- b*LN($B99) -4*$B99) + k</f>
        <v>-19.681607379673551</v>
      </c>
      <c r="B99">
        <f t="shared" si="1"/>
        <v>970</v>
      </c>
    </row>
    <row r="100" spans="1:2">
      <c r="A100">
        <f>1/(4*a)*(5*b*LN(b+$B100)- b*LN($B100) -4*$B100) + k</f>
        <v>-20.527381907263816</v>
      </c>
      <c r="B100">
        <f t="shared" si="1"/>
        <v>980</v>
      </c>
    </row>
    <row r="101" spans="1:2">
      <c r="A101">
        <f>1/(4*a)*(5*b*LN(b+$B101)- b*LN($B101) -4*$B101) + k</f>
        <v>-21.370692861134785</v>
      </c>
      <c r="B101">
        <f t="shared" si="1"/>
        <v>990</v>
      </c>
    </row>
    <row r="102" spans="1:2">
      <c r="A102">
        <f>1/(4*a)*(5*b*LN(b+$B102)- b*LN($B102) -4*$B102) + k</f>
        <v>-22.211638481529235</v>
      </c>
      <c r="B102">
        <f t="shared" si="1"/>
        <v>1000</v>
      </c>
    </row>
    <row r="103" spans="1:2">
      <c r="A103">
        <f>1/(4*a)*(5*b*LN(b+$B103)- b*LN($B103) -4*$B103) + k</f>
        <v>-23.050313568015554</v>
      </c>
      <c r="B103">
        <f t="shared" si="1"/>
        <v>1010</v>
      </c>
    </row>
    <row r="104" spans="1:2">
      <c r="A104">
        <f>1/(4*a)*(5*b*LN(b+$B104)- b*LN($B104) -4*$B104) + k</f>
        <v>-23.886809622124474</v>
      </c>
      <c r="B104">
        <f t="shared" si="1"/>
        <v>1020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venera</vt:lpstr>
      <vt:lpstr>Sheet2</vt:lpstr>
      <vt:lpstr>adiabatic</vt:lpstr>
      <vt:lpstr>adiabatic!a</vt:lpstr>
      <vt:lpstr>a</vt:lpstr>
      <vt:lpstr>adiabatic!b</vt:lpstr>
      <vt:lpstr>b</vt:lpstr>
      <vt:lpstr>adiabatic!cc</vt:lpstr>
      <vt:lpstr>cc</vt:lpstr>
      <vt:lpstr>adiabatic!f</vt:lpstr>
      <vt:lpstr>f</vt:lpstr>
      <vt:lpstr>adiabatic!g</vt:lpstr>
      <vt:lpstr>g</vt:lpstr>
      <vt:lpstr>adiabatic!k</vt:lpstr>
      <vt:lpstr>k</vt:lpstr>
      <vt:lpstr>adiabatic!L</vt:lpstr>
      <vt:lpstr>L</vt:lpstr>
      <vt:lpstr>adiabatic!MW</vt:lpstr>
      <vt:lpstr>MW</vt:lpstr>
      <vt:lpstr>adiabatic!R_gas</vt:lpstr>
      <vt:lpstr>R_gas</vt:lpstr>
      <vt:lpstr>adiabatic!u</vt:lpstr>
      <vt:lpstr>u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2013-04-29T18:51:22Z</dcterms:created>
  <dcterms:modified xsi:type="dcterms:W3CDTF">2013-04-30T22:16:20Z</dcterms:modified>
</cp:coreProperties>
</file>