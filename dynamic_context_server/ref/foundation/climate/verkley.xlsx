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gif" ContentType="image/gif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90" windowWidth="16140" windowHeight="13935"/>
  </bookViews>
  <sheets>
    <sheet name="Sheet1" sheetId="1" r:id="rId1"/>
    <sheet name="Sheet1 (2)" sheetId="2" r:id="rId2"/>
  </sheets>
  <definedNames>
    <definedName name="Alpha" localSheetId="1">'Sheet1 (2)'!$M$2</definedName>
    <definedName name="Alpha">Sheet1!$L$2</definedName>
    <definedName name="kappa" localSheetId="1">'Sheet1 (2)'!$M$3</definedName>
    <definedName name="kappa">Sheet1!$L$3</definedName>
    <definedName name="Pr" localSheetId="1">'Sheet1 (2)'!$M$4</definedName>
    <definedName name="Pr">Sheet1!$L$4</definedName>
    <definedName name="Tr" localSheetId="1">'Sheet1 (2)'!$M$1</definedName>
    <definedName name="Tr">Sheet1!$L$1</definedName>
  </definedNames>
  <calcPr calcId="125725"/>
</workbook>
</file>

<file path=xl/calcChain.xml><?xml version="1.0" encoding="utf-8"?>
<calcChain xmlns="http://schemas.openxmlformats.org/spreadsheetml/2006/main">
  <c r="N44" i="1"/>
  <c r="N43"/>
  <c r="N42"/>
  <c r="N41"/>
  <c r="N40"/>
  <c r="N39"/>
  <c r="N38"/>
  <c r="N37"/>
  <c r="N36"/>
  <c r="N35"/>
  <c r="N34"/>
  <c r="N33"/>
  <c r="N32"/>
  <c r="N31"/>
  <c r="N30"/>
  <c r="N29"/>
  <c r="N28"/>
  <c r="N27"/>
  <c r="N26"/>
  <c r="N25"/>
  <c r="N24"/>
  <c r="N23"/>
  <c r="N22"/>
  <c r="N21"/>
  <c r="N20"/>
  <c r="N19"/>
  <c r="N18"/>
  <c r="N17"/>
  <c r="N16"/>
  <c r="N15"/>
  <c r="N14"/>
  <c r="N13"/>
  <c r="N12"/>
  <c r="N11"/>
  <c r="N10"/>
  <c r="N9"/>
  <c r="N8"/>
  <c r="N7"/>
  <c r="N6"/>
  <c r="L3"/>
  <c r="N6" i="2"/>
  <c r="M3"/>
  <c r="N10" s="1"/>
  <c r="H23"/>
  <c r="H22"/>
  <c r="H21"/>
  <c r="H20"/>
  <c r="H19"/>
  <c r="H18"/>
  <c r="H17"/>
  <c r="H16"/>
  <c r="H15"/>
  <c r="H14"/>
  <c r="H13"/>
  <c r="H12"/>
  <c r="H11"/>
  <c r="H10"/>
  <c r="H9"/>
  <c r="H8"/>
  <c r="H7"/>
  <c r="H6"/>
  <c r="N59" l="1"/>
  <c r="N26"/>
  <c r="N42"/>
  <c r="N58"/>
  <c r="N9"/>
  <c r="N33"/>
  <c r="N49"/>
  <c r="N8"/>
  <c r="N32"/>
  <c r="N64"/>
  <c r="N23"/>
  <c r="N47"/>
  <c r="N30"/>
  <c r="N54"/>
  <c r="N13"/>
  <c r="N21"/>
  <c r="N29"/>
  <c r="N37"/>
  <c r="N45"/>
  <c r="N53"/>
  <c r="N61"/>
  <c r="N18"/>
  <c r="N34"/>
  <c r="N50"/>
  <c r="N17"/>
  <c r="N41"/>
  <c r="N57"/>
  <c r="N24"/>
  <c r="N48"/>
  <c r="N7"/>
  <c r="N31"/>
  <c r="N63"/>
  <c r="N22"/>
  <c r="N62"/>
  <c r="N12"/>
  <c r="N20"/>
  <c r="N28"/>
  <c r="N36"/>
  <c r="N44"/>
  <c r="N52"/>
  <c r="N60"/>
  <c r="N25"/>
  <c r="N65"/>
  <c r="N16"/>
  <c r="N40"/>
  <c r="N56"/>
  <c r="N15"/>
  <c r="N39"/>
  <c r="N55"/>
  <c r="N14"/>
  <c r="N38"/>
  <c r="N46"/>
  <c r="N11"/>
  <c r="N19"/>
  <c r="N27"/>
  <c r="N35"/>
  <c r="N43"/>
  <c r="N51"/>
  <c r="L7" l="1"/>
  <c r="L6"/>
  <c r="K7"/>
  <c r="K8" s="1"/>
  <c r="M7"/>
  <c r="O3"/>
  <c r="L38" i="1"/>
  <c r="M38" s="1"/>
  <c r="N3"/>
  <c r="K6"/>
  <c r="J6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J44"/>
  <c r="J43"/>
  <c r="J42"/>
  <c r="J41"/>
  <c r="J40"/>
  <c r="J39"/>
  <c r="J38"/>
  <c r="J37"/>
  <c r="J36"/>
  <c r="J35"/>
  <c r="J34"/>
  <c r="J33"/>
  <c r="J32"/>
  <c r="J31"/>
  <c r="J30"/>
  <c r="J29"/>
  <c r="J28"/>
  <c r="J27"/>
  <c r="J26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K9" i="2" l="1"/>
  <c r="L8"/>
  <c r="M8" s="1"/>
  <c r="M6"/>
  <c r="L11" i="1"/>
  <c r="M11" s="1"/>
  <c r="L43"/>
  <c r="M43" s="1"/>
  <c r="L10"/>
  <c r="M10" s="1"/>
  <c r="L26"/>
  <c r="M26" s="1"/>
  <c r="L9"/>
  <c r="M9" s="1"/>
  <c r="L41"/>
  <c r="M41" s="1"/>
  <c r="L8"/>
  <c r="M8" s="1"/>
  <c r="L16"/>
  <c r="M16" s="1"/>
  <c r="L24"/>
  <c r="M24" s="1"/>
  <c r="L32"/>
  <c r="M32" s="1"/>
  <c r="L40"/>
  <c r="M40" s="1"/>
  <c r="L21"/>
  <c r="M21" s="1"/>
  <c r="L29"/>
  <c r="M29" s="1"/>
  <c r="L20"/>
  <c r="M20" s="1"/>
  <c r="L44"/>
  <c r="M44" s="1"/>
  <c r="L35"/>
  <c r="M35" s="1"/>
  <c r="L18"/>
  <c r="M18" s="1"/>
  <c r="L34"/>
  <c r="M34" s="1"/>
  <c r="L33"/>
  <c r="M33" s="1"/>
  <c r="L7"/>
  <c r="M7" s="1"/>
  <c r="L15"/>
  <c r="M15" s="1"/>
  <c r="L23"/>
  <c r="M23" s="1"/>
  <c r="L31"/>
  <c r="M31" s="1"/>
  <c r="L39"/>
  <c r="M39" s="1"/>
  <c r="L13"/>
  <c r="M13" s="1"/>
  <c r="L37"/>
  <c r="M37" s="1"/>
  <c r="L12"/>
  <c r="M12" s="1"/>
  <c r="L28"/>
  <c r="M28" s="1"/>
  <c r="L36"/>
  <c r="M36" s="1"/>
  <c r="L19"/>
  <c r="M19" s="1"/>
  <c r="L27"/>
  <c r="M27" s="1"/>
  <c r="L42"/>
  <c r="M42" s="1"/>
  <c r="L17"/>
  <c r="M17" s="1"/>
  <c r="L25"/>
  <c r="M25" s="1"/>
  <c r="L6"/>
  <c r="M6" s="1"/>
  <c r="L14"/>
  <c r="M14" s="1"/>
  <c r="L22"/>
  <c r="M22" s="1"/>
  <c r="L30"/>
  <c r="M30" s="1"/>
  <c r="K10" i="2" l="1"/>
  <c r="L9"/>
  <c r="M9" s="1"/>
  <c r="M5" i="1"/>
  <c r="L10" i="2" l="1"/>
  <c r="M10" s="1"/>
  <c r="K11"/>
  <c r="L11" l="1"/>
  <c r="M11" s="1"/>
  <c r="K12"/>
  <c r="K13" l="1"/>
  <c r="L12"/>
  <c r="M12" s="1"/>
  <c r="K14" l="1"/>
  <c r="L13"/>
  <c r="M13" s="1"/>
  <c r="K15" l="1"/>
  <c r="L14"/>
  <c r="M14" s="1"/>
  <c r="K16" l="1"/>
  <c r="L15"/>
  <c r="M15" s="1"/>
  <c r="K17" l="1"/>
  <c r="L16"/>
  <c r="M16" s="1"/>
  <c r="K18" l="1"/>
  <c r="L17"/>
  <c r="M17" s="1"/>
  <c r="K19" l="1"/>
  <c r="L18"/>
  <c r="M18" s="1"/>
  <c r="K20" l="1"/>
  <c r="L19"/>
  <c r="M19" s="1"/>
  <c r="K21" l="1"/>
  <c r="L20"/>
  <c r="M20" s="1"/>
  <c r="K22" l="1"/>
  <c r="L21"/>
  <c r="M21" s="1"/>
  <c r="K23" l="1"/>
  <c r="L22"/>
  <c r="M22" s="1"/>
  <c r="K24" l="1"/>
  <c r="L23"/>
  <c r="M23" s="1"/>
  <c r="K25" l="1"/>
  <c r="L24"/>
  <c r="M24" s="1"/>
  <c r="K26" l="1"/>
  <c r="L25"/>
  <c r="M25" s="1"/>
  <c r="K27" l="1"/>
  <c r="L26"/>
  <c r="M26" s="1"/>
  <c r="K28" l="1"/>
  <c r="L27"/>
  <c r="M27" s="1"/>
  <c r="K29" l="1"/>
  <c r="L28"/>
  <c r="M28" s="1"/>
  <c r="K30" l="1"/>
  <c r="L29"/>
  <c r="M29" s="1"/>
  <c r="K31" l="1"/>
  <c r="L30"/>
  <c r="M30" s="1"/>
  <c r="K32" l="1"/>
  <c r="L31"/>
  <c r="M31" s="1"/>
  <c r="K33" l="1"/>
  <c r="L32"/>
  <c r="M32" s="1"/>
  <c r="K34" l="1"/>
  <c r="L33"/>
  <c r="M33" s="1"/>
  <c r="K35" l="1"/>
  <c r="L34"/>
  <c r="M34" s="1"/>
  <c r="K36" l="1"/>
  <c r="L35"/>
  <c r="M35" s="1"/>
  <c r="K37" l="1"/>
  <c r="L36"/>
  <c r="M36" s="1"/>
  <c r="K38" l="1"/>
  <c r="L37"/>
  <c r="M37" s="1"/>
  <c r="K39" l="1"/>
  <c r="L38"/>
  <c r="M38" s="1"/>
  <c r="K40" l="1"/>
  <c r="L39"/>
  <c r="M39" s="1"/>
  <c r="K41" l="1"/>
  <c r="L40"/>
  <c r="M40" s="1"/>
  <c r="K42" l="1"/>
  <c r="L41"/>
  <c r="M41" s="1"/>
  <c r="K43" l="1"/>
  <c r="L42"/>
  <c r="M42" s="1"/>
  <c r="K44" l="1"/>
  <c r="L43"/>
  <c r="M43" s="1"/>
  <c r="L44" l="1"/>
  <c r="M44" s="1"/>
  <c r="K45"/>
  <c r="K46" l="1"/>
  <c r="L45"/>
  <c r="M45" s="1"/>
  <c r="K47" l="1"/>
  <c r="L46"/>
  <c r="M46" s="1"/>
  <c r="L47" l="1"/>
  <c r="M47" s="1"/>
  <c r="K48"/>
  <c r="L48" l="1"/>
  <c r="M48" s="1"/>
  <c r="K49"/>
  <c r="L49" l="1"/>
  <c r="M49" s="1"/>
  <c r="K50"/>
  <c r="K51" l="1"/>
  <c r="L50"/>
  <c r="M50" s="1"/>
  <c r="L51" l="1"/>
  <c r="M51" s="1"/>
  <c r="K52"/>
  <c r="K53" l="1"/>
  <c r="L52"/>
  <c r="M52" s="1"/>
  <c r="L53" l="1"/>
  <c r="M53" s="1"/>
  <c r="K54"/>
  <c r="K55" l="1"/>
  <c r="L54"/>
  <c r="M54" s="1"/>
  <c r="L55" l="1"/>
  <c r="M55" s="1"/>
  <c r="K56"/>
  <c r="K57" l="1"/>
  <c r="L56"/>
  <c r="M56" s="1"/>
  <c r="L57" l="1"/>
  <c r="M57" s="1"/>
  <c r="K58"/>
  <c r="L58" l="1"/>
  <c r="M58" s="1"/>
  <c r="K59"/>
  <c r="L59" l="1"/>
  <c r="M59" s="1"/>
  <c r="K60"/>
  <c r="K61" l="1"/>
  <c r="L60"/>
  <c r="M60" s="1"/>
  <c r="K62" l="1"/>
  <c r="L61"/>
  <c r="M61" s="1"/>
  <c r="L62" l="1"/>
  <c r="M62" s="1"/>
  <c r="K63"/>
  <c r="L63" l="1"/>
  <c r="M63" s="1"/>
  <c r="K64"/>
  <c r="L64" l="1"/>
  <c r="M64" s="1"/>
  <c r="K65"/>
  <c r="L65" s="1"/>
  <c r="M65" s="1"/>
</calcChain>
</file>

<file path=xl/sharedStrings.xml><?xml version="1.0" encoding="utf-8"?>
<sst xmlns="http://schemas.openxmlformats.org/spreadsheetml/2006/main" count="24" uniqueCount="15">
  <si>
    <t>cm</t>
  </si>
  <si>
    <t>r</t>
  </si>
  <si>
    <t>lb/ft^2</t>
  </si>
  <si>
    <t>Temperature</t>
  </si>
  <si>
    <t>Pressure</t>
  </si>
  <si>
    <t>Tr</t>
  </si>
  <si>
    <t>Alpha</t>
  </si>
  <si>
    <t>Pr</t>
  </si>
  <si>
    <t>Kappa</t>
  </si>
  <si>
    <t>Verkley MaxEnt Variational</t>
  </si>
  <si>
    <t>SumSq</t>
  </si>
  <si>
    <t>STP</t>
  </si>
  <si>
    <t>[1]</t>
  </si>
  <si>
    <r>
      <t xml:space="preserve">W. T. M. Verkley and T. Gerkema, “On maximum entropy profiles,” </t>
    </r>
    <r>
      <rPr>
        <i/>
        <sz val="11"/>
        <color theme="1"/>
        <rFont val="Calibri"/>
        <family val="2"/>
        <scheme val="minor"/>
      </rPr>
      <t>Journal of the atmospheric sciences</t>
    </r>
    <r>
      <rPr>
        <sz val="11"/>
        <color theme="1"/>
        <rFont val="Calibri"/>
        <family val="2"/>
        <scheme val="minor"/>
      </rPr>
      <t>, vol. 61, no. 8, pp. 931–936, 2004.</t>
    </r>
  </si>
  <si>
    <t>Polytropic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</si>
</sst>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4490560834011337"/>
          <c:y val="0.17768051803743509"/>
          <c:w val="0.77118891662184974"/>
          <c:h val="0.7709751518286494"/>
        </c:manualLayout>
      </c:layout>
      <c:scatterChart>
        <c:scatterStyle val="lineMarker"/>
        <c:ser>
          <c:idx val="0"/>
          <c:order val="0"/>
          <c:tx>
            <c:strRef>
              <c:f>Sheet1!$J$5:$K$5</c:f>
              <c:strCache>
                <c:ptCount val="1"/>
                <c:pt idx="0">
                  <c:v>Temperature Pressure</c:v>
                </c:pt>
              </c:strCache>
            </c:strRef>
          </c:tx>
          <c:spPr>
            <a:ln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Sheet1!$J$7:$J$44</c:f>
              <c:numCache>
                <c:formatCode>General</c:formatCode>
                <c:ptCount val="38"/>
                <c:pt idx="0">
                  <c:v>288.16666666666669</c:v>
                </c:pt>
                <c:pt idx="1">
                  <c:v>286.16666666666669</c:v>
                </c:pt>
                <c:pt idx="2">
                  <c:v>284.16666666666669</c:v>
                </c:pt>
                <c:pt idx="3">
                  <c:v>282.22222222222223</c:v>
                </c:pt>
                <c:pt idx="4">
                  <c:v>280.22222222222223</c:v>
                </c:pt>
                <c:pt idx="5">
                  <c:v>278.22222222222223</c:v>
                </c:pt>
                <c:pt idx="6">
                  <c:v>276.27777777777777</c:v>
                </c:pt>
                <c:pt idx="7">
                  <c:v>274.27777777777777</c:v>
                </c:pt>
                <c:pt idx="8">
                  <c:v>272.33333333333331</c:v>
                </c:pt>
                <c:pt idx="9">
                  <c:v>270.33333333333331</c:v>
                </c:pt>
                <c:pt idx="10">
                  <c:v>268.33333333333331</c:v>
                </c:pt>
                <c:pt idx="11">
                  <c:v>266.38888888888891</c:v>
                </c:pt>
                <c:pt idx="12">
                  <c:v>264.38888888888891</c:v>
                </c:pt>
                <c:pt idx="13">
                  <c:v>262.38888888888891</c:v>
                </c:pt>
                <c:pt idx="14">
                  <c:v>260.44444444444446</c:v>
                </c:pt>
                <c:pt idx="15">
                  <c:v>258.44444444444446</c:v>
                </c:pt>
                <c:pt idx="16">
                  <c:v>256.5</c:v>
                </c:pt>
                <c:pt idx="17">
                  <c:v>254.5</c:v>
                </c:pt>
                <c:pt idx="18">
                  <c:v>252.5</c:v>
                </c:pt>
                <c:pt idx="19">
                  <c:v>250.55555555555554</c:v>
                </c:pt>
                <c:pt idx="20">
                  <c:v>248.55555555555554</c:v>
                </c:pt>
                <c:pt idx="21">
                  <c:v>246.61111111111111</c:v>
                </c:pt>
                <c:pt idx="22">
                  <c:v>244.61111111111111</c:v>
                </c:pt>
                <c:pt idx="23">
                  <c:v>242.61111111111111</c:v>
                </c:pt>
                <c:pt idx="24">
                  <c:v>240.66666666666666</c:v>
                </c:pt>
                <c:pt idx="25">
                  <c:v>238.66666666666666</c:v>
                </c:pt>
                <c:pt idx="26">
                  <c:v>236.72222222222223</c:v>
                </c:pt>
                <c:pt idx="27">
                  <c:v>234.72222222222223</c:v>
                </c:pt>
                <c:pt idx="28">
                  <c:v>232.77777777777777</c:v>
                </c:pt>
                <c:pt idx="29">
                  <c:v>230.77777777777777</c:v>
                </c:pt>
                <c:pt idx="30">
                  <c:v>228.77777777777777</c:v>
                </c:pt>
                <c:pt idx="31">
                  <c:v>226.83333333333334</c:v>
                </c:pt>
                <c:pt idx="32">
                  <c:v>224.83333333333334</c:v>
                </c:pt>
                <c:pt idx="33">
                  <c:v>222.88888888888889</c:v>
                </c:pt>
                <c:pt idx="34">
                  <c:v>220.88888888888889</c:v>
                </c:pt>
                <c:pt idx="35">
                  <c:v>218.94444444444446</c:v>
                </c:pt>
                <c:pt idx="36">
                  <c:v>216.94444444444446</c:v>
                </c:pt>
                <c:pt idx="37">
                  <c:v>216.66666666666666</c:v>
                </c:pt>
              </c:numCache>
            </c:numRef>
          </c:xVal>
          <c:yVal>
            <c:numRef>
              <c:f>Sheet1!$K$7:$K$44</c:f>
              <c:numCache>
                <c:formatCode>General</c:formatCode>
                <c:ptCount val="38"/>
                <c:pt idx="0">
                  <c:v>1013.2409687497587</c:v>
                </c:pt>
                <c:pt idx="1">
                  <c:v>977.18717187476739</c:v>
                </c:pt>
                <c:pt idx="2">
                  <c:v>942.13885937477573</c:v>
                </c:pt>
                <c:pt idx="3">
                  <c:v>908.14391145811715</c:v>
                </c:pt>
                <c:pt idx="4">
                  <c:v>875.106567708125</c:v>
                </c:pt>
                <c:pt idx="5">
                  <c:v>843.12258854146603</c:v>
                </c:pt>
                <c:pt idx="6">
                  <c:v>812.04833333314002</c:v>
                </c:pt>
                <c:pt idx="7">
                  <c:v>781.93168229148046</c:v>
                </c:pt>
                <c:pt idx="8">
                  <c:v>752.72475520815408</c:v>
                </c:pt>
                <c:pt idx="9">
                  <c:v>724.37967187482764</c:v>
                </c:pt>
                <c:pt idx="10">
                  <c:v>696.94431249983404</c:v>
                </c:pt>
                <c:pt idx="11">
                  <c:v>670.37079687484038</c:v>
                </c:pt>
                <c:pt idx="12">
                  <c:v>644.56336458317992</c:v>
                </c:pt>
                <c:pt idx="13">
                  <c:v>619.61777604151916</c:v>
                </c:pt>
                <c:pt idx="14">
                  <c:v>595.4382708331915</c:v>
                </c:pt>
                <c:pt idx="15">
                  <c:v>572.07272916653051</c:v>
                </c:pt>
                <c:pt idx="16">
                  <c:v>549.42539062486924</c:v>
                </c:pt>
                <c:pt idx="17">
                  <c:v>527.4962552082078</c:v>
                </c:pt>
                <c:pt idx="18">
                  <c:v>506.33320312487945</c:v>
                </c:pt>
                <c:pt idx="19">
                  <c:v>485.84047395821767</c:v>
                </c:pt>
                <c:pt idx="20">
                  <c:v>466.01806770822236</c:v>
                </c:pt>
                <c:pt idx="21">
                  <c:v>446.86598437489357</c:v>
                </c:pt>
                <c:pt idx="22">
                  <c:v>428.33634374989805</c:v>
                </c:pt>
                <c:pt idx="23">
                  <c:v>410.42914583323562</c:v>
                </c:pt>
                <c:pt idx="24">
                  <c:v>393.19227083323977</c:v>
                </c:pt>
                <c:pt idx="25">
                  <c:v>376.48207812491034</c:v>
                </c:pt>
                <c:pt idx="26">
                  <c:v>360.39432812491424</c:v>
                </c:pt>
                <c:pt idx="27">
                  <c:v>344.88114062491786</c:v>
                </c:pt>
                <c:pt idx="28">
                  <c:v>329.89463541658813</c:v>
                </c:pt>
                <c:pt idx="29">
                  <c:v>315.43481249992487</c:v>
                </c:pt>
                <c:pt idx="30">
                  <c:v>301.50167187492826</c:v>
                </c:pt>
                <c:pt idx="31">
                  <c:v>288.04733333326476</c:v>
                </c:pt>
                <c:pt idx="32">
                  <c:v>275.11967708326785</c:v>
                </c:pt>
                <c:pt idx="33">
                  <c:v>262.62294270827078</c:v>
                </c:pt>
                <c:pt idx="34">
                  <c:v>250.65289062494034</c:v>
                </c:pt>
                <c:pt idx="35">
                  <c:v>239.06588020827641</c:v>
                </c:pt>
                <c:pt idx="36">
                  <c:v>227.95767187494573</c:v>
                </c:pt>
                <c:pt idx="37">
                  <c:v>217.32826562494824</c:v>
                </c:pt>
              </c:numCache>
            </c:numRef>
          </c:yVal>
        </c:ser>
        <c:ser>
          <c:idx val="1"/>
          <c:order val="1"/>
          <c:tx>
            <c:strRef>
              <c:f>Sheet1!$L$5</c:f>
              <c:strCache>
                <c:ptCount val="1"/>
                <c:pt idx="0">
                  <c:v>Verkley MaxEnt Variational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3"/>
            <c:spPr>
              <a:solidFill>
                <a:sysClr val="window" lastClr="FFFFFF"/>
              </a:solidFill>
              <a:ln>
                <a:solidFill>
                  <a:srgbClr val="00B0F0"/>
                </a:solidFill>
              </a:ln>
            </c:spPr>
          </c:marker>
          <c:xVal>
            <c:numRef>
              <c:f>Sheet1!$L$6:$L$44</c:f>
              <c:numCache>
                <c:formatCode>General</c:formatCode>
                <c:ptCount val="39"/>
                <c:pt idx="0">
                  <c:v>289.53262548151719</c:v>
                </c:pt>
                <c:pt idx="1">
                  <c:v>287.80897041784436</c:v>
                </c:pt>
                <c:pt idx="2">
                  <c:v>286.07483749466269</c:v>
                </c:pt>
                <c:pt idx="3">
                  <c:v>284.32669563538229</c:v>
                </c:pt>
                <c:pt idx="4">
                  <c:v>282.56803342263009</c:v>
                </c:pt>
                <c:pt idx="5">
                  <c:v>280.79501243329167</c:v>
                </c:pt>
                <c:pt idx="6">
                  <c:v>279.01405560724191</c:v>
                </c:pt>
                <c:pt idx="7">
                  <c:v>277.21846750124314</c:v>
                </c:pt>
                <c:pt idx="8">
                  <c:v>275.41219168632819</c:v>
                </c:pt>
                <c:pt idx="9">
                  <c:v>273.5937028203337</c:v>
                </c:pt>
                <c:pt idx="10">
                  <c:v>271.7612133907212</c:v>
                </c:pt>
                <c:pt idx="11">
                  <c:v>269.91919540122683</c:v>
                </c:pt>
                <c:pt idx="12">
                  <c:v>268.06600399341102</c:v>
                </c:pt>
                <c:pt idx="13">
                  <c:v>266.1961605951692</c:v>
                </c:pt>
                <c:pt idx="14">
                  <c:v>264.31799852080633</c:v>
                </c:pt>
                <c:pt idx="15">
                  <c:v>262.42589983408101</c:v>
                </c:pt>
                <c:pt idx="16">
                  <c:v>260.52521527827264</c:v>
                </c:pt>
                <c:pt idx="17">
                  <c:v>258.60974930619562</c:v>
                </c:pt>
                <c:pt idx="18">
                  <c:v>256.680848256552</c:v>
                </c:pt>
                <c:pt idx="19">
                  <c:v>254.74453927661858</c:v>
                </c:pt>
                <c:pt idx="20">
                  <c:v>252.79386007169487</c:v>
                </c:pt>
                <c:pt idx="21">
                  <c:v>250.83032095886657</c:v>
                </c:pt>
                <c:pt idx="22">
                  <c:v>248.85566820325414</c:v>
                </c:pt>
                <c:pt idx="23">
                  <c:v>246.86666496325563</c:v>
                </c:pt>
                <c:pt idx="24">
                  <c:v>244.86495657277027</c:v>
                </c:pt>
                <c:pt idx="25">
                  <c:v>242.85813722726809</c:v>
                </c:pt>
                <c:pt idx="26">
                  <c:v>240.83132858416133</c:v>
                </c:pt>
                <c:pt idx="27">
                  <c:v>238.79793160174179</c:v>
                </c:pt>
                <c:pt idx="28">
                  <c:v>236.7543327934246</c:v>
                </c:pt>
                <c:pt idx="29">
                  <c:v>234.69620817104104</c:v>
                </c:pt>
                <c:pt idx="30">
                  <c:v>232.62543347386904</c:v>
                </c:pt>
                <c:pt idx="31">
                  <c:v>230.54418705328001</c:v>
                </c:pt>
                <c:pt idx="32">
                  <c:v>228.44736165423663</c:v>
                </c:pt>
                <c:pt idx="33">
                  <c:v>226.34480493290968</c:v>
                </c:pt>
                <c:pt idx="34">
                  <c:v>224.22316306133524</c:v>
                </c:pt>
                <c:pt idx="35">
                  <c:v>222.10129753851982</c:v>
                </c:pt>
                <c:pt idx="36">
                  <c:v>219.95614658891895</c:v>
                </c:pt>
                <c:pt idx="37">
                  <c:v>217.80766732013814</c:v>
                </c:pt>
                <c:pt idx="38">
                  <c:v>215.65969000872184</c:v>
                </c:pt>
              </c:numCache>
            </c:numRef>
          </c:xVal>
          <c:yVal>
            <c:numRef>
              <c:f>Sheet1!$K$6:$K$44</c:f>
              <c:numCache>
                <c:formatCode>General</c:formatCode>
                <c:ptCount val="39"/>
                <c:pt idx="0">
                  <c:v>1050.3960104164166</c:v>
                </c:pt>
                <c:pt idx="1">
                  <c:v>1013.2409687497587</c:v>
                </c:pt>
                <c:pt idx="2">
                  <c:v>977.18717187476739</c:v>
                </c:pt>
                <c:pt idx="3">
                  <c:v>942.13885937477573</c:v>
                </c:pt>
                <c:pt idx="4">
                  <c:v>908.14391145811715</c:v>
                </c:pt>
                <c:pt idx="5">
                  <c:v>875.106567708125</c:v>
                </c:pt>
                <c:pt idx="6">
                  <c:v>843.12258854146603</c:v>
                </c:pt>
                <c:pt idx="7">
                  <c:v>812.04833333314002</c:v>
                </c:pt>
                <c:pt idx="8">
                  <c:v>781.93168229148046</c:v>
                </c:pt>
                <c:pt idx="9">
                  <c:v>752.72475520815408</c:v>
                </c:pt>
                <c:pt idx="10">
                  <c:v>724.37967187482764</c:v>
                </c:pt>
                <c:pt idx="11">
                  <c:v>696.94431249983404</c:v>
                </c:pt>
                <c:pt idx="12">
                  <c:v>670.37079687484038</c:v>
                </c:pt>
                <c:pt idx="13">
                  <c:v>644.56336458317992</c:v>
                </c:pt>
                <c:pt idx="14">
                  <c:v>619.61777604151916</c:v>
                </c:pt>
                <c:pt idx="15">
                  <c:v>595.4382708331915</c:v>
                </c:pt>
                <c:pt idx="16">
                  <c:v>572.07272916653051</c:v>
                </c:pt>
                <c:pt idx="17">
                  <c:v>549.42539062486924</c:v>
                </c:pt>
                <c:pt idx="18">
                  <c:v>527.4962552082078</c:v>
                </c:pt>
                <c:pt idx="19">
                  <c:v>506.33320312487945</c:v>
                </c:pt>
                <c:pt idx="20">
                  <c:v>485.84047395821767</c:v>
                </c:pt>
                <c:pt idx="21">
                  <c:v>466.01806770822236</c:v>
                </c:pt>
                <c:pt idx="22">
                  <c:v>446.86598437489357</c:v>
                </c:pt>
                <c:pt idx="23">
                  <c:v>428.33634374989805</c:v>
                </c:pt>
                <c:pt idx="24">
                  <c:v>410.42914583323562</c:v>
                </c:pt>
                <c:pt idx="25">
                  <c:v>393.19227083323977</c:v>
                </c:pt>
                <c:pt idx="26">
                  <c:v>376.48207812491034</c:v>
                </c:pt>
                <c:pt idx="27">
                  <c:v>360.39432812491424</c:v>
                </c:pt>
                <c:pt idx="28">
                  <c:v>344.88114062491786</c:v>
                </c:pt>
                <c:pt idx="29">
                  <c:v>329.89463541658813</c:v>
                </c:pt>
                <c:pt idx="30">
                  <c:v>315.43481249992487</c:v>
                </c:pt>
                <c:pt idx="31">
                  <c:v>301.50167187492826</c:v>
                </c:pt>
                <c:pt idx="32">
                  <c:v>288.04733333326476</c:v>
                </c:pt>
                <c:pt idx="33">
                  <c:v>275.11967708326785</c:v>
                </c:pt>
                <c:pt idx="34">
                  <c:v>262.62294270827078</c:v>
                </c:pt>
                <c:pt idx="35">
                  <c:v>250.65289062494034</c:v>
                </c:pt>
                <c:pt idx="36">
                  <c:v>239.06588020827641</c:v>
                </c:pt>
                <c:pt idx="37">
                  <c:v>227.95767187494573</c:v>
                </c:pt>
                <c:pt idx="38">
                  <c:v>217.32826562494824</c:v>
                </c:pt>
              </c:numCache>
            </c:numRef>
          </c:yVal>
        </c:ser>
        <c:axId val="170255104"/>
        <c:axId val="273691392"/>
      </c:scatterChart>
      <c:valAx>
        <c:axId val="170255104"/>
        <c:scaling>
          <c:orientation val="minMax"/>
          <c:max val="325"/>
          <c:min val="175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</c:title>
        <c:numFmt formatCode="General" sourceLinked="1"/>
        <c:tickLblPos val="nextTo"/>
        <c:crossAx val="273691392"/>
        <c:crosses val="autoZero"/>
        <c:crossBetween val="midCat"/>
        <c:majorUnit val="25"/>
      </c:valAx>
      <c:valAx>
        <c:axId val="273691392"/>
        <c:scaling>
          <c:orientation val="maxMin"/>
          <c:max val="1000"/>
          <c:min val="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</c:title>
        <c:numFmt formatCode="General" sourceLinked="1"/>
        <c:tickLblPos val="nextTo"/>
        <c:crossAx val="17025510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  <a:ln w="12700">
          <a:solidFill>
            <a:schemeClr val="tx1"/>
          </a:solidFill>
        </a:ln>
      </c:spPr>
    </c:plotArea>
    <c:legend>
      <c:legendPos val="r"/>
      <c:layout>
        <c:manualLayout>
          <c:xMode val="edge"/>
          <c:yMode val="edge"/>
          <c:x val="0.18403989909995541"/>
          <c:y val="0.63814931466899993"/>
          <c:w val="0.3297398809961255"/>
          <c:h val="0.22345056867891511"/>
        </c:manualLayout>
      </c:layout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449056083401134"/>
          <c:y val="0.17768051803743509"/>
          <c:w val="0.77118891662184996"/>
          <c:h val="0.77097515182864962"/>
        </c:manualLayout>
      </c:layout>
      <c:scatterChart>
        <c:scatterStyle val="lineMarker"/>
        <c:ser>
          <c:idx val="0"/>
          <c:order val="0"/>
          <c:tx>
            <c:strRef>
              <c:f>Sheet1!$J$5:$K$5</c:f>
              <c:strCache>
                <c:ptCount val="1"/>
                <c:pt idx="0">
                  <c:v>Temperature Pressure</c:v>
                </c:pt>
              </c:strCache>
            </c:strRef>
          </c:tx>
          <c:spPr>
            <a:ln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Sheet1!$J$7:$J$44</c:f>
              <c:numCache>
                <c:formatCode>General</c:formatCode>
                <c:ptCount val="38"/>
                <c:pt idx="0">
                  <c:v>288.16666666666669</c:v>
                </c:pt>
                <c:pt idx="1">
                  <c:v>286.16666666666669</c:v>
                </c:pt>
                <c:pt idx="2">
                  <c:v>284.16666666666669</c:v>
                </c:pt>
                <c:pt idx="3">
                  <c:v>282.22222222222223</c:v>
                </c:pt>
                <c:pt idx="4">
                  <c:v>280.22222222222223</c:v>
                </c:pt>
                <c:pt idx="5">
                  <c:v>278.22222222222223</c:v>
                </c:pt>
                <c:pt idx="6">
                  <c:v>276.27777777777777</c:v>
                </c:pt>
                <c:pt idx="7">
                  <c:v>274.27777777777777</c:v>
                </c:pt>
                <c:pt idx="8">
                  <c:v>272.33333333333331</c:v>
                </c:pt>
                <c:pt idx="9">
                  <c:v>270.33333333333331</c:v>
                </c:pt>
                <c:pt idx="10">
                  <c:v>268.33333333333331</c:v>
                </c:pt>
                <c:pt idx="11">
                  <c:v>266.38888888888891</c:v>
                </c:pt>
                <c:pt idx="12">
                  <c:v>264.38888888888891</c:v>
                </c:pt>
                <c:pt idx="13">
                  <c:v>262.38888888888891</c:v>
                </c:pt>
                <c:pt idx="14">
                  <c:v>260.44444444444446</c:v>
                </c:pt>
                <c:pt idx="15">
                  <c:v>258.44444444444446</c:v>
                </c:pt>
                <c:pt idx="16">
                  <c:v>256.5</c:v>
                </c:pt>
                <c:pt idx="17">
                  <c:v>254.5</c:v>
                </c:pt>
                <c:pt idx="18">
                  <c:v>252.5</c:v>
                </c:pt>
                <c:pt idx="19">
                  <c:v>250.55555555555554</c:v>
                </c:pt>
                <c:pt idx="20">
                  <c:v>248.55555555555554</c:v>
                </c:pt>
                <c:pt idx="21">
                  <c:v>246.61111111111111</c:v>
                </c:pt>
                <c:pt idx="22">
                  <c:v>244.61111111111111</c:v>
                </c:pt>
                <c:pt idx="23">
                  <c:v>242.61111111111111</c:v>
                </c:pt>
                <c:pt idx="24">
                  <c:v>240.66666666666666</c:v>
                </c:pt>
                <c:pt idx="25">
                  <c:v>238.66666666666666</c:v>
                </c:pt>
                <c:pt idx="26">
                  <c:v>236.72222222222223</c:v>
                </c:pt>
                <c:pt idx="27">
                  <c:v>234.72222222222223</c:v>
                </c:pt>
                <c:pt idx="28">
                  <c:v>232.77777777777777</c:v>
                </c:pt>
                <c:pt idx="29">
                  <c:v>230.77777777777777</c:v>
                </c:pt>
                <c:pt idx="30">
                  <c:v>228.77777777777777</c:v>
                </c:pt>
                <c:pt idx="31">
                  <c:v>226.83333333333334</c:v>
                </c:pt>
                <c:pt idx="32">
                  <c:v>224.83333333333334</c:v>
                </c:pt>
                <c:pt idx="33">
                  <c:v>222.88888888888889</c:v>
                </c:pt>
                <c:pt idx="34">
                  <c:v>220.88888888888889</c:v>
                </c:pt>
                <c:pt idx="35">
                  <c:v>218.94444444444446</c:v>
                </c:pt>
                <c:pt idx="36">
                  <c:v>216.94444444444446</c:v>
                </c:pt>
                <c:pt idx="37">
                  <c:v>216.66666666666666</c:v>
                </c:pt>
              </c:numCache>
            </c:numRef>
          </c:xVal>
          <c:yVal>
            <c:numRef>
              <c:f>Sheet1!$K$7:$K$44</c:f>
              <c:numCache>
                <c:formatCode>General</c:formatCode>
                <c:ptCount val="38"/>
                <c:pt idx="0">
                  <c:v>1013.2409687497587</c:v>
                </c:pt>
                <c:pt idx="1">
                  <c:v>977.18717187476739</c:v>
                </c:pt>
                <c:pt idx="2">
                  <c:v>942.13885937477573</c:v>
                </c:pt>
                <c:pt idx="3">
                  <c:v>908.14391145811715</c:v>
                </c:pt>
                <c:pt idx="4">
                  <c:v>875.106567708125</c:v>
                </c:pt>
                <c:pt idx="5">
                  <c:v>843.12258854146603</c:v>
                </c:pt>
                <c:pt idx="6">
                  <c:v>812.04833333314002</c:v>
                </c:pt>
                <c:pt idx="7">
                  <c:v>781.93168229148046</c:v>
                </c:pt>
                <c:pt idx="8">
                  <c:v>752.72475520815408</c:v>
                </c:pt>
                <c:pt idx="9">
                  <c:v>724.37967187482764</c:v>
                </c:pt>
                <c:pt idx="10">
                  <c:v>696.94431249983404</c:v>
                </c:pt>
                <c:pt idx="11">
                  <c:v>670.37079687484038</c:v>
                </c:pt>
                <c:pt idx="12">
                  <c:v>644.56336458317992</c:v>
                </c:pt>
                <c:pt idx="13">
                  <c:v>619.61777604151916</c:v>
                </c:pt>
                <c:pt idx="14">
                  <c:v>595.4382708331915</c:v>
                </c:pt>
                <c:pt idx="15">
                  <c:v>572.07272916653051</c:v>
                </c:pt>
                <c:pt idx="16">
                  <c:v>549.42539062486924</c:v>
                </c:pt>
                <c:pt idx="17">
                  <c:v>527.4962552082078</c:v>
                </c:pt>
                <c:pt idx="18">
                  <c:v>506.33320312487945</c:v>
                </c:pt>
                <c:pt idx="19">
                  <c:v>485.84047395821767</c:v>
                </c:pt>
                <c:pt idx="20">
                  <c:v>466.01806770822236</c:v>
                </c:pt>
                <c:pt idx="21">
                  <c:v>446.86598437489357</c:v>
                </c:pt>
                <c:pt idx="22">
                  <c:v>428.33634374989805</c:v>
                </c:pt>
                <c:pt idx="23">
                  <c:v>410.42914583323562</c:v>
                </c:pt>
                <c:pt idx="24">
                  <c:v>393.19227083323977</c:v>
                </c:pt>
                <c:pt idx="25">
                  <c:v>376.48207812491034</c:v>
                </c:pt>
                <c:pt idx="26">
                  <c:v>360.39432812491424</c:v>
                </c:pt>
                <c:pt idx="27">
                  <c:v>344.88114062491786</c:v>
                </c:pt>
                <c:pt idx="28">
                  <c:v>329.89463541658813</c:v>
                </c:pt>
                <c:pt idx="29">
                  <c:v>315.43481249992487</c:v>
                </c:pt>
                <c:pt idx="30">
                  <c:v>301.50167187492826</c:v>
                </c:pt>
                <c:pt idx="31">
                  <c:v>288.04733333326476</c:v>
                </c:pt>
                <c:pt idx="32">
                  <c:v>275.11967708326785</c:v>
                </c:pt>
                <c:pt idx="33">
                  <c:v>262.62294270827078</c:v>
                </c:pt>
                <c:pt idx="34">
                  <c:v>250.65289062494034</c:v>
                </c:pt>
                <c:pt idx="35">
                  <c:v>239.06588020827641</c:v>
                </c:pt>
                <c:pt idx="36">
                  <c:v>227.95767187494573</c:v>
                </c:pt>
                <c:pt idx="37">
                  <c:v>217.32826562494824</c:v>
                </c:pt>
              </c:numCache>
            </c:numRef>
          </c:yVal>
        </c:ser>
        <c:ser>
          <c:idx val="1"/>
          <c:order val="1"/>
          <c:tx>
            <c:strRef>
              <c:f>Sheet1!$L$5</c:f>
              <c:strCache>
                <c:ptCount val="1"/>
                <c:pt idx="0">
                  <c:v>Verkley MaxEnt Variational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3"/>
            <c:spPr>
              <a:solidFill>
                <a:sysClr val="window" lastClr="FFFFFF"/>
              </a:solidFill>
              <a:ln>
                <a:solidFill>
                  <a:srgbClr val="00B0F0"/>
                </a:solidFill>
              </a:ln>
            </c:spPr>
          </c:marker>
          <c:xVal>
            <c:numRef>
              <c:f>Sheet1!$L$6:$L$44</c:f>
              <c:numCache>
                <c:formatCode>General</c:formatCode>
                <c:ptCount val="39"/>
                <c:pt idx="0">
                  <c:v>289.53262548151719</c:v>
                </c:pt>
                <c:pt idx="1">
                  <c:v>287.80897041784436</c:v>
                </c:pt>
                <c:pt idx="2">
                  <c:v>286.07483749466269</c:v>
                </c:pt>
                <c:pt idx="3">
                  <c:v>284.32669563538229</c:v>
                </c:pt>
                <c:pt idx="4">
                  <c:v>282.56803342263009</c:v>
                </c:pt>
                <c:pt idx="5">
                  <c:v>280.79501243329167</c:v>
                </c:pt>
                <c:pt idx="6">
                  <c:v>279.01405560724191</c:v>
                </c:pt>
                <c:pt idx="7">
                  <c:v>277.21846750124314</c:v>
                </c:pt>
                <c:pt idx="8">
                  <c:v>275.41219168632819</c:v>
                </c:pt>
                <c:pt idx="9">
                  <c:v>273.5937028203337</c:v>
                </c:pt>
                <c:pt idx="10">
                  <c:v>271.7612133907212</c:v>
                </c:pt>
                <c:pt idx="11">
                  <c:v>269.91919540122683</c:v>
                </c:pt>
                <c:pt idx="12">
                  <c:v>268.06600399341102</c:v>
                </c:pt>
                <c:pt idx="13">
                  <c:v>266.1961605951692</c:v>
                </c:pt>
                <c:pt idx="14">
                  <c:v>264.31799852080633</c:v>
                </c:pt>
                <c:pt idx="15">
                  <c:v>262.42589983408101</c:v>
                </c:pt>
                <c:pt idx="16">
                  <c:v>260.52521527827264</c:v>
                </c:pt>
                <c:pt idx="17">
                  <c:v>258.60974930619562</c:v>
                </c:pt>
                <c:pt idx="18">
                  <c:v>256.680848256552</c:v>
                </c:pt>
                <c:pt idx="19">
                  <c:v>254.74453927661858</c:v>
                </c:pt>
                <c:pt idx="20">
                  <c:v>252.79386007169487</c:v>
                </c:pt>
                <c:pt idx="21">
                  <c:v>250.83032095886657</c:v>
                </c:pt>
                <c:pt idx="22">
                  <c:v>248.85566820325414</c:v>
                </c:pt>
                <c:pt idx="23">
                  <c:v>246.86666496325563</c:v>
                </c:pt>
                <c:pt idx="24">
                  <c:v>244.86495657277027</c:v>
                </c:pt>
                <c:pt idx="25">
                  <c:v>242.85813722726809</c:v>
                </c:pt>
                <c:pt idx="26">
                  <c:v>240.83132858416133</c:v>
                </c:pt>
                <c:pt idx="27">
                  <c:v>238.79793160174179</c:v>
                </c:pt>
                <c:pt idx="28">
                  <c:v>236.7543327934246</c:v>
                </c:pt>
                <c:pt idx="29">
                  <c:v>234.69620817104104</c:v>
                </c:pt>
                <c:pt idx="30">
                  <c:v>232.62543347386904</c:v>
                </c:pt>
                <c:pt idx="31">
                  <c:v>230.54418705328001</c:v>
                </c:pt>
                <c:pt idx="32">
                  <c:v>228.44736165423663</c:v>
                </c:pt>
                <c:pt idx="33">
                  <c:v>226.34480493290968</c:v>
                </c:pt>
                <c:pt idx="34">
                  <c:v>224.22316306133524</c:v>
                </c:pt>
                <c:pt idx="35">
                  <c:v>222.10129753851982</c:v>
                </c:pt>
                <c:pt idx="36">
                  <c:v>219.95614658891895</c:v>
                </c:pt>
                <c:pt idx="37">
                  <c:v>217.80766732013814</c:v>
                </c:pt>
                <c:pt idx="38">
                  <c:v>215.65969000872184</c:v>
                </c:pt>
              </c:numCache>
            </c:numRef>
          </c:xVal>
          <c:yVal>
            <c:numRef>
              <c:f>Sheet1!$K$6:$K$44</c:f>
              <c:numCache>
                <c:formatCode>General</c:formatCode>
                <c:ptCount val="39"/>
                <c:pt idx="0">
                  <c:v>1050.3960104164166</c:v>
                </c:pt>
                <c:pt idx="1">
                  <c:v>1013.2409687497587</c:v>
                </c:pt>
                <c:pt idx="2">
                  <c:v>977.18717187476739</c:v>
                </c:pt>
                <c:pt idx="3">
                  <c:v>942.13885937477573</c:v>
                </c:pt>
                <c:pt idx="4">
                  <c:v>908.14391145811715</c:v>
                </c:pt>
                <c:pt idx="5">
                  <c:v>875.106567708125</c:v>
                </c:pt>
                <c:pt idx="6">
                  <c:v>843.12258854146603</c:v>
                </c:pt>
                <c:pt idx="7">
                  <c:v>812.04833333314002</c:v>
                </c:pt>
                <c:pt idx="8">
                  <c:v>781.93168229148046</c:v>
                </c:pt>
                <c:pt idx="9">
                  <c:v>752.72475520815408</c:v>
                </c:pt>
                <c:pt idx="10">
                  <c:v>724.37967187482764</c:v>
                </c:pt>
                <c:pt idx="11">
                  <c:v>696.94431249983404</c:v>
                </c:pt>
                <c:pt idx="12">
                  <c:v>670.37079687484038</c:v>
                </c:pt>
                <c:pt idx="13">
                  <c:v>644.56336458317992</c:v>
                </c:pt>
                <c:pt idx="14">
                  <c:v>619.61777604151916</c:v>
                </c:pt>
                <c:pt idx="15">
                  <c:v>595.4382708331915</c:v>
                </c:pt>
                <c:pt idx="16">
                  <c:v>572.07272916653051</c:v>
                </c:pt>
                <c:pt idx="17">
                  <c:v>549.42539062486924</c:v>
                </c:pt>
                <c:pt idx="18">
                  <c:v>527.4962552082078</c:v>
                </c:pt>
                <c:pt idx="19">
                  <c:v>506.33320312487945</c:v>
                </c:pt>
                <c:pt idx="20">
                  <c:v>485.84047395821767</c:v>
                </c:pt>
                <c:pt idx="21">
                  <c:v>466.01806770822236</c:v>
                </c:pt>
                <c:pt idx="22">
                  <c:v>446.86598437489357</c:v>
                </c:pt>
                <c:pt idx="23">
                  <c:v>428.33634374989805</c:v>
                </c:pt>
                <c:pt idx="24">
                  <c:v>410.42914583323562</c:v>
                </c:pt>
                <c:pt idx="25">
                  <c:v>393.19227083323977</c:v>
                </c:pt>
                <c:pt idx="26">
                  <c:v>376.48207812491034</c:v>
                </c:pt>
                <c:pt idx="27">
                  <c:v>360.39432812491424</c:v>
                </c:pt>
                <c:pt idx="28">
                  <c:v>344.88114062491786</c:v>
                </c:pt>
                <c:pt idx="29">
                  <c:v>329.89463541658813</c:v>
                </c:pt>
                <c:pt idx="30">
                  <c:v>315.43481249992487</c:v>
                </c:pt>
                <c:pt idx="31">
                  <c:v>301.50167187492826</c:v>
                </c:pt>
                <c:pt idx="32">
                  <c:v>288.04733333326476</c:v>
                </c:pt>
                <c:pt idx="33">
                  <c:v>275.11967708326785</c:v>
                </c:pt>
                <c:pt idx="34">
                  <c:v>262.62294270827078</c:v>
                </c:pt>
                <c:pt idx="35">
                  <c:v>250.65289062494034</c:v>
                </c:pt>
                <c:pt idx="36">
                  <c:v>239.06588020827641</c:v>
                </c:pt>
                <c:pt idx="37">
                  <c:v>227.95767187494573</c:v>
                </c:pt>
                <c:pt idx="38">
                  <c:v>217.32826562494824</c:v>
                </c:pt>
              </c:numCache>
            </c:numRef>
          </c:yVal>
        </c:ser>
        <c:ser>
          <c:idx val="2"/>
          <c:order val="2"/>
          <c:tx>
            <c:strRef>
              <c:f>Sheet1!$N$5</c:f>
              <c:strCache>
                <c:ptCount val="1"/>
                <c:pt idx="0">
                  <c:v>Polytropic</c:v>
                </c:pt>
              </c:strCache>
            </c:strRef>
          </c:tx>
          <c:marker>
            <c:symbol val="none"/>
          </c:marker>
          <c:xVal>
            <c:numRef>
              <c:f>Sheet1!$N$6:$N$44</c:f>
              <c:numCache>
                <c:formatCode>General</c:formatCode>
                <c:ptCount val="39"/>
                <c:pt idx="0">
                  <c:v>289.54234666645567</c:v>
                </c:pt>
                <c:pt idx="1">
                  <c:v>287.80966207762242</c:v>
                </c:pt>
                <c:pt idx="2">
                  <c:v>286.07695346183232</c:v>
                </c:pt>
                <c:pt idx="3">
                  <c:v>284.34072439303105</c:v>
                </c:pt>
                <c:pt idx="4">
                  <c:v>282.60446895511546</c:v>
                </c:pt>
                <c:pt idx="5">
                  <c:v>280.86442674220416</c:v>
                </c:pt>
                <c:pt idx="6">
                  <c:v>279.12690503653738</c:v>
                </c:pt>
                <c:pt idx="7">
                  <c:v>277.38537489144335</c:v>
                </c:pt>
                <c:pt idx="8">
                  <c:v>275.64368529399206</c:v>
                </c:pt>
                <c:pt idx="9">
                  <c:v>273.90036595892741</c:v>
                </c:pt>
                <c:pt idx="10">
                  <c:v>272.1537284127657</c:v>
                </c:pt>
                <c:pt idx="11">
                  <c:v>270.40803508969668</c:v>
                </c:pt>
                <c:pt idx="12">
                  <c:v>268.66170124338635</c:v>
                </c:pt>
                <c:pt idx="13">
                  <c:v>266.90959252056632</c:v>
                </c:pt>
                <c:pt idx="14">
                  <c:v>265.15951995586505</c:v>
                </c:pt>
                <c:pt idx="15">
                  <c:v>263.40622651445182</c:v>
                </c:pt>
                <c:pt idx="16">
                  <c:v>261.65464779428788</c:v>
                </c:pt>
                <c:pt idx="17">
                  <c:v>259.89905492242406</c:v>
                </c:pt>
                <c:pt idx="18">
                  <c:v>258.14069568565844</c:v>
                </c:pt>
                <c:pt idx="19">
                  <c:v>256.38502029655541</c:v>
                </c:pt>
                <c:pt idx="20">
                  <c:v>254.62567577732324</c:v>
                </c:pt>
                <c:pt idx="21">
                  <c:v>252.8640202601043</c:v>
                </c:pt>
                <c:pt idx="22">
                  <c:v>251.10158970351171</c:v>
                </c:pt>
                <c:pt idx="23">
                  <c:v>249.33547117623337</c:v>
                </c:pt>
                <c:pt idx="24">
                  <c:v>247.56710888685157</c:v>
                </c:pt>
                <c:pt idx="25">
                  <c:v>245.80312956147768</c:v>
                </c:pt>
                <c:pt idx="26">
                  <c:v>244.03041801168922</c:v>
                </c:pt>
                <c:pt idx="27">
                  <c:v>242.26066438058302</c:v>
                </c:pt>
                <c:pt idx="28">
                  <c:v>240.49062648099488</c:v>
                </c:pt>
                <c:pt idx="29">
                  <c:v>238.71650910191647</c:v>
                </c:pt>
                <c:pt idx="30">
                  <c:v>236.93989026442733</c:v>
                </c:pt>
                <c:pt idx="31">
                  <c:v>235.16257126630001</c:v>
                </c:pt>
                <c:pt idx="32">
                  <c:v>233.38013630967987</c:v>
                </c:pt>
                <c:pt idx="33">
                  <c:v>231.60087090983109</c:v>
                </c:pt>
                <c:pt idx="34">
                  <c:v>229.81340452013336</c:v>
                </c:pt>
                <c:pt idx="35">
                  <c:v>228.03352403593476</c:v>
                </c:pt>
                <c:pt idx="36">
                  <c:v>226.24179904099699</c:v>
                </c:pt>
                <c:pt idx="37">
                  <c:v>224.45482628311709</c:v>
                </c:pt>
                <c:pt idx="38">
                  <c:v>222.67559170731116</c:v>
                </c:pt>
              </c:numCache>
            </c:numRef>
          </c:xVal>
          <c:yVal>
            <c:numRef>
              <c:f>Sheet1!$K$6:$K$44</c:f>
              <c:numCache>
                <c:formatCode>General</c:formatCode>
                <c:ptCount val="39"/>
                <c:pt idx="0">
                  <c:v>1050.3960104164166</c:v>
                </c:pt>
                <c:pt idx="1">
                  <c:v>1013.2409687497587</c:v>
                </c:pt>
                <c:pt idx="2">
                  <c:v>977.18717187476739</c:v>
                </c:pt>
                <c:pt idx="3">
                  <c:v>942.13885937477573</c:v>
                </c:pt>
                <c:pt idx="4">
                  <c:v>908.14391145811715</c:v>
                </c:pt>
                <c:pt idx="5">
                  <c:v>875.106567708125</c:v>
                </c:pt>
                <c:pt idx="6">
                  <c:v>843.12258854146603</c:v>
                </c:pt>
                <c:pt idx="7">
                  <c:v>812.04833333314002</c:v>
                </c:pt>
                <c:pt idx="8">
                  <c:v>781.93168229148046</c:v>
                </c:pt>
                <c:pt idx="9">
                  <c:v>752.72475520815408</c:v>
                </c:pt>
                <c:pt idx="10">
                  <c:v>724.37967187482764</c:v>
                </c:pt>
                <c:pt idx="11">
                  <c:v>696.94431249983404</c:v>
                </c:pt>
                <c:pt idx="12">
                  <c:v>670.37079687484038</c:v>
                </c:pt>
                <c:pt idx="13">
                  <c:v>644.56336458317992</c:v>
                </c:pt>
                <c:pt idx="14">
                  <c:v>619.61777604151916</c:v>
                </c:pt>
                <c:pt idx="15">
                  <c:v>595.4382708331915</c:v>
                </c:pt>
                <c:pt idx="16">
                  <c:v>572.07272916653051</c:v>
                </c:pt>
                <c:pt idx="17">
                  <c:v>549.42539062486924</c:v>
                </c:pt>
                <c:pt idx="18">
                  <c:v>527.4962552082078</c:v>
                </c:pt>
                <c:pt idx="19">
                  <c:v>506.33320312487945</c:v>
                </c:pt>
                <c:pt idx="20">
                  <c:v>485.84047395821767</c:v>
                </c:pt>
                <c:pt idx="21">
                  <c:v>466.01806770822236</c:v>
                </c:pt>
                <c:pt idx="22">
                  <c:v>446.86598437489357</c:v>
                </c:pt>
                <c:pt idx="23">
                  <c:v>428.33634374989805</c:v>
                </c:pt>
                <c:pt idx="24">
                  <c:v>410.42914583323562</c:v>
                </c:pt>
                <c:pt idx="25">
                  <c:v>393.19227083323977</c:v>
                </c:pt>
                <c:pt idx="26">
                  <c:v>376.48207812491034</c:v>
                </c:pt>
                <c:pt idx="27">
                  <c:v>360.39432812491424</c:v>
                </c:pt>
                <c:pt idx="28">
                  <c:v>344.88114062491786</c:v>
                </c:pt>
                <c:pt idx="29">
                  <c:v>329.89463541658813</c:v>
                </c:pt>
                <c:pt idx="30">
                  <c:v>315.43481249992487</c:v>
                </c:pt>
                <c:pt idx="31">
                  <c:v>301.50167187492826</c:v>
                </c:pt>
                <c:pt idx="32">
                  <c:v>288.04733333326476</c:v>
                </c:pt>
                <c:pt idx="33">
                  <c:v>275.11967708326785</c:v>
                </c:pt>
                <c:pt idx="34">
                  <c:v>262.62294270827078</c:v>
                </c:pt>
                <c:pt idx="35">
                  <c:v>250.65289062494034</c:v>
                </c:pt>
                <c:pt idx="36">
                  <c:v>239.06588020827641</c:v>
                </c:pt>
                <c:pt idx="37">
                  <c:v>227.95767187494573</c:v>
                </c:pt>
                <c:pt idx="38">
                  <c:v>217.32826562494824</c:v>
                </c:pt>
              </c:numCache>
            </c:numRef>
          </c:yVal>
        </c:ser>
        <c:axId val="274354560"/>
        <c:axId val="274358656"/>
      </c:scatterChart>
      <c:valAx>
        <c:axId val="274354560"/>
        <c:scaling>
          <c:orientation val="minMax"/>
          <c:max val="300"/>
          <c:min val="20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74358656"/>
        <c:crosses val="autoZero"/>
        <c:crossBetween val="midCat"/>
        <c:majorUnit val="25"/>
      </c:valAx>
      <c:valAx>
        <c:axId val="274358656"/>
        <c:scaling>
          <c:orientation val="maxMin"/>
          <c:max val="1200"/>
          <c:min val="20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74354560"/>
        <c:crosses val="autoZero"/>
        <c:crossBetween val="midCat"/>
      </c:valAx>
      <c:spPr>
        <a:noFill/>
        <a:ln w="12700">
          <a:solidFill>
            <a:schemeClr val="tx1"/>
          </a:solidFill>
        </a:ln>
      </c:spPr>
    </c:plotArea>
    <c:legend>
      <c:legendPos val="r"/>
      <c:layout>
        <c:manualLayout>
          <c:xMode val="edge"/>
          <c:yMode val="edge"/>
          <c:x val="0.23561862906671549"/>
          <c:y val="0.46024304765372537"/>
          <c:w val="0.30866069823463849"/>
          <c:h val="0.34873788175322018"/>
        </c:manualLayout>
      </c:layout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334751795078869"/>
          <c:y val="0.10667455759514981"/>
          <c:w val="0.80092767148990962"/>
          <c:h val="0.75447014198147122"/>
        </c:manualLayout>
      </c:layout>
      <c:scatterChart>
        <c:scatterStyle val="lineMarker"/>
        <c:ser>
          <c:idx val="1"/>
          <c:order val="0"/>
          <c:tx>
            <c:strRef>
              <c:f>'Sheet1 (2)'!$M$5</c:f>
              <c:strCache>
                <c:ptCount val="1"/>
                <c:pt idx="0">
                  <c:v>Verkley MaxEnt Variational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3"/>
            <c:spPr>
              <a:solidFill>
                <a:sysClr val="window" lastClr="FFFFFF"/>
              </a:solidFill>
              <a:ln>
                <a:solidFill>
                  <a:srgbClr val="00B0F0"/>
                </a:solidFill>
              </a:ln>
            </c:spPr>
          </c:marker>
          <c:xVal>
            <c:numRef>
              <c:f>'Sheet1 (2)'!$M$6:$M$100</c:f>
              <c:numCache>
                <c:formatCode>General</c:formatCode>
                <c:ptCount val="95"/>
                <c:pt idx="0">
                  <c:v>177.12591741790126</c:v>
                </c:pt>
                <c:pt idx="1">
                  <c:v>183.80623523119138</c:v>
                </c:pt>
                <c:pt idx="2">
                  <c:v>190.72876019759079</c:v>
                </c:pt>
                <c:pt idx="3">
                  <c:v>197.90152799358808</c:v>
                </c:pt>
                <c:pt idx="4">
                  <c:v>205.33278385507188</c:v>
                </c:pt>
                <c:pt idx="5">
                  <c:v>213.0309835541652</c:v>
                </c:pt>
                <c:pt idx="6">
                  <c:v>221.00479396363622</c:v>
                </c:pt>
                <c:pt idx="7">
                  <c:v>229.26309317003407</c:v>
                </c:pt>
                <c:pt idx="8">
                  <c:v>237.81497009467779</c:v>
                </c:pt>
                <c:pt idx="9">
                  <c:v>246.6697235795946</c:v>
                </c:pt>
                <c:pt idx="10">
                  <c:v>255.83686089348888</c:v>
                </c:pt>
                <c:pt idx="11">
                  <c:v>265.32609561083177</c:v>
                </c:pt>
                <c:pt idx="12">
                  <c:v>275.14734481521037</c:v>
                </c:pt>
                <c:pt idx="13">
                  <c:v>285.31072557619819</c:v>
                </c:pt>
                <c:pt idx="14">
                  <c:v>295.82655064720763</c:v>
                </c:pt>
                <c:pt idx="15">
                  <c:v>306.70532333010385</c:v>
                </c:pt>
                <c:pt idx="16">
                  <c:v>317.95773145081324</c:v>
                </c:pt>
                <c:pt idx="17">
                  <c:v>329.59464038878411</c:v>
                </c:pt>
                <c:pt idx="18">
                  <c:v>341.62708510198445</c:v>
                </c:pt>
                <c:pt idx="19">
                  <c:v>354.06626108818205</c:v>
                </c:pt>
                <c:pt idx="20">
                  <c:v>366.92351422259571</c:v>
                </c:pt>
                <c:pt idx="21">
                  <c:v>380.21032941165731</c:v>
                </c:pt>
                <c:pt idx="22">
                  <c:v>393.93831800263979</c:v>
                </c:pt>
                <c:pt idx="23">
                  <c:v>408.11920388932816</c:v>
                </c:pt>
                <c:pt idx="24">
                  <c:v>422.76480825478069</c:v>
                </c:pt>
                <c:pt idx="25">
                  <c:v>437.88703289360427</c:v>
                </c:pt>
                <c:pt idx="26">
                  <c:v>453.4978420581009</c:v>
                </c:pt>
                <c:pt idx="27">
                  <c:v>469.60924277518012</c:v>
                </c:pt>
                <c:pt idx="28">
                  <c:v>486.23326358413436</c:v>
                </c:pt>
                <c:pt idx="29">
                  <c:v>503.38193164928981</c:v>
                </c:pt>
                <c:pt idx="30">
                  <c:v>521.0672482062364</c:v>
                </c:pt>
                <c:pt idx="31">
                  <c:v>539.30116230584326</c:v>
                </c:pt>
                <c:pt idx="32">
                  <c:v>558.09554282664931</c:v>
                </c:pt>
                <c:pt idx="33">
                  <c:v>577.46214873351983</c:v>
                </c:pt>
                <c:pt idx="34">
                  <c:v>597.41259756871307</c:v>
                </c:pt>
                <c:pt idx="35">
                  <c:v>617.95833217076415</c:v>
                </c:pt>
                <c:pt idx="36">
                  <c:v>639.1105856268789</c:v>
                </c:pt>
                <c:pt idx="37">
                  <c:v>660.8803444758629</c:v>
                </c:pt>
                <c:pt idx="38">
                  <c:v>683.27831019100847</c:v>
                </c:pt>
                <c:pt idx="39">
                  <c:v>706.31485898582503</c:v>
                </c:pt>
                <c:pt idx="40">
                  <c:v>730.00000000000034</c:v>
                </c:pt>
                <c:pt idx="41">
                  <c:v>754.34333193851205</c:v>
                </c:pt>
                <c:pt idx="42">
                  <c:v>779.35399825331297</c:v>
                </c:pt>
                <c:pt idx="43">
                  <c:v>805.04064097443893</c:v>
                </c:pt>
                <c:pt idx="44">
                  <c:v>831.41135331563783</c:v>
                </c:pt>
                <c:pt idx="45">
                  <c:v>858.47363119860916</c:v>
                </c:pt>
                <c:pt idx="46">
                  <c:v>886.23432385953413</c:v>
                </c:pt>
                <c:pt idx="47">
                  <c:v>914.69958372162978</c:v>
                </c:pt>
                <c:pt idx="48">
                  <c:v>943.87481573779928</c:v>
                </c:pt>
                <c:pt idx="49">
                  <c:v>973.76462642788817</c:v>
                </c:pt>
                <c:pt idx="50">
                  <c:v>1004.3727728553556</c:v>
                </c:pt>
                <c:pt idx="51">
                  <c:v>1035.7021118081168</c:v>
                </c:pt>
                <c:pt idx="52">
                  <c:v>1067.7545494676133</c:v>
                </c:pt>
                <c:pt idx="53">
                  <c:v>1100.5309918685618</c:v>
                </c:pt>
                <c:pt idx="54">
                  <c:v>1134.0312964690017</c:v>
                </c:pt>
                <c:pt idx="55">
                  <c:v>1168.2542251658992</c:v>
                </c:pt>
                <c:pt idx="56">
                  <c:v>1203.1973991053435</c:v>
                </c:pt>
                <c:pt idx="57">
                  <c:v>1238.8572556479457</c:v>
                </c:pt>
                <c:pt idx="58">
                  <c:v>1275.2290078590934</c:v>
                </c:pt>
                <c:pt idx="59">
                  <c:v>1312.3066068999126</c:v>
                </c:pt>
              </c:numCache>
            </c:numRef>
          </c:xVal>
          <c:yVal>
            <c:numRef>
              <c:f>'Sheet1 (2)'!$L$6:$L$100</c:f>
              <c:numCache>
                <c:formatCode>General</c:formatCode>
                <c:ptCount val="95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1.99526231496888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6.3095734448019334</c:v>
                </c:pt>
                <c:pt idx="9">
                  <c:v>7.943282347242814</c:v>
                </c:pt>
                <c:pt idx="10">
                  <c:v>9.9999999999999982</c:v>
                </c:pt>
                <c:pt idx="11">
                  <c:v>12.589254117941675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25.118864315095809</c:v>
                </c:pt>
                <c:pt idx="15">
                  <c:v>31.622776601683817</c:v>
                </c:pt>
                <c:pt idx="16">
                  <c:v>39.81071705534977</c:v>
                </c:pt>
                <c:pt idx="17">
                  <c:v>50.11872336272728</c:v>
                </c:pt>
                <c:pt idx="18">
                  <c:v>63.095734448019414</c:v>
                </c:pt>
                <c:pt idx="19">
                  <c:v>79.432823472428254</c:v>
                </c:pt>
                <c:pt idx="20">
                  <c:v>100.00000000000013</c:v>
                </c:pt>
                <c:pt idx="21">
                  <c:v>125.89254117941688</c:v>
                </c:pt>
                <c:pt idx="22">
                  <c:v>158.48931924611168</c:v>
                </c:pt>
                <c:pt idx="23">
                  <c:v>199.52623149688836</c:v>
                </c:pt>
                <c:pt idx="24">
                  <c:v>251.18864315095851</c:v>
                </c:pt>
                <c:pt idx="25">
                  <c:v>316.22776601683881</c:v>
                </c:pt>
                <c:pt idx="26">
                  <c:v>398.10717055349835</c:v>
                </c:pt>
                <c:pt idx="27">
                  <c:v>501.1872336272736</c:v>
                </c:pt>
                <c:pt idx="28">
                  <c:v>630.95734448019539</c:v>
                </c:pt>
                <c:pt idx="29">
                  <c:v>794.32823472428424</c:v>
                </c:pt>
                <c:pt idx="30">
                  <c:v>1000.0000000000033</c:v>
                </c:pt>
                <c:pt idx="31">
                  <c:v>1258.9254117941723</c:v>
                </c:pt>
                <c:pt idx="32">
                  <c:v>1584.89319246112</c:v>
                </c:pt>
                <c:pt idx="33">
                  <c:v>1995.2623149688875</c:v>
                </c:pt>
                <c:pt idx="34">
                  <c:v>2511.8864315095921</c:v>
                </c:pt>
                <c:pt idx="35">
                  <c:v>3162.2776601683972</c:v>
                </c:pt>
                <c:pt idx="36">
                  <c:v>3981.071705534991</c:v>
                </c:pt>
                <c:pt idx="37">
                  <c:v>5011.8723362727505</c:v>
                </c:pt>
                <c:pt idx="38">
                  <c:v>6309.5734448019721</c:v>
                </c:pt>
                <c:pt idx="39">
                  <c:v>7943.2823472428581</c:v>
                </c:pt>
                <c:pt idx="40">
                  <c:v>10000.000000000044</c:v>
                </c:pt>
                <c:pt idx="41">
                  <c:v>12589.254117941715</c:v>
                </c:pt>
                <c:pt idx="42">
                  <c:v>15848.931924611175</c:v>
                </c:pt>
                <c:pt idx="43">
                  <c:v>19952.623149688861</c:v>
                </c:pt>
                <c:pt idx="44">
                  <c:v>25118.86431509586</c:v>
                </c:pt>
                <c:pt idx="45">
                  <c:v>31622.77660168384</c:v>
                </c:pt>
                <c:pt idx="46">
                  <c:v>39810.717055349742</c:v>
                </c:pt>
                <c:pt idx="47">
                  <c:v>50118.723362727207</c:v>
                </c:pt>
                <c:pt idx="48">
                  <c:v>63095.734448019233</c:v>
                </c:pt>
                <c:pt idx="49">
                  <c:v>79432.823472427961</c:v>
                </c:pt>
                <c:pt idx="50">
                  <c:v>99999.999999999665</c:v>
                </c:pt>
                <c:pt idx="51">
                  <c:v>125892.54117941618</c:v>
                </c:pt>
                <c:pt idx="52">
                  <c:v>158489.31924611051</c:v>
                </c:pt>
                <c:pt idx="53">
                  <c:v>199526.23149688673</c:v>
                </c:pt>
                <c:pt idx="54">
                  <c:v>251188.64315095666</c:v>
                </c:pt>
                <c:pt idx="55">
                  <c:v>316227.76601683593</c:v>
                </c:pt>
                <c:pt idx="56">
                  <c:v>398107.17055349436</c:v>
                </c:pt>
                <c:pt idx="57">
                  <c:v>501187.23362726811</c:v>
                </c:pt>
                <c:pt idx="58">
                  <c:v>630957.3444801874</c:v>
                </c:pt>
                <c:pt idx="59">
                  <c:v>794328.23472427344</c:v>
                </c:pt>
              </c:numCache>
            </c:numRef>
          </c:yVal>
        </c:ser>
        <c:ser>
          <c:idx val="0"/>
          <c:order val="1"/>
          <c:spPr>
            <a:ln w="28575">
              <a:noFill/>
            </a:ln>
          </c:spPr>
          <c:xVal>
            <c:numRef>
              <c:f>'Sheet1 (2)'!$F$6:$F$23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'Sheet1 (2)'!$H$6:$H$23</c:f>
              <c:numCache>
                <c:formatCode>General</c:formatCode>
                <c:ptCount val="18"/>
                <c:pt idx="0">
                  <c:v>9210</c:v>
                </c:pt>
                <c:pt idx="1">
                  <c:v>6665</c:v>
                </c:pt>
                <c:pt idx="2">
                  <c:v>4739</c:v>
                </c:pt>
                <c:pt idx="3">
                  <c:v>3304</c:v>
                </c:pt>
                <c:pt idx="4">
                  <c:v>2252</c:v>
                </c:pt>
                <c:pt idx="5">
                  <c:v>1493</c:v>
                </c:pt>
                <c:pt idx="6">
                  <c:v>985.1</c:v>
                </c:pt>
                <c:pt idx="7">
                  <c:v>591.70000000000005</c:v>
                </c:pt>
                <c:pt idx="8">
                  <c:v>350.1</c:v>
                </c:pt>
                <c:pt idx="9">
                  <c:v>197.9</c:v>
                </c:pt>
                <c:pt idx="10">
                  <c:v>106.60000000000001</c:v>
                </c:pt>
                <c:pt idx="11">
                  <c:v>53.14</c:v>
                </c:pt>
                <c:pt idx="12">
                  <c:v>23.57</c:v>
                </c:pt>
                <c:pt idx="13">
                  <c:v>9.7650000000000006</c:v>
                </c:pt>
                <c:pt idx="14">
                  <c:v>3.6900000000000008</c:v>
                </c:pt>
                <c:pt idx="15">
                  <c:v>0.47600000000000009</c:v>
                </c:pt>
                <c:pt idx="16">
                  <c:v>3.7359999999999997E-2</c:v>
                </c:pt>
                <c:pt idx="17">
                  <c:v>2.66E-3</c:v>
                </c:pt>
              </c:numCache>
            </c:numRef>
          </c:yVal>
        </c:ser>
        <c:ser>
          <c:idx val="2"/>
          <c:order val="2"/>
          <c:spPr>
            <a:ln w="28575">
              <a:noFill/>
            </a:ln>
          </c:spPr>
          <c:xVal>
            <c:numRef>
              <c:f>'Sheet1 (2)'!$N$6:$N$65</c:f>
              <c:numCache>
                <c:formatCode>General</c:formatCode>
                <c:ptCount val="60"/>
                <c:pt idx="0">
                  <c:v>157.27373237232757</c:v>
                </c:pt>
                <c:pt idx="1">
                  <c:v>163.42664311548879</c:v>
                </c:pt>
                <c:pt idx="2">
                  <c:v>169.82026990221473</c:v>
                </c:pt>
                <c:pt idx="3">
                  <c:v>176.4640300986996</c:v>
                </c:pt>
                <c:pt idx="4">
                  <c:v>183.3677095001994</c:v>
                </c:pt>
                <c:pt idx="5">
                  <c:v>190.54147674482519</c:v>
                </c:pt>
                <c:pt idx="6">
                  <c:v>197.99589829123809</c:v>
                </c:pt>
                <c:pt idx="7">
                  <c:v>205.74195398230515</c:v>
                </c:pt>
                <c:pt idx="8">
                  <c:v>213.79105321764229</c:v>
                </c:pt>
                <c:pt idx="9">
                  <c:v>222.15505175886375</c:v>
                </c:pt>
                <c:pt idx="10">
                  <c:v>230.84626919229174</c:v>
                </c:pt>
                <c:pt idx="11">
                  <c:v>239.87750707484781</c:v>
                </c:pt>
                <c:pt idx="12">
                  <c:v>249.26206778985295</c:v>
                </c:pt>
                <c:pt idx="13">
                  <c:v>259.01377414051018</c:v>
                </c:pt>
                <c:pt idx="14">
                  <c:v>269.14698970992902</c:v>
                </c:pt>
                <c:pt idx="15">
                  <c:v>279.67664001768202</c:v>
                </c:pt>
                <c:pt idx="16">
                  <c:v>290.61823450405302</c:v>
                </c:pt>
                <c:pt idx="17">
                  <c:v>301.98788937436103</c:v>
                </c:pt>
                <c:pt idx="18">
                  <c:v>313.80235133700631</c:v>
                </c:pt>
                <c:pt idx="19">
                  <c:v>326.07902227020315</c:v>
                </c:pt>
                <c:pt idx="20">
                  <c:v>338.83598485373295</c:v>
                </c:pt>
                <c:pt idx="21">
                  <c:v>352.09202920346951</c:v>
                </c:pt>
                <c:pt idx="22">
                  <c:v>365.86668054790891</c:v>
                </c:pt>
                <c:pt idx="23">
                  <c:v>380.18022798746898</c:v>
                </c:pt>
                <c:pt idx="24">
                  <c:v>395.05375437891865</c:v>
                </c:pt>
                <c:pt idx="25">
                  <c:v>410.50916738895506</c:v>
                </c:pt>
                <c:pt idx="26">
                  <c:v>426.56923176266804</c:v>
                </c:pt>
                <c:pt idx="27">
                  <c:v>443.2576028544218</c:v>
                </c:pt>
                <c:pt idx="28">
                  <c:v>460.59886147054129</c:v>
                </c:pt>
                <c:pt idx="29">
                  <c:v>478.61855007512492</c:v>
                </c:pt>
                <c:pt idx="30">
                  <c:v>497.34321041231203</c:v>
                </c:pt>
                <c:pt idx="31">
                  <c:v>516.80042260042103</c:v>
                </c:pt>
                <c:pt idx="32">
                  <c:v>537.01884575553856</c:v>
                </c:pt>
                <c:pt idx="33">
                  <c:v>558.02826020439852</c:v>
                </c:pt>
                <c:pt idx="34">
                  <c:v>579.85961134872593</c:v>
                </c:pt>
                <c:pt idx="35">
                  <c:v>602.545055245654</c:v>
                </c:pt>
                <c:pt idx="36">
                  <c:v>626.11800597135323</c:v>
                </c:pt>
                <c:pt idx="37">
                  <c:v>650.61318483763478</c:v>
                </c:pt>
                <c:pt idx="38">
                  <c:v>676.06667153401997</c:v>
                </c:pt>
                <c:pt idx="39">
                  <c:v>702.51595727060533</c:v>
                </c:pt>
                <c:pt idx="40">
                  <c:v>730.00000000000045</c:v>
                </c:pt>
                <c:pt idx="41">
                  <c:v>758.55928179967395</c:v>
                </c:pt>
                <c:pt idx="42">
                  <c:v>788.23586849922833</c:v>
                </c:pt>
                <c:pt idx="43">
                  <c:v>819.0734716404337</c:v>
                </c:pt>
                <c:pt idx="44">
                  <c:v>851.11751286127742</c:v>
                </c:pt>
                <c:pt idx="45">
                  <c:v>884.41519079886984</c:v>
                </c:pt>
                <c:pt idx="46">
                  <c:v>919.01555060974215</c:v>
                </c:pt>
                <c:pt idx="47">
                  <c:v>954.96955620994174</c:v>
                </c:pt>
                <c:pt idx="48">
                  <c:v>992.33016534132355</c:v>
                </c:pt>
                <c:pt idx="49">
                  <c:v>1031.1524075746102</c:v>
                </c:pt>
                <c:pt idx="50">
                  <c:v>1071.4934653641103</c:v>
                </c:pt>
                <c:pt idx="51">
                  <c:v>1113.412758273483</c:v>
                </c:pt>
                <c:pt idx="52">
                  <c:v>1156.9720304966118</c:v>
                </c:pt>
                <c:pt idx="53">
                  <c:v>1202.2354418024927</c:v>
                </c:pt>
                <c:pt idx="54">
                  <c:v>1249.2696620380987</c:v>
                </c:pt>
                <c:pt idx="55">
                  <c:v>1298.1439693284124</c:v>
                </c:pt>
                <c:pt idx="56">
                  <c:v>1348.9303521182708</c:v>
                </c:pt>
                <c:pt idx="57">
                  <c:v>1401.7036152063231</c:v>
                </c:pt>
                <c:pt idx="58">
                  <c:v>1456.5414899272798</c:v>
                </c:pt>
                <c:pt idx="59">
                  <c:v>1513.5247486447447</c:v>
                </c:pt>
              </c:numCache>
            </c:numRef>
          </c:xVal>
          <c:yVal>
            <c:numRef>
              <c:f>'Sheet1 (2)'!$L$6:$L$65</c:f>
              <c:numCache>
                <c:formatCode>General</c:formatCode>
                <c:ptCount val="60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1.99526231496888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6.3095734448019334</c:v>
                </c:pt>
                <c:pt idx="9">
                  <c:v>7.943282347242814</c:v>
                </c:pt>
                <c:pt idx="10">
                  <c:v>9.9999999999999982</c:v>
                </c:pt>
                <c:pt idx="11">
                  <c:v>12.589254117941675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25.118864315095809</c:v>
                </c:pt>
                <c:pt idx="15">
                  <c:v>31.622776601683817</c:v>
                </c:pt>
                <c:pt idx="16">
                  <c:v>39.81071705534977</c:v>
                </c:pt>
                <c:pt idx="17">
                  <c:v>50.11872336272728</c:v>
                </c:pt>
                <c:pt idx="18">
                  <c:v>63.095734448019414</c:v>
                </c:pt>
                <c:pt idx="19">
                  <c:v>79.432823472428254</c:v>
                </c:pt>
                <c:pt idx="20">
                  <c:v>100.00000000000013</c:v>
                </c:pt>
                <c:pt idx="21">
                  <c:v>125.89254117941688</c:v>
                </c:pt>
                <c:pt idx="22">
                  <c:v>158.48931924611168</c:v>
                </c:pt>
                <c:pt idx="23">
                  <c:v>199.52623149688836</c:v>
                </c:pt>
                <c:pt idx="24">
                  <c:v>251.18864315095851</c:v>
                </c:pt>
                <c:pt idx="25">
                  <c:v>316.22776601683881</c:v>
                </c:pt>
                <c:pt idx="26">
                  <c:v>398.10717055349835</c:v>
                </c:pt>
                <c:pt idx="27">
                  <c:v>501.1872336272736</c:v>
                </c:pt>
                <c:pt idx="28">
                  <c:v>630.95734448019539</c:v>
                </c:pt>
                <c:pt idx="29">
                  <c:v>794.32823472428424</c:v>
                </c:pt>
                <c:pt idx="30">
                  <c:v>1000.0000000000033</c:v>
                </c:pt>
                <c:pt idx="31">
                  <c:v>1258.9254117941723</c:v>
                </c:pt>
                <c:pt idx="32">
                  <c:v>1584.89319246112</c:v>
                </c:pt>
                <c:pt idx="33">
                  <c:v>1995.2623149688875</c:v>
                </c:pt>
                <c:pt idx="34">
                  <c:v>2511.8864315095921</c:v>
                </c:pt>
                <c:pt idx="35">
                  <c:v>3162.2776601683972</c:v>
                </c:pt>
                <c:pt idx="36">
                  <c:v>3981.071705534991</c:v>
                </c:pt>
                <c:pt idx="37">
                  <c:v>5011.8723362727505</c:v>
                </c:pt>
                <c:pt idx="38">
                  <c:v>6309.5734448019721</c:v>
                </c:pt>
                <c:pt idx="39">
                  <c:v>7943.2823472428581</c:v>
                </c:pt>
                <c:pt idx="40">
                  <c:v>10000.000000000044</c:v>
                </c:pt>
                <c:pt idx="41">
                  <c:v>12589.254117941715</c:v>
                </c:pt>
                <c:pt idx="42">
                  <c:v>15848.931924611175</c:v>
                </c:pt>
                <c:pt idx="43">
                  <c:v>19952.623149688861</c:v>
                </c:pt>
                <c:pt idx="44">
                  <c:v>25118.86431509586</c:v>
                </c:pt>
                <c:pt idx="45">
                  <c:v>31622.77660168384</c:v>
                </c:pt>
                <c:pt idx="46">
                  <c:v>39810.717055349742</c:v>
                </c:pt>
                <c:pt idx="47">
                  <c:v>50118.723362727207</c:v>
                </c:pt>
                <c:pt idx="48">
                  <c:v>63095.734448019233</c:v>
                </c:pt>
                <c:pt idx="49">
                  <c:v>79432.823472427961</c:v>
                </c:pt>
                <c:pt idx="50">
                  <c:v>99999.999999999665</c:v>
                </c:pt>
                <c:pt idx="51">
                  <c:v>125892.54117941618</c:v>
                </c:pt>
                <c:pt idx="52">
                  <c:v>158489.31924611051</c:v>
                </c:pt>
                <c:pt idx="53">
                  <c:v>199526.23149688673</c:v>
                </c:pt>
                <c:pt idx="54">
                  <c:v>251188.64315095666</c:v>
                </c:pt>
                <c:pt idx="55">
                  <c:v>316227.76601683593</c:v>
                </c:pt>
                <c:pt idx="56">
                  <c:v>398107.17055349436</c:v>
                </c:pt>
                <c:pt idx="57">
                  <c:v>501187.23362726811</c:v>
                </c:pt>
                <c:pt idx="58">
                  <c:v>630957.3444801874</c:v>
                </c:pt>
                <c:pt idx="59">
                  <c:v>794328.23472427344</c:v>
                </c:pt>
              </c:numCache>
            </c:numRef>
          </c:yVal>
        </c:ser>
        <c:axId val="251335808"/>
        <c:axId val="251338112"/>
      </c:scatterChart>
      <c:valAx>
        <c:axId val="251335808"/>
        <c:scaling>
          <c:orientation val="minMax"/>
          <c:max val="800"/>
          <c:min val="2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51338112"/>
        <c:crosses val="autoZero"/>
        <c:crossBetween val="midCat"/>
      </c:valAx>
      <c:valAx>
        <c:axId val="251338112"/>
        <c:scaling>
          <c:logBase val="10"/>
          <c:orientation val="minMax"/>
          <c:max val="10000"/>
          <c:min val="0.1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5133580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  <a:ln w="12700">
          <a:solidFill>
            <a:schemeClr val="tx1"/>
          </a:solidFill>
        </a:ln>
      </c:spPr>
    </c:plotArea>
    <c:legend>
      <c:legendPos val="r"/>
      <c:layout>
        <c:manualLayout>
          <c:xMode val="edge"/>
          <c:yMode val="edge"/>
          <c:x val="0.43080836788892507"/>
          <c:y val="0.51909140136282328"/>
          <c:w val="0.24620854847048779"/>
          <c:h val="0.24475321051214866"/>
        </c:manualLayout>
      </c:layout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6</xdr:row>
      <xdr:rowOff>171450</xdr:rowOff>
    </xdr:from>
    <xdr:to>
      <xdr:col>6</xdr:col>
      <xdr:colOff>276225</xdr:colOff>
      <xdr:row>24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28575</xdr:colOff>
      <xdr:row>9</xdr:row>
      <xdr:rowOff>28576</xdr:rowOff>
    </xdr:from>
    <xdr:to>
      <xdr:col>19</xdr:col>
      <xdr:colOff>466725</xdr:colOff>
      <xdr:row>26</xdr:row>
      <xdr:rowOff>85726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514350</xdr:colOff>
      <xdr:row>29</xdr:row>
      <xdr:rowOff>133350</xdr:rowOff>
    </xdr:from>
    <xdr:to>
      <xdr:col>18</xdr:col>
      <xdr:colOff>590550</xdr:colOff>
      <xdr:row>32</xdr:row>
      <xdr:rowOff>152400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715375" y="6038850"/>
          <a:ext cx="3200400" cy="5905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495299</xdr:colOff>
      <xdr:row>7</xdr:row>
      <xdr:rowOff>133351</xdr:rowOff>
    </xdr:from>
    <xdr:to>
      <xdr:col>15</xdr:col>
      <xdr:colOff>123825</xdr:colOff>
      <xdr:row>32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514350</xdr:colOff>
      <xdr:row>29</xdr:row>
      <xdr:rowOff>133350</xdr:rowOff>
    </xdr:from>
    <xdr:to>
      <xdr:col>20</xdr:col>
      <xdr:colOff>57150</xdr:colOff>
      <xdr:row>32</xdr:row>
      <xdr:rowOff>152400</xdr:rowOff>
    </xdr:to>
    <xdr:pic>
      <xdr:nvPicPr>
        <xdr:cNvPr id="4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715375" y="6038850"/>
          <a:ext cx="3200400" cy="5905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19</xdr:col>
      <xdr:colOff>304800</xdr:colOff>
      <xdr:row>22</xdr:row>
      <xdr:rowOff>129966</xdr:rowOff>
    </xdr:from>
    <xdr:to>
      <xdr:col>24</xdr:col>
      <xdr:colOff>85725</xdr:colOff>
      <xdr:row>38</xdr:row>
      <xdr:rowOff>171449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163425" y="4701966"/>
          <a:ext cx="2828925" cy="3089483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F1:O72"/>
  <sheetViews>
    <sheetView tabSelected="1" topLeftCell="H1" workbookViewId="0">
      <selection activeCell="O5" sqref="O5"/>
    </sheetView>
  </sheetViews>
  <sheetFormatPr defaultRowHeight="15"/>
  <cols>
    <col min="6" max="9" width="9.140625" style="4"/>
    <col min="12" max="12" width="10.85546875" customWidth="1"/>
    <col min="13" max="13" width="11.5703125" bestFit="1" customWidth="1"/>
    <col min="14" max="14" width="10.28515625" customWidth="1"/>
  </cols>
  <sheetData>
    <row r="1" spans="6:15">
      <c r="K1">
        <v>286.89999999999998</v>
      </c>
      <c r="L1" s="3">
        <v>287.17937500000005</v>
      </c>
      <c r="M1" s="3" t="s">
        <v>5</v>
      </c>
    </row>
    <row r="2" spans="6:15">
      <c r="G2" s="4" t="s">
        <v>11</v>
      </c>
      <c r="L2" s="3">
        <v>1</v>
      </c>
      <c r="M2" s="3" t="s">
        <v>6</v>
      </c>
      <c r="N2" s="3">
        <v>1.6868000000000001</v>
      </c>
    </row>
    <row r="3" spans="6:15">
      <c r="L3" s="3">
        <f>1/3</f>
        <v>0.33333333333333331</v>
      </c>
      <c r="M3" s="3" t="s">
        <v>8</v>
      </c>
      <c r="N3" s="3">
        <f>287/1004</f>
        <v>0.28585657370517931</v>
      </c>
    </row>
    <row r="4" spans="6:15">
      <c r="L4" s="3">
        <v>1000</v>
      </c>
      <c r="M4" s="3" t="s">
        <v>7</v>
      </c>
    </row>
    <row r="5" spans="6:15" s="1" customFormat="1" ht="45">
      <c r="F5" s="5" t="s">
        <v>0</v>
      </c>
      <c r="G5" s="5" t="s">
        <v>1</v>
      </c>
      <c r="H5" s="5" t="s">
        <v>0</v>
      </c>
      <c r="I5" s="5" t="s">
        <v>2</v>
      </c>
      <c r="J5" s="1" t="s">
        <v>3</v>
      </c>
      <c r="K5" s="1" t="s">
        <v>4</v>
      </c>
      <c r="L5" s="1" t="s">
        <v>9</v>
      </c>
      <c r="M5" s="2">
        <f>+SUM(M6:M44)</f>
        <v>106.63996471158164</v>
      </c>
      <c r="N5" s="2" t="s">
        <v>14</v>
      </c>
    </row>
    <row r="6" spans="6:15">
      <c r="F6" s="4">
        <v>-30479.999024640001</v>
      </c>
      <c r="G6" s="4">
        <v>522.20000000000005</v>
      </c>
      <c r="H6" s="4">
        <v>-30479.999024640001</v>
      </c>
      <c r="I6" s="4">
        <v>2193.8000000000002</v>
      </c>
      <c r="J6">
        <f>+$G6*5/9</f>
        <v>290.11111111111109</v>
      </c>
      <c r="K6">
        <f>+$I6/2.088545632547</f>
        <v>1050.3960104164166</v>
      </c>
      <c r="L6">
        <f t="shared" ref="L6:L44" si="0">+Tr*(1+Alpha)/(1+Alpha*(Pr/$K6)^kappa)</f>
        <v>289.53262548151719</v>
      </c>
      <c r="M6">
        <f>+($J6-$L6)^2</f>
        <v>0.33464562364665013</v>
      </c>
      <c r="N6">
        <f>+Tr*($K6/Pr)^(1/6)</f>
        <v>289.54234666645567</v>
      </c>
    </row>
    <row r="7" spans="6:15">
      <c r="F7" s="4">
        <v>0</v>
      </c>
      <c r="G7" s="4">
        <v>518.70000000000005</v>
      </c>
      <c r="H7" s="4">
        <v>0</v>
      </c>
      <c r="I7" s="4">
        <v>2116.1999999999998</v>
      </c>
      <c r="J7">
        <f>+$G7*5/9</f>
        <v>288.16666666666669</v>
      </c>
      <c r="K7">
        <f>+$I7/2.088545632547</f>
        <v>1013.2409687497587</v>
      </c>
      <c r="L7">
        <f t="shared" si="0"/>
        <v>287.80897041784436</v>
      </c>
      <c r="M7">
        <f t="shared" ref="M7:M44" si="1">+($J7-$L7)^2</f>
        <v>0.12794660642156025</v>
      </c>
      <c r="N7">
        <f>+Tr*($K7/Pr)^(1/6)</f>
        <v>287.80966207762242</v>
      </c>
    </row>
    <row r="8" spans="6:15">
      <c r="F8" s="4">
        <v>30479.999024640001</v>
      </c>
      <c r="G8" s="4">
        <v>515.1</v>
      </c>
      <c r="H8" s="4">
        <v>30479.999024640001</v>
      </c>
      <c r="I8" s="4">
        <v>2040.9</v>
      </c>
      <c r="J8">
        <f t="shared" ref="J8:J44" si="2">+$G8*5/9</f>
        <v>286.16666666666669</v>
      </c>
      <c r="K8">
        <f t="shared" ref="K8:K44" si="3">+$I8/2.088545632547</f>
        <v>977.18717187476739</v>
      </c>
      <c r="L8">
        <f t="shared" si="0"/>
        <v>286.07483749466269</v>
      </c>
      <c r="M8">
        <f t="shared" si="1"/>
        <v>8.4325968309397446E-3</v>
      </c>
      <c r="N8">
        <f>+Tr*($K8/Pr)^(1/6)</f>
        <v>286.07695346183232</v>
      </c>
    </row>
    <row r="9" spans="6:15">
      <c r="F9" s="4">
        <v>60959.998049280002</v>
      </c>
      <c r="G9" s="4">
        <v>511.5</v>
      </c>
      <c r="H9" s="4">
        <v>60959.998049280002</v>
      </c>
      <c r="I9" s="4">
        <v>1967.7</v>
      </c>
      <c r="J9">
        <f t="shared" si="2"/>
        <v>284.16666666666669</v>
      </c>
      <c r="K9">
        <f t="shared" si="3"/>
        <v>942.13885937477573</v>
      </c>
      <c r="L9">
        <f t="shared" si="0"/>
        <v>284.32669563538229</v>
      </c>
      <c r="M9">
        <f t="shared" si="1"/>
        <v>2.5609270828180975E-2</v>
      </c>
      <c r="N9">
        <f>+Tr*($K9/Pr)^(1/6)</f>
        <v>284.34072439303105</v>
      </c>
    </row>
    <row r="10" spans="6:15">
      <c r="F10" s="4">
        <v>91439.997073920094</v>
      </c>
      <c r="G10" s="4">
        <v>508</v>
      </c>
      <c r="H10" s="4">
        <v>91439.997073920094</v>
      </c>
      <c r="I10" s="4">
        <v>1896.7</v>
      </c>
      <c r="J10">
        <f t="shared" si="2"/>
        <v>282.22222222222223</v>
      </c>
      <c r="K10">
        <f t="shared" si="3"/>
        <v>908.14391145811715</v>
      </c>
      <c r="L10">
        <f t="shared" si="0"/>
        <v>282.56803342263009</v>
      </c>
      <c r="M10">
        <f t="shared" si="1"/>
        <v>0.11958538632752908</v>
      </c>
      <c r="N10">
        <f>+Tr*($K10/Pr)^(1/6)</f>
        <v>282.60446895511546</v>
      </c>
    </row>
    <row r="11" spans="6:15">
      <c r="F11" s="4">
        <v>121919.99609856</v>
      </c>
      <c r="G11" s="4">
        <v>504.4</v>
      </c>
      <c r="H11" s="4">
        <v>121919.99609856</v>
      </c>
      <c r="I11" s="4">
        <v>1827.7</v>
      </c>
      <c r="J11">
        <f t="shared" si="2"/>
        <v>280.22222222222223</v>
      </c>
      <c r="K11">
        <f t="shared" si="3"/>
        <v>875.106567708125</v>
      </c>
      <c r="L11">
        <f t="shared" si="0"/>
        <v>280.79501243329167</v>
      </c>
      <c r="M11">
        <f t="shared" si="1"/>
        <v>0.32808862589698029</v>
      </c>
      <c r="N11">
        <f>+Tr*($K11/Pr)^(1/6)</f>
        <v>280.86442674220416</v>
      </c>
    </row>
    <row r="12" spans="6:15">
      <c r="F12" s="4">
        <v>152399.9951232</v>
      </c>
      <c r="G12" s="4">
        <v>500.8</v>
      </c>
      <c r="H12" s="4">
        <v>152399.9951232</v>
      </c>
      <c r="I12" s="4">
        <v>1760.9</v>
      </c>
      <c r="J12">
        <f t="shared" si="2"/>
        <v>278.22222222222223</v>
      </c>
      <c r="K12">
        <f t="shared" si="3"/>
        <v>843.12258854146603</v>
      </c>
      <c r="L12">
        <f t="shared" si="0"/>
        <v>279.01405560724191</v>
      </c>
      <c r="M12">
        <f t="shared" si="1"/>
        <v>0.62700010963173414</v>
      </c>
      <c r="N12">
        <f>+Tr*($K12/Pr)^(1/6)</f>
        <v>279.12690503653738</v>
      </c>
    </row>
    <row r="13" spans="6:15">
      <c r="F13" s="4">
        <v>182879.99414784001</v>
      </c>
      <c r="G13" s="4">
        <v>497.3</v>
      </c>
      <c r="H13" s="4">
        <v>182879.99414784001</v>
      </c>
      <c r="I13" s="4">
        <v>1696</v>
      </c>
      <c r="J13">
        <f t="shared" si="2"/>
        <v>276.27777777777777</v>
      </c>
      <c r="K13">
        <f t="shared" si="3"/>
        <v>812.04833333314002</v>
      </c>
      <c r="L13">
        <f t="shared" si="0"/>
        <v>277.21846750124314</v>
      </c>
      <c r="M13">
        <f t="shared" si="1"/>
        <v>0.88489715583335127</v>
      </c>
      <c r="N13">
        <f>+Tr*($K13/Pr)^(1/6)</f>
        <v>277.38537489144335</v>
      </c>
      <c r="O13" s="6" t="s">
        <v>12</v>
      </c>
    </row>
    <row r="14" spans="6:15">
      <c r="F14" s="4">
        <v>213359.99317248</v>
      </c>
      <c r="G14" s="4">
        <v>493.7</v>
      </c>
      <c r="H14" s="4">
        <v>213359.99317248</v>
      </c>
      <c r="I14" s="4">
        <v>1633.1</v>
      </c>
      <c r="J14">
        <f t="shared" si="2"/>
        <v>274.27777777777777</v>
      </c>
      <c r="K14">
        <f t="shared" si="3"/>
        <v>781.93168229148046</v>
      </c>
      <c r="L14">
        <f t="shared" si="0"/>
        <v>275.41219168632819</v>
      </c>
      <c r="M14">
        <f t="shared" si="1"/>
        <v>1.2868949159126268</v>
      </c>
      <c r="N14">
        <f>+Tr*($K14/Pr)^(1/6)</f>
        <v>275.64368529399206</v>
      </c>
      <c r="O14" s="7" t="s">
        <v>13</v>
      </c>
    </row>
    <row r="15" spans="6:15">
      <c r="F15" s="4">
        <v>243839.99219712001</v>
      </c>
      <c r="G15" s="4">
        <v>490.2</v>
      </c>
      <c r="H15" s="4">
        <v>243839.99219712001</v>
      </c>
      <c r="I15" s="4">
        <v>1572.1</v>
      </c>
      <c r="J15">
        <f t="shared" si="2"/>
        <v>272.33333333333331</v>
      </c>
      <c r="K15">
        <f t="shared" si="3"/>
        <v>752.72475520815408</v>
      </c>
      <c r="L15">
        <f t="shared" si="0"/>
        <v>273.5937028203337</v>
      </c>
      <c r="M15">
        <f t="shared" si="1"/>
        <v>1.5885312437616241</v>
      </c>
      <c r="N15">
        <f>+Tr*($K15/Pr)^(1/6)</f>
        <v>273.90036595892741</v>
      </c>
    </row>
    <row r="16" spans="6:15">
      <c r="F16" s="4">
        <v>274319.99122175999</v>
      </c>
      <c r="G16" s="4">
        <v>486.6</v>
      </c>
      <c r="H16" s="4">
        <v>274319.99122175999</v>
      </c>
      <c r="I16" s="4">
        <v>1512.9</v>
      </c>
      <c r="J16">
        <f t="shared" si="2"/>
        <v>270.33333333333331</v>
      </c>
      <c r="K16">
        <f t="shared" si="3"/>
        <v>724.37967187482764</v>
      </c>
      <c r="L16">
        <f t="shared" si="0"/>
        <v>271.7612133907212</v>
      </c>
      <c r="M16">
        <f t="shared" si="1"/>
        <v>2.0388414582860186</v>
      </c>
      <c r="N16">
        <f>+Tr*($K16/Pr)^(1/6)</f>
        <v>272.1537284127657</v>
      </c>
    </row>
    <row r="17" spans="6:14">
      <c r="F17" s="4">
        <v>304799.9902464</v>
      </c>
      <c r="G17" s="4">
        <v>483</v>
      </c>
      <c r="H17" s="4">
        <v>304799.9902464</v>
      </c>
      <c r="I17" s="4">
        <v>1455.6</v>
      </c>
      <c r="J17">
        <f t="shared" si="2"/>
        <v>268.33333333333331</v>
      </c>
      <c r="K17">
        <f t="shared" si="3"/>
        <v>696.94431249983404</v>
      </c>
      <c r="L17">
        <f t="shared" si="0"/>
        <v>269.91919540122683</v>
      </c>
      <c r="M17">
        <f t="shared" si="1"/>
        <v>2.5149584983834967</v>
      </c>
      <c r="N17">
        <f>+Tr*($K17/Pr)^(1/6)</f>
        <v>270.40803508969668</v>
      </c>
    </row>
    <row r="18" spans="6:14">
      <c r="F18" s="4">
        <v>335279.98927104002</v>
      </c>
      <c r="G18" s="4">
        <v>479.5</v>
      </c>
      <c r="H18" s="4">
        <v>335279.98927104002</v>
      </c>
      <c r="I18" s="4">
        <v>1400.1</v>
      </c>
      <c r="J18">
        <f t="shared" si="2"/>
        <v>266.38888888888891</v>
      </c>
      <c r="K18">
        <f t="shared" si="3"/>
        <v>670.37079687484038</v>
      </c>
      <c r="L18">
        <f t="shared" si="0"/>
        <v>268.06600399341102</v>
      </c>
      <c r="M18">
        <f t="shared" si="1"/>
        <v>2.8127150738161806</v>
      </c>
      <c r="N18">
        <f>+Tr*($K18/Pr)^(1/6)</f>
        <v>268.66170124338635</v>
      </c>
    </row>
    <row r="19" spans="6:14">
      <c r="F19" s="4">
        <v>365759.98829568003</v>
      </c>
      <c r="G19" s="4">
        <v>475.9</v>
      </c>
      <c r="H19" s="4">
        <v>365759.98829568003</v>
      </c>
      <c r="I19" s="4">
        <v>1346.2</v>
      </c>
      <c r="J19">
        <f t="shared" si="2"/>
        <v>264.38888888888891</v>
      </c>
      <c r="K19">
        <f t="shared" si="3"/>
        <v>644.56336458317992</v>
      </c>
      <c r="L19">
        <f t="shared" si="0"/>
        <v>266.1961605951692</v>
      </c>
      <c r="M19">
        <f t="shared" si="1"/>
        <v>3.2662310203212686</v>
      </c>
      <c r="N19">
        <f>+Tr*($K19/Pr)^(1/6)</f>
        <v>266.90959252056632</v>
      </c>
    </row>
    <row r="20" spans="6:14">
      <c r="F20" s="4">
        <v>396239.98732031998</v>
      </c>
      <c r="G20" s="4">
        <v>472.3</v>
      </c>
      <c r="H20" s="4">
        <v>396239.98732031998</v>
      </c>
      <c r="I20" s="4">
        <v>1294.0999999999999</v>
      </c>
      <c r="J20">
        <f t="shared" si="2"/>
        <v>262.38888888888891</v>
      </c>
      <c r="K20">
        <f t="shared" si="3"/>
        <v>619.61777604151916</v>
      </c>
      <c r="L20">
        <f t="shared" si="0"/>
        <v>264.31799852080633</v>
      </c>
      <c r="M20">
        <f t="shared" si="1"/>
        <v>3.7214639719565366</v>
      </c>
      <c r="N20">
        <f>+Tr*($K20/Pr)^(1/6)</f>
        <v>265.15951995586505</v>
      </c>
    </row>
    <row r="21" spans="6:14">
      <c r="F21" s="4">
        <v>426719.98634495999</v>
      </c>
      <c r="G21" s="4">
        <v>468.8</v>
      </c>
      <c r="H21" s="4">
        <v>426719.98634495999</v>
      </c>
      <c r="I21" s="4">
        <v>1243.5999999999999</v>
      </c>
      <c r="J21">
        <f t="shared" si="2"/>
        <v>260.44444444444446</v>
      </c>
      <c r="K21">
        <f t="shared" si="3"/>
        <v>595.4382708331915</v>
      </c>
      <c r="L21">
        <f t="shared" si="0"/>
        <v>262.42589983408101</v>
      </c>
      <c r="M21">
        <f t="shared" si="1"/>
        <v>3.9261654611197363</v>
      </c>
      <c r="N21">
        <f>+Tr*($K21/Pr)^(1/6)</f>
        <v>263.40622651445182</v>
      </c>
    </row>
    <row r="22" spans="6:14">
      <c r="F22" s="4">
        <v>457199.98536960001</v>
      </c>
      <c r="G22" s="4">
        <v>465.2</v>
      </c>
      <c r="H22" s="4">
        <v>457199.98536960001</v>
      </c>
      <c r="I22" s="4">
        <v>1194.8</v>
      </c>
      <c r="J22">
        <f t="shared" si="2"/>
        <v>258.44444444444446</v>
      </c>
      <c r="K22">
        <f t="shared" si="3"/>
        <v>572.07272916653051</v>
      </c>
      <c r="L22">
        <f t="shared" si="0"/>
        <v>260.52521527827264</v>
      </c>
      <c r="M22">
        <f t="shared" si="1"/>
        <v>4.3296072629100308</v>
      </c>
      <c r="N22">
        <f>+Tr*($K22/Pr)^(1/6)</f>
        <v>261.65464779428788</v>
      </c>
    </row>
    <row r="23" spans="6:14">
      <c r="F23" s="4">
        <v>487679.98439424002</v>
      </c>
      <c r="G23" s="4">
        <v>461.7</v>
      </c>
      <c r="H23" s="4">
        <v>487679.98439424002</v>
      </c>
      <c r="I23" s="4">
        <v>1147.5</v>
      </c>
      <c r="J23">
        <f t="shared" si="2"/>
        <v>256.5</v>
      </c>
      <c r="K23">
        <f t="shared" si="3"/>
        <v>549.42539062486924</v>
      </c>
      <c r="L23">
        <f t="shared" si="0"/>
        <v>258.60974930619562</v>
      </c>
      <c r="M23">
        <f t="shared" si="1"/>
        <v>4.4510421349929183</v>
      </c>
      <c r="N23">
        <f>+Tr*($K23/Pr)^(1/6)</f>
        <v>259.89905492242406</v>
      </c>
    </row>
    <row r="24" spans="6:14">
      <c r="F24" s="4">
        <v>518159.98341887997</v>
      </c>
      <c r="G24" s="4">
        <v>458.1</v>
      </c>
      <c r="H24" s="4">
        <v>518159.98341887997</v>
      </c>
      <c r="I24" s="4">
        <v>1101.7</v>
      </c>
      <c r="J24">
        <f t="shared" si="2"/>
        <v>254.5</v>
      </c>
      <c r="K24">
        <f t="shared" si="3"/>
        <v>527.4962552082078</v>
      </c>
      <c r="L24">
        <f t="shared" si="0"/>
        <v>256.680848256552</v>
      </c>
      <c r="M24">
        <f t="shared" si="1"/>
        <v>4.7560991181058832</v>
      </c>
      <c r="N24">
        <f>+Tr*($K24/Pr)^(1/6)</f>
        <v>258.14069568565844</v>
      </c>
    </row>
    <row r="25" spans="6:14">
      <c r="F25" s="4">
        <v>548639.98244351998</v>
      </c>
      <c r="G25" s="4">
        <v>454.5</v>
      </c>
      <c r="H25" s="4">
        <v>548639.98244351998</v>
      </c>
      <c r="I25" s="4">
        <v>1057.5</v>
      </c>
      <c r="J25">
        <f t="shared" si="2"/>
        <v>252.5</v>
      </c>
      <c r="K25">
        <f t="shared" si="3"/>
        <v>506.33320312487945</v>
      </c>
      <c r="L25">
        <f t="shared" si="0"/>
        <v>254.74453927661858</v>
      </c>
      <c r="M25">
        <f t="shared" si="1"/>
        <v>5.0379565642834665</v>
      </c>
      <c r="N25">
        <f>+Tr*($K25/Pr)^(1/6)</f>
        <v>256.38502029655541</v>
      </c>
    </row>
    <row r="26" spans="6:14">
      <c r="F26" s="4">
        <v>579119.98146816005</v>
      </c>
      <c r="G26" s="4">
        <v>451</v>
      </c>
      <c r="H26" s="4">
        <v>579119.98146816005</v>
      </c>
      <c r="I26" s="4">
        <v>1014.7</v>
      </c>
      <c r="J26">
        <f t="shared" si="2"/>
        <v>250.55555555555554</v>
      </c>
      <c r="K26">
        <f t="shared" si="3"/>
        <v>485.84047395821767</v>
      </c>
      <c r="L26">
        <f t="shared" si="0"/>
        <v>252.79386007169487</v>
      </c>
      <c r="M26">
        <f t="shared" si="1"/>
        <v>5.0100071069696872</v>
      </c>
      <c r="N26">
        <f>+Tr*($K26/Pr)^(1/6)</f>
        <v>254.62567577732324</v>
      </c>
    </row>
    <row r="27" spans="6:14">
      <c r="F27" s="4">
        <v>609599.98049280001</v>
      </c>
      <c r="G27" s="4">
        <v>447.4</v>
      </c>
      <c r="H27" s="4">
        <v>609599.98049280001</v>
      </c>
      <c r="I27" s="4">
        <v>973.3</v>
      </c>
      <c r="J27">
        <f t="shared" si="2"/>
        <v>248.55555555555554</v>
      </c>
      <c r="K27">
        <f t="shared" si="3"/>
        <v>466.01806770822236</v>
      </c>
      <c r="L27">
        <f t="shared" si="0"/>
        <v>250.83032095886657</v>
      </c>
      <c r="M27">
        <f t="shared" si="1"/>
        <v>5.1745576401007582</v>
      </c>
      <c r="N27">
        <f>+Tr*($K27/Pr)^(1/6)</f>
        <v>252.8640202601043</v>
      </c>
    </row>
    <row r="28" spans="6:14">
      <c r="F28" s="4">
        <v>640079.97951743996</v>
      </c>
      <c r="G28" s="4">
        <v>443.9</v>
      </c>
      <c r="H28" s="4">
        <v>640079.97951743996</v>
      </c>
      <c r="I28" s="4">
        <v>933.3</v>
      </c>
      <c r="J28">
        <f t="shared" si="2"/>
        <v>246.61111111111111</v>
      </c>
      <c r="K28">
        <f t="shared" si="3"/>
        <v>446.86598437489357</v>
      </c>
      <c r="L28">
        <f t="shared" si="0"/>
        <v>248.85566820325414</v>
      </c>
      <c r="M28">
        <f t="shared" si="1"/>
        <v>5.0380365398895561</v>
      </c>
      <c r="N28">
        <f>+Tr*($K28/Pr)^(1/6)</f>
        <v>251.10158970351171</v>
      </c>
    </row>
    <row r="29" spans="6:14">
      <c r="F29" s="4">
        <v>670559.97854208003</v>
      </c>
      <c r="G29" s="4">
        <v>440.3</v>
      </c>
      <c r="H29" s="4">
        <v>670559.97854208003</v>
      </c>
      <c r="I29" s="4">
        <v>894.6</v>
      </c>
      <c r="J29">
        <f t="shared" si="2"/>
        <v>244.61111111111111</v>
      </c>
      <c r="K29">
        <f t="shared" si="3"/>
        <v>428.33634374989805</v>
      </c>
      <c r="L29">
        <f t="shared" si="0"/>
        <v>246.86666496325563</v>
      </c>
      <c r="M29">
        <f t="shared" si="1"/>
        <v>5.0875231799239637</v>
      </c>
      <c r="N29">
        <f>+Tr*($K29/Pr)^(1/6)</f>
        <v>249.33547117623337</v>
      </c>
    </row>
    <row r="30" spans="6:14">
      <c r="F30" s="4">
        <v>701039.97756671999</v>
      </c>
      <c r="G30" s="4">
        <v>436.7</v>
      </c>
      <c r="H30" s="4">
        <v>701039.97756671999</v>
      </c>
      <c r="I30" s="4">
        <v>857.2</v>
      </c>
      <c r="J30">
        <f t="shared" si="2"/>
        <v>242.61111111111111</v>
      </c>
      <c r="K30">
        <f t="shared" si="3"/>
        <v>410.42914583323562</v>
      </c>
      <c r="L30">
        <f t="shared" si="0"/>
        <v>244.86495657277027</v>
      </c>
      <c r="M30">
        <f t="shared" si="1"/>
        <v>5.0798193650415637</v>
      </c>
      <c r="N30">
        <f>+Tr*($K30/Pr)^(1/6)</f>
        <v>247.56710888685157</v>
      </c>
    </row>
    <row r="31" spans="6:14">
      <c r="F31" s="4">
        <v>731519.97659136006</v>
      </c>
      <c r="G31" s="4">
        <v>433.2</v>
      </c>
      <c r="H31" s="4">
        <v>731519.97659136006</v>
      </c>
      <c r="I31" s="4">
        <v>821.2</v>
      </c>
      <c r="J31">
        <f t="shared" si="2"/>
        <v>240.66666666666666</v>
      </c>
      <c r="K31">
        <f t="shared" si="3"/>
        <v>393.19227083323977</v>
      </c>
      <c r="L31">
        <f t="shared" si="0"/>
        <v>242.85813722726809</v>
      </c>
      <c r="M31">
        <f t="shared" si="1"/>
        <v>4.8025432179827501</v>
      </c>
      <c r="N31">
        <f>+Tr*($K31/Pr)^(1/6)</f>
        <v>245.80312956147768</v>
      </c>
    </row>
    <row r="32" spans="6:14">
      <c r="F32" s="4">
        <v>761999.97561600001</v>
      </c>
      <c r="G32" s="4">
        <v>429.6</v>
      </c>
      <c r="H32" s="4">
        <v>761999.97561600001</v>
      </c>
      <c r="I32" s="4">
        <v>786.3</v>
      </c>
      <c r="J32">
        <f t="shared" si="2"/>
        <v>238.66666666666666</v>
      </c>
      <c r="K32">
        <f t="shared" si="3"/>
        <v>376.48207812491034</v>
      </c>
      <c r="L32">
        <f t="shared" si="0"/>
        <v>240.83132858416133</v>
      </c>
      <c r="M32">
        <f t="shared" si="1"/>
        <v>4.6857612170516987</v>
      </c>
      <c r="N32">
        <f>+Tr*($K32/Pr)^(1/6)</f>
        <v>244.03041801168922</v>
      </c>
    </row>
    <row r="33" spans="6:14">
      <c r="F33" s="4">
        <v>792479.97464063996</v>
      </c>
      <c r="G33" s="4">
        <v>426.1</v>
      </c>
      <c r="H33" s="4">
        <v>792479.97464063996</v>
      </c>
      <c r="I33" s="4">
        <v>752.7</v>
      </c>
      <c r="J33">
        <f t="shared" si="2"/>
        <v>236.72222222222223</v>
      </c>
      <c r="K33">
        <f t="shared" si="3"/>
        <v>360.39432812491424</v>
      </c>
      <c r="L33">
        <f t="shared" si="0"/>
        <v>238.79793160174179</v>
      </c>
      <c r="M33">
        <f t="shared" si="1"/>
        <v>4.3085694282255007</v>
      </c>
      <c r="N33">
        <f>+Tr*($K33/Pr)^(1/6)</f>
        <v>242.26066438058302</v>
      </c>
    </row>
    <row r="34" spans="6:14">
      <c r="F34" s="4">
        <v>822959.97366528003</v>
      </c>
      <c r="G34" s="4">
        <v>422.5</v>
      </c>
      <c r="H34" s="4">
        <v>822959.97366528003</v>
      </c>
      <c r="I34" s="4">
        <v>720.3</v>
      </c>
      <c r="J34">
        <f t="shared" si="2"/>
        <v>234.72222222222223</v>
      </c>
      <c r="K34">
        <f t="shared" si="3"/>
        <v>344.88114062491786</v>
      </c>
      <c r="L34">
        <f t="shared" si="0"/>
        <v>236.7543327934246</v>
      </c>
      <c r="M34">
        <f t="shared" si="1"/>
        <v>4.1294733735924085</v>
      </c>
      <c r="N34">
        <f>+Tr*($K34/Pr)^(1/6)</f>
        <v>240.49062648099488</v>
      </c>
    </row>
    <row r="35" spans="6:14">
      <c r="F35" s="4">
        <v>853439.97268991999</v>
      </c>
      <c r="G35" s="4">
        <v>419</v>
      </c>
      <c r="H35" s="4">
        <v>853439.97268991999</v>
      </c>
      <c r="I35" s="4">
        <v>689</v>
      </c>
      <c r="J35">
        <f t="shared" si="2"/>
        <v>232.77777777777777</v>
      </c>
      <c r="K35">
        <f t="shared" si="3"/>
        <v>329.89463541658813</v>
      </c>
      <c r="L35">
        <f t="shared" si="0"/>
        <v>234.69620817104104</v>
      </c>
      <c r="M35">
        <f t="shared" si="1"/>
        <v>3.6803751737962438</v>
      </c>
      <c r="N35">
        <f>+Tr*($K35/Pr)^(1/6)</f>
        <v>238.71650910191647</v>
      </c>
    </row>
    <row r="36" spans="6:14">
      <c r="F36" s="4">
        <v>883919.97171455994</v>
      </c>
      <c r="G36" s="4">
        <v>415.4</v>
      </c>
      <c r="H36" s="4">
        <v>883919.97171455994</v>
      </c>
      <c r="I36" s="4">
        <v>658.8</v>
      </c>
      <c r="J36">
        <f t="shared" si="2"/>
        <v>230.77777777777777</v>
      </c>
      <c r="K36">
        <f t="shared" si="3"/>
        <v>315.43481249992487</v>
      </c>
      <c r="L36">
        <f t="shared" si="0"/>
        <v>232.62543347386904</v>
      </c>
      <c r="M36">
        <f t="shared" si="1"/>
        <v>3.4138315712985006</v>
      </c>
      <c r="N36">
        <f>+Tr*($K36/Pr)^(1/6)</f>
        <v>236.93989026442733</v>
      </c>
    </row>
    <row r="37" spans="6:14">
      <c r="F37" s="4">
        <v>914399.97073920094</v>
      </c>
      <c r="G37" s="4">
        <v>411.8</v>
      </c>
      <c r="H37" s="4">
        <v>914399.97073920094</v>
      </c>
      <c r="I37" s="4">
        <v>629.70000000000005</v>
      </c>
      <c r="J37">
        <f t="shared" si="2"/>
        <v>228.77777777777777</v>
      </c>
      <c r="K37">
        <f t="shared" si="3"/>
        <v>301.50167187492826</v>
      </c>
      <c r="L37">
        <f t="shared" si="0"/>
        <v>230.54418705328001</v>
      </c>
      <c r="M37">
        <f t="shared" si="1"/>
        <v>3.1202017285803518</v>
      </c>
      <c r="N37">
        <f>+Tr*($K37/Pr)^(1/6)</f>
        <v>235.16257126630001</v>
      </c>
    </row>
    <row r="38" spans="6:14">
      <c r="F38" s="4">
        <v>944879.96976383997</v>
      </c>
      <c r="G38" s="4">
        <v>408.3</v>
      </c>
      <c r="H38" s="4">
        <v>944879.96976383997</v>
      </c>
      <c r="I38" s="4">
        <v>601.6</v>
      </c>
      <c r="J38">
        <f t="shared" si="2"/>
        <v>226.83333333333334</v>
      </c>
      <c r="K38">
        <f t="shared" si="3"/>
        <v>288.04733333326476</v>
      </c>
      <c r="L38">
        <f t="shared" si="0"/>
        <v>228.44736165423663</v>
      </c>
      <c r="M38">
        <f t="shared" si="1"/>
        <v>2.6050874206778851</v>
      </c>
      <c r="N38">
        <f>+Tr*($K38/Pr)^(1/6)</f>
        <v>233.38013630967987</v>
      </c>
    </row>
    <row r="39" spans="6:14">
      <c r="F39" s="4">
        <v>975359.96878848097</v>
      </c>
      <c r="G39" s="4">
        <v>404.7</v>
      </c>
      <c r="H39" s="4">
        <v>975359.96878848097</v>
      </c>
      <c r="I39" s="4">
        <v>574.6</v>
      </c>
      <c r="J39">
        <f t="shared" si="2"/>
        <v>224.83333333333334</v>
      </c>
      <c r="K39">
        <f t="shared" si="3"/>
        <v>275.11967708326785</v>
      </c>
      <c r="L39">
        <f t="shared" si="0"/>
        <v>226.34480493290968</v>
      </c>
      <c r="M39">
        <f t="shared" si="1"/>
        <v>2.2845463963258568</v>
      </c>
      <c r="N39">
        <f>+Tr*($K39/Pr)^(1/6)</f>
        <v>231.60087090983109</v>
      </c>
    </row>
    <row r="40" spans="6:14">
      <c r="F40" s="4">
        <v>1005839.96781312</v>
      </c>
      <c r="G40" s="4">
        <v>401.2</v>
      </c>
      <c r="H40" s="4">
        <v>1005839.96781312</v>
      </c>
      <c r="I40" s="4">
        <v>548.5</v>
      </c>
      <c r="J40">
        <f t="shared" si="2"/>
        <v>222.88888888888889</v>
      </c>
      <c r="K40">
        <f t="shared" si="3"/>
        <v>262.62294270827078</v>
      </c>
      <c r="L40">
        <f t="shared" si="0"/>
        <v>224.22316306133524</v>
      </c>
      <c r="M40">
        <f t="shared" si="1"/>
        <v>1.7802875672574094</v>
      </c>
      <c r="N40">
        <f>+Tr*($K40/Pr)^(1/6)</f>
        <v>229.81340452013336</v>
      </c>
    </row>
    <row r="41" spans="6:14">
      <c r="F41" s="4">
        <v>1036319.9668377599</v>
      </c>
      <c r="G41" s="4">
        <v>397.6</v>
      </c>
      <c r="H41" s="4">
        <v>1036319.9668377599</v>
      </c>
      <c r="I41" s="4">
        <v>523.5</v>
      </c>
      <c r="J41">
        <f t="shared" si="2"/>
        <v>220.88888888888889</v>
      </c>
      <c r="K41">
        <f t="shared" si="3"/>
        <v>250.65289062494034</v>
      </c>
      <c r="L41">
        <f t="shared" si="0"/>
        <v>222.10129753851982</v>
      </c>
      <c r="M41">
        <f t="shared" si="1"/>
        <v>1.469934733699896</v>
      </c>
      <c r="N41">
        <f>+Tr*($K41/Pr)^(1/6)</f>
        <v>228.03352403593476</v>
      </c>
    </row>
    <row r="42" spans="6:14">
      <c r="F42" s="4">
        <v>1066799.9658623999</v>
      </c>
      <c r="G42" s="4">
        <v>394.1</v>
      </c>
      <c r="H42" s="4">
        <v>1066799.9658623999</v>
      </c>
      <c r="I42" s="4">
        <v>499.3</v>
      </c>
      <c r="J42">
        <f t="shared" si="2"/>
        <v>218.94444444444446</v>
      </c>
      <c r="K42">
        <f t="shared" si="3"/>
        <v>239.06588020827641</v>
      </c>
      <c r="L42">
        <f t="shared" si="0"/>
        <v>219.95614658891895</v>
      </c>
      <c r="M42">
        <f t="shared" si="1"/>
        <v>1.0235412291342976</v>
      </c>
      <c r="N42">
        <f>+Tr*($K42/Pr)^(1/6)</f>
        <v>226.24179904099699</v>
      </c>
    </row>
    <row r="43" spans="6:14">
      <c r="F43" s="4">
        <v>1097279.96488704</v>
      </c>
      <c r="G43" s="4">
        <v>390.5</v>
      </c>
      <c r="H43" s="4">
        <v>1097279.96488704</v>
      </c>
      <c r="I43" s="4">
        <v>476.1</v>
      </c>
      <c r="J43">
        <f t="shared" si="2"/>
        <v>216.94444444444446</v>
      </c>
      <c r="K43">
        <f t="shared" si="3"/>
        <v>227.95767187494573</v>
      </c>
      <c r="L43">
        <f t="shared" si="0"/>
        <v>217.80766732013814</v>
      </c>
      <c r="M43">
        <f t="shared" si="1"/>
        <v>0.74515373312086608</v>
      </c>
      <c r="N43">
        <f>+Tr*($K43/Pr)^(1/6)</f>
        <v>224.45482628311709</v>
      </c>
    </row>
    <row r="44" spans="6:14">
      <c r="F44" s="4">
        <v>1127759.96391168</v>
      </c>
      <c r="G44" s="4">
        <v>390</v>
      </c>
      <c r="H44" s="4">
        <v>1127759.96391168</v>
      </c>
      <c r="I44" s="4">
        <v>453.9</v>
      </c>
      <c r="J44">
        <f t="shared" si="2"/>
        <v>216.66666666666666</v>
      </c>
      <c r="K44">
        <f t="shared" si="3"/>
        <v>217.32826562494824</v>
      </c>
      <c r="L44">
        <f t="shared" si="0"/>
        <v>215.65969000872184</v>
      </c>
      <c r="M44">
        <f t="shared" si="1"/>
        <v>1.014001989645716</v>
      </c>
      <c r="N44">
        <f>+Tr*($K44/Pr)^(1/6)</f>
        <v>222.67559170731116</v>
      </c>
    </row>
    <row r="45" spans="6:14">
      <c r="H45" s="4">
        <v>1158239.9629363201</v>
      </c>
      <c r="I45" s="4">
        <v>432.6</v>
      </c>
    </row>
    <row r="46" spans="6:14">
      <c r="H46" s="4">
        <v>1188719.9619609599</v>
      </c>
      <c r="I46" s="4">
        <v>412.4</v>
      </c>
    </row>
    <row r="47" spans="6:14">
      <c r="H47" s="4">
        <v>1219199.9609856</v>
      </c>
      <c r="I47" s="4">
        <v>393.1</v>
      </c>
    </row>
    <row r="48" spans="6:14">
      <c r="H48" s="4">
        <v>1249679.9600102401</v>
      </c>
      <c r="I48" s="4">
        <v>374.7</v>
      </c>
    </row>
    <row r="49" spans="8:9">
      <c r="H49" s="4">
        <v>1280159.9590348799</v>
      </c>
      <c r="I49" s="4">
        <v>357.2</v>
      </c>
    </row>
    <row r="50" spans="8:9">
      <c r="H50" s="4">
        <v>1310639.95805952</v>
      </c>
      <c r="I50" s="4">
        <v>340.5</v>
      </c>
    </row>
    <row r="51" spans="8:9">
      <c r="H51" s="4">
        <v>1341119.9570841601</v>
      </c>
      <c r="I51" s="4">
        <v>324.60000000000002</v>
      </c>
    </row>
    <row r="52" spans="8:9">
      <c r="H52" s="4">
        <v>1371599.9561087999</v>
      </c>
      <c r="I52" s="4">
        <v>309.39999999999998</v>
      </c>
    </row>
    <row r="53" spans="8:9">
      <c r="H53" s="4">
        <v>1402079.95513344</v>
      </c>
      <c r="I53" s="4">
        <v>295</v>
      </c>
    </row>
    <row r="54" spans="8:9">
      <c r="H54" s="4">
        <v>1432559.95415808</v>
      </c>
      <c r="I54" s="4">
        <v>281.2</v>
      </c>
    </row>
    <row r="55" spans="8:9">
      <c r="H55" s="4">
        <v>1463039.9531827201</v>
      </c>
      <c r="I55" s="4">
        <v>268.10000000000002</v>
      </c>
    </row>
    <row r="56" spans="8:9">
      <c r="H56" s="4">
        <v>1493519.95220736</v>
      </c>
      <c r="I56" s="4">
        <v>255.5</v>
      </c>
    </row>
    <row r="57" spans="8:9">
      <c r="H57" s="4">
        <v>1523999.951232</v>
      </c>
      <c r="I57" s="4">
        <v>243.6</v>
      </c>
    </row>
    <row r="58" spans="8:9">
      <c r="H58" s="4">
        <v>1554479.9502566401</v>
      </c>
      <c r="I58" s="4">
        <v>232.2</v>
      </c>
    </row>
    <row r="59" spans="8:9">
      <c r="H59" s="4">
        <v>1584959.9492812799</v>
      </c>
      <c r="I59" s="4">
        <v>221.4</v>
      </c>
    </row>
    <row r="60" spans="8:9">
      <c r="H60" s="4">
        <v>1615439.94830592</v>
      </c>
      <c r="I60" s="4">
        <v>211</v>
      </c>
    </row>
    <row r="61" spans="8:9">
      <c r="H61" s="4">
        <v>1645919.9473305601</v>
      </c>
      <c r="I61" s="4">
        <v>201.2</v>
      </c>
    </row>
    <row r="62" spans="8:9">
      <c r="H62" s="4">
        <v>1676399.9463551999</v>
      </c>
      <c r="I62" s="4">
        <v>191.8</v>
      </c>
    </row>
    <row r="63" spans="8:9">
      <c r="H63" s="4">
        <v>1706879.94537984</v>
      </c>
      <c r="I63" s="4">
        <v>182.8</v>
      </c>
    </row>
    <row r="64" spans="8:9">
      <c r="H64" s="4">
        <v>1737359.94440448</v>
      </c>
      <c r="I64" s="4">
        <v>174.3</v>
      </c>
    </row>
    <row r="65" spans="8:9">
      <c r="H65" s="4">
        <v>1767839.9434291199</v>
      </c>
      <c r="I65" s="4">
        <v>166.2</v>
      </c>
    </row>
    <row r="66" spans="8:9">
      <c r="H66" s="4">
        <v>1798319.94245376</v>
      </c>
      <c r="I66" s="4">
        <v>158.4</v>
      </c>
    </row>
    <row r="67" spans="8:9">
      <c r="H67" s="4">
        <v>1828799.9414784</v>
      </c>
      <c r="I67" s="4">
        <v>151</v>
      </c>
    </row>
    <row r="68" spans="8:9">
      <c r="H68" s="4">
        <v>1859279.9405030401</v>
      </c>
      <c r="I68" s="4">
        <v>144</v>
      </c>
    </row>
    <row r="69" spans="8:9">
      <c r="H69" s="4">
        <v>1889759.9395276799</v>
      </c>
      <c r="I69" s="4">
        <v>137.30000000000001</v>
      </c>
    </row>
    <row r="70" spans="8:9">
      <c r="H70" s="4">
        <v>1920239.93855232</v>
      </c>
      <c r="I70" s="4">
        <v>130.9</v>
      </c>
    </row>
    <row r="71" spans="8:9">
      <c r="H71" s="4">
        <v>1950719.9375769601</v>
      </c>
      <c r="I71" s="4">
        <v>124.8</v>
      </c>
    </row>
    <row r="72" spans="8:9">
      <c r="H72" s="4">
        <v>1981199.9366015999</v>
      </c>
      <c r="I72" s="4">
        <v>118.9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F1:P65"/>
  <sheetViews>
    <sheetView topLeftCell="E1" workbookViewId="0">
      <selection activeCell="N6" sqref="N6"/>
    </sheetView>
  </sheetViews>
  <sheetFormatPr defaultRowHeight="15"/>
  <cols>
    <col min="6" max="9" width="9.140625" style="4"/>
    <col min="13" max="13" width="10.85546875" customWidth="1"/>
    <col min="14" max="14" width="11.5703125" bestFit="1" customWidth="1"/>
  </cols>
  <sheetData>
    <row r="1" spans="6:16">
      <c r="H1" s="4">
        <v>0.1</v>
      </c>
      <c r="L1">
        <v>286.89999999999998</v>
      </c>
      <c r="M1" s="3">
        <v>730</v>
      </c>
      <c r="N1" s="3" t="s">
        <v>5</v>
      </c>
    </row>
    <row r="2" spans="6:16">
      <c r="M2" s="3">
        <v>6</v>
      </c>
      <c r="N2" s="3" t="s">
        <v>6</v>
      </c>
      <c r="O2" s="3">
        <v>1.6868000000000001</v>
      </c>
    </row>
    <row r="3" spans="6:16">
      <c r="M3" s="3">
        <f>1/6</f>
        <v>0.16666666666666666</v>
      </c>
      <c r="N3" s="3" t="s">
        <v>8</v>
      </c>
      <c r="O3" s="3">
        <f>287/1004</f>
        <v>0.28585657370517931</v>
      </c>
    </row>
    <row r="4" spans="6:16">
      <c r="M4" s="3">
        <v>10000</v>
      </c>
      <c r="N4" s="3" t="s">
        <v>7</v>
      </c>
    </row>
    <row r="5" spans="6:16" s="1" customFormat="1" ht="45">
      <c r="F5" s="5"/>
      <c r="G5" s="5"/>
      <c r="H5" s="5"/>
      <c r="I5" s="5"/>
      <c r="L5" s="1" t="s">
        <v>4</v>
      </c>
      <c r="M5" s="1" t="s">
        <v>9</v>
      </c>
      <c r="N5" s="2"/>
      <c r="O5" s="2" t="s">
        <v>10</v>
      </c>
    </row>
    <row r="6" spans="6:16">
      <c r="F6" s="4">
        <v>735</v>
      </c>
      <c r="G6" s="4">
        <v>92100</v>
      </c>
      <c r="H6" s="4">
        <f>+$G6*$H$1</f>
        <v>9210</v>
      </c>
      <c r="K6" s="4">
        <v>0</v>
      </c>
      <c r="L6">
        <f>10^$K6</f>
        <v>1</v>
      </c>
      <c r="M6">
        <f t="shared" ref="M6:N65" si="0">+Tr*(1+Alpha)/(1+Alpha*(Pr/$L6)^kappa)</f>
        <v>177.12591741790126</v>
      </c>
      <c r="N6">
        <f>+Tr*($L6/Pr)^kappa</f>
        <v>157.27373237232757</v>
      </c>
    </row>
    <row r="7" spans="6:16">
      <c r="F7" s="4">
        <v>697</v>
      </c>
      <c r="G7" s="4">
        <v>66650</v>
      </c>
      <c r="H7" s="4">
        <f t="shared" ref="H7:H23" si="1">+$G7*$H$1</f>
        <v>6665</v>
      </c>
      <c r="K7">
        <f>+$K6+0.1</f>
        <v>0.1</v>
      </c>
      <c r="L7">
        <f t="shared" ref="L7:L65" si="2">10^$K7</f>
        <v>1.2589254117941673</v>
      </c>
      <c r="M7">
        <f t="shared" si="0"/>
        <v>183.80623523119138</v>
      </c>
      <c r="N7">
        <f>+Tr*($L7/Pr)^kappa</f>
        <v>163.42664311548879</v>
      </c>
    </row>
    <row r="8" spans="6:16">
      <c r="F8" s="4">
        <v>658</v>
      </c>
      <c r="G8" s="4">
        <v>47390</v>
      </c>
      <c r="H8" s="4">
        <f t="shared" si="1"/>
        <v>4739</v>
      </c>
      <c r="K8">
        <f t="shared" ref="K8:K44" si="3">+$K7+0.1</f>
        <v>0.2</v>
      </c>
      <c r="L8">
        <f t="shared" si="2"/>
        <v>1.5848931924611136</v>
      </c>
      <c r="M8">
        <f t="shared" si="0"/>
        <v>190.72876019759079</v>
      </c>
      <c r="N8">
        <f>+Tr*($L8/Pr)^kappa</f>
        <v>169.82026990221473</v>
      </c>
    </row>
    <row r="9" spans="6:16">
      <c r="F9" s="4">
        <v>621</v>
      </c>
      <c r="G9" s="4">
        <v>33040</v>
      </c>
      <c r="H9" s="4">
        <f t="shared" si="1"/>
        <v>3304</v>
      </c>
      <c r="K9">
        <f t="shared" si="3"/>
        <v>0.30000000000000004</v>
      </c>
      <c r="L9">
        <f t="shared" si="2"/>
        <v>1.99526231496888</v>
      </c>
      <c r="M9">
        <f t="shared" si="0"/>
        <v>197.90152799358808</v>
      </c>
      <c r="N9">
        <f>+Tr*($L9/Pr)^kappa</f>
        <v>176.4640300986996</v>
      </c>
    </row>
    <row r="10" spans="6:16">
      <c r="F10" s="4">
        <v>579</v>
      </c>
      <c r="G10" s="4">
        <v>22520</v>
      </c>
      <c r="H10" s="4">
        <f t="shared" si="1"/>
        <v>2252</v>
      </c>
      <c r="K10">
        <f t="shared" si="3"/>
        <v>0.4</v>
      </c>
      <c r="L10">
        <f t="shared" si="2"/>
        <v>2.5118864315095806</v>
      </c>
      <c r="M10">
        <f t="shared" si="0"/>
        <v>205.33278385507188</v>
      </c>
      <c r="N10">
        <f>+Tr*($L10/Pr)^kappa</f>
        <v>183.3677095001994</v>
      </c>
    </row>
    <row r="11" spans="6:16">
      <c r="F11" s="4">
        <v>537</v>
      </c>
      <c r="G11" s="4">
        <v>14930</v>
      </c>
      <c r="H11" s="4">
        <f t="shared" si="1"/>
        <v>1493</v>
      </c>
      <c r="K11">
        <f t="shared" si="3"/>
        <v>0.5</v>
      </c>
      <c r="L11">
        <f t="shared" si="2"/>
        <v>3.1622776601683795</v>
      </c>
      <c r="M11">
        <f t="shared" si="0"/>
        <v>213.0309835541652</v>
      </c>
      <c r="N11">
        <f>+Tr*($L11/Pr)^kappa</f>
        <v>190.54147674482519</v>
      </c>
    </row>
    <row r="12" spans="6:16">
      <c r="F12" s="4">
        <v>495</v>
      </c>
      <c r="G12" s="4">
        <v>9851</v>
      </c>
      <c r="H12" s="4">
        <f t="shared" si="1"/>
        <v>985.1</v>
      </c>
      <c r="K12">
        <f t="shared" si="3"/>
        <v>0.6</v>
      </c>
      <c r="L12">
        <f t="shared" si="2"/>
        <v>3.9810717055349727</v>
      </c>
      <c r="M12">
        <f t="shared" si="0"/>
        <v>221.00479396363622</v>
      </c>
      <c r="N12">
        <f>+Tr*($L12/Pr)^kappa</f>
        <v>197.99589829123809</v>
      </c>
    </row>
    <row r="13" spans="6:16">
      <c r="F13" s="4">
        <v>453</v>
      </c>
      <c r="G13" s="4">
        <v>5917</v>
      </c>
      <c r="H13" s="4">
        <f t="shared" si="1"/>
        <v>591.70000000000005</v>
      </c>
      <c r="K13">
        <f t="shared" si="3"/>
        <v>0.7</v>
      </c>
      <c r="L13">
        <f t="shared" si="2"/>
        <v>5.0118723362727229</v>
      </c>
      <c r="M13">
        <f t="shared" si="0"/>
        <v>229.26309317003407</v>
      </c>
      <c r="N13">
        <f>+Tr*($L13/Pr)^kappa</f>
        <v>205.74195398230515</v>
      </c>
      <c r="P13" s="6" t="s">
        <v>12</v>
      </c>
    </row>
    <row r="14" spans="6:16">
      <c r="F14" s="4">
        <v>416</v>
      </c>
      <c r="G14" s="4">
        <v>3501</v>
      </c>
      <c r="H14" s="4">
        <f t="shared" si="1"/>
        <v>350.1</v>
      </c>
      <c r="K14">
        <f t="shared" si="3"/>
        <v>0.79999999999999993</v>
      </c>
      <c r="L14">
        <f t="shared" si="2"/>
        <v>6.3095734448019334</v>
      </c>
      <c r="M14">
        <f t="shared" si="0"/>
        <v>237.81497009467779</v>
      </c>
      <c r="N14">
        <f>+Tr*($L14/Pr)^kappa</f>
        <v>213.79105321764229</v>
      </c>
      <c r="P14" s="7" t="s">
        <v>13</v>
      </c>
    </row>
    <row r="15" spans="6:16">
      <c r="F15" s="4">
        <v>383</v>
      </c>
      <c r="G15" s="4">
        <v>1979</v>
      </c>
      <c r="H15" s="4">
        <f t="shared" si="1"/>
        <v>197.9</v>
      </c>
      <c r="K15">
        <f t="shared" si="3"/>
        <v>0.89999999999999991</v>
      </c>
      <c r="L15">
        <f t="shared" si="2"/>
        <v>7.943282347242814</v>
      </c>
      <c r="M15">
        <f t="shared" si="0"/>
        <v>246.6697235795946</v>
      </c>
      <c r="N15">
        <f>+Tr*($L15/Pr)^kappa</f>
        <v>222.15505175886375</v>
      </c>
    </row>
    <row r="16" spans="6:16">
      <c r="F16" s="4">
        <v>348</v>
      </c>
      <c r="G16" s="4">
        <v>1066</v>
      </c>
      <c r="H16" s="4">
        <f t="shared" si="1"/>
        <v>106.60000000000001</v>
      </c>
      <c r="K16">
        <f t="shared" si="3"/>
        <v>0.99999999999999989</v>
      </c>
      <c r="L16">
        <f t="shared" si="2"/>
        <v>9.9999999999999982</v>
      </c>
      <c r="M16">
        <f t="shared" si="0"/>
        <v>255.83686089348888</v>
      </c>
      <c r="N16">
        <f>+Tr*($L16/Pr)^kappa</f>
        <v>230.84626919229174</v>
      </c>
    </row>
    <row r="17" spans="6:14">
      <c r="F17" s="4">
        <v>300</v>
      </c>
      <c r="G17" s="4">
        <v>531.4</v>
      </c>
      <c r="H17" s="4">
        <f t="shared" si="1"/>
        <v>53.14</v>
      </c>
      <c r="K17">
        <f t="shared" si="3"/>
        <v>1.0999999999999999</v>
      </c>
      <c r="L17">
        <f t="shared" si="2"/>
        <v>12.589254117941675</v>
      </c>
      <c r="M17">
        <f t="shared" si="0"/>
        <v>265.32609561083177</v>
      </c>
      <c r="N17">
        <f>+Tr*($L17/Pr)^kappa</f>
        <v>239.87750707484781</v>
      </c>
    </row>
    <row r="18" spans="6:14">
      <c r="F18" s="4">
        <v>263</v>
      </c>
      <c r="G18" s="4">
        <v>235.7</v>
      </c>
      <c r="H18" s="4">
        <f t="shared" si="1"/>
        <v>23.57</v>
      </c>
      <c r="K18">
        <f t="shared" si="3"/>
        <v>1.2</v>
      </c>
      <c r="L18">
        <f t="shared" si="2"/>
        <v>15.848931924611136</v>
      </c>
      <c r="M18">
        <f t="shared" si="0"/>
        <v>275.14734481521037</v>
      </c>
      <c r="N18">
        <f>+Tr*($L18/Pr)^kappa</f>
        <v>249.26206778985295</v>
      </c>
    </row>
    <row r="19" spans="6:14">
      <c r="F19" s="4">
        <v>243</v>
      </c>
      <c r="G19" s="4">
        <v>97.65</v>
      </c>
      <c r="H19" s="4">
        <f t="shared" si="1"/>
        <v>9.7650000000000006</v>
      </c>
      <c r="K19">
        <f t="shared" si="3"/>
        <v>1.3</v>
      </c>
      <c r="L19">
        <f t="shared" si="2"/>
        <v>19.952623149688804</v>
      </c>
      <c r="M19">
        <f t="shared" si="0"/>
        <v>285.31072557619819</v>
      </c>
      <c r="N19">
        <f>+Tr*($L19/Pr)^kappa</f>
        <v>259.01377414051018</v>
      </c>
    </row>
    <row r="20" spans="6:14">
      <c r="F20" s="4">
        <v>230</v>
      </c>
      <c r="G20" s="4">
        <v>36.900000000000006</v>
      </c>
      <c r="H20" s="4">
        <f t="shared" si="1"/>
        <v>3.6900000000000008</v>
      </c>
      <c r="K20">
        <f t="shared" si="3"/>
        <v>1.4000000000000001</v>
      </c>
      <c r="L20">
        <f t="shared" si="2"/>
        <v>25.118864315095809</v>
      </c>
      <c r="M20">
        <f t="shared" si="0"/>
        <v>295.82655064720763</v>
      </c>
      <c r="N20">
        <f>+Tr*($L20/Pr)^kappa</f>
        <v>269.14698970992902</v>
      </c>
    </row>
    <row r="21" spans="6:14">
      <c r="F21" s="4">
        <v>197</v>
      </c>
      <c r="G21" s="4">
        <v>4.7600000000000007</v>
      </c>
      <c r="H21" s="4">
        <f t="shared" si="1"/>
        <v>0.47600000000000009</v>
      </c>
      <c r="K21">
        <f t="shared" si="3"/>
        <v>1.5000000000000002</v>
      </c>
      <c r="L21">
        <f t="shared" si="2"/>
        <v>31.622776601683817</v>
      </c>
      <c r="M21">
        <f t="shared" si="0"/>
        <v>306.70532333010385</v>
      </c>
      <c r="N21">
        <f>+Tr*($L21/Pr)^kappa</f>
        <v>279.67664001768202</v>
      </c>
    </row>
    <row r="22" spans="6:14">
      <c r="F22" s="4">
        <v>169</v>
      </c>
      <c r="G22" s="4">
        <v>0.37359999999999999</v>
      </c>
      <c r="H22" s="4">
        <f t="shared" si="1"/>
        <v>3.7359999999999997E-2</v>
      </c>
      <c r="K22">
        <f t="shared" si="3"/>
        <v>1.6000000000000003</v>
      </c>
      <c r="L22">
        <f t="shared" si="2"/>
        <v>39.81071705534977</v>
      </c>
      <c r="M22">
        <f t="shared" si="0"/>
        <v>317.95773145081324</v>
      </c>
      <c r="N22">
        <f>+Tr*($L22/Pr)^kappa</f>
        <v>290.61823450405302</v>
      </c>
    </row>
    <row r="23" spans="6:14">
      <c r="F23" s="4">
        <v>161</v>
      </c>
      <c r="G23" s="4">
        <v>2.6599999999999999E-2</v>
      </c>
      <c r="H23" s="4">
        <f t="shared" si="1"/>
        <v>2.66E-3</v>
      </c>
      <c r="K23">
        <f t="shared" si="3"/>
        <v>1.7000000000000004</v>
      </c>
      <c r="L23">
        <f t="shared" si="2"/>
        <v>50.11872336272728</v>
      </c>
      <c r="M23">
        <f t="shared" si="0"/>
        <v>329.59464038878411</v>
      </c>
      <c r="N23">
        <f>+Tr*($L23/Pr)^kappa</f>
        <v>301.98788937436103</v>
      </c>
    </row>
    <row r="24" spans="6:14">
      <c r="K24">
        <f t="shared" si="3"/>
        <v>1.8000000000000005</v>
      </c>
      <c r="L24">
        <f t="shared" si="2"/>
        <v>63.095734448019414</v>
      </c>
      <c r="M24">
        <f t="shared" si="0"/>
        <v>341.62708510198445</v>
      </c>
      <c r="N24">
        <f>+Tr*($L24/Pr)^kappa</f>
        <v>313.80235133700631</v>
      </c>
    </row>
    <row r="25" spans="6:14">
      <c r="K25">
        <f t="shared" si="3"/>
        <v>1.9000000000000006</v>
      </c>
      <c r="L25">
        <f t="shared" si="2"/>
        <v>79.432823472428254</v>
      </c>
      <c r="M25">
        <f t="shared" si="0"/>
        <v>354.06626108818205</v>
      </c>
      <c r="N25">
        <f>+Tr*($L25/Pr)^kappa</f>
        <v>326.07902227020315</v>
      </c>
    </row>
    <row r="26" spans="6:14">
      <c r="K26">
        <f t="shared" si="3"/>
        <v>2.0000000000000004</v>
      </c>
      <c r="L26">
        <f t="shared" si="2"/>
        <v>100.00000000000013</v>
      </c>
      <c r="M26">
        <f t="shared" si="0"/>
        <v>366.92351422259571</v>
      </c>
      <c r="N26">
        <f>+Tr*($L26/Pr)^kappa</f>
        <v>338.83598485373295</v>
      </c>
    </row>
    <row r="27" spans="6:14">
      <c r="K27">
        <f t="shared" si="3"/>
        <v>2.1000000000000005</v>
      </c>
      <c r="L27">
        <f t="shared" si="2"/>
        <v>125.89254117941688</v>
      </c>
      <c r="M27">
        <f t="shared" si="0"/>
        <v>380.21032941165731</v>
      </c>
      <c r="N27">
        <f>+Tr*($L27/Pr)^kappa</f>
        <v>352.09202920346951</v>
      </c>
    </row>
    <row r="28" spans="6:14">
      <c r="K28">
        <f t="shared" si="3"/>
        <v>2.2000000000000006</v>
      </c>
      <c r="L28">
        <f t="shared" si="2"/>
        <v>158.48931924611168</v>
      </c>
      <c r="M28">
        <f t="shared" si="0"/>
        <v>393.93831800263979</v>
      </c>
      <c r="N28">
        <f>+Tr*($L28/Pr)^kappa</f>
        <v>365.86668054790891</v>
      </c>
    </row>
    <row r="29" spans="6:14">
      <c r="K29">
        <f t="shared" si="3"/>
        <v>2.3000000000000007</v>
      </c>
      <c r="L29">
        <f t="shared" si="2"/>
        <v>199.52623149688836</v>
      </c>
      <c r="M29">
        <f t="shared" si="0"/>
        <v>408.11920388932816</v>
      </c>
      <c r="N29">
        <f>+Tr*($L29/Pr)^kappa</f>
        <v>380.18022798746898</v>
      </c>
    </row>
    <row r="30" spans="6:14">
      <c r="K30">
        <f t="shared" si="3"/>
        <v>2.4000000000000008</v>
      </c>
      <c r="L30">
        <f t="shared" si="2"/>
        <v>251.18864315095851</v>
      </c>
      <c r="M30">
        <f t="shared" si="0"/>
        <v>422.76480825478069</v>
      </c>
      <c r="N30">
        <f>+Tr*($L30/Pr)^kappa</f>
        <v>395.05375437891865</v>
      </c>
    </row>
    <row r="31" spans="6:14">
      <c r="K31">
        <f t="shared" si="3"/>
        <v>2.5000000000000009</v>
      </c>
      <c r="L31">
        <f t="shared" si="2"/>
        <v>316.22776601683881</v>
      </c>
      <c r="M31">
        <f t="shared" si="0"/>
        <v>437.88703289360427</v>
      </c>
      <c r="N31">
        <f>+Tr*($L31/Pr)^kappa</f>
        <v>410.50916738895506</v>
      </c>
    </row>
    <row r="32" spans="6:14">
      <c r="K32">
        <f t="shared" si="3"/>
        <v>2.600000000000001</v>
      </c>
      <c r="L32">
        <f t="shared" si="2"/>
        <v>398.10717055349835</v>
      </c>
      <c r="M32">
        <f t="shared" si="0"/>
        <v>453.4978420581009</v>
      </c>
      <c r="N32">
        <f>+Tr*($L32/Pr)^kappa</f>
        <v>426.56923176266804</v>
      </c>
    </row>
    <row r="33" spans="11:14">
      <c r="K33">
        <f t="shared" si="3"/>
        <v>2.7000000000000011</v>
      </c>
      <c r="L33">
        <f t="shared" si="2"/>
        <v>501.1872336272736</v>
      </c>
      <c r="M33">
        <f t="shared" si="0"/>
        <v>469.60924277518012</v>
      </c>
      <c r="N33">
        <f>+Tr*($L33/Pr)^kappa</f>
        <v>443.2576028544218</v>
      </c>
    </row>
    <row r="34" spans="11:14">
      <c r="K34">
        <f t="shared" si="3"/>
        <v>2.8000000000000012</v>
      </c>
      <c r="L34">
        <f t="shared" si="2"/>
        <v>630.95734448019539</v>
      </c>
      <c r="M34">
        <f t="shared" si="0"/>
        <v>486.23326358413436</v>
      </c>
      <c r="N34">
        <f>+Tr*($L34/Pr)^kappa</f>
        <v>460.59886147054129</v>
      </c>
    </row>
    <row r="35" spans="11:14">
      <c r="K35">
        <f t="shared" si="3"/>
        <v>2.9000000000000012</v>
      </c>
      <c r="L35">
        <f t="shared" si="2"/>
        <v>794.32823472428424</v>
      </c>
      <c r="M35">
        <f t="shared" si="0"/>
        <v>503.38193164928981</v>
      </c>
      <c r="N35">
        <f>+Tr*($L35/Pr)^kappa</f>
        <v>478.61855007512492</v>
      </c>
    </row>
    <row r="36" spans="11:14">
      <c r="K36">
        <f t="shared" si="3"/>
        <v>3.0000000000000013</v>
      </c>
      <c r="L36">
        <f t="shared" si="2"/>
        <v>1000.0000000000033</v>
      </c>
      <c r="M36">
        <f t="shared" si="0"/>
        <v>521.0672482062364</v>
      </c>
      <c r="N36">
        <f>+Tr*($L36/Pr)^kappa</f>
        <v>497.34321041231203</v>
      </c>
    </row>
    <row r="37" spans="11:14">
      <c r="K37">
        <f t="shared" si="3"/>
        <v>3.1000000000000014</v>
      </c>
      <c r="L37">
        <f t="shared" si="2"/>
        <v>1258.9254117941723</v>
      </c>
      <c r="M37">
        <f t="shared" si="0"/>
        <v>539.30116230584326</v>
      </c>
      <c r="N37">
        <f>+Tr*($L37/Pr)^kappa</f>
        <v>516.80042260042103</v>
      </c>
    </row>
    <row r="38" spans="11:14">
      <c r="K38">
        <f t="shared" si="3"/>
        <v>3.2000000000000015</v>
      </c>
      <c r="L38">
        <f t="shared" si="2"/>
        <v>1584.89319246112</v>
      </c>
      <c r="M38">
        <f t="shared" si="0"/>
        <v>558.09554282664931</v>
      </c>
      <c r="N38">
        <f>+Tr*($L38/Pr)^kappa</f>
        <v>537.01884575553856</v>
      </c>
    </row>
    <row r="39" spans="11:14">
      <c r="K39">
        <f t="shared" si="3"/>
        <v>3.3000000000000016</v>
      </c>
      <c r="L39">
        <f t="shared" si="2"/>
        <v>1995.2623149688875</v>
      </c>
      <c r="M39">
        <f t="shared" si="0"/>
        <v>577.46214873351983</v>
      </c>
      <c r="N39">
        <f>+Tr*($L39/Pr)^kappa</f>
        <v>558.02826020439852</v>
      </c>
    </row>
    <row r="40" spans="11:14">
      <c r="K40">
        <f t="shared" si="3"/>
        <v>3.4000000000000017</v>
      </c>
      <c r="L40">
        <f t="shared" si="2"/>
        <v>2511.8864315095921</v>
      </c>
      <c r="M40">
        <f t="shared" si="0"/>
        <v>597.41259756871307</v>
      </c>
      <c r="N40">
        <f>+Tr*($L40/Pr)^kappa</f>
        <v>579.85961134872593</v>
      </c>
    </row>
    <row r="41" spans="11:14">
      <c r="K41">
        <f t="shared" si="3"/>
        <v>3.5000000000000018</v>
      </c>
      <c r="L41">
        <f t="shared" si="2"/>
        <v>3162.2776601683972</v>
      </c>
      <c r="M41">
        <f t="shared" si="0"/>
        <v>617.95833217076415</v>
      </c>
      <c r="N41">
        <f>+Tr*($L41/Pr)^kappa</f>
        <v>602.545055245654</v>
      </c>
    </row>
    <row r="42" spans="11:14">
      <c r="K42">
        <f t="shared" si="3"/>
        <v>3.6000000000000019</v>
      </c>
      <c r="L42">
        <f t="shared" si="2"/>
        <v>3981.071705534991</v>
      </c>
      <c r="M42">
        <f t="shared" si="0"/>
        <v>639.1105856268789</v>
      </c>
      <c r="N42">
        <f>+Tr*($L42/Pr)^kappa</f>
        <v>626.11800597135323</v>
      </c>
    </row>
    <row r="43" spans="11:14">
      <c r="K43">
        <f t="shared" si="3"/>
        <v>3.700000000000002</v>
      </c>
      <c r="L43">
        <f t="shared" si="2"/>
        <v>5011.8723362727505</v>
      </c>
      <c r="M43">
        <f t="shared" si="0"/>
        <v>660.8803444758629</v>
      </c>
      <c r="N43">
        <f>+Tr*($L43/Pr)^kappa</f>
        <v>650.61318483763478</v>
      </c>
    </row>
    <row r="44" spans="11:14">
      <c r="K44">
        <f t="shared" si="3"/>
        <v>3.800000000000002</v>
      </c>
      <c r="L44">
        <f t="shared" si="2"/>
        <v>6309.5734448019721</v>
      </c>
      <c r="M44">
        <f t="shared" si="0"/>
        <v>683.27831019100847</v>
      </c>
      <c r="N44">
        <f>+Tr*($L44/Pr)^kappa</f>
        <v>676.06667153401997</v>
      </c>
    </row>
    <row r="45" spans="11:14">
      <c r="K45">
        <f t="shared" ref="K45:K65" si="4">+$K44+0.1</f>
        <v>3.9000000000000021</v>
      </c>
      <c r="L45">
        <f t="shared" si="2"/>
        <v>7943.2823472428581</v>
      </c>
      <c r="M45">
        <f t="shared" si="0"/>
        <v>706.31485898582503</v>
      </c>
      <c r="N45">
        <f>+Tr*($L45/Pr)^kappa</f>
        <v>702.51595727060533</v>
      </c>
    </row>
    <row r="46" spans="11:14">
      <c r="K46">
        <f t="shared" si="4"/>
        <v>4.0000000000000018</v>
      </c>
      <c r="L46">
        <f t="shared" si="2"/>
        <v>10000.000000000044</v>
      </c>
      <c r="M46">
        <f t="shared" si="0"/>
        <v>730.00000000000034</v>
      </c>
      <c r="N46">
        <f>+Tr*($L46/Pr)^kappa</f>
        <v>730.00000000000045</v>
      </c>
    </row>
    <row r="47" spans="11:14">
      <c r="K47">
        <f t="shared" si="4"/>
        <v>4.1000000000000014</v>
      </c>
      <c r="L47">
        <f t="shared" si="2"/>
        <v>12589.254117941715</v>
      </c>
      <c r="M47">
        <f t="shared" si="0"/>
        <v>754.34333193851205</v>
      </c>
      <c r="N47">
        <f>+Tr*($L47/Pr)^kappa</f>
        <v>758.55928179967395</v>
      </c>
    </row>
    <row r="48" spans="11:14">
      <c r="K48">
        <f t="shared" si="4"/>
        <v>4.2000000000000011</v>
      </c>
      <c r="L48">
        <f t="shared" si="2"/>
        <v>15848.931924611175</v>
      </c>
      <c r="M48">
        <f t="shared" si="0"/>
        <v>779.35399825331297</v>
      </c>
      <c r="N48">
        <f>+Tr*($L48/Pr)^kappa</f>
        <v>788.23586849922833</v>
      </c>
    </row>
    <row r="49" spans="11:14">
      <c r="K49">
        <f t="shared" si="4"/>
        <v>4.3000000000000007</v>
      </c>
      <c r="L49">
        <f t="shared" si="2"/>
        <v>19952.623149688861</v>
      </c>
      <c r="M49">
        <f t="shared" si="0"/>
        <v>805.04064097443893</v>
      </c>
      <c r="N49">
        <f>+Tr*($L49/Pr)^kappa</f>
        <v>819.0734716404337</v>
      </c>
    </row>
    <row r="50" spans="11:14">
      <c r="K50">
        <f t="shared" si="4"/>
        <v>4.4000000000000004</v>
      </c>
      <c r="L50">
        <f t="shared" si="2"/>
        <v>25118.86431509586</v>
      </c>
      <c r="M50">
        <f t="shared" si="0"/>
        <v>831.41135331563783</v>
      </c>
      <c r="N50">
        <f>+Tr*($L50/Pr)^kappa</f>
        <v>851.11751286127742</v>
      </c>
    </row>
    <row r="51" spans="11:14">
      <c r="K51">
        <f t="shared" si="4"/>
        <v>4.5</v>
      </c>
      <c r="L51">
        <f t="shared" si="2"/>
        <v>31622.77660168384</v>
      </c>
      <c r="M51">
        <f t="shared" si="0"/>
        <v>858.47363119860916</v>
      </c>
      <c r="N51">
        <f>+Tr*($L51/Pr)^kappa</f>
        <v>884.41519079886984</v>
      </c>
    </row>
    <row r="52" spans="11:14">
      <c r="K52">
        <f t="shared" si="4"/>
        <v>4.5999999999999996</v>
      </c>
      <c r="L52">
        <f t="shared" si="2"/>
        <v>39810.717055349742</v>
      </c>
      <c r="M52">
        <f t="shared" si="0"/>
        <v>886.23432385953413</v>
      </c>
      <c r="N52">
        <f>+Tr*($L52/Pr)^kappa</f>
        <v>919.01555060974215</v>
      </c>
    </row>
    <row r="53" spans="11:14">
      <c r="K53">
        <f t="shared" si="4"/>
        <v>4.6999999999999993</v>
      </c>
      <c r="L53">
        <f t="shared" si="2"/>
        <v>50118.723362727207</v>
      </c>
      <c r="M53">
        <f t="shared" si="0"/>
        <v>914.69958372162978</v>
      </c>
      <c r="N53">
        <f>+Tr*($L53/Pr)^kappa</f>
        <v>954.96955620994174</v>
      </c>
    </row>
    <row r="54" spans="11:14">
      <c r="K54">
        <f t="shared" si="4"/>
        <v>4.7999999999999989</v>
      </c>
      <c r="L54">
        <f t="shared" si="2"/>
        <v>63095.734448019233</v>
      </c>
      <c r="M54">
        <f t="shared" si="0"/>
        <v>943.87481573779928</v>
      </c>
      <c r="N54">
        <f>+Tr*($L54/Pr)^kappa</f>
        <v>992.33016534132355</v>
      </c>
    </row>
    <row r="55" spans="11:14">
      <c r="K55">
        <f t="shared" si="4"/>
        <v>4.8999999999999986</v>
      </c>
      <c r="L55">
        <f t="shared" si="2"/>
        <v>79432.823472427961</v>
      </c>
      <c r="M55">
        <f t="shared" si="0"/>
        <v>973.76462642788817</v>
      </c>
      <c r="N55">
        <f>+Tr*($L55/Pr)^kappa</f>
        <v>1031.1524075746102</v>
      </c>
    </row>
    <row r="56" spans="11:14">
      <c r="K56">
        <f t="shared" si="4"/>
        <v>4.9999999999999982</v>
      </c>
      <c r="L56">
        <f t="shared" si="2"/>
        <v>99999.999999999665</v>
      </c>
      <c r="M56">
        <f t="shared" si="0"/>
        <v>1004.3727728553556</v>
      </c>
      <c r="N56">
        <f>+Tr*($L56/Pr)^kappa</f>
        <v>1071.4934653641103</v>
      </c>
    </row>
    <row r="57" spans="11:14">
      <c r="K57">
        <f t="shared" si="4"/>
        <v>5.0999999999999979</v>
      </c>
      <c r="L57">
        <f t="shared" si="2"/>
        <v>125892.54117941618</v>
      </c>
      <c r="M57">
        <f t="shared" si="0"/>
        <v>1035.7021118081168</v>
      </c>
      <c r="N57">
        <f>+Tr*($L57/Pr)^kappa</f>
        <v>1113.412758273483</v>
      </c>
    </row>
    <row r="58" spans="11:14">
      <c r="K58">
        <f t="shared" si="4"/>
        <v>5.1999999999999975</v>
      </c>
      <c r="L58">
        <f t="shared" si="2"/>
        <v>158489.31924611051</v>
      </c>
      <c r="M58">
        <f t="shared" si="0"/>
        <v>1067.7545494676133</v>
      </c>
      <c r="N58">
        <f>+Tr*($L58/Pr)^kappa</f>
        <v>1156.9720304966118</v>
      </c>
    </row>
    <row r="59" spans="11:14">
      <c r="K59">
        <f t="shared" si="4"/>
        <v>5.2999999999999972</v>
      </c>
      <c r="L59">
        <f t="shared" si="2"/>
        <v>199526.23149688673</v>
      </c>
      <c r="M59">
        <f t="shared" si="0"/>
        <v>1100.5309918685618</v>
      </c>
      <c r="N59">
        <f>+Tr*($L59/Pr)^kappa</f>
        <v>1202.2354418024927</v>
      </c>
    </row>
    <row r="60" spans="11:14">
      <c r="K60">
        <f t="shared" si="4"/>
        <v>5.3999999999999968</v>
      </c>
      <c r="L60">
        <f t="shared" si="2"/>
        <v>251188.64315095666</v>
      </c>
      <c r="M60">
        <f t="shared" si="0"/>
        <v>1134.0312964690017</v>
      </c>
      <c r="N60">
        <f>+Tr*($L60/Pr)^kappa</f>
        <v>1249.2696620380987</v>
      </c>
    </row>
    <row r="61" spans="11:14">
      <c r="K61">
        <f t="shared" si="4"/>
        <v>5.4999999999999964</v>
      </c>
      <c r="L61">
        <f t="shared" si="2"/>
        <v>316227.76601683593</v>
      </c>
      <c r="M61">
        <f t="shared" si="0"/>
        <v>1168.2542251658992</v>
      </c>
      <c r="N61">
        <f>+Tr*($L61/Pr)^kappa</f>
        <v>1298.1439693284124</v>
      </c>
    </row>
    <row r="62" spans="11:14">
      <c r="K62">
        <f t="shared" si="4"/>
        <v>5.5999999999999961</v>
      </c>
      <c r="L62">
        <f t="shared" si="2"/>
        <v>398107.17055349436</v>
      </c>
      <c r="M62">
        <f t="shared" si="0"/>
        <v>1203.1973991053435</v>
      </c>
      <c r="N62">
        <f>+Tr*($L62/Pr)^kappa</f>
        <v>1348.9303521182708</v>
      </c>
    </row>
    <row r="63" spans="11:14">
      <c r="K63">
        <f t="shared" si="4"/>
        <v>5.6999999999999957</v>
      </c>
      <c r="L63">
        <f t="shared" si="2"/>
        <v>501187.23362726811</v>
      </c>
      <c r="M63">
        <f t="shared" si="0"/>
        <v>1238.8572556479457</v>
      </c>
      <c r="N63">
        <f>+Tr*($L63/Pr)^kappa</f>
        <v>1401.7036152063231</v>
      </c>
    </row>
    <row r="64" spans="11:14">
      <c r="K64">
        <f t="shared" si="4"/>
        <v>5.7999999999999954</v>
      </c>
      <c r="L64">
        <f t="shared" si="2"/>
        <v>630957.3444801874</v>
      </c>
      <c r="M64">
        <f t="shared" si="0"/>
        <v>1275.2290078590934</v>
      </c>
      <c r="N64">
        <f>+Tr*($L64/Pr)^kappa</f>
        <v>1456.5414899272798</v>
      </c>
    </row>
    <row r="65" spans="11:14">
      <c r="K65">
        <f t="shared" si="4"/>
        <v>5.899999999999995</v>
      </c>
      <c r="L65">
        <f t="shared" si="2"/>
        <v>794328.23472427344</v>
      </c>
      <c r="M65">
        <f t="shared" si="0"/>
        <v>1312.3066068999126</v>
      </c>
      <c r="N65">
        <f>+Tr*($L65/Pr)^kappa</f>
        <v>1513.5247486447447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Sheet1</vt:lpstr>
      <vt:lpstr>Sheet1 (2)</vt:lpstr>
      <vt:lpstr>'Sheet1 (2)'!Alpha</vt:lpstr>
      <vt:lpstr>Alpha</vt:lpstr>
      <vt:lpstr>'Sheet1 (2)'!kappa</vt:lpstr>
      <vt:lpstr>kappa</vt:lpstr>
      <vt:lpstr>'Sheet1 (2)'!Pr</vt:lpstr>
      <vt:lpstr>Pr</vt:lpstr>
      <vt:lpstr>'Sheet1 (2)'!Tr</vt:lpstr>
      <vt:lpstr>Tr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cp:lastPrinted>2013-06-06T19:20:38Z</cp:lastPrinted>
  <dcterms:created xsi:type="dcterms:W3CDTF">2013-03-14T16:34:40Z</dcterms:created>
  <dcterms:modified xsi:type="dcterms:W3CDTF">2013-06-06T20:24:16Z</dcterms:modified>
</cp:coreProperties>
</file>