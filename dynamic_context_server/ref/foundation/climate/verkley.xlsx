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6140" windowHeight="13935"/>
  </bookViews>
  <sheets>
    <sheet name="Sheet1" sheetId="1" r:id="rId1"/>
  </sheets>
  <definedNames>
    <definedName name="Alpha">Sheet1!$L$2</definedName>
    <definedName name="kappa">Sheet1!$L$3</definedName>
    <definedName name="Pr">Sheet1!$L$4</definedName>
    <definedName name="Tr">Sheet1!$L$1</definedName>
  </definedNames>
  <calcPr calcId="125725"/>
</workbook>
</file>

<file path=xl/calcChain.xml><?xml version="1.0" encoding="utf-8"?>
<calcChain xmlns="http://schemas.openxmlformats.org/spreadsheetml/2006/main">
  <c r="L3" i="1"/>
  <c r="L38" s="1"/>
  <c r="M38" s="1"/>
  <c r="K6"/>
  <c r="J6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L11" l="1"/>
  <c r="M11" s="1"/>
  <c r="L43"/>
  <c r="M43" s="1"/>
  <c r="L10"/>
  <c r="M10" s="1"/>
  <c r="L26"/>
  <c r="M26" s="1"/>
  <c r="L9"/>
  <c r="M9" s="1"/>
  <c r="L41"/>
  <c r="M41" s="1"/>
  <c r="L8"/>
  <c r="M8" s="1"/>
  <c r="L16"/>
  <c r="M16" s="1"/>
  <c r="L24"/>
  <c r="M24" s="1"/>
  <c r="L32"/>
  <c r="M32" s="1"/>
  <c r="L40"/>
  <c r="M40" s="1"/>
  <c r="L21"/>
  <c r="M21" s="1"/>
  <c r="L29"/>
  <c r="M29" s="1"/>
  <c r="L20"/>
  <c r="M20" s="1"/>
  <c r="L44"/>
  <c r="M44" s="1"/>
  <c r="L35"/>
  <c r="M35" s="1"/>
  <c r="L18"/>
  <c r="M18" s="1"/>
  <c r="L34"/>
  <c r="M34" s="1"/>
  <c r="L33"/>
  <c r="M33" s="1"/>
  <c r="L7"/>
  <c r="M7" s="1"/>
  <c r="L15"/>
  <c r="M15" s="1"/>
  <c r="L23"/>
  <c r="M23" s="1"/>
  <c r="L31"/>
  <c r="M31" s="1"/>
  <c r="L39"/>
  <c r="M39" s="1"/>
  <c r="L13"/>
  <c r="M13" s="1"/>
  <c r="L37"/>
  <c r="M37" s="1"/>
  <c r="L12"/>
  <c r="M12" s="1"/>
  <c r="L28"/>
  <c r="M28" s="1"/>
  <c r="L36"/>
  <c r="M36" s="1"/>
  <c r="L19"/>
  <c r="M19" s="1"/>
  <c r="L27"/>
  <c r="M27" s="1"/>
  <c r="L42"/>
  <c r="M42" s="1"/>
  <c r="L17"/>
  <c r="M17" s="1"/>
  <c r="L25"/>
  <c r="M25" s="1"/>
  <c r="L6"/>
  <c r="M6" s="1"/>
  <c r="L14"/>
  <c r="M14" s="1"/>
  <c r="L22"/>
  <c r="M22" s="1"/>
  <c r="L30"/>
  <c r="M30" s="1"/>
  <c r="M5" l="1"/>
</calcChain>
</file>

<file path=xl/sharedStrings.xml><?xml version="1.0" encoding="utf-8"?>
<sst xmlns="http://schemas.openxmlformats.org/spreadsheetml/2006/main" count="15" uniqueCount="14">
  <si>
    <t>cm</t>
  </si>
  <si>
    <t>r</t>
  </si>
  <si>
    <t>lb/ft^2</t>
  </si>
  <si>
    <t>Temperature</t>
  </si>
  <si>
    <t>Pressure</t>
  </si>
  <si>
    <t>Tr</t>
  </si>
  <si>
    <t>Alpha</t>
  </si>
  <si>
    <t>Pr</t>
  </si>
  <si>
    <t>Kappa</t>
  </si>
  <si>
    <t>Verkley MaxEnt Variational</t>
  </si>
  <si>
    <t>SumSq</t>
  </si>
  <si>
    <t>STP</t>
  </si>
  <si>
    <t>[1]</t>
  </si>
  <si>
    <r>
      <t xml:space="preserve">W. T. M. Verkley and T. Gerkema, “On maximum entropy profiles,” </t>
    </r>
    <r>
      <rPr>
        <i/>
        <sz val="11"/>
        <color theme="1"/>
        <rFont val="Calibri"/>
        <family val="2"/>
        <scheme val="minor"/>
      </rPr>
      <t>Journal of the atmospheric sciences</t>
    </r>
    <r>
      <rPr>
        <sz val="11"/>
        <color theme="1"/>
        <rFont val="Calibri"/>
        <family val="2"/>
        <scheme val="minor"/>
      </rPr>
      <t>, vol. 61, no. 8, pp. 931–936, 2004.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</si>
</sst>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490560834011335"/>
          <c:y val="0.17768051803743509"/>
          <c:w val="0.77118891662184963"/>
          <c:h val="0.77097515182864929"/>
        </c:manualLayout>
      </c:layout>
      <c:scatterChart>
        <c:scatterStyle val="lineMarker"/>
        <c:ser>
          <c:idx val="0"/>
          <c:order val="0"/>
          <c:tx>
            <c:strRef>
              <c:f>Sheet1!$J$5:$K$5</c:f>
              <c:strCache>
                <c:ptCount val="1"/>
                <c:pt idx="0">
                  <c:v>Temperature Pressure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Sheet1!$J$7:$J$44</c:f>
              <c:numCache>
                <c:formatCode>General</c:formatCode>
                <c:ptCount val="38"/>
                <c:pt idx="0">
                  <c:v>288.16666666666669</c:v>
                </c:pt>
                <c:pt idx="1">
                  <c:v>286.16666666666669</c:v>
                </c:pt>
                <c:pt idx="2">
                  <c:v>284.16666666666669</c:v>
                </c:pt>
                <c:pt idx="3">
                  <c:v>282.22222222222223</c:v>
                </c:pt>
                <c:pt idx="4">
                  <c:v>280.22222222222223</c:v>
                </c:pt>
                <c:pt idx="5">
                  <c:v>278.22222222222223</c:v>
                </c:pt>
                <c:pt idx="6">
                  <c:v>276.27777777777777</c:v>
                </c:pt>
                <c:pt idx="7">
                  <c:v>274.27777777777777</c:v>
                </c:pt>
                <c:pt idx="8">
                  <c:v>272.33333333333331</c:v>
                </c:pt>
                <c:pt idx="9">
                  <c:v>270.33333333333331</c:v>
                </c:pt>
                <c:pt idx="10">
                  <c:v>268.33333333333331</c:v>
                </c:pt>
                <c:pt idx="11">
                  <c:v>266.38888888888891</c:v>
                </c:pt>
                <c:pt idx="12">
                  <c:v>264.38888888888891</c:v>
                </c:pt>
                <c:pt idx="13">
                  <c:v>262.38888888888891</c:v>
                </c:pt>
                <c:pt idx="14">
                  <c:v>260.44444444444446</c:v>
                </c:pt>
                <c:pt idx="15">
                  <c:v>258.44444444444446</c:v>
                </c:pt>
                <c:pt idx="16">
                  <c:v>256.5</c:v>
                </c:pt>
                <c:pt idx="17">
                  <c:v>254.5</c:v>
                </c:pt>
                <c:pt idx="18">
                  <c:v>252.5</c:v>
                </c:pt>
                <c:pt idx="19">
                  <c:v>250.55555555555554</c:v>
                </c:pt>
                <c:pt idx="20">
                  <c:v>248.55555555555554</c:v>
                </c:pt>
                <c:pt idx="21">
                  <c:v>246.61111111111111</c:v>
                </c:pt>
                <c:pt idx="22">
                  <c:v>244.61111111111111</c:v>
                </c:pt>
                <c:pt idx="23">
                  <c:v>242.61111111111111</c:v>
                </c:pt>
                <c:pt idx="24">
                  <c:v>240.66666666666666</c:v>
                </c:pt>
                <c:pt idx="25">
                  <c:v>238.66666666666666</c:v>
                </c:pt>
                <c:pt idx="26">
                  <c:v>236.72222222222223</c:v>
                </c:pt>
                <c:pt idx="27">
                  <c:v>234.72222222222223</c:v>
                </c:pt>
                <c:pt idx="28">
                  <c:v>232.77777777777777</c:v>
                </c:pt>
                <c:pt idx="29">
                  <c:v>230.77777777777777</c:v>
                </c:pt>
                <c:pt idx="30">
                  <c:v>228.77777777777777</c:v>
                </c:pt>
                <c:pt idx="31">
                  <c:v>226.83333333333334</c:v>
                </c:pt>
                <c:pt idx="32">
                  <c:v>224.83333333333334</c:v>
                </c:pt>
                <c:pt idx="33">
                  <c:v>222.88888888888889</c:v>
                </c:pt>
                <c:pt idx="34">
                  <c:v>220.88888888888889</c:v>
                </c:pt>
                <c:pt idx="35">
                  <c:v>218.94444444444446</c:v>
                </c:pt>
                <c:pt idx="36">
                  <c:v>216.94444444444446</c:v>
                </c:pt>
                <c:pt idx="37">
                  <c:v>216.66666666666666</c:v>
                </c:pt>
              </c:numCache>
            </c:numRef>
          </c:xVal>
          <c:yVal>
            <c:numRef>
              <c:f>Sheet1!$K$7:$K$44</c:f>
              <c:numCache>
                <c:formatCode>General</c:formatCode>
                <c:ptCount val="38"/>
                <c:pt idx="0">
                  <c:v>1013.2409687497587</c:v>
                </c:pt>
                <c:pt idx="1">
                  <c:v>977.18717187476739</c:v>
                </c:pt>
                <c:pt idx="2">
                  <c:v>942.13885937477573</c:v>
                </c:pt>
                <c:pt idx="3">
                  <c:v>908.14391145811715</c:v>
                </c:pt>
                <c:pt idx="4">
                  <c:v>875.106567708125</c:v>
                </c:pt>
                <c:pt idx="5">
                  <c:v>843.12258854146603</c:v>
                </c:pt>
                <c:pt idx="6">
                  <c:v>812.04833333314002</c:v>
                </c:pt>
                <c:pt idx="7">
                  <c:v>781.93168229148046</c:v>
                </c:pt>
                <c:pt idx="8">
                  <c:v>752.72475520815408</c:v>
                </c:pt>
                <c:pt idx="9">
                  <c:v>724.37967187482764</c:v>
                </c:pt>
                <c:pt idx="10">
                  <c:v>696.94431249983404</c:v>
                </c:pt>
                <c:pt idx="11">
                  <c:v>670.37079687484038</c:v>
                </c:pt>
                <c:pt idx="12">
                  <c:v>644.56336458317992</c:v>
                </c:pt>
                <c:pt idx="13">
                  <c:v>619.61777604151916</c:v>
                </c:pt>
                <c:pt idx="14">
                  <c:v>595.4382708331915</c:v>
                </c:pt>
                <c:pt idx="15">
                  <c:v>572.07272916653051</c:v>
                </c:pt>
                <c:pt idx="16">
                  <c:v>549.42539062486924</c:v>
                </c:pt>
                <c:pt idx="17">
                  <c:v>527.4962552082078</c:v>
                </c:pt>
                <c:pt idx="18">
                  <c:v>506.33320312487945</c:v>
                </c:pt>
                <c:pt idx="19">
                  <c:v>485.84047395821767</c:v>
                </c:pt>
                <c:pt idx="20">
                  <c:v>466.01806770822236</c:v>
                </c:pt>
                <c:pt idx="21">
                  <c:v>446.86598437489357</c:v>
                </c:pt>
                <c:pt idx="22">
                  <c:v>428.33634374989805</c:v>
                </c:pt>
                <c:pt idx="23">
                  <c:v>410.42914583323562</c:v>
                </c:pt>
                <c:pt idx="24">
                  <c:v>393.19227083323977</c:v>
                </c:pt>
                <c:pt idx="25">
                  <c:v>376.48207812491034</c:v>
                </c:pt>
                <c:pt idx="26">
                  <c:v>360.39432812491424</c:v>
                </c:pt>
                <c:pt idx="27">
                  <c:v>344.88114062491786</c:v>
                </c:pt>
                <c:pt idx="28">
                  <c:v>329.89463541658813</c:v>
                </c:pt>
                <c:pt idx="29">
                  <c:v>315.43481249992487</c:v>
                </c:pt>
                <c:pt idx="30">
                  <c:v>301.50167187492826</c:v>
                </c:pt>
                <c:pt idx="31">
                  <c:v>288.04733333326476</c:v>
                </c:pt>
                <c:pt idx="32">
                  <c:v>275.11967708326785</c:v>
                </c:pt>
                <c:pt idx="33">
                  <c:v>262.62294270827078</c:v>
                </c:pt>
                <c:pt idx="34">
                  <c:v>250.65289062494034</c:v>
                </c:pt>
                <c:pt idx="35">
                  <c:v>239.06588020827641</c:v>
                </c:pt>
                <c:pt idx="36">
                  <c:v>227.95767187494573</c:v>
                </c:pt>
                <c:pt idx="37">
                  <c:v>217.32826562494824</c:v>
                </c:pt>
              </c:numCache>
            </c:numRef>
          </c:yVal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Verkley MaxEnt Variational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ysClr val="window" lastClr="FFFFFF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Sheet1!$L$6:$L$44</c:f>
              <c:numCache>
                <c:formatCode>General</c:formatCode>
                <c:ptCount val="39"/>
                <c:pt idx="0">
                  <c:v>289.71788714297276</c:v>
                </c:pt>
                <c:pt idx="1">
                  <c:v>287.8576381094951</c:v>
                </c:pt>
                <c:pt idx="2">
                  <c:v>285.99102954250225</c:v>
                </c:pt>
                <c:pt idx="3">
                  <c:v>284.11430951414962</c:v>
                </c:pt>
                <c:pt idx="4">
                  <c:v>282.23127117124386</c:v>
                </c:pt>
                <c:pt idx="5">
                  <c:v>280.33785287297917</c:v>
                </c:pt>
                <c:pt idx="6">
                  <c:v>278.44094995007879</c:v>
                </c:pt>
                <c:pt idx="7">
                  <c:v>276.53346724671434</c:v>
                </c:pt>
                <c:pt idx="8">
                  <c:v>274.61964063557411</c:v>
                </c:pt>
                <c:pt idx="9">
                  <c:v>272.6978891800394</c:v>
                </c:pt>
                <c:pt idx="10">
                  <c:v>270.76637152706655</c:v>
                </c:pt>
                <c:pt idx="11">
                  <c:v>268.82983669387789</c:v>
                </c:pt>
                <c:pt idx="12">
                  <c:v>266.88657795537506</c:v>
                </c:pt>
                <c:pt idx="13">
                  <c:v>264.93090063123935</c:v>
                </c:pt>
                <c:pt idx="14">
                  <c:v>262.97155782031092</c:v>
                </c:pt>
                <c:pt idx="15">
                  <c:v>261.00271364688763</c:v>
                </c:pt>
                <c:pt idx="16">
                  <c:v>259.02996061815992</c:v>
                </c:pt>
                <c:pt idx="17">
                  <c:v>257.04689490742493</c:v>
                </c:pt>
                <c:pt idx="18">
                  <c:v>255.05495462671149</c:v>
                </c:pt>
                <c:pt idx="19">
                  <c:v>253.06037784350278</c:v>
                </c:pt>
                <c:pt idx="20">
                  <c:v>251.05600888373033</c:v>
                </c:pt>
                <c:pt idx="21">
                  <c:v>249.04343528675165</c:v>
                </c:pt>
                <c:pt idx="22">
                  <c:v>247.02446846987021</c:v>
                </c:pt>
                <c:pt idx="23">
                  <c:v>244.99582447830858</c:v>
                </c:pt>
                <c:pt idx="24">
                  <c:v>242.9592112332306</c:v>
                </c:pt>
                <c:pt idx="25">
                  <c:v>240.92234912440338</c:v>
                </c:pt>
                <c:pt idx="26">
                  <c:v>238.87015609169762</c:v>
                </c:pt>
                <c:pt idx="27">
                  <c:v>236.81622374897759</c:v>
                </c:pt>
                <c:pt idx="28">
                  <c:v>234.75688759333451</c:v>
                </c:pt>
                <c:pt idx="29">
                  <c:v>232.68780279946989</c:v>
                </c:pt>
                <c:pt idx="30">
                  <c:v>230.61087434741222</c:v>
                </c:pt>
                <c:pt idx="31">
                  <c:v>228.52829002891241</c:v>
                </c:pt>
                <c:pt idx="32">
                  <c:v>226.43495044931757</c:v>
                </c:pt>
                <c:pt idx="33">
                  <c:v>224.34067982381021</c:v>
                </c:pt>
                <c:pt idx="34">
                  <c:v>222.23217966875416</c:v>
                </c:pt>
                <c:pt idx="35">
                  <c:v>220.12817714537744</c:v>
                </c:pt>
                <c:pt idx="36">
                  <c:v>218.00579876819708</c:v>
                </c:pt>
                <c:pt idx="37">
                  <c:v>215.88479229694607</c:v>
                </c:pt>
                <c:pt idx="38">
                  <c:v>213.76886260774259</c:v>
                </c:pt>
              </c:numCache>
            </c:numRef>
          </c:xVal>
          <c:yVal>
            <c:numRef>
              <c:f>Sheet1!$K$6:$K$44</c:f>
              <c:numCache>
                <c:formatCode>General</c:formatCode>
                <c:ptCount val="39"/>
                <c:pt idx="0">
                  <c:v>1050.3960104164166</c:v>
                </c:pt>
                <c:pt idx="1">
                  <c:v>1013.2409687497587</c:v>
                </c:pt>
                <c:pt idx="2">
                  <c:v>977.18717187476739</c:v>
                </c:pt>
                <c:pt idx="3">
                  <c:v>942.13885937477573</c:v>
                </c:pt>
                <c:pt idx="4">
                  <c:v>908.14391145811715</c:v>
                </c:pt>
                <c:pt idx="5">
                  <c:v>875.106567708125</c:v>
                </c:pt>
                <c:pt idx="6">
                  <c:v>843.12258854146603</c:v>
                </c:pt>
                <c:pt idx="7">
                  <c:v>812.04833333314002</c:v>
                </c:pt>
                <c:pt idx="8">
                  <c:v>781.93168229148046</c:v>
                </c:pt>
                <c:pt idx="9">
                  <c:v>752.72475520815408</c:v>
                </c:pt>
                <c:pt idx="10">
                  <c:v>724.37967187482764</c:v>
                </c:pt>
                <c:pt idx="11">
                  <c:v>696.94431249983404</c:v>
                </c:pt>
                <c:pt idx="12">
                  <c:v>670.37079687484038</c:v>
                </c:pt>
                <c:pt idx="13">
                  <c:v>644.56336458317992</c:v>
                </c:pt>
                <c:pt idx="14">
                  <c:v>619.61777604151916</c:v>
                </c:pt>
                <c:pt idx="15">
                  <c:v>595.4382708331915</c:v>
                </c:pt>
                <c:pt idx="16">
                  <c:v>572.07272916653051</c:v>
                </c:pt>
                <c:pt idx="17">
                  <c:v>549.42539062486924</c:v>
                </c:pt>
                <c:pt idx="18">
                  <c:v>527.4962552082078</c:v>
                </c:pt>
                <c:pt idx="19">
                  <c:v>506.33320312487945</c:v>
                </c:pt>
                <c:pt idx="20">
                  <c:v>485.84047395821767</c:v>
                </c:pt>
                <c:pt idx="21">
                  <c:v>466.01806770822236</c:v>
                </c:pt>
                <c:pt idx="22">
                  <c:v>446.86598437489357</c:v>
                </c:pt>
                <c:pt idx="23">
                  <c:v>428.33634374989805</c:v>
                </c:pt>
                <c:pt idx="24">
                  <c:v>410.42914583323562</c:v>
                </c:pt>
                <c:pt idx="25">
                  <c:v>393.19227083323977</c:v>
                </c:pt>
                <c:pt idx="26">
                  <c:v>376.48207812491034</c:v>
                </c:pt>
                <c:pt idx="27">
                  <c:v>360.39432812491424</c:v>
                </c:pt>
                <c:pt idx="28">
                  <c:v>344.88114062491786</c:v>
                </c:pt>
                <c:pt idx="29">
                  <c:v>329.89463541658813</c:v>
                </c:pt>
                <c:pt idx="30">
                  <c:v>315.43481249992487</c:v>
                </c:pt>
                <c:pt idx="31">
                  <c:v>301.50167187492826</c:v>
                </c:pt>
                <c:pt idx="32">
                  <c:v>288.04733333326476</c:v>
                </c:pt>
                <c:pt idx="33">
                  <c:v>275.11967708326785</c:v>
                </c:pt>
                <c:pt idx="34">
                  <c:v>262.62294270827078</c:v>
                </c:pt>
                <c:pt idx="35">
                  <c:v>250.65289062494034</c:v>
                </c:pt>
                <c:pt idx="36">
                  <c:v>239.06588020827641</c:v>
                </c:pt>
                <c:pt idx="37">
                  <c:v>227.95767187494573</c:v>
                </c:pt>
                <c:pt idx="38">
                  <c:v>217.32826562494824</c:v>
                </c:pt>
              </c:numCache>
            </c:numRef>
          </c:yVal>
        </c:ser>
        <c:axId val="191126912"/>
        <c:axId val="191124992"/>
      </c:scatterChart>
      <c:valAx>
        <c:axId val="191126912"/>
        <c:scaling>
          <c:orientation val="minMax"/>
          <c:max val="325"/>
          <c:min val="175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191124992"/>
        <c:crosses val="autoZero"/>
        <c:crossBetween val="midCat"/>
        <c:majorUnit val="25"/>
      </c:valAx>
      <c:valAx>
        <c:axId val="191124992"/>
        <c:scaling>
          <c:orientation val="maxMin"/>
          <c:max val="1000"/>
          <c:min val="0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</c:title>
        <c:numFmt formatCode="General" sourceLinked="1"/>
        <c:tickLblPos val="nextTo"/>
        <c:crossAx val="191126912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8403989909995541"/>
          <c:y val="0.63814931466899971"/>
          <c:w val="0.3297398809961255"/>
          <c:h val="0.22345056867891513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449056083401134"/>
          <c:y val="0.17768051803743509"/>
          <c:w val="0.77118891662184985"/>
          <c:h val="0.77097515182864951"/>
        </c:manualLayout>
      </c:layout>
      <c:scatterChart>
        <c:scatterStyle val="lineMarker"/>
        <c:ser>
          <c:idx val="0"/>
          <c:order val="0"/>
          <c:tx>
            <c:strRef>
              <c:f>Sheet1!$J$5:$K$5</c:f>
              <c:strCache>
                <c:ptCount val="1"/>
                <c:pt idx="0">
                  <c:v>Temperature Pressure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Sheet1!$J$7:$J$44</c:f>
              <c:numCache>
                <c:formatCode>General</c:formatCode>
                <c:ptCount val="38"/>
                <c:pt idx="0">
                  <c:v>288.16666666666669</c:v>
                </c:pt>
                <c:pt idx="1">
                  <c:v>286.16666666666669</c:v>
                </c:pt>
                <c:pt idx="2">
                  <c:v>284.16666666666669</c:v>
                </c:pt>
                <c:pt idx="3">
                  <c:v>282.22222222222223</c:v>
                </c:pt>
                <c:pt idx="4">
                  <c:v>280.22222222222223</c:v>
                </c:pt>
                <c:pt idx="5">
                  <c:v>278.22222222222223</c:v>
                </c:pt>
                <c:pt idx="6">
                  <c:v>276.27777777777777</c:v>
                </c:pt>
                <c:pt idx="7">
                  <c:v>274.27777777777777</c:v>
                </c:pt>
                <c:pt idx="8">
                  <c:v>272.33333333333331</c:v>
                </c:pt>
                <c:pt idx="9">
                  <c:v>270.33333333333331</c:v>
                </c:pt>
                <c:pt idx="10">
                  <c:v>268.33333333333331</c:v>
                </c:pt>
                <c:pt idx="11">
                  <c:v>266.38888888888891</c:v>
                </c:pt>
                <c:pt idx="12">
                  <c:v>264.38888888888891</c:v>
                </c:pt>
                <c:pt idx="13">
                  <c:v>262.38888888888891</c:v>
                </c:pt>
                <c:pt idx="14">
                  <c:v>260.44444444444446</c:v>
                </c:pt>
                <c:pt idx="15">
                  <c:v>258.44444444444446</c:v>
                </c:pt>
                <c:pt idx="16">
                  <c:v>256.5</c:v>
                </c:pt>
                <c:pt idx="17">
                  <c:v>254.5</c:v>
                </c:pt>
                <c:pt idx="18">
                  <c:v>252.5</c:v>
                </c:pt>
                <c:pt idx="19">
                  <c:v>250.55555555555554</c:v>
                </c:pt>
                <c:pt idx="20">
                  <c:v>248.55555555555554</c:v>
                </c:pt>
                <c:pt idx="21">
                  <c:v>246.61111111111111</c:v>
                </c:pt>
                <c:pt idx="22">
                  <c:v>244.61111111111111</c:v>
                </c:pt>
                <c:pt idx="23">
                  <c:v>242.61111111111111</c:v>
                </c:pt>
                <c:pt idx="24">
                  <c:v>240.66666666666666</c:v>
                </c:pt>
                <c:pt idx="25">
                  <c:v>238.66666666666666</c:v>
                </c:pt>
                <c:pt idx="26">
                  <c:v>236.72222222222223</c:v>
                </c:pt>
                <c:pt idx="27">
                  <c:v>234.72222222222223</c:v>
                </c:pt>
                <c:pt idx="28">
                  <c:v>232.77777777777777</c:v>
                </c:pt>
                <c:pt idx="29">
                  <c:v>230.77777777777777</c:v>
                </c:pt>
                <c:pt idx="30">
                  <c:v>228.77777777777777</c:v>
                </c:pt>
                <c:pt idx="31">
                  <c:v>226.83333333333334</c:v>
                </c:pt>
                <c:pt idx="32">
                  <c:v>224.83333333333334</c:v>
                </c:pt>
                <c:pt idx="33">
                  <c:v>222.88888888888889</c:v>
                </c:pt>
                <c:pt idx="34">
                  <c:v>220.88888888888889</c:v>
                </c:pt>
                <c:pt idx="35">
                  <c:v>218.94444444444446</c:v>
                </c:pt>
                <c:pt idx="36">
                  <c:v>216.94444444444446</c:v>
                </c:pt>
                <c:pt idx="37">
                  <c:v>216.66666666666666</c:v>
                </c:pt>
              </c:numCache>
            </c:numRef>
          </c:xVal>
          <c:yVal>
            <c:numRef>
              <c:f>Sheet1!$K$7:$K$44</c:f>
              <c:numCache>
                <c:formatCode>General</c:formatCode>
                <c:ptCount val="38"/>
                <c:pt idx="0">
                  <c:v>1013.2409687497587</c:v>
                </c:pt>
                <c:pt idx="1">
                  <c:v>977.18717187476739</c:v>
                </c:pt>
                <c:pt idx="2">
                  <c:v>942.13885937477573</c:v>
                </c:pt>
                <c:pt idx="3">
                  <c:v>908.14391145811715</c:v>
                </c:pt>
                <c:pt idx="4">
                  <c:v>875.106567708125</c:v>
                </c:pt>
                <c:pt idx="5">
                  <c:v>843.12258854146603</c:v>
                </c:pt>
                <c:pt idx="6">
                  <c:v>812.04833333314002</c:v>
                </c:pt>
                <c:pt idx="7">
                  <c:v>781.93168229148046</c:v>
                </c:pt>
                <c:pt idx="8">
                  <c:v>752.72475520815408</c:v>
                </c:pt>
                <c:pt idx="9">
                  <c:v>724.37967187482764</c:v>
                </c:pt>
                <c:pt idx="10">
                  <c:v>696.94431249983404</c:v>
                </c:pt>
                <c:pt idx="11">
                  <c:v>670.37079687484038</c:v>
                </c:pt>
                <c:pt idx="12">
                  <c:v>644.56336458317992</c:v>
                </c:pt>
                <c:pt idx="13">
                  <c:v>619.61777604151916</c:v>
                </c:pt>
                <c:pt idx="14">
                  <c:v>595.4382708331915</c:v>
                </c:pt>
                <c:pt idx="15">
                  <c:v>572.07272916653051</c:v>
                </c:pt>
                <c:pt idx="16">
                  <c:v>549.42539062486924</c:v>
                </c:pt>
                <c:pt idx="17">
                  <c:v>527.4962552082078</c:v>
                </c:pt>
                <c:pt idx="18">
                  <c:v>506.33320312487945</c:v>
                </c:pt>
                <c:pt idx="19">
                  <c:v>485.84047395821767</c:v>
                </c:pt>
                <c:pt idx="20">
                  <c:v>466.01806770822236</c:v>
                </c:pt>
                <c:pt idx="21">
                  <c:v>446.86598437489357</c:v>
                </c:pt>
                <c:pt idx="22">
                  <c:v>428.33634374989805</c:v>
                </c:pt>
                <c:pt idx="23">
                  <c:v>410.42914583323562</c:v>
                </c:pt>
                <c:pt idx="24">
                  <c:v>393.19227083323977</c:v>
                </c:pt>
                <c:pt idx="25">
                  <c:v>376.48207812491034</c:v>
                </c:pt>
                <c:pt idx="26">
                  <c:v>360.39432812491424</c:v>
                </c:pt>
                <c:pt idx="27">
                  <c:v>344.88114062491786</c:v>
                </c:pt>
                <c:pt idx="28">
                  <c:v>329.89463541658813</c:v>
                </c:pt>
                <c:pt idx="29">
                  <c:v>315.43481249992487</c:v>
                </c:pt>
                <c:pt idx="30">
                  <c:v>301.50167187492826</c:v>
                </c:pt>
                <c:pt idx="31">
                  <c:v>288.04733333326476</c:v>
                </c:pt>
                <c:pt idx="32">
                  <c:v>275.11967708326785</c:v>
                </c:pt>
                <c:pt idx="33">
                  <c:v>262.62294270827078</c:v>
                </c:pt>
                <c:pt idx="34">
                  <c:v>250.65289062494034</c:v>
                </c:pt>
                <c:pt idx="35">
                  <c:v>239.06588020827641</c:v>
                </c:pt>
                <c:pt idx="36">
                  <c:v>227.95767187494573</c:v>
                </c:pt>
                <c:pt idx="37">
                  <c:v>217.32826562494824</c:v>
                </c:pt>
              </c:numCache>
            </c:numRef>
          </c:yVal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Verkley MaxEnt Variational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3"/>
            <c:spPr>
              <a:solidFill>
                <a:sysClr val="window" lastClr="FFFFFF"/>
              </a:solidFill>
              <a:ln>
                <a:solidFill>
                  <a:srgbClr val="00B0F0"/>
                </a:solidFill>
              </a:ln>
            </c:spPr>
          </c:marker>
          <c:xVal>
            <c:numRef>
              <c:f>Sheet1!$L$6:$L$44</c:f>
              <c:numCache>
                <c:formatCode>General</c:formatCode>
                <c:ptCount val="39"/>
                <c:pt idx="0">
                  <c:v>289.71788714297276</c:v>
                </c:pt>
                <c:pt idx="1">
                  <c:v>287.8576381094951</c:v>
                </c:pt>
                <c:pt idx="2">
                  <c:v>285.99102954250225</c:v>
                </c:pt>
                <c:pt idx="3">
                  <c:v>284.11430951414962</c:v>
                </c:pt>
                <c:pt idx="4">
                  <c:v>282.23127117124386</c:v>
                </c:pt>
                <c:pt idx="5">
                  <c:v>280.33785287297917</c:v>
                </c:pt>
                <c:pt idx="6">
                  <c:v>278.44094995007879</c:v>
                </c:pt>
                <c:pt idx="7">
                  <c:v>276.53346724671434</c:v>
                </c:pt>
                <c:pt idx="8">
                  <c:v>274.61964063557411</c:v>
                </c:pt>
                <c:pt idx="9">
                  <c:v>272.6978891800394</c:v>
                </c:pt>
                <c:pt idx="10">
                  <c:v>270.76637152706655</c:v>
                </c:pt>
                <c:pt idx="11">
                  <c:v>268.82983669387789</c:v>
                </c:pt>
                <c:pt idx="12">
                  <c:v>266.88657795537506</c:v>
                </c:pt>
                <c:pt idx="13">
                  <c:v>264.93090063123935</c:v>
                </c:pt>
                <c:pt idx="14">
                  <c:v>262.97155782031092</c:v>
                </c:pt>
                <c:pt idx="15">
                  <c:v>261.00271364688763</c:v>
                </c:pt>
                <c:pt idx="16">
                  <c:v>259.02996061815992</c:v>
                </c:pt>
                <c:pt idx="17">
                  <c:v>257.04689490742493</c:v>
                </c:pt>
                <c:pt idx="18">
                  <c:v>255.05495462671149</c:v>
                </c:pt>
                <c:pt idx="19">
                  <c:v>253.06037784350278</c:v>
                </c:pt>
                <c:pt idx="20">
                  <c:v>251.05600888373033</c:v>
                </c:pt>
                <c:pt idx="21">
                  <c:v>249.04343528675165</c:v>
                </c:pt>
                <c:pt idx="22">
                  <c:v>247.02446846987021</c:v>
                </c:pt>
                <c:pt idx="23">
                  <c:v>244.99582447830858</c:v>
                </c:pt>
                <c:pt idx="24">
                  <c:v>242.9592112332306</c:v>
                </c:pt>
                <c:pt idx="25">
                  <c:v>240.92234912440338</c:v>
                </c:pt>
                <c:pt idx="26">
                  <c:v>238.87015609169762</c:v>
                </c:pt>
                <c:pt idx="27">
                  <c:v>236.81622374897759</c:v>
                </c:pt>
                <c:pt idx="28">
                  <c:v>234.75688759333451</c:v>
                </c:pt>
                <c:pt idx="29">
                  <c:v>232.68780279946989</c:v>
                </c:pt>
                <c:pt idx="30">
                  <c:v>230.61087434741222</c:v>
                </c:pt>
                <c:pt idx="31">
                  <c:v>228.52829002891241</c:v>
                </c:pt>
                <c:pt idx="32">
                  <c:v>226.43495044931757</c:v>
                </c:pt>
                <c:pt idx="33">
                  <c:v>224.34067982381021</c:v>
                </c:pt>
                <c:pt idx="34">
                  <c:v>222.23217966875416</c:v>
                </c:pt>
                <c:pt idx="35">
                  <c:v>220.12817714537744</c:v>
                </c:pt>
                <c:pt idx="36">
                  <c:v>218.00579876819708</c:v>
                </c:pt>
                <c:pt idx="37">
                  <c:v>215.88479229694607</c:v>
                </c:pt>
                <c:pt idx="38">
                  <c:v>213.76886260774259</c:v>
                </c:pt>
              </c:numCache>
            </c:numRef>
          </c:xVal>
          <c:yVal>
            <c:numRef>
              <c:f>Sheet1!$K$6:$K$44</c:f>
              <c:numCache>
                <c:formatCode>General</c:formatCode>
                <c:ptCount val="39"/>
                <c:pt idx="0">
                  <c:v>1050.3960104164166</c:v>
                </c:pt>
                <c:pt idx="1">
                  <c:v>1013.2409687497587</c:v>
                </c:pt>
                <c:pt idx="2">
                  <c:v>977.18717187476739</c:v>
                </c:pt>
                <c:pt idx="3">
                  <c:v>942.13885937477573</c:v>
                </c:pt>
                <c:pt idx="4">
                  <c:v>908.14391145811715</c:v>
                </c:pt>
                <c:pt idx="5">
                  <c:v>875.106567708125</c:v>
                </c:pt>
                <c:pt idx="6">
                  <c:v>843.12258854146603</c:v>
                </c:pt>
                <c:pt idx="7">
                  <c:v>812.04833333314002</c:v>
                </c:pt>
                <c:pt idx="8">
                  <c:v>781.93168229148046</c:v>
                </c:pt>
                <c:pt idx="9">
                  <c:v>752.72475520815408</c:v>
                </c:pt>
                <c:pt idx="10">
                  <c:v>724.37967187482764</c:v>
                </c:pt>
                <c:pt idx="11">
                  <c:v>696.94431249983404</c:v>
                </c:pt>
                <c:pt idx="12">
                  <c:v>670.37079687484038</c:v>
                </c:pt>
                <c:pt idx="13">
                  <c:v>644.56336458317992</c:v>
                </c:pt>
                <c:pt idx="14">
                  <c:v>619.61777604151916</c:v>
                </c:pt>
                <c:pt idx="15">
                  <c:v>595.4382708331915</c:v>
                </c:pt>
                <c:pt idx="16">
                  <c:v>572.07272916653051</c:v>
                </c:pt>
                <c:pt idx="17">
                  <c:v>549.42539062486924</c:v>
                </c:pt>
                <c:pt idx="18">
                  <c:v>527.4962552082078</c:v>
                </c:pt>
                <c:pt idx="19">
                  <c:v>506.33320312487945</c:v>
                </c:pt>
                <c:pt idx="20">
                  <c:v>485.84047395821767</c:v>
                </c:pt>
                <c:pt idx="21">
                  <c:v>466.01806770822236</c:v>
                </c:pt>
                <c:pt idx="22">
                  <c:v>446.86598437489357</c:v>
                </c:pt>
                <c:pt idx="23">
                  <c:v>428.33634374989805</c:v>
                </c:pt>
                <c:pt idx="24">
                  <c:v>410.42914583323562</c:v>
                </c:pt>
                <c:pt idx="25">
                  <c:v>393.19227083323977</c:v>
                </c:pt>
                <c:pt idx="26">
                  <c:v>376.48207812491034</c:v>
                </c:pt>
                <c:pt idx="27">
                  <c:v>360.39432812491424</c:v>
                </c:pt>
                <c:pt idx="28">
                  <c:v>344.88114062491786</c:v>
                </c:pt>
                <c:pt idx="29">
                  <c:v>329.89463541658813</c:v>
                </c:pt>
                <c:pt idx="30">
                  <c:v>315.43481249992487</c:v>
                </c:pt>
                <c:pt idx="31">
                  <c:v>301.50167187492826</c:v>
                </c:pt>
                <c:pt idx="32">
                  <c:v>288.04733333326476</c:v>
                </c:pt>
                <c:pt idx="33">
                  <c:v>275.11967708326785</c:v>
                </c:pt>
                <c:pt idx="34">
                  <c:v>262.62294270827078</c:v>
                </c:pt>
                <c:pt idx="35">
                  <c:v>250.65289062494034</c:v>
                </c:pt>
                <c:pt idx="36">
                  <c:v>239.06588020827641</c:v>
                </c:pt>
                <c:pt idx="37">
                  <c:v>227.95767187494573</c:v>
                </c:pt>
                <c:pt idx="38">
                  <c:v>217.32826562494824</c:v>
                </c:pt>
              </c:numCache>
            </c:numRef>
          </c:yVal>
        </c:ser>
        <c:axId val="195792256"/>
        <c:axId val="202638080"/>
      </c:scatterChart>
      <c:valAx>
        <c:axId val="195792256"/>
        <c:scaling>
          <c:orientation val="minMax"/>
          <c:max val="300"/>
          <c:min val="200"/>
        </c:scaling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202638080"/>
        <c:crosses val="autoZero"/>
        <c:crossBetween val="midCat"/>
        <c:majorUnit val="25"/>
      </c:valAx>
      <c:valAx>
        <c:axId val="202638080"/>
        <c:scaling>
          <c:logBase val="10"/>
          <c:orientation val="maxMin"/>
          <c:max val="2000"/>
          <c:min val="200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</a:t>
                </a:r>
              </a:p>
            </c:rich>
          </c:tx>
          <c:layout/>
        </c:title>
        <c:numFmt formatCode="General" sourceLinked="1"/>
        <c:tickLblPos val="nextTo"/>
        <c:crossAx val="195792256"/>
        <c:crosses val="autoZero"/>
        <c:crossBetween val="midCat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9918452053958373"/>
          <c:y val="0.20205422299091227"/>
          <c:w val="0.38149105780382103"/>
          <c:h val="0.18048033013214385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6</xdr:row>
      <xdr:rowOff>171450</xdr:rowOff>
    </xdr:from>
    <xdr:to>
      <xdr:col>6</xdr:col>
      <xdr:colOff>276225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7</xdr:row>
      <xdr:rowOff>19051</xdr:rowOff>
    </xdr:from>
    <xdr:to>
      <xdr:col>13</xdr:col>
      <xdr:colOff>38100</xdr:colOff>
      <xdr:row>24</xdr:row>
      <xdr:rowOff>76201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180975</xdr:colOff>
      <xdr:row>15</xdr:row>
      <xdr:rowOff>152400</xdr:rowOff>
    </xdr:from>
    <xdr:to>
      <xdr:col>18</xdr:col>
      <xdr:colOff>333375</xdr:colOff>
      <xdr:row>18</xdr:row>
      <xdr:rowOff>171450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382000" y="3390900"/>
          <a:ext cx="3200400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:O72"/>
  <sheetViews>
    <sheetView tabSelected="1" topLeftCell="H1" workbookViewId="0">
      <selection activeCell="O22" sqref="O22"/>
    </sheetView>
  </sheetViews>
  <sheetFormatPr defaultRowHeight="15"/>
  <cols>
    <col min="6" max="9" width="9.140625" style="4"/>
    <col min="12" max="12" width="10.85546875" customWidth="1"/>
    <col min="13" max="13" width="11.5703125" bestFit="1" customWidth="1"/>
  </cols>
  <sheetData>
    <row r="1" spans="6:15">
      <c r="K1">
        <v>286.89999999999998</v>
      </c>
      <c r="L1" s="3">
        <v>287.17937500000005</v>
      </c>
      <c r="M1" s="3" t="s">
        <v>5</v>
      </c>
    </row>
    <row r="2" spans="6:15">
      <c r="G2" s="4" t="s">
        <v>11</v>
      </c>
      <c r="L2" s="3">
        <v>1.6868000000000001</v>
      </c>
      <c r="M2" s="3" t="s">
        <v>6</v>
      </c>
    </row>
    <row r="3" spans="6:15">
      <c r="L3" s="3">
        <f>287/1004</f>
        <v>0.28585657370517931</v>
      </c>
      <c r="M3" s="3" t="s">
        <v>8</v>
      </c>
    </row>
    <row r="4" spans="6:15">
      <c r="L4" s="3">
        <v>1000</v>
      </c>
      <c r="M4" s="3" t="s">
        <v>7</v>
      </c>
    </row>
    <row r="5" spans="6:15" s="1" customFormat="1" ht="45">
      <c r="F5" s="5" t="s">
        <v>0</v>
      </c>
      <c r="G5" s="5" t="s">
        <v>1</v>
      </c>
      <c r="H5" s="5" t="s">
        <v>0</v>
      </c>
      <c r="I5" s="5" t="s">
        <v>2</v>
      </c>
      <c r="J5" s="1" t="s">
        <v>3</v>
      </c>
      <c r="K5" s="1" t="s">
        <v>4</v>
      </c>
      <c r="L5" s="1" t="s">
        <v>9</v>
      </c>
      <c r="M5" s="2">
        <f>+SUM(M6:M44)</f>
        <v>16.506844296065534</v>
      </c>
      <c r="N5" s="2" t="s">
        <v>10</v>
      </c>
    </row>
    <row r="6" spans="6:15">
      <c r="F6" s="4">
        <v>-30479.999024640001</v>
      </c>
      <c r="G6" s="4">
        <v>522.20000000000005</v>
      </c>
      <c r="H6" s="4">
        <v>-30479.999024640001</v>
      </c>
      <c r="I6" s="4">
        <v>2193.8000000000002</v>
      </c>
      <c r="J6">
        <f>+$G6*5/9</f>
        <v>290.11111111111109</v>
      </c>
      <c r="K6">
        <f>+$I6/2.088545632547</f>
        <v>1050.3960104164166</v>
      </c>
      <c r="L6">
        <f>+Tr*(1+Alpha)/(1+Alpha*(Pr/$K6)^kappa)</f>
        <v>289.71788714297276</v>
      </c>
      <c r="M6">
        <f>+($J6-$L6)^2</f>
        <v>0.15462508911845388</v>
      </c>
    </row>
    <row r="7" spans="6:15">
      <c r="F7" s="4">
        <v>0</v>
      </c>
      <c r="G7" s="4">
        <v>518.70000000000005</v>
      </c>
      <c r="H7" s="4">
        <v>0</v>
      </c>
      <c r="I7" s="4">
        <v>2116.1999999999998</v>
      </c>
      <c r="J7">
        <f>+$G7*5/9</f>
        <v>288.16666666666669</v>
      </c>
      <c r="K7">
        <f>+$I7/2.088545632547</f>
        <v>1013.2409687497587</v>
      </c>
      <c r="L7">
        <f>+Tr*(1+Alpha)/(1+Alpha*(Pr/$K7)^kappa)</f>
        <v>287.8576381094951</v>
      </c>
      <c r="M7">
        <f t="shared" ref="M7:M44" si="0">+($J7-$L7)^2</f>
        <v>9.5498649147552642E-2</v>
      </c>
    </row>
    <row r="8" spans="6:15">
      <c r="F8" s="4">
        <v>30479.999024640001</v>
      </c>
      <c r="G8" s="4">
        <v>515.1</v>
      </c>
      <c r="H8" s="4">
        <v>30479.999024640001</v>
      </c>
      <c r="I8" s="4">
        <v>2040.9</v>
      </c>
      <c r="J8">
        <f t="shared" ref="J8:J44" si="1">+$G8*5/9</f>
        <v>286.16666666666669</v>
      </c>
      <c r="K8">
        <f t="shared" ref="K8:K44" si="2">+$I8/2.088545632547</f>
        <v>977.18717187476739</v>
      </c>
      <c r="L8">
        <f>+Tr*(1+Alpha)/(1+Alpha*(Pr/$K8)^kappa)</f>
        <v>285.99102954250225</v>
      </c>
      <c r="M8">
        <f t="shared" si="0"/>
        <v>3.0848399384754484E-2</v>
      </c>
    </row>
    <row r="9" spans="6:15">
      <c r="F9" s="4">
        <v>60959.998049280002</v>
      </c>
      <c r="G9" s="4">
        <v>511.5</v>
      </c>
      <c r="H9" s="4">
        <v>60959.998049280002</v>
      </c>
      <c r="I9" s="4">
        <v>1967.7</v>
      </c>
      <c r="J9">
        <f t="shared" si="1"/>
        <v>284.16666666666669</v>
      </c>
      <c r="K9">
        <f t="shared" si="2"/>
        <v>942.13885937477573</v>
      </c>
      <c r="L9">
        <f>+Tr*(1+Alpha)/(1+Alpha*(Pr/$K9)^kappa)</f>
        <v>284.11430951414962</v>
      </c>
      <c r="M9">
        <f t="shared" si="0"/>
        <v>2.7412714196947837E-3</v>
      </c>
    </row>
    <row r="10" spans="6:15">
      <c r="F10" s="4">
        <v>91439.997073920094</v>
      </c>
      <c r="G10" s="4">
        <v>508</v>
      </c>
      <c r="H10" s="4">
        <v>91439.997073920094</v>
      </c>
      <c r="I10" s="4">
        <v>1896.7</v>
      </c>
      <c r="J10">
        <f t="shared" si="1"/>
        <v>282.22222222222223</v>
      </c>
      <c r="K10">
        <f t="shared" si="2"/>
        <v>908.14391145811715</v>
      </c>
      <c r="L10">
        <f>+Tr*(1+Alpha)/(1+Alpha*(Pr/$K10)^kappa)</f>
        <v>282.23127117124386</v>
      </c>
      <c r="M10">
        <f t="shared" si="0"/>
        <v>8.1883478396108835E-5</v>
      </c>
    </row>
    <row r="11" spans="6:15">
      <c r="F11" s="4">
        <v>121919.99609856</v>
      </c>
      <c r="G11" s="4">
        <v>504.4</v>
      </c>
      <c r="H11" s="4">
        <v>121919.99609856</v>
      </c>
      <c r="I11" s="4">
        <v>1827.7</v>
      </c>
      <c r="J11">
        <f t="shared" si="1"/>
        <v>280.22222222222223</v>
      </c>
      <c r="K11">
        <f t="shared" si="2"/>
        <v>875.106567708125</v>
      </c>
      <c r="L11">
        <f>+Tr*(1+Alpha)/(1+Alpha*(Pr/$K11)^kappa)</f>
        <v>280.33785287297917</v>
      </c>
      <c r="M11">
        <f t="shared" si="0"/>
        <v>1.3370447394473689E-2</v>
      </c>
    </row>
    <row r="12" spans="6:15">
      <c r="F12" s="4">
        <v>152399.9951232</v>
      </c>
      <c r="G12" s="4">
        <v>500.8</v>
      </c>
      <c r="H12" s="4">
        <v>152399.9951232</v>
      </c>
      <c r="I12" s="4">
        <v>1760.9</v>
      </c>
      <c r="J12">
        <f t="shared" si="1"/>
        <v>278.22222222222223</v>
      </c>
      <c r="K12">
        <f t="shared" si="2"/>
        <v>843.12258854146603</v>
      </c>
      <c r="L12">
        <f>+Tr*(1+Alpha)/(1+Alpha*(Pr/$K12)^kappa)</f>
        <v>278.44094995007879</v>
      </c>
      <c r="M12">
        <f t="shared" si="0"/>
        <v>4.7841818933293485E-2</v>
      </c>
    </row>
    <row r="13" spans="6:15">
      <c r="F13" s="4">
        <v>182879.99414784001</v>
      </c>
      <c r="G13" s="4">
        <v>497.3</v>
      </c>
      <c r="H13" s="4">
        <v>182879.99414784001</v>
      </c>
      <c r="I13" s="4">
        <v>1696</v>
      </c>
      <c r="J13">
        <f t="shared" si="1"/>
        <v>276.27777777777777</v>
      </c>
      <c r="K13">
        <f t="shared" si="2"/>
        <v>812.04833333314002</v>
      </c>
      <c r="L13">
        <f>+Tr*(1+Alpha)/(1+Alpha*(Pr/$K13)^kappa)</f>
        <v>276.53346724671434</v>
      </c>
      <c r="M13">
        <f t="shared" si="0"/>
        <v>6.5377104525063304E-2</v>
      </c>
      <c r="O13" s="6" t="s">
        <v>12</v>
      </c>
    </row>
    <row r="14" spans="6:15">
      <c r="F14" s="4">
        <v>213359.99317248</v>
      </c>
      <c r="G14" s="4">
        <v>493.7</v>
      </c>
      <c r="H14" s="4">
        <v>213359.99317248</v>
      </c>
      <c r="I14" s="4">
        <v>1633.1</v>
      </c>
      <c r="J14">
        <f t="shared" si="1"/>
        <v>274.27777777777777</v>
      </c>
      <c r="K14">
        <f t="shared" si="2"/>
        <v>781.93168229148046</v>
      </c>
      <c r="L14">
        <f>+Tr*(1+Alpha)/(1+Alpha*(Pr/$K14)^kappa)</f>
        <v>274.61964063557411</v>
      </c>
      <c r="M14">
        <f t="shared" si="0"/>
        <v>0.11687021354068276</v>
      </c>
      <c r="O14" s="7" t="s">
        <v>13</v>
      </c>
    </row>
    <row r="15" spans="6:15">
      <c r="F15" s="4">
        <v>243839.99219712001</v>
      </c>
      <c r="G15" s="4">
        <v>490.2</v>
      </c>
      <c r="H15" s="4">
        <v>243839.99219712001</v>
      </c>
      <c r="I15" s="4">
        <v>1572.1</v>
      </c>
      <c r="J15">
        <f t="shared" si="1"/>
        <v>272.33333333333331</v>
      </c>
      <c r="K15">
        <f t="shared" si="2"/>
        <v>752.72475520815408</v>
      </c>
      <c r="L15">
        <f>+Tr*(1+Alpha)/(1+Alpha*(Pr/$K15)^kappa)</f>
        <v>272.6978891800394</v>
      </c>
      <c r="M15">
        <f t="shared" si="0"/>
        <v>0.13290096536758858</v>
      </c>
    </row>
    <row r="16" spans="6:15">
      <c r="F16" s="4">
        <v>274319.99122175999</v>
      </c>
      <c r="G16" s="4">
        <v>486.6</v>
      </c>
      <c r="H16" s="4">
        <v>274319.99122175999</v>
      </c>
      <c r="I16" s="4">
        <v>1512.9</v>
      </c>
      <c r="J16">
        <f t="shared" si="1"/>
        <v>270.33333333333331</v>
      </c>
      <c r="K16">
        <f t="shared" si="2"/>
        <v>724.37967187482764</v>
      </c>
      <c r="L16">
        <f>+Tr*(1+Alpha)/(1+Alpha*(Pr/$K16)^kappa)</f>
        <v>270.76637152706655</v>
      </c>
      <c r="M16">
        <f t="shared" si="0"/>
        <v>0.18752207723174627</v>
      </c>
    </row>
    <row r="17" spans="6:13">
      <c r="F17" s="4">
        <v>304799.9902464</v>
      </c>
      <c r="G17" s="4">
        <v>483</v>
      </c>
      <c r="H17" s="4">
        <v>304799.9902464</v>
      </c>
      <c r="I17" s="4">
        <v>1455.6</v>
      </c>
      <c r="J17">
        <f t="shared" si="1"/>
        <v>268.33333333333331</v>
      </c>
      <c r="K17">
        <f t="shared" si="2"/>
        <v>696.94431249983404</v>
      </c>
      <c r="L17">
        <f>+Tr*(1+Alpha)/(1+Alpha*(Pr/$K17)^kappa)</f>
        <v>268.82983669387789</v>
      </c>
      <c r="M17">
        <f t="shared" si="0"/>
        <v>0.24651558703206086</v>
      </c>
    </row>
    <row r="18" spans="6:13">
      <c r="F18" s="4">
        <v>335279.98927104002</v>
      </c>
      <c r="G18" s="4">
        <v>479.5</v>
      </c>
      <c r="H18" s="4">
        <v>335279.98927104002</v>
      </c>
      <c r="I18" s="4">
        <v>1400.1</v>
      </c>
      <c r="J18">
        <f t="shared" si="1"/>
        <v>266.38888888888891</v>
      </c>
      <c r="K18">
        <f t="shared" si="2"/>
        <v>670.37079687484038</v>
      </c>
      <c r="L18">
        <f>+Tr*(1+Alpha)/(1+Alpha*(Pr/$K18)^kappa)</f>
        <v>266.88657795537506</v>
      </c>
      <c r="M18">
        <f t="shared" si="0"/>
        <v>0.2476944068998512</v>
      </c>
    </row>
    <row r="19" spans="6:13">
      <c r="F19" s="4">
        <v>365759.98829568003</v>
      </c>
      <c r="G19" s="4">
        <v>475.9</v>
      </c>
      <c r="H19" s="4">
        <v>365759.98829568003</v>
      </c>
      <c r="I19" s="4">
        <v>1346.2</v>
      </c>
      <c r="J19">
        <f t="shared" si="1"/>
        <v>264.38888888888891</v>
      </c>
      <c r="K19">
        <f t="shared" si="2"/>
        <v>644.56336458317992</v>
      </c>
      <c r="L19">
        <f>+Tr*(1+Alpha)/(1+Alpha*(Pr/$K19)^kappa)</f>
        <v>264.93090063123935</v>
      </c>
      <c r="M19">
        <f t="shared" si="0"/>
        <v>0.29377672884575906</v>
      </c>
    </row>
    <row r="20" spans="6:13">
      <c r="F20" s="4">
        <v>396239.98732031998</v>
      </c>
      <c r="G20" s="4">
        <v>472.3</v>
      </c>
      <c r="H20" s="4">
        <v>396239.98732031998</v>
      </c>
      <c r="I20" s="4">
        <v>1294.0999999999999</v>
      </c>
      <c r="J20">
        <f t="shared" si="1"/>
        <v>262.38888888888891</v>
      </c>
      <c r="K20">
        <f t="shared" si="2"/>
        <v>619.61777604151916</v>
      </c>
      <c r="L20">
        <f>+Tr*(1+Alpha)/(1+Alpha*(Pr/$K20)^kappa)</f>
        <v>262.97155782031092</v>
      </c>
      <c r="M20">
        <f t="shared" si="0"/>
        <v>0.33950308364446252</v>
      </c>
    </row>
    <row r="21" spans="6:13">
      <c r="F21" s="4">
        <v>426719.98634495999</v>
      </c>
      <c r="G21" s="4">
        <v>468.8</v>
      </c>
      <c r="H21" s="4">
        <v>426719.98634495999</v>
      </c>
      <c r="I21" s="4">
        <v>1243.5999999999999</v>
      </c>
      <c r="J21">
        <f t="shared" si="1"/>
        <v>260.44444444444446</v>
      </c>
      <c r="K21">
        <f t="shared" si="2"/>
        <v>595.4382708331915</v>
      </c>
      <c r="L21">
        <f>+Tr*(1+Alpha)/(1+Alpha*(Pr/$K21)^kappa)</f>
        <v>261.00271364688763</v>
      </c>
      <c r="M21">
        <f t="shared" si="0"/>
        <v>0.31166450239653404</v>
      </c>
    </row>
    <row r="22" spans="6:13">
      <c r="F22" s="4">
        <v>457199.98536960001</v>
      </c>
      <c r="G22" s="4">
        <v>465.2</v>
      </c>
      <c r="H22" s="4">
        <v>457199.98536960001</v>
      </c>
      <c r="I22" s="4">
        <v>1194.8</v>
      </c>
      <c r="J22">
        <f t="shared" si="1"/>
        <v>258.44444444444446</v>
      </c>
      <c r="K22">
        <f t="shared" si="2"/>
        <v>572.07272916653051</v>
      </c>
      <c r="L22">
        <f>+Tr*(1+Alpha)/(1+Alpha*(Pr/$K22)^kappa)</f>
        <v>259.02996061815992</v>
      </c>
      <c r="M22">
        <f t="shared" si="0"/>
        <v>0.34282918968239473</v>
      </c>
    </row>
    <row r="23" spans="6:13">
      <c r="F23" s="4">
        <v>487679.98439424002</v>
      </c>
      <c r="G23" s="4">
        <v>461.7</v>
      </c>
      <c r="H23" s="4">
        <v>487679.98439424002</v>
      </c>
      <c r="I23" s="4">
        <v>1147.5</v>
      </c>
      <c r="J23">
        <f t="shared" si="1"/>
        <v>256.5</v>
      </c>
      <c r="K23">
        <f t="shared" si="2"/>
        <v>549.42539062486924</v>
      </c>
      <c r="L23">
        <f>+Tr*(1+Alpha)/(1+Alpha*(Pr/$K23)^kappa)</f>
        <v>257.04689490742493</v>
      </c>
      <c r="M23">
        <f t="shared" si="0"/>
        <v>0.29909403976732063</v>
      </c>
    </row>
    <row r="24" spans="6:13">
      <c r="F24" s="4">
        <v>518159.98341887997</v>
      </c>
      <c r="G24" s="4">
        <v>458.1</v>
      </c>
      <c r="H24" s="4">
        <v>518159.98341887997</v>
      </c>
      <c r="I24" s="4">
        <v>1101.7</v>
      </c>
      <c r="J24">
        <f t="shared" si="1"/>
        <v>254.5</v>
      </c>
      <c r="K24">
        <f t="shared" si="2"/>
        <v>527.4962552082078</v>
      </c>
      <c r="L24">
        <f>+Tr*(1+Alpha)/(1+Alpha*(Pr/$K24)^kappa)</f>
        <v>255.05495462671149</v>
      </c>
      <c r="M24">
        <f t="shared" si="0"/>
        <v>0.30797463770849143</v>
      </c>
    </row>
    <row r="25" spans="6:13">
      <c r="F25" s="4">
        <v>548639.98244351998</v>
      </c>
      <c r="G25" s="4">
        <v>454.5</v>
      </c>
      <c r="H25" s="4">
        <v>548639.98244351998</v>
      </c>
      <c r="I25" s="4">
        <v>1057.5</v>
      </c>
      <c r="J25">
        <f t="shared" si="1"/>
        <v>252.5</v>
      </c>
      <c r="K25">
        <f t="shared" si="2"/>
        <v>506.33320312487945</v>
      </c>
      <c r="L25">
        <f>+Tr*(1+Alpha)/(1+Alpha*(Pr/$K25)^kappa)</f>
        <v>253.06037784350278</v>
      </c>
      <c r="M25">
        <f t="shared" si="0"/>
        <v>0.31402332748882367</v>
      </c>
    </row>
    <row r="26" spans="6:13">
      <c r="F26" s="4">
        <v>579119.98146816005</v>
      </c>
      <c r="G26" s="4">
        <v>451</v>
      </c>
      <c r="H26" s="4">
        <v>579119.98146816005</v>
      </c>
      <c r="I26" s="4">
        <v>1014.7</v>
      </c>
      <c r="J26">
        <f t="shared" si="1"/>
        <v>250.55555555555554</v>
      </c>
      <c r="K26">
        <f t="shared" si="2"/>
        <v>485.84047395821767</v>
      </c>
      <c r="L26">
        <f>+Tr*(1+Alpha)/(1+Alpha*(Pr/$K26)^kappa)</f>
        <v>251.05600888373033</v>
      </c>
      <c r="M26">
        <f t="shared" si="0"/>
        <v>0.25045353368121942</v>
      </c>
    </row>
    <row r="27" spans="6:13">
      <c r="F27" s="4">
        <v>609599.98049280001</v>
      </c>
      <c r="G27" s="4">
        <v>447.4</v>
      </c>
      <c r="H27" s="4">
        <v>609599.98049280001</v>
      </c>
      <c r="I27" s="4">
        <v>973.3</v>
      </c>
      <c r="J27">
        <f t="shared" si="1"/>
        <v>248.55555555555554</v>
      </c>
      <c r="K27">
        <f t="shared" si="2"/>
        <v>466.01806770822236</v>
      </c>
      <c r="L27">
        <f>+Tr*(1+Alpha)/(1+Alpha*(Pr/$K27)^kappa)</f>
        <v>249.04343528675165</v>
      </c>
      <c r="M27">
        <f t="shared" si="0"/>
        <v>0.23802663211198102</v>
      </c>
    </row>
    <row r="28" spans="6:13">
      <c r="F28" s="4">
        <v>640079.97951743996</v>
      </c>
      <c r="G28" s="4">
        <v>443.9</v>
      </c>
      <c r="H28" s="4">
        <v>640079.97951743996</v>
      </c>
      <c r="I28" s="4">
        <v>933.3</v>
      </c>
      <c r="J28">
        <f t="shared" si="1"/>
        <v>246.61111111111111</v>
      </c>
      <c r="K28">
        <f t="shared" si="2"/>
        <v>446.86598437489357</v>
      </c>
      <c r="L28">
        <f>+Tr*(1+Alpha)/(1+Alpha*(Pr/$K28)^kappa)</f>
        <v>247.02446846987021</v>
      </c>
      <c r="M28">
        <f t="shared" si="0"/>
        <v>0.17086430604029945</v>
      </c>
    </row>
    <row r="29" spans="6:13">
      <c r="F29" s="4">
        <v>670559.97854208003</v>
      </c>
      <c r="G29" s="4">
        <v>440.3</v>
      </c>
      <c r="H29" s="4">
        <v>670559.97854208003</v>
      </c>
      <c r="I29" s="4">
        <v>894.6</v>
      </c>
      <c r="J29">
        <f t="shared" si="1"/>
        <v>244.61111111111111</v>
      </c>
      <c r="K29">
        <f t="shared" si="2"/>
        <v>428.33634374989805</v>
      </c>
      <c r="L29">
        <f>+Tr*(1+Alpha)/(1+Alpha*(Pr/$K29)^kappa)</f>
        <v>244.99582447830858</v>
      </c>
      <c r="M29">
        <f t="shared" si="0"/>
        <v>0.14800437490041013</v>
      </c>
    </row>
    <row r="30" spans="6:13">
      <c r="F30" s="4">
        <v>701039.97756671999</v>
      </c>
      <c r="G30" s="4">
        <v>436.7</v>
      </c>
      <c r="H30" s="4">
        <v>701039.97756671999</v>
      </c>
      <c r="I30" s="4">
        <v>857.2</v>
      </c>
      <c r="J30">
        <f t="shared" si="1"/>
        <v>242.61111111111111</v>
      </c>
      <c r="K30">
        <f t="shared" si="2"/>
        <v>410.42914583323562</v>
      </c>
      <c r="L30">
        <f>+Tr*(1+Alpha)/(1+Alpha*(Pr/$K30)^kappa)</f>
        <v>242.9592112332306</v>
      </c>
      <c r="M30">
        <f t="shared" si="0"/>
        <v>0.12117369501960396</v>
      </c>
    </row>
    <row r="31" spans="6:13">
      <c r="F31" s="4">
        <v>731519.97659136006</v>
      </c>
      <c r="G31" s="4">
        <v>433.2</v>
      </c>
      <c r="H31" s="4">
        <v>731519.97659136006</v>
      </c>
      <c r="I31" s="4">
        <v>821.2</v>
      </c>
      <c r="J31">
        <f t="shared" si="1"/>
        <v>240.66666666666666</v>
      </c>
      <c r="K31">
        <f t="shared" si="2"/>
        <v>393.19227083323977</v>
      </c>
      <c r="L31">
        <f>+Tr*(1+Alpha)/(1+Alpha*(Pr/$K31)^kappa)</f>
        <v>240.92234912440338</v>
      </c>
      <c r="M31">
        <f t="shared" si="0"/>
        <v>6.537351919429224E-2</v>
      </c>
    </row>
    <row r="32" spans="6:13">
      <c r="F32" s="4">
        <v>761999.97561600001</v>
      </c>
      <c r="G32" s="4">
        <v>429.6</v>
      </c>
      <c r="H32" s="4">
        <v>761999.97561600001</v>
      </c>
      <c r="I32" s="4">
        <v>786.3</v>
      </c>
      <c r="J32">
        <f t="shared" si="1"/>
        <v>238.66666666666666</v>
      </c>
      <c r="K32">
        <f t="shared" si="2"/>
        <v>376.48207812491034</v>
      </c>
      <c r="L32">
        <f>+Tr*(1+Alpha)/(1+Alpha*(Pr/$K32)^kappa)</f>
        <v>238.87015609169762</v>
      </c>
      <c r="M32">
        <f t="shared" si="0"/>
        <v>4.1407946099433227E-2</v>
      </c>
    </row>
    <row r="33" spans="6:13">
      <c r="F33" s="4">
        <v>792479.97464063996</v>
      </c>
      <c r="G33" s="4">
        <v>426.1</v>
      </c>
      <c r="H33" s="4">
        <v>792479.97464063996</v>
      </c>
      <c r="I33" s="4">
        <v>752.7</v>
      </c>
      <c r="J33">
        <f t="shared" si="1"/>
        <v>236.72222222222223</v>
      </c>
      <c r="K33">
        <f t="shared" si="2"/>
        <v>360.39432812491424</v>
      </c>
      <c r="L33">
        <f>+Tr*(1+Alpha)/(1+Alpha*(Pr/$K33)^kappa)</f>
        <v>236.81622374897759</v>
      </c>
      <c r="M33">
        <f t="shared" si="0"/>
        <v>8.8362870323392875E-3</v>
      </c>
    </row>
    <row r="34" spans="6:13">
      <c r="F34" s="4">
        <v>822959.97366528003</v>
      </c>
      <c r="G34" s="4">
        <v>422.5</v>
      </c>
      <c r="H34" s="4">
        <v>822959.97366528003</v>
      </c>
      <c r="I34" s="4">
        <v>720.3</v>
      </c>
      <c r="J34">
        <f t="shared" si="1"/>
        <v>234.72222222222223</v>
      </c>
      <c r="K34">
        <f t="shared" si="2"/>
        <v>344.88114062491786</v>
      </c>
      <c r="L34">
        <f>+Tr*(1+Alpha)/(1+Alpha*(Pr/$K34)^kappa)</f>
        <v>234.75688759333451</v>
      </c>
      <c r="M34">
        <f t="shared" si="0"/>
        <v>1.201687954352279E-3</v>
      </c>
    </row>
    <row r="35" spans="6:13">
      <c r="F35" s="4">
        <v>853439.97268991999</v>
      </c>
      <c r="G35" s="4">
        <v>419</v>
      </c>
      <c r="H35" s="4">
        <v>853439.97268991999</v>
      </c>
      <c r="I35" s="4">
        <v>689</v>
      </c>
      <c r="J35">
        <f t="shared" si="1"/>
        <v>232.77777777777777</v>
      </c>
      <c r="K35">
        <f t="shared" si="2"/>
        <v>329.89463541658813</v>
      </c>
      <c r="L35">
        <f>+Tr*(1+Alpha)/(1+Alpha*(Pr/$K35)^kappa)</f>
        <v>232.68780279946989</v>
      </c>
      <c r="M35">
        <f t="shared" si="0"/>
        <v>8.0954967215032831E-3</v>
      </c>
    </row>
    <row r="36" spans="6:13">
      <c r="F36" s="4">
        <v>883919.97171455994</v>
      </c>
      <c r="G36" s="4">
        <v>415.4</v>
      </c>
      <c r="H36" s="4">
        <v>883919.97171455994</v>
      </c>
      <c r="I36" s="4">
        <v>658.8</v>
      </c>
      <c r="J36">
        <f t="shared" si="1"/>
        <v>230.77777777777777</v>
      </c>
      <c r="K36">
        <f t="shared" si="2"/>
        <v>315.43481249992487</v>
      </c>
      <c r="L36">
        <f>+Tr*(1+Alpha)/(1+Alpha*(Pr/$K36)^kappa)</f>
        <v>230.61087434741222</v>
      </c>
      <c r="M36">
        <f t="shared" si="0"/>
        <v>2.7856755067788258E-2</v>
      </c>
    </row>
    <row r="37" spans="6:13">
      <c r="F37" s="4">
        <v>914399.97073920094</v>
      </c>
      <c r="G37" s="4">
        <v>411.8</v>
      </c>
      <c r="H37" s="4">
        <v>914399.97073920094</v>
      </c>
      <c r="I37" s="4">
        <v>629.70000000000005</v>
      </c>
      <c r="J37">
        <f t="shared" si="1"/>
        <v>228.77777777777777</v>
      </c>
      <c r="K37">
        <f t="shared" si="2"/>
        <v>301.50167187492826</v>
      </c>
      <c r="L37">
        <f>+Tr*(1+Alpha)/(1+Alpha*(Pr/$K37)^kappa)</f>
        <v>228.52829002891241</v>
      </c>
      <c r="M37">
        <f t="shared" si="0"/>
        <v>6.2244136833906359E-2</v>
      </c>
    </row>
    <row r="38" spans="6:13">
      <c r="F38" s="4">
        <v>944879.96976383997</v>
      </c>
      <c r="G38" s="4">
        <v>408.3</v>
      </c>
      <c r="H38" s="4">
        <v>944879.96976383997</v>
      </c>
      <c r="I38" s="4">
        <v>601.6</v>
      </c>
      <c r="J38">
        <f t="shared" si="1"/>
        <v>226.83333333333334</v>
      </c>
      <c r="K38">
        <f t="shared" si="2"/>
        <v>288.04733333326476</v>
      </c>
      <c r="L38">
        <f>+Tr*(1+Alpha)/(1+Alpha*(Pr/$K38)^kappa)</f>
        <v>226.43495044931757</v>
      </c>
      <c r="M38">
        <f t="shared" si="0"/>
        <v>0.15870892227672576</v>
      </c>
    </row>
    <row r="39" spans="6:13">
      <c r="F39" s="4">
        <v>975359.96878848097</v>
      </c>
      <c r="G39" s="4">
        <v>404.7</v>
      </c>
      <c r="H39" s="4">
        <v>975359.96878848097</v>
      </c>
      <c r="I39" s="4">
        <v>574.6</v>
      </c>
      <c r="J39">
        <f t="shared" si="1"/>
        <v>224.83333333333334</v>
      </c>
      <c r="K39">
        <f t="shared" si="2"/>
        <v>275.11967708326785</v>
      </c>
      <c r="L39">
        <f>+Tr*(1+Alpha)/(1+Alpha*(Pr/$K39)^kappa)</f>
        <v>224.34067982381021</v>
      </c>
      <c r="M39">
        <f t="shared" si="0"/>
        <v>0.24270748044546389</v>
      </c>
    </row>
    <row r="40" spans="6:13">
      <c r="F40" s="4">
        <v>1005839.96781312</v>
      </c>
      <c r="G40" s="4">
        <v>401.2</v>
      </c>
      <c r="H40" s="4">
        <v>1005839.96781312</v>
      </c>
      <c r="I40" s="4">
        <v>548.5</v>
      </c>
      <c r="J40">
        <f t="shared" si="1"/>
        <v>222.88888888888889</v>
      </c>
      <c r="K40">
        <f t="shared" si="2"/>
        <v>262.62294270827078</v>
      </c>
      <c r="L40">
        <f>+Tr*(1+Alpha)/(1+Alpha*(Pr/$K40)^kappa)</f>
        <v>222.23217966875416</v>
      </c>
      <c r="M40">
        <f t="shared" si="0"/>
        <v>0.43126699980996436</v>
      </c>
    </row>
    <row r="41" spans="6:13">
      <c r="F41" s="4">
        <v>1036319.9668377599</v>
      </c>
      <c r="G41" s="4">
        <v>397.6</v>
      </c>
      <c r="H41" s="4">
        <v>1036319.9668377599</v>
      </c>
      <c r="I41" s="4">
        <v>523.5</v>
      </c>
      <c r="J41">
        <f t="shared" si="1"/>
        <v>220.88888888888889</v>
      </c>
      <c r="K41">
        <f t="shared" si="2"/>
        <v>250.65289062494034</v>
      </c>
      <c r="L41">
        <f>+Tr*(1+Alpha)/(1+Alpha*(Pr/$K41)^kappa)</f>
        <v>220.12817714537744</v>
      </c>
      <c r="M41">
        <f t="shared" si="0"/>
        <v>0.57868235671623058</v>
      </c>
    </row>
    <row r="42" spans="6:13">
      <c r="F42" s="4">
        <v>1066799.9658623999</v>
      </c>
      <c r="G42" s="4">
        <v>394.1</v>
      </c>
      <c r="H42" s="4">
        <v>1066799.9658623999</v>
      </c>
      <c r="I42" s="4">
        <v>499.3</v>
      </c>
      <c r="J42">
        <f t="shared" si="1"/>
        <v>218.94444444444446</v>
      </c>
      <c r="K42">
        <f t="shared" si="2"/>
        <v>239.06588020827641</v>
      </c>
      <c r="L42">
        <f>+Tr*(1+Alpha)/(1+Alpha*(Pr/$K42)^kappa)</f>
        <v>218.00579876819708</v>
      </c>
      <c r="M42">
        <f t="shared" si="0"/>
        <v>0.88105570553789303</v>
      </c>
    </row>
    <row r="43" spans="6:13">
      <c r="F43" s="4">
        <v>1097279.96488704</v>
      </c>
      <c r="G43" s="4">
        <v>390.5</v>
      </c>
      <c r="H43" s="4">
        <v>1097279.96488704</v>
      </c>
      <c r="I43" s="4">
        <v>476.1</v>
      </c>
      <c r="J43">
        <f t="shared" si="1"/>
        <v>216.94444444444446</v>
      </c>
      <c r="K43">
        <f t="shared" si="2"/>
        <v>227.95767187494573</v>
      </c>
      <c r="L43">
        <f>+Tr*(1+Alpha)/(1+Alpha*(Pr/$K43)^kappa)</f>
        <v>215.88479229694607</v>
      </c>
      <c r="M43">
        <f t="shared" si="0"/>
        <v>1.122862673697935</v>
      </c>
    </row>
    <row r="44" spans="6:13">
      <c r="F44" s="4">
        <v>1127759.96391168</v>
      </c>
      <c r="G44" s="4">
        <v>390</v>
      </c>
      <c r="H44" s="4">
        <v>1127759.96391168</v>
      </c>
      <c r="I44" s="4">
        <v>453.9</v>
      </c>
      <c r="J44">
        <f t="shared" si="1"/>
        <v>216.66666666666666</v>
      </c>
      <c r="K44">
        <f t="shared" si="2"/>
        <v>217.32826562494824</v>
      </c>
      <c r="L44">
        <f>+Tr*(1+Alpha)/(1+Alpha*(Pr/$K44)^kappa)</f>
        <v>213.76886260774259</v>
      </c>
      <c r="M44">
        <f t="shared" si="0"/>
        <v>8.397268363916794</v>
      </c>
    </row>
    <row r="45" spans="6:13">
      <c r="H45" s="4">
        <v>1158239.9629363201</v>
      </c>
      <c r="I45" s="4">
        <v>432.6</v>
      </c>
    </row>
    <row r="46" spans="6:13">
      <c r="H46" s="4">
        <v>1188719.9619609599</v>
      </c>
      <c r="I46" s="4">
        <v>412.4</v>
      </c>
    </row>
    <row r="47" spans="6:13">
      <c r="H47" s="4">
        <v>1219199.9609856</v>
      </c>
      <c r="I47" s="4">
        <v>393.1</v>
      </c>
    </row>
    <row r="48" spans="6:13">
      <c r="H48" s="4">
        <v>1249679.9600102401</v>
      </c>
      <c r="I48" s="4">
        <v>374.7</v>
      </c>
    </row>
    <row r="49" spans="8:9">
      <c r="H49" s="4">
        <v>1280159.9590348799</v>
      </c>
      <c r="I49" s="4">
        <v>357.2</v>
      </c>
    </row>
    <row r="50" spans="8:9">
      <c r="H50" s="4">
        <v>1310639.95805952</v>
      </c>
      <c r="I50" s="4">
        <v>340.5</v>
      </c>
    </row>
    <row r="51" spans="8:9">
      <c r="H51" s="4">
        <v>1341119.9570841601</v>
      </c>
      <c r="I51" s="4">
        <v>324.60000000000002</v>
      </c>
    </row>
    <row r="52" spans="8:9">
      <c r="H52" s="4">
        <v>1371599.9561087999</v>
      </c>
      <c r="I52" s="4">
        <v>309.39999999999998</v>
      </c>
    </row>
    <row r="53" spans="8:9">
      <c r="H53" s="4">
        <v>1402079.95513344</v>
      </c>
      <c r="I53" s="4">
        <v>295</v>
      </c>
    </row>
    <row r="54" spans="8:9">
      <c r="H54" s="4">
        <v>1432559.95415808</v>
      </c>
      <c r="I54" s="4">
        <v>281.2</v>
      </c>
    </row>
    <row r="55" spans="8:9">
      <c r="H55" s="4">
        <v>1463039.9531827201</v>
      </c>
      <c r="I55" s="4">
        <v>268.10000000000002</v>
      </c>
    </row>
    <row r="56" spans="8:9">
      <c r="H56" s="4">
        <v>1493519.95220736</v>
      </c>
      <c r="I56" s="4">
        <v>255.5</v>
      </c>
    </row>
    <row r="57" spans="8:9">
      <c r="H57" s="4">
        <v>1523999.951232</v>
      </c>
      <c r="I57" s="4">
        <v>243.6</v>
      </c>
    </row>
    <row r="58" spans="8:9">
      <c r="H58" s="4">
        <v>1554479.9502566401</v>
      </c>
      <c r="I58" s="4">
        <v>232.2</v>
      </c>
    </row>
    <row r="59" spans="8:9">
      <c r="H59" s="4">
        <v>1584959.9492812799</v>
      </c>
      <c r="I59" s="4">
        <v>221.4</v>
      </c>
    </row>
    <row r="60" spans="8:9">
      <c r="H60" s="4">
        <v>1615439.94830592</v>
      </c>
      <c r="I60" s="4">
        <v>211</v>
      </c>
    </row>
    <row r="61" spans="8:9">
      <c r="H61" s="4">
        <v>1645919.9473305601</v>
      </c>
      <c r="I61" s="4">
        <v>201.2</v>
      </c>
    </row>
    <row r="62" spans="8:9">
      <c r="H62" s="4">
        <v>1676399.9463551999</v>
      </c>
      <c r="I62" s="4">
        <v>191.8</v>
      </c>
    </row>
    <row r="63" spans="8:9">
      <c r="H63" s="4">
        <v>1706879.94537984</v>
      </c>
      <c r="I63" s="4">
        <v>182.8</v>
      </c>
    </row>
    <row r="64" spans="8:9">
      <c r="H64" s="4">
        <v>1737359.94440448</v>
      </c>
      <c r="I64" s="4">
        <v>174.3</v>
      </c>
    </row>
    <row r="65" spans="8:9">
      <c r="H65" s="4">
        <v>1767839.9434291199</v>
      </c>
      <c r="I65" s="4">
        <v>166.2</v>
      </c>
    </row>
    <row r="66" spans="8:9">
      <c r="H66" s="4">
        <v>1798319.94245376</v>
      </c>
      <c r="I66" s="4">
        <v>158.4</v>
      </c>
    </row>
    <row r="67" spans="8:9">
      <c r="H67" s="4">
        <v>1828799.9414784</v>
      </c>
      <c r="I67" s="4">
        <v>151</v>
      </c>
    </row>
    <row r="68" spans="8:9">
      <c r="H68" s="4">
        <v>1859279.9405030401</v>
      </c>
      <c r="I68" s="4">
        <v>144</v>
      </c>
    </row>
    <row r="69" spans="8:9">
      <c r="H69" s="4">
        <v>1889759.9395276799</v>
      </c>
      <c r="I69" s="4">
        <v>137.30000000000001</v>
      </c>
    </row>
    <row r="70" spans="8:9">
      <c r="H70" s="4">
        <v>1920239.93855232</v>
      </c>
      <c r="I70" s="4">
        <v>130.9</v>
      </c>
    </row>
    <row r="71" spans="8:9">
      <c r="H71" s="4">
        <v>1950719.9375769601</v>
      </c>
      <c r="I71" s="4">
        <v>124.8</v>
      </c>
    </row>
    <row r="72" spans="8:9">
      <c r="H72" s="4">
        <v>1981199.9366015999</v>
      </c>
      <c r="I72" s="4">
        <v>118.9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Alpha</vt:lpstr>
      <vt:lpstr>kappa</vt:lpstr>
      <vt:lpstr>Pr</vt:lpstr>
      <vt:lpstr>Tr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dcterms:created xsi:type="dcterms:W3CDTF">2013-03-14T16:34:40Z</dcterms:created>
  <dcterms:modified xsi:type="dcterms:W3CDTF">2013-03-14T23:25:26Z</dcterms:modified>
</cp:coreProperties>
</file>