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7100" windowHeight="11760"/>
  </bookViews>
  <sheets>
    <sheet name="HAD global" sheetId="3" r:id="rId1"/>
    <sheet name="with offset" sheetId="4" r:id="rId2"/>
    <sheet name="Sheet1" sheetId="5" r:id="rId3"/>
  </sheets>
  <definedNames>
    <definedName name="_5" localSheetId="0">'HAD global'!$M$1:$N$533</definedName>
    <definedName name="_5" localSheetId="1">'with offset'!$A$1:$D$534</definedName>
    <definedName name="Fraction">'HAD global'!$B$4</definedName>
    <definedName name="Land">'HAD global'!$B$3</definedName>
    <definedName name="Ocean">'HAD global'!$B$2</definedName>
    <definedName name="Offset">'HAD global'!$B$1</definedName>
  </definedNames>
  <calcPr calcId="145621"/>
</workbook>
</file>

<file path=xl/calcChain.xml><?xml version="1.0" encoding="utf-8"?>
<calcChain xmlns="http://schemas.openxmlformats.org/spreadsheetml/2006/main">
  <c r="O176" i="3" l="1"/>
  <c r="O175" i="3"/>
  <c r="O174" i="3"/>
  <c r="O173" i="3"/>
  <c r="O172" i="3"/>
  <c r="D172" i="3" s="1"/>
  <c r="F172" i="3" s="1"/>
  <c r="O171" i="3"/>
  <c r="O170" i="3"/>
  <c r="O169" i="3"/>
  <c r="O168" i="3"/>
  <c r="D168" i="3" s="1"/>
  <c r="F168" i="3" s="1"/>
  <c r="O167" i="3"/>
  <c r="O166" i="3"/>
  <c r="O165" i="3"/>
  <c r="O164" i="3"/>
  <c r="D164" i="3" s="1"/>
  <c r="F164" i="3" s="1"/>
  <c r="O163" i="3"/>
  <c r="O162" i="3"/>
  <c r="O161" i="3"/>
  <c r="O160" i="3"/>
  <c r="D160" i="3" s="1"/>
  <c r="F160" i="3" s="1"/>
  <c r="O159" i="3"/>
  <c r="O158" i="3"/>
  <c r="O157" i="3"/>
  <c r="O156" i="3"/>
  <c r="D156" i="3" s="1"/>
  <c r="F156" i="3" s="1"/>
  <c r="O155" i="3"/>
  <c r="O154" i="3"/>
  <c r="O153" i="3"/>
  <c r="O152" i="3"/>
  <c r="D152" i="3" s="1"/>
  <c r="F152" i="3" s="1"/>
  <c r="O151" i="3"/>
  <c r="O150" i="3"/>
  <c r="O149" i="3"/>
  <c r="O148" i="3"/>
  <c r="D148" i="3" s="1"/>
  <c r="F148" i="3" s="1"/>
  <c r="O147" i="3"/>
  <c r="O146" i="3"/>
  <c r="O145" i="3"/>
  <c r="O144" i="3"/>
  <c r="D144" i="3" s="1"/>
  <c r="F144" i="3" s="1"/>
  <c r="O143" i="3"/>
  <c r="O142" i="3"/>
  <c r="O141" i="3"/>
  <c r="O140" i="3"/>
  <c r="D140" i="3" s="1"/>
  <c r="F140" i="3" s="1"/>
  <c r="O139" i="3"/>
  <c r="O138" i="3"/>
  <c r="O137" i="3"/>
  <c r="O136" i="3"/>
  <c r="D136" i="3" s="1"/>
  <c r="F136" i="3" s="1"/>
  <c r="O135" i="3"/>
  <c r="O134" i="3"/>
  <c r="O133" i="3"/>
  <c r="O132" i="3"/>
  <c r="D132" i="3" s="1"/>
  <c r="F132" i="3" s="1"/>
  <c r="O131" i="3"/>
  <c r="O130" i="3"/>
  <c r="O129" i="3"/>
  <c r="O128" i="3"/>
  <c r="D128" i="3" s="1"/>
  <c r="F128" i="3" s="1"/>
  <c r="O127" i="3"/>
  <c r="O126" i="3"/>
  <c r="O125" i="3"/>
  <c r="O124" i="3"/>
  <c r="D124" i="3" s="1"/>
  <c r="F124" i="3" s="1"/>
  <c r="O123" i="3"/>
  <c r="O122" i="3"/>
  <c r="O121" i="3"/>
  <c r="O120" i="3"/>
  <c r="D120" i="3" s="1"/>
  <c r="F120" i="3" s="1"/>
  <c r="O119" i="3"/>
  <c r="O118" i="3"/>
  <c r="O117" i="3"/>
  <c r="O116" i="3"/>
  <c r="D116" i="3" s="1"/>
  <c r="F116" i="3" s="1"/>
  <c r="O115" i="3"/>
  <c r="O114" i="3"/>
  <c r="O113" i="3"/>
  <c r="O112" i="3"/>
  <c r="D112" i="3" s="1"/>
  <c r="F112" i="3" s="1"/>
  <c r="O111" i="3"/>
  <c r="O110" i="3"/>
  <c r="O109" i="3"/>
  <c r="O108" i="3"/>
  <c r="D108" i="3" s="1"/>
  <c r="F108" i="3" s="1"/>
  <c r="O107" i="3"/>
  <c r="O106" i="3"/>
  <c r="O105" i="3"/>
  <c r="O104" i="3"/>
  <c r="D104" i="3" s="1"/>
  <c r="F104" i="3" s="1"/>
  <c r="O103" i="3"/>
  <c r="O102" i="3"/>
  <c r="O101" i="3"/>
  <c r="O100" i="3"/>
  <c r="D100" i="3" s="1"/>
  <c r="F100" i="3" s="1"/>
  <c r="O99" i="3"/>
  <c r="O98" i="3"/>
  <c r="O97" i="3"/>
  <c r="O96" i="3"/>
  <c r="D96" i="3" s="1"/>
  <c r="F96" i="3" s="1"/>
  <c r="O95" i="3"/>
  <c r="O94" i="3"/>
  <c r="O93" i="3"/>
  <c r="O92" i="3"/>
  <c r="D92" i="3" s="1"/>
  <c r="F92" i="3" s="1"/>
  <c r="O91" i="3"/>
  <c r="O90" i="3"/>
  <c r="O89" i="3"/>
  <c r="O88" i="3"/>
  <c r="D88" i="3" s="1"/>
  <c r="F88" i="3" s="1"/>
  <c r="O87" i="3"/>
  <c r="O86" i="3"/>
  <c r="O85" i="3"/>
  <c r="O84" i="3"/>
  <c r="D84" i="3" s="1"/>
  <c r="F84" i="3" s="1"/>
  <c r="O83" i="3"/>
  <c r="O82" i="3"/>
  <c r="O81" i="3"/>
  <c r="O80" i="3"/>
  <c r="D80" i="3" s="1"/>
  <c r="F80" i="3" s="1"/>
  <c r="O79" i="3"/>
  <c r="O78" i="3"/>
  <c r="O77" i="3"/>
  <c r="O76" i="3"/>
  <c r="D76" i="3" s="1"/>
  <c r="F76" i="3" s="1"/>
  <c r="O75" i="3"/>
  <c r="O74" i="3"/>
  <c r="O73" i="3"/>
  <c r="O72" i="3"/>
  <c r="D72" i="3" s="1"/>
  <c r="F72" i="3" s="1"/>
  <c r="O71" i="3"/>
  <c r="O70" i="3"/>
  <c r="O69" i="3"/>
  <c r="O68" i="3"/>
  <c r="D68" i="3" s="1"/>
  <c r="F68" i="3" s="1"/>
  <c r="O67" i="3"/>
  <c r="O66" i="3"/>
  <c r="O65" i="3"/>
  <c r="O64" i="3"/>
  <c r="D64" i="3" s="1"/>
  <c r="F64" i="3" s="1"/>
  <c r="O63" i="3"/>
  <c r="O62" i="3"/>
  <c r="O61" i="3"/>
  <c r="O60" i="3"/>
  <c r="D60" i="3" s="1"/>
  <c r="F60" i="3" s="1"/>
  <c r="O59" i="3"/>
  <c r="O58" i="3"/>
  <c r="O57" i="3"/>
  <c r="O56" i="3"/>
  <c r="D56" i="3" s="1"/>
  <c r="F56" i="3" s="1"/>
  <c r="O55" i="3"/>
  <c r="O54" i="3"/>
  <c r="O53" i="3"/>
  <c r="O52" i="3"/>
  <c r="D52" i="3" s="1"/>
  <c r="F52" i="3" s="1"/>
  <c r="O51" i="3"/>
  <c r="O50" i="3"/>
  <c r="O49" i="3"/>
  <c r="O48" i="3"/>
  <c r="D48" i="3" s="1"/>
  <c r="F48" i="3" s="1"/>
  <c r="O47" i="3"/>
  <c r="O46" i="3"/>
  <c r="O45" i="3"/>
  <c r="O44" i="3"/>
  <c r="D44" i="3" s="1"/>
  <c r="F44" i="3" s="1"/>
  <c r="O43" i="3"/>
  <c r="O42" i="3"/>
  <c r="O41" i="3"/>
  <c r="O40" i="3"/>
  <c r="D40" i="3" s="1"/>
  <c r="F40" i="3" s="1"/>
  <c r="O39" i="3"/>
  <c r="O38" i="3"/>
  <c r="O37" i="3"/>
  <c r="O36" i="3"/>
  <c r="D36" i="3" s="1"/>
  <c r="F36" i="3" s="1"/>
  <c r="O35" i="3"/>
  <c r="O34" i="3"/>
  <c r="O33" i="3"/>
  <c r="O32" i="3"/>
  <c r="D32" i="3" s="1"/>
  <c r="F32" i="3" s="1"/>
  <c r="O31" i="3"/>
  <c r="O30" i="3"/>
  <c r="O29" i="3"/>
  <c r="O28" i="3"/>
  <c r="D28" i="3" s="1"/>
  <c r="F28" i="3" s="1"/>
  <c r="O27" i="3"/>
  <c r="O26" i="3"/>
  <c r="O25" i="3"/>
  <c r="O24" i="3"/>
  <c r="D24" i="3" s="1"/>
  <c r="F24" i="3" s="1"/>
  <c r="O23" i="3"/>
  <c r="O22" i="3"/>
  <c r="O21" i="3"/>
  <c r="O20" i="3"/>
  <c r="D20" i="3" s="1"/>
  <c r="F20" i="3" s="1"/>
  <c r="O19" i="3"/>
  <c r="O18" i="3"/>
  <c r="O17" i="3"/>
  <c r="O16" i="3"/>
  <c r="D16" i="3" s="1"/>
  <c r="F16" i="3" s="1"/>
  <c r="G150" i="3"/>
  <c r="G148" i="3"/>
  <c r="G145" i="3"/>
  <c r="G144" i="3"/>
  <c r="G141" i="3"/>
  <c r="G140" i="3"/>
  <c r="G137" i="3"/>
  <c r="G136" i="3"/>
  <c r="G133" i="3"/>
  <c r="G132" i="3"/>
  <c r="G129" i="3"/>
  <c r="G128" i="3"/>
  <c r="G125" i="3"/>
  <c r="G124" i="3"/>
  <c r="G121" i="3"/>
  <c r="G120" i="3"/>
  <c r="G117" i="3"/>
  <c r="G116" i="3"/>
  <c r="G113" i="3"/>
  <c r="G112" i="3"/>
  <c r="G109" i="3"/>
  <c r="G108" i="3"/>
  <c r="G105" i="3"/>
  <c r="G104" i="3"/>
  <c r="G101" i="3"/>
  <c r="G100" i="3"/>
  <c r="G97" i="3"/>
  <c r="G96" i="3"/>
  <c r="G93" i="3"/>
  <c r="G92" i="3"/>
  <c r="G89" i="3"/>
  <c r="G88" i="3"/>
  <c r="G85" i="3"/>
  <c r="G84" i="3"/>
  <c r="G81" i="3"/>
  <c r="G80" i="3"/>
  <c r="G77" i="3"/>
  <c r="G76" i="3"/>
  <c r="G73" i="3"/>
  <c r="G72" i="3"/>
  <c r="G69" i="3"/>
  <c r="G68" i="3"/>
  <c r="G65" i="3"/>
  <c r="G64" i="3"/>
  <c r="G61" i="3"/>
  <c r="G60" i="3"/>
  <c r="G57" i="3"/>
  <c r="G56" i="3"/>
  <c r="G53" i="3"/>
  <c r="G52" i="3"/>
  <c r="G49" i="3"/>
  <c r="G48" i="3"/>
  <c r="G45" i="3"/>
  <c r="G44" i="3"/>
  <c r="G41" i="3"/>
  <c r="G40" i="3"/>
  <c r="G37" i="3"/>
  <c r="G36" i="3"/>
  <c r="G33" i="3"/>
  <c r="G32" i="3"/>
  <c r="G29" i="3"/>
  <c r="G28" i="3"/>
  <c r="G25" i="3"/>
  <c r="G24" i="3"/>
  <c r="G21" i="3"/>
  <c r="G20" i="3"/>
  <c r="G17" i="3"/>
  <c r="G16" i="3"/>
  <c r="B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A172" i="3"/>
  <c r="G172" i="3" s="1"/>
  <c r="A171" i="3"/>
  <c r="G171" i="3" s="1"/>
  <c r="A170" i="3"/>
  <c r="G170" i="3" s="1"/>
  <c r="A169" i="3"/>
  <c r="G169" i="3" s="1"/>
  <c r="A168" i="3"/>
  <c r="G168" i="3" s="1"/>
  <c r="A167" i="3"/>
  <c r="G167" i="3" s="1"/>
  <c r="A166" i="3"/>
  <c r="G166" i="3" s="1"/>
  <c r="A165" i="3"/>
  <c r="G165" i="3" s="1"/>
  <c r="A164" i="3"/>
  <c r="G164" i="3" s="1"/>
  <c r="A163" i="3"/>
  <c r="G163" i="3" s="1"/>
  <c r="A162" i="3"/>
  <c r="G162" i="3" s="1"/>
  <c r="A161" i="3"/>
  <c r="G161" i="3" s="1"/>
  <c r="A160" i="3"/>
  <c r="G160" i="3" s="1"/>
  <c r="A159" i="3"/>
  <c r="G159" i="3" s="1"/>
  <c r="A158" i="3"/>
  <c r="G158" i="3" s="1"/>
  <c r="A157" i="3"/>
  <c r="G157" i="3" s="1"/>
  <c r="A156" i="3"/>
  <c r="G156" i="3" s="1"/>
  <c r="A155" i="3"/>
  <c r="G155" i="3" s="1"/>
  <c r="A154" i="3"/>
  <c r="G154" i="3" s="1"/>
  <c r="A153" i="3"/>
  <c r="G153" i="3" s="1"/>
  <c r="A152" i="3"/>
  <c r="G152" i="3" s="1"/>
  <c r="A151" i="3"/>
  <c r="G151" i="3" s="1"/>
  <c r="A150" i="3"/>
  <c r="A149" i="3"/>
  <c r="G149" i="3" s="1"/>
  <c r="A148" i="3"/>
  <c r="A147" i="3"/>
  <c r="G147" i="3" s="1"/>
  <c r="A146" i="3"/>
  <c r="G146" i="3" s="1"/>
  <c r="A145" i="3"/>
  <c r="A144" i="3"/>
  <c r="A143" i="3"/>
  <c r="G143" i="3" s="1"/>
  <c r="A142" i="3"/>
  <c r="G142" i="3" s="1"/>
  <c r="A141" i="3"/>
  <c r="A140" i="3"/>
  <c r="A139" i="3"/>
  <c r="G139" i="3" s="1"/>
  <c r="A138" i="3"/>
  <c r="G138" i="3" s="1"/>
  <c r="A137" i="3"/>
  <c r="A136" i="3"/>
  <c r="A135" i="3"/>
  <c r="G135" i="3" s="1"/>
  <c r="A134" i="3"/>
  <c r="G134" i="3" s="1"/>
  <c r="A133" i="3"/>
  <c r="A132" i="3"/>
  <c r="A131" i="3"/>
  <c r="G131" i="3" s="1"/>
  <c r="A130" i="3"/>
  <c r="G130" i="3" s="1"/>
  <c r="A129" i="3"/>
  <c r="A128" i="3"/>
  <c r="A127" i="3"/>
  <c r="G127" i="3" s="1"/>
  <c r="A126" i="3"/>
  <c r="G126" i="3" s="1"/>
  <c r="A125" i="3"/>
  <c r="A124" i="3"/>
  <c r="A123" i="3"/>
  <c r="G123" i="3" s="1"/>
  <c r="A122" i="3"/>
  <c r="G122" i="3" s="1"/>
  <c r="A121" i="3"/>
  <c r="A120" i="3"/>
  <c r="A119" i="3"/>
  <c r="G119" i="3" s="1"/>
  <c r="A118" i="3"/>
  <c r="G118" i="3" s="1"/>
  <c r="A117" i="3"/>
  <c r="A116" i="3"/>
  <c r="A115" i="3"/>
  <c r="G115" i="3" s="1"/>
  <c r="A114" i="3"/>
  <c r="G114" i="3" s="1"/>
  <c r="A113" i="3"/>
  <c r="A112" i="3"/>
  <c r="A111" i="3"/>
  <c r="G111" i="3" s="1"/>
  <c r="A110" i="3"/>
  <c r="G110" i="3" s="1"/>
  <c r="A109" i="3"/>
  <c r="A108" i="3"/>
  <c r="A107" i="3"/>
  <c r="G107" i="3" s="1"/>
  <c r="A106" i="3"/>
  <c r="G106" i="3" s="1"/>
  <c r="A105" i="3"/>
  <c r="A104" i="3"/>
  <c r="A103" i="3"/>
  <c r="G103" i="3" s="1"/>
  <c r="A102" i="3"/>
  <c r="G102" i="3" s="1"/>
  <c r="A101" i="3"/>
  <c r="A100" i="3"/>
  <c r="A99" i="3"/>
  <c r="G99" i="3" s="1"/>
  <c r="A98" i="3"/>
  <c r="G98" i="3" s="1"/>
  <c r="A97" i="3"/>
  <c r="A96" i="3"/>
  <c r="A95" i="3"/>
  <c r="G95" i="3" s="1"/>
  <c r="A94" i="3"/>
  <c r="G94" i="3" s="1"/>
  <c r="A93" i="3"/>
  <c r="A92" i="3"/>
  <c r="A91" i="3"/>
  <c r="G91" i="3" s="1"/>
  <c r="A90" i="3"/>
  <c r="G90" i="3" s="1"/>
  <c r="A89" i="3"/>
  <c r="A88" i="3"/>
  <c r="A87" i="3"/>
  <c r="G87" i="3" s="1"/>
  <c r="A86" i="3"/>
  <c r="G86" i="3" s="1"/>
  <c r="A85" i="3"/>
  <c r="A84" i="3"/>
  <c r="A83" i="3"/>
  <c r="G83" i="3" s="1"/>
  <c r="A82" i="3"/>
  <c r="G82" i="3" s="1"/>
  <c r="A81" i="3"/>
  <c r="A80" i="3"/>
  <c r="A79" i="3"/>
  <c r="G79" i="3" s="1"/>
  <c r="A78" i="3"/>
  <c r="G78" i="3" s="1"/>
  <c r="A77" i="3"/>
  <c r="A76" i="3"/>
  <c r="A75" i="3"/>
  <c r="G75" i="3" s="1"/>
  <c r="A74" i="3"/>
  <c r="G74" i="3" s="1"/>
  <c r="A73" i="3"/>
  <c r="A72" i="3"/>
  <c r="A71" i="3"/>
  <c r="G71" i="3" s="1"/>
  <c r="A70" i="3"/>
  <c r="G70" i="3" s="1"/>
  <c r="A69" i="3"/>
  <c r="A68" i="3"/>
  <c r="A67" i="3"/>
  <c r="G67" i="3" s="1"/>
  <c r="A66" i="3"/>
  <c r="G66" i="3" s="1"/>
  <c r="A65" i="3"/>
  <c r="A64" i="3"/>
  <c r="A63" i="3"/>
  <c r="G63" i="3" s="1"/>
  <c r="A62" i="3"/>
  <c r="G62" i="3" s="1"/>
  <c r="A61" i="3"/>
  <c r="A60" i="3"/>
  <c r="A59" i="3"/>
  <c r="G59" i="3" s="1"/>
  <c r="A58" i="3"/>
  <c r="G58" i="3" s="1"/>
  <c r="A57" i="3"/>
  <c r="A56" i="3"/>
  <c r="A55" i="3"/>
  <c r="G55" i="3" s="1"/>
  <c r="A54" i="3"/>
  <c r="G54" i="3" s="1"/>
  <c r="A53" i="3"/>
  <c r="A52" i="3"/>
  <c r="A51" i="3"/>
  <c r="G51" i="3" s="1"/>
  <c r="A50" i="3"/>
  <c r="G50" i="3" s="1"/>
  <c r="A49" i="3"/>
  <c r="A48" i="3"/>
  <c r="A47" i="3"/>
  <c r="G47" i="3" s="1"/>
  <c r="A46" i="3"/>
  <c r="G46" i="3" s="1"/>
  <c r="A45" i="3"/>
  <c r="A44" i="3"/>
  <c r="A43" i="3"/>
  <c r="G43" i="3" s="1"/>
  <c r="A42" i="3"/>
  <c r="G42" i="3" s="1"/>
  <c r="A41" i="3"/>
  <c r="A40" i="3"/>
  <c r="A39" i="3"/>
  <c r="G39" i="3" s="1"/>
  <c r="A38" i="3"/>
  <c r="G38" i="3" s="1"/>
  <c r="A37" i="3"/>
  <c r="A36" i="3"/>
  <c r="A35" i="3"/>
  <c r="G35" i="3" s="1"/>
  <c r="A34" i="3"/>
  <c r="G34" i="3" s="1"/>
  <c r="A33" i="3"/>
  <c r="A32" i="3"/>
  <c r="A31" i="3"/>
  <c r="G31" i="3" s="1"/>
  <c r="A30" i="3"/>
  <c r="G30" i="3" s="1"/>
  <c r="A29" i="3"/>
  <c r="A28" i="3"/>
  <c r="A27" i="3"/>
  <c r="G27" i="3" s="1"/>
  <c r="A26" i="3"/>
  <c r="G26" i="3" s="1"/>
  <c r="A25" i="3"/>
  <c r="A24" i="3"/>
  <c r="A23" i="3"/>
  <c r="G23" i="3" s="1"/>
  <c r="A22" i="3"/>
  <c r="G22" i="3" s="1"/>
  <c r="A21" i="3"/>
  <c r="A20" i="3"/>
  <c r="A19" i="3"/>
  <c r="G19" i="3" s="1"/>
  <c r="A18" i="3"/>
  <c r="G18" i="3" s="1"/>
  <c r="A17" i="3"/>
  <c r="A16" i="3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D17" i="3" l="1"/>
  <c r="D21" i="3"/>
  <c r="D25" i="3"/>
  <c r="D29" i="3"/>
  <c r="D33" i="3"/>
  <c r="F33" i="3" s="1"/>
  <c r="D37" i="3"/>
  <c r="D41" i="3"/>
  <c r="D45" i="3"/>
  <c r="D49" i="3"/>
  <c r="F49" i="3" s="1"/>
  <c r="D53" i="3"/>
  <c r="D57" i="3"/>
  <c r="D61" i="3"/>
  <c r="D65" i="3"/>
  <c r="F65" i="3" s="1"/>
  <c r="D69" i="3"/>
  <c r="D73" i="3"/>
  <c r="D77" i="3"/>
  <c r="D81" i="3"/>
  <c r="D85" i="3"/>
  <c r="D89" i="3"/>
  <c r="D93" i="3"/>
  <c r="D97" i="3"/>
  <c r="F97" i="3" s="1"/>
  <c r="D101" i="3"/>
  <c r="D105" i="3"/>
  <c r="D109" i="3"/>
  <c r="D113" i="3"/>
  <c r="D117" i="3"/>
  <c r="D121" i="3"/>
  <c r="D125" i="3"/>
  <c r="D129" i="3"/>
  <c r="F129" i="3" s="1"/>
  <c r="D133" i="3"/>
  <c r="D137" i="3"/>
  <c r="D141" i="3"/>
  <c r="D145" i="3"/>
  <c r="D149" i="3"/>
  <c r="D153" i="3"/>
  <c r="D157" i="3"/>
  <c r="D161" i="3"/>
  <c r="F161" i="3" s="1"/>
  <c r="D165" i="3"/>
  <c r="D169" i="3"/>
  <c r="D18" i="3"/>
  <c r="D22" i="3"/>
  <c r="F22" i="3" s="1"/>
  <c r="D26" i="3"/>
  <c r="D30" i="3"/>
  <c r="D34" i="3"/>
  <c r="D38" i="3"/>
  <c r="F38" i="3" s="1"/>
  <c r="D42" i="3"/>
  <c r="D46" i="3"/>
  <c r="D50" i="3"/>
  <c r="D54" i="3"/>
  <c r="F54" i="3" s="1"/>
  <c r="D58" i="3"/>
  <c r="D62" i="3"/>
  <c r="D66" i="3"/>
  <c r="D70" i="3"/>
  <c r="F70" i="3" s="1"/>
  <c r="D74" i="3"/>
  <c r="D78" i="3"/>
  <c r="D82" i="3"/>
  <c r="D86" i="3"/>
  <c r="F86" i="3" s="1"/>
  <c r="D90" i="3"/>
  <c r="D94" i="3"/>
  <c r="D98" i="3"/>
  <c r="D102" i="3"/>
  <c r="F102" i="3" s="1"/>
  <c r="D106" i="3"/>
  <c r="D110" i="3"/>
  <c r="D114" i="3"/>
  <c r="D118" i="3"/>
  <c r="F118" i="3" s="1"/>
  <c r="D122" i="3"/>
  <c r="D126" i="3"/>
  <c r="D130" i="3"/>
  <c r="D134" i="3"/>
  <c r="F134" i="3" s="1"/>
  <c r="D138" i="3"/>
  <c r="D142" i="3"/>
  <c r="D146" i="3"/>
  <c r="D150" i="3"/>
  <c r="F150" i="3" s="1"/>
  <c r="D154" i="3"/>
  <c r="D158" i="3"/>
  <c r="D162" i="3"/>
  <c r="D166" i="3"/>
  <c r="F166" i="3" s="1"/>
  <c r="D170" i="3"/>
  <c r="D19" i="3"/>
  <c r="D23" i="3"/>
  <c r="D27" i="3"/>
  <c r="D31" i="3"/>
  <c r="F31" i="3" s="1"/>
  <c r="D35" i="3"/>
  <c r="D39" i="3"/>
  <c r="D43" i="3"/>
  <c r="F43" i="3" s="1"/>
  <c r="D47" i="3"/>
  <c r="D51" i="3"/>
  <c r="D55" i="3"/>
  <c r="D59" i="3"/>
  <c r="F59" i="3" s="1"/>
  <c r="D63" i="3"/>
  <c r="D67" i="3"/>
  <c r="D71" i="3"/>
  <c r="D75" i="3"/>
  <c r="F75" i="3" s="1"/>
  <c r="D79" i="3"/>
  <c r="D83" i="3"/>
  <c r="D87" i="3"/>
  <c r="D91" i="3"/>
  <c r="D95" i="3"/>
  <c r="F95" i="3" s="1"/>
  <c r="D99" i="3"/>
  <c r="D103" i="3"/>
  <c r="D107" i="3"/>
  <c r="F107" i="3" s="1"/>
  <c r="D111" i="3"/>
  <c r="D115" i="3"/>
  <c r="D119" i="3"/>
  <c r="D123" i="3"/>
  <c r="F123" i="3" s="1"/>
  <c r="D127" i="3"/>
  <c r="D131" i="3"/>
  <c r="D135" i="3"/>
  <c r="D139" i="3"/>
  <c r="F139" i="3" s="1"/>
  <c r="D143" i="3"/>
  <c r="D147" i="3"/>
  <c r="D151" i="3"/>
  <c r="D155" i="3"/>
  <c r="D159" i="3"/>
  <c r="D163" i="3"/>
  <c r="D167" i="3"/>
  <c r="D171" i="3"/>
  <c r="F171" i="3" s="1"/>
  <c r="I95" i="3"/>
  <c r="I31" i="3"/>
  <c r="I33" i="3"/>
  <c r="I49" i="3"/>
  <c r="I65" i="3"/>
  <c r="I97" i="3"/>
  <c r="I113" i="3"/>
  <c r="I129" i="3"/>
  <c r="I161" i="3"/>
  <c r="E172" i="3"/>
  <c r="J172" i="3" s="1"/>
  <c r="E170" i="3"/>
  <c r="J170" i="3" s="1"/>
  <c r="E168" i="3"/>
  <c r="J168" i="3" s="1"/>
  <c r="E166" i="3"/>
  <c r="J166" i="3" s="1"/>
  <c r="E164" i="3"/>
  <c r="J164" i="3" s="1"/>
  <c r="E162" i="3"/>
  <c r="J162" i="3" s="1"/>
  <c r="E160" i="3"/>
  <c r="J160" i="3" s="1"/>
  <c r="E158" i="3"/>
  <c r="J158" i="3" s="1"/>
  <c r="E156" i="3"/>
  <c r="J156" i="3" s="1"/>
  <c r="E154" i="3"/>
  <c r="J154" i="3" s="1"/>
  <c r="E152" i="3"/>
  <c r="J152" i="3" s="1"/>
  <c r="E150" i="3"/>
  <c r="J150" i="3" s="1"/>
  <c r="E148" i="3"/>
  <c r="J148" i="3" s="1"/>
  <c r="E146" i="3"/>
  <c r="J146" i="3" s="1"/>
  <c r="E144" i="3"/>
  <c r="J144" i="3" s="1"/>
  <c r="E142" i="3"/>
  <c r="J142" i="3" s="1"/>
  <c r="E140" i="3"/>
  <c r="J140" i="3" s="1"/>
  <c r="E138" i="3"/>
  <c r="J138" i="3" s="1"/>
  <c r="E136" i="3"/>
  <c r="J136" i="3" s="1"/>
  <c r="E134" i="3"/>
  <c r="J134" i="3" s="1"/>
  <c r="E132" i="3"/>
  <c r="J132" i="3" s="1"/>
  <c r="E130" i="3"/>
  <c r="J130" i="3" s="1"/>
  <c r="E128" i="3"/>
  <c r="J128" i="3" s="1"/>
  <c r="E126" i="3"/>
  <c r="J126" i="3" s="1"/>
  <c r="E124" i="3"/>
  <c r="J124" i="3" s="1"/>
  <c r="E122" i="3"/>
  <c r="J122" i="3" s="1"/>
  <c r="E120" i="3"/>
  <c r="J120" i="3" s="1"/>
  <c r="E118" i="3"/>
  <c r="J118" i="3" s="1"/>
  <c r="E116" i="3"/>
  <c r="J116" i="3" s="1"/>
  <c r="E114" i="3"/>
  <c r="J114" i="3" s="1"/>
  <c r="E112" i="3"/>
  <c r="J112" i="3" s="1"/>
  <c r="E110" i="3"/>
  <c r="J110" i="3" s="1"/>
  <c r="E108" i="3"/>
  <c r="J108" i="3" s="1"/>
  <c r="E106" i="3"/>
  <c r="J106" i="3" s="1"/>
  <c r="E104" i="3"/>
  <c r="J104" i="3" s="1"/>
  <c r="E102" i="3"/>
  <c r="J102" i="3" s="1"/>
  <c r="E100" i="3"/>
  <c r="J100" i="3" s="1"/>
  <c r="E98" i="3"/>
  <c r="J98" i="3" s="1"/>
  <c r="E96" i="3"/>
  <c r="J96" i="3" s="1"/>
  <c r="E94" i="3"/>
  <c r="J94" i="3" s="1"/>
  <c r="E92" i="3"/>
  <c r="J92" i="3" s="1"/>
  <c r="E90" i="3"/>
  <c r="J90" i="3" s="1"/>
  <c r="E88" i="3"/>
  <c r="J88" i="3" s="1"/>
  <c r="E86" i="3"/>
  <c r="J86" i="3" s="1"/>
  <c r="E84" i="3"/>
  <c r="J84" i="3" s="1"/>
  <c r="E82" i="3"/>
  <c r="J82" i="3" s="1"/>
  <c r="E80" i="3"/>
  <c r="J80" i="3" s="1"/>
  <c r="E78" i="3"/>
  <c r="J78" i="3" s="1"/>
  <c r="E76" i="3"/>
  <c r="J76" i="3" s="1"/>
  <c r="E74" i="3"/>
  <c r="J74" i="3" s="1"/>
  <c r="E72" i="3"/>
  <c r="J72" i="3" s="1"/>
  <c r="E70" i="3"/>
  <c r="J70" i="3" s="1"/>
  <c r="E68" i="3"/>
  <c r="J68" i="3" s="1"/>
  <c r="E66" i="3"/>
  <c r="J66" i="3" s="1"/>
  <c r="E64" i="3"/>
  <c r="J64" i="3" s="1"/>
  <c r="E62" i="3"/>
  <c r="J62" i="3" s="1"/>
  <c r="E60" i="3"/>
  <c r="J60" i="3" s="1"/>
  <c r="E58" i="3"/>
  <c r="J58" i="3" s="1"/>
  <c r="E56" i="3"/>
  <c r="J56" i="3" s="1"/>
  <c r="E54" i="3"/>
  <c r="J54" i="3" s="1"/>
  <c r="E52" i="3"/>
  <c r="J52" i="3" s="1"/>
  <c r="E50" i="3"/>
  <c r="J50" i="3" s="1"/>
  <c r="E48" i="3"/>
  <c r="J48" i="3" s="1"/>
  <c r="E46" i="3"/>
  <c r="J46" i="3" s="1"/>
  <c r="E44" i="3"/>
  <c r="J44" i="3" s="1"/>
  <c r="E42" i="3"/>
  <c r="J42" i="3" s="1"/>
  <c r="E40" i="3"/>
  <c r="J40" i="3" s="1"/>
  <c r="E38" i="3"/>
  <c r="J38" i="3" s="1"/>
  <c r="E36" i="3"/>
  <c r="J36" i="3" s="1"/>
  <c r="E34" i="3"/>
  <c r="J34" i="3" s="1"/>
  <c r="E32" i="3"/>
  <c r="J32" i="3" s="1"/>
  <c r="E30" i="3"/>
  <c r="J30" i="3" s="1"/>
  <c r="E28" i="3"/>
  <c r="J28" i="3" s="1"/>
  <c r="E26" i="3"/>
  <c r="J26" i="3" s="1"/>
  <c r="E24" i="3"/>
  <c r="J24" i="3" s="1"/>
  <c r="E22" i="3"/>
  <c r="J22" i="3" s="1"/>
  <c r="E20" i="3"/>
  <c r="J20" i="3" s="1"/>
  <c r="E18" i="3"/>
  <c r="J18" i="3" s="1"/>
  <c r="I16" i="3"/>
  <c r="I172" i="3"/>
  <c r="I166" i="3"/>
  <c r="K166" i="3" s="1"/>
  <c r="I164" i="3"/>
  <c r="I160" i="3"/>
  <c r="K160" i="3" s="1"/>
  <c r="I156" i="3"/>
  <c r="I152" i="3"/>
  <c r="I150" i="3"/>
  <c r="K150" i="3" s="1"/>
  <c r="I144" i="3"/>
  <c r="K144" i="3" s="1"/>
  <c r="I136" i="3"/>
  <c r="L134" i="3"/>
  <c r="I132" i="3"/>
  <c r="K132" i="3" s="1"/>
  <c r="I128" i="3"/>
  <c r="L120" i="3"/>
  <c r="I118" i="3"/>
  <c r="K118" i="3" s="1"/>
  <c r="I116" i="3"/>
  <c r="I112" i="3"/>
  <c r="I104" i="3"/>
  <c r="I102" i="3"/>
  <c r="K102" i="3" s="1"/>
  <c r="I100" i="3"/>
  <c r="I96" i="3"/>
  <c r="I88" i="3"/>
  <c r="I86" i="3"/>
  <c r="K86" i="3" s="1"/>
  <c r="I84" i="3"/>
  <c r="I80" i="3"/>
  <c r="I72" i="3"/>
  <c r="I70" i="3"/>
  <c r="K70" i="3" s="1"/>
  <c r="I68" i="3"/>
  <c r="K68" i="3" s="1"/>
  <c r="I64" i="3"/>
  <c r="I60" i="3"/>
  <c r="L56" i="3"/>
  <c r="I54" i="3"/>
  <c r="K54" i="3" s="1"/>
  <c r="I52" i="3"/>
  <c r="I48" i="3"/>
  <c r="I40" i="3"/>
  <c r="I38" i="3"/>
  <c r="K38" i="3" s="1"/>
  <c r="I36" i="3"/>
  <c r="I32" i="3"/>
  <c r="I24" i="3"/>
  <c r="I22" i="3"/>
  <c r="K22" i="3" s="1"/>
  <c r="I20" i="3"/>
  <c r="E16" i="3"/>
  <c r="J16" i="3" s="1"/>
  <c r="E171" i="3"/>
  <c r="J171" i="3" s="1"/>
  <c r="E169" i="3"/>
  <c r="J169" i="3" s="1"/>
  <c r="E167" i="3"/>
  <c r="J167" i="3" s="1"/>
  <c r="E165" i="3"/>
  <c r="J165" i="3" s="1"/>
  <c r="E163" i="3"/>
  <c r="J163" i="3" s="1"/>
  <c r="E161" i="3"/>
  <c r="J161" i="3" s="1"/>
  <c r="E159" i="3"/>
  <c r="J159" i="3" s="1"/>
  <c r="E157" i="3"/>
  <c r="J157" i="3" s="1"/>
  <c r="E155" i="3"/>
  <c r="J155" i="3" s="1"/>
  <c r="E153" i="3"/>
  <c r="J153" i="3" s="1"/>
  <c r="E151" i="3"/>
  <c r="J151" i="3" s="1"/>
  <c r="E149" i="3"/>
  <c r="J149" i="3" s="1"/>
  <c r="E147" i="3"/>
  <c r="J147" i="3" s="1"/>
  <c r="E145" i="3"/>
  <c r="J145" i="3" s="1"/>
  <c r="E143" i="3"/>
  <c r="J143" i="3" s="1"/>
  <c r="E141" i="3"/>
  <c r="J141" i="3" s="1"/>
  <c r="E139" i="3"/>
  <c r="J139" i="3" s="1"/>
  <c r="E137" i="3"/>
  <c r="J137" i="3" s="1"/>
  <c r="E135" i="3"/>
  <c r="J135" i="3" s="1"/>
  <c r="E133" i="3"/>
  <c r="J133" i="3" s="1"/>
  <c r="E131" i="3"/>
  <c r="J131" i="3" s="1"/>
  <c r="E129" i="3"/>
  <c r="J129" i="3" s="1"/>
  <c r="E127" i="3"/>
  <c r="J127" i="3" s="1"/>
  <c r="E125" i="3"/>
  <c r="J125" i="3" s="1"/>
  <c r="E123" i="3"/>
  <c r="J123" i="3" s="1"/>
  <c r="E121" i="3"/>
  <c r="J121" i="3" s="1"/>
  <c r="E119" i="3"/>
  <c r="J119" i="3" s="1"/>
  <c r="E117" i="3"/>
  <c r="J117" i="3" s="1"/>
  <c r="E115" i="3"/>
  <c r="J115" i="3" s="1"/>
  <c r="E113" i="3"/>
  <c r="J113" i="3" s="1"/>
  <c r="E111" i="3"/>
  <c r="J111" i="3" s="1"/>
  <c r="E109" i="3"/>
  <c r="J109" i="3" s="1"/>
  <c r="E107" i="3"/>
  <c r="J107" i="3" s="1"/>
  <c r="E105" i="3"/>
  <c r="J105" i="3" s="1"/>
  <c r="E103" i="3"/>
  <c r="J103" i="3" s="1"/>
  <c r="E101" i="3"/>
  <c r="J101" i="3" s="1"/>
  <c r="E99" i="3"/>
  <c r="J99" i="3" s="1"/>
  <c r="E97" i="3"/>
  <c r="J97" i="3" s="1"/>
  <c r="E95" i="3"/>
  <c r="J95" i="3" s="1"/>
  <c r="E93" i="3"/>
  <c r="J93" i="3" s="1"/>
  <c r="E91" i="3"/>
  <c r="J91" i="3" s="1"/>
  <c r="E89" i="3"/>
  <c r="J89" i="3" s="1"/>
  <c r="E87" i="3"/>
  <c r="J87" i="3" s="1"/>
  <c r="E85" i="3"/>
  <c r="J85" i="3" s="1"/>
  <c r="E83" i="3"/>
  <c r="J83" i="3" s="1"/>
  <c r="E81" i="3"/>
  <c r="J81" i="3" s="1"/>
  <c r="E79" i="3"/>
  <c r="J79" i="3" s="1"/>
  <c r="E77" i="3"/>
  <c r="J77" i="3" s="1"/>
  <c r="E75" i="3"/>
  <c r="J75" i="3" s="1"/>
  <c r="E73" i="3"/>
  <c r="J73" i="3" s="1"/>
  <c r="E71" i="3"/>
  <c r="J71" i="3" s="1"/>
  <c r="E69" i="3"/>
  <c r="J69" i="3" s="1"/>
  <c r="E67" i="3"/>
  <c r="J67" i="3" s="1"/>
  <c r="E65" i="3"/>
  <c r="J65" i="3" s="1"/>
  <c r="E63" i="3"/>
  <c r="J63" i="3" s="1"/>
  <c r="E61" i="3"/>
  <c r="J61" i="3" s="1"/>
  <c r="E59" i="3"/>
  <c r="J59" i="3" s="1"/>
  <c r="E57" i="3"/>
  <c r="J57" i="3" s="1"/>
  <c r="E55" i="3"/>
  <c r="J55" i="3" s="1"/>
  <c r="E53" i="3"/>
  <c r="J53" i="3" s="1"/>
  <c r="E51" i="3"/>
  <c r="J51" i="3" s="1"/>
  <c r="E49" i="3"/>
  <c r="J49" i="3" s="1"/>
  <c r="E47" i="3"/>
  <c r="J47" i="3" s="1"/>
  <c r="E45" i="3"/>
  <c r="J45" i="3" s="1"/>
  <c r="E43" i="3"/>
  <c r="J43" i="3" s="1"/>
  <c r="E41" i="3"/>
  <c r="J41" i="3" s="1"/>
  <c r="E39" i="3"/>
  <c r="J39" i="3" s="1"/>
  <c r="E37" i="3"/>
  <c r="J37" i="3" s="1"/>
  <c r="E35" i="3"/>
  <c r="J35" i="3" s="1"/>
  <c r="E33" i="3"/>
  <c r="J33" i="3" s="1"/>
  <c r="E31" i="3"/>
  <c r="J31" i="3" s="1"/>
  <c r="E29" i="3"/>
  <c r="J29" i="3" s="1"/>
  <c r="E27" i="3"/>
  <c r="J27" i="3" s="1"/>
  <c r="E25" i="3"/>
  <c r="J25" i="3" s="1"/>
  <c r="E23" i="3"/>
  <c r="J23" i="3" s="1"/>
  <c r="E21" i="3"/>
  <c r="J21" i="3" s="1"/>
  <c r="E19" i="3"/>
  <c r="J19" i="3" s="1"/>
  <c r="E17" i="3"/>
  <c r="J17" i="3" s="1"/>
  <c r="I43" i="3"/>
  <c r="I59" i="3"/>
  <c r="I75" i="3"/>
  <c r="I107" i="3"/>
  <c r="I123" i="3"/>
  <c r="I139" i="3"/>
  <c r="L171" i="3"/>
  <c r="I168" i="3"/>
  <c r="I148" i="3"/>
  <c r="I140" i="3"/>
  <c r="I124" i="3"/>
  <c r="I108" i="3"/>
  <c r="I92" i="3"/>
  <c r="I76" i="3"/>
  <c r="I44" i="3"/>
  <c r="I28" i="3"/>
  <c r="D10" i="3"/>
  <c r="B165" i="3"/>
  <c r="H165" i="3" s="1"/>
  <c r="B171" i="3"/>
  <c r="H171" i="3" s="1"/>
  <c r="B120" i="3"/>
  <c r="H120" i="3" s="1"/>
  <c r="B66" i="3"/>
  <c r="H66" i="3" s="1"/>
  <c r="B67" i="3"/>
  <c r="H67" i="3" s="1"/>
  <c r="B121" i="3"/>
  <c r="H121" i="3" s="1"/>
  <c r="B172" i="3"/>
  <c r="H172" i="3" s="1"/>
  <c r="B161" i="3"/>
  <c r="H161" i="3" s="1"/>
  <c r="B42" i="3"/>
  <c r="H42" i="3" s="1"/>
  <c r="B108" i="3"/>
  <c r="H108" i="3" s="1"/>
  <c r="B19" i="3"/>
  <c r="H19" i="3" s="1"/>
  <c r="B18" i="3"/>
  <c r="H18" i="3" s="1"/>
  <c r="B91" i="3"/>
  <c r="H91" i="3" s="1"/>
  <c r="B147" i="3"/>
  <c r="H147" i="3" s="1"/>
  <c r="B116" i="3"/>
  <c r="H116" i="3" s="1"/>
  <c r="B169" i="3"/>
  <c r="H169" i="3" s="1"/>
  <c r="B17" i="3"/>
  <c r="H17" i="3" s="1"/>
  <c r="B72" i="3"/>
  <c r="H72" i="3" s="1"/>
  <c r="B144" i="3"/>
  <c r="H144" i="3" s="1"/>
  <c r="B170" i="3"/>
  <c r="H170" i="3" s="1"/>
  <c r="B41" i="3"/>
  <c r="H41" i="3" s="1"/>
  <c r="B92" i="3"/>
  <c r="H92" i="3" s="1"/>
  <c r="B16" i="3"/>
  <c r="H16" i="3" s="1"/>
  <c r="B68" i="3"/>
  <c r="H68" i="3" s="1"/>
  <c r="B122" i="3"/>
  <c r="H122" i="3" s="1"/>
  <c r="B44" i="3"/>
  <c r="H44" i="3" s="1"/>
  <c r="B97" i="3"/>
  <c r="H97" i="3" s="1"/>
  <c r="B146" i="3"/>
  <c r="H146" i="3" s="1"/>
  <c r="B43" i="3"/>
  <c r="H43" i="3" s="1"/>
  <c r="B96" i="3"/>
  <c r="H96" i="3" s="1"/>
  <c r="B145" i="3"/>
  <c r="H145" i="3" s="1"/>
  <c r="B33" i="3"/>
  <c r="H33" i="3" s="1"/>
  <c r="B58" i="3"/>
  <c r="H58" i="3" s="1"/>
  <c r="B83" i="3"/>
  <c r="H83" i="3" s="1"/>
  <c r="B136" i="3"/>
  <c r="H136" i="3" s="1"/>
  <c r="B32" i="3"/>
  <c r="H32" i="3" s="1"/>
  <c r="B57" i="3"/>
  <c r="H57" i="3" s="1"/>
  <c r="B82" i="3"/>
  <c r="H82" i="3" s="1"/>
  <c r="B107" i="3"/>
  <c r="H107" i="3" s="1"/>
  <c r="B132" i="3"/>
  <c r="H132" i="3" s="1"/>
  <c r="B160" i="3"/>
  <c r="H160" i="3" s="1"/>
  <c r="B28" i="3"/>
  <c r="H28" i="3" s="1"/>
  <c r="B56" i="3"/>
  <c r="H56" i="3" s="1"/>
  <c r="B81" i="3"/>
  <c r="H81" i="3" s="1"/>
  <c r="B106" i="3"/>
  <c r="H106" i="3" s="1"/>
  <c r="B131" i="3"/>
  <c r="H131" i="3" s="1"/>
  <c r="B156" i="3"/>
  <c r="H156" i="3" s="1"/>
  <c r="B27" i="3"/>
  <c r="H27" i="3" s="1"/>
  <c r="B52" i="3"/>
  <c r="H52" i="3" s="1"/>
  <c r="B80" i="3"/>
  <c r="H80" i="3" s="1"/>
  <c r="B105" i="3"/>
  <c r="H105" i="3" s="1"/>
  <c r="B130" i="3"/>
  <c r="H130" i="3" s="1"/>
  <c r="B155" i="3"/>
  <c r="H155" i="3" s="1"/>
  <c r="B40" i="3"/>
  <c r="H40" i="3" s="1"/>
  <c r="B154" i="3"/>
  <c r="H154" i="3" s="1"/>
  <c r="B25" i="3"/>
  <c r="H25" i="3" s="1"/>
  <c r="B36" i="3"/>
  <c r="H36" i="3" s="1"/>
  <c r="B50" i="3"/>
  <c r="H50" i="3" s="1"/>
  <c r="B64" i="3"/>
  <c r="H64" i="3" s="1"/>
  <c r="B75" i="3"/>
  <c r="H75" i="3" s="1"/>
  <c r="B89" i="3"/>
  <c r="H89" i="3" s="1"/>
  <c r="B100" i="3"/>
  <c r="H100" i="3" s="1"/>
  <c r="B114" i="3"/>
  <c r="H114" i="3" s="1"/>
  <c r="B128" i="3"/>
  <c r="H128" i="3" s="1"/>
  <c r="B139" i="3"/>
  <c r="H139" i="3" s="1"/>
  <c r="B153" i="3"/>
  <c r="H153" i="3" s="1"/>
  <c r="B164" i="3"/>
  <c r="H164" i="3" s="1"/>
  <c r="B51" i="3"/>
  <c r="H51" i="3" s="1"/>
  <c r="B140" i="3"/>
  <c r="H140" i="3" s="1"/>
  <c r="B24" i="3"/>
  <c r="H24" i="3" s="1"/>
  <c r="B35" i="3"/>
  <c r="H35" i="3" s="1"/>
  <c r="B49" i="3"/>
  <c r="H49" i="3" s="1"/>
  <c r="B60" i="3"/>
  <c r="H60" i="3" s="1"/>
  <c r="B74" i="3"/>
  <c r="H74" i="3" s="1"/>
  <c r="B88" i="3"/>
  <c r="H88" i="3" s="1"/>
  <c r="B99" i="3"/>
  <c r="H99" i="3" s="1"/>
  <c r="B113" i="3"/>
  <c r="H113" i="3" s="1"/>
  <c r="B124" i="3"/>
  <c r="H124" i="3" s="1"/>
  <c r="B138" i="3"/>
  <c r="H138" i="3" s="1"/>
  <c r="B152" i="3"/>
  <c r="H152" i="3" s="1"/>
  <c r="B163" i="3"/>
  <c r="H163" i="3" s="1"/>
  <c r="B26" i="3"/>
  <c r="H26" i="3" s="1"/>
  <c r="B65" i="3"/>
  <c r="H65" i="3" s="1"/>
  <c r="B76" i="3"/>
  <c r="H76" i="3" s="1"/>
  <c r="B90" i="3"/>
  <c r="H90" i="3" s="1"/>
  <c r="B104" i="3"/>
  <c r="H104" i="3" s="1"/>
  <c r="B115" i="3"/>
  <c r="H115" i="3" s="1"/>
  <c r="B129" i="3"/>
  <c r="H129" i="3" s="1"/>
  <c r="B168" i="3"/>
  <c r="H168" i="3" s="1"/>
  <c r="B20" i="3"/>
  <c r="H20" i="3" s="1"/>
  <c r="B34" i="3"/>
  <c r="H34" i="3" s="1"/>
  <c r="B48" i="3"/>
  <c r="H48" i="3" s="1"/>
  <c r="B59" i="3"/>
  <c r="H59" i="3" s="1"/>
  <c r="B73" i="3"/>
  <c r="H73" i="3" s="1"/>
  <c r="B84" i="3"/>
  <c r="H84" i="3" s="1"/>
  <c r="B98" i="3"/>
  <c r="H98" i="3" s="1"/>
  <c r="B112" i="3"/>
  <c r="H112" i="3" s="1"/>
  <c r="B123" i="3"/>
  <c r="H123" i="3" s="1"/>
  <c r="B137" i="3"/>
  <c r="H137" i="3" s="1"/>
  <c r="B148" i="3"/>
  <c r="H148" i="3" s="1"/>
  <c r="B162" i="3"/>
  <c r="H162" i="3" s="1"/>
  <c r="B23" i="3"/>
  <c r="H23" i="3" s="1"/>
  <c r="B31" i="3"/>
  <c r="H31" i="3" s="1"/>
  <c r="B39" i="3"/>
  <c r="H39" i="3" s="1"/>
  <c r="B47" i="3"/>
  <c r="H47" i="3" s="1"/>
  <c r="B55" i="3"/>
  <c r="H55" i="3" s="1"/>
  <c r="B63" i="3"/>
  <c r="H63" i="3" s="1"/>
  <c r="B71" i="3"/>
  <c r="H71" i="3" s="1"/>
  <c r="B79" i="3"/>
  <c r="H79" i="3" s="1"/>
  <c r="B87" i="3"/>
  <c r="H87" i="3" s="1"/>
  <c r="B95" i="3"/>
  <c r="H95" i="3" s="1"/>
  <c r="B103" i="3"/>
  <c r="H103" i="3" s="1"/>
  <c r="B111" i="3"/>
  <c r="H111" i="3" s="1"/>
  <c r="B119" i="3"/>
  <c r="H119" i="3" s="1"/>
  <c r="B127" i="3"/>
  <c r="H127" i="3" s="1"/>
  <c r="B135" i="3"/>
  <c r="H135" i="3" s="1"/>
  <c r="B143" i="3"/>
  <c r="H143" i="3" s="1"/>
  <c r="B151" i="3"/>
  <c r="H151" i="3" s="1"/>
  <c r="B159" i="3"/>
  <c r="H159" i="3" s="1"/>
  <c r="B167" i="3"/>
  <c r="H167" i="3" s="1"/>
  <c r="B22" i="3"/>
  <c r="H22" i="3" s="1"/>
  <c r="B30" i="3"/>
  <c r="H30" i="3" s="1"/>
  <c r="B38" i="3"/>
  <c r="H38" i="3" s="1"/>
  <c r="B46" i="3"/>
  <c r="H46" i="3" s="1"/>
  <c r="B54" i="3"/>
  <c r="H54" i="3" s="1"/>
  <c r="B62" i="3"/>
  <c r="H62" i="3" s="1"/>
  <c r="B70" i="3"/>
  <c r="H70" i="3" s="1"/>
  <c r="B78" i="3"/>
  <c r="H78" i="3" s="1"/>
  <c r="B86" i="3"/>
  <c r="H86" i="3" s="1"/>
  <c r="B94" i="3"/>
  <c r="H94" i="3" s="1"/>
  <c r="B102" i="3"/>
  <c r="H102" i="3" s="1"/>
  <c r="B110" i="3"/>
  <c r="H110" i="3" s="1"/>
  <c r="B118" i="3"/>
  <c r="H118" i="3" s="1"/>
  <c r="B126" i="3"/>
  <c r="H126" i="3" s="1"/>
  <c r="B134" i="3"/>
  <c r="H134" i="3" s="1"/>
  <c r="B142" i="3"/>
  <c r="H142" i="3" s="1"/>
  <c r="B150" i="3"/>
  <c r="H150" i="3" s="1"/>
  <c r="B158" i="3"/>
  <c r="H158" i="3" s="1"/>
  <c r="B166" i="3"/>
  <c r="H166" i="3" s="1"/>
  <c r="B21" i="3"/>
  <c r="H21" i="3" s="1"/>
  <c r="B29" i="3"/>
  <c r="H29" i="3" s="1"/>
  <c r="B37" i="3"/>
  <c r="H37" i="3" s="1"/>
  <c r="B45" i="3"/>
  <c r="H45" i="3" s="1"/>
  <c r="B53" i="3"/>
  <c r="H53" i="3" s="1"/>
  <c r="B61" i="3"/>
  <c r="H61" i="3" s="1"/>
  <c r="B69" i="3"/>
  <c r="H69" i="3" s="1"/>
  <c r="B77" i="3"/>
  <c r="H77" i="3" s="1"/>
  <c r="B85" i="3"/>
  <c r="H85" i="3" s="1"/>
  <c r="B93" i="3"/>
  <c r="H93" i="3" s="1"/>
  <c r="B101" i="3"/>
  <c r="H101" i="3" s="1"/>
  <c r="B109" i="3"/>
  <c r="H109" i="3" s="1"/>
  <c r="B117" i="3"/>
  <c r="H117" i="3" s="1"/>
  <c r="B125" i="3"/>
  <c r="H125" i="3" s="1"/>
  <c r="B133" i="3"/>
  <c r="H133" i="3" s="1"/>
  <c r="B141" i="3"/>
  <c r="H141" i="3" s="1"/>
  <c r="B149" i="3"/>
  <c r="H149" i="3" s="1"/>
  <c r="B157" i="3"/>
  <c r="H157" i="3" s="1"/>
  <c r="F113" i="3" l="1"/>
  <c r="I119" i="3"/>
  <c r="F119" i="3"/>
  <c r="I71" i="3"/>
  <c r="F71" i="3"/>
  <c r="I23" i="3"/>
  <c r="F23" i="3"/>
  <c r="I114" i="3"/>
  <c r="F114" i="3"/>
  <c r="I66" i="3"/>
  <c r="F66" i="3"/>
  <c r="I34" i="3"/>
  <c r="F34" i="3"/>
  <c r="I141" i="3"/>
  <c r="F141" i="3"/>
  <c r="I109" i="3"/>
  <c r="F109" i="3"/>
  <c r="I77" i="3"/>
  <c r="F77" i="3"/>
  <c r="I61" i="3"/>
  <c r="F61" i="3"/>
  <c r="I163" i="3"/>
  <c r="F163" i="3"/>
  <c r="I147" i="3"/>
  <c r="F147" i="3"/>
  <c r="I131" i="3"/>
  <c r="F131" i="3"/>
  <c r="I115" i="3"/>
  <c r="F115" i="3"/>
  <c r="I99" i="3"/>
  <c r="F99" i="3"/>
  <c r="I83" i="3"/>
  <c r="F83" i="3"/>
  <c r="I67" i="3"/>
  <c r="F67" i="3"/>
  <c r="I51" i="3"/>
  <c r="F51" i="3"/>
  <c r="I35" i="3"/>
  <c r="F35" i="3"/>
  <c r="I19" i="3"/>
  <c r="F19" i="3"/>
  <c r="I158" i="3"/>
  <c r="K158" i="3" s="1"/>
  <c r="F158" i="3"/>
  <c r="I142" i="3"/>
  <c r="K142" i="3" s="1"/>
  <c r="F142" i="3"/>
  <c r="I126" i="3"/>
  <c r="K126" i="3" s="1"/>
  <c r="F126" i="3"/>
  <c r="I110" i="3"/>
  <c r="K110" i="3" s="1"/>
  <c r="F110" i="3"/>
  <c r="I94" i="3"/>
  <c r="K94" i="3" s="1"/>
  <c r="F94" i="3"/>
  <c r="I78" i="3"/>
  <c r="K78" i="3" s="1"/>
  <c r="F78" i="3"/>
  <c r="I62" i="3"/>
  <c r="K62" i="3" s="1"/>
  <c r="F62" i="3"/>
  <c r="I46" i="3"/>
  <c r="K46" i="3" s="1"/>
  <c r="F46" i="3"/>
  <c r="I30" i="3"/>
  <c r="K30" i="3" s="1"/>
  <c r="F30" i="3"/>
  <c r="I169" i="3"/>
  <c r="F169" i="3"/>
  <c r="I153" i="3"/>
  <c r="F153" i="3"/>
  <c r="I137" i="3"/>
  <c r="F137" i="3"/>
  <c r="I121" i="3"/>
  <c r="F121" i="3"/>
  <c r="I105" i="3"/>
  <c r="F105" i="3"/>
  <c r="I89" i="3"/>
  <c r="F89" i="3"/>
  <c r="I73" i="3"/>
  <c r="F73" i="3"/>
  <c r="I57" i="3"/>
  <c r="F57" i="3"/>
  <c r="I41" i="3"/>
  <c r="F41" i="3"/>
  <c r="I25" i="3"/>
  <c r="F25" i="3"/>
  <c r="I135" i="3"/>
  <c r="F135" i="3"/>
  <c r="I87" i="3"/>
  <c r="F87" i="3"/>
  <c r="I39" i="3"/>
  <c r="F39" i="3"/>
  <c r="I146" i="3"/>
  <c r="F146" i="3"/>
  <c r="I82" i="3"/>
  <c r="F82" i="3"/>
  <c r="I18" i="3"/>
  <c r="F18" i="3"/>
  <c r="I157" i="3"/>
  <c r="F157" i="3"/>
  <c r="I125" i="3"/>
  <c r="F125" i="3"/>
  <c r="I93" i="3"/>
  <c r="F93" i="3"/>
  <c r="I29" i="3"/>
  <c r="F29" i="3"/>
  <c r="L159" i="3"/>
  <c r="F159" i="3"/>
  <c r="I143" i="3"/>
  <c r="F143" i="3"/>
  <c r="L127" i="3"/>
  <c r="F127" i="3"/>
  <c r="I111" i="3"/>
  <c r="F111" i="3"/>
  <c r="I79" i="3"/>
  <c r="F79" i="3"/>
  <c r="I63" i="3"/>
  <c r="F63" i="3"/>
  <c r="I47" i="3"/>
  <c r="F47" i="3"/>
  <c r="L170" i="3"/>
  <c r="F170" i="3"/>
  <c r="I154" i="3"/>
  <c r="F154" i="3"/>
  <c r="I138" i="3"/>
  <c r="F138" i="3"/>
  <c r="I122" i="3"/>
  <c r="F122" i="3"/>
  <c r="L106" i="3"/>
  <c r="F106" i="3"/>
  <c r="I90" i="3"/>
  <c r="F90" i="3"/>
  <c r="I74" i="3"/>
  <c r="F74" i="3"/>
  <c r="I58" i="3"/>
  <c r="F58" i="3"/>
  <c r="I42" i="3"/>
  <c r="F42" i="3"/>
  <c r="L26" i="3"/>
  <c r="F26" i="3"/>
  <c r="I165" i="3"/>
  <c r="F165" i="3"/>
  <c r="I149" i="3"/>
  <c r="F149" i="3"/>
  <c r="I133" i="3"/>
  <c r="F133" i="3"/>
  <c r="L117" i="3"/>
  <c r="F117" i="3"/>
  <c r="I101" i="3"/>
  <c r="F101" i="3"/>
  <c r="I85" i="3"/>
  <c r="F85" i="3"/>
  <c r="I69" i="3"/>
  <c r="F69" i="3"/>
  <c r="I53" i="3"/>
  <c r="F53" i="3"/>
  <c r="L37" i="3"/>
  <c r="F37" i="3"/>
  <c r="I21" i="3"/>
  <c r="F21" i="3"/>
  <c r="I167" i="3"/>
  <c r="F167" i="3"/>
  <c r="L151" i="3"/>
  <c r="F151" i="3"/>
  <c r="I103" i="3"/>
  <c r="F103" i="3"/>
  <c r="I55" i="3"/>
  <c r="F55" i="3"/>
  <c r="I162" i="3"/>
  <c r="K162" i="3" s="1"/>
  <c r="F162" i="3"/>
  <c r="I130" i="3"/>
  <c r="F130" i="3"/>
  <c r="I98" i="3"/>
  <c r="K98" i="3" s="1"/>
  <c r="F98" i="3"/>
  <c r="I50" i="3"/>
  <c r="F50" i="3"/>
  <c r="I45" i="3"/>
  <c r="F45" i="3"/>
  <c r="I155" i="3"/>
  <c r="F155" i="3"/>
  <c r="I91" i="3"/>
  <c r="F91" i="3"/>
  <c r="I27" i="3"/>
  <c r="F27" i="3"/>
  <c r="L145" i="3"/>
  <c r="F145" i="3"/>
  <c r="L81" i="3"/>
  <c r="F81" i="3"/>
  <c r="I17" i="3"/>
  <c r="F17" i="3"/>
  <c r="K92" i="3"/>
  <c r="K148" i="3"/>
  <c r="K60" i="3"/>
  <c r="K167" i="3"/>
  <c r="K135" i="3"/>
  <c r="K119" i="3"/>
  <c r="K103" i="3"/>
  <c r="K87" i="3"/>
  <c r="K71" i="3"/>
  <c r="K55" i="3"/>
  <c r="K39" i="3"/>
  <c r="K23" i="3"/>
  <c r="K146" i="3"/>
  <c r="K130" i="3"/>
  <c r="K114" i="3"/>
  <c r="K82" i="3"/>
  <c r="K66" i="3"/>
  <c r="K50" i="3"/>
  <c r="K34" i="3"/>
  <c r="K18" i="3"/>
  <c r="K157" i="3"/>
  <c r="K141" i="3"/>
  <c r="K125" i="3"/>
  <c r="K109" i="3"/>
  <c r="K93" i="3"/>
  <c r="K77" i="3"/>
  <c r="K61" i="3"/>
  <c r="K45" i="3"/>
  <c r="K29" i="3"/>
  <c r="K24" i="3"/>
  <c r="K163" i="3"/>
  <c r="K67" i="3"/>
  <c r="K35" i="3"/>
  <c r="K137" i="3"/>
  <c r="K105" i="3"/>
  <c r="K73" i="3"/>
  <c r="K41" i="3"/>
  <c r="K32" i="3"/>
  <c r="K48" i="3"/>
  <c r="K72" i="3"/>
  <c r="K88" i="3"/>
  <c r="K104" i="3"/>
  <c r="K136" i="3"/>
  <c r="K152" i="3"/>
  <c r="K111" i="3"/>
  <c r="K47" i="3"/>
  <c r="K154" i="3"/>
  <c r="K138" i="3"/>
  <c r="K122" i="3"/>
  <c r="K90" i="3"/>
  <c r="K74" i="3"/>
  <c r="K58" i="3"/>
  <c r="K42" i="3"/>
  <c r="K165" i="3"/>
  <c r="K101" i="3"/>
  <c r="K85" i="3"/>
  <c r="K21" i="3"/>
  <c r="K168" i="3"/>
  <c r="K40" i="3"/>
  <c r="K131" i="3"/>
  <c r="K99" i="3"/>
  <c r="K169" i="3"/>
  <c r="K52" i="3"/>
  <c r="K64" i="3"/>
  <c r="K80" i="3"/>
  <c r="K96" i="3"/>
  <c r="K112" i="3"/>
  <c r="K128" i="3"/>
  <c r="I37" i="3"/>
  <c r="K28" i="3"/>
  <c r="K108" i="3"/>
  <c r="K155" i="3"/>
  <c r="K123" i="3"/>
  <c r="K91" i="3"/>
  <c r="K59" i="3"/>
  <c r="K27" i="3"/>
  <c r="K36" i="3"/>
  <c r="K116" i="3"/>
  <c r="K172" i="3"/>
  <c r="K161" i="3"/>
  <c r="K129" i="3"/>
  <c r="K97" i="3"/>
  <c r="K65" i="3"/>
  <c r="K33" i="3"/>
  <c r="K63" i="3"/>
  <c r="K149" i="3"/>
  <c r="K69" i="3"/>
  <c r="K44" i="3"/>
  <c r="K124" i="3"/>
  <c r="K147" i="3"/>
  <c r="K115" i="3"/>
  <c r="K83" i="3"/>
  <c r="K51" i="3"/>
  <c r="K19" i="3"/>
  <c r="K100" i="3"/>
  <c r="K156" i="3"/>
  <c r="K164" i="3"/>
  <c r="K16" i="3"/>
  <c r="K153" i="3"/>
  <c r="K121" i="3"/>
  <c r="K89" i="3"/>
  <c r="K57" i="3"/>
  <c r="K25" i="3"/>
  <c r="K79" i="3"/>
  <c r="K133" i="3"/>
  <c r="K53" i="3"/>
  <c r="K95" i="3"/>
  <c r="K76" i="3"/>
  <c r="K140" i="3"/>
  <c r="K139" i="3"/>
  <c r="K107" i="3"/>
  <c r="K75" i="3"/>
  <c r="K43" i="3"/>
  <c r="K20" i="3"/>
  <c r="K84" i="3"/>
  <c r="K113" i="3"/>
  <c r="K49" i="3"/>
  <c r="K17" i="3"/>
  <c r="K143" i="3"/>
  <c r="K31" i="3"/>
  <c r="K37" i="3"/>
  <c r="I56" i="3"/>
  <c r="K56" i="3" s="1"/>
  <c r="L157" i="3"/>
  <c r="I159" i="3"/>
  <c r="K159" i="3" s="1"/>
  <c r="L45" i="3"/>
  <c r="I127" i="3"/>
  <c r="K127" i="3" s="1"/>
  <c r="L42" i="3"/>
  <c r="L30" i="3"/>
  <c r="L58" i="3"/>
  <c r="L21" i="3"/>
  <c r="L71" i="3"/>
  <c r="I106" i="3"/>
  <c r="K106" i="3" s="1"/>
  <c r="I117" i="3"/>
  <c r="K117" i="3" s="1"/>
  <c r="I134" i="3"/>
  <c r="K134" i="3" s="1"/>
  <c r="L166" i="3"/>
  <c r="L46" i="3"/>
  <c r="L53" i="3"/>
  <c r="I151" i="3"/>
  <c r="K151" i="3" s="1"/>
  <c r="I120" i="3"/>
  <c r="K120" i="3" s="1"/>
  <c r="L110" i="3"/>
  <c r="L101" i="3"/>
  <c r="L90" i="3"/>
  <c r="L97" i="3"/>
  <c r="L63" i="3"/>
  <c r="L95" i="3"/>
  <c r="L122" i="3"/>
  <c r="L125" i="3"/>
  <c r="L77" i="3"/>
  <c r="I170" i="3"/>
  <c r="K170" i="3" s="1"/>
  <c r="L165" i="3"/>
  <c r="I26" i="3"/>
  <c r="K26" i="3" s="1"/>
  <c r="I171" i="3"/>
  <c r="K171" i="3" s="1"/>
  <c r="L93" i="3"/>
  <c r="L149" i="3"/>
  <c r="L113" i="3"/>
  <c r="L85" i="3"/>
  <c r="L49" i="3"/>
  <c r="I145" i="3"/>
  <c r="K145" i="3" s="1"/>
  <c r="I81" i="3"/>
  <c r="K81" i="3" s="1"/>
  <c r="L100" i="3"/>
  <c r="L33" i="3"/>
  <c r="L152" i="3"/>
  <c r="L88" i="3"/>
  <c r="L24" i="3"/>
  <c r="L119" i="3"/>
  <c r="L164" i="3"/>
  <c r="L36" i="3"/>
  <c r="L132" i="3"/>
  <c r="L68" i="3"/>
  <c r="L103" i="3"/>
  <c r="L31" i="3"/>
  <c r="L154" i="3"/>
  <c r="L161" i="3"/>
  <c r="L141" i="3"/>
  <c r="L148" i="3"/>
  <c r="L116" i="3"/>
  <c r="L84" i="3"/>
  <c r="L52" i="3"/>
  <c r="L20" i="3"/>
  <c r="L135" i="3"/>
  <c r="L55" i="3"/>
  <c r="L150" i="3"/>
  <c r="L78" i="3"/>
  <c r="L22" i="3"/>
  <c r="L129" i="3"/>
  <c r="L109" i="3"/>
  <c r="L65" i="3"/>
  <c r="L17" i="3"/>
  <c r="L27" i="3"/>
  <c r="L86" i="3"/>
  <c r="L133" i="3"/>
  <c r="L69" i="3"/>
  <c r="L168" i="3"/>
  <c r="L136" i="3"/>
  <c r="L104" i="3"/>
  <c r="L72" i="3"/>
  <c r="L40" i="3"/>
  <c r="L167" i="3"/>
  <c r="L87" i="3"/>
  <c r="L39" i="3"/>
  <c r="L142" i="3"/>
  <c r="L70" i="3"/>
  <c r="L34" i="3"/>
  <c r="L61" i="3"/>
  <c r="L126" i="3"/>
  <c r="L62" i="3"/>
  <c r="L160" i="3"/>
  <c r="L144" i="3"/>
  <c r="L128" i="3"/>
  <c r="L112" i="3"/>
  <c r="L96" i="3"/>
  <c r="L80" i="3"/>
  <c r="L64" i="3"/>
  <c r="L48" i="3"/>
  <c r="L32" i="3"/>
  <c r="L16" i="3"/>
  <c r="L143" i="3"/>
  <c r="L111" i="3"/>
  <c r="L79" i="3"/>
  <c r="L47" i="3"/>
  <c r="L23" i="3"/>
  <c r="L102" i="3"/>
  <c r="L38" i="3"/>
  <c r="L25" i="3"/>
  <c r="L172" i="3"/>
  <c r="L156" i="3"/>
  <c r="L140" i="3"/>
  <c r="L124" i="3"/>
  <c r="L108" i="3"/>
  <c r="L92" i="3"/>
  <c r="L76" i="3"/>
  <c r="L60" i="3"/>
  <c r="L44" i="3"/>
  <c r="L28" i="3"/>
  <c r="L19" i="3"/>
  <c r="L158" i="3"/>
  <c r="L138" i="3"/>
  <c r="L118" i="3"/>
  <c r="L94" i="3"/>
  <c r="L74" i="3"/>
  <c r="L54" i="3"/>
  <c r="L169" i="3"/>
  <c r="L153" i="3"/>
  <c r="L137" i="3"/>
  <c r="L121" i="3"/>
  <c r="L105" i="3"/>
  <c r="L89" i="3"/>
  <c r="L73" i="3"/>
  <c r="L57" i="3"/>
  <c r="L41" i="3"/>
  <c r="L155" i="3"/>
  <c r="L139" i="3"/>
  <c r="L123" i="3"/>
  <c r="L107" i="3"/>
  <c r="L91" i="3"/>
  <c r="L75" i="3"/>
  <c r="L59" i="3"/>
  <c r="L43" i="3"/>
  <c r="L163" i="3"/>
  <c r="L147" i="3"/>
  <c r="L131" i="3"/>
  <c r="L115" i="3"/>
  <c r="L99" i="3"/>
  <c r="L83" i="3"/>
  <c r="L67" i="3"/>
  <c r="L51" i="3"/>
  <c r="L35" i="3"/>
  <c r="L162" i="3"/>
  <c r="L146" i="3"/>
  <c r="L130" i="3"/>
  <c r="L114" i="3"/>
  <c r="L98" i="3"/>
  <c r="L82" i="3"/>
  <c r="L66" i="3"/>
  <c r="L50" i="3"/>
  <c r="L18" i="3"/>
  <c r="L29" i="3"/>
  <c r="L1" i="3" l="1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.woodfortrees.org/data/crutem4vgl/compress:12/mean:5/plot/hadsst2gl/compress:12/mean:5/plot/hadcrut4gl/compress:12/mean:5" htmlTables="1"/>
  </connection>
  <connection id="2" name="Connection2" type="4" refreshedVersion="3" background="1" saveData="1">
    <webPr sourceData="1" parsePre="1" consecutive="1" xl2000="1" url="http://www.woodfortrees.org/data/crutem4vgl/compress:12/mean:5/offset:0.1/plot/hadsst2gl/compress:12/mean:5/plot/hadcrut4gl/compress:12/mean:5" htmlTables="1"/>
  </connection>
</connections>
</file>

<file path=xl/sharedStrings.xml><?xml version="1.0" encoding="utf-8"?>
<sst xmlns="http://schemas.openxmlformats.org/spreadsheetml/2006/main" count="130" uniqueCount="44">
  <si>
    <t>#Data processed by www.woodfortrees.org</t>
  </si>
  <si>
    <t>#Please check original source for first-hand data and information:</t>
  </si>
  <si>
    <t>#</t>
  </si>
  <si>
    <t>#----------------------------------------------------</t>
  </si>
  <si>
    <t>#Data from Hadley Centre / UEA CRU</t>
  </si>
  <si>
    <t>#http://www.cru.uea.ac.uk/cru/data/temperature/</t>
  </si>
  <si>
    <t>#For terms and conditions of use, please see</t>
  </si>
  <si>
    <t>#http://hadobs.metoffice.com/hadcrut3/terms_and_conditions.html</t>
  </si>
  <si>
    <t>#File: crutem4vgl.txt</t>
  </si>
  <si>
    <t>#Time series (hadcrut3) from 1850 to 2011</t>
  </si>
  <si>
    <t>#Averaged and compressed in 12-sample sections</t>
  </si>
  <si>
    <t>#Data ends</t>
  </si>
  <si>
    <t>#Number of samples: 159</t>
  </si>
  <si>
    <t>e</t>
  </si>
  <si>
    <t>#Data from Hadley Centre</t>
  </si>
  <si>
    <t>#http://www.metoffice.gov.uk/hadobs/hadcrut4/data/download.html</t>
  </si>
  <si>
    <t>#http://www.metoffice.gov.uk/hadobs/hadcrut4/terms_and_conditions.html</t>
  </si>
  <si>
    <t>#File: hadcrut4_monthly_ns_avg.txt</t>
  </si>
  <si>
    <t>#Time series (hadcrut4) from 1850 to 2013.17</t>
  </si>
  <si>
    <t xml:space="preserve"> </t>
  </si>
  <si>
    <t>#Averaged with 5-sample running mean</t>
  </si>
  <si>
    <t>#Number of samples: 157</t>
  </si>
  <si>
    <t>#Mean: -0.0389854</t>
  </si>
  <si>
    <t>#File: hadsst2gl.txt</t>
  </si>
  <si>
    <t>#Time series (hadcrut3) from 1850 to 2013</t>
  </si>
  <si>
    <t>#Mean: -0.168675</t>
  </si>
  <si>
    <t>#Mean: -0.126255</t>
  </si>
  <si>
    <t>Global</t>
  </si>
  <si>
    <t>Land</t>
  </si>
  <si>
    <t>crutem4vgl</t>
  </si>
  <si>
    <t>hadsst2gl</t>
  </si>
  <si>
    <t>Ocean</t>
  </si>
  <si>
    <t>hadcrut2</t>
  </si>
  <si>
    <t>Composed Land +Ocean</t>
  </si>
  <si>
    <t>Year</t>
  </si>
  <si>
    <t>Composed = 0.7*SST + 0.3*Land</t>
  </si>
  <si>
    <t xml:space="preserve">         1/2 heat into ocean</t>
  </si>
  <si>
    <t>Composed = 0.7*1/2*Land + 0.3*Land</t>
  </si>
  <si>
    <t>error</t>
  </si>
  <si>
    <t>http://www.woodfortrees.org/plot/crutem4vgl/compress:12/mean:5/plot/hadsst2gl/compress:12/mean:5/plot/hadcrut4gl/compress:12/mean:5</t>
  </si>
  <si>
    <t>Land/Ocean Compose</t>
  </si>
  <si>
    <t>1/2 Heat Compose Land</t>
  </si>
  <si>
    <t>1/2 Heat Compose Ocean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</si>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</sst>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EBF6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600"/>
            </a:pPr>
            <a:r>
              <a:rPr lang="en-US" sz="1600" u="sng"/>
              <a:t>Hadley data decomposition</a:t>
            </a:r>
          </a:p>
          <a:p>
            <a:pPr algn="l">
              <a:defRPr sz="1600"/>
            </a:pPr>
            <a:r>
              <a:rPr lang="en-US" sz="1600"/>
              <a:t>Global 	: </a:t>
            </a:r>
            <a:r>
              <a:rPr lang="en-US" sz="1600" i="1"/>
              <a:t>hadcrut4</a:t>
            </a:r>
          </a:p>
          <a:p>
            <a:pPr algn="l">
              <a:defRPr sz="1600"/>
            </a:pPr>
            <a:r>
              <a:rPr lang="en-US" sz="1600"/>
              <a:t>SST 	: </a:t>
            </a:r>
            <a:r>
              <a:rPr lang="en-US" sz="1600" i="1"/>
              <a:t>hadsst2gl</a:t>
            </a:r>
          </a:p>
          <a:p>
            <a:pPr algn="l">
              <a:defRPr sz="1600"/>
            </a:pPr>
            <a:r>
              <a:rPr lang="en-US" sz="1600"/>
              <a:t>Land 	: </a:t>
            </a:r>
            <a:r>
              <a:rPr lang="en-US" sz="1600" i="1"/>
              <a:t>crutem4vgl </a:t>
            </a:r>
          </a:p>
        </c:rich>
      </c:tx>
      <c:layout>
        <c:manualLayout>
          <c:xMode val="edge"/>
          <c:yMode val="edge"/>
          <c:x val="0.11635578883051237"/>
          <c:y val="9.1216752986090638E-2"/>
        </c:manualLayout>
      </c:layout>
      <c:overlay val="1"/>
      <c:spPr>
        <a:solidFill>
          <a:schemeClr val="bg1"/>
        </a:solidFill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47235724191648"/>
          <c:y val="8.6008362806754127E-2"/>
          <c:w val="0.82137872785324162"/>
          <c:h val="0.7878680994633519"/>
        </c:manualLayout>
      </c:layout>
      <c:scatterChart>
        <c:scatterStyle val="lineMarker"/>
        <c:varyColors val="0"/>
        <c:ser>
          <c:idx val="1"/>
          <c:order val="0"/>
          <c:tx>
            <c:strRef>
              <c:f>'HAD global'!$C$15</c:f>
              <c:strCache>
                <c:ptCount val="1"/>
                <c:pt idx="0">
                  <c:v>Global</c:v>
                </c:pt>
              </c:strCache>
            </c:strRef>
          </c:tx>
          <c:marker>
            <c:symbol val="none"/>
          </c:marker>
          <c:xVal>
            <c:numRef>
              <c:f>'HAD global'!$A$16:$A$172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global'!$C$16:$C$172</c:f>
              <c:numCache>
                <c:formatCode>General</c:formatCode>
                <c:ptCount val="157"/>
                <c:pt idx="0">
                  <c:v>-0.38</c:v>
                </c:pt>
                <c:pt idx="1">
                  <c:v>-0.22658300000000001</c:v>
                </c:pt>
                <c:pt idx="2">
                  <c:v>-0.23183300000000001</c:v>
                </c:pt>
                <c:pt idx="3">
                  <c:v>-0.27483299999999999</c:v>
                </c:pt>
                <c:pt idx="4">
                  <c:v>-0.25266699999999997</c:v>
                </c:pt>
                <c:pt idx="5">
                  <c:v>-0.27274999999999999</c:v>
                </c:pt>
                <c:pt idx="6">
                  <c:v>-0.36283300000000002</c:v>
                </c:pt>
                <c:pt idx="7">
                  <c:v>-0.46400000000000002</c:v>
                </c:pt>
                <c:pt idx="8">
                  <c:v>-0.46841699999999997</c:v>
                </c:pt>
                <c:pt idx="9">
                  <c:v>-0.29391699999999998</c:v>
                </c:pt>
                <c:pt idx="10">
                  <c:v>-0.348167</c:v>
                </c:pt>
                <c:pt idx="11">
                  <c:v>-0.39666699999999999</c:v>
                </c:pt>
                <c:pt idx="12">
                  <c:v>-0.51100000000000001</c:v>
                </c:pt>
                <c:pt idx="13">
                  <c:v>-0.284333</c:v>
                </c:pt>
                <c:pt idx="14">
                  <c:v>-0.48216700000000001</c:v>
                </c:pt>
                <c:pt idx="15">
                  <c:v>-0.27608300000000002</c:v>
                </c:pt>
                <c:pt idx="16">
                  <c:v>-0.23866699999999999</c:v>
                </c:pt>
                <c:pt idx="17">
                  <c:v>-0.30783300000000002</c:v>
                </c:pt>
                <c:pt idx="18">
                  <c:v>-0.22816700000000001</c:v>
                </c:pt>
                <c:pt idx="19">
                  <c:v>-0.25791700000000001</c:v>
                </c:pt>
                <c:pt idx="20">
                  <c:v>-0.27324999999999999</c:v>
                </c:pt>
                <c:pt idx="21">
                  <c:v>-0.33050000000000002</c:v>
                </c:pt>
                <c:pt idx="22">
                  <c:v>-0.22683300000000001</c:v>
                </c:pt>
                <c:pt idx="23">
                  <c:v>-0.30491699999999999</c:v>
                </c:pt>
                <c:pt idx="24">
                  <c:v>-0.374417</c:v>
                </c:pt>
                <c:pt idx="25">
                  <c:v>-0.41391699999999998</c:v>
                </c:pt>
                <c:pt idx="26">
                  <c:v>-0.38566699999999998</c:v>
                </c:pt>
                <c:pt idx="27">
                  <c:v>-7.5333300000000006E-2</c:v>
                </c:pt>
                <c:pt idx="28">
                  <c:v>3.3666700000000001E-2</c:v>
                </c:pt>
                <c:pt idx="29">
                  <c:v>-0.23175000000000001</c:v>
                </c:pt>
                <c:pt idx="30">
                  <c:v>-0.22666700000000001</c:v>
                </c:pt>
                <c:pt idx="31">
                  <c:v>-0.20449999999999999</c:v>
                </c:pt>
                <c:pt idx="32">
                  <c:v>-0.2135</c:v>
                </c:pt>
                <c:pt idx="33">
                  <c:v>-0.29033300000000001</c:v>
                </c:pt>
                <c:pt idx="34">
                  <c:v>-0.40208300000000002</c:v>
                </c:pt>
                <c:pt idx="35">
                  <c:v>-0.38266699999999998</c:v>
                </c:pt>
                <c:pt idx="36">
                  <c:v>-0.36416700000000002</c:v>
                </c:pt>
                <c:pt idx="37">
                  <c:v>-0.41716700000000001</c:v>
                </c:pt>
                <c:pt idx="38">
                  <c:v>-0.30883300000000002</c:v>
                </c:pt>
                <c:pt idx="39">
                  <c:v>-0.17658299999999999</c:v>
                </c:pt>
                <c:pt idx="40">
                  <c:v>-0.42325000000000002</c:v>
                </c:pt>
                <c:pt idx="41">
                  <c:v>-0.34100000000000003</c:v>
                </c:pt>
                <c:pt idx="42">
                  <c:v>-0.46016699999999999</c:v>
                </c:pt>
                <c:pt idx="43">
                  <c:v>-0.48066700000000001</c:v>
                </c:pt>
                <c:pt idx="44">
                  <c:v>-0.41233300000000001</c:v>
                </c:pt>
                <c:pt idx="45">
                  <c:v>-0.39541700000000002</c:v>
                </c:pt>
                <c:pt idx="46">
                  <c:v>-0.190333</c:v>
                </c:pt>
                <c:pt idx="47">
                  <c:v>-0.21008299999999999</c:v>
                </c:pt>
                <c:pt idx="48">
                  <c:v>-0.40949999999999998</c:v>
                </c:pt>
                <c:pt idx="49">
                  <c:v>-0.29116700000000001</c:v>
                </c:pt>
                <c:pt idx="50">
                  <c:v>-0.19991700000000001</c:v>
                </c:pt>
                <c:pt idx="51">
                  <c:v>-0.27058300000000002</c:v>
                </c:pt>
                <c:pt idx="52">
                  <c:v>-0.41191699999999998</c:v>
                </c:pt>
                <c:pt idx="53">
                  <c:v>-0.48199999999999998</c:v>
                </c:pt>
                <c:pt idx="54">
                  <c:v>-0.52641700000000002</c:v>
                </c:pt>
                <c:pt idx="55">
                  <c:v>-0.38416699999999998</c:v>
                </c:pt>
                <c:pt idx="56">
                  <c:v>-0.29658299999999999</c:v>
                </c:pt>
                <c:pt idx="57">
                  <c:v>-0.47791699999999998</c:v>
                </c:pt>
                <c:pt idx="58">
                  <c:v>-0.52458300000000002</c:v>
                </c:pt>
                <c:pt idx="59">
                  <c:v>-0.53491699999999998</c:v>
                </c:pt>
                <c:pt idx="60">
                  <c:v>-0.498</c:v>
                </c:pt>
                <c:pt idx="61">
                  <c:v>-0.558083</c:v>
                </c:pt>
                <c:pt idx="62">
                  <c:v>-0.45474999999999999</c:v>
                </c:pt>
                <c:pt idx="63">
                  <c:v>-0.43983299999999997</c:v>
                </c:pt>
                <c:pt idx="64">
                  <c:v>-0.26058300000000001</c:v>
                </c:pt>
                <c:pt idx="65">
                  <c:v>-0.16858300000000001</c:v>
                </c:pt>
                <c:pt idx="66">
                  <c:v>-0.39674999999999999</c:v>
                </c:pt>
                <c:pt idx="67">
                  <c:v>-0.48008299999999998</c:v>
                </c:pt>
                <c:pt idx="68">
                  <c:v>-0.35066700000000001</c:v>
                </c:pt>
                <c:pt idx="69">
                  <c:v>-0.28899999999999998</c:v>
                </c:pt>
                <c:pt idx="70">
                  <c:v>-0.253917</c:v>
                </c:pt>
                <c:pt idx="71">
                  <c:v>-0.19291700000000001</c:v>
                </c:pt>
                <c:pt idx="72">
                  <c:v>-0.31025000000000003</c:v>
                </c:pt>
                <c:pt idx="73">
                  <c:v>-0.27825</c:v>
                </c:pt>
                <c:pt idx="74">
                  <c:v>-0.30275000000000002</c:v>
                </c:pt>
                <c:pt idx="75">
                  <c:v>-0.218583</c:v>
                </c:pt>
                <c:pt idx="76">
                  <c:v>-0.112</c:v>
                </c:pt>
                <c:pt idx="77">
                  <c:v>-0.212917</c:v>
                </c:pt>
                <c:pt idx="78">
                  <c:v>-0.2155</c:v>
                </c:pt>
                <c:pt idx="79">
                  <c:v>-0.348167</c:v>
                </c:pt>
                <c:pt idx="80">
                  <c:v>-0.13666700000000001</c:v>
                </c:pt>
                <c:pt idx="81">
                  <c:v>-8.6583300000000002E-2</c:v>
                </c:pt>
                <c:pt idx="82">
                  <c:v>-0.13766700000000001</c:v>
                </c:pt>
                <c:pt idx="83">
                  <c:v>-0.276167</c:v>
                </c:pt>
                <c:pt idx="84">
                  <c:v>-0.13025</c:v>
                </c:pt>
                <c:pt idx="85">
                  <c:v>-0.17716699999999999</c:v>
                </c:pt>
                <c:pt idx="86">
                  <c:v>-0.14399999999999999</c:v>
                </c:pt>
                <c:pt idx="87">
                  <c:v>-2.5749999999999999E-2</c:v>
                </c:pt>
                <c:pt idx="88">
                  <c:v>-8.4166699999999994E-3</c:v>
                </c:pt>
                <c:pt idx="89">
                  <c:v>-5.45E-2</c:v>
                </c:pt>
                <c:pt idx="90">
                  <c:v>2.1749999999999999E-2</c:v>
                </c:pt>
                <c:pt idx="91">
                  <c:v>2.2749999999999999E-2</c:v>
                </c:pt>
                <c:pt idx="92">
                  <c:v>-2.09167E-2</c:v>
                </c:pt>
                <c:pt idx="93">
                  <c:v>-1.25E-3</c:v>
                </c:pt>
                <c:pt idx="94">
                  <c:v>0.15275</c:v>
                </c:pt>
                <c:pt idx="95">
                  <c:v>2.9916700000000001E-2</c:v>
                </c:pt>
                <c:pt idx="96">
                  <c:v>-6.7500000000000004E-2</c:v>
                </c:pt>
                <c:pt idx="97">
                  <c:v>-4.1000000000000002E-2</c:v>
                </c:pt>
                <c:pt idx="98">
                  <c:v>-3.7749999999999999E-2</c:v>
                </c:pt>
                <c:pt idx="99">
                  <c:v>-7.5333300000000006E-2</c:v>
                </c:pt>
                <c:pt idx="100">
                  <c:v>-0.17724999999999999</c:v>
                </c:pt>
                <c:pt idx="101">
                  <c:v>-5.0333299999999997E-2</c:v>
                </c:pt>
                <c:pt idx="102">
                  <c:v>3.1916699999999999E-2</c:v>
                </c:pt>
                <c:pt idx="103">
                  <c:v>9.95833E-2</c:v>
                </c:pt>
                <c:pt idx="104">
                  <c:v>-0.13250000000000001</c:v>
                </c:pt>
                <c:pt idx="105">
                  <c:v>-0.18875</c:v>
                </c:pt>
                <c:pt idx="106">
                  <c:v>-0.26324999999999998</c:v>
                </c:pt>
                <c:pt idx="107">
                  <c:v>-3.7499999999999999E-3</c:v>
                </c:pt>
                <c:pt idx="108">
                  <c:v>4.7833300000000002E-2</c:v>
                </c:pt>
                <c:pt idx="109">
                  <c:v>1.6333299999999999E-2</c:v>
                </c:pt>
                <c:pt idx="110">
                  <c:v>-5.1916700000000003E-2</c:v>
                </c:pt>
                <c:pt idx="111">
                  <c:v>4.0500000000000001E-2</c:v>
                </c:pt>
                <c:pt idx="112">
                  <c:v>1.9166699999999998E-2</c:v>
                </c:pt>
                <c:pt idx="113">
                  <c:v>5.0583299999999998E-2</c:v>
                </c:pt>
                <c:pt idx="114">
                  <c:v>-0.223833</c:v>
                </c:pt>
                <c:pt idx="115">
                  <c:v>-0.14133299999999999</c:v>
                </c:pt>
                <c:pt idx="116">
                  <c:v>-7.0499999999999993E-2</c:v>
                </c:pt>
                <c:pt idx="117">
                  <c:v>-7.5416700000000003E-2</c:v>
                </c:pt>
                <c:pt idx="118">
                  <c:v>-0.110833</c:v>
                </c:pt>
                <c:pt idx="119">
                  <c:v>2.8500000000000001E-2</c:v>
                </c:pt>
                <c:pt idx="120">
                  <c:v>-2.7833299999999998E-2</c:v>
                </c:pt>
                <c:pt idx="121">
                  <c:v>-0.184417</c:v>
                </c:pt>
                <c:pt idx="122">
                  <c:v>-6.5833299999999997E-2</c:v>
                </c:pt>
                <c:pt idx="123">
                  <c:v>6.2166699999999998E-2</c:v>
                </c:pt>
                <c:pt idx="124">
                  <c:v>-0.213417</c:v>
                </c:pt>
                <c:pt idx="125">
                  <c:v>-0.14833299999999999</c:v>
                </c:pt>
                <c:pt idx="126">
                  <c:v>-0.23866699999999999</c:v>
                </c:pt>
                <c:pt idx="127">
                  <c:v>4.675E-2</c:v>
                </c:pt>
                <c:pt idx="128">
                  <c:v>-6.1666699999999998E-2</c:v>
                </c:pt>
                <c:pt idx="129">
                  <c:v>5.7833299999999997E-2</c:v>
                </c:pt>
                <c:pt idx="130">
                  <c:v>9.2749999999999999E-2</c:v>
                </c:pt>
                <c:pt idx="131">
                  <c:v>0.14133299999999999</c:v>
                </c:pt>
                <c:pt idx="132">
                  <c:v>1.2833300000000001E-2</c:v>
                </c:pt>
                <c:pt idx="133">
                  <c:v>0.188333</c:v>
                </c:pt>
                <c:pt idx="134">
                  <c:v>-1.4749999999999999E-2</c:v>
                </c:pt>
                <c:pt idx="135">
                  <c:v>-2.8250000000000001E-2</c:v>
                </c:pt>
                <c:pt idx="136">
                  <c:v>4.6666699999999998E-2</c:v>
                </c:pt>
                <c:pt idx="137">
                  <c:v>0.184167</c:v>
                </c:pt>
                <c:pt idx="138">
                  <c:v>0.20033300000000001</c:v>
                </c:pt>
                <c:pt idx="139">
                  <c:v>0.12125</c:v>
                </c:pt>
                <c:pt idx="140">
                  <c:v>0.29266700000000001</c:v>
                </c:pt>
                <c:pt idx="141">
                  <c:v>0.252917</c:v>
                </c:pt>
                <c:pt idx="142">
                  <c:v>0.10224999999999999</c:v>
                </c:pt>
                <c:pt idx="143">
                  <c:v>0.14366699999999999</c:v>
                </c:pt>
                <c:pt idx="144">
                  <c:v>0.20216700000000001</c:v>
                </c:pt>
                <c:pt idx="145">
                  <c:v>0.32258300000000001</c:v>
                </c:pt>
                <c:pt idx="146">
                  <c:v>0.17658299999999999</c:v>
                </c:pt>
                <c:pt idx="147">
                  <c:v>0.39</c:v>
                </c:pt>
                <c:pt idx="148">
                  <c:v>0.52324999999999999</c:v>
                </c:pt>
                <c:pt idx="149">
                  <c:v>0.29925000000000002</c:v>
                </c:pt>
                <c:pt idx="150">
                  <c:v>0.29108299999999998</c:v>
                </c:pt>
                <c:pt idx="151">
                  <c:v>0.43425000000000002</c:v>
                </c:pt>
                <c:pt idx="152">
                  <c:v>0.48683300000000002</c:v>
                </c:pt>
                <c:pt idx="153">
                  <c:v>0.49816700000000003</c:v>
                </c:pt>
                <c:pt idx="154">
                  <c:v>0.4395</c:v>
                </c:pt>
                <c:pt idx="155">
                  <c:v>0.53574999999999995</c:v>
                </c:pt>
                <c:pt idx="156">
                  <c:v>0.49183300000000002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'HAD global'!$B$15</c:f>
              <c:strCache>
                <c:ptCount val="1"/>
                <c:pt idx="0">
                  <c:v>Composed = 0.7*SST + 0.3*Land</c:v>
                </c:pt>
              </c:strCache>
            </c:strRef>
          </c:tx>
          <c:marker>
            <c:symbol val="none"/>
          </c:marker>
          <c:xVal>
            <c:numRef>
              <c:f>'HAD global'!$A$16:$A$172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global'!$B$16:$B$172</c:f>
              <c:numCache>
                <c:formatCode>General</c:formatCode>
                <c:ptCount val="157"/>
                <c:pt idx="0">
                  <c:v>-0.38522842999999996</c:v>
                </c:pt>
                <c:pt idx="1">
                  <c:v>-0.13721264</c:v>
                </c:pt>
                <c:pt idx="2">
                  <c:v>-0.11689656999999996</c:v>
                </c:pt>
                <c:pt idx="3">
                  <c:v>-0.27505450000000004</c:v>
                </c:pt>
                <c:pt idx="4">
                  <c:v>-0.18108165699999998</c:v>
                </c:pt>
                <c:pt idx="5">
                  <c:v>-0.25592607000000001</c:v>
                </c:pt>
                <c:pt idx="6">
                  <c:v>-0.40340200000000004</c:v>
                </c:pt>
                <c:pt idx="7">
                  <c:v>-0.45918842999999998</c:v>
                </c:pt>
                <c:pt idx="8">
                  <c:v>-0.495755</c:v>
                </c:pt>
                <c:pt idx="9">
                  <c:v>-0.33524549999999997</c:v>
                </c:pt>
                <c:pt idx="10">
                  <c:v>-0.37417843000000006</c:v>
                </c:pt>
                <c:pt idx="11">
                  <c:v>-0.40189513999999998</c:v>
                </c:pt>
                <c:pt idx="12">
                  <c:v>-0.52338200000000001</c:v>
                </c:pt>
                <c:pt idx="13">
                  <c:v>-0.35554049999999998</c:v>
                </c:pt>
                <c:pt idx="14">
                  <c:v>-0.46665999999999996</c:v>
                </c:pt>
                <c:pt idx="15">
                  <c:v>-0.26833200000000001</c:v>
                </c:pt>
                <c:pt idx="16">
                  <c:v>-0.26386356999999999</c:v>
                </c:pt>
                <c:pt idx="17">
                  <c:v>-0.28213250000000001</c:v>
                </c:pt>
                <c:pt idx="18">
                  <c:v>-0.203872</c:v>
                </c:pt>
                <c:pt idx="19">
                  <c:v>-0.25797513999999999</c:v>
                </c:pt>
                <c:pt idx="20">
                  <c:v>-0.27595049999999999</c:v>
                </c:pt>
                <c:pt idx="21">
                  <c:v>-0.3338295</c:v>
                </c:pt>
                <c:pt idx="22">
                  <c:v>-0.25313050000000004</c:v>
                </c:pt>
                <c:pt idx="23">
                  <c:v>-0.30652357000000002</c:v>
                </c:pt>
                <c:pt idx="24">
                  <c:v>-0.39112550000000001</c:v>
                </c:pt>
                <c:pt idx="25">
                  <c:v>-0.41601657000000003</c:v>
                </c:pt>
                <c:pt idx="26">
                  <c:v>-0.38412200000000007</c:v>
                </c:pt>
                <c:pt idx="27">
                  <c:v>-9.2901787000000013E-2</c:v>
                </c:pt>
                <c:pt idx="28">
                  <c:v>1.8154990570000005E-2</c:v>
                </c:pt>
                <c:pt idx="29">
                  <c:v>-0.29009357000000002</c:v>
                </c:pt>
                <c:pt idx="30">
                  <c:v>-0.23688013999999999</c:v>
                </c:pt>
                <c:pt idx="31">
                  <c:v>-0.25118750000000001</c:v>
                </c:pt>
                <c:pt idx="32">
                  <c:v>-0.24751513999999999</c:v>
                </c:pt>
                <c:pt idx="33">
                  <c:v>-0.31003736000000004</c:v>
                </c:pt>
                <c:pt idx="34">
                  <c:v>-0.37738607000000002</c:v>
                </c:pt>
                <c:pt idx="35">
                  <c:v>-0.36064907000000002</c:v>
                </c:pt>
                <c:pt idx="36">
                  <c:v>-0.27245513999999998</c:v>
                </c:pt>
                <c:pt idx="37">
                  <c:v>-0.36939357</c:v>
                </c:pt>
                <c:pt idx="38">
                  <c:v>-0.32146200000000003</c:v>
                </c:pt>
                <c:pt idx="39">
                  <c:v>-0.180338</c:v>
                </c:pt>
                <c:pt idx="40">
                  <c:v>-0.41128842999999993</c:v>
                </c:pt>
                <c:pt idx="41">
                  <c:v>-0.35453093000000002</c:v>
                </c:pt>
                <c:pt idx="42">
                  <c:v>-0.47226750000000006</c:v>
                </c:pt>
                <c:pt idx="43">
                  <c:v>-0.47577700000000001</c:v>
                </c:pt>
                <c:pt idx="44">
                  <c:v>-0.43500656999999998</c:v>
                </c:pt>
                <c:pt idx="45">
                  <c:v>-0.38372264</c:v>
                </c:pt>
                <c:pt idx="46">
                  <c:v>-0.20042450000000001</c:v>
                </c:pt>
                <c:pt idx="47">
                  <c:v>-0.21206749999999996</c:v>
                </c:pt>
                <c:pt idx="48">
                  <c:v>-0.38565093</c:v>
                </c:pt>
                <c:pt idx="49">
                  <c:v>-0.29012486000000004</c:v>
                </c:pt>
                <c:pt idx="50">
                  <c:v>-0.19055893000000002</c:v>
                </c:pt>
                <c:pt idx="51">
                  <c:v>-0.27792093000000001</c:v>
                </c:pt>
                <c:pt idx="52">
                  <c:v>-0.40207799999999999</c:v>
                </c:pt>
                <c:pt idx="53">
                  <c:v>-0.47310106999999996</c:v>
                </c:pt>
                <c:pt idx="54">
                  <c:v>-0.52805643000000002</c:v>
                </c:pt>
                <c:pt idx="55">
                  <c:v>-0.39586893000000001</c:v>
                </c:pt>
                <c:pt idx="56">
                  <c:v>-0.30364906999999997</c:v>
                </c:pt>
                <c:pt idx="57">
                  <c:v>-0.48136514000000008</c:v>
                </c:pt>
                <c:pt idx="58">
                  <c:v>-0.52274799999999999</c:v>
                </c:pt>
                <c:pt idx="59">
                  <c:v>-0.52444906999999996</c:v>
                </c:pt>
                <c:pt idx="60">
                  <c:v>-0.50773999999999997</c:v>
                </c:pt>
                <c:pt idx="61">
                  <c:v>-0.51935200000000004</c:v>
                </c:pt>
                <c:pt idx="62">
                  <c:v>-0.44740485999999996</c:v>
                </c:pt>
                <c:pt idx="63">
                  <c:v>-0.44099949999999999</c:v>
                </c:pt>
                <c:pt idx="64">
                  <c:v>-0.25381058699999998</c:v>
                </c:pt>
                <c:pt idx="65">
                  <c:v>-0.19043985999999999</c:v>
                </c:pt>
                <c:pt idx="66">
                  <c:v>-0.394928</c:v>
                </c:pt>
                <c:pt idx="67">
                  <c:v>-0.48635893000000002</c:v>
                </c:pt>
                <c:pt idx="68">
                  <c:v>-0.36434700000000003</c:v>
                </c:pt>
                <c:pt idx="69">
                  <c:v>-0.31952592999999996</c:v>
                </c:pt>
                <c:pt idx="70">
                  <c:v>-0.28031699999999998</c:v>
                </c:pt>
                <c:pt idx="71">
                  <c:v>-0.22764856999999999</c:v>
                </c:pt>
                <c:pt idx="72">
                  <c:v>-0.34260406999999998</c:v>
                </c:pt>
                <c:pt idx="73">
                  <c:v>-0.31359799999999999</c:v>
                </c:pt>
                <c:pt idx="74">
                  <c:v>-0.32099949999999999</c:v>
                </c:pt>
                <c:pt idx="75">
                  <c:v>-0.25699249999999996</c:v>
                </c:pt>
                <c:pt idx="76">
                  <c:v>-0.12360107000000001</c:v>
                </c:pt>
                <c:pt idx="77">
                  <c:v>-0.21105907000000002</c:v>
                </c:pt>
                <c:pt idx="78">
                  <c:v>-0.20812014000000001</c:v>
                </c:pt>
                <c:pt idx="79">
                  <c:v>-0.33465643</c:v>
                </c:pt>
                <c:pt idx="80">
                  <c:v>-0.12292499999999999</c:v>
                </c:pt>
                <c:pt idx="81">
                  <c:v>-9.571143E-2</c:v>
                </c:pt>
                <c:pt idx="82">
                  <c:v>-0.12441058699999999</c:v>
                </c:pt>
                <c:pt idx="83">
                  <c:v>-0.25739985999999998</c:v>
                </c:pt>
                <c:pt idx="84">
                  <c:v>-0.12005499999999997</c:v>
                </c:pt>
                <c:pt idx="85">
                  <c:v>-0.14836450000000001</c:v>
                </c:pt>
                <c:pt idx="86">
                  <c:v>-0.11105441299999999</c:v>
                </c:pt>
                <c:pt idx="87">
                  <c:v>7.5808000000000021E-3</c:v>
                </c:pt>
                <c:pt idx="88">
                  <c:v>3.9788213000000017E-2</c:v>
                </c:pt>
                <c:pt idx="89">
                  <c:v>2.9075000000000007E-2</c:v>
                </c:pt>
                <c:pt idx="90">
                  <c:v>3.4541657000000003E-2</c:v>
                </c:pt>
                <c:pt idx="91">
                  <c:v>0.11278941300000001</c:v>
                </c:pt>
                <c:pt idx="92">
                  <c:v>7.7474860000000031E-3</c:v>
                </c:pt>
                <c:pt idx="93">
                  <c:v>1.6267500000000004E-2</c:v>
                </c:pt>
                <c:pt idx="94">
                  <c:v>0.12967414299999999</c:v>
                </c:pt>
                <c:pt idx="95">
                  <c:v>3.5729142999999998E-2</c:v>
                </c:pt>
                <c:pt idx="96">
                  <c:v>-0.17782834299999997</c:v>
                </c:pt>
                <c:pt idx="97">
                  <c:v>-0.18311273569999997</c:v>
                </c:pt>
                <c:pt idx="98">
                  <c:v>-0.18173856999999999</c:v>
                </c:pt>
                <c:pt idx="99">
                  <c:v>-0.17490264</c:v>
                </c:pt>
                <c:pt idx="100">
                  <c:v>-0.25221450000000001</c:v>
                </c:pt>
                <c:pt idx="101">
                  <c:v>-0.1251275</c:v>
                </c:pt>
                <c:pt idx="102">
                  <c:v>-4.3929156999999996E-2</c:v>
                </c:pt>
                <c:pt idx="103">
                  <c:v>7.2400730000000066E-3</c:v>
                </c:pt>
                <c:pt idx="104">
                  <c:v>-0.19986407</c:v>
                </c:pt>
                <c:pt idx="105">
                  <c:v>-0.24282392999999999</c:v>
                </c:pt>
                <c:pt idx="106">
                  <c:v>-0.28567764000000001</c:v>
                </c:pt>
                <c:pt idx="107">
                  <c:v>-3.0612513999999993E-2</c:v>
                </c:pt>
                <c:pt idx="108">
                  <c:v>2.2999986000000007E-2</c:v>
                </c:pt>
                <c:pt idx="109">
                  <c:v>-1.8392486E-2</c:v>
                </c:pt>
                <c:pt idx="110">
                  <c:v>-6.833249999999999E-2</c:v>
                </c:pt>
                <c:pt idx="111">
                  <c:v>1.5432514000000008E-2</c:v>
                </c:pt>
                <c:pt idx="112">
                  <c:v>1.8208570000000091E-3</c:v>
                </c:pt>
                <c:pt idx="113">
                  <c:v>1.3021643000000006E-2</c:v>
                </c:pt>
                <c:pt idx="114">
                  <c:v>-0.24130550000000001</c:v>
                </c:pt>
                <c:pt idx="115">
                  <c:v>-0.19226700000000002</c:v>
                </c:pt>
                <c:pt idx="116">
                  <c:v>-0.10185485999999999</c:v>
                </c:pt>
                <c:pt idx="117">
                  <c:v>-0.108833087</c:v>
                </c:pt>
                <c:pt idx="118">
                  <c:v>-0.12169236</c:v>
                </c:pt>
                <c:pt idx="119">
                  <c:v>2.6620929999999991E-2</c:v>
                </c:pt>
                <c:pt idx="120">
                  <c:v>-3.9295013999999989E-2</c:v>
                </c:pt>
                <c:pt idx="121">
                  <c:v>-0.17147235999999999</c:v>
                </c:pt>
                <c:pt idx="122">
                  <c:v>-3.1816642999999999E-2</c:v>
                </c:pt>
                <c:pt idx="123">
                  <c:v>8.8510856999999998E-2</c:v>
                </c:pt>
                <c:pt idx="124">
                  <c:v>-0.16861800000000002</c:v>
                </c:pt>
                <c:pt idx="125">
                  <c:v>-0.13412227299999999</c:v>
                </c:pt>
                <c:pt idx="126">
                  <c:v>-0.21433486000000002</c:v>
                </c:pt>
                <c:pt idx="127">
                  <c:v>3.6750014000000011E-2</c:v>
                </c:pt>
                <c:pt idx="128">
                  <c:v>-2.9192513999999996E-2</c:v>
                </c:pt>
                <c:pt idx="129">
                  <c:v>7.566584300000001E-2</c:v>
                </c:pt>
                <c:pt idx="130">
                  <c:v>9.8997500000000002E-2</c:v>
                </c:pt>
                <c:pt idx="131">
                  <c:v>0.13789250000000003</c:v>
                </c:pt>
                <c:pt idx="132">
                  <c:v>4.5111665699999998E-2</c:v>
                </c:pt>
                <c:pt idx="133">
                  <c:v>0.20331950000000001</c:v>
                </c:pt>
                <c:pt idx="134">
                  <c:v>1.1826657000000001E-2</c:v>
                </c:pt>
                <c:pt idx="135">
                  <c:v>-1.0376656999999994E-2</c:v>
                </c:pt>
                <c:pt idx="136">
                  <c:v>4.95675E-2</c:v>
                </c:pt>
                <c:pt idx="137">
                  <c:v>0.19786857000000002</c:v>
                </c:pt>
                <c:pt idx="138">
                  <c:v>0.20985486000000003</c:v>
                </c:pt>
                <c:pt idx="139">
                  <c:v>0.14473914300000001</c:v>
                </c:pt>
                <c:pt idx="140">
                  <c:v>0.29735357000000001</c:v>
                </c:pt>
                <c:pt idx="141">
                  <c:v>0.25198156999999999</c:v>
                </c:pt>
                <c:pt idx="142">
                  <c:v>9.8962572999999998E-2</c:v>
                </c:pt>
                <c:pt idx="143">
                  <c:v>0.135645073</c:v>
                </c:pt>
                <c:pt idx="144">
                  <c:v>0.21592764</c:v>
                </c:pt>
                <c:pt idx="145">
                  <c:v>0.32629606999999999</c:v>
                </c:pt>
                <c:pt idx="146">
                  <c:v>0.17610750000000003</c:v>
                </c:pt>
                <c:pt idx="147">
                  <c:v>0.39458549999999998</c:v>
                </c:pt>
                <c:pt idx="148">
                  <c:v>0.57887407000000002</c:v>
                </c:pt>
                <c:pt idx="149">
                  <c:v>0.33842000000000005</c:v>
                </c:pt>
                <c:pt idx="150">
                  <c:v>0.32513486000000003</c:v>
                </c:pt>
                <c:pt idx="151">
                  <c:v>0.45872800000000002</c:v>
                </c:pt>
                <c:pt idx="152">
                  <c:v>0.51709550000000004</c:v>
                </c:pt>
                <c:pt idx="153">
                  <c:v>0.53371550000000001</c:v>
                </c:pt>
                <c:pt idx="154">
                  <c:v>0.49495592999999999</c:v>
                </c:pt>
                <c:pt idx="155">
                  <c:v>0.55008299999999999</c:v>
                </c:pt>
                <c:pt idx="156">
                  <c:v>0.50361450000000008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'HAD global'!$D$14:$D$15</c:f>
              <c:strCache>
                <c:ptCount val="1"/>
                <c:pt idx="0">
                  <c:v>Composed = 0.7*1/2*Land + 0.3*Land          1/2 heat into ocean</c:v>
                </c:pt>
              </c:strCache>
            </c:strRef>
          </c:tx>
          <c:spPr>
            <a:ln w="25400">
              <a:prstDash val="sysDot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rgbClr val="EBF6F9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'HAD global'!$A$16:$A$172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global'!$F$16:$F$172</c:f>
              <c:numCache>
                <c:formatCode>General</c:formatCode>
                <c:ptCount val="157"/>
                <c:pt idx="0">
                  <c:v>-0.3671394825</c:v>
                </c:pt>
                <c:pt idx="1">
                  <c:v>-0.10897823250000002</c:v>
                </c:pt>
                <c:pt idx="2">
                  <c:v>-8.8794892499999986E-2</c:v>
                </c:pt>
                <c:pt idx="3">
                  <c:v>-0.26082219750000002</c:v>
                </c:pt>
                <c:pt idx="4">
                  <c:v>-0.15305311425000001</c:v>
                </c:pt>
                <c:pt idx="5">
                  <c:v>-0.24222459000000002</c:v>
                </c:pt>
                <c:pt idx="6">
                  <c:v>-0.39224094750000005</c:v>
                </c:pt>
                <c:pt idx="7">
                  <c:v>-0.43760573250000001</c:v>
                </c:pt>
                <c:pt idx="8">
                  <c:v>-0.47480062499999998</c:v>
                </c:pt>
                <c:pt idx="9">
                  <c:v>-0.31371155249999999</c:v>
                </c:pt>
                <c:pt idx="10">
                  <c:v>-0.37028385750000004</c:v>
                </c:pt>
                <c:pt idx="11">
                  <c:v>-0.38640885750000004</c:v>
                </c:pt>
                <c:pt idx="12">
                  <c:v>-0.51092094750000006</c:v>
                </c:pt>
                <c:pt idx="13">
                  <c:v>-0.3306428025</c:v>
                </c:pt>
                <c:pt idx="14">
                  <c:v>-0.46004624999999999</c:v>
                </c:pt>
                <c:pt idx="15">
                  <c:v>-0.26122532250000002</c:v>
                </c:pt>
                <c:pt idx="16">
                  <c:v>-0.25488271499999998</c:v>
                </c:pt>
                <c:pt idx="17">
                  <c:v>-0.28089750000000002</c:v>
                </c:pt>
                <c:pt idx="18">
                  <c:v>-0.19890219749999999</c:v>
                </c:pt>
                <c:pt idx="19">
                  <c:v>-0.2462019825</c:v>
                </c:pt>
                <c:pt idx="20">
                  <c:v>-0.27267342750000001</c:v>
                </c:pt>
                <c:pt idx="21">
                  <c:v>-0.33225594750000004</c:v>
                </c:pt>
                <c:pt idx="22">
                  <c:v>-0.24082655250000001</c:v>
                </c:pt>
                <c:pt idx="23">
                  <c:v>-0.29317959000000005</c:v>
                </c:pt>
                <c:pt idx="24">
                  <c:v>-0.37498655250000001</c:v>
                </c:pt>
                <c:pt idx="25">
                  <c:v>-0.42024426750000005</c:v>
                </c:pt>
                <c:pt idx="26">
                  <c:v>-0.37014969750000004</c:v>
                </c:pt>
                <c:pt idx="27">
                  <c:v>-9.4976379E-2</c:v>
                </c:pt>
                <c:pt idx="28">
                  <c:v>2.0129364465000001E-2</c:v>
                </c:pt>
                <c:pt idx="29">
                  <c:v>-0.28705208999999998</c:v>
                </c:pt>
                <c:pt idx="30">
                  <c:v>-0.2276582325</c:v>
                </c:pt>
                <c:pt idx="31">
                  <c:v>-0.24800250000000001</c:v>
                </c:pt>
                <c:pt idx="32">
                  <c:v>-0.23612385750000001</c:v>
                </c:pt>
                <c:pt idx="33">
                  <c:v>-0.30696614250000004</c:v>
                </c:pt>
                <c:pt idx="34">
                  <c:v>-0.37332083999999999</c:v>
                </c:pt>
                <c:pt idx="35">
                  <c:v>-0.35784051750000001</c:v>
                </c:pt>
                <c:pt idx="36">
                  <c:v>-0.27119573250000001</c:v>
                </c:pt>
                <c:pt idx="37">
                  <c:v>-0.36042084000000002</c:v>
                </c:pt>
                <c:pt idx="38">
                  <c:v>-0.32088782250000003</c:v>
                </c:pt>
                <c:pt idx="39">
                  <c:v>-0.17697155250000002</c:v>
                </c:pt>
                <c:pt idx="40">
                  <c:v>-0.39293948249999999</c:v>
                </c:pt>
                <c:pt idx="41">
                  <c:v>-0.34948260750000004</c:v>
                </c:pt>
                <c:pt idx="42">
                  <c:v>-0.46093312500000005</c:v>
                </c:pt>
                <c:pt idx="43">
                  <c:v>-0.4680284475</c:v>
                </c:pt>
                <c:pt idx="44">
                  <c:v>-0.41685801750000001</c:v>
                </c:pt>
                <c:pt idx="45">
                  <c:v>-0.37657260749999999</c:v>
                </c:pt>
                <c:pt idx="46">
                  <c:v>-0.2002728225</c:v>
                </c:pt>
                <c:pt idx="47">
                  <c:v>-0.20583562499999999</c:v>
                </c:pt>
                <c:pt idx="48">
                  <c:v>-0.36713948250000006</c:v>
                </c:pt>
                <c:pt idx="49">
                  <c:v>-0.27737676750000001</c:v>
                </c:pt>
                <c:pt idx="50">
                  <c:v>-0.17912166000000002</c:v>
                </c:pt>
                <c:pt idx="51">
                  <c:v>-0.25821510750000004</c:v>
                </c:pt>
                <c:pt idx="52">
                  <c:v>-0.3844196775</c:v>
                </c:pt>
                <c:pt idx="53">
                  <c:v>-0.44846333999999999</c:v>
                </c:pt>
                <c:pt idx="54">
                  <c:v>-0.50597541000000001</c:v>
                </c:pt>
                <c:pt idx="55">
                  <c:v>-0.37939416000000004</c:v>
                </c:pt>
                <c:pt idx="56">
                  <c:v>-0.28382676750000002</c:v>
                </c:pt>
                <c:pt idx="57">
                  <c:v>-0.4682432325</c:v>
                </c:pt>
                <c:pt idx="58">
                  <c:v>-0.49793967750000001</c:v>
                </c:pt>
                <c:pt idx="59">
                  <c:v>-0.49828926750000008</c:v>
                </c:pt>
                <c:pt idx="60">
                  <c:v>-0.47576812499999999</c:v>
                </c:pt>
                <c:pt idx="61">
                  <c:v>-0.49205469750000003</c:v>
                </c:pt>
                <c:pt idx="62">
                  <c:v>-0.42879051750000002</c:v>
                </c:pt>
                <c:pt idx="63">
                  <c:v>-0.4148965725</c:v>
                </c:pt>
                <c:pt idx="64">
                  <c:v>-0.23066789925</c:v>
                </c:pt>
                <c:pt idx="65">
                  <c:v>-0.17562801749999998</c:v>
                </c:pt>
                <c:pt idx="66">
                  <c:v>-0.37498655250000001</c:v>
                </c:pt>
                <c:pt idx="67">
                  <c:v>-0.47662791000000004</c:v>
                </c:pt>
                <c:pt idx="68">
                  <c:v>-0.35217032250000002</c:v>
                </c:pt>
                <c:pt idx="69">
                  <c:v>-0.30368760750000001</c:v>
                </c:pt>
                <c:pt idx="70">
                  <c:v>-0.26533719750000001</c:v>
                </c:pt>
                <c:pt idx="71">
                  <c:v>-0.20691084000000001</c:v>
                </c:pt>
                <c:pt idx="72">
                  <c:v>-0.32107551750000002</c:v>
                </c:pt>
                <c:pt idx="73">
                  <c:v>-0.29411967750000001</c:v>
                </c:pt>
                <c:pt idx="74">
                  <c:v>-0.30613344750000004</c:v>
                </c:pt>
                <c:pt idx="75">
                  <c:v>-0.24018187499999999</c:v>
                </c:pt>
                <c:pt idx="76">
                  <c:v>-0.11032209</c:v>
                </c:pt>
                <c:pt idx="77">
                  <c:v>-0.19965426750000001</c:v>
                </c:pt>
                <c:pt idx="78">
                  <c:v>-0.1927476075</c:v>
                </c:pt>
                <c:pt idx="79">
                  <c:v>-0.32473041000000002</c:v>
                </c:pt>
                <c:pt idx="80">
                  <c:v>-0.11190750000000001</c:v>
                </c:pt>
                <c:pt idx="81">
                  <c:v>-8.6402910000000013E-2</c:v>
                </c:pt>
                <c:pt idx="82">
                  <c:v>-0.11134289925</c:v>
                </c:pt>
                <c:pt idx="83">
                  <c:v>-0.24665864249999997</c:v>
                </c:pt>
                <c:pt idx="84">
                  <c:v>-0.10376437499999999</c:v>
                </c:pt>
                <c:pt idx="85">
                  <c:v>-0.13778844749999999</c:v>
                </c:pt>
                <c:pt idx="86">
                  <c:v>-0.10110397575000001</c:v>
                </c:pt>
                <c:pt idx="87">
                  <c:v>1.080371775E-2</c:v>
                </c:pt>
                <c:pt idx="88">
                  <c:v>5.1680495999999999E-2</c:v>
                </c:pt>
                <c:pt idx="89">
                  <c:v>3.3056250000000002E-2</c:v>
                </c:pt>
                <c:pt idx="90">
                  <c:v>3.5340614249999999E-2</c:v>
                </c:pt>
                <c:pt idx="91">
                  <c:v>0.10578022575000001</c:v>
                </c:pt>
                <c:pt idx="92">
                  <c:v>1.026623925E-2</c:v>
                </c:pt>
                <c:pt idx="93">
                  <c:v>2.1849374999999997E-2</c:v>
                </c:pt>
                <c:pt idx="94">
                  <c:v>0.13042435350000001</c:v>
                </c:pt>
                <c:pt idx="95">
                  <c:v>3.13362285E-2</c:v>
                </c:pt>
                <c:pt idx="96">
                  <c:v>-0.15977188575000001</c:v>
                </c:pt>
                <c:pt idx="97">
                  <c:v>-0.16114271392499999</c:v>
                </c:pt>
                <c:pt idx="98">
                  <c:v>-0.15918083999999999</c:v>
                </c:pt>
                <c:pt idx="99">
                  <c:v>-0.15953010750000002</c:v>
                </c:pt>
                <c:pt idx="100">
                  <c:v>-0.24098844749999998</c:v>
                </c:pt>
                <c:pt idx="101">
                  <c:v>-0.113923125</c:v>
                </c:pt>
                <c:pt idx="102">
                  <c:v>-3.808186425E-2</c:v>
                </c:pt>
                <c:pt idx="103">
                  <c:v>1.9135086000000003E-2</c:v>
                </c:pt>
                <c:pt idx="104">
                  <c:v>-0.1848192675</c:v>
                </c:pt>
                <c:pt idx="105">
                  <c:v>-0.225642285</c:v>
                </c:pt>
                <c:pt idx="106">
                  <c:v>-0.27812948250000002</c:v>
                </c:pt>
                <c:pt idx="107">
                  <c:v>-2.6176260749999999E-2</c:v>
                </c:pt>
                <c:pt idx="108">
                  <c:v>2.8890614249999998E-2</c:v>
                </c:pt>
                <c:pt idx="109">
                  <c:v>-1.0104989250000002E-2</c:v>
                </c:pt>
                <c:pt idx="110">
                  <c:v>-6.0630000000000003E-2</c:v>
                </c:pt>
                <c:pt idx="111">
                  <c:v>2.2306260749999998E-2</c:v>
                </c:pt>
                <c:pt idx="112">
                  <c:v>8.9762714999999937E-3</c:v>
                </c:pt>
                <c:pt idx="113">
                  <c:v>1.8516853500000003E-2</c:v>
                </c:pt>
                <c:pt idx="114">
                  <c:v>-0.23074842750000002</c:v>
                </c:pt>
                <c:pt idx="115">
                  <c:v>-0.18245469750000001</c:v>
                </c:pt>
                <c:pt idx="116">
                  <c:v>-9.5728642499999989E-2</c:v>
                </c:pt>
                <c:pt idx="117">
                  <c:v>-9.9007274249999999E-2</c:v>
                </c:pt>
                <c:pt idx="118">
                  <c:v>-0.11717489249999999</c:v>
                </c:pt>
                <c:pt idx="119">
                  <c:v>2.1580732499999998E-2</c:v>
                </c:pt>
                <c:pt idx="120">
                  <c:v>-3.3916260749999996E-2</c:v>
                </c:pt>
                <c:pt idx="121">
                  <c:v>-0.1614380175</c:v>
                </c:pt>
                <c:pt idx="122">
                  <c:v>-3.7141228499999991E-2</c:v>
                </c:pt>
                <c:pt idx="123">
                  <c:v>9.3310021500000007E-2</c:v>
                </c:pt>
                <c:pt idx="124">
                  <c:v>-0.16382967749999999</c:v>
                </c:pt>
                <c:pt idx="125">
                  <c:v>-0.11943229575</c:v>
                </c:pt>
                <c:pt idx="126">
                  <c:v>-0.20924864250000003</c:v>
                </c:pt>
                <c:pt idx="127">
                  <c:v>4.3591260749999999E-2</c:v>
                </c:pt>
                <c:pt idx="128">
                  <c:v>-2.3838135749999999E-2</c:v>
                </c:pt>
                <c:pt idx="129">
                  <c:v>7.680876075000001E-2</c:v>
                </c:pt>
                <c:pt idx="130">
                  <c:v>0.103441875</c:v>
                </c:pt>
                <c:pt idx="131">
                  <c:v>0.14947875000000002</c:v>
                </c:pt>
                <c:pt idx="132">
                  <c:v>4.6950623925000004E-2</c:v>
                </c:pt>
                <c:pt idx="133">
                  <c:v>0.20938344750000001</c:v>
                </c:pt>
                <c:pt idx="134">
                  <c:v>1.4055614250000001E-2</c:v>
                </c:pt>
                <c:pt idx="135">
                  <c:v>-5.1062392499999984E-3</c:v>
                </c:pt>
                <c:pt idx="136">
                  <c:v>5.8050000000000004E-2</c:v>
                </c:pt>
                <c:pt idx="137">
                  <c:v>0.19981584000000002</c:v>
                </c:pt>
                <c:pt idx="138">
                  <c:v>0.21803676750000001</c:v>
                </c:pt>
                <c:pt idx="139">
                  <c:v>0.15227372849999998</c:v>
                </c:pt>
                <c:pt idx="140">
                  <c:v>0.30430583999999999</c:v>
                </c:pt>
                <c:pt idx="141">
                  <c:v>0.25770426749999997</c:v>
                </c:pt>
                <c:pt idx="142">
                  <c:v>0.10201758599999999</c:v>
                </c:pt>
                <c:pt idx="143">
                  <c:v>0.139991961</c:v>
                </c:pt>
                <c:pt idx="144">
                  <c:v>0.2221757325</c:v>
                </c:pt>
                <c:pt idx="145">
                  <c:v>0.336636465</c:v>
                </c:pt>
                <c:pt idx="146">
                  <c:v>0.17947125000000003</c:v>
                </c:pt>
                <c:pt idx="147">
                  <c:v>0.39506217749999994</c:v>
                </c:pt>
                <c:pt idx="148">
                  <c:v>0.57851114250000002</c:v>
                </c:pt>
                <c:pt idx="149">
                  <c:v>0.34620375000000003</c:v>
                </c:pt>
                <c:pt idx="150">
                  <c:v>0.3298636425</c:v>
                </c:pt>
                <c:pt idx="151">
                  <c:v>0.46165842750000002</c:v>
                </c:pt>
                <c:pt idx="152">
                  <c:v>0.52067592750000002</c:v>
                </c:pt>
                <c:pt idx="153">
                  <c:v>0.5347853025</c:v>
                </c:pt>
                <c:pt idx="154">
                  <c:v>0.4950913575</c:v>
                </c:pt>
                <c:pt idx="155">
                  <c:v>0.55631217749999995</c:v>
                </c:pt>
                <c:pt idx="156">
                  <c:v>0.5108403225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3952"/>
        <c:axId val="45184896"/>
      </c:scatterChart>
      <c:valAx>
        <c:axId val="44653952"/>
        <c:scaling>
          <c:orientation val="minMax"/>
          <c:max val="2010"/>
          <c:min val="1850"/>
        </c:scaling>
        <c:delete val="0"/>
        <c:axPos val="b"/>
        <c:majorGridlines>
          <c:spPr>
            <a:ln>
              <a:solidFill>
                <a:sysClr val="window" lastClr="FFFFFF">
                  <a:lumMod val="85000"/>
                </a:sys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5152646371709901"/>
              <c:y val="0.9414763865624533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5184896"/>
        <c:crossesAt val="-1"/>
        <c:crossBetween val="midCat"/>
      </c:valAx>
      <c:valAx>
        <c:axId val="4518489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Anomaly (C)</a:t>
                </a:r>
              </a:p>
            </c:rich>
          </c:tx>
          <c:layout>
            <c:manualLayout>
              <c:xMode val="edge"/>
              <c:yMode val="edge"/>
              <c:x val="7.467581222782382E-3"/>
              <c:y val="0.2434374312836563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6539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627675615490004"/>
          <c:y val="0.10037550119069341"/>
          <c:w val="0.42138987791513965"/>
          <c:h val="0.2456056629284975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rgbClr val="EBF6F9"/>
    </a:solidFill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939380099460089E-2"/>
          <c:y val="1.6180924372519945E-2"/>
          <c:w val="0.87722598720103806"/>
          <c:h val="0.94112299815813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'HAD global'!$H$15</c:f>
              <c:strCache>
                <c:ptCount val="1"/>
                <c:pt idx="0">
                  <c:v>Land/Ocean Compose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bg1"/>
              </a:solidFill>
            </c:spPr>
          </c:marker>
          <c:trendline>
            <c:spPr>
              <a:ln>
                <a:solidFill>
                  <a:srgbClr val="0070C0"/>
                </a:solidFill>
              </a:ln>
            </c:spPr>
            <c:trendlineType val="movingAvg"/>
            <c:period val="1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'HAD global'!$G$16:$G$172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global'!$H$16:$H$172</c:f>
              <c:numCache>
                <c:formatCode>General</c:formatCode>
                <c:ptCount val="157"/>
                <c:pt idx="0">
                  <c:v>-5.2284299999999506E-3</c:v>
                </c:pt>
                <c:pt idx="1">
                  <c:v>8.937036000000001E-2</c:v>
                </c:pt>
                <c:pt idx="2">
                  <c:v>0.11493643000000005</c:v>
                </c:pt>
                <c:pt idx="3">
                  <c:v>-2.2150000000004111E-4</c:v>
                </c:pt>
                <c:pt idx="4">
                  <c:v>7.1585342999999996E-2</c:v>
                </c:pt>
                <c:pt idx="5">
                  <c:v>1.6823929999999987E-2</c:v>
                </c:pt>
                <c:pt idx="6">
                  <c:v>-4.0569000000000022E-2</c:v>
                </c:pt>
                <c:pt idx="7">
                  <c:v>4.8115700000000428E-3</c:v>
                </c:pt>
                <c:pt idx="8">
                  <c:v>-2.7338000000000029E-2</c:v>
                </c:pt>
                <c:pt idx="9">
                  <c:v>-4.132849999999999E-2</c:v>
                </c:pt>
                <c:pt idx="10">
                  <c:v>-2.6011430000000058E-2</c:v>
                </c:pt>
                <c:pt idx="11">
                  <c:v>-5.2281399999999922E-3</c:v>
                </c:pt>
                <c:pt idx="12">
                  <c:v>-1.2382000000000004E-2</c:v>
                </c:pt>
                <c:pt idx="13">
                  <c:v>-7.1207499999999979E-2</c:v>
                </c:pt>
                <c:pt idx="14">
                  <c:v>1.5507000000000049E-2</c:v>
                </c:pt>
                <c:pt idx="15">
                  <c:v>7.7510000000000079E-3</c:v>
                </c:pt>
                <c:pt idx="16">
                  <c:v>-2.5196570000000001E-2</c:v>
                </c:pt>
                <c:pt idx="17">
                  <c:v>2.5700500000000015E-2</c:v>
                </c:pt>
                <c:pt idx="18">
                  <c:v>2.4295000000000011E-2</c:v>
                </c:pt>
                <c:pt idx="19">
                  <c:v>-5.8139999999984315E-5</c:v>
                </c:pt>
                <c:pt idx="20">
                  <c:v>-2.7004999999999946E-3</c:v>
                </c:pt>
                <c:pt idx="21">
                  <c:v>-3.3294999999999852E-3</c:v>
                </c:pt>
                <c:pt idx="22">
                  <c:v>-2.6297500000000029E-2</c:v>
                </c:pt>
                <c:pt idx="23">
                  <c:v>-1.6065700000000294E-3</c:v>
                </c:pt>
                <c:pt idx="24">
                  <c:v>-1.6708500000000015E-2</c:v>
                </c:pt>
                <c:pt idx="25">
                  <c:v>-2.0995700000000506E-3</c:v>
                </c:pt>
                <c:pt idx="26">
                  <c:v>1.5449999999999076E-3</c:v>
                </c:pt>
                <c:pt idx="27">
                  <c:v>-1.7568487000000008E-2</c:v>
                </c:pt>
                <c:pt idx="28">
                  <c:v>-1.5511709429999996E-2</c:v>
                </c:pt>
                <c:pt idx="29">
                  <c:v>-5.8343570000000011E-2</c:v>
                </c:pt>
                <c:pt idx="30">
                  <c:v>-1.0213139999999982E-2</c:v>
                </c:pt>
                <c:pt idx="31">
                  <c:v>-4.6687500000000021E-2</c:v>
                </c:pt>
                <c:pt idx="32">
                  <c:v>-3.4015139999999999E-2</c:v>
                </c:pt>
                <c:pt idx="33">
                  <c:v>-1.9704360000000032E-2</c:v>
                </c:pt>
                <c:pt idx="34">
                  <c:v>2.4696930000000006E-2</c:v>
                </c:pt>
                <c:pt idx="35">
                  <c:v>2.2017929999999963E-2</c:v>
                </c:pt>
                <c:pt idx="36">
                  <c:v>9.1711860000000034E-2</c:v>
                </c:pt>
                <c:pt idx="37">
                  <c:v>4.7773430000000006E-2</c:v>
                </c:pt>
                <c:pt idx="38">
                  <c:v>-1.2629000000000001E-2</c:v>
                </c:pt>
                <c:pt idx="39">
                  <c:v>-3.7550000000000083E-3</c:v>
                </c:pt>
                <c:pt idx="40">
                  <c:v>1.1961570000000088E-2</c:v>
                </c:pt>
                <c:pt idx="41">
                  <c:v>-1.3530929999999997E-2</c:v>
                </c:pt>
                <c:pt idx="42">
                  <c:v>-1.210050000000007E-2</c:v>
                </c:pt>
                <c:pt idx="43">
                  <c:v>4.8900000000000055E-3</c:v>
                </c:pt>
                <c:pt idx="44">
                  <c:v>-2.2673569999999976E-2</c:v>
                </c:pt>
                <c:pt idx="45">
                  <c:v>1.1694360000000015E-2</c:v>
                </c:pt>
                <c:pt idx="46">
                  <c:v>-1.0091500000000003E-2</c:v>
                </c:pt>
                <c:pt idx="47">
                  <c:v>-1.9844999999999724E-3</c:v>
                </c:pt>
                <c:pt idx="48">
                  <c:v>2.3849069999999972E-2</c:v>
                </c:pt>
                <c:pt idx="49">
                  <c:v>1.0421399999999692E-3</c:v>
                </c:pt>
                <c:pt idx="50">
                  <c:v>9.3580699999999961E-3</c:v>
                </c:pt>
                <c:pt idx="51">
                  <c:v>-7.3379299999999925E-3</c:v>
                </c:pt>
                <c:pt idx="52">
                  <c:v>9.8389999999999866E-3</c:v>
                </c:pt>
                <c:pt idx="53">
                  <c:v>8.8989300000000271E-3</c:v>
                </c:pt>
                <c:pt idx="54">
                  <c:v>-1.6394299999999973E-3</c:v>
                </c:pt>
                <c:pt idx="55">
                  <c:v>-1.1701930000000027E-2</c:v>
                </c:pt>
                <c:pt idx="56">
                  <c:v>-7.0660699999999799E-3</c:v>
                </c:pt>
                <c:pt idx="57">
                  <c:v>-3.4481400000000995E-3</c:v>
                </c:pt>
                <c:pt idx="58">
                  <c:v>1.8350000000000311E-3</c:v>
                </c:pt>
                <c:pt idx="59">
                  <c:v>1.0467930000000014E-2</c:v>
                </c:pt>
                <c:pt idx="60">
                  <c:v>-9.7399999999999709E-3</c:v>
                </c:pt>
                <c:pt idx="61">
                  <c:v>3.873099999999996E-2</c:v>
                </c:pt>
                <c:pt idx="62">
                  <c:v>7.3451400000000278E-3</c:v>
                </c:pt>
                <c:pt idx="63">
                  <c:v>-1.1665000000000147E-3</c:v>
                </c:pt>
                <c:pt idx="64">
                  <c:v>6.7724130000000327E-3</c:v>
                </c:pt>
                <c:pt idx="65">
                  <c:v>-2.1856859999999978E-2</c:v>
                </c:pt>
                <c:pt idx="66">
                  <c:v>1.8219999999999903E-3</c:v>
                </c:pt>
                <c:pt idx="67">
                  <c:v>-6.2759300000000406E-3</c:v>
                </c:pt>
                <c:pt idx="68">
                  <c:v>-1.3680000000000025E-2</c:v>
                </c:pt>
                <c:pt idx="69">
                  <c:v>-3.0525929999999979E-2</c:v>
                </c:pt>
                <c:pt idx="70">
                  <c:v>-2.6399999999999979E-2</c:v>
                </c:pt>
                <c:pt idx="71">
                  <c:v>-3.4731569999999989E-2</c:v>
                </c:pt>
                <c:pt idx="72">
                  <c:v>-3.2354069999999957E-2</c:v>
                </c:pt>
                <c:pt idx="73">
                  <c:v>-3.5347999999999991E-2</c:v>
                </c:pt>
                <c:pt idx="74">
                  <c:v>-1.8249499999999974E-2</c:v>
                </c:pt>
                <c:pt idx="75">
                  <c:v>-3.8409499999999958E-2</c:v>
                </c:pt>
                <c:pt idx="76">
                  <c:v>-1.1601070000000005E-2</c:v>
                </c:pt>
                <c:pt idx="77">
                  <c:v>1.8579299999999799E-3</c:v>
                </c:pt>
                <c:pt idx="78">
                  <c:v>7.3798599999999881E-3</c:v>
                </c:pt>
                <c:pt idx="79">
                  <c:v>1.351057E-2</c:v>
                </c:pt>
                <c:pt idx="80">
                  <c:v>1.3742000000000018E-2</c:v>
                </c:pt>
                <c:pt idx="81">
                  <c:v>-9.1281299999999982E-3</c:v>
                </c:pt>
                <c:pt idx="82">
                  <c:v>1.3256413000000022E-2</c:v>
                </c:pt>
                <c:pt idx="83">
                  <c:v>1.8767140000000015E-2</c:v>
                </c:pt>
                <c:pt idx="84">
                  <c:v>1.0195000000000037E-2</c:v>
                </c:pt>
                <c:pt idx="85">
                  <c:v>2.8802499999999981E-2</c:v>
                </c:pt>
                <c:pt idx="86">
                  <c:v>3.2945586999999998E-2</c:v>
                </c:pt>
                <c:pt idx="87">
                  <c:v>3.3330800000000001E-2</c:v>
                </c:pt>
                <c:pt idx="88">
                  <c:v>4.8204883000000018E-2</c:v>
                </c:pt>
                <c:pt idx="89">
                  <c:v>8.357500000000001E-2</c:v>
                </c:pt>
                <c:pt idx="90">
                  <c:v>1.2791657000000005E-2</c:v>
                </c:pt>
                <c:pt idx="91">
                  <c:v>9.0039413000000013E-2</c:v>
                </c:pt>
                <c:pt idx="92">
                  <c:v>2.8664186000000001E-2</c:v>
                </c:pt>
                <c:pt idx="93">
                  <c:v>1.7517500000000005E-2</c:v>
                </c:pt>
                <c:pt idx="94">
                  <c:v>-2.3075857000000005E-2</c:v>
                </c:pt>
                <c:pt idx="95">
                  <c:v>5.812442999999997E-3</c:v>
                </c:pt>
                <c:pt idx="96">
                  <c:v>-0.11032834299999997</c:v>
                </c:pt>
                <c:pt idx="97">
                  <c:v>-0.14211273569999996</c:v>
                </c:pt>
                <c:pt idx="98">
                  <c:v>-0.14398856999999998</c:v>
                </c:pt>
                <c:pt idx="99">
                  <c:v>-9.9569339999999992E-2</c:v>
                </c:pt>
                <c:pt idx="100">
                  <c:v>-7.4964500000000017E-2</c:v>
                </c:pt>
                <c:pt idx="101">
                  <c:v>-7.4794200000000005E-2</c:v>
                </c:pt>
                <c:pt idx="102">
                  <c:v>-7.5845856999999989E-2</c:v>
                </c:pt>
                <c:pt idx="103">
                  <c:v>-9.2343227E-2</c:v>
                </c:pt>
                <c:pt idx="104">
                  <c:v>-6.7364069999999998E-2</c:v>
                </c:pt>
                <c:pt idx="105">
                  <c:v>-5.4073929999999992E-2</c:v>
                </c:pt>
                <c:pt idx="106">
                  <c:v>-2.2427640000000026E-2</c:v>
                </c:pt>
                <c:pt idx="107">
                  <c:v>-2.6862513999999994E-2</c:v>
                </c:pt>
                <c:pt idx="108">
                  <c:v>-2.4833313999999995E-2</c:v>
                </c:pt>
                <c:pt idx="109">
                  <c:v>-3.4725785999999995E-2</c:v>
                </c:pt>
                <c:pt idx="110">
                  <c:v>-1.6415799999999987E-2</c:v>
                </c:pt>
                <c:pt idx="111">
                  <c:v>-2.5067485999999993E-2</c:v>
                </c:pt>
                <c:pt idx="112">
                  <c:v>-1.7345842999999989E-2</c:v>
                </c:pt>
                <c:pt idx="113">
                  <c:v>-3.7561656999999991E-2</c:v>
                </c:pt>
                <c:pt idx="114">
                  <c:v>-1.7472500000000002E-2</c:v>
                </c:pt>
                <c:pt idx="115">
                  <c:v>-5.0934000000000035E-2</c:v>
                </c:pt>
                <c:pt idx="116">
                  <c:v>-3.1354859999999998E-2</c:v>
                </c:pt>
                <c:pt idx="117">
                  <c:v>-3.3416386999999992E-2</c:v>
                </c:pt>
                <c:pt idx="118">
                  <c:v>-1.0859359999999998E-2</c:v>
                </c:pt>
                <c:pt idx="119">
                  <c:v>-1.8790700000000105E-3</c:v>
                </c:pt>
                <c:pt idx="120">
                  <c:v>-1.1461713999999991E-2</c:v>
                </c:pt>
                <c:pt idx="121">
                  <c:v>1.2944640000000007E-2</c:v>
                </c:pt>
                <c:pt idx="122">
                  <c:v>3.4016656999999999E-2</c:v>
                </c:pt>
                <c:pt idx="123">
                  <c:v>2.6344157E-2</c:v>
                </c:pt>
                <c:pt idx="124">
                  <c:v>4.4798999999999978E-2</c:v>
                </c:pt>
                <c:pt idx="125">
                  <c:v>1.4210727000000006E-2</c:v>
                </c:pt>
                <c:pt idx="126">
                  <c:v>2.4332139999999974E-2</c:v>
                </c:pt>
                <c:pt idx="127">
                  <c:v>-9.9999859999999885E-3</c:v>
                </c:pt>
                <c:pt idx="128">
                  <c:v>3.2474186000000002E-2</c:v>
                </c:pt>
                <c:pt idx="129">
                  <c:v>1.7832543000000013E-2</c:v>
                </c:pt>
                <c:pt idx="130">
                  <c:v>6.2475000000000031E-3</c:v>
                </c:pt>
                <c:pt idx="131">
                  <c:v>-3.4404999999999575E-3</c:v>
                </c:pt>
                <c:pt idx="132">
                  <c:v>3.2278365699999999E-2</c:v>
                </c:pt>
                <c:pt idx="133">
                  <c:v>1.4986500000000014E-2</c:v>
                </c:pt>
                <c:pt idx="134">
                  <c:v>2.6576657E-2</c:v>
                </c:pt>
                <c:pt idx="135">
                  <c:v>1.7873343000000007E-2</c:v>
                </c:pt>
                <c:pt idx="136">
                  <c:v>2.900800000000002E-3</c:v>
                </c:pt>
                <c:pt idx="137">
                  <c:v>1.3701570000000024E-2</c:v>
                </c:pt>
                <c:pt idx="138">
                  <c:v>9.5218600000000209E-3</c:v>
                </c:pt>
                <c:pt idx="139">
                  <c:v>2.3489143000000018E-2</c:v>
                </c:pt>
                <c:pt idx="140">
                  <c:v>4.686570000000001E-3</c:v>
                </c:pt>
                <c:pt idx="141">
                  <c:v>-9.3543000000001486E-4</c:v>
                </c:pt>
                <c:pt idx="142">
                  <c:v>-3.2874269999999955E-3</c:v>
                </c:pt>
                <c:pt idx="143">
                  <c:v>-8.0219269999999843E-3</c:v>
                </c:pt>
                <c:pt idx="144">
                  <c:v>1.3760639999999991E-2</c:v>
                </c:pt>
                <c:pt idx="145">
                  <c:v>3.713069999999985E-3</c:v>
                </c:pt>
                <c:pt idx="146">
                  <c:v>-4.7549999999996206E-4</c:v>
                </c:pt>
                <c:pt idx="147">
                  <c:v>4.5854999999999646E-3</c:v>
                </c:pt>
                <c:pt idx="148">
                  <c:v>5.5624070000000025E-2</c:v>
                </c:pt>
                <c:pt idx="149">
                  <c:v>3.9170000000000038E-2</c:v>
                </c:pt>
                <c:pt idx="150">
                  <c:v>3.4051860000000045E-2</c:v>
                </c:pt>
                <c:pt idx="151">
                  <c:v>2.4478E-2</c:v>
                </c:pt>
                <c:pt idx="152">
                  <c:v>3.0262500000000025E-2</c:v>
                </c:pt>
                <c:pt idx="153">
                  <c:v>3.5548499999999983E-2</c:v>
                </c:pt>
                <c:pt idx="154">
                  <c:v>5.5455929999999987E-2</c:v>
                </c:pt>
                <c:pt idx="155">
                  <c:v>1.433300000000004E-2</c:v>
                </c:pt>
                <c:pt idx="156">
                  <c:v>1.1781500000000056E-2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'HAD global'!$I$15</c:f>
              <c:strCache>
                <c:ptCount val="1"/>
                <c:pt idx="0">
                  <c:v>1/2 Heat Compose Land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bg1"/>
              </a:solidFill>
            </c:spPr>
          </c:marker>
          <c:trendline>
            <c:spPr>
              <a:ln>
                <a:solidFill>
                  <a:srgbClr val="C00000"/>
                </a:solidFill>
              </a:ln>
            </c:spPr>
            <c:trendlineType val="movingAvg"/>
            <c:period val="10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'HAD global'!$G$16:$G$172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global'!$I$16:$I$172</c:f>
              <c:numCache>
                <c:formatCode>General</c:formatCode>
                <c:ptCount val="157"/>
                <c:pt idx="0">
                  <c:v>0.19235853500000002</c:v>
                </c:pt>
                <c:pt idx="1">
                  <c:v>0.39777696500000004</c:v>
                </c:pt>
                <c:pt idx="2">
                  <c:v>0.42189321499999999</c:v>
                </c:pt>
                <c:pt idx="3">
                  <c:v>0.15523903500000003</c:v>
                </c:pt>
                <c:pt idx="4">
                  <c:v>0.37774327149999998</c:v>
                </c:pt>
                <c:pt idx="5">
                  <c:v>0.16648625</c:v>
                </c:pt>
                <c:pt idx="6">
                  <c:v>8.1344034999999981E-2</c:v>
                </c:pt>
                <c:pt idx="7">
                  <c:v>0.24056103500000003</c:v>
                </c:pt>
                <c:pt idx="8">
                  <c:v>0.20154824999999993</c:v>
                </c:pt>
                <c:pt idx="9">
                  <c:v>0.19388846499999998</c:v>
                </c:pt>
                <c:pt idx="10">
                  <c:v>1.6529284999999949E-2</c:v>
                </c:pt>
                <c:pt idx="11">
                  <c:v>0.163929715</c:v>
                </c:pt>
                <c:pt idx="12">
                  <c:v>0.12373103499999999</c:v>
                </c:pt>
                <c:pt idx="13">
                  <c:v>0.200751965</c:v>
                </c:pt>
                <c:pt idx="14">
                  <c:v>8.774949999999998E-2</c:v>
                </c:pt>
                <c:pt idx="15">
                  <c:v>8.5377785000000012E-2</c:v>
                </c:pt>
                <c:pt idx="16">
                  <c:v>7.2901999999999995E-2</c:v>
                </c:pt>
                <c:pt idx="17">
                  <c:v>3.9190500000000017E-2</c:v>
                </c:pt>
                <c:pt idx="18">
                  <c:v>7.8580535000000007E-2</c:v>
                </c:pt>
                <c:pt idx="19">
                  <c:v>0.12854096500000001</c:v>
                </c:pt>
                <c:pt idx="20">
                  <c:v>3.3095214999999983E-2</c:v>
                </c:pt>
                <c:pt idx="21">
                  <c:v>1.385853499999995E-2</c:v>
                </c:pt>
                <c:pt idx="22">
                  <c:v>0.10809946499999999</c:v>
                </c:pt>
                <c:pt idx="23">
                  <c:v>0.14415074999999999</c:v>
                </c:pt>
                <c:pt idx="24">
                  <c:v>0.15957846499999997</c:v>
                </c:pt>
                <c:pt idx="25">
                  <c:v>-4.8279035000000081E-2</c:v>
                </c:pt>
                <c:pt idx="26">
                  <c:v>0.15416553499999994</c:v>
                </c:pt>
                <c:pt idx="27">
                  <c:v>-4.0229414999999991E-2</c:v>
                </c:pt>
                <c:pt idx="28">
                  <c:v>6.0545285000000032E-3</c:v>
                </c:pt>
                <c:pt idx="29">
                  <c:v>-2.5121249999999984E-2</c:v>
                </c:pt>
                <c:pt idx="30">
                  <c:v>9.051846500000002E-2</c:v>
                </c:pt>
                <c:pt idx="31">
                  <c:v>-1.1897500000000033E-2</c:v>
                </c:pt>
                <c:pt idx="32">
                  <c:v>9.0412714999999991E-2</c:v>
                </c:pt>
                <c:pt idx="33">
                  <c:v>1.3842784999999969E-2</c:v>
                </c:pt>
                <c:pt idx="34">
                  <c:v>6.9101750000000017E-2</c:v>
                </c:pt>
                <c:pt idx="35">
                  <c:v>5.2695964999999956E-2</c:v>
                </c:pt>
                <c:pt idx="36">
                  <c:v>0.10546846500000001</c:v>
                </c:pt>
                <c:pt idx="37">
                  <c:v>0.14578324999999998</c:v>
                </c:pt>
                <c:pt idx="38">
                  <c:v>-6.3572150000000271E-3</c:v>
                </c:pt>
                <c:pt idx="39">
                  <c:v>3.3016964999999981E-2</c:v>
                </c:pt>
                <c:pt idx="40">
                  <c:v>0.21238853499999999</c:v>
                </c:pt>
                <c:pt idx="41">
                  <c:v>4.1612285000000027E-2</c:v>
                </c:pt>
                <c:pt idx="42">
                  <c:v>0.11170574999999999</c:v>
                </c:pt>
                <c:pt idx="43">
                  <c:v>8.9528035000000006E-2</c:v>
                </c:pt>
                <c:pt idx="44">
                  <c:v>0.17556446499999998</c:v>
                </c:pt>
                <c:pt idx="45">
                  <c:v>8.9794714999999969E-2</c:v>
                </c:pt>
                <c:pt idx="46">
                  <c:v>-8.4347149999999815E-3</c:v>
                </c:pt>
                <c:pt idx="47">
                  <c:v>6.608675E-2</c:v>
                </c:pt>
                <c:pt idx="48">
                  <c:v>0.22605103499999996</c:v>
                </c:pt>
                <c:pt idx="49">
                  <c:v>0.14029053499999999</c:v>
                </c:pt>
                <c:pt idx="50">
                  <c:v>0.13428825</c:v>
                </c:pt>
                <c:pt idx="51">
                  <c:v>0.20791028500000003</c:v>
                </c:pt>
                <c:pt idx="52">
                  <c:v>0.20272221499999998</c:v>
                </c:pt>
                <c:pt idx="53">
                  <c:v>0.27801874999999998</c:v>
                </c:pt>
                <c:pt idx="54">
                  <c:v>0.23955325000000005</c:v>
                </c:pt>
                <c:pt idx="55">
                  <c:v>0.16825324999999999</c:v>
                </c:pt>
                <c:pt idx="56">
                  <c:v>0.20945446499999998</c:v>
                </c:pt>
                <c:pt idx="57">
                  <c:v>0.13988346499999993</c:v>
                </c:pt>
                <c:pt idx="58">
                  <c:v>0.27281821499999998</c:v>
                </c:pt>
                <c:pt idx="59">
                  <c:v>0.2962134649999999</c:v>
                </c:pt>
                <c:pt idx="60">
                  <c:v>0.33949125000000002</c:v>
                </c:pt>
                <c:pt idx="61">
                  <c:v>0.33690153499999997</c:v>
                </c:pt>
                <c:pt idx="62">
                  <c:v>0.21067103499999998</c:v>
                </c:pt>
                <c:pt idx="63">
                  <c:v>0.28395778499999996</c:v>
                </c:pt>
                <c:pt idx="64">
                  <c:v>0.25956177150000004</c:v>
                </c:pt>
                <c:pt idx="65">
                  <c:v>0.13993403500000001</c:v>
                </c:pt>
                <c:pt idx="66">
                  <c:v>0.21964396499999997</c:v>
                </c:pt>
                <c:pt idx="67">
                  <c:v>0.10001674999999993</c:v>
                </c:pt>
                <c:pt idx="68">
                  <c:v>0.11932678500000002</c:v>
                </c:pt>
                <c:pt idx="69">
                  <c:v>0.14247728499999998</c:v>
                </c:pt>
                <c:pt idx="70">
                  <c:v>0.13722553499999998</c:v>
                </c:pt>
                <c:pt idx="71">
                  <c:v>0.19178824999999999</c:v>
                </c:pt>
                <c:pt idx="72">
                  <c:v>0.20280396500000003</c:v>
                </c:pt>
                <c:pt idx="73">
                  <c:v>0.17741521500000001</c:v>
                </c:pt>
                <c:pt idx="74">
                  <c:v>0.14413353500000001</c:v>
                </c:pt>
                <c:pt idx="75">
                  <c:v>0.14521424999999999</c:v>
                </c:pt>
                <c:pt idx="76">
                  <c:v>0.13344624999999999</c:v>
                </c:pt>
                <c:pt idx="77">
                  <c:v>0.12643346499999997</c:v>
                </c:pt>
                <c:pt idx="78">
                  <c:v>0.175295215</c:v>
                </c:pt>
                <c:pt idx="79">
                  <c:v>0.12193324999999999</c:v>
                </c:pt>
                <c:pt idx="80">
                  <c:v>0.13408700000000001</c:v>
                </c:pt>
                <c:pt idx="81">
                  <c:v>9.2549550000000008E-2</c:v>
                </c:pt>
                <c:pt idx="82">
                  <c:v>0.15599577150000002</c:v>
                </c:pt>
                <c:pt idx="83">
                  <c:v>0.13609428500000001</c:v>
                </c:pt>
                <c:pt idx="84">
                  <c:v>0.18813875000000002</c:v>
                </c:pt>
                <c:pt idx="85">
                  <c:v>0.144325535</c:v>
                </c:pt>
                <c:pt idx="86">
                  <c:v>0.14163497849999998</c:v>
                </c:pt>
                <c:pt idx="87">
                  <c:v>6.8534978499999996E-2</c:v>
                </c:pt>
                <c:pt idx="88">
                  <c:v>0.17810520499999999</c:v>
                </c:pt>
                <c:pt idx="89">
                  <c:v>0.12706249999999999</c:v>
                </c:pt>
                <c:pt idx="90">
                  <c:v>2.1518728500000001E-2</c:v>
                </c:pt>
                <c:pt idx="91">
                  <c:v>1.3477521499999999E-2</c:v>
                </c:pt>
                <c:pt idx="92">
                  <c:v>5.6176721499999999E-2</c:v>
                </c:pt>
                <c:pt idx="93">
                  <c:v>7.8488749999999996E-2</c:v>
                </c:pt>
                <c:pt idx="94">
                  <c:v>-1.4881249999999985E-2</c:v>
                </c:pt>
                <c:pt idx="95">
                  <c:v>-4.2171700000000006E-2</c:v>
                </c:pt>
                <c:pt idx="96">
                  <c:v>8.6903728500000013E-2</c:v>
                </c:pt>
                <c:pt idx="97">
                  <c:v>9.7867502150000008E-2</c:v>
                </c:pt>
                <c:pt idx="98">
                  <c:v>0.10241125000000001</c:v>
                </c:pt>
                <c:pt idx="99">
                  <c:v>6.834601500000001E-2</c:v>
                </c:pt>
                <c:pt idx="100">
                  <c:v>4.7658535000000002E-2</c:v>
                </c:pt>
                <c:pt idx="101">
                  <c:v>4.7592049999999997E-2</c:v>
                </c:pt>
                <c:pt idx="102">
                  <c:v>-1.1975428499999996E-2</c:v>
                </c:pt>
                <c:pt idx="103">
                  <c:v>3.7586915000000012E-2</c:v>
                </c:pt>
                <c:pt idx="104">
                  <c:v>9.6971465000000007E-2</c:v>
                </c:pt>
                <c:pt idx="105">
                  <c:v>0.13360250000000001</c:v>
                </c:pt>
                <c:pt idx="106">
                  <c:v>6.0021464999999968E-2</c:v>
                </c:pt>
                <c:pt idx="107">
                  <c:v>2.1595021500000002E-2</c:v>
                </c:pt>
                <c:pt idx="108">
                  <c:v>3.9510471499999998E-2</c:v>
                </c:pt>
                <c:pt idx="109">
                  <c:v>5.5799178500000005E-2</c:v>
                </c:pt>
                <c:pt idx="110">
                  <c:v>6.7719200000000007E-2</c:v>
                </c:pt>
                <c:pt idx="111">
                  <c:v>5.0014978499999994E-2</c:v>
                </c:pt>
                <c:pt idx="112">
                  <c:v>6.0813300000000001E-2</c:v>
                </c:pt>
                <c:pt idx="113">
                  <c:v>2.2462950000000009E-2</c:v>
                </c:pt>
                <c:pt idx="114">
                  <c:v>9.7843214999999983E-2</c:v>
                </c:pt>
                <c:pt idx="115">
                  <c:v>5.6246534999999986E-2</c:v>
                </c:pt>
                <c:pt idx="116">
                  <c:v>3.5562284999999999E-2</c:v>
                </c:pt>
                <c:pt idx="117">
                  <c:v>7.3911721499999999E-2</c:v>
                </c:pt>
                <c:pt idx="118">
                  <c:v>3.8485285000000008E-2</c:v>
                </c:pt>
                <c:pt idx="119">
                  <c:v>-5.6933535000000007E-2</c:v>
                </c:pt>
                <c:pt idx="120">
                  <c:v>4.7290821500000003E-2</c:v>
                </c:pt>
                <c:pt idx="121">
                  <c:v>0.12255053499999999</c:v>
                </c:pt>
                <c:pt idx="122">
                  <c:v>-2.4144199999999991E-2</c:v>
                </c:pt>
                <c:pt idx="123">
                  <c:v>7.8765800000000025E-2</c:v>
                </c:pt>
                <c:pt idx="124">
                  <c:v>9.7102214999999992E-2</c:v>
                </c:pt>
                <c:pt idx="125">
                  <c:v>0.1746704785</c:v>
                </c:pt>
                <c:pt idx="126">
                  <c:v>7.9889284999999977E-2</c:v>
                </c:pt>
                <c:pt idx="127">
                  <c:v>6.4727478500000005E-2</c:v>
                </c:pt>
                <c:pt idx="128">
                  <c:v>9.0960471500000001E-2</c:v>
                </c:pt>
                <c:pt idx="129">
                  <c:v>3.0316721500000011E-2</c:v>
                </c:pt>
                <c:pt idx="130">
                  <c:v>5.4793750000000002E-2</c:v>
                </c:pt>
                <c:pt idx="131">
                  <c:v>0.12311700000000003</c:v>
                </c:pt>
                <c:pt idx="132">
                  <c:v>5.2365447850000003E-2</c:v>
                </c:pt>
                <c:pt idx="133">
                  <c:v>8.1223465000000022E-2</c:v>
                </c:pt>
                <c:pt idx="134">
                  <c:v>5.0923728500000001E-2</c:v>
                </c:pt>
                <c:pt idx="135">
                  <c:v>7.5442521499999998E-2</c:v>
                </c:pt>
                <c:pt idx="136">
                  <c:v>9.5555799999999996E-2</c:v>
                </c:pt>
                <c:pt idx="137">
                  <c:v>3.4971749999999996E-2</c:v>
                </c:pt>
                <c:pt idx="138">
                  <c:v>9.8893464999999986E-2</c:v>
                </c:pt>
                <c:pt idx="139">
                  <c:v>0.10579</c:v>
                </c:pt>
                <c:pt idx="140">
                  <c:v>8.0626749999999969E-2</c:v>
                </c:pt>
                <c:pt idx="141">
                  <c:v>6.1574034999999971E-2</c:v>
                </c:pt>
                <c:pt idx="142">
                  <c:v>3.0082714999999996E-2</c:v>
                </c:pt>
                <c:pt idx="143">
                  <c:v>3.9459464999999999E-2</c:v>
                </c:pt>
                <c:pt idx="144">
                  <c:v>8.200903499999998E-2</c:v>
                </c:pt>
                <c:pt idx="145">
                  <c:v>0.11666199999999999</c:v>
                </c:pt>
                <c:pt idx="146">
                  <c:v>3.6267000000000021E-2</c:v>
                </c:pt>
                <c:pt idx="147">
                  <c:v>9.7922849999999562E-3</c:v>
                </c:pt>
                <c:pt idx="148">
                  <c:v>5.1659785000000014E-2</c:v>
                </c:pt>
                <c:pt idx="149">
                  <c:v>0.12419249999999998</c:v>
                </c:pt>
                <c:pt idx="150">
                  <c:v>8.5704715000000042E-2</c:v>
                </c:pt>
                <c:pt idx="151">
                  <c:v>5.6487284999999998E-2</c:v>
                </c:pt>
                <c:pt idx="152">
                  <c:v>6.9371785000000019E-2</c:v>
                </c:pt>
                <c:pt idx="153">
                  <c:v>4.7234035000000008E-2</c:v>
                </c:pt>
                <c:pt idx="154">
                  <c:v>5.6935214999999983E-2</c:v>
                </c:pt>
                <c:pt idx="155">
                  <c:v>8.2374785000000061E-2</c:v>
                </c:pt>
                <c:pt idx="156">
                  <c:v>9.0709714999999969E-2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'HAD global'!$J$15</c:f>
              <c:strCache>
                <c:ptCount val="1"/>
                <c:pt idx="0">
                  <c:v>1/2 Heat Compose Ocean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4"/>
          </c:marker>
          <c:trendline>
            <c:spPr>
              <a:ln>
                <a:solidFill>
                  <a:srgbClr val="92D050"/>
                </a:solidFill>
              </a:ln>
            </c:spPr>
            <c:trendlineType val="movingAvg"/>
            <c:period val="10"/>
            <c:dispRSqr val="0"/>
            <c:dispEq val="0"/>
          </c:trendline>
          <c:xVal>
            <c:numRef>
              <c:f>'HAD global'!$G$16:$G$172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global'!$J$16:$J$172</c:f>
              <c:numCache>
                <c:formatCode>General</c:formatCode>
                <c:ptCount val="157"/>
                <c:pt idx="0">
                  <c:v>-0.16663749999999999</c:v>
                </c:pt>
                <c:pt idx="1">
                  <c:v>-0.16256743000000004</c:v>
                </c:pt>
                <c:pt idx="2">
                  <c:v>-0.13581699999999997</c:v>
                </c:pt>
                <c:pt idx="3">
                  <c:v>-0.12721743000000008</c:v>
                </c:pt>
                <c:pt idx="4">
                  <c:v>-0.17851550000000005</c:v>
                </c:pt>
                <c:pt idx="5">
                  <c:v>-0.10543543000000005</c:v>
                </c:pt>
                <c:pt idx="6">
                  <c:v>-0.14015992999999999</c:v>
                </c:pt>
                <c:pt idx="7">
                  <c:v>-0.18777249999999995</c:v>
                </c:pt>
                <c:pt idx="8">
                  <c:v>-0.21431549999999999</c:v>
                </c:pt>
                <c:pt idx="9">
                  <c:v>-0.23347757000000002</c:v>
                </c:pt>
                <c:pt idx="10">
                  <c:v>-6.0763000000000011E-2</c:v>
                </c:pt>
                <c:pt idx="11">
                  <c:v>-0.14341343000000006</c:v>
                </c:pt>
                <c:pt idx="12">
                  <c:v>-0.12357293000000003</c:v>
                </c:pt>
                <c:pt idx="13">
                  <c:v>-0.29337156999999997</c:v>
                </c:pt>
                <c:pt idx="14">
                  <c:v>-4.3507999999999991E-2</c:v>
                </c:pt>
                <c:pt idx="15">
                  <c:v>-5.5662429999999985E-2</c:v>
                </c:pt>
                <c:pt idx="16">
                  <c:v>-0.10533342999999998</c:v>
                </c:pt>
                <c:pt idx="17">
                  <c:v>1.4680499999999985E-2</c:v>
                </c:pt>
                <c:pt idx="18">
                  <c:v>-2.0050929999999995E-2</c:v>
                </c:pt>
                <c:pt idx="19">
                  <c:v>-0.10511092999999999</c:v>
                </c:pt>
                <c:pt idx="20">
                  <c:v>-3.1942069999999989E-2</c:v>
                </c:pt>
                <c:pt idx="21">
                  <c:v>-1.7370429999999992E-2</c:v>
                </c:pt>
                <c:pt idx="22">
                  <c:v>-0.13608657000000002</c:v>
                </c:pt>
                <c:pt idx="23">
                  <c:v>-0.12067593000000004</c:v>
                </c:pt>
                <c:pt idx="24">
                  <c:v>-0.16071756999999998</c:v>
                </c:pt>
                <c:pt idx="25">
                  <c:v>3.5624499999999948E-2</c:v>
                </c:pt>
                <c:pt idx="26">
                  <c:v>-0.12313093000000008</c:v>
                </c:pt>
                <c:pt idx="27">
                  <c:v>9.432570000000029E-4</c:v>
                </c:pt>
                <c:pt idx="28">
                  <c:v>-3.3129199570000004E-2</c:v>
                </c:pt>
                <c:pt idx="29">
                  <c:v>-8.5482930000000013E-2</c:v>
                </c:pt>
                <c:pt idx="30">
                  <c:v>-9.2500929999999981E-2</c:v>
                </c:pt>
                <c:pt idx="31">
                  <c:v>-7.5107500000000021E-2</c:v>
                </c:pt>
                <c:pt idx="32">
                  <c:v>-0.13566043000000003</c:v>
                </c:pt>
                <c:pt idx="33">
                  <c:v>-4.7109070000000031E-2</c:v>
                </c:pt>
                <c:pt idx="34">
                  <c:v>-1.1577429999999944E-2</c:v>
                </c:pt>
                <c:pt idx="35">
                  <c:v>-3.0430000000000179E-3</c:v>
                </c:pt>
                <c:pt idx="36">
                  <c:v>8.0474070000000009E-2</c:v>
                </c:pt>
                <c:pt idx="37">
                  <c:v>-3.2290929999999995E-2</c:v>
                </c:pt>
                <c:pt idx="38">
                  <c:v>-1.775242999999993E-2</c:v>
                </c:pt>
                <c:pt idx="39">
                  <c:v>-3.3794070000000009E-2</c:v>
                </c:pt>
                <c:pt idx="40">
                  <c:v>-0.15176749999999994</c:v>
                </c:pt>
                <c:pt idx="41">
                  <c:v>-5.8577500000000005E-2</c:v>
                </c:pt>
                <c:pt idx="42">
                  <c:v>-0.11323800000000006</c:v>
                </c:pt>
                <c:pt idx="43">
                  <c:v>-6.4250929999999984E-2</c:v>
                </c:pt>
                <c:pt idx="44">
                  <c:v>-0.18461449999999996</c:v>
                </c:pt>
                <c:pt idx="45">
                  <c:v>-5.2105929999999967E-2</c:v>
                </c:pt>
                <c:pt idx="46">
                  <c:v>-1.1444929999999992E-2</c:v>
                </c:pt>
                <c:pt idx="47">
                  <c:v>-5.7592000000000004E-2</c:v>
                </c:pt>
                <c:pt idx="48">
                  <c:v>-0.14133000000000007</c:v>
                </c:pt>
                <c:pt idx="49">
                  <c:v>-0.11271007</c:v>
                </c:pt>
                <c:pt idx="50">
                  <c:v>-9.2697570000000007E-2</c:v>
                </c:pt>
                <c:pt idx="51">
                  <c:v>-0.18317450000000002</c:v>
                </c:pt>
                <c:pt idx="52">
                  <c:v>-0.14772757000000003</c:v>
                </c:pt>
                <c:pt idx="53">
                  <c:v>-0.21094542999999999</c:v>
                </c:pt>
                <c:pt idx="54">
                  <c:v>-0.19867007000000003</c:v>
                </c:pt>
                <c:pt idx="55">
                  <c:v>-0.15870757000000008</c:v>
                </c:pt>
                <c:pt idx="56">
                  <c:v>-0.18394200000000005</c:v>
                </c:pt>
                <c:pt idx="57">
                  <c:v>-0.12053593000000001</c:v>
                </c:pt>
                <c:pt idx="58">
                  <c:v>-0.21953157000000001</c:v>
                </c:pt>
                <c:pt idx="59">
                  <c:v>-0.2229580000000001</c:v>
                </c:pt>
                <c:pt idx="60">
                  <c:v>-0.2950275</c:v>
                </c:pt>
                <c:pt idx="61">
                  <c:v>-0.20484493000000004</c:v>
                </c:pt>
                <c:pt idx="62">
                  <c:v>-0.15875207000000002</c:v>
                </c:pt>
                <c:pt idx="63">
                  <c:v>-0.23408493000000002</c:v>
                </c:pt>
                <c:pt idx="64">
                  <c:v>-0.19973157000000002</c:v>
                </c:pt>
                <c:pt idx="65">
                  <c:v>-0.15402406999999999</c:v>
                </c:pt>
                <c:pt idx="66">
                  <c:v>-0.17611707000000004</c:v>
                </c:pt>
                <c:pt idx="67">
                  <c:v>-9.3106570000000055E-2</c:v>
                </c:pt>
                <c:pt idx="68">
                  <c:v>-0.12233343000000002</c:v>
                </c:pt>
                <c:pt idx="69">
                  <c:v>-0.17185250000000007</c:v>
                </c:pt>
                <c:pt idx="70">
                  <c:v>-0.16006593000000002</c:v>
                </c:pt>
                <c:pt idx="71">
                  <c:v>-0.21977593000000001</c:v>
                </c:pt>
                <c:pt idx="72">
                  <c:v>-0.22445499999999996</c:v>
                </c:pt>
                <c:pt idx="73">
                  <c:v>-0.20915456999999998</c:v>
                </c:pt>
                <c:pt idx="74">
                  <c:v>-0.15090043000000003</c:v>
                </c:pt>
                <c:pt idx="75">
                  <c:v>-0.188412</c:v>
                </c:pt>
                <c:pt idx="76">
                  <c:v>-0.13009042999999998</c:v>
                </c:pt>
                <c:pt idx="77">
                  <c:v>-9.9908000000000025E-2</c:v>
                </c:pt>
                <c:pt idx="78">
                  <c:v>-0.12979042999999998</c:v>
                </c:pt>
                <c:pt idx="79">
                  <c:v>-7.5060070000000034E-2</c:v>
                </c:pt>
                <c:pt idx="80">
                  <c:v>-8.4568000000000004E-2</c:v>
                </c:pt>
                <c:pt idx="81">
                  <c:v>-9.2188770000000031E-2</c:v>
                </c:pt>
                <c:pt idx="82">
                  <c:v>-0.10334757</c:v>
                </c:pt>
                <c:pt idx="83">
                  <c:v>-7.7077569999999984E-2</c:v>
                </c:pt>
                <c:pt idx="84">
                  <c:v>-0.13516749999999997</c:v>
                </c:pt>
                <c:pt idx="85">
                  <c:v>-6.5568430000000011E-2</c:v>
                </c:pt>
                <c:pt idx="86">
                  <c:v>-5.5842930000000013E-2</c:v>
                </c:pt>
                <c:pt idx="87">
                  <c:v>4.5724569999999985E-3</c:v>
                </c:pt>
                <c:pt idx="88">
                  <c:v>-5.7910873000000002E-2</c:v>
                </c:pt>
                <c:pt idx="89">
                  <c:v>4.8050000000000002E-2</c:v>
                </c:pt>
                <c:pt idx="90">
                  <c:v>5.6625000000000043E-3</c:v>
                </c:pt>
                <c:pt idx="91">
                  <c:v>0.15258293000000003</c:v>
                </c:pt>
                <c:pt idx="92">
                  <c:v>6.189156999999999E-3</c:v>
                </c:pt>
                <c:pt idx="93">
                  <c:v>-3.2289999999999999E-2</c:v>
                </c:pt>
                <c:pt idx="94">
                  <c:v>-2.9770042999999996E-2</c:v>
                </c:pt>
                <c:pt idx="95">
                  <c:v>4.5010756999999998E-2</c:v>
                </c:pt>
                <c:pt idx="96">
                  <c:v>-0.27144750000000001</c:v>
                </c:pt>
                <c:pt idx="97">
                  <c:v>-0.33815293000000002</c:v>
                </c:pt>
                <c:pt idx="98">
                  <c:v>-0.34527292999999998</c:v>
                </c:pt>
                <c:pt idx="99">
                  <c:v>-0.23673963000000003</c:v>
                </c:pt>
                <c:pt idx="100">
                  <c:v>-0.17513543000000001</c:v>
                </c:pt>
                <c:pt idx="101">
                  <c:v>-0.1747717</c:v>
                </c:pt>
                <c:pt idx="102">
                  <c:v>-0.12802169999999999</c:v>
                </c:pt>
                <c:pt idx="103">
                  <c:v>-0.19848334300000001</c:v>
                </c:pt>
                <c:pt idx="104">
                  <c:v>-0.20161000000000001</c:v>
                </c:pt>
                <c:pt idx="105">
                  <c:v>-0.20738706999999998</c:v>
                </c:pt>
                <c:pt idx="106">
                  <c:v>-8.9780430000000022E-2</c:v>
                </c:pt>
                <c:pt idx="107">
                  <c:v>-6.6447542999999998E-2</c:v>
                </c:pt>
                <c:pt idx="108">
                  <c:v>-7.7395843000000006E-2</c:v>
                </c:pt>
                <c:pt idx="109">
                  <c:v>-0.108675757</c:v>
                </c:pt>
                <c:pt idx="110">
                  <c:v>-8.5145799999999994E-2</c:v>
                </c:pt>
                <c:pt idx="111">
                  <c:v>-8.6402457000000002E-2</c:v>
                </c:pt>
                <c:pt idx="112">
                  <c:v>-8.1194157000000003E-2</c:v>
                </c:pt>
                <c:pt idx="113">
                  <c:v>-8.6595843000000006E-2</c:v>
                </c:pt>
                <c:pt idx="114">
                  <c:v>-0.11167407000000001</c:v>
                </c:pt>
                <c:pt idx="115">
                  <c:v>-0.13848993000000004</c:v>
                </c:pt>
                <c:pt idx="116">
                  <c:v>-8.6019570000000004E-2</c:v>
                </c:pt>
                <c:pt idx="117">
                  <c:v>-0.12109286999999999</c:v>
                </c:pt>
                <c:pt idx="118">
                  <c:v>-5.1169069999999997E-2</c:v>
                </c:pt>
                <c:pt idx="119">
                  <c:v>4.3095000000000008E-2</c:v>
                </c:pt>
                <c:pt idx="120">
                  <c:v>-5.9456742999999999E-2</c:v>
                </c:pt>
                <c:pt idx="121">
                  <c:v>-7.6592570000000026E-2</c:v>
                </c:pt>
                <c:pt idx="122">
                  <c:v>8.1528343000000003E-2</c:v>
                </c:pt>
                <c:pt idx="123">
                  <c:v>-1.6479156999999994E-2</c:v>
                </c:pt>
                <c:pt idx="124">
                  <c:v>2.0724299999999862E-3</c:v>
                </c:pt>
                <c:pt idx="125">
                  <c:v>-0.11686907000000002</c:v>
                </c:pt>
                <c:pt idx="126">
                  <c:v>-2.105257000000002E-2</c:v>
                </c:pt>
                <c:pt idx="127">
                  <c:v>-7.1044957000000006E-2</c:v>
                </c:pt>
                <c:pt idx="128">
                  <c:v>-1.5303343000000004E-2</c:v>
                </c:pt>
                <c:pt idx="129">
                  <c:v>7.6342000000000146E-3</c:v>
                </c:pt>
                <c:pt idx="130">
                  <c:v>-3.3409999999999995E-2</c:v>
                </c:pt>
                <c:pt idx="131">
                  <c:v>-0.10682549999999999</c:v>
                </c:pt>
                <c:pt idx="132">
                  <c:v>1.58692E-2</c:v>
                </c:pt>
                <c:pt idx="133">
                  <c:v>-3.9122569999999995E-2</c:v>
                </c:pt>
                <c:pt idx="134">
                  <c:v>6.687499999999999E-3</c:v>
                </c:pt>
                <c:pt idx="135">
                  <c:v>-2.9154999999999997E-2</c:v>
                </c:pt>
                <c:pt idx="136">
                  <c:v>-7.2789199999999998E-2</c:v>
                </c:pt>
                <c:pt idx="137">
                  <c:v>-3.6740699999999737E-3</c:v>
                </c:pt>
                <c:pt idx="138">
                  <c:v>-6.3485930000000024E-2</c:v>
                </c:pt>
                <c:pt idx="139">
                  <c:v>-4.3742542999999995E-2</c:v>
                </c:pt>
                <c:pt idx="140">
                  <c:v>-5.7349070000000002E-2</c:v>
                </c:pt>
                <c:pt idx="141">
                  <c:v>-5.1999500000000004E-2</c:v>
                </c:pt>
                <c:pt idx="142">
                  <c:v>-3.0547542999999983E-2</c:v>
                </c:pt>
                <c:pt idx="143">
                  <c:v>-4.6809542999999981E-2</c:v>
                </c:pt>
                <c:pt idx="144">
                  <c:v>-4.1991570000000006E-2</c:v>
                </c:pt>
                <c:pt idx="145">
                  <c:v>-8.8555070000000013E-2</c:v>
                </c:pt>
                <c:pt idx="146">
                  <c:v>-3.0490499999999976E-2</c:v>
                </c:pt>
                <c:pt idx="147">
                  <c:v>3.3206999999996212E-4</c:v>
                </c:pt>
                <c:pt idx="148">
                  <c:v>5.886250000000004E-2</c:v>
                </c:pt>
                <c:pt idx="149">
                  <c:v>-3.0285000000000006E-2</c:v>
                </c:pt>
                <c:pt idx="150">
                  <c:v>-8.1434299999999515E-3</c:v>
                </c:pt>
                <c:pt idx="151">
                  <c:v>-1.6704300000000005E-3</c:v>
                </c:pt>
                <c:pt idx="152">
                  <c:v>-1.6859300000000021E-3</c:v>
                </c:pt>
                <c:pt idx="153">
                  <c:v>2.6002569999999947E-2</c:v>
                </c:pt>
                <c:pt idx="154">
                  <c:v>5.4247500000000004E-2</c:v>
                </c:pt>
                <c:pt idx="155">
                  <c:v>-4.1250429999999949E-2</c:v>
                </c:pt>
                <c:pt idx="156">
                  <c:v>-5.2695069999999955E-2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'HAD global'!$K$15</c:f>
              <c:strCache>
                <c:ptCount val="1"/>
                <c:pt idx="0">
                  <c:v>All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3"/>
          </c:marker>
          <c:trendline>
            <c:trendlineType val="movingAvg"/>
            <c:period val="10"/>
            <c:dispRSqr val="0"/>
            <c:dispEq val="0"/>
          </c:trendline>
          <c:xVal>
            <c:numRef>
              <c:f>'HAD global'!$G$16:$G$172</c:f>
              <c:numCache>
                <c:formatCode>General</c:formatCode>
                <c:ptCount val="15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</c:numCache>
            </c:numRef>
          </c:xVal>
          <c:yVal>
            <c:numRef>
              <c:f>'HAD global'!$K$16:$K$172</c:f>
              <c:numCache>
                <c:formatCode>General</c:formatCode>
                <c:ptCount val="157"/>
                <c:pt idx="0">
                  <c:v>1.2860517500000015E-2</c:v>
                </c:pt>
                <c:pt idx="1">
                  <c:v>0.1176047675</c:v>
                </c:pt>
                <c:pt idx="2">
                  <c:v>0.14303810750000001</c:v>
                </c:pt>
                <c:pt idx="3">
                  <c:v>1.4010802499999975E-2</c:v>
                </c:pt>
                <c:pt idx="4">
                  <c:v>9.9613885749999964E-2</c:v>
                </c:pt>
                <c:pt idx="5">
                  <c:v>3.0525409999999975E-2</c:v>
                </c:pt>
                <c:pt idx="6">
                  <c:v>-2.9407947500000003E-2</c:v>
                </c:pt>
                <c:pt idx="7">
                  <c:v>2.639426750000004E-2</c:v>
                </c:pt>
                <c:pt idx="8">
                  <c:v>-6.3836250000000316E-3</c:v>
                </c:pt>
                <c:pt idx="9">
                  <c:v>-1.9794552500000021E-2</c:v>
                </c:pt>
                <c:pt idx="10">
                  <c:v>-2.2116857500000031E-2</c:v>
                </c:pt>
                <c:pt idx="11">
                  <c:v>1.025814249999997E-2</c:v>
                </c:pt>
                <c:pt idx="12">
                  <c:v>7.9052499999981984E-5</c:v>
                </c:pt>
                <c:pt idx="13">
                  <c:v>-4.6309802499999983E-2</c:v>
                </c:pt>
                <c:pt idx="14">
                  <c:v>2.2120749999999995E-2</c:v>
                </c:pt>
                <c:pt idx="15">
                  <c:v>1.4857677500000013E-2</c:v>
                </c:pt>
                <c:pt idx="16">
                  <c:v>-1.6215714999999992E-2</c:v>
                </c:pt>
                <c:pt idx="17">
                  <c:v>2.6935500000000001E-2</c:v>
                </c:pt>
                <c:pt idx="18">
                  <c:v>2.9264802500000006E-2</c:v>
                </c:pt>
                <c:pt idx="19">
                  <c:v>1.1715017500000008E-2</c:v>
                </c:pt>
                <c:pt idx="20">
                  <c:v>5.7657249999999716E-4</c:v>
                </c:pt>
                <c:pt idx="21">
                  <c:v>-1.7559475000000213E-3</c:v>
                </c:pt>
                <c:pt idx="22">
                  <c:v>-1.3993552500000013E-2</c:v>
                </c:pt>
                <c:pt idx="23">
                  <c:v>1.1737409999999976E-2</c:v>
                </c:pt>
                <c:pt idx="24">
                  <c:v>-5.6955250000000068E-4</c:v>
                </c:pt>
                <c:pt idx="25">
                  <c:v>-6.3272675000000667E-3</c:v>
                </c:pt>
                <c:pt idx="26">
                  <c:v>1.5517302499999927E-2</c:v>
                </c:pt>
                <c:pt idx="27">
                  <c:v>-1.9643078999999994E-2</c:v>
                </c:pt>
                <c:pt idx="28">
                  <c:v>-1.3537335535E-2</c:v>
                </c:pt>
                <c:pt idx="29">
                  <c:v>-5.5302089999999998E-2</c:v>
                </c:pt>
                <c:pt idx="30">
                  <c:v>-9.9123249999998053E-4</c:v>
                </c:pt>
                <c:pt idx="31">
                  <c:v>-4.3502500000000027E-2</c:v>
                </c:pt>
                <c:pt idx="32">
                  <c:v>-2.2623857500000018E-2</c:v>
                </c:pt>
                <c:pt idx="33">
                  <c:v>-1.6633142500000031E-2</c:v>
                </c:pt>
                <c:pt idx="34">
                  <c:v>2.8762160000000037E-2</c:v>
                </c:pt>
                <c:pt idx="35">
                  <c:v>2.4826482499999969E-2</c:v>
                </c:pt>
                <c:pt idx="36">
                  <c:v>9.297126750000001E-2</c:v>
                </c:pt>
                <c:pt idx="37">
                  <c:v>5.674615999999999E-2</c:v>
                </c:pt>
                <c:pt idx="38">
                  <c:v>-1.2054822499999979E-2</c:v>
                </c:pt>
                <c:pt idx="39">
                  <c:v>-3.8855250000001396E-4</c:v>
                </c:pt>
                <c:pt idx="40">
                  <c:v>3.0310517500000023E-2</c:v>
                </c:pt>
                <c:pt idx="41">
                  <c:v>-8.482607499999989E-3</c:v>
                </c:pt>
                <c:pt idx="42">
                  <c:v>-7.6612500000003414E-4</c:v>
                </c:pt>
                <c:pt idx="43">
                  <c:v>1.2638552500000011E-2</c:v>
                </c:pt>
                <c:pt idx="44">
                  <c:v>-4.525017499999992E-3</c:v>
                </c:pt>
                <c:pt idx="45">
                  <c:v>1.8844392500000001E-2</c:v>
                </c:pt>
                <c:pt idx="46">
                  <c:v>-9.9398224999999868E-3</c:v>
                </c:pt>
                <c:pt idx="47">
                  <c:v>4.2473749999999977E-3</c:v>
                </c:pt>
                <c:pt idx="48">
                  <c:v>4.2360517499999945E-2</c:v>
                </c:pt>
                <c:pt idx="49">
                  <c:v>1.3790232499999999E-2</c:v>
                </c:pt>
                <c:pt idx="50">
                  <c:v>2.0795339999999995E-2</c:v>
                </c:pt>
                <c:pt idx="51">
                  <c:v>1.2367892500000005E-2</c:v>
                </c:pt>
                <c:pt idx="52">
                  <c:v>2.7497322499999977E-2</c:v>
                </c:pt>
                <c:pt idx="53">
                  <c:v>3.3536659999999996E-2</c:v>
                </c:pt>
                <c:pt idx="54">
                  <c:v>2.0441590000000009E-2</c:v>
                </c:pt>
                <c:pt idx="55">
                  <c:v>4.7728399999999588E-3</c:v>
                </c:pt>
                <c:pt idx="56">
                  <c:v>1.2756232499999964E-2</c:v>
                </c:pt>
                <c:pt idx="57">
                  <c:v>9.6737674999999579E-3</c:v>
                </c:pt>
                <c:pt idx="58">
                  <c:v>2.6643322499999983E-2</c:v>
                </c:pt>
                <c:pt idx="59">
                  <c:v>3.6627732499999899E-2</c:v>
                </c:pt>
                <c:pt idx="60">
                  <c:v>2.2231875000000012E-2</c:v>
                </c:pt>
                <c:pt idx="61">
                  <c:v>6.6028302499999969E-2</c:v>
                </c:pt>
                <c:pt idx="62">
                  <c:v>2.5959482499999978E-2</c:v>
                </c:pt>
                <c:pt idx="63">
                  <c:v>2.4936427499999969E-2</c:v>
                </c:pt>
                <c:pt idx="64">
                  <c:v>2.9915100750000007E-2</c:v>
                </c:pt>
                <c:pt idx="65">
                  <c:v>-7.0450174999999865E-3</c:v>
                </c:pt>
                <c:pt idx="66">
                  <c:v>2.1763447499999963E-2</c:v>
                </c:pt>
                <c:pt idx="67">
                  <c:v>3.4550899999999385E-3</c:v>
                </c:pt>
                <c:pt idx="68">
                  <c:v>-1.5033225000000011E-3</c:v>
                </c:pt>
                <c:pt idx="69">
                  <c:v>-1.4687607500000047E-2</c:v>
                </c:pt>
                <c:pt idx="70">
                  <c:v>-1.1420197500000021E-2</c:v>
                </c:pt>
                <c:pt idx="71">
                  <c:v>-1.3993840000000007E-2</c:v>
                </c:pt>
                <c:pt idx="72">
                  <c:v>-1.0825517499999965E-2</c:v>
                </c:pt>
                <c:pt idx="73">
                  <c:v>-1.5869677499999985E-2</c:v>
                </c:pt>
                <c:pt idx="74">
                  <c:v>-3.3834475000000114E-3</c:v>
                </c:pt>
                <c:pt idx="75">
                  <c:v>-2.1598875000000003E-2</c:v>
                </c:pt>
                <c:pt idx="76">
                  <c:v>1.6779100000000047E-3</c:v>
                </c:pt>
                <c:pt idx="77">
                  <c:v>1.3262732499999971E-2</c:v>
                </c:pt>
                <c:pt idx="78">
                  <c:v>2.275239250000001E-2</c:v>
                </c:pt>
                <c:pt idx="79">
                  <c:v>2.3436589999999979E-2</c:v>
                </c:pt>
                <c:pt idx="80">
                  <c:v>2.4759500000000004E-2</c:v>
                </c:pt>
                <c:pt idx="81">
                  <c:v>1.8038999999998862E-4</c:v>
                </c:pt>
                <c:pt idx="82">
                  <c:v>2.632410075000001E-2</c:v>
                </c:pt>
                <c:pt idx="83">
                  <c:v>2.9508357500000013E-2</c:v>
                </c:pt>
                <c:pt idx="84">
                  <c:v>2.6485625000000027E-2</c:v>
                </c:pt>
                <c:pt idx="85">
                  <c:v>3.9378552499999997E-2</c:v>
                </c:pt>
                <c:pt idx="86">
                  <c:v>4.2896024249999984E-2</c:v>
                </c:pt>
                <c:pt idx="87">
                  <c:v>3.6553717749999999E-2</c:v>
                </c:pt>
                <c:pt idx="88">
                  <c:v>6.0097165999999994E-2</c:v>
                </c:pt>
                <c:pt idx="89">
                  <c:v>8.7556250000000002E-2</c:v>
                </c:pt>
                <c:pt idx="90">
                  <c:v>1.3590614250000002E-2</c:v>
                </c:pt>
                <c:pt idx="91">
                  <c:v>8.303022575000002E-2</c:v>
                </c:pt>
                <c:pt idx="92">
                  <c:v>3.118293925E-2</c:v>
                </c:pt>
                <c:pt idx="93">
                  <c:v>2.3099374999999998E-2</c:v>
                </c:pt>
                <c:pt idx="94">
                  <c:v>-2.232564649999999E-2</c:v>
                </c:pt>
                <c:pt idx="95">
                  <c:v>1.419528499999996E-3</c:v>
                </c:pt>
                <c:pt idx="96">
                  <c:v>-9.2271885750000004E-2</c:v>
                </c:pt>
                <c:pt idx="97">
                  <c:v>-0.12014271392500001</c:v>
                </c:pt>
                <c:pt idx="98">
                  <c:v>-0.12143083999999998</c:v>
                </c:pt>
                <c:pt idx="99">
                  <c:v>-8.4196807500000012E-2</c:v>
                </c:pt>
                <c:pt idx="100">
                  <c:v>-6.3738447500000003E-2</c:v>
                </c:pt>
                <c:pt idx="101">
                  <c:v>-6.3589825000000003E-2</c:v>
                </c:pt>
                <c:pt idx="102">
                  <c:v>-6.9998564249999992E-2</c:v>
                </c:pt>
                <c:pt idx="103">
                  <c:v>-8.044821399999999E-2</c:v>
                </c:pt>
                <c:pt idx="104">
                  <c:v>-5.2319267500000002E-2</c:v>
                </c:pt>
                <c:pt idx="105">
                  <c:v>-3.6892284999999983E-2</c:v>
                </c:pt>
                <c:pt idx="106">
                  <c:v>-1.4879482500000027E-2</c:v>
                </c:pt>
                <c:pt idx="107">
                  <c:v>-2.2426260749999996E-2</c:v>
                </c:pt>
                <c:pt idx="108">
                  <c:v>-1.8942685750000004E-2</c:v>
                </c:pt>
                <c:pt idx="109">
                  <c:v>-2.6438289249999997E-2</c:v>
                </c:pt>
                <c:pt idx="110">
                  <c:v>-8.7132999999999933E-3</c:v>
                </c:pt>
                <c:pt idx="111">
                  <c:v>-1.8193739250000004E-2</c:v>
                </c:pt>
                <c:pt idx="112">
                  <c:v>-1.0190428500000001E-2</c:v>
                </c:pt>
                <c:pt idx="113">
                  <c:v>-3.2066446499999998E-2</c:v>
                </c:pt>
                <c:pt idx="114">
                  <c:v>-6.9154275000000154E-3</c:v>
                </c:pt>
                <c:pt idx="115">
                  <c:v>-4.1121697500000026E-2</c:v>
                </c:pt>
                <c:pt idx="116">
                  <c:v>-2.5228642500000002E-2</c:v>
                </c:pt>
                <c:pt idx="117">
                  <c:v>-2.3590574249999996E-2</c:v>
                </c:pt>
                <c:pt idx="118">
                  <c:v>-6.3418924999999945E-3</c:v>
                </c:pt>
                <c:pt idx="119">
                  <c:v>-6.9192674999999995E-3</c:v>
                </c:pt>
                <c:pt idx="120">
                  <c:v>-6.082960749999998E-3</c:v>
                </c:pt>
                <c:pt idx="121">
                  <c:v>2.2978982499999981E-2</c:v>
                </c:pt>
                <c:pt idx="122">
                  <c:v>2.8692071500000006E-2</c:v>
                </c:pt>
                <c:pt idx="123">
                  <c:v>3.1143321500000015E-2</c:v>
                </c:pt>
                <c:pt idx="124">
                  <c:v>4.9587322499999989E-2</c:v>
                </c:pt>
                <c:pt idx="125">
                  <c:v>2.8900704249999992E-2</c:v>
                </c:pt>
                <c:pt idx="126">
                  <c:v>2.9418357499999978E-2</c:v>
                </c:pt>
                <c:pt idx="127">
                  <c:v>-3.1587392500000006E-3</c:v>
                </c:pt>
                <c:pt idx="128">
                  <c:v>3.7828564250000002E-2</c:v>
                </c:pt>
                <c:pt idx="129">
                  <c:v>1.8975460750000013E-2</c:v>
                </c:pt>
                <c:pt idx="130">
                  <c:v>1.0691875000000003E-2</c:v>
                </c:pt>
                <c:pt idx="131">
                  <c:v>8.145750000000021E-3</c:v>
                </c:pt>
                <c:pt idx="132">
                  <c:v>3.4117323924999998E-2</c:v>
                </c:pt>
                <c:pt idx="133">
                  <c:v>2.1050447500000014E-2</c:v>
                </c:pt>
                <c:pt idx="134">
                  <c:v>2.880561425E-2</c:v>
                </c:pt>
                <c:pt idx="135">
                  <c:v>2.3143760749999999E-2</c:v>
                </c:pt>
                <c:pt idx="136">
                  <c:v>1.1383299999999999E-2</c:v>
                </c:pt>
                <c:pt idx="137">
                  <c:v>1.5648840000000011E-2</c:v>
                </c:pt>
                <c:pt idx="138">
                  <c:v>1.7703767499999981E-2</c:v>
                </c:pt>
                <c:pt idx="139">
                  <c:v>3.10237285E-2</c:v>
                </c:pt>
                <c:pt idx="140">
                  <c:v>1.1638839999999984E-2</c:v>
                </c:pt>
                <c:pt idx="141">
                  <c:v>4.7872674999999837E-3</c:v>
                </c:pt>
                <c:pt idx="142">
                  <c:v>-2.3241399999999329E-4</c:v>
                </c:pt>
                <c:pt idx="143">
                  <c:v>-3.6750389999999911E-3</c:v>
                </c:pt>
                <c:pt idx="144">
                  <c:v>2.0008732499999987E-2</c:v>
                </c:pt>
                <c:pt idx="145">
                  <c:v>1.4053464999999987E-2</c:v>
                </c:pt>
                <c:pt idx="146">
                  <c:v>2.8882500000000227E-3</c:v>
                </c:pt>
                <c:pt idx="147">
                  <c:v>5.0621774999999591E-3</c:v>
                </c:pt>
                <c:pt idx="148">
                  <c:v>5.5261142500000027E-2</c:v>
                </c:pt>
                <c:pt idx="149">
                  <c:v>4.6953749999999989E-2</c:v>
                </c:pt>
                <c:pt idx="150">
                  <c:v>3.8780642500000045E-2</c:v>
                </c:pt>
                <c:pt idx="151">
                  <c:v>2.7408427499999999E-2</c:v>
                </c:pt>
                <c:pt idx="152">
                  <c:v>3.3842927500000008E-2</c:v>
                </c:pt>
                <c:pt idx="153">
                  <c:v>3.6618302499999977E-2</c:v>
                </c:pt>
                <c:pt idx="154">
                  <c:v>5.5591357499999994E-2</c:v>
                </c:pt>
                <c:pt idx="155">
                  <c:v>2.0562177500000056E-2</c:v>
                </c:pt>
                <c:pt idx="156">
                  <c:v>1.9007322500000007E-2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7024"/>
        <c:axId val="154872832"/>
      </c:scatterChart>
      <c:valAx>
        <c:axId val="154897024"/>
        <c:scaling>
          <c:orientation val="minMax"/>
          <c:max val="2010"/>
          <c:min val="1850"/>
        </c:scaling>
        <c:delete val="0"/>
        <c:axPos val="b"/>
        <c:numFmt formatCode="General" sourceLinked="1"/>
        <c:majorTickMark val="out"/>
        <c:minorTickMark val="none"/>
        <c:tickLblPos val="low"/>
        <c:crossAx val="154872832"/>
        <c:crosses val="autoZero"/>
        <c:crossBetween val="midCat"/>
      </c:valAx>
      <c:valAx>
        <c:axId val="154872832"/>
        <c:scaling>
          <c:orientation val="minMax"/>
          <c:max val="0.4"/>
          <c:min val="-0.4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1.5965409206752944E-2"/>
              <c:y val="0.320904546701535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4897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048580667196341"/>
          <c:y val="0.57932561317857389"/>
          <c:w val="0.18757547808773745"/>
          <c:h val="0.3835769734894400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568281390052377E-2"/>
          <c:y val="4.7741487857672453E-2"/>
          <c:w val="0.85188547327406861"/>
          <c:h val="0.93416548228469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9.0528915692106009E-3"/>
                  <c:y val="0.70369401110486496"/>
                </c:manualLayout>
              </c:layout>
              <c:numFmt formatCode="General" sourceLinked="0"/>
            </c:trendlineLbl>
          </c:trendline>
          <c:xVal>
            <c:numRef>
              <c:f>'HAD global'!$N$16:$N$172</c:f>
              <c:numCache>
                <c:formatCode>General</c:formatCode>
                <c:ptCount val="157"/>
                <c:pt idx="0">
                  <c:v>-0.38691700000000001</c:v>
                </c:pt>
                <c:pt idx="1">
                  <c:v>0.16941700000000001</c:v>
                </c:pt>
                <c:pt idx="2">
                  <c:v>0.19866700000000001</c:v>
                </c:pt>
                <c:pt idx="3">
                  <c:v>-0.28141699999999997</c:v>
                </c:pt>
                <c:pt idx="4">
                  <c:v>9.7916699999999995E-2</c:v>
                </c:pt>
                <c:pt idx="5">
                  <c:v>-0.26074999999999998</c:v>
                </c:pt>
                <c:pt idx="6">
                  <c:v>-0.53241700000000003</c:v>
                </c:pt>
                <c:pt idx="7">
                  <c:v>-0.442417</c:v>
                </c:pt>
                <c:pt idx="8">
                  <c:v>-0.50975000000000004</c:v>
                </c:pt>
                <c:pt idx="9">
                  <c:v>-0.251083</c:v>
                </c:pt>
                <c:pt idx="10">
                  <c:v>-0.61016700000000001</c:v>
                </c:pt>
                <c:pt idx="11">
                  <c:v>-0.45683299999999999</c:v>
                </c:pt>
                <c:pt idx="12">
                  <c:v>-0.69641699999999995</c:v>
                </c:pt>
                <c:pt idx="13">
                  <c:v>-0.22558300000000001</c:v>
                </c:pt>
                <c:pt idx="14">
                  <c:v>-0.70750000000000002</c:v>
                </c:pt>
                <c:pt idx="15">
                  <c:v>-0.39166699999999999</c:v>
                </c:pt>
                <c:pt idx="16">
                  <c:v>-0.35299999999999998</c:v>
                </c:pt>
                <c:pt idx="17">
                  <c:v>-0.51249999999999996</c:v>
                </c:pt>
                <c:pt idx="18">
                  <c:v>-0.32791700000000001</c:v>
                </c:pt>
                <c:pt idx="19">
                  <c:v>-0.29658299999999999</c:v>
                </c:pt>
                <c:pt idx="20">
                  <c:v>-0.468333</c:v>
                </c:pt>
                <c:pt idx="21">
                  <c:v>-0.58691700000000002</c:v>
                </c:pt>
                <c:pt idx="22">
                  <c:v>-0.28008300000000003</c:v>
                </c:pt>
                <c:pt idx="23">
                  <c:v>-0.34525</c:v>
                </c:pt>
                <c:pt idx="24">
                  <c:v>-0.42908299999999999</c:v>
                </c:pt>
                <c:pt idx="25">
                  <c:v>-0.81258300000000006</c:v>
                </c:pt>
                <c:pt idx="26">
                  <c:v>-0.45491700000000002</c:v>
                </c:pt>
                <c:pt idx="27">
                  <c:v>-0.27516699999999999</c:v>
                </c:pt>
                <c:pt idx="28">
                  <c:v>-3.4416700000000001E-2</c:v>
                </c:pt>
                <c:pt idx="29">
                  <c:v>-0.49425000000000002</c:v>
                </c:pt>
                <c:pt idx="30">
                  <c:v>-0.30708299999999999</c:v>
                </c:pt>
                <c:pt idx="31">
                  <c:v>-0.43149999999999999</c:v>
                </c:pt>
                <c:pt idx="32">
                  <c:v>-0.286833</c:v>
                </c:pt>
                <c:pt idx="33">
                  <c:v>-0.52466699999999999</c:v>
                </c:pt>
                <c:pt idx="34">
                  <c:v>-0.61224999999999996</c:v>
                </c:pt>
                <c:pt idx="35">
                  <c:v>-0.60758299999999998</c:v>
                </c:pt>
                <c:pt idx="36">
                  <c:v>-0.497083</c:v>
                </c:pt>
                <c:pt idx="37">
                  <c:v>-0.51675000000000004</c:v>
                </c:pt>
                <c:pt idx="38">
                  <c:v>-0.58466700000000005</c:v>
                </c:pt>
                <c:pt idx="39">
                  <c:v>-0.31858300000000001</c:v>
                </c:pt>
                <c:pt idx="40">
                  <c:v>-0.42291699999999999</c:v>
                </c:pt>
                <c:pt idx="41">
                  <c:v>-0.56016699999999997</c:v>
                </c:pt>
                <c:pt idx="42">
                  <c:v>-0.63624999999999998</c:v>
                </c:pt>
                <c:pt idx="43">
                  <c:v>-0.70241699999999996</c:v>
                </c:pt>
                <c:pt idx="44">
                  <c:v>-0.46308300000000002</c:v>
                </c:pt>
                <c:pt idx="45">
                  <c:v>-0.56983300000000003</c:v>
                </c:pt>
                <c:pt idx="46">
                  <c:v>-0.404167</c:v>
                </c:pt>
                <c:pt idx="47">
                  <c:v>-0.31924999999999998</c:v>
                </c:pt>
                <c:pt idx="48">
                  <c:v>-0.38041700000000001</c:v>
                </c:pt>
                <c:pt idx="49">
                  <c:v>-0.32991700000000002</c:v>
                </c:pt>
                <c:pt idx="50">
                  <c:v>-0.19775000000000001</c:v>
                </c:pt>
                <c:pt idx="51">
                  <c:v>-0.19316700000000001</c:v>
                </c:pt>
                <c:pt idx="52">
                  <c:v>-0.42033300000000001</c:v>
                </c:pt>
                <c:pt idx="53">
                  <c:v>-0.41225000000000001</c:v>
                </c:pt>
                <c:pt idx="54">
                  <c:v>-0.54074999999999995</c:v>
                </c:pt>
                <c:pt idx="55">
                  <c:v>-0.43075000000000002</c:v>
                </c:pt>
                <c:pt idx="56">
                  <c:v>-0.23108300000000001</c:v>
                </c:pt>
                <c:pt idx="57">
                  <c:v>-0.62008300000000005</c:v>
                </c:pt>
                <c:pt idx="58">
                  <c:v>-0.48633300000000002</c:v>
                </c:pt>
                <c:pt idx="59">
                  <c:v>-0.46608300000000003</c:v>
                </c:pt>
                <c:pt idx="60">
                  <c:v>-0.34175</c:v>
                </c:pt>
                <c:pt idx="61">
                  <c:v>-0.438917</c:v>
                </c:pt>
                <c:pt idx="62">
                  <c:v>-0.47441699999999998</c:v>
                </c:pt>
                <c:pt idx="63">
                  <c:v>-0.33766699999999999</c:v>
                </c:pt>
                <c:pt idx="64">
                  <c:v>-9.7583299999999998E-2</c:v>
                </c:pt>
                <c:pt idx="65">
                  <c:v>-0.14041699999999999</c:v>
                </c:pt>
                <c:pt idx="66">
                  <c:v>-0.370583</c:v>
                </c:pt>
                <c:pt idx="67">
                  <c:v>-0.68525000000000003</c:v>
                </c:pt>
                <c:pt idx="68">
                  <c:v>-0.45466699999999999</c:v>
                </c:pt>
                <c:pt idx="69">
                  <c:v>-0.32316699999999998</c:v>
                </c:pt>
                <c:pt idx="70">
                  <c:v>-0.27691700000000002</c:v>
                </c:pt>
                <c:pt idx="71">
                  <c:v>-9.7750000000000004E-2</c:v>
                </c:pt>
                <c:pt idx="72">
                  <c:v>-0.26258300000000001</c:v>
                </c:pt>
                <c:pt idx="73">
                  <c:v>-0.25233299999999997</c:v>
                </c:pt>
                <c:pt idx="74">
                  <c:v>-0.34191700000000003</c:v>
                </c:pt>
                <c:pt idx="75">
                  <c:v>-0.20974999999999999</c:v>
                </c:pt>
                <c:pt idx="76">
                  <c:v>-6.275E-2</c:v>
                </c:pt>
                <c:pt idx="77">
                  <c:v>-0.23008300000000001</c:v>
                </c:pt>
                <c:pt idx="78">
                  <c:v>-0.158333</c:v>
                </c:pt>
                <c:pt idx="79">
                  <c:v>-0.44674999999999998</c:v>
                </c:pt>
                <c:pt idx="80">
                  <c:v>-0.1</c:v>
                </c:pt>
                <c:pt idx="81">
                  <c:v>-8.6749999999999994E-2</c:v>
                </c:pt>
                <c:pt idx="82">
                  <c:v>-6.7583299999999999E-2</c:v>
                </c:pt>
                <c:pt idx="83">
                  <c:v>-0.31316699999999997</c:v>
                </c:pt>
                <c:pt idx="84">
                  <c:v>-6.2500000000000003E-3</c:v>
                </c:pt>
                <c:pt idx="85">
                  <c:v>-0.14691699999999999</c:v>
                </c:pt>
                <c:pt idx="86">
                  <c:v>-9.9666699999999997E-2</c:v>
                </c:pt>
                <c:pt idx="87">
                  <c:v>-2.9666700000000001E-2</c:v>
                </c:pt>
                <c:pt idx="88">
                  <c:v>0.16708300000000001</c:v>
                </c:pt>
                <c:pt idx="89">
                  <c:v>1.6500000000000001E-2</c:v>
                </c:pt>
                <c:pt idx="90">
                  <c:v>-2.89167E-2</c:v>
                </c:pt>
                <c:pt idx="91">
                  <c:v>-3.9833300000000002E-2</c:v>
                </c:pt>
                <c:pt idx="92">
                  <c:v>-4.1333300000000003E-2</c:v>
                </c:pt>
                <c:pt idx="93">
                  <c:v>2.375E-2</c:v>
                </c:pt>
                <c:pt idx="94">
                  <c:v>0.11774999999999999</c:v>
                </c:pt>
                <c:pt idx="95">
                  <c:v>-0.115</c:v>
                </c:pt>
                <c:pt idx="96">
                  <c:v>-6.5916699999999995E-2</c:v>
                </c:pt>
                <c:pt idx="97">
                  <c:v>-7.8333299999999995E-3</c:v>
                </c:pt>
                <c:pt idx="98">
                  <c:v>4.2500000000000003E-3</c:v>
                </c:pt>
                <c:pt idx="99">
                  <c:v>-0.106833</c:v>
                </c:pt>
                <c:pt idx="100">
                  <c:v>-0.29691699999999999</c:v>
                </c:pt>
                <c:pt idx="101">
                  <c:v>-0.10025000000000001</c:v>
                </c:pt>
                <c:pt idx="102">
                  <c:v>-6.5083299999999997E-2</c:v>
                </c:pt>
                <c:pt idx="103">
                  <c:v>0.11666700000000001</c:v>
                </c:pt>
                <c:pt idx="104">
                  <c:v>-0.151083</c:v>
                </c:pt>
                <c:pt idx="105">
                  <c:v>-0.18149999999999999</c:v>
                </c:pt>
                <c:pt idx="106">
                  <c:v>-0.41108299999999998</c:v>
                </c:pt>
                <c:pt idx="107">
                  <c:v>-6.83333E-2</c:v>
                </c:pt>
                <c:pt idx="108">
                  <c:v>3.9416699999999999E-2</c:v>
                </c:pt>
                <c:pt idx="109">
                  <c:v>1.5833300000000002E-2</c:v>
                </c:pt>
                <c:pt idx="110">
                  <c:v>-7.1499999999999994E-2</c:v>
                </c:pt>
                <c:pt idx="111">
                  <c:v>4.4333299999999999E-2</c:v>
                </c:pt>
                <c:pt idx="112">
                  <c:v>2.8000000000000001E-2</c:v>
                </c:pt>
                <c:pt idx="113">
                  <c:v>1.7250000000000001E-2</c:v>
                </c:pt>
                <c:pt idx="114">
                  <c:v>-0.29133300000000001</c:v>
                </c:pt>
                <c:pt idx="115">
                  <c:v>-0.22791700000000001</c:v>
                </c:pt>
                <c:pt idx="116">
                  <c:v>-0.15016699999999999</c:v>
                </c:pt>
                <c:pt idx="117">
                  <c:v>-9.8333299999999998E-2</c:v>
                </c:pt>
                <c:pt idx="118">
                  <c:v>-0.20816699999999999</c:v>
                </c:pt>
                <c:pt idx="119">
                  <c:v>-0.14008300000000001</c:v>
                </c:pt>
                <c:pt idx="120">
                  <c:v>-6.5833299999999997E-2</c:v>
                </c:pt>
                <c:pt idx="121">
                  <c:v>-0.191917</c:v>
                </c:pt>
                <c:pt idx="122">
                  <c:v>-0.23549999999999999</c:v>
                </c:pt>
                <c:pt idx="123">
                  <c:v>0.1225</c:v>
                </c:pt>
                <c:pt idx="124">
                  <c:v>-0.276333</c:v>
                </c:pt>
                <c:pt idx="125">
                  <c:v>-5.5166699999999999E-2</c:v>
                </c:pt>
                <c:pt idx="126">
                  <c:v>-0.342167</c:v>
                </c:pt>
                <c:pt idx="127">
                  <c:v>7.6833299999999993E-2</c:v>
                </c:pt>
                <c:pt idx="128">
                  <c:v>-5.0583299999999998E-2</c:v>
                </c:pt>
                <c:pt idx="129">
                  <c:v>4.06667E-2</c:v>
                </c:pt>
                <c:pt idx="130">
                  <c:v>0.13275000000000001</c:v>
                </c:pt>
                <c:pt idx="131">
                  <c:v>0.314</c:v>
                </c:pt>
                <c:pt idx="132">
                  <c:v>5.0833299999999996E-3</c:v>
                </c:pt>
                <c:pt idx="133">
                  <c:v>0.32191700000000001</c:v>
                </c:pt>
                <c:pt idx="134">
                  <c:v>-3.9916699999999999E-2</c:v>
                </c:pt>
                <c:pt idx="135">
                  <c:v>-2.2833300000000001E-2</c:v>
                </c:pt>
                <c:pt idx="136">
                  <c:v>0.1245</c:v>
                </c:pt>
                <c:pt idx="137">
                  <c:v>0.24374999999999999</c:v>
                </c:pt>
                <c:pt idx="138">
                  <c:v>0.36791699999999999</c:v>
                </c:pt>
                <c:pt idx="139">
                  <c:v>0.25600000000000001</c:v>
                </c:pt>
                <c:pt idx="140">
                  <c:v>0.48275000000000001</c:v>
                </c:pt>
                <c:pt idx="141">
                  <c:v>0.39158300000000001</c:v>
                </c:pt>
                <c:pt idx="142">
                  <c:v>0.109167</c:v>
                </c:pt>
                <c:pt idx="143">
                  <c:v>0.187917</c:v>
                </c:pt>
                <c:pt idx="144">
                  <c:v>0.34458299999999997</c:v>
                </c:pt>
                <c:pt idx="145">
                  <c:v>0.58499999999999996</c:v>
                </c:pt>
                <c:pt idx="146">
                  <c:v>0.23400000000000001</c:v>
                </c:pt>
                <c:pt idx="147">
                  <c:v>0.52383299999999999</c:v>
                </c:pt>
                <c:pt idx="148">
                  <c:v>0.79533299999999996</c:v>
                </c:pt>
                <c:pt idx="149">
                  <c:v>0.5605</c:v>
                </c:pt>
                <c:pt idx="150">
                  <c:v>0.48816700000000002</c:v>
                </c:pt>
                <c:pt idx="151">
                  <c:v>0.66483300000000001</c:v>
                </c:pt>
                <c:pt idx="152">
                  <c:v>0.76633300000000004</c:v>
                </c:pt>
                <c:pt idx="153">
                  <c:v>0.749583</c:v>
                </c:pt>
                <c:pt idx="154">
                  <c:v>0.67366700000000002</c:v>
                </c:pt>
                <c:pt idx="155">
                  <c:v>0.86233300000000002</c:v>
                </c:pt>
                <c:pt idx="156">
                  <c:v>0.80716699999999997</c:v>
                </c:pt>
              </c:numCache>
            </c:numRef>
          </c:xVal>
          <c:yVal>
            <c:numRef>
              <c:f>'HAD global'!$Q$16:$Q$172</c:f>
              <c:numCache>
                <c:formatCode>General</c:formatCode>
                <c:ptCount val="157"/>
                <c:pt idx="0">
                  <c:v>-0.42375000000000002</c:v>
                </c:pt>
                <c:pt idx="1">
                  <c:v>-0.30166700000000002</c:v>
                </c:pt>
                <c:pt idx="2">
                  <c:v>-0.28499999999999998</c:v>
                </c:pt>
                <c:pt idx="3">
                  <c:v>-0.31166700000000003</c:v>
                </c:pt>
                <c:pt idx="4">
                  <c:v>-0.33424999999999999</c:v>
                </c:pt>
                <c:pt idx="5">
                  <c:v>-0.29316700000000001</c:v>
                </c:pt>
                <c:pt idx="6">
                  <c:v>-0.38991700000000001</c:v>
                </c:pt>
                <c:pt idx="7">
                  <c:v>-0.50524999999999998</c:v>
                </c:pt>
                <c:pt idx="8">
                  <c:v>-0.52925</c:v>
                </c:pt>
                <c:pt idx="9">
                  <c:v>-0.408833</c:v>
                </c:pt>
                <c:pt idx="10">
                  <c:v>-0.317</c:v>
                </c:pt>
                <c:pt idx="11">
                  <c:v>-0.41866700000000001</c:v>
                </c:pt>
                <c:pt idx="12">
                  <c:v>-0.49191699999999999</c:v>
                </c:pt>
                <c:pt idx="13">
                  <c:v>-0.44783299999999998</c:v>
                </c:pt>
                <c:pt idx="14">
                  <c:v>-0.40749999999999997</c:v>
                </c:pt>
                <c:pt idx="15">
                  <c:v>-0.25716699999999998</c:v>
                </c:pt>
                <c:pt idx="16">
                  <c:v>-0.26666699999999999</c:v>
                </c:pt>
                <c:pt idx="17">
                  <c:v>-0.22725000000000001</c:v>
                </c:pt>
                <c:pt idx="18">
                  <c:v>-0.192417</c:v>
                </c:pt>
                <c:pt idx="19">
                  <c:v>-0.28141699999999997</c:v>
                </c:pt>
                <c:pt idx="20">
                  <c:v>-0.23658299999999999</c:v>
                </c:pt>
                <c:pt idx="21">
                  <c:v>-0.26966699999999999</c:v>
                </c:pt>
                <c:pt idx="22">
                  <c:v>-0.281333</c:v>
                </c:pt>
                <c:pt idx="23">
                  <c:v>-0.32991700000000002</c:v>
                </c:pt>
                <c:pt idx="24">
                  <c:v>-0.41483300000000001</c:v>
                </c:pt>
                <c:pt idx="25">
                  <c:v>-0.29325000000000001</c:v>
                </c:pt>
                <c:pt idx="26">
                  <c:v>-0.39441700000000002</c:v>
                </c:pt>
                <c:pt idx="27">
                  <c:v>-5.7666700000000001E-2</c:v>
                </c:pt>
                <c:pt idx="28">
                  <c:v>4.1666700000000001E-4</c:v>
                </c:pt>
                <c:pt idx="29">
                  <c:v>-0.245917</c:v>
                </c:pt>
                <c:pt idx="30">
                  <c:v>-0.247417</c:v>
                </c:pt>
                <c:pt idx="31">
                  <c:v>-0.21675</c:v>
                </c:pt>
                <c:pt idx="32">
                  <c:v>-0.27066699999999999</c:v>
                </c:pt>
                <c:pt idx="33">
                  <c:v>-0.26158300000000001</c:v>
                </c:pt>
                <c:pt idx="34">
                  <c:v>-0.32066699999999998</c:v>
                </c:pt>
                <c:pt idx="35">
                  <c:v>-0.29899999999999999</c:v>
                </c:pt>
                <c:pt idx="36">
                  <c:v>-0.219917</c:v>
                </c:pt>
                <c:pt idx="37">
                  <c:v>-0.34841699999999998</c:v>
                </c:pt>
                <c:pt idx="38">
                  <c:v>-0.25316699999999998</c:v>
                </c:pt>
                <c:pt idx="39">
                  <c:v>-0.16308300000000001</c:v>
                </c:pt>
                <c:pt idx="40">
                  <c:v>-0.44574999999999998</c:v>
                </c:pt>
                <c:pt idx="41">
                  <c:v>-0.30975000000000003</c:v>
                </c:pt>
                <c:pt idx="42">
                  <c:v>-0.44450000000000001</c:v>
                </c:pt>
                <c:pt idx="43">
                  <c:v>-0.42241699999999999</c:v>
                </c:pt>
                <c:pt idx="44">
                  <c:v>-0.46274999999999999</c:v>
                </c:pt>
                <c:pt idx="45">
                  <c:v>-0.34691699999999998</c:v>
                </c:pt>
                <c:pt idx="46">
                  <c:v>-0.156417</c:v>
                </c:pt>
                <c:pt idx="47">
                  <c:v>-0.20749999999999999</c:v>
                </c:pt>
                <c:pt idx="48">
                  <c:v>-0.42699999999999999</c:v>
                </c:pt>
                <c:pt idx="49">
                  <c:v>-0.313083</c:v>
                </c:pt>
                <c:pt idx="50">
                  <c:v>-0.22683300000000001</c:v>
                </c:pt>
                <c:pt idx="51">
                  <c:v>-0.35175000000000001</c:v>
                </c:pt>
                <c:pt idx="52">
                  <c:v>-0.43383300000000002</c:v>
                </c:pt>
                <c:pt idx="53">
                  <c:v>-0.53716699999999995</c:v>
                </c:pt>
                <c:pt idx="54">
                  <c:v>-0.562083</c:v>
                </c:pt>
                <c:pt idx="55">
                  <c:v>-0.42083300000000001</c:v>
                </c:pt>
                <c:pt idx="56">
                  <c:v>-0.3725</c:v>
                </c:pt>
                <c:pt idx="57">
                  <c:v>-0.46391700000000002</c:v>
                </c:pt>
                <c:pt idx="58">
                  <c:v>-0.57683300000000004</c:v>
                </c:pt>
                <c:pt idx="59">
                  <c:v>-0.58750000000000002</c:v>
                </c:pt>
                <c:pt idx="60">
                  <c:v>-0.61475000000000002</c:v>
                </c:pt>
                <c:pt idx="61">
                  <c:v>-0.59141699999999997</c:v>
                </c:pt>
                <c:pt idx="62">
                  <c:v>-0.47558299999999998</c:v>
                </c:pt>
                <c:pt idx="63">
                  <c:v>-0.52241700000000002</c:v>
                </c:pt>
                <c:pt idx="64">
                  <c:v>-0.35683300000000001</c:v>
                </c:pt>
                <c:pt idx="65">
                  <c:v>-0.250083</c:v>
                </c:pt>
                <c:pt idx="66">
                  <c:v>-0.44408300000000001</c:v>
                </c:pt>
                <c:pt idx="67">
                  <c:v>-0.44433299999999998</c:v>
                </c:pt>
                <c:pt idx="68">
                  <c:v>-0.36666700000000002</c:v>
                </c:pt>
                <c:pt idx="69">
                  <c:v>-0.35725000000000001</c:v>
                </c:pt>
                <c:pt idx="70">
                  <c:v>-0.32091700000000001</c:v>
                </c:pt>
                <c:pt idx="71">
                  <c:v>-0.31991700000000001</c:v>
                </c:pt>
                <c:pt idx="72">
                  <c:v>-0.41449999999999998</c:v>
                </c:pt>
                <c:pt idx="73">
                  <c:v>-0.37783299999999997</c:v>
                </c:pt>
                <c:pt idx="74">
                  <c:v>-0.35166700000000001</c:v>
                </c:pt>
                <c:pt idx="75">
                  <c:v>-0.3155</c:v>
                </c:pt>
                <c:pt idx="76">
                  <c:v>-0.187667</c:v>
                </c:pt>
                <c:pt idx="77">
                  <c:v>-0.24249999999999999</c:v>
                </c:pt>
                <c:pt idx="78">
                  <c:v>-0.26766699999999999</c:v>
                </c:pt>
                <c:pt idx="79">
                  <c:v>-0.32808300000000001</c:v>
                </c:pt>
                <c:pt idx="80">
                  <c:v>-0.17150000000000001</c:v>
                </c:pt>
                <c:pt idx="81">
                  <c:v>-0.13858300000000001</c:v>
                </c:pt>
                <c:pt idx="82">
                  <c:v>-0.186833</c:v>
                </c:pt>
                <c:pt idx="83">
                  <c:v>-0.27383299999999999</c:v>
                </c:pt>
                <c:pt idx="84">
                  <c:v>-0.20574999999999999</c:v>
                </c:pt>
                <c:pt idx="85">
                  <c:v>-0.188167</c:v>
                </c:pt>
                <c:pt idx="86">
                  <c:v>-0.154917</c:v>
                </c:pt>
                <c:pt idx="87">
                  <c:v>-1.6416699999999999E-2</c:v>
                </c:pt>
                <c:pt idx="88">
                  <c:v>-5.1416700000000003E-2</c:v>
                </c:pt>
                <c:pt idx="89">
                  <c:v>-5.0000000000000001E-3</c:v>
                </c:pt>
                <c:pt idx="90">
                  <c:v>2.1250000000000002E-2</c:v>
                </c:pt>
                <c:pt idx="91">
                  <c:v>0.13591700000000001</c:v>
                </c:pt>
                <c:pt idx="92">
                  <c:v>-1.14167E-2</c:v>
                </c:pt>
                <c:pt idx="93">
                  <c:v>-2.5999999999999999E-2</c:v>
                </c:pt>
                <c:pt idx="94">
                  <c:v>9.5333299999999996E-2</c:v>
                </c:pt>
                <c:pt idx="95">
                  <c:v>5.8083299999999997E-2</c:v>
                </c:pt>
                <c:pt idx="96">
                  <c:v>-0.26274999999999998</c:v>
                </c:pt>
                <c:pt idx="97">
                  <c:v>-0.29391699999999998</c:v>
                </c:pt>
                <c:pt idx="98">
                  <c:v>-0.29691699999999999</c:v>
                </c:pt>
                <c:pt idx="99">
                  <c:v>-0.24191699999999999</c:v>
                </c:pt>
                <c:pt idx="100">
                  <c:v>-0.27316699999999999</c:v>
                </c:pt>
                <c:pt idx="101">
                  <c:v>-0.17449999999999999</c:v>
                </c:pt>
                <c:pt idx="102">
                  <c:v>-7.4499999999999997E-2</c:v>
                </c:pt>
                <c:pt idx="103">
                  <c:v>-7.6666700000000004E-2</c:v>
                </c:pt>
                <c:pt idx="104">
                  <c:v>-0.25900000000000001</c:v>
                </c:pt>
                <c:pt idx="105">
                  <c:v>-0.30708299999999999</c:v>
                </c:pt>
                <c:pt idx="106">
                  <c:v>-0.27366699999999999</c:v>
                </c:pt>
                <c:pt idx="107">
                  <c:v>-5.4416699999999998E-2</c:v>
                </c:pt>
                <c:pt idx="108">
                  <c:v>-2.2916700000000002E-2</c:v>
                </c:pt>
                <c:pt idx="109">
                  <c:v>-7.1583300000000002E-2</c:v>
                </c:pt>
                <c:pt idx="110">
                  <c:v>-0.10625</c:v>
                </c:pt>
                <c:pt idx="111">
                  <c:v>-3.5583299999999998E-2</c:v>
                </c:pt>
                <c:pt idx="112">
                  <c:v>-4.8083300000000002E-2</c:v>
                </c:pt>
                <c:pt idx="113">
                  <c:v>-2.7916699999999999E-2</c:v>
                </c:pt>
                <c:pt idx="114">
                  <c:v>-0.26008300000000001</c:v>
                </c:pt>
                <c:pt idx="115">
                  <c:v>-0.216917</c:v>
                </c:pt>
                <c:pt idx="116">
                  <c:v>-0.121333</c:v>
                </c:pt>
                <c:pt idx="117">
                  <c:v>-0.152333</c:v>
                </c:pt>
                <c:pt idx="118">
                  <c:v>-0.125583</c:v>
                </c:pt>
                <c:pt idx="119">
                  <c:v>5.5500000000000001E-2</c:v>
                </c:pt>
                <c:pt idx="120">
                  <c:v>-6.7666699999999996E-2</c:v>
                </c:pt>
                <c:pt idx="121">
                  <c:v>-0.20233300000000001</c:v>
                </c:pt>
                <c:pt idx="122">
                  <c:v>1.2166700000000001E-2</c:v>
                </c:pt>
                <c:pt idx="123">
                  <c:v>3.5416700000000002E-2</c:v>
                </c:pt>
                <c:pt idx="124">
                  <c:v>-0.16383300000000001</c:v>
                </c:pt>
                <c:pt idx="125">
                  <c:v>-0.20558299999999999</c:v>
                </c:pt>
                <c:pt idx="126">
                  <c:v>-0.20133300000000001</c:v>
                </c:pt>
                <c:pt idx="127">
                  <c:v>-1.8833300000000001E-2</c:v>
                </c:pt>
                <c:pt idx="128">
                  <c:v>-5.9666700000000003E-2</c:v>
                </c:pt>
                <c:pt idx="129">
                  <c:v>5.0750000000000003E-2</c:v>
                </c:pt>
                <c:pt idx="130">
                  <c:v>4.5999999999999999E-2</c:v>
                </c:pt>
                <c:pt idx="131">
                  <c:v>2.6749999999999999E-2</c:v>
                </c:pt>
                <c:pt idx="132">
                  <c:v>2.2249999999999999E-2</c:v>
                </c:pt>
                <c:pt idx="133">
                  <c:v>0.11566700000000001</c:v>
                </c:pt>
                <c:pt idx="134">
                  <c:v>-6.2500000000000003E-3</c:v>
                </c:pt>
                <c:pt idx="135">
                  <c:v>-4.4499999999999998E-2</c:v>
                </c:pt>
                <c:pt idx="136">
                  <c:v>-2.0250000000000001E-2</c:v>
                </c:pt>
                <c:pt idx="137">
                  <c:v>0.13991700000000001</c:v>
                </c:pt>
                <c:pt idx="138">
                  <c:v>0.106083</c:v>
                </c:pt>
                <c:pt idx="139">
                  <c:v>6.0083299999999999E-2</c:v>
                </c:pt>
                <c:pt idx="140">
                  <c:v>0.182417</c:v>
                </c:pt>
                <c:pt idx="141">
                  <c:v>0.15575</c:v>
                </c:pt>
                <c:pt idx="142">
                  <c:v>5.5583300000000002E-2</c:v>
                </c:pt>
                <c:pt idx="143">
                  <c:v>7.5083300000000006E-2</c:v>
                </c:pt>
                <c:pt idx="144">
                  <c:v>0.124167</c:v>
                </c:pt>
                <c:pt idx="145">
                  <c:v>0.18141699999999999</c:v>
                </c:pt>
                <c:pt idx="146">
                  <c:v>0.11325</c:v>
                </c:pt>
                <c:pt idx="147">
                  <c:v>0.30258299999999999</c:v>
                </c:pt>
                <c:pt idx="148">
                  <c:v>0.45124999999999998</c:v>
                </c:pt>
                <c:pt idx="149">
                  <c:v>0.20849999999999999</c:v>
                </c:pt>
                <c:pt idx="150">
                  <c:v>0.219333</c:v>
                </c:pt>
                <c:pt idx="151">
                  <c:v>0.33533299999999999</c:v>
                </c:pt>
                <c:pt idx="152">
                  <c:v>0.376083</c:v>
                </c:pt>
                <c:pt idx="153">
                  <c:v>0.406333</c:v>
                </c:pt>
                <c:pt idx="154">
                  <c:v>0.38274999999999998</c:v>
                </c:pt>
                <c:pt idx="155">
                  <c:v>0.38333299999999998</c:v>
                </c:pt>
                <c:pt idx="156">
                  <c:v>0.34041700000000003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18400"/>
        <c:axId val="159716480"/>
      </c:scatterChart>
      <c:valAx>
        <c:axId val="15971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land</a:t>
                </a:r>
              </a:p>
            </c:rich>
          </c:tx>
          <c:layout>
            <c:manualLayout>
              <c:xMode val="edge"/>
              <c:yMode val="edge"/>
              <c:x val="0.85697631783180817"/>
              <c:y val="0.513157378684112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9716480"/>
        <c:crosses val="autoZero"/>
        <c:crossBetween val="midCat"/>
      </c:valAx>
      <c:valAx>
        <c:axId val="1597164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sst</a:t>
                </a:r>
              </a:p>
            </c:rich>
          </c:tx>
          <c:layout>
            <c:manualLayout>
              <c:xMode val="edge"/>
              <c:yMode val="edge"/>
              <c:x val="0.37197753281135482"/>
              <c:y val="9.1266358011433568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971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614552367258987"/>
          <c:y val="0.57696296137202796"/>
          <c:w val="0.21853448190419428"/>
          <c:h val="0.150226635614381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3142566806477343"/>
          <c:y val="3.26133038000451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2135825731105282E-2"/>
          <c:y val="3.291725885765192E-2"/>
          <c:w val="0.85188547327406861"/>
          <c:h val="0.9341654822846962"/>
        </c:manualLayout>
      </c:layout>
      <c:scatterChart>
        <c:scatterStyle val="lineMarker"/>
        <c:varyColors val="0"/>
        <c:ser>
          <c:idx val="0"/>
          <c:order val="0"/>
          <c:tx>
            <c:v>global vs composed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1.1748822532989714E-2"/>
                  <c:y val="0.69846771166197585"/>
                </c:manualLayout>
              </c:layout>
              <c:numFmt formatCode="General" sourceLinked="0"/>
            </c:trendlineLbl>
          </c:trendline>
          <c:xVal>
            <c:numRef>
              <c:f>'HAD global'!$B$56:$B$172</c:f>
              <c:numCache>
                <c:formatCode>General</c:formatCode>
                <c:ptCount val="117"/>
                <c:pt idx="0">
                  <c:v>-0.41128842999999993</c:v>
                </c:pt>
                <c:pt idx="1">
                  <c:v>-0.35453093000000002</c:v>
                </c:pt>
                <c:pt idx="2">
                  <c:v>-0.47226750000000006</c:v>
                </c:pt>
                <c:pt idx="3">
                  <c:v>-0.47577700000000001</c:v>
                </c:pt>
                <c:pt idx="4">
                  <c:v>-0.43500656999999998</c:v>
                </c:pt>
                <c:pt idx="5">
                  <c:v>-0.38372264</c:v>
                </c:pt>
                <c:pt idx="6">
                  <c:v>-0.20042450000000001</c:v>
                </c:pt>
                <c:pt idx="7">
                  <c:v>-0.21206749999999996</c:v>
                </c:pt>
                <c:pt idx="8">
                  <c:v>-0.38565093</c:v>
                </c:pt>
                <c:pt idx="9">
                  <c:v>-0.29012486000000004</c:v>
                </c:pt>
                <c:pt idx="10">
                  <c:v>-0.19055893000000002</c:v>
                </c:pt>
                <c:pt idx="11">
                  <c:v>-0.27792093000000001</c:v>
                </c:pt>
                <c:pt idx="12">
                  <c:v>-0.40207799999999999</c:v>
                </c:pt>
                <c:pt idx="13">
                  <c:v>-0.47310106999999996</c:v>
                </c:pt>
                <c:pt idx="14">
                  <c:v>-0.52805643000000002</c:v>
                </c:pt>
                <c:pt idx="15">
                  <c:v>-0.39586893000000001</c:v>
                </c:pt>
                <c:pt idx="16">
                  <c:v>-0.30364906999999997</c:v>
                </c:pt>
                <c:pt idx="17">
                  <c:v>-0.48136514000000008</c:v>
                </c:pt>
                <c:pt idx="18">
                  <c:v>-0.52274799999999999</c:v>
                </c:pt>
                <c:pt idx="19">
                  <c:v>-0.52444906999999996</c:v>
                </c:pt>
                <c:pt idx="20">
                  <c:v>-0.50773999999999997</c:v>
                </c:pt>
                <c:pt idx="21">
                  <c:v>-0.51935200000000004</c:v>
                </c:pt>
                <c:pt idx="22">
                  <c:v>-0.44740485999999996</c:v>
                </c:pt>
                <c:pt idx="23">
                  <c:v>-0.44099949999999999</c:v>
                </c:pt>
                <c:pt idx="24">
                  <c:v>-0.25381058699999998</c:v>
                </c:pt>
                <c:pt idx="25">
                  <c:v>-0.19043985999999999</c:v>
                </c:pt>
                <c:pt idx="26">
                  <c:v>-0.394928</c:v>
                </c:pt>
                <c:pt idx="27">
                  <c:v>-0.48635893000000002</c:v>
                </c:pt>
                <c:pt idx="28">
                  <c:v>-0.36434700000000003</c:v>
                </c:pt>
                <c:pt idx="29">
                  <c:v>-0.31952592999999996</c:v>
                </c:pt>
                <c:pt idx="30">
                  <c:v>-0.28031699999999998</c:v>
                </c:pt>
                <c:pt idx="31">
                  <c:v>-0.22764856999999999</c:v>
                </c:pt>
                <c:pt idx="32">
                  <c:v>-0.34260406999999998</c:v>
                </c:pt>
                <c:pt idx="33">
                  <c:v>-0.31359799999999999</c:v>
                </c:pt>
                <c:pt idx="34">
                  <c:v>-0.32099949999999999</c:v>
                </c:pt>
                <c:pt idx="35">
                  <c:v>-0.25699249999999996</c:v>
                </c:pt>
                <c:pt idx="36">
                  <c:v>-0.12360107000000001</c:v>
                </c:pt>
                <c:pt idx="37">
                  <c:v>-0.21105907000000002</c:v>
                </c:pt>
                <c:pt idx="38">
                  <c:v>-0.20812014000000001</c:v>
                </c:pt>
                <c:pt idx="39">
                  <c:v>-0.33465643</c:v>
                </c:pt>
                <c:pt idx="40">
                  <c:v>-0.12292499999999999</c:v>
                </c:pt>
                <c:pt idx="41">
                  <c:v>-9.571143E-2</c:v>
                </c:pt>
                <c:pt idx="42">
                  <c:v>-0.12441058699999999</c:v>
                </c:pt>
                <c:pt idx="43">
                  <c:v>-0.25739985999999998</c:v>
                </c:pt>
                <c:pt idx="44">
                  <c:v>-0.12005499999999997</c:v>
                </c:pt>
                <c:pt idx="45">
                  <c:v>-0.14836450000000001</c:v>
                </c:pt>
                <c:pt idx="46">
                  <c:v>-0.11105441299999999</c:v>
                </c:pt>
                <c:pt idx="47">
                  <c:v>7.5808000000000021E-3</c:v>
                </c:pt>
                <c:pt idx="48">
                  <c:v>3.9788213000000017E-2</c:v>
                </c:pt>
                <c:pt idx="49">
                  <c:v>2.9075000000000007E-2</c:v>
                </c:pt>
                <c:pt idx="50">
                  <c:v>3.4541657000000003E-2</c:v>
                </c:pt>
                <c:pt idx="51">
                  <c:v>0.11278941300000001</c:v>
                </c:pt>
                <c:pt idx="52">
                  <c:v>7.7474860000000031E-3</c:v>
                </c:pt>
                <c:pt idx="53">
                  <c:v>1.6267500000000004E-2</c:v>
                </c:pt>
                <c:pt idx="54">
                  <c:v>0.12967414299999999</c:v>
                </c:pt>
                <c:pt idx="55">
                  <c:v>3.5729142999999998E-2</c:v>
                </c:pt>
                <c:pt idx="56">
                  <c:v>-0.17782834299999997</c:v>
                </c:pt>
                <c:pt idx="57">
                  <c:v>-0.18311273569999997</c:v>
                </c:pt>
                <c:pt idx="58">
                  <c:v>-0.18173856999999999</c:v>
                </c:pt>
                <c:pt idx="59">
                  <c:v>-0.17490264</c:v>
                </c:pt>
                <c:pt idx="60">
                  <c:v>-0.25221450000000001</c:v>
                </c:pt>
                <c:pt idx="61">
                  <c:v>-0.1251275</c:v>
                </c:pt>
                <c:pt idx="62">
                  <c:v>-4.3929156999999996E-2</c:v>
                </c:pt>
                <c:pt idx="63">
                  <c:v>7.2400730000000066E-3</c:v>
                </c:pt>
                <c:pt idx="64">
                  <c:v>-0.19986407</c:v>
                </c:pt>
                <c:pt idx="65">
                  <c:v>-0.24282392999999999</c:v>
                </c:pt>
                <c:pt idx="66">
                  <c:v>-0.28567764000000001</c:v>
                </c:pt>
                <c:pt idx="67">
                  <c:v>-3.0612513999999993E-2</c:v>
                </c:pt>
                <c:pt idx="68">
                  <c:v>2.2999986000000007E-2</c:v>
                </c:pt>
                <c:pt idx="69">
                  <c:v>-1.8392486E-2</c:v>
                </c:pt>
                <c:pt idx="70">
                  <c:v>-6.833249999999999E-2</c:v>
                </c:pt>
                <c:pt idx="71">
                  <c:v>1.5432514000000008E-2</c:v>
                </c:pt>
                <c:pt idx="72">
                  <c:v>1.8208570000000091E-3</c:v>
                </c:pt>
                <c:pt idx="73">
                  <c:v>1.3021643000000006E-2</c:v>
                </c:pt>
                <c:pt idx="74">
                  <c:v>-0.24130550000000001</c:v>
                </c:pt>
                <c:pt idx="75">
                  <c:v>-0.19226700000000002</c:v>
                </c:pt>
                <c:pt idx="76">
                  <c:v>-0.10185485999999999</c:v>
                </c:pt>
                <c:pt idx="77">
                  <c:v>-0.108833087</c:v>
                </c:pt>
                <c:pt idx="78">
                  <c:v>-0.12169236</c:v>
                </c:pt>
                <c:pt idx="79">
                  <c:v>2.6620929999999991E-2</c:v>
                </c:pt>
                <c:pt idx="80">
                  <c:v>-3.9295013999999989E-2</c:v>
                </c:pt>
                <c:pt idx="81">
                  <c:v>-0.17147235999999999</c:v>
                </c:pt>
                <c:pt idx="82">
                  <c:v>-3.1816642999999999E-2</c:v>
                </c:pt>
                <c:pt idx="83">
                  <c:v>8.8510856999999998E-2</c:v>
                </c:pt>
                <c:pt idx="84">
                  <c:v>-0.16861800000000002</c:v>
                </c:pt>
                <c:pt idx="85">
                  <c:v>-0.13412227299999999</c:v>
                </c:pt>
                <c:pt idx="86">
                  <c:v>-0.21433486000000002</c:v>
                </c:pt>
                <c:pt idx="87">
                  <c:v>3.6750014000000011E-2</c:v>
                </c:pt>
                <c:pt idx="88">
                  <c:v>-2.9192513999999996E-2</c:v>
                </c:pt>
                <c:pt idx="89">
                  <c:v>7.566584300000001E-2</c:v>
                </c:pt>
                <c:pt idx="90">
                  <c:v>9.8997500000000002E-2</c:v>
                </c:pt>
                <c:pt idx="91">
                  <c:v>0.13789250000000003</c:v>
                </c:pt>
                <c:pt idx="92">
                  <c:v>4.5111665699999998E-2</c:v>
                </c:pt>
                <c:pt idx="93">
                  <c:v>0.20331950000000001</c:v>
                </c:pt>
                <c:pt idx="94">
                  <c:v>1.1826657000000001E-2</c:v>
                </c:pt>
                <c:pt idx="95">
                  <c:v>-1.0376656999999994E-2</c:v>
                </c:pt>
                <c:pt idx="96">
                  <c:v>4.95675E-2</c:v>
                </c:pt>
                <c:pt idx="97">
                  <c:v>0.19786857000000002</c:v>
                </c:pt>
                <c:pt idx="98">
                  <c:v>0.20985486000000003</c:v>
                </c:pt>
                <c:pt idx="99">
                  <c:v>0.14473914300000001</c:v>
                </c:pt>
                <c:pt idx="100">
                  <c:v>0.29735357000000001</c:v>
                </c:pt>
                <c:pt idx="101">
                  <c:v>0.25198156999999999</c:v>
                </c:pt>
                <c:pt idx="102">
                  <c:v>9.8962572999999998E-2</c:v>
                </c:pt>
                <c:pt idx="103">
                  <c:v>0.135645073</c:v>
                </c:pt>
                <c:pt idx="104">
                  <c:v>0.21592764</c:v>
                </c:pt>
                <c:pt idx="105">
                  <c:v>0.32629606999999999</c:v>
                </c:pt>
                <c:pt idx="106">
                  <c:v>0.17610750000000003</c:v>
                </c:pt>
                <c:pt idx="107">
                  <c:v>0.39458549999999998</c:v>
                </c:pt>
                <c:pt idx="108">
                  <c:v>0.57887407000000002</c:v>
                </c:pt>
                <c:pt idx="109">
                  <c:v>0.33842000000000005</c:v>
                </c:pt>
                <c:pt idx="110">
                  <c:v>0.32513486000000003</c:v>
                </c:pt>
                <c:pt idx="111">
                  <c:v>0.45872800000000002</c:v>
                </c:pt>
                <c:pt idx="112">
                  <c:v>0.51709550000000004</c:v>
                </c:pt>
                <c:pt idx="113">
                  <c:v>0.53371550000000001</c:v>
                </c:pt>
                <c:pt idx="114">
                  <c:v>0.49495592999999999</c:v>
                </c:pt>
                <c:pt idx="115">
                  <c:v>0.55008299999999999</c:v>
                </c:pt>
                <c:pt idx="116">
                  <c:v>0.50361450000000008</c:v>
                </c:pt>
              </c:numCache>
            </c:numRef>
          </c:xVal>
          <c:yVal>
            <c:numRef>
              <c:f>'HAD global'!$C$56:$C$172</c:f>
              <c:numCache>
                <c:formatCode>General</c:formatCode>
                <c:ptCount val="117"/>
                <c:pt idx="0">
                  <c:v>-0.42325000000000002</c:v>
                </c:pt>
                <c:pt idx="1">
                  <c:v>-0.34100000000000003</c:v>
                </c:pt>
                <c:pt idx="2">
                  <c:v>-0.46016699999999999</c:v>
                </c:pt>
                <c:pt idx="3">
                  <c:v>-0.48066700000000001</c:v>
                </c:pt>
                <c:pt idx="4">
                  <c:v>-0.41233300000000001</c:v>
                </c:pt>
                <c:pt idx="5">
                  <c:v>-0.39541700000000002</c:v>
                </c:pt>
                <c:pt idx="6">
                  <c:v>-0.190333</c:v>
                </c:pt>
                <c:pt idx="7">
                  <c:v>-0.21008299999999999</c:v>
                </c:pt>
                <c:pt idx="8">
                  <c:v>-0.40949999999999998</c:v>
                </c:pt>
                <c:pt idx="9">
                  <c:v>-0.29116700000000001</c:v>
                </c:pt>
                <c:pt idx="10">
                  <c:v>-0.19991700000000001</c:v>
                </c:pt>
                <c:pt idx="11">
                  <c:v>-0.27058300000000002</c:v>
                </c:pt>
                <c:pt idx="12">
                  <c:v>-0.41191699999999998</c:v>
                </c:pt>
                <c:pt idx="13">
                  <c:v>-0.48199999999999998</c:v>
                </c:pt>
                <c:pt idx="14">
                  <c:v>-0.52641700000000002</c:v>
                </c:pt>
                <c:pt idx="15">
                  <c:v>-0.38416699999999998</c:v>
                </c:pt>
                <c:pt idx="16">
                  <c:v>-0.29658299999999999</c:v>
                </c:pt>
                <c:pt idx="17">
                  <c:v>-0.47791699999999998</c:v>
                </c:pt>
                <c:pt idx="18">
                  <c:v>-0.52458300000000002</c:v>
                </c:pt>
                <c:pt idx="19">
                  <c:v>-0.53491699999999998</c:v>
                </c:pt>
                <c:pt idx="20">
                  <c:v>-0.498</c:v>
                </c:pt>
                <c:pt idx="21">
                  <c:v>-0.558083</c:v>
                </c:pt>
                <c:pt idx="22">
                  <c:v>-0.45474999999999999</c:v>
                </c:pt>
                <c:pt idx="23">
                  <c:v>-0.43983299999999997</c:v>
                </c:pt>
                <c:pt idx="24">
                  <c:v>-0.26058300000000001</c:v>
                </c:pt>
                <c:pt idx="25">
                  <c:v>-0.16858300000000001</c:v>
                </c:pt>
                <c:pt idx="26">
                  <c:v>-0.39674999999999999</c:v>
                </c:pt>
                <c:pt idx="27">
                  <c:v>-0.48008299999999998</c:v>
                </c:pt>
                <c:pt idx="28">
                  <c:v>-0.35066700000000001</c:v>
                </c:pt>
                <c:pt idx="29">
                  <c:v>-0.28899999999999998</c:v>
                </c:pt>
                <c:pt idx="30">
                  <c:v>-0.253917</c:v>
                </c:pt>
                <c:pt idx="31">
                  <c:v>-0.19291700000000001</c:v>
                </c:pt>
                <c:pt idx="32">
                  <c:v>-0.31025000000000003</c:v>
                </c:pt>
                <c:pt idx="33">
                  <c:v>-0.27825</c:v>
                </c:pt>
                <c:pt idx="34">
                  <c:v>-0.30275000000000002</c:v>
                </c:pt>
                <c:pt idx="35">
                  <c:v>-0.218583</c:v>
                </c:pt>
                <c:pt idx="36">
                  <c:v>-0.112</c:v>
                </c:pt>
                <c:pt idx="37">
                  <c:v>-0.212917</c:v>
                </c:pt>
                <c:pt idx="38">
                  <c:v>-0.2155</c:v>
                </c:pt>
                <c:pt idx="39">
                  <c:v>-0.348167</c:v>
                </c:pt>
                <c:pt idx="40">
                  <c:v>-0.13666700000000001</c:v>
                </c:pt>
                <c:pt idx="41">
                  <c:v>-8.6583300000000002E-2</c:v>
                </c:pt>
                <c:pt idx="42">
                  <c:v>-0.13766700000000001</c:v>
                </c:pt>
                <c:pt idx="43">
                  <c:v>-0.276167</c:v>
                </c:pt>
                <c:pt idx="44">
                  <c:v>-0.13025</c:v>
                </c:pt>
                <c:pt idx="45">
                  <c:v>-0.17716699999999999</c:v>
                </c:pt>
                <c:pt idx="46">
                  <c:v>-0.14399999999999999</c:v>
                </c:pt>
                <c:pt idx="47">
                  <c:v>-2.5749999999999999E-2</c:v>
                </c:pt>
                <c:pt idx="48">
                  <c:v>-8.4166699999999994E-3</c:v>
                </c:pt>
                <c:pt idx="49">
                  <c:v>-5.45E-2</c:v>
                </c:pt>
                <c:pt idx="50">
                  <c:v>2.1749999999999999E-2</c:v>
                </c:pt>
                <c:pt idx="51">
                  <c:v>2.2749999999999999E-2</c:v>
                </c:pt>
                <c:pt idx="52">
                  <c:v>-2.09167E-2</c:v>
                </c:pt>
                <c:pt idx="53">
                  <c:v>-1.25E-3</c:v>
                </c:pt>
                <c:pt idx="54">
                  <c:v>0.15275</c:v>
                </c:pt>
                <c:pt idx="55">
                  <c:v>2.9916700000000001E-2</c:v>
                </c:pt>
                <c:pt idx="56">
                  <c:v>-6.7500000000000004E-2</c:v>
                </c:pt>
                <c:pt idx="57">
                  <c:v>-4.1000000000000002E-2</c:v>
                </c:pt>
                <c:pt idx="58">
                  <c:v>-3.7749999999999999E-2</c:v>
                </c:pt>
                <c:pt idx="59">
                  <c:v>-7.5333300000000006E-2</c:v>
                </c:pt>
                <c:pt idx="60">
                  <c:v>-0.17724999999999999</c:v>
                </c:pt>
                <c:pt idx="61">
                  <c:v>-5.0333299999999997E-2</c:v>
                </c:pt>
                <c:pt idx="62">
                  <c:v>3.1916699999999999E-2</c:v>
                </c:pt>
                <c:pt idx="63">
                  <c:v>9.95833E-2</c:v>
                </c:pt>
                <c:pt idx="64">
                  <c:v>-0.13250000000000001</c:v>
                </c:pt>
                <c:pt idx="65">
                  <c:v>-0.18875</c:v>
                </c:pt>
                <c:pt idx="66">
                  <c:v>-0.26324999999999998</c:v>
                </c:pt>
                <c:pt idx="67">
                  <c:v>-3.7499999999999999E-3</c:v>
                </c:pt>
                <c:pt idx="68">
                  <c:v>4.7833300000000002E-2</c:v>
                </c:pt>
                <c:pt idx="69">
                  <c:v>1.6333299999999999E-2</c:v>
                </c:pt>
                <c:pt idx="70">
                  <c:v>-5.1916700000000003E-2</c:v>
                </c:pt>
                <c:pt idx="71">
                  <c:v>4.0500000000000001E-2</c:v>
                </c:pt>
                <c:pt idx="72">
                  <c:v>1.9166699999999998E-2</c:v>
                </c:pt>
                <c:pt idx="73">
                  <c:v>5.0583299999999998E-2</c:v>
                </c:pt>
                <c:pt idx="74">
                  <c:v>-0.223833</c:v>
                </c:pt>
                <c:pt idx="75">
                  <c:v>-0.14133299999999999</c:v>
                </c:pt>
                <c:pt idx="76">
                  <c:v>-7.0499999999999993E-2</c:v>
                </c:pt>
                <c:pt idx="77">
                  <c:v>-7.5416700000000003E-2</c:v>
                </c:pt>
                <c:pt idx="78">
                  <c:v>-0.110833</c:v>
                </c:pt>
                <c:pt idx="79">
                  <c:v>2.8500000000000001E-2</c:v>
                </c:pt>
                <c:pt idx="80">
                  <c:v>-2.7833299999999998E-2</c:v>
                </c:pt>
                <c:pt idx="81">
                  <c:v>-0.184417</c:v>
                </c:pt>
                <c:pt idx="82">
                  <c:v>-6.5833299999999997E-2</c:v>
                </c:pt>
                <c:pt idx="83">
                  <c:v>6.2166699999999998E-2</c:v>
                </c:pt>
                <c:pt idx="84">
                  <c:v>-0.213417</c:v>
                </c:pt>
                <c:pt idx="85">
                  <c:v>-0.14833299999999999</c:v>
                </c:pt>
                <c:pt idx="86">
                  <c:v>-0.23866699999999999</c:v>
                </c:pt>
                <c:pt idx="87">
                  <c:v>4.675E-2</c:v>
                </c:pt>
                <c:pt idx="88">
                  <c:v>-6.1666699999999998E-2</c:v>
                </c:pt>
                <c:pt idx="89">
                  <c:v>5.7833299999999997E-2</c:v>
                </c:pt>
                <c:pt idx="90">
                  <c:v>9.2749999999999999E-2</c:v>
                </c:pt>
                <c:pt idx="91">
                  <c:v>0.14133299999999999</c:v>
                </c:pt>
                <c:pt idx="92">
                  <c:v>1.2833300000000001E-2</c:v>
                </c:pt>
                <c:pt idx="93">
                  <c:v>0.188333</c:v>
                </c:pt>
                <c:pt idx="94">
                  <c:v>-1.4749999999999999E-2</c:v>
                </c:pt>
                <c:pt idx="95">
                  <c:v>-2.8250000000000001E-2</c:v>
                </c:pt>
                <c:pt idx="96">
                  <c:v>4.6666699999999998E-2</c:v>
                </c:pt>
                <c:pt idx="97">
                  <c:v>0.184167</c:v>
                </c:pt>
                <c:pt idx="98">
                  <c:v>0.20033300000000001</c:v>
                </c:pt>
                <c:pt idx="99">
                  <c:v>0.12125</c:v>
                </c:pt>
                <c:pt idx="100">
                  <c:v>0.29266700000000001</c:v>
                </c:pt>
                <c:pt idx="101">
                  <c:v>0.252917</c:v>
                </c:pt>
                <c:pt idx="102">
                  <c:v>0.10224999999999999</c:v>
                </c:pt>
                <c:pt idx="103">
                  <c:v>0.14366699999999999</c:v>
                </c:pt>
                <c:pt idx="104">
                  <c:v>0.20216700000000001</c:v>
                </c:pt>
                <c:pt idx="105">
                  <c:v>0.32258300000000001</c:v>
                </c:pt>
                <c:pt idx="106">
                  <c:v>0.17658299999999999</c:v>
                </c:pt>
                <c:pt idx="107">
                  <c:v>0.39</c:v>
                </c:pt>
                <c:pt idx="108">
                  <c:v>0.52324999999999999</c:v>
                </c:pt>
                <c:pt idx="109">
                  <c:v>0.29925000000000002</c:v>
                </c:pt>
                <c:pt idx="110">
                  <c:v>0.29108299999999998</c:v>
                </c:pt>
                <c:pt idx="111">
                  <c:v>0.43425000000000002</c:v>
                </c:pt>
                <c:pt idx="112">
                  <c:v>0.48683300000000002</c:v>
                </c:pt>
                <c:pt idx="113">
                  <c:v>0.49816700000000003</c:v>
                </c:pt>
                <c:pt idx="114">
                  <c:v>0.4395</c:v>
                </c:pt>
                <c:pt idx="115">
                  <c:v>0.53574999999999995</c:v>
                </c:pt>
                <c:pt idx="116">
                  <c:v>0.49183300000000002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218496"/>
        <c:axId val="244244864"/>
      </c:scatterChart>
      <c:valAx>
        <c:axId val="24421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global</a:t>
                </a:r>
              </a:p>
            </c:rich>
          </c:tx>
          <c:layout>
            <c:manualLayout>
              <c:xMode val="edge"/>
              <c:yMode val="edge"/>
              <c:x val="0.80760712014391289"/>
              <c:y val="0.551700374084166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4244864"/>
        <c:crosses val="autoZero"/>
        <c:crossBetween val="midCat"/>
      </c:valAx>
      <c:valAx>
        <c:axId val="2442448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composed</a:t>
                </a:r>
              </a:p>
            </c:rich>
          </c:tx>
          <c:layout>
            <c:manualLayout>
              <c:xMode val="edge"/>
              <c:yMode val="edge"/>
              <c:x val="0.3166137626354209"/>
              <c:y val="0.1950359610115773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4218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918577616912831"/>
          <c:y val="0.62736533997209776"/>
          <c:w val="0.33729449011293716"/>
          <c:h val="0.2021011652077446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 offset +0.1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79757477171640967"/>
          <c:y val="0.28706326723323888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'with offset'!$B$16</c:f>
              <c:strCache>
                <c:ptCount val="1"/>
                <c:pt idx="0">
                  <c:v>Composed Land +Ocean</c:v>
                </c:pt>
              </c:strCache>
            </c:strRef>
          </c:tx>
          <c:marker>
            <c:symbol val="none"/>
          </c:marker>
          <c:xVal>
            <c:numRef>
              <c:f>'with offset'!$A$17:$A$173</c:f>
              <c:numCache>
                <c:formatCode>General</c:formatCode>
                <c:ptCount val="157"/>
                <c:pt idx="0">
                  <c:v>1850.17</c:v>
                </c:pt>
                <c:pt idx="1">
                  <c:v>1851.17</c:v>
                </c:pt>
                <c:pt idx="2">
                  <c:v>1852.17</c:v>
                </c:pt>
                <c:pt idx="3">
                  <c:v>1853.17</c:v>
                </c:pt>
                <c:pt idx="4">
                  <c:v>1854.17</c:v>
                </c:pt>
                <c:pt idx="5">
                  <c:v>1855.17</c:v>
                </c:pt>
                <c:pt idx="6">
                  <c:v>1856.17</c:v>
                </c:pt>
                <c:pt idx="7">
                  <c:v>1857.17</c:v>
                </c:pt>
                <c:pt idx="8">
                  <c:v>1858.17</c:v>
                </c:pt>
                <c:pt idx="9">
                  <c:v>1859.17</c:v>
                </c:pt>
                <c:pt idx="10">
                  <c:v>1860.17</c:v>
                </c:pt>
                <c:pt idx="11">
                  <c:v>1861.17</c:v>
                </c:pt>
                <c:pt idx="12">
                  <c:v>1862.17</c:v>
                </c:pt>
                <c:pt idx="13">
                  <c:v>1863.17</c:v>
                </c:pt>
                <c:pt idx="14">
                  <c:v>1864.17</c:v>
                </c:pt>
                <c:pt idx="15">
                  <c:v>1865.17</c:v>
                </c:pt>
                <c:pt idx="16">
                  <c:v>1866.17</c:v>
                </c:pt>
                <c:pt idx="17">
                  <c:v>1867.17</c:v>
                </c:pt>
                <c:pt idx="18">
                  <c:v>1868.17</c:v>
                </c:pt>
                <c:pt idx="19">
                  <c:v>1869.17</c:v>
                </c:pt>
                <c:pt idx="20">
                  <c:v>1870.17</c:v>
                </c:pt>
                <c:pt idx="21">
                  <c:v>1871.17</c:v>
                </c:pt>
                <c:pt idx="22">
                  <c:v>1872.17</c:v>
                </c:pt>
                <c:pt idx="23">
                  <c:v>1873.17</c:v>
                </c:pt>
                <c:pt idx="24">
                  <c:v>1874.17</c:v>
                </c:pt>
                <c:pt idx="25">
                  <c:v>1875.17</c:v>
                </c:pt>
                <c:pt idx="26">
                  <c:v>1876.17</c:v>
                </c:pt>
                <c:pt idx="27">
                  <c:v>1877.17</c:v>
                </c:pt>
                <c:pt idx="28">
                  <c:v>1878.17</c:v>
                </c:pt>
                <c:pt idx="29">
                  <c:v>1879.17</c:v>
                </c:pt>
                <c:pt idx="30">
                  <c:v>1880.17</c:v>
                </c:pt>
                <c:pt idx="31">
                  <c:v>1881.17</c:v>
                </c:pt>
                <c:pt idx="32">
                  <c:v>1882.17</c:v>
                </c:pt>
                <c:pt idx="33">
                  <c:v>1883.17</c:v>
                </c:pt>
                <c:pt idx="34">
                  <c:v>1884.17</c:v>
                </c:pt>
                <c:pt idx="35">
                  <c:v>1885.17</c:v>
                </c:pt>
                <c:pt idx="36">
                  <c:v>1886.17</c:v>
                </c:pt>
                <c:pt idx="37">
                  <c:v>1887.17</c:v>
                </c:pt>
                <c:pt idx="38">
                  <c:v>1888.17</c:v>
                </c:pt>
                <c:pt idx="39">
                  <c:v>1889.17</c:v>
                </c:pt>
                <c:pt idx="40">
                  <c:v>1890.17</c:v>
                </c:pt>
                <c:pt idx="41">
                  <c:v>1891.17</c:v>
                </c:pt>
                <c:pt idx="42">
                  <c:v>1892.17</c:v>
                </c:pt>
                <c:pt idx="43">
                  <c:v>1893.17</c:v>
                </c:pt>
                <c:pt idx="44">
                  <c:v>1894.17</c:v>
                </c:pt>
                <c:pt idx="45">
                  <c:v>1895.17</c:v>
                </c:pt>
                <c:pt idx="46">
                  <c:v>1896.17</c:v>
                </c:pt>
                <c:pt idx="47">
                  <c:v>1897.17</c:v>
                </c:pt>
                <c:pt idx="48">
                  <c:v>1898.17</c:v>
                </c:pt>
                <c:pt idx="49">
                  <c:v>1899.17</c:v>
                </c:pt>
                <c:pt idx="50">
                  <c:v>1900.17</c:v>
                </c:pt>
                <c:pt idx="51">
                  <c:v>1901.17</c:v>
                </c:pt>
                <c:pt idx="52">
                  <c:v>1902.17</c:v>
                </c:pt>
                <c:pt idx="53">
                  <c:v>1903.17</c:v>
                </c:pt>
                <c:pt idx="54">
                  <c:v>1904.17</c:v>
                </c:pt>
                <c:pt idx="55">
                  <c:v>1905.17</c:v>
                </c:pt>
                <c:pt idx="56">
                  <c:v>1906.17</c:v>
                </c:pt>
                <c:pt idx="57">
                  <c:v>1907.17</c:v>
                </c:pt>
                <c:pt idx="58">
                  <c:v>1908.17</c:v>
                </c:pt>
                <c:pt idx="59">
                  <c:v>1909.17</c:v>
                </c:pt>
                <c:pt idx="60">
                  <c:v>1910.17</c:v>
                </c:pt>
                <c:pt idx="61">
                  <c:v>1911.17</c:v>
                </c:pt>
                <c:pt idx="62">
                  <c:v>1912.17</c:v>
                </c:pt>
                <c:pt idx="63">
                  <c:v>1913.17</c:v>
                </c:pt>
                <c:pt idx="64">
                  <c:v>1914.17</c:v>
                </c:pt>
                <c:pt idx="65">
                  <c:v>1915.17</c:v>
                </c:pt>
                <c:pt idx="66">
                  <c:v>1916.17</c:v>
                </c:pt>
                <c:pt idx="67">
                  <c:v>1917.17</c:v>
                </c:pt>
                <c:pt idx="68">
                  <c:v>1918.17</c:v>
                </c:pt>
                <c:pt idx="69">
                  <c:v>1919.17</c:v>
                </c:pt>
                <c:pt idx="70">
                  <c:v>1920.17</c:v>
                </c:pt>
                <c:pt idx="71">
                  <c:v>1921.17</c:v>
                </c:pt>
                <c:pt idx="72">
                  <c:v>1922.17</c:v>
                </c:pt>
                <c:pt idx="73">
                  <c:v>1923.17</c:v>
                </c:pt>
                <c:pt idx="74">
                  <c:v>1924.17</c:v>
                </c:pt>
                <c:pt idx="75">
                  <c:v>1925.17</c:v>
                </c:pt>
                <c:pt idx="76">
                  <c:v>1926.17</c:v>
                </c:pt>
                <c:pt idx="77">
                  <c:v>1927.17</c:v>
                </c:pt>
                <c:pt idx="78">
                  <c:v>1928.17</c:v>
                </c:pt>
                <c:pt idx="79">
                  <c:v>1929.17</c:v>
                </c:pt>
                <c:pt idx="80">
                  <c:v>1930.17</c:v>
                </c:pt>
                <c:pt idx="81">
                  <c:v>1931.17</c:v>
                </c:pt>
                <c:pt idx="82">
                  <c:v>1932.17</c:v>
                </c:pt>
                <c:pt idx="83">
                  <c:v>1933.17</c:v>
                </c:pt>
                <c:pt idx="84">
                  <c:v>1934.17</c:v>
                </c:pt>
                <c:pt idx="85">
                  <c:v>1935.17</c:v>
                </c:pt>
                <c:pt idx="86">
                  <c:v>1936.17</c:v>
                </c:pt>
                <c:pt idx="87">
                  <c:v>1937.17</c:v>
                </c:pt>
                <c:pt idx="88">
                  <c:v>1938.17</c:v>
                </c:pt>
                <c:pt idx="89">
                  <c:v>1939.17</c:v>
                </c:pt>
                <c:pt idx="90">
                  <c:v>1940.17</c:v>
                </c:pt>
                <c:pt idx="91">
                  <c:v>1941.17</c:v>
                </c:pt>
                <c:pt idx="92">
                  <c:v>1942.17</c:v>
                </c:pt>
                <c:pt idx="93">
                  <c:v>1943.17</c:v>
                </c:pt>
                <c:pt idx="94">
                  <c:v>1944.17</c:v>
                </c:pt>
                <c:pt idx="95">
                  <c:v>1945.17</c:v>
                </c:pt>
                <c:pt idx="96">
                  <c:v>1946.17</c:v>
                </c:pt>
                <c:pt idx="97">
                  <c:v>1947.17</c:v>
                </c:pt>
                <c:pt idx="98">
                  <c:v>1948.17</c:v>
                </c:pt>
                <c:pt idx="99">
                  <c:v>1949.17</c:v>
                </c:pt>
                <c:pt idx="100">
                  <c:v>1950.17</c:v>
                </c:pt>
                <c:pt idx="101">
                  <c:v>1951.17</c:v>
                </c:pt>
                <c:pt idx="102">
                  <c:v>1952.17</c:v>
                </c:pt>
                <c:pt idx="103">
                  <c:v>1953.17</c:v>
                </c:pt>
                <c:pt idx="104">
                  <c:v>1954.17</c:v>
                </c:pt>
                <c:pt idx="105">
                  <c:v>1955.17</c:v>
                </c:pt>
                <c:pt idx="106">
                  <c:v>1956.17</c:v>
                </c:pt>
                <c:pt idx="107">
                  <c:v>1957.17</c:v>
                </c:pt>
                <c:pt idx="108">
                  <c:v>1958.17</c:v>
                </c:pt>
                <c:pt idx="109">
                  <c:v>1959.17</c:v>
                </c:pt>
                <c:pt idx="110">
                  <c:v>1960.17</c:v>
                </c:pt>
                <c:pt idx="111">
                  <c:v>1961.17</c:v>
                </c:pt>
                <c:pt idx="112">
                  <c:v>1962.17</c:v>
                </c:pt>
                <c:pt idx="113">
                  <c:v>1963.17</c:v>
                </c:pt>
                <c:pt idx="114">
                  <c:v>1964.17</c:v>
                </c:pt>
                <c:pt idx="115">
                  <c:v>1965.17</c:v>
                </c:pt>
                <c:pt idx="116">
                  <c:v>1966.17</c:v>
                </c:pt>
                <c:pt idx="117">
                  <c:v>1967.17</c:v>
                </c:pt>
                <c:pt idx="118">
                  <c:v>1968.17</c:v>
                </c:pt>
                <c:pt idx="119">
                  <c:v>1969.17</c:v>
                </c:pt>
                <c:pt idx="120">
                  <c:v>1970.17</c:v>
                </c:pt>
                <c:pt idx="121">
                  <c:v>1971.17</c:v>
                </c:pt>
                <c:pt idx="122">
                  <c:v>1972.17</c:v>
                </c:pt>
                <c:pt idx="123">
                  <c:v>1973.17</c:v>
                </c:pt>
                <c:pt idx="124">
                  <c:v>1974.17</c:v>
                </c:pt>
                <c:pt idx="125">
                  <c:v>1975.17</c:v>
                </c:pt>
                <c:pt idx="126">
                  <c:v>1976.17</c:v>
                </c:pt>
                <c:pt idx="127">
                  <c:v>1977.17</c:v>
                </c:pt>
                <c:pt idx="128">
                  <c:v>1978.17</c:v>
                </c:pt>
                <c:pt idx="129">
                  <c:v>1979.17</c:v>
                </c:pt>
                <c:pt idx="130">
                  <c:v>1980.17</c:v>
                </c:pt>
                <c:pt idx="131">
                  <c:v>1981.17</c:v>
                </c:pt>
                <c:pt idx="132">
                  <c:v>1982.17</c:v>
                </c:pt>
                <c:pt idx="133">
                  <c:v>1983.17</c:v>
                </c:pt>
                <c:pt idx="134">
                  <c:v>1984.17</c:v>
                </c:pt>
                <c:pt idx="135">
                  <c:v>1985.17</c:v>
                </c:pt>
                <c:pt idx="136">
                  <c:v>1986.17</c:v>
                </c:pt>
                <c:pt idx="137">
                  <c:v>1987.17</c:v>
                </c:pt>
                <c:pt idx="138">
                  <c:v>1988.17</c:v>
                </c:pt>
                <c:pt idx="139">
                  <c:v>1989.17</c:v>
                </c:pt>
                <c:pt idx="140">
                  <c:v>1990.17</c:v>
                </c:pt>
                <c:pt idx="141">
                  <c:v>1991.17</c:v>
                </c:pt>
                <c:pt idx="142">
                  <c:v>1992.17</c:v>
                </c:pt>
                <c:pt idx="143">
                  <c:v>1993.17</c:v>
                </c:pt>
                <c:pt idx="144">
                  <c:v>1994.17</c:v>
                </c:pt>
                <c:pt idx="145">
                  <c:v>1995.17</c:v>
                </c:pt>
                <c:pt idx="146">
                  <c:v>1996.17</c:v>
                </c:pt>
                <c:pt idx="147">
                  <c:v>1997.17</c:v>
                </c:pt>
                <c:pt idx="148">
                  <c:v>1998.17</c:v>
                </c:pt>
                <c:pt idx="149">
                  <c:v>1999.17</c:v>
                </c:pt>
                <c:pt idx="150">
                  <c:v>2000.17</c:v>
                </c:pt>
                <c:pt idx="151">
                  <c:v>2001.17</c:v>
                </c:pt>
                <c:pt idx="152">
                  <c:v>2002.17</c:v>
                </c:pt>
                <c:pt idx="153">
                  <c:v>2003.17</c:v>
                </c:pt>
                <c:pt idx="154">
                  <c:v>2004.17</c:v>
                </c:pt>
                <c:pt idx="155">
                  <c:v>2005.17</c:v>
                </c:pt>
                <c:pt idx="156">
                  <c:v>2006.17</c:v>
                </c:pt>
              </c:numCache>
            </c:numRef>
          </c:xVal>
          <c:yVal>
            <c:numRef>
              <c:f>'with offset'!$B$17:$B$173</c:f>
              <c:numCache>
                <c:formatCode>General</c:formatCode>
                <c:ptCount val="157"/>
                <c:pt idx="0">
                  <c:v>-0.21402690999999999</c:v>
                </c:pt>
                <c:pt idx="1">
                  <c:v>-0.18817498999999996</c:v>
                </c:pt>
                <c:pt idx="2">
                  <c:v>-0.24263999999999997</c:v>
                </c:pt>
                <c:pt idx="3">
                  <c:v>-0.3119401</c:v>
                </c:pt>
                <c:pt idx="4">
                  <c:v>-0.35610179999999997</c:v>
                </c:pt>
                <c:pt idx="5">
                  <c:v>-0.38748300000000002</c:v>
                </c:pt>
                <c:pt idx="6">
                  <c:v>-0.41178510000000002</c:v>
                </c:pt>
                <c:pt idx="7">
                  <c:v>-0.411275</c:v>
                </c:pt>
                <c:pt idx="8">
                  <c:v>-0.42464809999999997</c:v>
                </c:pt>
                <c:pt idx="9">
                  <c:v>-0.39620009999999994</c:v>
                </c:pt>
                <c:pt idx="10">
                  <c:v>-0.4233981</c:v>
                </c:pt>
                <c:pt idx="11">
                  <c:v>-0.40191189999999999</c:v>
                </c:pt>
                <c:pt idx="12">
                  <c:v>-0.37440180000000001</c:v>
                </c:pt>
                <c:pt idx="13">
                  <c:v>-0.32631309999999997</c:v>
                </c:pt>
                <c:pt idx="14">
                  <c:v>-0.29669509999999999</c:v>
                </c:pt>
                <c:pt idx="15">
                  <c:v>-0.254388</c:v>
                </c:pt>
                <c:pt idx="16">
                  <c:v>-0.25610699999999997</c:v>
                </c:pt>
                <c:pt idx="17">
                  <c:v>-0.27056189999999997</c:v>
                </c:pt>
                <c:pt idx="18">
                  <c:v>-0.26418819999999998</c:v>
                </c:pt>
                <c:pt idx="19">
                  <c:v>-0.28447800000000001</c:v>
                </c:pt>
                <c:pt idx="20">
                  <c:v>-0.31110680000000002</c:v>
                </c:pt>
                <c:pt idx="21">
                  <c:v>-0.33969489999999997</c:v>
                </c:pt>
                <c:pt idx="22">
                  <c:v>-0.34923989999999999</c:v>
                </c:pt>
                <c:pt idx="23">
                  <c:v>-0.31763189999999997</c:v>
                </c:pt>
                <c:pt idx="24">
                  <c:v>-0.25273489999999998</c:v>
                </c:pt>
                <c:pt idx="25">
                  <c:v>-0.23299700000000001</c:v>
                </c:pt>
                <c:pt idx="26">
                  <c:v>-0.19625009999999998</c:v>
                </c:pt>
                <c:pt idx="27">
                  <c:v>-0.16997180000000001</c:v>
                </c:pt>
                <c:pt idx="28">
                  <c:v>-0.20049199999999998</c:v>
                </c:pt>
                <c:pt idx="29">
                  <c:v>-0.26658700000000002</c:v>
                </c:pt>
                <c:pt idx="30">
                  <c:v>-0.284132</c:v>
                </c:pt>
                <c:pt idx="31">
                  <c:v>-0.30938319999999997</c:v>
                </c:pt>
                <c:pt idx="32">
                  <c:v>-0.31376179999999998</c:v>
                </c:pt>
                <c:pt idx="33">
                  <c:v>-0.33844199999999997</c:v>
                </c:pt>
                <c:pt idx="34">
                  <c:v>-0.34086320000000003</c:v>
                </c:pt>
                <c:pt idx="35">
                  <c:v>-0.30118179999999994</c:v>
                </c:pt>
                <c:pt idx="36">
                  <c:v>-0.3106469</c:v>
                </c:pt>
                <c:pt idx="37">
                  <c:v>-0.32700819999999997</c:v>
                </c:pt>
                <c:pt idx="38">
                  <c:v>-0.34763009999999994</c:v>
                </c:pt>
                <c:pt idx="39">
                  <c:v>-0.37839009999999995</c:v>
                </c:pt>
                <c:pt idx="40">
                  <c:v>-0.42901319999999998</c:v>
                </c:pt>
                <c:pt idx="41">
                  <c:v>-0.42399189999999998</c:v>
                </c:pt>
                <c:pt idx="42">
                  <c:v>-0.39316499999999999</c:v>
                </c:pt>
                <c:pt idx="43">
                  <c:v>-0.34096499999999996</c:v>
                </c:pt>
                <c:pt idx="44">
                  <c:v>-0.32228689999999993</c:v>
                </c:pt>
                <c:pt idx="45">
                  <c:v>-0.29334320000000003</c:v>
                </c:pt>
                <c:pt idx="46">
                  <c:v>-0.25420689999999996</c:v>
                </c:pt>
                <c:pt idx="47">
                  <c:v>-0.2688931</c:v>
                </c:pt>
                <c:pt idx="48">
                  <c:v>-0.30664509999999995</c:v>
                </c:pt>
                <c:pt idx="49">
                  <c:v>-0.32397799999999999</c:v>
                </c:pt>
                <c:pt idx="50">
                  <c:v>-0.37148809999999999</c:v>
                </c:pt>
                <c:pt idx="51">
                  <c:v>-0.4126281</c:v>
                </c:pt>
                <c:pt idx="52">
                  <c:v>-0.41780799999999996</c:v>
                </c:pt>
                <c:pt idx="53">
                  <c:v>-0.43400489999999997</c:v>
                </c:pt>
                <c:pt idx="54">
                  <c:v>-0.44400309999999998</c:v>
                </c:pt>
                <c:pt idx="55">
                  <c:v>-0.44308199999999998</c:v>
                </c:pt>
                <c:pt idx="56">
                  <c:v>-0.46489009999999997</c:v>
                </c:pt>
                <c:pt idx="57">
                  <c:v>-0.50800800000000002</c:v>
                </c:pt>
                <c:pt idx="58">
                  <c:v>-0.50090190000000001</c:v>
                </c:pt>
                <c:pt idx="59">
                  <c:v>-0.48436319999999994</c:v>
                </c:pt>
                <c:pt idx="60">
                  <c:v>-0.42996009999999996</c:v>
                </c:pt>
                <c:pt idx="61">
                  <c:v>-0.36682690000000001</c:v>
                </c:pt>
                <c:pt idx="62">
                  <c:v>-0.34209990000000001</c:v>
                </c:pt>
                <c:pt idx="63">
                  <c:v>-0.35037499999999999</c:v>
                </c:pt>
                <c:pt idx="64">
                  <c:v>-0.33558999999999994</c:v>
                </c:pt>
                <c:pt idx="65">
                  <c:v>-0.34918319999999997</c:v>
                </c:pt>
                <c:pt idx="66">
                  <c:v>-0.36729009999999995</c:v>
                </c:pt>
                <c:pt idx="67">
                  <c:v>-0.33353690000000003</c:v>
                </c:pt>
                <c:pt idx="68">
                  <c:v>-0.3040001</c:v>
                </c:pt>
                <c:pt idx="69">
                  <c:v>-0.29342309999999999</c:v>
                </c:pt>
                <c:pt idx="70">
                  <c:v>-0.29376689999999994</c:v>
                </c:pt>
                <c:pt idx="71">
                  <c:v>-0.28897819999999996</c:v>
                </c:pt>
                <c:pt idx="72">
                  <c:v>-0.26836319999999997</c:v>
                </c:pt>
                <c:pt idx="73">
                  <c:v>-0.24233319999999997</c:v>
                </c:pt>
                <c:pt idx="74">
                  <c:v>-0.2212701</c:v>
                </c:pt>
                <c:pt idx="75">
                  <c:v>-0.22425799999999999</c:v>
                </c:pt>
                <c:pt idx="76">
                  <c:v>-0.19751308999999997</c:v>
                </c:pt>
                <c:pt idx="77">
                  <c:v>-0.1920818</c:v>
                </c:pt>
                <c:pt idx="78">
                  <c:v>-0.17453809000000001</c:v>
                </c:pt>
                <c:pt idx="79">
                  <c:v>-0.18469189999999996</c:v>
                </c:pt>
                <c:pt idx="80">
                  <c:v>-0.14113500000000001</c:v>
                </c:pt>
                <c:pt idx="81">
                  <c:v>-0.14628309</c:v>
                </c:pt>
                <c:pt idx="82">
                  <c:v>-0.14934500999999997</c:v>
                </c:pt>
                <c:pt idx="83">
                  <c:v>-0.12321188999999999</c:v>
                </c:pt>
                <c:pt idx="84">
                  <c:v>-6.3258089999999989E-2</c:v>
                </c:pt>
                <c:pt idx="85">
                  <c:v>-3.3788299999999993E-2</c:v>
                </c:pt>
                <c:pt idx="86">
                  <c:v>2.6100999999999937E-3</c:v>
                </c:pt>
                <c:pt idx="87">
                  <c:v>4.6916589999999994E-2</c:v>
                </c:pt>
                <c:pt idx="88">
                  <c:v>4.6916689999999997E-2</c:v>
                </c:pt>
                <c:pt idx="89">
                  <c:v>4.1874990000000001E-2</c:v>
                </c:pt>
                <c:pt idx="90">
                  <c:v>6.1996589999999997E-2</c:v>
                </c:pt>
                <c:pt idx="91">
                  <c:v>6.198832E-2</c:v>
                </c:pt>
                <c:pt idx="92">
                  <c:v>4.609999999999996E-3</c:v>
                </c:pt>
                <c:pt idx="93">
                  <c:v>-3.2929999999999994E-2</c:v>
                </c:pt>
                <c:pt idx="94">
                  <c:v>-7.2028099999999984E-2</c:v>
                </c:pt>
                <c:pt idx="95">
                  <c:v>-0.13271810999999997</c:v>
                </c:pt>
                <c:pt idx="96">
                  <c:v>-0.19000809999999999</c:v>
                </c:pt>
                <c:pt idx="97">
                  <c:v>-0.17971310100000001</c:v>
                </c:pt>
                <c:pt idx="98">
                  <c:v>-0.15243000999999998</c:v>
                </c:pt>
                <c:pt idx="99">
                  <c:v>-0.11484999899999999</c:v>
                </c:pt>
                <c:pt idx="100">
                  <c:v>-0.11989689989999999</c:v>
                </c:pt>
                <c:pt idx="101">
                  <c:v>-0.11771999999999999</c:v>
                </c:pt>
                <c:pt idx="102">
                  <c:v>-0.15025311</c:v>
                </c:pt>
                <c:pt idx="103">
                  <c:v>-0.14763691000000001</c:v>
                </c:pt>
                <c:pt idx="104">
                  <c:v>-0.14474691000000001</c:v>
                </c:pt>
                <c:pt idx="105">
                  <c:v>-0.10849309</c:v>
                </c:pt>
                <c:pt idx="106">
                  <c:v>-7.3776899899999984E-2</c:v>
                </c:pt>
                <c:pt idx="107">
                  <c:v>-1.3119999999999996E-2</c:v>
                </c:pt>
                <c:pt idx="108">
                  <c:v>-6.4532100000000009E-3</c:v>
                </c:pt>
                <c:pt idx="109">
                  <c:v>-8.4834099999999968E-3</c:v>
                </c:pt>
                <c:pt idx="110">
                  <c:v>-5.330331E-2</c:v>
                </c:pt>
                <c:pt idx="111">
                  <c:v>-7.8181890000000004E-2</c:v>
                </c:pt>
                <c:pt idx="112">
                  <c:v>-0.10185688999999999</c:v>
                </c:pt>
                <c:pt idx="113">
                  <c:v>-0.12403189999999999</c:v>
                </c:pt>
                <c:pt idx="114">
                  <c:v>-0.15122998999999998</c:v>
                </c:pt>
                <c:pt idx="115">
                  <c:v>-9.7973089999999999E-2</c:v>
                </c:pt>
                <c:pt idx="116">
                  <c:v>-6.7353319999999994E-2</c:v>
                </c:pt>
                <c:pt idx="117">
                  <c:v>-8.1198319999999991E-2</c:v>
                </c:pt>
                <c:pt idx="118">
                  <c:v>-6.6398309999999988E-2</c:v>
                </c:pt>
                <c:pt idx="119">
                  <c:v>-2.4018310999999997E-2</c:v>
                </c:pt>
                <c:pt idx="120">
                  <c:v>-6.2900009999999992E-2</c:v>
                </c:pt>
                <c:pt idx="121">
                  <c:v>-8.1568089999999996E-2</c:v>
                </c:pt>
                <c:pt idx="122">
                  <c:v>-9.044308999999999E-2</c:v>
                </c:pt>
                <c:pt idx="123">
                  <c:v>-7.6043101000000002E-2</c:v>
                </c:pt>
                <c:pt idx="124">
                  <c:v>-9.9739989999999987E-2</c:v>
                </c:pt>
                <c:pt idx="125">
                  <c:v>-5.0678300000000003E-2</c:v>
                </c:pt>
                <c:pt idx="126">
                  <c:v>-4.1816900000000018E-3</c:v>
                </c:pt>
                <c:pt idx="127">
                  <c:v>6.7119899999999996E-2</c:v>
                </c:pt>
                <c:pt idx="128">
                  <c:v>6.8566589999999997E-2</c:v>
                </c:pt>
                <c:pt idx="129">
                  <c:v>0.11546320999999998</c:v>
                </c:pt>
                <c:pt idx="130">
                  <c:v>0.10264840999999998</c:v>
                </c:pt>
                <c:pt idx="131">
                  <c:v>8.0643309999999996E-2</c:v>
                </c:pt>
                <c:pt idx="132">
                  <c:v>6.2693310000000002E-2</c:v>
                </c:pt>
                <c:pt idx="133">
                  <c:v>9.3486589999999994E-2</c:v>
                </c:pt>
                <c:pt idx="134">
                  <c:v>9.4904899999999986E-2</c:v>
                </c:pt>
                <c:pt idx="135">
                  <c:v>0.12194679</c:v>
                </c:pt>
                <c:pt idx="136">
                  <c:v>0.18404989999999999</c:v>
                </c:pt>
                <c:pt idx="137">
                  <c:v>0.224715</c:v>
                </c:pt>
                <c:pt idx="138">
                  <c:v>0.20483299999999999</c:v>
                </c:pt>
                <c:pt idx="139">
                  <c:v>0.189693</c:v>
                </c:pt>
                <c:pt idx="140">
                  <c:v>0.20397999999999999</c:v>
                </c:pt>
                <c:pt idx="141">
                  <c:v>0.20997500000000002</c:v>
                </c:pt>
                <c:pt idx="142">
                  <c:v>0.19456989999999999</c:v>
                </c:pt>
                <c:pt idx="143">
                  <c:v>0.25403009999999998</c:v>
                </c:pt>
                <c:pt idx="144">
                  <c:v>0.3431381</c:v>
                </c:pt>
                <c:pt idx="145">
                  <c:v>0.3678999</c:v>
                </c:pt>
                <c:pt idx="146">
                  <c:v>0.36739820000000001</c:v>
                </c:pt>
                <c:pt idx="147">
                  <c:v>0.42433989999999999</c:v>
                </c:pt>
                <c:pt idx="148">
                  <c:v>0.44917989999999997</c:v>
                </c:pt>
                <c:pt idx="149">
                  <c:v>0.44014679999999995</c:v>
                </c:pt>
                <c:pt idx="150">
                  <c:v>0.47133199999999997</c:v>
                </c:pt>
                <c:pt idx="151">
                  <c:v>0.51674189999999998</c:v>
                </c:pt>
                <c:pt idx="152">
                  <c:v>0.52599319999999994</c:v>
                </c:pt>
                <c:pt idx="153">
                  <c:v>0.52031799999999995</c:v>
                </c:pt>
                <c:pt idx="154">
                  <c:v>0.49517990000000001</c:v>
                </c:pt>
                <c:pt idx="155">
                  <c:v>0.49760999999999994</c:v>
                </c:pt>
                <c:pt idx="156">
                  <c:v>0.49888509999999997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'with offset'!$C$16</c:f>
              <c:strCache>
                <c:ptCount val="1"/>
                <c:pt idx="0">
                  <c:v>Global</c:v>
                </c:pt>
              </c:strCache>
            </c:strRef>
          </c:tx>
          <c:marker>
            <c:symbol val="none"/>
          </c:marker>
          <c:xVal>
            <c:numRef>
              <c:f>'with offset'!$A$17:$A$173</c:f>
              <c:numCache>
                <c:formatCode>General</c:formatCode>
                <c:ptCount val="157"/>
                <c:pt idx="0">
                  <c:v>1850.17</c:v>
                </c:pt>
                <c:pt idx="1">
                  <c:v>1851.17</c:v>
                </c:pt>
                <c:pt idx="2">
                  <c:v>1852.17</c:v>
                </c:pt>
                <c:pt idx="3">
                  <c:v>1853.17</c:v>
                </c:pt>
                <c:pt idx="4">
                  <c:v>1854.17</c:v>
                </c:pt>
                <c:pt idx="5">
                  <c:v>1855.17</c:v>
                </c:pt>
                <c:pt idx="6">
                  <c:v>1856.17</c:v>
                </c:pt>
                <c:pt idx="7">
                  <c:v>1857.17</c:v>
                </c:pt>
                <c:pt idx="8">
                  <c:v>1858.17</c:v>
                </c:pt>
                <c:pt idx="9">
                  <c:v>1859.17</c:v>
                </c:pt>
                <c:pt idx="10">
                  <c:v>1860.17</c:v>
                </c:pt>
                <c:pt idx="11">
                  <c:v>1861.17</c:v>
                </c:pt>
                <c:pt idx="12">
                  <c:v>1862.17</c:v>
                </c:pt>
                <c:pt idx="13">
                  <c:v>1863.17</c:v>
                </c:pt>
                <c:pt idx="14">
                  <c:v>1864.17</c:v>
                </c:pt>
                <c:pt idx="15">
                  <c:v>1865.17</c:v>
                </c:pt>
                <c:pt idx="16">
                  <c:v>1866.17</c:v>
                </c:pt>
                <c:pt idx="17">
                  <c:v>1867.17</c:v>
                </c:pt>
                <c:pt idx="18">
                  <c:v>1868.17</c:v>
                </c:pt>
                <c:pt idx="19">
                  <c:v>1869.17</c:v>
                </c:pt>
                <c:pt idx="20">
                  <c:v>1870.17</c:v>
                </c:pt>
                <c:pt idx="21">
                  <c:v>1871.17</c:v>
                </c:pt>
                <c:pt idx="22">
                  <c:v>1872.17</c:v>
                </c:pt>
                <c:pt idx="23">
                  <c:v>1873.17</c:v>
                </c:pt>
                <c:pt idx="24">
                  <c:v>1874.17</c:v>
                </c:pt>
                <c:pt idx="25">
                  <c:v>1875.17</c:v>
                </c:pt>
                <c:pt idx="26">
                  <c:v>1876.17</c:v>
                </c:pt>
                <c:pt idx="27">
                  <c:v>1877.17</c:v>
                </c:pt>
                <c:pt idx="28">
                  <c:v>1878.17</c:v>
                </c:pt>
                <c:pt idx="29">
                  <c:v>1879.17</c:v>
                </c:pt>
                <c:pt idx="30">
                  <c:v>1880.17</c:v>
                </c:pt>
                <c:pt idx="31">
                  <c:v>1881.17</c:v>
                </c:pt>
                <c:pt idx="32">
                  <c:v>1882.17</c:v>
                </c:pt>
                <c:pt idx="33">
                  <c:v>1883.17</c:v>
                </c:pt>
                <c:pt idx="34">
                  <c:v>1884.17</c:v>
                </c:pt>
                <c:pt idx="35">
                  <c:v>1885.17</c:v>
                </c:pt>
                <c:pt idx="36">
                  <c:v>1886.17</c:v>
                </c:pt>
                <c:pt idx="37">
                  <c:v>1887.17</c:v>
                </c:pt>
                <c:pt idx="38">
                  <c:v>1888.17</c:v>
                </c:pt>
                <c:pt idx="39">
                  <c:v>1889.17</c:v>
                </c:pt>
                <c:pt idx="40">
                  <c:v>1890.17</c:v>
                </c:pt>
                <c:pt idx="41">
                  <c:v>1891.17</c:v>
                </c:pt>
                <c:pt idx="42">
                  <c:v>1892.17</c:v>
                </c:pt>
                <c:pt idx="43">
                  <c:v>1893.17</c:v>
                </c:pt>
                <c:pt idx="44">
                  <c:v>1894.17</c:v>
                </c:pt>
                <c:pt idx="45">
                  <c:v>1895.17</c:v>
                </c:pt>
                <c:pt idx="46">
                  <c:v>1896.17</c:v>
                </c:pt>
                <c:pt idx="47">
                  <c:v>1897.17</c:v>
                </c:pt>
                <c:pt idx="48">
                  <c:v>1898.17</c:v>
                </c:pt>
                <c:pt idx="49">
                  <c:v>1899.17</c:v>
                </c:pt>
                <c:pt idx="50">
                  <c:v>1900.17</c:v>
                </c:pt>
                <c:pt idx="51">
                  <c:v>1901.17</c:v>
                </c:pt>
                <c:pt idx="52">
                  <c:v>1902.17</c:v>
                </c:pt>
                <c:pt idx="53">
                  <c:v>1903.17</c:v>
                </c:pt>
                <c:pt idx="54">
                  <c:v>1904.17</c:v>
                </c:pt>
                <c:pt idx="55">
                  <c:v>1905.17</c:v>
                </c:pt>
                <c:pt idx="56">
                  <c:v>1906.17</c:v>
                </c:pt>
                <c:pt idx="57">
                  <c:v>1907.17</c:v>
                </c:pt>
                <c:pt idx="58">
                  <c:v>1908.17</c:v>
                </c:pt>
                <c:pt idx="59">
                  <c:v>1909.17</c:v>
                </c:pt>
                <c:pt idx="60">
                  <c:v>1910.17</c:v>
                </c:pt>
                <c:pt idx="61">
                  <c:v>1911.17</c:v>
                </c:pt>
                <c:pt idx="62">
                  <c:v>1912.17</c:v>
                </c:pt>
                <c:pt idx="63">
                  <c:v>1913.17</c:v>
                </c:pt>
                <c:pt idx="64">
                  <c:v>1914.17</c:v>
                </c:pt>
                <c:pt idx="65">
                  <c:v>1915.17</c:v>
                </c:pt>
                <c:pt idx="66">
                  <c:v>1916.17</c:v>
                </c:pt>
                <c:pt idx="67">
                  <c:v>1917.17</c:v>
                </c:pt>
                <c:pt idx="68">
                  <c:v>1918.17</c:v>
                </c:pt>
                <c:pt idx="69">
                  <c:v>1919.17</c:v>
                </c:pt>
                <c:pt idx="70">
                  <c:v>1920.17</c:v>
                </c:pt>
                <c:pt idx="71">
                  <c:v>1921.17</c:v>
                </c:pt>
                <c:pt idx="72">
                  <c:v>1922.17</c:v>
                </c:pt>
                <c:pt idx="73">
                  <c:v>1923.17</c:v>
                </c:pt>
                <c:pt idx="74">
                  <c:v>1924.17</c:v>
                </c:pt>
                <c:pt idx="75">
                  <c:v>1925.17</c:v>
                </c:pt>
                <c:pt idx="76">
                  <c:v>1926.17</c:v>
                </c:pt>
                <c:pt idx="77">
                  <c:v>1927.17</c:v>
                </c:pt>
                <c:pt idx="78">
                  <c:v>1928.17</c:v>
                </c:pt>
                <c:pt idx="79">
                  <c:v>1929.17</c:v>
                </c:pt>
                <c:pt idx="80">
                  <c:v>1930.17</c:v>
                </c:pt>
                <c:pt idx="81">
                  <c:v>1931.17</c:v>
                </c:pt>
                <c:pt idx="82">
                  <c:v>1932.17</c:v>
                </c:pt>
                <c:pt idx="83">
                  <c:v>1933.17</c:v>
                </c:pt>
                <c:pt idx="84">
                  <c:v>1934.17</c:v>
                </c:pt>
                <c:pt idx="85">
                  <c:v>1935.17</c:v>
                </c:pt>
                <c:pt idx="86">
                  <c:v>1936.17</c:v>
                </c:pt>
                <c:pt idx="87">
                  <c:v>1937.17</c:v>
                </c:pt>
                <c:pt idx="88">
                  <c:v>1938.17</c:v>
                </c:pt>
                <c:pt idx="89">
                  <c:v>1939.17</c:v>
                </c:pt>
                <c:pt idx="90">
                  <c:v>1940.17</c:v>
                </c:pt>
                <c:pt idx="91">
                  <c:v>1941.17</c:v>
                </c:pt>
                <c:pt idx="92">
                  <c:v>1942.17</c:v>
                </c:pt>
                <c:pt idx="93">
                  <c:v>1943.17</c:v>
                </c:pt>
                <c:pt idx="94">
                  <c:v>1944.17</c:v>
                </c:pt>
                <c:pt idx="95">
                  <c:v>1945.17</c:v>
                </c:pt>
                <c:pt idx="96">
                  <c:v>1946.17</c:v>
                </c:pt>
                <c:pt idx="97">
                  <c:v>1947.17</c:v>
                </c:pt>
                <c:pt idx="98">
                  <c:v>1948.17</c:v>
                </c:pt>
                <c:pt idx="99">
                  <c:v>1949.17</c:v>
                </c:pt>
                <c:pt idx="100">
                  <c:v>1950.17</c:v>
                </c:pt>
                <c:pt idx="101">
                  <c:v>1951.17</c:v>
                </c:pt>
                <c:pt idx="102">
                  <c:v>1952.17</c:v>
                </c:pt>
                <c:pt idx="103">
                  <c:v>1953.17</c:v>
                </c:pt>
                <c:pt idx="104">
                  <c:v>1954.17</c:v>
                </c:pt>
                <c:pt idx="105">
                  <c:v>1955.17</c:v>
                </c:pt>
                <c:pt idx="106">
                  <c:v>1956.17</c:v>
                </c:pt>
                <c:pt idx="107">
                  <c:v>1957.17</c:v>
                </c:pt>
                <c:pt idx="108">
                  <c:v>1958.17</c:v>
                </c:pt>
                <c:pt idx="109">
                  <c:v>1959.17</c:v>
                </c:pt>
                <c:pt idx="110">
                  <c:v>1960.17</c:v>
                </c:pt>
                <c:pt idx="111">
                  <c:v>1961.17</c:v>
                </c:pt>
                <c:pt idx="112">
                  <c:v>1962.17</c:v>
                </c:pt>
                <c:pt idx="113">
                  <c:v>1963.17</c:v>
                </c:pt>
                <c:pt idx="114">
                  <c:v>1964.17</c:v>
                </c:pt>
                <c:pt idx="115">
                  <c:v>1965.17</c:v>
                </c:pt>
                <c:pt idx="116">
                  <c:v>1966.17</c:v>
                </c:pt>
                <c:pt idx="117">
                  <c:v>1967.17</c:v>
                </c:pt>
                <c:pt idx="118">
                  <c:v>1968.17</c:v>
                </c:pt>
                <c:pt idx="119">
                  <c:v>1969.17</c:v>
                </c:pt>
                <c:pt idx="120">
                  <c:v>1970.17</c:v>
                </c:pt>
                <c:pt idx="121">
                  <c:v>1971.17</c:v>
                </c:pt>
                <c:pt idx="122">
                  <c:v>1972.17</c:v>
                </c:pt>
                <c:pt idx="123">
                  <c:v>1973.17</c:v>
                </c:pt>
                <c:pt idx="124">
                  <c:v>1974.17</c:v>
                </c:pt>
                <c:pt idx="125">
                  <c:v>1975.17</c:v>
                </c:pt>
                <c:pt idx="126">
                  <c:v>1976.17</c:v>
                </c:pt>
                <c:pt idx="127">
                  <c:v>1977.17</c:v>
                </c:pt>
                <c:pt idx="128">
                  <c:v>1978.17</c:v>
                </c:pt>
                <c:pt idx="129">
                  <c:v>1979.17</c:v>
                </c:pt>
                <c:pt idx="130">
                  <c:v>1980.17</c:v>
                </c:pt>
                <c:pt idx="131">
                  <c:v>1981.17</c:v>
                </c:pt>
                <c:pt idx="132">
                  <c:v>1982.17</c:v>
                </c:pt>
                <c:pt idx="133">
                  <c:v>1983.17</c:v>
                </c:pt>
                <c:pt idx="134">
                  <c:v>1984.17</c:v>
                </c:pt>
                <c:pt idx="135">
                  <c:v>1985.17</c:v>
                </c:pt>
                <c:pt idx="136">
                  <c:v>1986.17</c:v>
                </c:pt>
                <c:pt idx="137">
                  <c:v>1987.17</c:v>
                </c:pt>
                <c:pt idx="138">
                  <c:v>1988.17</c:v>
                </c:pt>
                <c:pt idx="139">
                  <c:v>1989.17</c:v>
                </c:pt>
                <c:pt idx="140">
                  <c:v>1990.17</c:v>
                </c:pt>
                <c:pt idx="141">
                  <c:v>1991.17</c:v>
                </c:pt>
                <c:pt idx="142">
                  <c:v>1992.17</c:v>
                </c:pt>
                <c:pt idx="143">
                  <c:v>1993.17</c:v>
                </c:pt>
                <c:pt idx="144">
                  <c:v>1994.17</c:v>
                </c:pt>
                <c:pt idx="145">
                  <c:v>1995.17</c:v>
                </c:pt>
                <c:pt idx="146">
                  <c:v>1996.17</c:v>
                </c:pt>
                <c:pt idx="147">
                  <c:v>1997.17</c:v>
                </c:pt>
                <c:pt idx="148">
                  <c:v>1998.17</c:v>
                </c:pt>
                <c:pt idx="149">
                  <c:v>1999.17</c:v>
                </c:pt>
                <c:pt idx="150">
                  <c:v>2000.17</c:v>
                </c:pt>
                <c:pt idx="151">
                  <c:v>2001.17</c:v>
                </c:pt>
                <c:pt idx="152">
                  <c:v>2002.17</c:v>
                </c:pt>
                <c:pt idx="153">
                  <c:v>2003.17</c:v>
                </c:pt>
                <c:pt idx="154">
                  <c:v>2004.17</c:v>
                </c:pt>
                <c:pt idx="155">
                  <c:v>2005.17</c:v>
                </c:pt>
                <c:pt idx="156">
                  <c:v>2006.17</c:v>
                </c:pt>
              </c:numCache>
            </c:numRef>
          </c:xVal>
          <c:yVal>
            <c:numRef>
              <c:f>'with offset'!$C$17:$C$173</c:f>
              <c:numCache>
                <c:formatCode>General</c:formatCode>
                <c:ptCount val="157"/>
                <c:pt idx="0">
                  <c:v>-0.27318300000000001</c:v>
                </c:pt>
                <c:pt idx="1">
                  <c:v>-0.25173299999999998</c:v>
                </c:pt>
                <c:pt idx="2">
                  <c:v>-0.27898299999999998</c:v>
                </c:pt>
                <c:pt idx="3">
                  <c:v>-0.32541700000000001</c:v>
                </c:pt>
                <c:pt idx="4">
                  <c:v>-0.36413299999999998</c:v>
                </c:pt>
                <c:pt idx="5">
                  <c:v>-0.37238300000000002</c:v>
                </c:pt>
                <c:pt idx="6">
                  <c:v>-0.38746700000000001</c:v>
                </c:pt>
                <c:pt idx="7">
                  <c:v>-0.394233</c:v>
                </c:pt>
                <c:pt idx="8">
                  <c:v>-0.40363300000000002</c:v>
                </c:pt>
                <c:pt idx="9">
                  <c:v>-0.366817</c:v>
                </c:pt>
                <c:pt idx="10">
                  <c:v>-0.40446700000000002</c:v>
                </c:pt>
                <c:pt idx="11">
                  <c:v>-0.39005000000000001</c:v>
                </c:pt>
                <c:pt idx="12">
                  <c:v>-0.35844999999999999</c:v>
                </c:pt>
                <c:pt idx="13">
                  <c:v>-0.31781700000000002</c:v>
                </c:pt>
                <c:pt idx="14">
                  <c:v>-0.30658299999999999</c:v>
                </c:pt>
                <c:pt idx="15">
                  <c:v>-0.26173299999999999</c:v>
                </c:pt>
                <c:pt idx="16">
                  <c:v>-0.26116699999999998</c:v>
                </c:pt>
                <c:pt idx="17">
                  <c:v>-0.27953299999999998</c:v>
                </c:pt>
                <c:pt idx="18">
                  <c:v>-0.26333299999999998</c:v>
                </c:pt>
                <c:pt idx="19">
                  <c:v>-0.27868300000000001</c:v>
                </c:pt>
                <c:pt idx="20">
                  <c:v>-0.301983</c:v>
                </c:pt>
                <c:pt idx="21">
                  <c:v>-0.33011699999999999</c:v>
                </c:pt>
                <c:pt idx="22">
                  <c:v>-0.34115000000000001</c:v>
                </c:pt>
                <c:pt idx="23">
                  <c:v>-0.31085000000000002</c:v>
                </c:pt>
                <c:pt idx="24">
                  <c:v>-0.24313299999999999</c:v>
                </c:pt>
                <c:pt idx="25">
                  <c:v>-0.21460000000000001</c:v>
                </c:pt>
                <c:pt idx="26">
                  <c:v>-0.17715</c:v>
                </c:pt>
                <c:pt idx="27">
                  <c:v>-0.14091699999999999</c:v>
                </c:pt>
                <c:pt idx="28">
                  <c:v>-0.16855000000000001</c:v>
                </c:pt>
                <c:pt idx="29">
                  <c:v>-0.23335</c:v>
                </c:pt>
                <c:pt idx="30">
                  <c:v>-0.26741700000000002</c:v>
                </c:pt>
                <c:pt idx="31">
                  <c:v>-0.29861700000000002</c:v>
                </c:pt>
                <c:pt idx="32">
                  <c:v>-0.33055000000000001</c:v>
                </c:pt>
                <c:pt idx="33">
                  <c:v>-0.37128299999999997</c:v>
                </c:pt>
                <c:pt idx="34">
                  <c:v>-0.37498300000000001</c:v>
                </c:pt>
                <c:pt idx="35">
                  <c:v>-0.32988299999999998</c:v>
                </c:pt>
                <c:pt idx="36">
                  <c:v>-0.33800000000000002</c:v>
                </c:pt>
                <c:pt idx="37">
                  <c:v>-0.33336700000000002</c:v>
                </c:pt>
                <c:pt idx="38">
                  <c:v>-0.34196700000000002</c:v>
                </c:pt>
                <c:pt idx="39">
                  <c:v>-0.37633299999999997</c:v>
                </c:pt>
                <c:pt idx="40">
                  <c:v>-0.423483</c:v>
                </c:pt>
                <c:pt idx="41">
                  <c:v>-0.41791699999999998</c:v>
                </c:pt>
                <c:pt idx="42">
                  <c:v>-0.38778299999999999</c:v>
                </c:pt>
                <c:pt idx="43">
                  <c:v>-0.33776699999999998</c:v>
                </c:pt>
                <c:pt idx="44">
                  <c:v>-0.32353300000000002</c:v>
                </c:pt>
                <c:pt idx="45">
                  <c:v>-0.29930000000000001</c:v>
                </c:pt>
                <c:pt idx="46">
                  <c:v>-0.26019999999999999</c:v>
                </c:pt>
                <c:pt idx="47">
                  <c:v>-0.27625</c:v>
                </c:pt>
                <c:pt idx="48">
                  <c:v>-0.31661699999999998</c:v>
                </c:pt>
                <c:pt idx="49">
                  <c:v>-0.33111699999999999</c:v>
                </c:pt>
                <c:pt idx="50">
                  <c:v>-0.37816699999999998</c:v>
                </c:pt>
                <c:pt idx="51">
                  <c:v>-0.41501700000000002</c:v>
                </c:pt>
                <c:pt idx="52">
                  <c:v>-0.42021700000000001</c:v>
                </c:pt>
                <c:pt idx="53">
                  <c:v>-0.433417</c:v>
                </c:pt>
                <c:pt idx="54">
                  <c:v>-0.44193300000000002</c:v>
                </c:pt>
                <c:pt idx="55">
                  <c:v>-0.443633</c:v>
                </c:pt>
                <c:pt idx="56">
                  <c:v>-0.46639999999999998</c:v>
                </c:pt>
                <c:pt idx="57">
                  <c:v>-0.51870000000000005</c:v>
                </c:pt>
                <c:pt idx="58">
                  <c:v>-0.51406700000000005</c:v>
                </c:pt>
                <c:pt idx="59">
                  <c:v>-0.49711699999999998</c:v>
                </c:pt>
                <c:pt idx="60">
                  <c:v>-0.44224999999999998</c:v>
                </c:pt>
                <c:pt idx="61">
                  <c:v>-0.37636700000000001</c:v>
                </c:pt>
                <c:pt idx="62">
                  <c:v>-0.34410000000000002</c:v>
                </c:pt>
                <c:pt idx="63">
                  <c:v>-0.34916700000000001</c:v>
                </c:pt>
                <c:pt idx="64">
                  <c:v>-0.33133299999999999</c:v>
                </c:pt>
                <c:pt idx="65">
                  <c:v>-0.33701700000000001</c:v>
                </c:pt>
                <c:pt idx="66">
                  <c:v>-0.35408299999999998</c:v>
                </c:pt>
                <c:pt idx="67">
                  <c:v>-0.31331700000000001</c:v>
                </c:pt>
                <c:pt idx="68">
                  <c:v>-0.27934999999999999</c:v>
                </c:pt>
                <c:pt idx="69">
                  <c:v>-0.26486700000000002</c:v>
                </c:pt>
                <c:pt idx="70">
                  <c:v>-0.26761699999999999</c:v>
                </c:pt>
                <c:pt idx="71">
                  <c:v>-0.26055</c:v>
                </c:pt>
                <c:pt idx="72">
                  <c:v>-0.244367</c:v>
                </c:pt>
                <c:pt idx="73">
                  <c:v>-0.22489999999999999</c:v>
                </c:pt>
                <c:pt idx="74">
                  <c:v>-0.21235000000000001</c:v>
                </c:pt>
                <c:pt idx="75">
                  <c:v>-0.22143299999999999</c:v>
                </c:pt>
                <c:pt idx="76">
                  <c:v>-0.20505000000000001</c:v>
                </c:pt>
                <c:pt idx="77">
                  <c:v>-0.19996700000000001</c:v>
                </c:pt>
                <c:pt idx="78">
                  <c:v>-0.184917</c:v>
                </c:pt>
                <c:pt idx="79">
                  <c:v>-0.19705</c:v>
                </c:pt>
                <c:pt idx="80">
                  <c:v>-0.15346699999999999</c:v>
                </c:pt>
                <c:pt idx="81">
                  <c:v>-0.16156699999999999</c:v>
                </c:pt>
                <c:pt idx="82">
                  <c:v>-0.17305000000000001</c:v>
                </c:pt>
                <c:pt idx="83">
                  <c:v>-0.150667</c:v>
                </c:pt>
                <c:pt idx="84">
                  <c:v>-9.71167E-2</c:v>
                </c:pt>
                <c:pt idx="85">
                  <c:v>-8.1966700000000003E-2</c:v>
                </c:pt>
                <c:pt idx="86">
                  <c:v>-4.21833E-2</c:v>
                </c:pt>
                <c:pt idx="87">
                  <c:v>-8.8333300000000003E-3</c:v>
                </c:pt>
                <c:pt idx="88">
                  <c:v>-7.8666699999999992E-3</c:v>
                </c:pt>
                <c:pt idx="89">
                  <c:v>-6.4333300000000001E-3</c:v>
                </c:pt>
                <c:pt idx="90">
                  <c:v>3.5016699999999998E-2</c:v>
                </c:pt>
                <c:pt idx="91">
                  <c:v>3.6650000000000002E-2</c:v>
                </c:pt>
                <c:pt idx="92">
                  <c:v>1.8599999999999998E-2</c:v>
                </c:pt>
                <c:pt idx="93">
                  <c:v>1.45833E-2</c:v>
                </c:pt>
                <c:pt idx="94">
                  <c:v>7.2833300000000002E-3</c:v>
                </c:pt>
                <c:pt idx="95">
                  <c:v>-3.8333300000000001E-2</c:v>
                </c:pt>
                <c:pt idx="96">
                  <c:v>-7.9766699999999996E-2</c:v>
                </c:pt>
                <c:pt idx="97">
                  <c:v>-7.6333300000000007E-2</c:v>
                </c:pt>
                <c:pt idx="98">
                  <c:v>-6.1749999999999999E-2</c:v>
                </c:pt>
                <c:pt idx="99">
                  <c:v>-3.4283300000000003E-2</c:v>
                </c:pt>
                <c:pt idx="100">
                  <c:v>-4.5716699999999999E-2</c:v>
                </c:pt>
                <c:pt idx="101">
                  <c:v>-4.8016700000000002E-2</c:v>
                </c:pt>
                <c:pt idx="102">
                  <c:v>-9.06E-2</c:v>
                </c:pt>
                <c:pt idx="103">
                  <c:v>-9.7733299999999995E-2</c:v>
                </c:pt>
                <c:pt idx="104">
                  <c:v>-0.108083</c:v>
                </c:pt>
                <c:pt idx="105">
                  <c:v>-7.8316700000000003E-2</c:v>
                </c:pt>
                <c:pt idx="106">
                  <c:v>-5.0950000000000002E-2</c:v>
                </c:pt>
                <c:pt idx="107">
                  <c:v>9.7999999999999997E-3</c:v>
                </c:pt>
                <c:pt idx="108">
                  <c:v>1.43833E-2</c:v>
                </c:pt>
                <c:pt idx="109">
                  <c:v>1.49333E-2</c:v>
                </c:pt>
                <c:pt idx="110">
                  <c:v>-3.3099999999999997E-2</c:v>
                </c:pt>
                <c:pt idx="111">
                  <c:v>-5.0983300000000002E-2</c:v>
                </c:pt>
                <c:pt idx="112">
                  <c:v>-7.3183300000000007E-2</c:v>
                </c:pt>
                <c:pt idx="113">
                  <c:v>-9.2100000000000001E-2</c:v>
                </c:pt>
                <c:pt idx="114">
                  <c:v>-0.12438299999999999</c:v>
                </c:pt>
                <c:pt idx="115">
                  <c:v>-7.3916700000000002E-2</c:v>
                </c:pt>
                <c:pt idx="116">
                  <c:v>-5.1216699999999997E-2</c:v>
                </c:pt>
                <c:pt idx="117">
                  <c:v>-7.3999999999999996E-2</c:v>
                </c:pt>
                <c:pt idx="118">
                  <c:v>-7.2083300000000003E-2</c:v>
                </c:pt>
                <c:pt idx="119">
                  <c:v>-3.7483299999999997E-2</c:v>
                </c:pt>
                <c:pt idx="120">
                  <c:v>-8.5866700000000004E-2</c:v>
                </c:pt>
                <c:pt idx="121">
                  <c:v>-0.109967</c:v>
                </c:pt>
                <c:pt idx="122">
                  <c:v>-0.12081699999999999</c:v>
                </c:pt>
                <c:pt idx="123">
                  <c:v>-9.8299999999999998E-2</c:v>
                </c:pt>
                <c:pt idx="124">
                  <c:v>-0.123067</c:v>
                </c:pt>
                <c:pt idx="125">
                  <c:v>-6.8816699999999995E-2</c:v>
                </c:pt>
                <c:pt idx="126">
                  <c:v>-2.06E-2</c:v>
                </c:pt>
                <c:pt idx="127">
                  <c:v>5.5399999999999998E-2</c:v>
                </c:pt>
                <c:pt idx="128">
                  <c:v>4.8616699999999999E-2</c:v>
                </c:pt>
                <c:pt idx="129">
                  <c:v>9.8616700000000002E-2</c:v>
                </c:pt>
                <c:pt idx="130">
                  <c:v>8.4099999999999994E-2</c:v>
                </c:pt>
                <c:pt idx="131">
                  <c:v>5.9900000000000002E-2</c:v>
                </c:pt>
                <c:pt idx="132">
                  <c:v>4.0966700000000002E-2</c:v>
                </c:pt>
                <c:pt idx="133">
                  <c:v>7.5233300000000003E-2</c:v>
                </c:pt>
                <c:pt idx="134">
                  <c:v>7.7633300000000002E-2</c:v>
                </c:pt>
                <c:pt idx="135">
                  <c:v>0.104833</c:v>
                </c:pt>
                <c:pt idx="136">
                  <c:v>0.169017</c:v>
                </c:pt>
                <c:pt idx="137">
                  <c:v>0.21026700000000001</c:v>
                </c:pt>
                <c:pt idx="138">
                  <c:v>0.193883</c:v>
                </c:pt>
                <c:pt idx="139">
                  <c:v>0.18254999999999999</c:v>
                </c:pt>
                <c:pt idx="140">
                  <c:v>0.19873299999999999</c:v>
                </c:pt>
                <c:pt idx="141">
                  <c:v>0.20471700000000001</c:v>
                </c:pt>
                <c:pt idx="142">
                  <c:v>0.18945000000000001</c:v>
                </c:pt>
                <c:pt idx="143">
                  <c:v>0.247</c:v>
                </c:pt>
                <c:pt idx="144">
                  <c:v>0.32291700000000001</c:v>
                </c:pt>
                <c:pt idx="145">
                  <c:v>0.342333</c:v>
                </c:pt>
                <c:pt idx="146">
                  <c:v>0.33603300000000003</c:v>
                </c:pt>
                <c:pt idx="147">
                  <c:v>0.38756699999999999</c:v>
                </c:pt>
                <c:pt idx="148">
                  <c:v>0.40693299999999999</c:v>
                </c:pt>
                <c:pt idx="149">
                  <c:v>0.40191700000000002</c:v>
                </c:pt>
                <c:pt idx="150">
                  <c:v>0.42996699999999999</c:v>
                </c:pt>
                <c:pt idx="151">
                  <c:v>0.47889999999999999</c:v>
                </c:pt>
                <c:pt idx="152">
                  <c:v>0.49041699999999999</c:v>
                </c:pt>
                <c:pt idx="153">
                  <c:v>0.48871700000000001</c:v>
                </c:pt>
                <c:pt idx="154">
                  <c:v>0.46596700000000002</c:v>
                </c:pt>
                <c:pt idx="155">
                  <c:v>0.47598299999999999</c:v>
                </c:pt>
                <c:pt idx="156">
                  <c:v>0.47683300000000001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6528"/>
        <c:axId val="59614720"/>
      </c:scatterChart>
      <c:valAx>
        <c:axId val="59606528"/>
        <c:scaling>
          <c:orientation val="minMax"/>
        </c:scaling>
        <c:delete val="0"/>
        <c:axPos val="t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crossAx val="59614720"/>
        <c:crosses val="max"/>
        <c:crossBetween val="midCat"/>
      </c:valAx>
      <c:valAx>
        <c:axId val="596147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crossAx val="59606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14171656686627"/>
          <c:y val="0.1030861085707063"/>
          <c:w val="0.25576846307385226"/>
          <c:h val="0.136603689411344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644689</xdr:colOff>
      <xdr:row>19</xdr:row>
      <xdr:rowOff>128360</xdr:rowOff>
    </xdr:from>
    <xdr:to>
      <xdr:col>21</xdr:col>
      <xdr:colOff>244929</xdr:colOff>
      <xdr:row>51</xdr:row>
      <xdr:rowOff>116417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251280</xdr:colOff>
      <xdr:row>40</xdr:row>
      <xdr:rowOff>46265</xdr:rowOff>
    </xdr:from>
    <xdr:to>
      <xdr:col>11</xdr:col>
      <xdr:colOff>74387</xdr:colOff>
      <xdr:row>65</xdr:row>
      <xdr:rowOff>73479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150813</xdr:colOff>
      <xdr:row>17</xdr:row>
      <xdr:rowOff>58966</xdr:rowOff>
    </xdr:from>
    <xdr:to>
      <xdr:col>6</xdr:col>
      <xdr:colOff>150814</xdr:colOff>
      <xdr:row>39</xdr:row>
      <xdr:rowOff>151494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1148670</xdr:colOff>
      <xdr:row>16</xdr:row>
      <xdr:rowOff>164419</xdr:rowOff>
    </xdr:from>
    <xdr:to>
      <xdr:col>12</xdr:col>
      <xdr:colOff>62367</xdr:colOff>
      <xdr:row>39</xdr:row>
      <xdr:rowOff>66447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3076575</xdr:colOff>
      <xdr:row>10</xdr:row>
      <xdr:rowOff>0</xdr:rowOff>
    </xdr:from>
    <xdr:to>
      <xdr:col>5</xdr:col>
      <xdr:colOff>257175</xdr:colOff>
      <xdr:row>27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5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5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hyperlink" Target="http://www.woodfortrees.org/plot/crutem4vgl/compress:12/mean:5/plot/hadsst2gl/compress:12/mean:5/plot/hadcrut4gl/compress:12/mean: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3"/>
  <sheetViews>
    <sheetView tabSelected="1" topLeftCell="A14" zoomScale="90" zoomScaleNormal="90" workbookViewId="0">
      <selection activeCell="G19" sqref="G19"/>
    </sheetView>
  </sheetViews>
  <sheetFormatPr defaultRowHeight="15" x14ac:dyDescent="0.25"/>
  <cols>
    <col min="2" max="3" width="21.28515625" customWidth="1"/>
    <col min="4" max="6" width="23.7109375" customWidth="1"/>
    <col min="7" max="12" width="21.28515625" customWidth="1"/>
    <col min="13" max="13" width="24.7109375" customWidth="1"/>
    <col min="14" max="14" width="42.7109375" customWidth="1"/>
    <col min="17" max="17" width="38.140625" customWidth="1"/>
    <col min="19" max="19" width="20.7109375" customWidth="1"/>
  </cols>
  <sheetData>
    <row r="1" spans="1:20" x14ac:dyDescent="0.25">
      <c r="B1">
        <v>9.6000000000000002E-2</v>
      </c>
      <c r="C1">
        <v>0.10610840776600663</v>
      </c>
      <c r="L1">
        <f>+SUM(L16:L172)</f>
        <v>4585.0938786124534</v>
      </c>
      <c r="M1" t="s">
        <v>0</v>
      </c>
      <c r="P1" t="s">
        <v>0</v>
      </c>
      <c r="S1" t="s">
        <v>0</v>
      </c>
    </row>
    <row r="2" spans="1:20" x14ac:dyDescent="0.25">
      <c r="B2">
        <v>0.71</v>
      </c>
      <c r="M2" t="s">
        <v>1</v>
      </c>
      <c r="P2" t="s">
        <v>1</v>
      </c>
      <c r="S2" t="s">
        <v>1</v>
      </c>
    </row>
    <row r="3" spans="1:20" x14ac:dyDescent="0.25">
      <c r="B3">
        <f>1-$B$2</f>
        <v>0.29000000000000004</v>
      </c>
      <c r="M3" t="s">
        <v>2</v>
      </c>
      <c r="P3" t="s">
        <v>2</v>
      </c>
      <c r="S3" t="s">
        <v>2</v>
      </c>
    </row>
    <row r="4" spans="1:20" x14ac:dyDescent="0.25">
      <c r="B4">
        <v>0.5</v>
      </c>
      <c r="M4" t="s">
        <v>3</v>
      </c>
      <c r="P4" t="s">
        <v>3</v>
      </c>
      <c r="S4" t="s">
        <v>3</v>
      </c>
    </row>
    <row r="5" spans="1:20" x14ac:dyDescent="0.25">
      <c r="M5" t="s">
        <v>4</v>
      </c>
      <c r="P5" t="s">
        <v>4</v>
      </c>
      <c r="S5" t="s">
        <v>14</v>
      </c>
    </row>
    <row r="6" spans="1:20" x14ac:dyDescent="0.25">
      <c r="A6" s="1" t="s">
        <v>39</v>
      </c>
      <c r="M6" t="s">
        <v>5</v>
      </c>
      <c r="P6" t="s">
        <v>5</v>
      </c>
      <c r="S6" t="s">
        <v>15</v>
      </c>
    </row>
    <row r="7" spans="1:20" x14ac:dyDescent="0.25">
      <c r="M7" t="s">
        <v>6</v>
      </c>
      <c r="P7" t="s">
        <v>6</v>
      </c>
      <c r="S7" t="s">
        <v>6</v>
      </c>
    </row>
    <row r="8" spans="1:20" x14ac:dyDescent="0.25">
      <c r="M8" t="s">
        <v>7</v>
      </c>
      <c r="P8" t="s">
        <v>7</v>
      </c>
      <c r="S8" t="s">
        <v>16</v>
      </c>
    </row>
    <row r="9" spans="1:20" x14ac:dyDescent="0.25">
      <c r="M9" t="s">
        <v>3</v>
      </c>
      <c r="P9" t="s">
        <v>3</v>
      </c>
      <c r="S9" t="s">
        <v>3</v>
      </c>
    </row>
    <row r="10" spans="1:20" x14ac:dyDescent="0.25">
      <c r="D10">
        <f>Land*($N10+Offset)+Ocean*(($N10+Offset)*Fraction)</f>
        <v>6.1920000000000003E-2</v>
      </c>
      <c r="M10" t="s">
        <v>2</v>
      </c>
      <c r="P10" t="s">
        <v>2</v>
      </c>
      <c r="S10" t="s">
        <v>2</v>
      </c>
    </row>
    <row r="11" spans="1:20" x14ac:dyDescent="0.25">
      <c r="M11" t="s">
        <v>8</v>
      </c>
      <c r="P11" t="s">
        <v>23</v>
      </c>
      <c r="S11" t="s">
        <v>17</v>
      </c>
    </row>
    <row r="12" spans="1:20" x14ac:dyDescent="0.25">
      <c r="M12" t="s">
        <v>2</v>
      </c>
      <c r="P12" t="s">
        <v>2</v>
      </c>
      <c r="S12" t="s">
        <v>2</v>
      </c>
    </row>
    <row r="13" spans="1:20" x14ac:dyDescent="0.25">
      <c r="M13" t="s">
        <v>9</v>
      </c>
      <c r="P13" t="s">
        <v>24</v>
      </c>
      <c r="S13" t="s">
        <v>18</v>
      </c>
    </row>
    <row r="14" spans="1:20" x14ac:dyDescent="0.25">
      <c r="D14" t="s">
        <v>37</v>
      </c>
      <c r="M14" t="s">
        <v>10</v>
      </c>
      <c r="P14" t="s">
        <v>10</v>
      </c>
      <c r="S14" t="s">
        <v>10</v>
      </c>
    </row>
    <row r="15" spans="1:20" x14ac:dyDescent="0.25">
      <c r="A15" t="s">
        <v>34</v>
      </c>
      <c r="B15" t="s">
        <v>35</v>
      </c>
      <c r="C15" t="s">
        <v>27</v>
      </c>
      <c r="D15" t="s">
        <v>36</v>
      </c>
      <c r="G15" t="s">
        <v>34</v>
      </c>
      <c r="H15" t="s">
        <v>40</v>
      </c>
      <c r="I15" t="s">
        <v>41</v>
      </c>
      <c r="J15" t="s">
        <v>42</v>
      </c>
      <c r="K15" t="s">
        <v>43</v>
      </c>
      <c r="L15" t="s">
        <v>38</v>
      </c>
      <c r="M15" t="s">
        <v>20</v>
      </c>
      <c r="N15" t="s">
        <v>27</v>
      </c>
      <c r="P15" t="s">
        <v>20</v>
      </c>
      <c r="S15" t="s">
        <v>20</v>
      </c>
    </row>
    <row r="16" spans="1:20" x14ac:dyDescent="0.25">
      <c r="A16">
        <f>+$M16</f>
        <v>1850</v>
      </c>
      <c r="B16">
        <f t="shared" ref="B16:B47" si="0">Land*($N16+Offset)+Ocean*$Q16</f>
        <v>-0.38522842999999996</v>
      </c>
      <c r="C16">
        <f>+$T16</f>
        <v>-0.38</v>
      </c>
      <c r="D16">
        <f>$O16*(Fraction*Ocean+Land)</f>
        <v>-0.18764146499999998</v>
      </c>
      <c r="E16">
        <f>+$Q16*(Ocean+Land/Fraction)</f>
        <v>-0.5466375</v>
      </c>
      <c r="F16">
        <f>0.5*($D16+$E16)</f>
        <v>-0.3671394825</v>
      </c>
      <c r="G16">
        <f>+$A16</f>
        <v>1850</v>
      </c>
      <c r="H16">
        <f>+($B16-$C16)</f>
        <v>-5.2284299999999506E-3</v>
      </c>
      <c r="I16">
        <f>+($D16-$C16)</f>
        <v>0.19235853500000002</v>
      </c>
      <c r="J16">
        <f>+($E16-$C16)</f>
        <v>-0.16663749999999999</v>
      </c>
      <c r="K16">
        <f>+($I16+$J16)/2</f>
        <v>1.2860517500000015E-2</v>
      </c>
      <c r="L16">
        <f>+(($D16-$C16)/$C16)^2</f>
        <v>0.25624519381818717</v>
      </c>
      <c r="M16">
        <v>1850</v>
      </c>
      <c r="N16">
        <v>-0.38691700000000001</v>
      </c>
      <c r="O16">
        <f>+$N16+Offset</f>
        <v>-0.29091699999999998</v>
      </c>
      <c r="P16">
        <v>1850</v>
      </c>
      <c r="Q16">
        <v>-0.42375000000000002</v>
      </c>
      <c r="S16">
        <v>1850</v>
      </c>
      <c r="T16">
        <v>-0.38</v>
      </c>
    </row>
    <row r="17" spans="1:20" x14ac:dyDescent="0.25">
      <c r="A17">
        <f t="shared" ref="A17:A80" si="1">+$M17</f>
        <v>1851</v>
      </c>
      <c r="B17">
        <f t="shared" si="0"/>
        <v>-0.13721264</v>
      </c>
      <c r="C17">
        <f t="shared" ref="C17:C80" si="2">+$T17</f>
        <v>-0.22658300000000001</v>
      </c>
      <c r="D17">
        <f>$O17*(Fraction*Ocean+Land)</f>
        <v>0.171193965</v>
      </c>
      <c r="E17">
        <f>+$Q17*(Ocean+Land/Fraction)</f>
        <v>-0.38915043000000005</v>
      </c>
      <c r="F17">
        <f t="shared" ref="F17:F80" si="3">0.5*($D17+$E17)</f>
        <v>-0.10897823250000002</v>
      </c>
      <c r="G17">
        <f t="shared" ref="G17:G80" si="4">+$A17</f>
        <v>1851</v>
      </c>
      <c r="H17">
        <f t="shared" ref="H17:H80" si="5">+($B17-$C17)</f>
        <v>8.937036000000001E-2</v>
      </c>
      <c r="I17">
        <f t="shared" ref="I17:I80" si="6">+($D17-$C17)</f>
        <v>0.39777696500000004</v>
      </c>
      <c r="J17">
        <f t="shared" ref="J17:J80" si="7">+($E17-$C17)</f>
        <v>-0.16256743000000004</v>
      </c>
      <c r="K17">
        <f t="shared" ref="K17:K80" si="8">+($I17+$J17)/2</f>
        <v>0.1176047675</v>
      </c>
      <c r="L17">
        <f t="shared" ref="L17:L80" si="9">+(($D17-$C17)/$C17)^2</f>
        <v>3.0819430858299821</v>
      </c>
      <c r="M17">
        <v>1851</v>
      </c>
      <c r="N17">
        <v>0.16941700000000001</v>
      </c>
      <c r="O17">
        <f>+$N17+Offset</f>
        <v>0.26541700000000001</v>
      </c>
      <c r="P17">
        <v>1851</v>
      </c>
      <c r="Q17">
        <v>-0.30166700000000002</v>
      </c>
      <c r="S17">
        <v>1851</v>
      </c>
      <c r="T17">
        <v>-0.22658300000000001</v>
      </c>
    </row>
    <row r="18" spans="1:20" x14ac:dyDescent="0.25">
      <c r="A18">
        <f t="shared" si="1"/>
        <v>1852</v>
      </c>
      <c r="B18">
        <f t="shared" si="0"/>
        <v>-0.11689656999999996</v>
      </c>
      <c r="C18">
        <f t="shared" si="2"/>
        <v>-0.23183300000000001</v>
      </c>
      <c r="D18">
        <f>$O18*(Fraction*Ocean+Land)</f>
        <v>0.190060215</v>
      </c>
      <c r="E18">
        <f>+$Q18*(Ocean+Land/Fraction)</f>
        <v>-0.36764999999999998</v>
      </c>
      <c r="F18">
        <f t="shared" si="3"/>
        <v>-8.8794892499999986E-2</v>
      </c>
      <c r="G18">
        <f t="shared" si="4"/>
        <v>1852</v>
      </c>
      <c r="H18">
        <f t="shared" si="5"/>
        <v>0.11493643000000005</v>
      </c>
      <c r="I18">
        <f t="shared" si="6"/>
        <v>0.42189321499999999</v>
      </c>
      <c r="J18">
        <f t="shared" si="7"/>
        <v>-0.13581699999999997</v>
      </c>
      <c r="K18">
        <f t="shared" si="8"/>
        <v>0.14303810750000001</v>
      </c>
      <c r="L18">
        <f t="shared" si="9"/>
        <v>3.3117273266453608</v>
      </c>
      <c r="M18">
        <v>1852</v>
      </c>
      <c r="N18">
        <v>0.19866700000000001</v>
      </c>
      <c r="O18">
        <f>+$N18+Offset</f>
        <v>0.29466700000000001</v>
      </c>
      <c r="P18">
        <v>1852</v>
      </c>
      <c r="Q18">
        <v>-0.28499999999999998</v>
      </c>
      <c r="S18">
        <v>1852</v>
      </c>
      <c r="T18">
        <v>-0.23183300000000001</v>
      </c>
    </row>
    <row r="19" spans="1:20" x14ac:dyDescent="0.25">
      <c r="A19">
        <f t="shared" si="1"/>
        <v>1853</v>
      </c>
      <c r="B19">
        <f t="shared" si="0"/>
        <v>-0.27505450000000004</v>
      </c>
      <c r="C19">
        <f t="shared" si="2"/>
        <v>-0.27483299999999999</v>
      </c>
      <c r="D19">
        <f>$O19*(Fraction*Ocean+Land)</f>
        <v>-0.11959396499999998</v>
      </c>
      <c r="E19">
        <f>+$Q19*(Ocean+Land/Fraction)</f>
        <v>-0.40205043000000007</v>
      </c>
      <c r="F19">
        <f t="shared" si="3"/>
        <v>-0.26082219750000002</v>
      </c>
      <c r="G19">
        <f t="shared" si="4"/>
        <v>1853</v>
      </c>
      <c r="H19">
        <f t="shared" si="5"/>
        <v>-2.2150000000004111E-4</v>
      </c>
      <c r="I19">
        <f t="shared" si="6"/>
        <v>0.15523903500000003</v>
      </c>
      <c r="J19">
        <f t="shared" si="7"/>
        <v>-0.12721743000000008</v>
      </c>
      <c r="K19">
        <f t="shared" si="8"/>
        <v>1.4010802499999975E-2</v>
      </c>
      <c r="L19">
        <f t="shared" si="9"/>
        <v>0.31905393975540425</v>
      </c>
      <c r="M19">
        <v>1853</v>
      </c>
      <c r="N19">
        <v>-0.28141699999999997</v>
      </c>
      <c r="O19">
        <f>+$N19+Offset</f>
        <v>-0.18541699999999997</v>
      </c>
      <c r="P19">
        <v>1853</v>
      </c>
      <c r="Q19">
        <v>-0.31166700000000003</v>
      </c>
      <c r="S19">
        <v>1853</v>
      </c>
      <c r="T19">
        <v>-0.27483299999999999</v>
      </c>
    </row>
    <row r="20" spans="1:20" x14ac:dyDescent="0.25">
      <c r="A20">
        <f t="shared" si="1"/>
        <v>1854</v>
      </c>
      <c r="B20">
        <f t="shared" si="0"/>
        <v>-0.18108165699999998</v>
      </c>
      <c r="C20">
        <f t="shared" si="2"/>
        <v>-0.25266699999999997</v>
      </c>
      <c r="D20">
        <f>$O20*(Fraction*Ocean+Land)</f>
        <v>0.1250762715</v>
      </c>
      <c r="E20">
        <f>+$Q20*(Ocean+Land/Fraction)</f>
        <v>-0.43118250000000002</v>
      </c>
      <c r="F20">
        <f t="shared" si="3"/>
        <v>-0.15305311425000001</v>
      </c>
      <c r="G20">
        <f t="shared" si="4"/>
        <v>1854</v>
      </c>
      <c r="H20">
        <f t="shared" si="5"/>
        <v>7.1585342999999996E-2</v>
      </c>
      <c r="I20">
        <f t="shared" si="6"/>
        <v>0.37774327149999998</v>
      </c>
      <c r="J20">
        <f t="shared" si="7"/>
        <v>-0.17851550000000005</v>
      </c>
      <c r="K20">
        <f t="shared" si="8"/>
        <v>9.9613885749999964E-2</v>
      </c>
      <c r="L20">
        <f t="shared" si="9"/>
        <v>2.2350972634241235</v>
      </c>
      <c r="M20">
        <v>1854</v>
      </c>
      <c r="N20">
        <v>9.7916699999999995E-2</v>
      </c>
      <c r="O20">
        <f>+$N20+Offset</f>
        <v>0.1939167</v>
      </c>
      <c r="P20">
        <v>1854</v>
      </c>
      <c r="Q20">
        <v>-0.33424999999999999</v>
      </c>
      <c r="S20">
        <v>1854</v>
      </c>
      <c r="T20">
        <v>-0.25266699999999997</v>
      </c>
    </row>
    <row r="21" spans="1:20" x14ac:dyDescent="0.25">
      <c r="A21">
        <f t="shared" si="1"/>
        <v>1855</v>
      </c>
      <c r="B21">
        <f t="shared" si="0"/>
        <v>-0.25592607000000001</v>
      </c>
      <c r="C21">
        <f t="shared" si="2"/>
        <v>-0.27274999999999999</v>
      </c>
      <c r="D21">
        <f>$O21*(Fraction*Ocean+Land)</f>
        <v>-0.10626374999999999</v>
      </c>
      <c r="E21">
        <f>+$Q21*(Ocean+Land/Fraction)</f>
        <v>-0.37818543000000004</v>
      </c>
      <c r="F21">
        <f t="shared" si="3"/>
        <v>-0.24222459000000002</v>
      </c>
      <c r="G21">
        <f t="shared" si="4"/>
        <v>1855</v>
      </c>
      <c r="H21">
        <f t="shared" si="5"/>
        <v>1.6823929999999987E-2</v>
      </c>
      <c r="I21">
        <f t="shared" si="6"/>
        <v>0.16648625</v>
      </c>
      <c r="J21">
        <f t="shared" si="7"/>
        <v>-0.10543543000000005</v>
      </c>
      <c r="K21">
        <f t="shared" si="8"/>
        <v>3.0525409999999975E-2</v>
      </c>
      <c r="L21">
        <f t="shared" si="9"/>
        <v>0.3725865934388603</v>
      </c>
      <c r="M21">
        <v>1855</v>
      </c>
      <c r="N21">
        <v>-0.26074999999999998</v>
      </c>
      <c r="O21">
        <f>+$N21+Offset</f>
        <v>-0.16474999999999998</v>
      </c>
      <c r="P21">
        <v>1855</v>
      </c>
      <c r="Q21">
        <v>-0.29316700000000001</v>
      </c>
      <c r="S21">
        <v>1855</v>
      </c>
      <c r="T21">
        <v>-0.27274999999999999</v>
      </c>
    </row>
    <row r="22" spans="1:20" x14ac:dyDescent="0.25">
      <c r="A22">
        <f t="shared" si="1"/>
        <v>1856</v>
      </c>
      <c r="B22">
        <f t="shared" si="0"/>
        <v>-0.40340200000000004</v>
      </c>
      <c r="C22">
        <f t="shared" si="2"/>
        <v>-0.36283300000000002</v>
      </c>
      <c r="D22">
        <f>$O22*(Fraction*Ocean+Land)</f>
        <v>-0.28148896500000004</v>
      </c>
      <c r="E22">
        <f>+$Q22*(Ocean+Land/Fraction)</f>
        <v>-0.50299293</v>
      </c>
      <c r="F22">
        <f t="shared" si="3"/>
        <v>-0.39224094750000005</v>
      </c>
      <c r="G22">
        <f t="shared" si="4"/>
        <v>1856</v>
      </c>
      <c r="H22">
        <f t="shared" si="5"/>
        <v>-4.0569000000000022E-2</v>
      </c>
      <c r="I22">
        <f t="shared" si="6"/>
        <v>8.1344034999999981E-2</v>
      </c>
      <c r="J22">
        <f t="shared" si="7"/>
        <v>-0.14015992999999999</v>
      </c>
      <c r="K22">
        <f t="shared" si="8"/>
        <v>-2.9407947500000003E-2</v>
      </c>
      <c r="L22">
        <f t="shared" si="9"/>
        <v>5.0261779834719578E-2</v>
      </c>
      <c r="M22">
        <v>1856</v>
      </c>
      <c r="N22">
        <v>-0.53241700000000003</v>
      </c>
      <c r="O22">
        <f>+$N22+Offset</f>
        <v>-0.43641700000000005</v>
      </c>
      <c r="P22">
        <v>1856</v>
      </c>
      <c r="Q22">
        <v>-0.38991700000000001</v>
      </c>
      <c r="S22">
        <v>1856</v>
      </c>
      <c r="T22">
        <v>-0.36283300000000002</v>
      </c>
    </row>
    <row r="23" spans="1:20" x14ac:dyDescent="0.25">
      <c r="A23">
        <f t="shared" si="1"/>
        <v>1857</v>
      </c>
      <c r="B23">
        <f t="shared" si="0"/>
        <v>-0.45918842999999998</v>
      </c>
      <c r="C23">
        <f t="shared" si="2"/>
        <v>-0.46400000000000002</v>
      </c>
      <c r="D23">
        <f>$O23*(Fraction*Ocean+Land)</f>
        <v>-0.22343896499999999</v>
      </c>
      <c r="E23">
        <f>+$Q23*(Ocean+Land/Fraction)</f>
        <v>-0.65177249999999998</v>
      </c>
      <c r="F23">
        <f t="shared" si="3"/>
        <v>-0.43760573250000001</v>
      </c>
      <c r="G23">
        <f t="shared" si="4"/>
        <v>1857</v>
      </c>
      <c r="H23">
        <f t="shared" si="5"/>
        <v>4.8115700000000428E-3</v>
      </c>
      <c r="I23">
        <f t="shared" si="6"/>
        <v>0.24056103500000003</v>
      </c>
      <c r="J23">
        <f t="shared" si="7"/>
        <v>-0.18777249999999995</v>
      </c>
      <c r="K23">
        <f t="shared" si="8"/>
        <v>2.639426750000004E-2</v>
      </c>
      <c r="L23">
        <f t="shared" si="9"/>
        <v>0.26879092765435136</v>
      </c>
      <c r="M23">
        <v>1857</v>
      </c>
      <c r="N23">
        <v>-0.442417</v>
      </c>
      <c r="O23">
        <f>+$N23+Offset</f>
        <v>-0.34641699999999997</v>
      </c>
      <c r="P23">
        <v>1857</v>
      </c>
      <c r="Q23">
        <v>-0.50524999999999998</v>
      </c>
      <c r="S23">
        <v>1857</v>
      </c>
      <c r="T23">
        <v>-0.46400000000000002</v>
      </c>
    </row>
    <row r="24" spans="1:20" x14ac:dyDescent="0.25">
      <c r="A24">
        <f t="shared" si="1"/>
        <v>1858</v>
      </c>
      <c r="B24">
        <f t="shared" si="0"/>
        <v>-0.495755</v>
      </c>
      <c r="C24">
        <f t="shared" si="2"/>
        <v>-0.46841699999999997</v>
      </c>
      <c r="D24">
        <f>$O24*(Fraction*Ocean+Land)</f>
        <v>-0.26686875000000004</v>
      </c>
      <c r="E24">
        <f>+$Q24*(Ocean+Land/Fraction)</f>
        <v>-0.68273249999999996</v>
      </c>
      <c r="F24">
        <f t="shared" si="3"/>
        <v>-0.47480062499999998</v>
      </c>
      <c r="G24">
        <f t="shared" si="4"/>
        <v>1858</v>
      </c>
      <c r="H24">
        <f t="shared" si="5"/>
        <v>-2.7338000000000029E-2</v>
      </c>
      <c r="I24">
        <f t="shared" si="6"/>
        <v>0.20154824999999993</v>
      </c>
      <c r="J24">
        <f t="shared" si="7"/>
        <v>-0.21431549999999999</v>
      </c>
      <c r="K24">
        <f t="shared" si="8"/>
        <v>-6.3836250000000316E-3</v>
      </c>
      <c r="L24">
        <f t="shared" si="9"/>
        <v>0.18513680586528214</v>
      </c>
      <c r="M24">
        <v>1858</v>
      </c>
      <c r="N24">
        <v>-0.50975000000000004</v>
      </c>
      <c r="O24">
        <f>+$N24+Offset</f>
        <v>-0.41375000000000006</v>
      </c>
      <c r="P24">
        <v>1858</v>
      </c>
      <c r="Q24">
        <v>-0.52925</v>
      </c>
      <c r="S24">
        <v>1858</v>
      </c>
      <c r="T24">
        <v>-0.46841699999999997</v>
      </c>
    </row>
    <row r="25" spans="1:20" x14ac:dyDescent="0.25">
      <c r="A25">
        <f t="shared" si="1"/>
        <v>1859</v>
      </c>
      <c r="B25">
        <f t="shared" si="0"/>
        <v>-0.33524549999999997</v>
      </c>
      <c r="C25">
        <f t="shared" si="2"/>
        <v>-0.29391699999999998</v>
      </c>
      <c r="D25">
        <f>$O25*(Fraction*Ocean+Land)</f>
        <v>-0.100028535</v>
      </c>
      <c r="E25">
        <f>+$Q25*(Ocean+Land/Fraction)</f>
        <v>-0.52739457000000001</v>
      </c>
      <c r="F25">
        <f t="shared" si="3"/>
        <v>-0.31371155249999999</v>
      </c>
      <c r="G25">
        <f t="shared" si="4"/>
        <v>1859</v>
      </c>
      <c r="H25">
        <f t="shared" si="5"/>
        <v>-4.132849999999999E-2</v>
      </c>
      <c r="I25">
        <f t="shared" si="6"/>
        <v>0.19388846499999998</v>
      </c>
      <c r="J25">
        <f t="shared" si="7"/>
        <v>-0.23347757000000002</v>
      </c>
      <c r="K25">
        <f t="shared" si="8"/>
        <v>-1.9794552500000021E-2</v>
      </c>
      <c r="L25">
        <f t="shared" si="9"/>
        <v>0.43516557548876306</v>
      </c>
      <c r="M25">
        <v>1859</v>
      </c>
      <c r="N25">
        <v>-0.251083</v>
      </c>
      <c r="O25">
        <f>+$N25+Offset</f>
        <v>-0.155083</v>
      </c>
      <c r="P25">
        <v>1859</v>
      </c>
      <c r="Q25">
        <v>-0.408833</v>
      </c>
      <c r="S25">
        <v>1859</v>
      </c>
      <c r="T25">
        <v>-0.29391699999999998</v>
      </c>
    </row>
    <row r="26" spans="1:20" x14ac:dyDescent="0.25">
      <c r="A26">
        <f t="shared" si="1"/>
        <v>1860</v>
      </c>
      <c r="B26">
        <f t="shared" si="0"/>
        <v>-0.37417843000000006</v>
      </c>
      <c r="C26">
        <f t="shared" si="2"/>
        <v>-0.348167</v>
      </c>
      <c r="D26">
        <f>$O26*(Fraction*Ocean+Land)</f>
        <v>-0.33163771500000006</v>
      </c>
      <c r="E26">
        <f>+$Q26*(Ocean+Land/Fraction)</f>
        <v>-0.40893000000000002</v>
      </c>
      <c r="F26">
        <f t="shared" si="3"/>
        <v>-0.37028385750000004</v>
      </c>
      <c r="G26">
        <f t="shared" si="4"/>
        <v>1860</v>
      </c>
      <c r="H26">
        <f t="shared" si="5"/>
        <v>-2.6011430000000058E-2</v>
      </c>
      <c r="I26">
        <f t="shared" si="6"/>
        <v>1.6529284999999949E-2</v>
      </c>
      <c r="J26">
        <f t="shared" si="7"/>
        <v>-6.0763000000000011E-2</v>
      </c>
      <c r="K26">
        <f t="shared" si="8"/>
        <v>-2.2116857500000031E-2</v>
      </c>
      <c r="L26">
        <f t="shared" si="9"/>
        <v>2.2538910810899534E-3</v>
      </c>
      <c r="M26">
        <v>1860</v>
      </c>
      <c r="N26">
        <v>-0.61016700000000001</v>
      </c>
      <c r="O26">
        <f>+$N26+Offset</f>
        <v>-0.51416700000000004</v>
      </c>
      <c r="P26">
        <v>1860</v>
      </c>
      <c r="Q26">
        <v>-0.317</v>
      </c>
      <c r="S26">
        <v>1860</v>
      </c>
      <c r="T26">
        <v>-0.348167</v>
      </c>
    </row>
    <row r="27" spans="1:20" x14ac:dyDescent="0.25">
      <c r="A27">
        <f t="shared" si="1"/>
        <v>1861</v>
      </c>
      <c r="B27">
        <f t="shared" si="0"/>
        <v>-0.40189513999999998</v>
      </c>
      <c r="C27">
        <f t="shared" si="2"/>
        <v>-0.39666699999999999</v>
      </c>
      <c r="D27">
        <f>$O27*(Fraction*Ocean+Land)</f>
        <v>-0.23273728499999999</v>
      </c>
      <c r="E27">
        <f>+$Q27*(Ocean+Land/Fraction)</f>
        <v>-0.54008043000000006</v>
      </c>
      <c r="F27">
        <f t="shared" si="3"/>
        <v>-0.38640885750000004</v>
      </c>
      <c r="G27">
        <f t="shared" si="4"/>
        <v>1861</v>
      </c>
      <c r="H27">
        <f t="shared" si="5"/>
        <v>-5.2281399999999922E-3</v>
      </c>
      <c r="I27">
        <f t="shared" si="6"/>
        <v>0.163929715</v>
      </c>
      <c r="J27">
        <f t="shared" si="7"/>
        <v>-0.14341343000000006</v>
      </c>
      <c r="K27">
        <f t="shared" si="8"/>
        <v>1.025814249999997E-2</v>
      </c>
      <c r="L27">
        <f t="shared" si="9"/>
        <v>0.17079030905919404</v>
      </c>
      <c r="M27">
        <v>1861</v>
      </c>
      <c r="N27">
        <v>-0.45683299999999999</v>
      </c>
      <c r="O27">
        <f>+$N27+Offset</f>
        <v>-0.36083299999999996</v>
      </c>
      <c r="P27">
        <v>1861</v>
      </c>
      <c r="Q27">
        <v>-0.41866700000000001</v>
      </c>
      <c r="S27">
        <v>1861</v>
      </c>
      <c r="T27">
        <v>-0.39666699999999999</v>
      </c>
    </row>
    <row r="28" spans="1:20" x14ac:dyDescent="0.25">
      <c r="A28">
        <f t="shared" si="1"/>
        <v>1862</v>
      </c>
      <c r="B28">
        <f t="shared" si="0"/>
        <v>-0.52338200000000001</v>
      </c>
      <c r="C28">
        <f t="shared" si="2"/>
        <v>-0.51100000000000001</v>
      </c>
      <c r="D28">
        <f>$O28*(Fraction*Ocean+Land)</f>
        <v>-0.38726896500000002</v>
      </c>
      <c r="E28">
        <f>+$Q28*(Ocean+Land/Fraction)</f>
        <v>-0.63457293000000004</v>
      </c>
      <c r="F28">
        <f t="shared" si="3"/>
        <v>-0.51092094750000006</v>
      </c>
      <c r="G28">
        <f t="shared" si="4"/>
        <v>1862</v>
      </c>
      <c r="H28">
        <f t="shared" si="5"/>
        <v>-1.2382000000000004E-2</v>
      </c>
      <c r="I28">
        <f t="shared" si="6"/>
        <v>0.12373103499999999</v>
      </c>
      <c r="J28">
        <f t="shared" si="7"/>
        <v>-0.12357293000000003</v>
      </c>
      <c r="K28">
        <f t="shared" si="8"/>
        <v>7.9052499999981984E-5</v>
      </c>
      <c r="L28">
        <f t="shared" si="9"/>
        <v>5.8629405609549677E-2</v>
      </c>
      <c r="M28">
        <v>1862</v>
      </c>
      <c r="N28">
        <v>-0.69641699999999995</v>
      </c>
      <c r="O28">
        <f>+$N28+Offset</f>
        <v>-0.60041699999999998</v>
      </c>
      <c r="P28">
        <v>1862</v>
      </c>
      <c r="Q28">
        <v>-0.49191699999999999</v>
      </c>
      <c r="S28">
        <v>1862</v>
      </c>
      <c r="T28">
        <v>-0.51100000000000001</v>
      </c>
    </row>
    <row r="29" spans="1:20" x14ac:dyDescent="0.25">
      <c r="A29">
        <f t="shared" si="1"/>
        <v>1863</v>
      </c>
      <c r="B29">
        <f t="shared" si="0"/>
        <v>-0.35554049999999998</v>
      </c>
      <c r="C29">
        <f t="shared" si="2"/>
        <v>-0.284333</v>
      </c>
      <c r="D29">
        <f>$O29*(Fraction*Ocean+Land)</f>
        <v>-8.3581034999999998E-2</v>
      </c>
      <c r="E29">
        <f>+$Q29*(Ocean+Land/Fraction)</f>
        <v>-0.57770456999999997</v>
      </c>
      <c r="F29">
        <f t="shared" si="3"/>
        <v>-0.3306428025</v>
      </c>
      <c r="G29">
        <f t="shared" si="4"/>
        <v>1863</v>
      </c>
      <c r="H29">
        <f t="shared" si="5"/>
        <v>-7.1207499999999979E-2</v>
      </c>
      <c r="I29">
        <f t="shared" si="6"/>
        <v>0.200751965</v>
      </c>
      <c r="J29">
        <f t="shared" si="7"/>
        <v>-0.29337156999999997</v>
      </c>
      <c r="K29">
        <f t="shared" si="8"/>
        <v>-4.6309802499999983E-2</v>
      </c>
      <c r="L29">
        <f t="shared" si="9"/>
        <v>0.49849989967493724</v>
      </c>
      <c r="M29">
        <v>1863</v>
      </c>
      <c r="N29">
        <v>-0.22558300000000001</v>
      </c>
      <c r="O29">
        <f>+$N29+Offset</f>
        <v>-0.129583</v>
      </c>
      <c r="P29">
        <v>1863</v>
      </c>
      <c r="Q29">
        <v>-0.44783299999999998</v>
      </c>
      <c r="S29">
        <v>1863</v>
      </c>
      <c r="T29">
        <v>-0.284333</v>
      </c>
    </row>
    <row r="30" spans="1:20" x14ac:dyDescent="0.25">
      <c r="A30">
        <f t="shared" si="1"/>
        <v>1864</v>
      </c>
      <c r="B30">
        <f t="shared" si="0"/>
        <v>-0.46665999999999996</v>
      </c>
      <c r="C30">
        <f t="shared" si="2"/>
        <v>-0.48216700000000001</v>
      </c>
      <c r="D30">
        <f>$O30*(Fraction*Ocean+Land)</f>
        <v>-0.39441750000000003</v>
      </c>
      <c r="E30">
        <f>+$Q30*(Ocean+Land/Fraction)</f>
        <v>-0.525675</v>
      </c>
      <c r="F30">
        <f t="shared" si="3"/>
        <v>-0.46004624999999999</v>
      </c>
      <c r="G30">
        <f t="shared" si="4"/>
        <v>1864</v>
      </c>
      <c r="H30">
        <f t="shared" si="5"/>
        <v>1.5507000000000049E-2</v>
      </c>
      <c r="I30">
        <f t="shared" si="6"/>
        <v>8.774949999999998E-2</v>
      </c>
      <c r="J30">
        <f t="shared" si="7"/>
        <v>-4.3507999999999991E-2</v>
      </c>
      <c r="K30">
        <f t="shared" si="8"/>
        <v>2.2120749999999995E-2</v>
      </c>
      <c r="L30">
        <f t="shared" si="9"/>
        <v>3.312030549928581E-2</v>
      </c>
      <c r="M30">
        <v>1864</v>
      </c>
      <c r="N30">
        <v>-0.70750000000000002</v>
      </c>
      <c r="O30">
        <f>+$N30+Offset</f>
        <v>-0.61150000000000004</v>
      </c>
      <c r="P30">
        <v>1864</v>
      </c>
      <c r="Q30">
        <v>-0.40749999999999997</v>
      </c>
      <c r="S30">
        <v>1864</v>
      </c>
      <c r="T30">
        <v>-0.48216700000000001</v>
      </c>
    </row>
    <row r="31" spans="1:20" x14ac:dyDescent="0.25">
      <c r="A31">
        <f t="shared" si="1"/>
        <v>1865</v>
      </c>
      <c r="B31">
        <f t="shared" si="0"/>
        <v>-0.26833200000000001</v>
      </c>
      <c r="C31">
        <f t="shared" si="2"/>
        <v>-0.27608300000000002</v>
      </c>
      <c r="D31">
        <f>$O31*(Fraction*Ocean+Land)</f>
        <v>-0.19070521500000001</v>
      </c>
      <c r="E31">
        <f>+$Q31*(Ocean+Land/Fraction)</f>
        <v>-0.33174543000000001</v>
      </c>
      <c r="F31">
        <f t="shared" si="3"/>
        <v>-0.26122532250000002</v>
      </c>
      <c r="G31">
        <f t="shared" si="4"/>
        <v>1865</v>
      </c>
      <c r="H31">
        <f t="shared" si="5"/>
        <v>7.7510000000000079E-3</v>
      </c>
      <c r="I31">
        <f t="shared" si="6"/>
        <v>8.5377785000000012E-2</v>
      </c>
      <c r="J31">
        <f t="shared" si="7"/>
        <v>-5.5662429999999985E-2</v>
      </c>
      <c r="K31">
        <f t="shared" si="8"/>
        <v>1.4857677500000013E-2</v>
      </c>
      <c r="L31">
        <f t="shared" si="9"/>
        <v>9.5633584913359451E-2</v>
      </c>
      <c r="M31">
        <v>1865</v>
      </c>
      <c r="N31">
        <v>-0.39166699999999999</v>
      </c>
      <c r="O31">
        <f>+$N31+Offset</f>
        <v>-0.29566700000000001</v>
      </c>
      <c r="P31">
        <v>1865</v>
      </c>
      <c r="Q31">
        <v>-0.25716699999999998</v>
      </c>
      <c r="S31">
        <v>1865</v>
      </c>
      <c r="T31">
        <v>-0.27608300000000002</v>
      </c>
    </row>
    <row r="32" spans="1:20" x14ac:dyDescent="0.25">
      <c r="A32">
        <f t="shared" si="1"/>
        <v>1866</v>
      </c>
      <c r="B32">
        <f t="shared" si="0"/>
        <v>-0.26386356999999999</v>
      </c>
      <c r="C32">
        <f t="shared" si="2"/>
        <v>-0.23866699999999999</v>
      </c>
      <c r="D32">
        <f>$O32*(Fraction*Ocean+Land)</f>
        <v>-0.165765</v>
      </c>
      <c r="E32">
        <f>+$Q32*(Ocean+Land/Fraction)</f>
        <v>-0.34400042999999997</v>
      </c>
      <c r="F32">
        <f t="shared" si="3"/>
        <v>-0.25488271499999998</v>
      </c>
      <c r="G32">
        <f t="shared" si="4"/>
        <v>1866</v>
      </c>
      <c r="H32">
        <f t="shared" si="5"/>
        <v>-2.5196570000000001E-2</v>
      </c>
      <c r="I32">
        <f t="shared" si="6"/>
        <v>7.2901999999999995E-2</v>
      </c>
      <c r="J32">
        <f t="shared" si="7"/>
        <v>-0.10533342999999998</v>
      </c>
      <c r="K32">
        <f t="shared" si="8"/>
        <v>-1.6215714999999992E-2</v>
      </c>
      <c r="L32">
        <f t="shared" si="9"/>
        <v>9.3302684112666276E-2</v>
      </c>
      <c r="M32">
        <v>1866</v>
      </c>
      <c r="N32">
        <v>-0.35299999999999998</v>
      </c>
      <c r="O32">
        <f>+$N32+Offset</f>
        <v>-0.25700000000000001</v>
      </c>
      <c r="P32">
        <v>1866</v>
      </c>
      <c r="Q32">
        <v>-0.26666699999999999</v>
      </c>
      <c r="S32">
        <v>1866</v>
      </c>
      <c r="T32">
        <v>-0.23866699999999999</v>
      </c>
    </row>
    <row r="33" spans="1:20" x14ac:dyDescent="0.25">
      <c r="A33">
        <f t="shared" si="1"/>
        <v>1867</v>
      </c>
      <c r="B33">
        <f t="shared" si="0"/>
        <v>-0.28213250000000001</v>
      </c>
      <c r="C33">
        <f t="shared" si="2"/>
        <v>-0.30783300000000002</v>
      </c>
      <c r="D33">
        <f>$O33*(Fraction*Ocean+Land)</f>
        <v>-0.26864250000000001</v>
      </c>
      <c r="E33">
        <f>+$Q33*(Ocean+Land/Fraction)</f>
        <v>-0.29315250000000004</v>
      </c>
      <c r="F33">
        <f t="shared" si="3"/>
        <v>-0.28089750000000002</v>
      </c>
      <c r="G33">
        <f t="shared" si="4"/>
        <v>1867</v>
      </c>
      <c r="H33">
        <f t="shared" si="5"/>
        <v>2.5700500000000015E-2</v>
      </c>
      <c r="I33">
        <f t="shared" si="6"/>
        <v>3.9190500000000017E-2</v>
      </c>
      <c r="J33">
        <f t="shared" si="7"/>
        <v>1.4680499999999985E-2</v>
      </c>
      <c r="K33">
        <f t="shared" si="8"/>
        <v>2.6935500000000001E-2</v>
      </c>
      <c r="L33">
        <f t="shared" si="9"/>
        <v>1.6208068336028919E-2</v>
      </c>
      <c r="M33">
        <v>1867</v>
      </c>
      <c r="N33">
        <v>-0.51249999999999996</v>
      </c>
      <c r="O33">
        <f>+$N33+Offset</f>
        <v>-0.41649999999999998</v>
      </c>
      <c r="P33">
        <v>1867</v>
      </c>
      <c r="Q33">
        <v>-0.22725000000000001</v>
      </c>
      <c r="S33">
        <v>1867</v>
      </c>
      <c r="T33">
        <v>-0.30783300000000002</v>
      </c>
    </row>
    <row r="34" spans="1:20" x14ac:dyDescent="0.25">
      <c r="A34">
        <f t="shared" si="1"/>
        <v>1868</v>
      </c>
      <c r="B34">
        <f t="shared" si="0"/>
        <v>-0.203872</v>
      </c>
      <c r="C34">
        <f t="shared" si="2"/>
        <v>-0.22816700000000001</v>
      </c>
      <c r="D34">
        <f>$O34*(Fraction*Ocean+Land)</f>
        <v>-0.149586465</v>
      </c>
      <c r="E34">
        <f>+$Q34*(Ocean+Land/Fraction)</f>
        <v>-0.24821793</v>
      </c>
      <c r="F34">
        <f t="shared" si="3"/>
        <v>-0.19890219749999999</v>
      </c>
      <c r="G34">
        <f t="shared" si="4"/>
        <v>1868</v>
      </c>
      <c r="H34">
        <f t="shared" si="5"/>
        <v>2.4295000000000011E-2</v>
      </c>
      <c r="I34">
        <f t="shared" si="6"/>
        <v>7.8580535000000007E-2</v>
      </c>
      <c r="J34">
        <f t="shared" si="7"/>
        <v>-2.0050929999999995E-2</v>
      </c>
      <c r="K34">
        <f t="shared" si="8"/>
        <v>2.9264802500000006E-2</v>
      </c>
      <c r="L34">
        <f t="shared" si="9"/>
        <v>0.11861081721292599</v>
      </c>
      <c r="M34">
        <v>1868</v>
      </c>
      <c r="N34">
        <v>-0.32791700000000001</v>
      </c>
      <c r="O34">
        <f>+$N34+Offset</f>
        <v>-0.23191700000000001</v>
      </c>
      <c r="P34">
        <v>1868</v>
      </c>
      <c r="Q34">
        <v>-0.192417</v>
      </c>
      <c r="S34">
        <v>1868</v>
      </c>
      <c r="T34">
        <v>-0.22816700000000001</v>
      </c>
    </row>
    <row r="35" spans="1:20" x14ac:dyDescent="0.25">
      <c r="A35">
        <f t="shared" si="1"/>
        <v>1869</v>
      </c>
      <c r="B35">
        <f t="shared" si="0"/>
        <v>-0.25797513999999999</v>
      </c>
      <c r="C35">
        <f t="shared" si="2"/>
        <v>-0.25791700000000001</v>
      </c>
      <c r="D35">
        <f>$O35*(Fraction*Ocean+Land)</f>
        <v>-0.129376035</v>
      </c>
      <c r="E35">
        <f>+$Q35*(Ocean+Land/Fraction)</f>
        <v>-0.36302793</v>
      </c>
      <c r="F35">
        <f t="shared" si="3"/>
        <v>-0.2462019825</v>
      </c>
      <c r="G35">
        <f t="shared" si="4"/>
        <v>1869</v>
      </c>
      <c r="H35">
        <f t="shared" si="5"/>
        <v>-5.8139999999984315E-5</v>
      </c>
      <c r="I35">
        <f t="shared" si="6"/>
        <v>0.12854096500000001</v>
      </c>
      <c r="J35">
        <f t="shared" si="7"/>
        <v>-0.10511092999999999</v>
      </c>
      <c r="K35">
        <f t="shared" si="8"/>
        <v>1.1715017500000008E-2</v>
      </c>
      <c r="L35">
        <f t="shared" si="9"/>
        <v>0.24838374723788073</v>
      </c>
      <c r="M35">
        <v>1869</v>
      </c>
      <c r="N35">
        <v>-0.29658299999999999</v>
      </c>
      <c r="O35">
        <f>+$N35+Offset</f>
        <v>-0.20058299999999998</v>
      </c>
      <c r="P35">
        <v>1869</v>
      </c>
      <c r="Q35">
        <v>-0.28141699999999997</v>
      </c>
      <c r="S35">
        <v>1869</v>
      </c>
      <c r="T35">
        <v>-0.25791700000000001</v>
      </c>
    </row>
    <row r="36" spans="1:20" x14ac:dyDescent="0.25">
      <c r="A36">
        <f t="shared" si="1"/>
        <v>1870</v>
      </c>
      <c r="B36">
        <f t="shared" si="0"/>
        <v>-0.27595049999999999</v>
      </c>
      <c r="C36">
        <f t="shared" si="2"/>
        <v>-0.27324999999999999</v>
      </c>
      <c r="D36">
        <f>$O36*(Fraction*Ocean+Land)</f>
        <v>-0.24015478500000001</v>
      </c>
      <c r="E36">
        <f>+$Q36*(Ocean+Land/Fraction)</f>
        <v>-0.30519206999999998</v>
      </c>
      <c r="F36">
        <f t="shared" si="3"/>
        <v>-0.27267342750000001</v>
      </c>
      <c r="G36">
        <f t="shared" si="4"/>
        <v>1870</v>
      </c>
      <c r="H36">
        <f t="shared" si="5"/>
        <v>-2.7004999999999946E-3</v>
      </c>
      <c r="I36">
        <f t="shared" si="6"/>
        <v>3.3095214999999983E-2</v>
      </c>
      <c r="J36">
        <f t="shared" si="7"/>
        <v>-3.1942069999999989E-2</v>
      </c>
      <c r="K36">
        <f t="shared" si="8"/>
        <v>5.7657249999999716E-4</v>
      </c>
      <c r="L36">
        <f t="shared" si="9"/>
        <v>1.4669323034916181E-2</v>
      </c>
      <c r="M36">
        <v>1870</v>
      </c>
      <c r="N36">
        <v>-0.468333</v>
      </c>
      <c r="O36">
        <f>+$N36+Offset</f>
        <v>-0.37233300000000003</v>
      </c>
      <c r="P36">
        <v>1870</v>
      </c>
      <c r="Q36">
        <v>-0.23658299999999999</v>
      </c>
      <c r="S36">
        <v>1870</v>
      </c>
      <c r="T36">
        <v>-0.27324999999999999</v>
      </c>
    </row>
    <row r="37" spans="1:20" x14ac:dyDescent="0.25">
      <c r="A37">
        <f t="shared" si="1"/>
        <v>1871</v>
      </c>
      <c r="B37">
        <f t="shared" si="0"/>
        <v>-0.3338295</v>
      </c>
      <c r="C37">
        <f t="shared" si="2"/>
        <v>-0.33050000000000002</v>
      </c>
      <c r="D37">
        <f>$O37*(Fraction*Ocean+Land)</f>
        <v>-0.31664146500000007</v>
      </c>
      <c r="E37">
        <f>+$Q37*(Ocean+Land/Fraction)</f>
        <v>-0.34787043000000001</v>
      </c>
      <c r="F37">
        <f t="shared" si="3"/>
        <v>-0.33225594750000004</v>
      </c>
      <c r="G37">
        <f t="shared" si="4"/>
        <v>1871</v>
      </c>
      <c r="H37">
        <f t="shared" si="5"/>
        <v>-3.3294999999999852E-3</v>
      </c>
      <c r="I37">
        <f t="shared" si="6"/>
        <v>1.385853499999995E-2</v>
      </c>
      <c r="J37">
        <f t="shared" si="7"/>
        <v>-1.7370429999999992E-2</v>
      </c>
      <c r="K37">
        <f t="shared" si="8"/>
        <v>-1.7559475000000213E-3</v>
      </c>
      <c r="L37">
        <f t="shared" si="9"/>
        <v>1.758294907740517E-3</v>
      </c>
      <c r="M37">
        <v>1871</v>
      </c>
      <c r="N37">
        <v>-0.58691700000000002</v>
      </c>
      <c r="O37">
        <f>+$N37+Offset</f>
        <v>-0.49091700000000005</v>
      </c>
      <c r="P37">
        <v>1871</v>
      </c>
      <c r="Q37">
        <v>-0.26966699999999999</v>
      </c>
      <c r="S37">
        <v>1871</v>
      </c>
      <c r="T37">
        <v>-0.33050000000000002</v>
      </c>
    </row>
    <row r="38" spans="1:20" x14ac:dyDescent="0.25">
      <c r="A38">
        <f t="shared" si="1"/>
        <v>1872</v>
      </c>
      <c r="B38">
        <f t="shared" si="0"/>
        <v>-0.25313050000000004</v>
      </c>
      <c r="C38">
        <f t="shared" si="2"/>
        <v>-0.22683300000000001</v>
      </c>
      <c r="D38">
        <f>$O38*(Fraction*Ocean+Land)</f>
        <v>-0.11873353500000002</v>
      </c>
      <c r="E38">
        <f>+$Q38*(Ocean+Land/Fraction)</f>
        <v>-0.36291957000000002</v>
      </c>
      <c r="F38">
        <f t="shared" si="3"/>
        <v>-0.24082655250000001</v>
      </c>
      <c r="G38">
        <f t="shared" si="4"/>
        <v>1872</v>
      </c>
      <c r="H38">
        <f t="shared" si="5"/>
        <v>-2.6297500000000029E-2</v>
      </c>
      <c r="I38">
        <f t="shared" si="6"/>
        <v>0.10809946499999999</v>
      </c>
      <c r="J38">
        <f t="shared" si="7"/>
        <v>-0.13608657000000002</v>
      </c>
      <c r="K38">
        <f t="shared" si="8"/>
        <v>-1.3993552500000013E-2</v>
      </c>
      <c r="L38">
        <f t="shared" si="9"/>
        <v>0.22710914165501697</v>
      </c>
      <c r="M38">
        <v>1872</v>
      </c>
      <c r="N38">
        <v>-0.28008300000000003</v>
      </c>
      <c r="O38">
        <f>+$N38+Offset</f>
        <v>-0.18408300000000002</v>
      </c>
      <c r="P38">
        <v>1872</v>
      </c>
      <c r="Q38">
        <v>-0.281333</v>
      </c>
      <c r="S38">
        <v>1872</v>
      </c>
      <c r="T38">
        <v>-0.22683300000000001</v>
      </c>
    </row>
    <row r="39" spans="1:20" x14ac:dyDescent="0.25">
      <c r="A39">
        <f t="shared" si="1"/>
        <v>1873</v>
      </c>
      <c r="B39">
        <f t="shared" si="0"/>
        <v>-0.30652357000000002</v>
      </c>
      <c r="C39">
        <f t="shared" si="2"/>
        <v>-0.30491699999999999</v>
      </c>
      <c r="D39">
        <f>$O39*(Fraction*Ocean+Land)</f>
        <v>-0.16076625</v>
      </c>
      <c r="E39">
        <f>+$Q39*(Ocean+Land/Fraction)</f>
        <v>-0.42559293000000004</v>
      </c>
      <c r="F39">
        <f t="shared" si="3"/>
        <v>-0.29317959000000005</v>
      </c>
      <c r="G39">
        <f t="shared" si="4"/>
        <v>1873</v>
      </c>
      <c r="H39">
        <f t="shared" si="5"/>
        <v>-1.6065700000000294E-3</v>
      </c>
      <c r="I39">
        <f t="shared" si="6"/>
        <v>0.14415074999999999</v>
      </c>
      <c r="J39">
        <f t="shared" si="7"/>
        <v>-0.12067593000000004</v>
      </c>
      <c r="K39">
        <f t="shared" si="8"/>
        <v>1.1737409999999976E-2</v>
      </c>
      <c r="L39">
        <f t="shared" si="9"/>
        <v>0.22349640213637142</v>
      </c>
      <c r="M39">
        <v>1873</v>
      </c>
      <c r="N39">
        <v>-0.34525</v>
      </c>
      <c r="O39">
        <f>+$N39+Offset</f>
        <v>-0.24925</v>
      </c>
      <c r="P39">
        <v>1873</v>
      </c>
      <c r="Q39">
        <v>-0.32991700000000002</v>
      </c>
      <c r="S39">
        <v>1873</v>
      </c>
      <c r="T39">
        <v>-0.30491699999999999</v>
      </c>
    </row>
    <row r="40" spans="1:20" x14ac:dyDescent="0.25">
      <c r="A40">
        <f t="shared" si="1"/>
        <v>1874</v>
      </c>
      <c r="B40">
        <f t="shared" si="0"/>
        <v>-0.39112550000000001</v>
      </c>
      <c r="C40">
        <f t="shared" si="2"/>
        <v>-0.374417</v>
      </c>
      <c r="D40">
        <f>$O40*(Fraction*Ocean+Land)</f>
        <v>-0.21483853500000002</v>
      </c>
      <c r="E40">
        <f>+$Q40*(Ocean+Land/Fraction)</f>
        <v>-0.53513456999999998</v>
      </c>
      <c r="F40">
        <f t="shared" si="3"/>
        <v>-0.37498655250000001</v>
      </c>
      <c r="G40">
        <f t="shared" si="4"/>
        <v>1874</v>
      </c>
      <c r="H40">
        <f t="shared" si="5"/>
        <v>-1.6708500000000015E-2</v>
      </c>
      <c r="I40">
        <f t="shared" si="6"/>
        <v>0.15957846499999997</v>
      </c>
      <c r="J40">
        <f t="shared" si="7"/>
        <v>-0.16071756999999998</v>
      </c>
      <c r="K40">
        <f t="shared" si="8"/>
        <v>-5.6955250000000068E-4</v>
      </c>
      <c r="L40">
        <f t="shared" si="9"/>
        <v>0.18165085573189177</v>
      </c>
      <c r="M40">
        <v>1874</v>
      </c>
      <c r="N40">
        <v>-0.42908299999999999</v>
      </c>
      <c r="O40">
        <f>+$N40+Offset</f>
        <v>-0.33308300000000002</v>
      </c>
      <c r="P40">
        <v>1874</v>
      </c>
      <c r="Q40">
        <v>-0.41483300000000001</v>
      </c>
      <c r="S40">
        <v>1874</v>
      </c>
      <c r="T40">
        <v>-0.374417</v>
      </c>
    </row>
    <row r="41" spans="1:20" x14ac:dyDescent="0.25">
      <c r="A41">
        <f t="shared" si="1"/>
        <v>1875</v>
      </c>
      <c r="B41">
        <f t="shared" si="0"/>
        <v>-0.41601657000000003</v>
      </c>
      <c r="C41">
        <f t="shared" si="2"/>
        <v>-0.41391699999999998</v>
      </c>
      <c r="D41">
        <f>$O41*(Fraction*Ocean+Land)</f>
        <v>-0.46219603500000006</v>
      </c>
      <c r="E41">
        <f>+$Q41*(Ocean+Land/Fraction)</f>
        <v>-0.37829250000000003</v>
      </c>
      <c r="F41">
        <f t="shared" si="3"/>
        <v>-0.42024426750000005</v>
      </c>
      <c r="G41">
        <f t="shared" si="4"/>
        <v>1875</v>
      </c>
      <c r="H41">
        <f t="shared" si="5"/>
        <v>-2.0995700000000506E-3</v>
      </c>
      <c r="I41">
        <f t="shared" si="6"/>
        <v>-4.8279035000000081E-2</v>
      </c>
      <c r="J41">
        <f t="shared" si="7"/>
        <v>3.5624499999999948E-2</v>
      </c>
      <c r="K41">
        <f t="shared" si="8"/>
        <v>-6.3272675000000667E-3</v>
      </c>
      <c r="L41">
        <f t="shared" si="9"/>
        <v>1.3604752151712815E-2</v>
      </c>
      <c r="M41">
        <v>1875</v>
      </c>
      <c r="N41">
        <v>-0.81258300000000006</v>
      </c>
      <c r="O41">
        <f>+$N41+Offset</f>
        <v>-0.71658300000000008</v>
      </c>
      <c r="P41">
        <v>1875</v>
      </c>
      <c r="Q41">
        <v>-0.29325000000000001</v>
      </c>
      <c r="S41">
        <v>1875</v>
      </c>
      <c r="T41">
        <v>-0.41391699999999998</v>
      </c>
    </row>
    <row r="42" spans="1:20" x14ac:dyDescent="0.25">
      <c r="A42">
        <f t="shared" si="1"/>
        <v>1876</v>
      </c>
      <c r="B42">
        <f t="shared" si="0"/>
        <v>-0.38412200000000007</v>
      </c>
      <c r="C42">
        <f t="shared" si="2"/>
        <v>-0.38566699999999998</v>
      </c>
      <c r="D42">
        <f>$O42*(Fraction*Ocean+Land)</f>
        <v>-0.23150146500000005</v>
      </c>
      <c r="E42">
        <f>+$Q42*(Ocean+Land/Fraction)</f>
        <v>-0.50879793000000006</v>
      </c>
      <c r="F42">
        <f t="shared" si="3"/>
        <v>-0.37014969750000004</v>
      </c>
      <c r="G42">
        <f t="shared" si="4"/>
        <v>1876</v>
      </c>
      <c r="H42">
        <f t="shared" si="5"/>
        <v>1.5449999999999076E-3</v>
      </c>
      <c r="I42">
        <f t="shared" si="6"/>
        <v>0.15416553499999994</v>
      </c>
      <c r="J42">
        <f t="shared" si="7"/>
        <v>-0.12313093000000008</v>
      </c>
      <c r="K42">
        <f t="shared" si="8"/>
        <v>1.5517302499999927E-2</v>
      </c>
      <c r="L42">
        <f t="shared" si="9"/>
        <v>0.15979001208104451</v>
      </c>
      <c r="M42">
        <v>1876</v>
      </c>
      <c r="N42">
        <v>-0.45491700000000002</v>
      </c>
      <c r="O42">
        <f>+$N42+Offset</f>
        <v>-0.35891700000000004</v>
      </c>
      <c r="P42">
        <v>1876</v>
      </c>
      <c r="Q42">
        <v>-0.39441700000000002</v>
      </c>
      <c r="S42">
        <v>1876</v>
      </c>
      <c r="T42">
        <v>-0.38566699999999998</v>
      </c>
    </row>
    <row r="43" spans="1:20" x14ac:dyDescent="0.25">
      <c r="A43">
        <f t="shared" si="1"/>
        <v>1877</v>
      </c>
      <c r="B43">
        <f t="shared" si="0"/>
        <v>-9.2901787000000013E-2</v>
      </c>
      <c r="C43">
        <f t="shared" si="2"/>
        <v>-7.5333300000000006E-2</v>
      </c>
      <c r="D43">
        <f>$O43*(Fraction*Ocean+Land)</f>
        <v>-0.115562715</v>
      </c>
      <c r="E43">
        <f>+$Q43*(Ocean+Land/Fraction)</f>
        <v>-7.4390043000000003E-2</v>
      </c>
      <c r="F43">
        <f t="shared" si="3"/>
        <v>-9.4976379E-2</v>
      </c>
      <c r="G43">
        <f t="shared" si="4"/>
        <v>1877</v>
      </c>
      <c r="H43">
        <f t="shared" si="5"/>
        <v>-1.7568487000000008E-2</v>
      </c>
      <c r="I43">
        <f t="shared" si="6"/>
        <v>-4.0229414999999991E-2</v>
      </c>
      <c r="J43">
        <f t="shared" si="7"/>
        <v>9.432570000000029E-4</v>
      </c>
      <c r="K43">
        <f t="shared" si="8"/>
        <v>-1.9643078999999994E-2</v>
      </c>
      <c r="L43">
        <f t="shared" si="9"/>
        <v>0.28517631316364872</v>
      </c>
      <c r="M43">
        <v>1877</v>
      </c>
      <c r="N43">
        <v>-0.27516699999999999</v>
      </c>
      <c r="O43">
        <f>+$N43+Offset</f>
        <v>-0.17916699999999999</v>
      </c>
      <c r="P43">
        <v>1877</v>
      </c>
      <c r="Q43">
        <v>-5.7666700000000001E-2</v>
      </c>
      <c r="S43">
        <v>1877</v>
      </c>
      <c r="T43">
        <v>-7.5333300000000006E-2</v>
      </c>
    </row>
    <row r="44" spans="1:20" x14ac:dyDescent="0.25">
      <c r="A44">
        <f t="shared" si="1"/>
        <v>1878</v>
      </c>
      <c r="B44">
        <f t="shared" si="0"/>
        <v>1.8154990570000005E-2</v>
      </c>
      <c r="C44">
        <f t="shared" si="2"/>
        <v>3.3666700000000001E-2</v>
      </c>
      <c r="D44">
        <f>$O44*(Fraction*Ocean+Land)</f>
        <v>3.9721228500000004E-2</v>
      </c>
      <c r="E44">
        <f>+$Q44*(Ocean+Land/Fraction)</f>
        <v>5.3750043000000002E-4</v>
      </c>
      <c r="F44">
        <f t="shared" si="3"/>
        <v>2.0129364465000001E-2</v>
      </c>
      <c r="G44">
        <f t="shared" si="4"/>
        <v>1878</v>
      </c>
      <c r="H44">
        <f t="shared" si="5"/>
        <v>-1.5511709429999996E-2</v>
      </c>
      <c r="I44">
        <f t="shared" si="6"/>
        <v>6.0545285000000032E-3</v>
      </c>
      <c r="J44">
        <f t="shared" si="7"/>
        <v>-3.3129199570000004E-2</v>
      </c>
      <c r="K44">
        <f t="shared" si="8"/>
        <v>-1.3537335535E-2</v>
      </c>
      <c r="L44">
        <f t="shared" si="9"/>
        <v>3.2341455241455867E-2</v>
      </c>
      <c r="M44">
        <v>1878</v>
      </c>
      <c r="N44">
        <v>-3.4416700000000001E-2</v>
      </c>
      <c r="O44">
        <f>+$N44+Offset</f>
        <v>6.1583300000000001E-2</v>
      </c>
      <c r="P44">
        <v>1878</v>
      </c>
      <c r="Q44">
        <v>4.1666700000000001E-4</v>
      </c>
      <c r="S44">
        <v>1878</v>
      </c>
      <c r="T44">
        <v>3.3666700000000001E-2</v>
      </c>
    </row>
    <row r="45" spans="1:20" x14ac:dyDescent="0.25">
      <c r="A45">
        <f t="shared" si="1"/>
        <v>1879</v>
      </c>
      <c r="B45">
        <f t="shared" si="0"/>
        <v>-0.29009357000000002</v>
      </c>
      <c r="C45">
        <f t="shared" si="2"/>
        <v>-0.23175000000000001</v>
      </c>
      <c r="D45">
        <f>$O45*(Fraction*Ocean+Land)</f>
        <v>-0.25687125</v>
      </c>
      <c r="E45">
        <f>+$Q45*(Ocean+Land/Fraction)</f>
        <v>-0.31723293000000002</v>
      </c>
      <c r="F45">
        <f t="shared" si="3"/>
        <v>-0.28705208999999998</v>
      </c>
      <c r="G45">
        <f t="shared" si="4"/>
        <v>1879</v>
      </c>
      <c r="H45">
        <f t="shared" si="5"/>
        <v>-5.8343570000000011E-2</v>
      </c>
      <c r="I45">
        <f t="shared" si="6"/>
        <v>-2.5121249999999984E-2</v>
      </c>
      <c r="J45">
        <f t="shared" si="7"/>
        <v>-8.5482930000000013E-2</v>
      </c>
      <c r="K45">
        <f t="shared" si="8"/>
        <v>-5.5302089999999998E-2</v>
      </c>
      <c r="L45">
        <f t="shared" si="9"/>
        <v>1.1750139032896581E-2</v>
      </c>
      <c r="M45">
        <v>1879</v>
      </c>
      <c r="N45">
        <v>-0.49425000000000002</v>
      </c>
      <c r="O45">
        <f>+$N45+Offset</f>
        <v>-0.39824999999999999</v>
      </c>
      <c r="P45">
        <v>1879</v>
      </c>
      <c r="Q45">
        <v>-0.245917</v>
      </c>
      <c r="S45">
        <v>1879</v>
      </c>
      <c r="T45">
        <v>-0.23175000000000001</v>
      </c>
    </row>
    <row r="46" spans="1:20" x14ac:dyDescent="0.25">
      <c r="A46">
        <f t="shared" si="1"/>
        <v>1880</v>
      </c>
      <c r="B46">
        <f t="shared" si="0"/>
        <v>-0.23688013999999999</v>
      </c>
      <c r="C46">
        <f t="shared" si="2"/>
        <v>-0.22666700000000001</v>
      </c>
      <c r="D46">
        <f>$O46*(Fraction*Ocean+Land)</f>
        <v>-0.13614853499999999</v>
      </c>
      <c r="E46">
        <f>+$Q46*(Ocean+Land/Fraction)</f>
        <v>-0.31916792999999999</v>
      </c>
      <c r="F46">
        <f t="shared" si="3"/>
        <v>-0.2276582325</v>
      </c>
      <c r="G46">
        <f t="shared" si="4"/>
        <v>1880</v>
      </c>
      <c r="H46">
        <f t="shared" si="5"/>
        <v>-1.0213139999999982E-2</v>
      </c>
      <c r="I46">
        <f t="shared" si="6"/>
        <v>9.051846500000002E-2</v>
      </c>
      <c r="J46">
        <f t="shared" si="7"/>
        <v>-9.2500929999999981E-2</v>
      </c>
      <c r="K46">
        <f t="shared" si="8"/>
        <v>-9.9123249999998053E-4</v>
      </c>
      <c r="L46">
        <f t="shared" si="9"/>
        <v>0.15947689373890808</v>
      </c>
      <c r="M46">
        <v>1880</v>
      </c>
      <c r="N46">
        <v>-0.30708299999999999</v>
      </c>
      <c r="O46">
        <f>+$N46+Offset</f>
        <v>-0.21108299999999999</v>
      </c>
      <c r="P46">
        <v>1880</v>
      </c>
      <c r="Q46">
        <v>-0.247417</v>
      </c>
      <c r="S46">
        <v>1880</v>
      </c>
      <c r="T46">
        <v>-0.22666700000000001</v>
      </c>
    </row>
    <row r="47" spans="1:20" x14ac:dyDescent="0.25">
      <c r="A47">
        <f t="shared" si="1"/>
        <v>1881</v>
      </c>
      <c r="B47">
        <f t="shared" si="0"/>
        <v>-0.25118750000000001</v>
      </c>
      <c r="C47">
        <f t="shared" si="2"/>
        <v>-0.20449999999999999</v>
      </c>
      <c r="D47">
        <f>$O47*(Fraction*Ocean+Land)</f>
        <v>-0.21639750000000002</v>
      </c>
      <c r="E47">
        <f>+$Q47*(Ocean+Land/Fraction)</f>
        <v>-0.27960750000000001</v>
      </c>
      <c r="F47">
        <f t="shared" si="3"/>
        <v>-0.24800250000000001</v>
      </c>
      <c r="G47">
        <f t="shared" si="4"/>
        <v>1881</v>
      </c>
      <c r="H47">
        <f t="shared" si="5"/>
        <v>-4.6687500000000021E-2</v>
      </c>
      <c r="I47">
        <f t="shared" si="6"/>
        <v>-1.1897500000000033E-2</v>
      </c>
      <c r="J47">
        <f t="shared" si="7"/>
        <v>-7.5107500000000021E-2</v>
      </c>
      <c r="K47">
        <f t="shared" si="8"/>
        <v>-4.3502500000000027E-2</v>
      </c>
      <c r="L47">
        <f t="shared" si="9"/>
        <v>3.3847360130558955E-3</v>
      </c>
      <c r="M47">
        <v>1881</v>
      </c>
      <c r="N47">
        <v>-0.43149999999999999</v>
      </c>
      <c r="O47">
        <f>+$N47+Offset</f>
        <v>-0.33550000000000002</v>
      </c>
      <c r="P47">
        <v>1881</v>
      </c>
      <c r="Q47">
        <v>-0.21675</v>
      </c>
      <c r="S47">
        <v>1881</v>
      </c>
      <c r="T47">
        <v>-0.20449999999999999</v>
      </c>
    </row>
    <row r="48" spans="1:20" x14ac:dyDescent="0.25">
      <c r="A48">
        <f t="shared" si="1"/>
        <v>1882</v>
      </c>
      <c r="B48">
        <f t="shared" ref="B48:B79" si="10">Land*($N48+Offset)+Ocean*$Q48</f>
        <v>-0.24751513999999999</v>
      </c>
      <c r="C48">
        <f t="shared" si="2"/>
        <v>-0.2135</v>
      </c>
      <c r="D48">
        <f>$O48*(Fraction*Ocean+Land)</f>
        <v>-0.123087285</v>
      </c>
      <c r="E48">
        <f>+$Q48*(Ocean+Land/Fraction)</f>
        <v>-0.34916043000000002</v>
      </c>
      <c r="F48">
        <f t="shared" si="3"/>
        <v>-0.23612385750000001</v>
      </c>
      <c r="G48">
        <f t="shared" si="4"/>
        <v>1882</v>
      </c>
      <c r="H48">
        <f t="shared" si="5"/>
        <v>-3.4015139999999999E-2</v>
      </c>
      <c r="I48">
        <f t="shared" si="6"/>
        <v>9.0412714999999991E-2</v>
      </c>
      <c r="J48">
        <f t="shared" si="7"/>
        <v>-0.13566043000000003</v>
      </c>
      <c r="K48">
        <f t="shared" si="8"/>
        <v>-2.2623857500000018E-2</v>
      </c>
      <c r="L48">
        <f t="shared" si="9"/>
        <v>0.1793342591397139</v>
      </c>
      <c r="M48">
        <v>1882</v>
      </c>
      <c r="N48">
        <v>-0.286833</v>
      </c>
      <c r="O48">
        <f>+$N48+Offset</f>
        <v>-0.190833</v>
      </c>
      <c r="P48">
        <v>1882</v>
      </c>
      <c r="Q48">
        <v>-0.27066699999999999</v>
      </c>
      <c r="S48">
        <v>1882</v>
      </c>
      <c r="T48">
        <v>-0.2135</v>
      </c>
    </row>
    <row r="49" spans="1:20" x14ac:dyDescent="0.25">
      <c r="A49">
        <f t="shared" si="1"/>
        <v>1883</v>
      </c>
      <c r="B49">
        <f t="shared" si="10"/>
        <v>-0.31003736000000004</v>
      </c>
      <c r="C49">
        <f t="shared" si="2"/>
        <v>-0.29033300000000001</v>
      </c>
      <c r="D49">
        <f>$O49*(Fraction*Ocean+Land)</f>
        <v>-0.27649021500000004</v>
      </c>
      <c r="E49">
        <f>+$Q49*(Ocean+Land/Fraction)</f>
        <v>-0.33744207000000004</v>
      </c>
      <c r="F49">
        <f t="shared" si="3"/>
        <v>-0.30696614250000004</v>
      </c>
      <c r="G49">
        <f t="shared" si="4"/>
        <v>1883</v>
      </c>
      <c r="H49">
        <f t="shared" si="5"/>
        <v>-1.9704360000000032E-2</v>
      </c>
      <c r="I49">
        <f t="shared" si="6"/>
        <v>1.3842784999999969E-2</v>
      </c>
      <c r="J49">
        <f t="shared" si="7"/>
        <v>-4.7109070000000031E-2</v>
      </c>
      <c r="K49">
        <f t="shared" si="8"/>
        <v>-1.6633142500000031E-2</v>
      </c>
      <c r="L49">
        <f t="shared" si="9"/>
        <v>2.2732863489694907E-3</v>
      </c>
      <c r="M49">
        <v>1883</v>
      </c>
      <c r="N49">
        <v>-0.52466699999999999</v>
      </c>
      <c r="O49">
        <f>+$N49+Offset</f>
        <v>-0.42866700000000002</v>
      </c>
      <c r="P49">
        <v>1883</v>
      </c>
      <c r="Q49">
        <v>-0.26158300000000001</v>
      </c>
      <c r="S49">
        <v>1883</v>
      </c>
      <c r="T49">
        <v>-0.29033300000000001</v>
      </c>
    </row>
    <row r="50" spans="1:20" x14ac:dyDescent="0.25">
      <c r="A50">
        <f t="shared" si="1"/>
        <v>1884</v>
      </c>
      <c r="B50">
        <f t="shared" si="10"/>
        <v>-0.37738607000000002</v>
      </c>
      <c r="C50">
        <f t="shared" si="2"/>
        <v>-0.40208300000000002</v>
      </c>
      <c r="D50">
        <f>$O50*(Fraction*Ocean+Land)</f>
        <v>-0.33298125000000001</v>
      </c>
      <c r="E50">
        <f>+$Q50*(Ocean+Land/Fraction)</f>
        <v>-0.41366042999999997</v>
      </c>
      <c r="F50">
        <f t="shared" si="3"/>
        <v>-0.37332083999999999</v>
      </c>
      <c r="G50">
        <f t="shared" si="4"/>
        <v>1884</v>
      </c>
      <c r="H50">
        <f t="shared" si="5"/>
        <v>2.4696930000000006E-2</v>
      </c>
      <c r="I50">
        <f t="shared" si="6"/>
        <v>6.9101750000000017E-2</v>
      </c>
      <c r="J50">
        <f t="shared" si="7"/>
        <v>-1.1577429999999944E-2</v>
      </c>
      <c r="K50">
        <f t="shared" si="8"/>
        <v>2.8762160000000037E-2</v>
      </c>
      <c r="L50">
        <f t="shared" si="9"/>
        <v>2.9535659240977181E-2</v>
      </c>
      <c r="M50">
        <v>1884</v>
      </c>
      <c r="N50">
        <v>-0.61224999999999996</v>
      </c>
      <c r="O50">
        <f>+$N50+Offset</f>
        <v>-0.51624999999999999</v>
      </c>
      <c r="P50">
        <v>1884</v>
      </c>
      <c r="Q50">
        <v>-0.32066699999999998</v>
      </c>
      <c r="S50">
        <v>1884</v>
      </c>
      <c r="T50">
        <v>-0.40208300000000002</v>
      </c>
    </row>
    <row r="51" spans="1:20" x14ac:dyDescent="0.25">
      <c r="A51">
        <f t="shared" si="1"/>
        <v>1885</v>
      </c>
      <c r="B51">
        <f t="shared" si="10"/>
        <v>-0.36064907000000002</v>
      </c>
      <c r="C51">
        <f t="shared" si="2"/>
        <v>-0.38266699999999998</v>
      </c>
      <c r="D51">
        <f>$O51*(Fraction*Ocean+Land)</f>
        <v>-0.32997103500000002</v>
      </c>
      <c r="E51">
        <f>+$Q51*(Ocean+Land/Fraction)</f>
        <v>-0.38571</v>
      </c>
      <c r="F51">
        <f t="shared" si="3"/>
        <v>-0.35784051750000001</v>
      </c>
      <c r="G51">
        <f t="shared" si="4"/>
        <v>1885</v>
      </c>
      <c r="H51">
        <f t="shared" si="5"/>
        <v>2.2017929999999963E-2</v>
      </c>
      <c r="I51">
        <f t="shared" si="6"/>
        <v>5.2695964999999956E-2</v>
      </c>
      <c r="J51">
        <f t="shared" si="7"/>
        <v>-3.0430000000000179E-3</v>
      </c>
      <c r="K51">
        <f t="shared" si="8"/>
        <v>2.4826482499999969E-2</v>
      </c>
      <c r="L51">
        <f t="shared" si="9"/>
        <v>1.8963246948106256E-2</v>
      </c>
      <c r="M51">
        <v>1885</v>
      </c>
      <c r="N51">
        <v>-0.60758299999999998</v>
      </c>
      <c r="O51">
        <f>+$N51+Offset</f>
        <v>-0.51158300000000001</v>
      </c>
      <c r="P51">
        <v>1885</v>
      </c>
      <c r="Q51">
        <v>-0.29899999999999999</v>
      </c>
      <c r="S51">
        <v>1885</v>
      </c>
      <c r="T51">
        <v>-0.38266699999999998</v>
      </c>
    </row>
    <row r="52" spans="1:20" x14ac:dyDescent="0.25">
      <c r="A52">
        <f t="shared" si="1"/>
        <v>1886</v>
      </c>
      <c r="B52">
        <f t="shared" si="10"/>
        <v>-0.27245513999999998</v>
      </c>
      <c r="C52">
        <f t="shared" si="2"/>
        <v>-0.36416700000000002</v>
      </c>
      <c r="D52">
        <f>$O52*(Fraction*Ocean+Land)</f>
        <v>-0.25869853500000001</v>
      </c>
      <c r="E52">
        <f>+$Q52*(Ocean+Land/Fraction)</f>
        <v>-0.28369293000000001</v>
      </c>
      <c r="F52">
        <f t="shared" si="3"/>
        <v>-0.27119573250000001</v>
      </c>
      <c r="G52">
        <f t="shared" si="4"/>
        <v>1886</v>
      </c>
      <c r="H52">
        <f t="shared" si="5"/>
        <v>9.1711860000000034E-2</v>
      </c>
      <c r="I52">
        <f t="shared" si="6"/>
        <v>0.10546846500000001</v>
      </c>
      <c r="J52">
        <f t="shared" si="7"/>
        <v>8.0474070000000009E-2</v>
      </c>
      <c r="K52">
        <f t="shared" si="8"/>
        <v>9.297126750000001E-2</v>
      </c>
      <c r="L52">
        <f t="shared" si="9"/>
        <v>8.387722883883951E-2</v>
      </c>
      <c r="M52">
        <v>1886</v>
      </c>
      <c r="N52">
        <v>-0.497083</v>
      </c>
      <c r="O52">
        <f>+$N52+Offset</f>
        <v>-0.40108299999999997</v>
      </c>
      <c r="P52">
        <v>1886</v>
      </c>
      <c r="Q52">
        <v>-0.219917</v>
      </c>
      <c r="S52">
        <v>1886</v>
      </c>
      <c r="T52">
        <v>-0.36416700000000002</v>
      </c>
    </row>
    <row r="53" spans="1:20" x14ac:dyDescent="0.25">
      <c r="A53">
        <f t="shared" si="1"/>
        <v>1887</v>
      </c>
      <c r="B53">
        <f t="shared" si="10"/>
        <v>-0.36939357</v>
      </c>
      <c r="C53">
        <f t="shared" si="2"/>
        <v>-0.41716700000000001</v>
      </c>
      <c r="D53">
        <f>$O53*(Fraction*Ocean+Land)</f>
        <v>-0.27138375000000003</v>
      </c>
      <c r="E53">
        <f>+$Q53*(Ocean+Land/Fraction)</f>
        <v>-0.44945793000000001</v>
      </c>
      <c r="F53">
        <f t="shared" si="3"/>
        <v>-0.36042084000000002</v>
      </c>
      <c r="G53">
        <f t="shared" si="4"/>
        <v>1887</v>
      </c>
      <c r="H53">
        <f t="shared" si="5"/>
        <v>4.7773430000000006E-2</v>
      </c>
      <c r="I53">
        <f t="shared" si="6"/>
        <v>0.14578324999999998</v>
      </c>
      <c r="J53">
        <f t="shared" si="7"/>
        <v>-3.2290929999999995E-2</v>
      </c>
      <c r="K53">
        <f t="shared" si="8"/>
        <v>5.674615999999999E-2</v>
      </c>
      <c r="L53">
        <f t="shared" si="9"/>
        <v>0.12212240917933248</v>
      </c>
      <c r="M53">
        <v>1887</v>
      </c>
      <c r="N53">
        <v>-0.51675000000000004</v>
      </c>
      <c r="O53">
        <f>+$N53+Offset</f>
        <v>-0.42075000000000007</v>
      </c>
      <c r="P53">
        <v>1887</v>
      </c>
      <c r="Q53">
        <v>-0.34841699999999998</v>
      </c>
      <c r="S53">
        <v>1887</v>
      </c>
      <c r="T53">
        <v>-0.41716700000000001</v>
      </c>
    </row>
    <row r="54" spans="1:20" x14ac:dyDescent="0.25">
      <c r="A54">
        <f t="shared" si="1"/>
        <v>1888</v>
      </c>
      <c r="B54">
        <f t="shared" si="10"/>
        <v>-0.32146200000000003</v>
      </c>
      <c r="C54">
        <f t="shared" si="2"/>
        <v>-0.30883300000000002</v>
      </c>
      <c r="D54">
        <f>$O54*(Fraction*Ocean+Land)</f>
        <v>-0.31519021500000005</v>
      </c>
      <c r="E54">
        <f>+$Q54*(Ocean+Land/Fraction)</f>
        <v>-0.32658542999999995</v>
      </c>
      <c r="F54">
        <f t="shared" si="3"/>
        <v>-0.32088782250000003</v>
      </c>
      <c r="G54">
        <f t="shared" si="4"/>
        <v>1888</v>
      </c>
      <c r="H54">
        <f t="shared" si="5"/>
        <v>-1.2629000000000001E-2</v>
      </c>
      <c r="I54">
        <f t="shared" si="6"/>
        <v>-6.3572150000000271E-3</v>
      </c>
      <c r="J54">
        <f t="shared" si="7"/>
        <v>-1.775242999999993E-2</v>
      </c>
      <c r="K54">
        <f t="shared" si="8"/>
        <v>-1.2054822499999979E-2</v>
      </c>
      <c r="L54">
        <f t="shared" si="9"/>
        <v>4.237272539444135E-4</v>
      </c>
      <c r="M54">
        <v>1888</v>
      </c>
      <c r="N54">
        <v>-0.58466700000000005</v>
      </c>
      <c r="O54">
        <f>+$N54+Offset</f>
        <v>-0.48866700000000007</v>
      </c>
      <c r="P54">
        <v>1888</v>
      </c>
      <c r="Q54">
        <v>-0.25316699999999998</v>
      </c>
      <c r="S54">
        <v>1888</v>
      </c>
      <c r="T54">
        <v>-0.30883300000000002</v>
      </c>
    </row>
    <row r="55" spans="1:20" x14ac:dyDescent="0.25">
      <c r="A55">
        <f t="shared" si="1"/>
        <v>1889</v>
      </c>
      <c r="B55">
        <f t="shared" si="10"/>
        <v>-0.180338</v>
      </c>
      <c r="C55">
        <f t="shared" si="2"/>
        <v>-0.17658299999999999</v>
      </c>
      <c r="D55">
        <f>$O55*(Fraction*Ocean+Land)</f>
        <v>-0.14356603500000001</v>
      </c>
      <c r="E55">
        <f>+$Q55*(Ocean+Land/Fraction)</f>
        <v>-0.21037707</v>
      </c>
      <c r="F55">
        <f t="shared" si="3"/>
        <v>-0.17697155250000002</v>
      </c>
      <c r="G55">
        <f t="shared" si="4"/>
        <v>1889</v>
      </c>
      <c r="H55">
        <f t="shared" si="5"/>
        <v>-3.7550000000000083E-3</v>
      </c>
      <c r="I55">
        <f t="shared" si="6"/>
        <v>3.3016964999999981E-2</v>
      </c>
      <c r="J55">
        <f t="shared" si="7"/>
        <v>-3.3794070000000009E-2</v>
      </c>
      <c r="K55">
        <f t="shared" si="8"/>
        <v>-3.8855250000001396E-4</v>
      </c>
      <c r="L55">
        <f t="shared" si="9"/>
        <v>3.4960409983768273E-2</v>
      </c>
      <c r="M55">
        <v>1889</v>
      </c>
      <c r="N55">
        <v>-0.31858300000000001</v>
      </c>
      <c r="O55">
        <f>+$N55+Offset</f>
        <v>-0.222583</v>
      </c>
      <c r="P55">
        <v>1889</v>
      </c>
      <c r="Q55">
        <v>-0.16308300000000001</v>
      </c>
      <c r="S55">
        <v>1889</v>
      </c>
      <c r="T55">
        <v>-0.17658299999999999</v>
      </c>
    </row>
    <row r="56" spans="1:20" x14ac:dyDescent="0.25">
      <c r="A56">
        <f t="shared" si="1"/>
        <v>1890</v>
      </c>
      <c r="B56">
        <f t="shared" si="10"/>
        <v>-0.41128842999999993</v>
      </c>
      <c r="C56">
        <f t="shared" si="2"/>
        <v>-0.42325000000000002</v>
      </c>
      <c r="D56">
        <f>$O56*(Fraction*Ocean+Land)</f>
        <v>-0.21086146500000003</v>
      </c>
      <c r="E56">
        <f>+$Q56*(Ocean+Land/Fraction)</f>
        <v>-0.57501749999999996</v>
      </c>
      <c r="F56">
        <f t="shared" si="3"/>
        <v>-0.39293948249999999</v>
      </c>
      <c r="G56">
        <f t="shared" si="4"/>
        <v>1890</v>
      </c>
      <c r="H56">
        <f t="shared" si="5"/>
        <v>1.1961570000000088E-2</v>
      </c>
      <c r="I56">
        <f t="shared" si="6"/>
        <v>0.21238853499999999</v>
      </c>
      <c r="J56">
        <f t="shared" si="7"/>
        <v>-0.15176749999999994</v>
      </c>
      <c r="K56">
        <f t="shared" si="8"/>
        <v>3.0310517500000023E-2</v>
      </c>
      <c r="L56">
        <f t="shared" si="9"/>
        <v>0.25180723544644568</v>
      </c>
      <c r="M56">
        <v>1890</v>
      </c>
      <c r="N56">
        <v>-0.42291699999999999</v>
      </c>
      <c r="O56">
        <f>+$N56+Offset</f>
        <v>-0.32691700000000001</v>
      </c>
      <c r="P56">
        <v>1890</v>
      </c>
      <c r="Q56">
        <v>-0.44574999999999998</v>
      </c>
      <c r="S56">
        <v>1890</v>
      </c>
      <c r="T56">
        <v>-0.42325000000000002</v>
      </c>
    </row>
    <row r="57" spans="1:20" x14ac:dyDescent="0.25">
      <c r="A57">
        <f t="shared" si="1"/>
        <v>1891</v>
      </c>
      <c r="B57">
        <f t="shared" si="10"/>
        <v>-0.35453093000000002</v>
      </c>
      <c r="C57">
        <f t="shared" si="2"/>
        <v>-0.34100000000000003</v>
      </c>
      <c r="D57">
        <f>$O57*(Fraction*Ocean+Land)</f>
        <v>-0.299387715</v>
      </c>
      <c r="E57">
        <f>+$Q57*(Ocean+Land/Fraction)</f>
        <v>-0.39957750000000003</v>
      </c>
      <c r="F57">
        <f t="shared" si="3"/>
        <v>-0.34948260750000004</v>
      </c>
      <c r="G57">
        <f t="shared" si="4"/>
        <v>1891</v>
      </c>
      <c r="H57">
        <f t="shared" si="5"/>
        <v>-1.3530929999999997E-2</v>
      </c>
      <c r="I57">
        <f t="shared" si="6"/>
        <v>4.1612285000000027E-2</v>
      </c>
      <c r="J57">
        <f t="shared" si="7"/>
        <v>-5.8577500000000005E-2</v>
      </c>
      <c r="K57">
        <f t="shared" si="8"/>
        <v>-8.482607499999989E-3</v>
      </c>
      <c r="L57">
        <f t="shared" si="9"/>
        <v>1.4891360264542162E-2</v>
      </c>
      <c r="M57">
        <v>1891</v>
      </c>
      <c r="N57">
        <v>-0.56016699999999997</v>
      </c>
      <c r="O57">
        <f>+$N57+Offset</f>
        <v>-0.464167</v>
      </c>
      <c r="P57">
        <v>1891</v>
      </c>
      <c r="Q57">
        <v>-0.30975000000000003</v>
      </c>
      <c r="S57">
        <v>1891</v>
      </c>
      <c r="T57">
        <v>-0.34100000000000003</v>
      </c>
    </row>
    <row r="58" spans="1:20" x14ac:dyDescent="0.25">
      <c r="A58">
        <f t="shared" si="1"/>
        <v>1892</v>
      </c>
      <c r="B58">
        <f t="shared" si="10"/>
        <v>-0.47226750000000006</v>
      </c>
      <c r="C58">
        <f t="shared" si="2"/>
        <v>-0.46016699999999999</v>
      </c>
      <c r="D58">
        <f>$O58*(Fraction*Ocean+Land)</f>
        <v>-0.34846125</v>
      </c>
      <c r="E58">
        <f>+$Q58*(Ocean+Land/Fraction)</f>
        <v>-0.57340500000000005</v>
      </c>
      <c r="F58">
        <f t="shared" si="3"/>
        <v>-0.46093312500000005</v>
      </c>
      <c r="G58">
        <f t="shared" si="4"/>
        <v>1892</v>
      </c>
      <c r="H58">
        <f t="shared" si="5"/>
        <v>-1.210050000000007E-2</v>
      </c>
      <c r="I58">
        <f t="shared" si="6"/>
        <v>0.11170574999999999</v>
      </c>
      <c r="J58">
        <f t="shared" si="7"/>
        <v>-0.11323800000000006</v>
      </c>
      <c r="K58">
        <f t="shared" si="8"/>
        <v>-7.6612500000003414E-4</v>
      </c>
      <c r="L58">
        <f t="shared" si="9"/>
        <v>5.8927784852366681E-2</v>
      </c>
      <c r="M58">
        <v>1892</v>
      </c>
      <c r="N58">
        <v>-0.63624999999999998</v>
      </c>
      <c r="O58">
        <f>+$N58+Offset</f>
        <v>-0.54025000000000001</v>
      </c>
      <c r="P58">
        <v>1892</v>
      </c>
      <c r="Q58">
        <v>-0.44450000000000001</v>
      </c>
      <c r="S58">
        <v>1892</v>
      </c>
      <c r="T58">
        <v>-0.46016699999999999</v>
      </c>
    </row>
    <row r="59" spans="1:20" x14ac:dyDescent="0.25">
      <c r="A59">
        <f t="shared" si="1"/>
        <v>1893</v>
      </c>
      <c r="B59">
        <f t="shared" si="10"/>
        <v>-0.47577700000000001</v>
      </c>
      <c r="C59">
        <f t="shared" si="2"/>
        <v>-0.48066700000000001</v>
      </c>
      <c r="D59">
        <f>$O59*(Fraction*Ocean+Land)</f>
        <v>-0.39113896500000001</v>
      </c>
      <c r="E59">
        <f>+$Q59*(Ocean+Land/Fraction)</f>
        <v>-0.54491792999999999</v>
      </c>
      <c r="F59">
        <f t="shared" si="3"/>
        <v>-0.4680284475</v>
      </c>
      <c r="G59">
        <f t="shared" si="4"/>
        <v>1893</v>
      </c>
      <c r="H59">
        <f t="shared" si="5"/>
        <v>4.8900000000000055E-3</v>
      </c>
      <c r="I59">
        <f t="shared" si="6"/>
        <v>8.9528035000000006E-2</v>
      </c>
      <c r="J59">
        <f t="shared" si="7"/>
        <v>-6.4250929999999984E-2</v>
      </c>
      <c r="K59">
        <f t="shared" si="8"/>
        <v>1.2638552500000011E-2</v>
      </c>
      <c r="L59">
        <f t="shared" si="9"/>
        <v>3.4692012272431828E-2</v>
      </c>
      <c r="M59">
        <v>1893</v>
      </c>
      <c r="N59">
        <v>-0.70241699999999996</v>
      </c>
      <c r="O59">
        <f>+$N59+Offset</f>
        <v>-0.60641699999999998</v>
      </c>
      <c r="P59">
        <v>1893</v>
      </c>
      <c r="Q59">
        <v>-0.42241699999999999</v>
      </c>
      <c r="S59">
        <v>1893</v>
      </c>
      <c r="T59">
        <v>-0.48066700000000001</v>
      </c>
    </row>
    <row r="60" spans="1:20" x14ac:dyDescent="0.25">
      <c r="A60">
        <f t="shared" si="1"/>
        <v>1894</v>
      </c>
      <c r="B60">
        <f t="shared" si="10"/>
        <v>-0.43500656999999998</v>
      </c>
      <c r="C60">
        <f t="shared" si="2"/>
        <v>-0.41233300000000001</v>
      </c>
      <c r="D60">
        <f>$O60*(Fraction*Ocean+Land)</f>
        <v>-0.23676853500000003</v>
      </c>
      <c r="E60">
        <f>+$Q60*(Ocean+Land/Fraction)</f>
        <v>-0.59694749999999996</v>
      </c>
      <c r="F60">
        <f t="shared" si="3"/>
        <v>-0.41685801750000001</v>
      </c>
      <c r="G60">
        <f t="shared" si="4"/>
        <v>1894</v>
      </c>
      <c r="H60">
        <f t="shared" si="5"/>
        <v>-2.2673569999999976E-2</v>
      </c>
      <c r="I60">
        <f t="shared" si="6"/>
        <v>0.17556446499999998</v>
      </c>
      <c r="J60">
        <f t="shared" si="7"/>
        <v>-0.18461449999999996</v>
      </c>
      <c r="K60">
        <f t="shared" si="8"/>
        <v>-4.525017499999992E-3</v>
      </c>
      <c r="L60">
        <f t="shared" si="9"/>
        <v>0.18129133504286618</v>
      </c>
      <c r="M60">
        <v>1894</v>
      </c>
      <c r="N60">
        <v>-0.46308300000000002</v>
      </c>
      <c r="O60">
        <f>+$N60+Offset</f>
        <v>-0.36708300000000005</v>
      </c>
      <c r="P60">
        <v>1894</v>
      </c>
      <c r="Q60">
        <v>-0.46274999999999999</v>
      </c>
      <c r="S60">
        <v>1894</v>
      </c>
      <c r="T60">
        <v>-0.41233300000000001</v>
      </c>
    </row>
    <row r="61" spans="1:20" x14ac:dyDescent="0.25">
      <c r="A61">
        <f t="shared" si="1"/>
        <v>1895</v>
      </c>
      <c r="B61">
        <f t="shared" si="10"/>
        <v>-0.38372264</v>
      </c>
      <c r="C61">
        <f t="shared" si="2"/>
        <v>-0.39541700000000002</v>
      </c>
      <c r="D61">
        <f>$O61*(Fraction*Ocean+Land)</f>
        <v>-0.30562228500000005</v>
      </c>
      <c r="E61">
        <f>+$Q61*(Ocean+Land/Fraction)</f>
        <v>-0.44752292999999999</v>
      </c>
      <c r="F61">
        <f t="shared" si="3"/>
        <v>-0.37657260749999999</v>
      </c>
      <c r="G61">
        <f t="shared" si="4"/>
        <v>1895</v>
      </c>
      <c r="H61">
        <f t="shared" si="5"/>
        <v>1.1694360000000015E-2</v>
      </c>
      <c r="I61">
        <f t="shared" si="6"/>
        <v>8.9794714999999969E-2</v>
      </c>
      <c r="J61">
        <f t="shared" si="7"/>
        <v>-5.2105929999999967E-2</v>
      </c>
      <c r="K61">
        <f t="shared" si="8"/>
        <v>1.8844392500000001E-2</v>
      </c>
      <c r="L61">
        <f t="shared" si="9"/>
        <v>5.1569257581026567E-2</v>
      </c>
      <c r="M61">
        <v>1895</v>
      </c>
      <c r="N61">
        <v>-0.56983300000000003</v>
      </c>
      <c r="O61">
        <f>+$N61+Offset</f>
        <v>-0.47383300000000006</v>
      </c>
      <c r="P61">
        <v>1895</v>
      </c>
      <c r="Q61">
        <v>-0.34691699999999998</v>
      </c>
      <c r="S61">
        <v>1895</v>
      </c>
      <c r="T61">
        <v>-0.39541700000000002</v>
      </c>
    </row>
    <row r="62" spans="1:20" x14ac:dyDescent="0.25">
      <c r="A62">
        <f t="shared" si="1"/>
        <v>1896</v>
      </c>
      <c r="B62">
        <f t="shared" si="10"/>
        <v>-0.20042450000000001</v>
      </c>
      <c r="C62">
        <f t="shared" si="2"/>
        <v>-0.190333</v>
      </c>
      <c r="D62">
        <f>$O62*(Fraction*Ocean+Land)</f>
        <v>-0.19876771499999998</v>
      </c>
      <c r="E62">
        <f>+$Q62*(Ocean+Land/Fraction)</f>
        <v>-0.20177792999999999</v>
      </c>
      <c r="F62">
        <f t="shared" si="3"/>
        <v>-0.2002728225</v>
      </c>
      <c r="G62">
        <f t="shared" si="4"/>
        <v>1896</v>
      </c>
      <c r="H62">
        <f t="shared" si="5"/>
        <v>-1.0091500000000003E-2</v>
      </c>
      <c r="I62">
        <f t="shared" si="6"/>
        <v>-8.4347149999999815E-3</v>
      </c>
      <c r="J62">
        <f t="shared" si="7"/>
        <v>-1.1444929999999992E-2</v>
      </c>
      <c r="K62">
        <f t="shared" si="8"/>
        <v>-9.9398224999999868E-3</v>
      </c>
      <c r="L62">
        <f t="shared" si="9"/>
        <v>1.9638695652329057E-3</v>
      </c>
      <c r="M62">
        <v>1896</v>
      </c>
      <c r="N62">
        <v>-0.404167</v>
      </c>
      <c r="O62">
        <f>+$N62+Offset</f>
        <v>-0.30816699999999997</v>
      </c>
      <c r="P62">
        <v>1896</v>
      </c>
      <c r="Q62">
        <v>-0.156417</v>
      </c>
      <c r="S62">
        <v>1896</v>
      </c>
      <c r="T62">
        <v>-0.190333</v>
      </c>
    </row>
    <row r="63" spans="1:20" x14ac:dyDescent="0.25">
      <c r="A63">
        <f t="shared" si="1"/>
        <v>1897</v>
      </c>
      <c r="B63">
        <f t="shared" si="10"/>
        <v>-0.21206749999999996</v>
      </c>
      <c r="C63">
        <f t="shared" si="2"/>
        <v>-0.21008299999999999</v>
      </c>
      <c r="D63">
        <f>$O63*(Fraction*Ocean+Land)</f>
        <v>-0.14399624999999999</v>
      </c>
      <c r="E63">
        <f>+$Q63*(Ocean+Land/Fraction)</f>
        <v>-0.267675</v>
      </c>
      <c r="F63">
        <f t="shared" si="3"/>
        <v>-0.20583562499999999</v>
      </c>
      <c r="G63">
        <f t="shared" si="4"/>
        <v>1897</v>
      </c>
      <c r="H63">
        <f t="shared" si="5"/>
        <v>-1.9844999999999724E-3</v>
      </c>
      <c r="I63">
        <f t="shared" si="6"/>
        <v>6.608675E-2</v>
      </c>
      <c r="J63">
        <f t="shared" si="7"/>
        <v>-5.7592000000000004E-2</v>
      </c>
      <c r="K63">
        <f t="shared" si="8"/>
        <v>4.2473749999999977E-3</v>
      </c>
      <c r="L63">
        <f t="shared" si="9"/>
        <v>9.8957102024273422E-2</v>
      </c>
      <c r="M63">
        <v>1897</v>
      </c>
      <c r="N63">
        <v>-0.31924999999999998</v>
      </c>
      <c r="O63">
        <f>+$N63+Offset</f>
        <v>-0.22324999999999998</v>
      </c>
      <c r="P63">
        <v>1897</v>
      </c>
      <c r="Q63">
        <v>-0.20749999999999999</v>
      </c>
      <c r="S63">
        <v>1897</v>
      </c>
      <c r="T63">
        <v>-0.21008299999999999</v>
      </c>
    </row>
    <row r="64" spans="1:20" x14ac:dyDescent="0.25">
      <c r="A64">
        <f t="shared" si="1"/>
        <v>1898</v>
      </c>
      <c r="B64">
        <f t="shared" si="10"/>
        <v>-0.38565093</v>
      </c>
      <c r="C64">
        <f t="shared" si="2"/>
        <v>-0.40949999999999998</v>
      </c>
      <c r="D64">
        <f>$O64*(Fraction*Ocean+Land)</f>
        <v>-0.18344896500000002</v>
      </c>
      <c r="E64">
        <f>+$Q64*(Ocean+Land/Fraction)</f>
        <v>-0.55083000000000004</v>
      </c>
      <c r="F64">
        <f t="shared" si="3"/>
        <v>-0.36713948250000006</v>
      </c>
      <c r="G64">
        <f t="shared" si="4"/>
        <v>1898</v>
      </c>
      <c r="H64">
        <f t="shared" si="5"/>
        <v>2.3849069999999972E-2</v>
      </c>
      <c r="I64">
        <f t="shared" si="6"/>
        <v>0.22605103499999996</v>
      </c>
      <c r="J64">
        <f t="shared" si="7"/>
        <v>-0.14133000000000007</v>
      </c>
      <c r="K64">
        <f t="shared" si="8"/>
        <v>4.2360517499999945E-2</v>
      </c>
      <c r="L64">
        <f t="shared" si="9"/>
        <v>0.30472296644898089</v>
      </c>
      <c r="M64">
        <v>1898</v>
      </c>
      <c r="N64">
        <v>-0.38041700000000001</v>
      </c>
      <c r="O64">
        <f>+$N64+Offset</f>
        <v>-0.28441700000000003</v>
      </c>
      <c r="P64">
        <v>1898</v>
      </c>
      <c r="Q64">
        <v>-0.42699999999999999</v>
      </c>
      <c r="S64">
        <v>1898</v>
      </c>
      <c r="T64">
        <v>-0.40949999999999998</v>
      </c>
    </row>
    <row r="65" spans="1:20" x14ac:dyDescent="0.25">
      <c r="A65">
        <f t="shared" si="1"/>
        <v>1899</v>
      </c>
      <c r="B65">
        <f t="shared" si="10"/>
        <v>-0.29012486000000004</v>
      </c>
      <c r="C65">
        <f t="shared" si="2"/>
        <v>-0.29116700000000001</v>
      </c>
      <c r="D65">
        <f>$O65*(Fraction*Ocean+Land)</f>
        <v>-0.15087646500000002</v>
      </c>
      <c r="E65">
        <f>+$Q65*(Ocean+Land/Fraction)</f>
        <v>-0.40387707</v>
      </c>
      <c r="F65">
        <f t="shared" si="3"/>
        <v>-0.27737676750000001</v>
      </c>
      <c r="G65">
        <f t="shared" si="4"/>
        <v>1899</v>
      </c>
      <c r="H65">
        <f t="shared" si="5"/>
        <v>1.0421399999999692E-3</v>
      </c>
      <c r="I65">
        <f t="shared" si="6"/>
        <v>0.14029053499999999</v>
      </c>
      <c r="J65">
        <f t="shared" si="7"/>
        <v>-0.11271007</v>
      </c>
      <c r="K65">
        <f t="shared" si="8"/>
        <v>1.3790232499999999E-2</v>
      </c>
      <c r="L65">
        <f t="shared" si="9"/>
        <v>0.23215200522081125</v>
      </c>
      <c r="M65">
        <v>1899</v>
      </c>
      <c r="N65">
        <v>-0.32991700000000002</v>
      </c>
      <c r="O65">
        <f>+$N65+Offset</f>
        <v>-0.23391700000000001</v>
      </c>
      <c r="P65">
        <v>1899</v>
      </c>
      <c r="Q65">
        <v>-0.313083</v>
      </c>
      <c r="S65">
        <v>1899</v>
      </c>
      <c r="T65">
        <v>-0.29116700000000001</v>
      </c>
    </row>
    <row r="66" spans="1:20" x14ac:dyDescent="0.25">
      <c r="A66">
        <f t="shared" si="1"/>
        <v>1900</v>
      </c>
      <c r="B66">
        <f t="shared" si="10"/>
        <v>-0.19055893000000002</v>
      </c>
      <c r="C66">
        <f t="shared" si="2"/>
        <v>-0.19991700000000001</v>
      </c>
      <c r="D66">
        <f>$O66*(Fraction*Ocean+Land)</f>
        <v>-6.562875E-2</v>
      </c>
      <c r="E66">
        <f>+$Q66*(Ocean+Land/Fraction)</f>
        <v>-0.29261457000000002</v>
      </c>
      <c r="F66">
        <f t="shared" si="3"/>
        <v>-0.17912166000000002</v>
      </c>
      <c r="G66">
        <f t="shared" si="4"/>
        <v>1900</v>
      </c>
      <c r="H66">
        <f t="shared" si="5"/>
        <v>9.3580699999999961E-3</v>
      </c>
      <c r="I66">
        <f t="shared" si="6"/>
        <v>0.13428825</v>
      </c>
      <c r="J66">
        <f t="shared" si="7"/>
        <v>-9.2697570000000007E-2</v>
      </c>
      <c r="K66">
        <f t="shared" si="8"/>
        <v>2.0795339999999995E-2</v>
      </c>
      <c r="L66">
        <f t="shared" si="9"/>
        <v>0.45120777694716918</v>
      </c>
      <c r="M66">
        <v>1900</v>
      </c>
      <c r="N66">
        <v>-0.19775000000000001</v>
      </c>
      <c r="O66">
        <f>+$N66+Offset</f>
        <v>-0.10175000000000001</v>
      </c>
      <c r="P66">
        <v>1900</v>
      </c>
      <c r="Q66">
        <v>-0.22683300000000001</v>
      </c>
      <c r="S66">
        <v>1900</v>
      </c>
      <c r="T66">
        <v>-0.19991700000000001</v>
      </c>
    </row>
    <row r="67" spans="1:20" x14ac:dyDescent="0.25">
      <c r="A67">
        <f t="shared" si="1"/>
        <v>1901</v>
      </c>
      <c r="B67">
        <f t="shared" si="10"/>
        <v>-0.27792093000000001</v>
      </c>
      <c r="C67">
        <f t="shared" si="2"/>
        <v>-0.27058300000000002</v>
      </c>
      <c r="D67">
        <f>$O67*(Fraction*Ocean+Land)</f>
        <v>-6.2672715000000004E-2</v>
      </c>
      <c r="E67">
        <f>+$Q67*(Ocean+Land/Fraction)</f>
        <v>-0.45375750000000004</v>
      </c>
      <c r="F67">
        <f t="shared" si="3"/>
        <v>-0.25821510750000004</v>
      </c>
      <c r="G67">
        <f t="shared" si="4"/>
        <v>1901</v>
      </c>
      <c r="H67">
        <f t="shared" si="5"/>
        <v>-7.3379299999999925E-3</v>
      </c>
      <c r="I67">
        <f t="shared" si="6"/>
        <v>0.20791028500000003</v>
      </c>
      <c r="J67">
        <f t="shared" si="7"/>
        <v>-0.18317450000000002</v>
      </c>
      <c r="K67">
        <f t="shared" si="8"/>
        <v>1.2367892500000005E-2</v>
      </c>
      <c r="L67">
        <f t="shared" si="9"/>
        <v>0.59040623109088786</v>
      </c>
      <c r="M67">
        <v>1901</v>
      </c>
      <c r="N67">
        <v>-0.19316700000000001</v>
      </c>
      <c r="O67">
        <f>+$N67+Offset</f>
        <v>-9.7167000000000003E-2</v>
      </c>
      <c r="P67">
        <v>1901</v>
      </c>
      <c r="Q67">
        <v>-0.35175000000000001</v>
      </c>
      <c r="S67">
        <v>1901</v>
      </c>
      <c r="T67">
        <v>-0.27058300000000002</v>
      </c>
    </row>
    <row r="68" spans="1:20" x14ac:dyDescent="0.25">
      <c r="A68">
        <f t="shared" si="1"/>
        <v>1902</v>
      </c>
      <c r="B68">
        <f t="shared" si="10"/>
        <v>-0.40207799999999999</v>
      </c>
      <c r="C68">
        <f t="shared" si="2"/>
        <v>-0.41191699999999998</v>
      </c>
      <c r="D68">
        <f>$O68*(Fraction*Ocean+Land)</f>
        <v>-0.20919478499999999</v>
      </c>
      <c r="E68">
        <f>+$Q68*(Ocean+Land/Fraction)</f>
        <v>-0.55964457000000001</v>
      </c>
      <c r="F68">
        <f t="shared" si="3"/>
        <v>-0.3844196775</v>
      </c>
      <c r="G68">
        <f t="shared" si="4"/>
        <v>1902</v>
      </c>
      <c r="H68">
        <f t="shared" si="5"/>
        <v>9.8389999999999866E-3</v>
      </c>
      <c r="I68">
        <f t="shared" si="6"/>
        <v>0.20272221499999998</v>
      </c>
      <c r="J68">
        <f t="shared" si="7"/>
        <v>-0.14772757000000003</v>
      </c>
      <c r="K68">
        <f t="shared" si="8"/>
        <v>2.7497322499999977E-2</v>
      </c>
      <c r="L68">
        <f t="shared" si="9"/>
        <v>0.24220508339628527</v>
      </c>
      <c r="M68">
        <v>1902</v>
      </c>
      <c r="N68">
        <v>-0.42033300000000001</v>
      </c>
      <c r="O68">
        <f>+$N68+Offset</f>
        <v>-0.32433299999999998</v>
      </c>
      <c r="P68">
        <v>1902</v>
      </c>
      <c r="Q68">
        <v>-0.43383300000000002</v>
      </c>
      <c r="S68">
        <v>1902</v>
      </c>
      <c r="T68">
        <v>-0.41191699999999998</v>
      </c>
    </row>
    <row r="69" spans="1:20" x14ac:dyDescent="0.25">
      <c r="A69">
        <f t="shared" si="1"/>
        <v>1903</v>
      </c>
      <c r="B69">
        <f t="shared" si="10"/>
        <v>-0.47310106999999996</v>
      </c>
      <c r="C69">
        <f t="shared" si="2"/>
        <v>-0.48199999999999998</v>
      </c>
      <c r="D69">
        <f>$O69*(Fraction*Ocean+Land)</f>
        <v>-0.20398125000000003</v>
      </c>
      <c r="E69">
        <f>+$Q69*(Ocean+Land/Fraction)</f>
        <v>-0.69294542999999997</v>
      </c>
      <c r="F69">
        <f t="shared" si="3"/>
        <v>-0.44846333999999999</v>
      </c>
      <c r="G69">
        <f t="shared" si="4"/>
        <v>1903</v>
      </c>
      <c r="H69">
        <f t="shared" si="5"/>
        <v>8.8989300000000271E-3</v>
      </c>
      <c r="I69">
        <f t="shared" si="6"/>
        <v>0.27801874999999998</v>
      </c>
      <c r="J69">
        <f t="shared" si="7"/>
        <v>-0.21094542999999999</v>
      </c>
      <c r="K69">
        <f t="shared" si="8"/>
        <v>3.3536659999999996E-2</v>
      </c>
      <c r="L69">
        <f t="shared" si="9"/>
        <v>0.33270099237083772</v>
      </c>
      <c r="M69">
        <v>1903</v>
      </c>
      <c r="N69">
        <v>-0.41225000000000001</v>
      </c>
      <c r="O69">
        <f>+$N69+Offset</f>
        <v>-0.31625000000000003</v>
      </c>
      <c r="P69">
        <v>1903</v>
      </c>
      <c r="Q69">
        <v>-0.53716699999999995</v>
      </c>
      <c r="S69">
        <v>1903</v>
      </c>
      <c r="T69">
        <v>-0.48199999999999998</v>
      </c>
    </row>
    <row r="70" spans="1:20" x14ac:dyDescent="0.25">
      <c r="A70">
        <f t="shared" si="1"/>
        <v>1904</v>
      </c>
      <c r="B70">
        <f t="shared" si="10"/>
        <v>-0.52805643000000002</v>
      </c>
      <c r="C70">
        <f t="shared" si="2"/>
        <v>-0.52641700000000002</v>
      </c>
      <c r="D70">
        <f>$O70*(Fraction*Ocean+Land)</f>
        <v>-0.28686374999999997</v>
      </c>
      <c r="E70">
        <f>+$Q70*(Ocean+Land/Fraction)</f>
        <v>-0.72508707000000006</v>
      </c>
      <c r="F70">
        <f t="shared" si="3"/>
        <v>-0.50597541000000001</v>
      </c>
      <c r="G70">
        <f t="shared" si="4"/>
        <v>1904</v>
      </c>
      <c r="H70">
        <f t="shared" si="5"/>
        <v>-1.6394299999999973E-3</v>
      </c>
      <c r="I70">
        <f t="shared" si="6"/>
        <v>0.23955325000000005</v>
      </c>
      <c r="J70">
        <f t="shared" si="7"/>
        <v>-0.19867007000000003</v>
      </c>
      <c r="K70">
        <f t="shared" si="8"/>
        <v>2.0441590000000009E-2</v>
      </c>
      <c r="L70">
        <f t="shared" si="9"/>
        <v>0.20708294034724303</v>
      </c>
      <c r="M70">
        <v>1904</v>
      </c>
      <c r="N70">
        <v>-0.54074999999999995</v>
      </c>
      <c r="O70">
        <f>+$N70+Offset</f>
        <v>-0.44474999999999998</v>
      </c>
      <c r="P70">
        <v>1904</v>
      </c>
      <c r="Q70">
        <v>-0.562083</v>
      </c>
      <c r="S70">
        <v>1904</v>
      </c>
      <c r="T70">
        <v>-0.52641700000000002</v>
      </c>
    </row>
    <row r="71" spans="1:20" x14ac:dyDescent="0.25">
      <c r="A71">
        <f t="shared" si="1"/>
        <v>1905</v>
      </c>
      <c r="B71">
        <f t="shared" si="10"/>
        <v>-0.39586893000000001</v>
      </c>
      <c r="C71">
        <f t="shared" si="2"/>
        <v>-0.38416699999999998</v>
      </c>
      <c r="D71">
        <f>$O71*(Fraction*Ocean+Land)</f>
        <v>-0.21591374999999999</v>
      </c>
      <c r="E71">
        <f>+$Q71*(Ocean+Land/Fraction)</f>
        <v>-0.54287457000000006</v>
      </c>
      <c r="F71">
        <f t="shared" si="3"/>
        <v>-0.37939416000000004</v>
      </c>
      <c r="G71">
        <f t="shared" si="4"/>
        <v>1905</v>
      </c>
      <c r="H71">
        <f t="shared" si="5"/>
        <v>-1.1701930000000027E-2</v>
      </c>
      <c r="I71">
        <f t="shared" si="6"/>
        <v>0.16825324999999999</v>
      </c>
      <c r="J71">
        <f t="shared" si="7"/>
        <v>-0.15870757000000008</v>
      </c>
      <c r="K71">
        <f t="shared" si="8"/>
        <v>4.7728399999999588E-3</v>
      </c>
      <c r="L71">
        <f t="shared" si="9"/>
        <v>0.19181687500583855</v>
      </c>
      <c r="M71">
        <v>1905</v>
      </c>
      <c r="N71">
        <v>-0.43075000000000002</v>
      </c>
      <c r="O71">
        <f>+$N71+Offset</f>
        <v>-0.33474999999999999</v>
      </c>
      <c r="P71">
        <v>1905</v>
      </c>
      <c r="Q71">
        <v>-0.42083300000000001</v>
      </c>
      <c r="S71">
        <v>1905</v>
      </c>
      <c r="T71">
        <v>-0.38416699999999998</v>
      </c>
    </row>
    <row r="72" spans="1:20" x14ac:dyDescent="0.25">
      <c r="A72">
        <f t="shared" si="1"/>
        <v>1906</v>
      </c>
      <c r="B72">
        <f t="shared" si="10"/>
        <v>-0.30364906999999997</v>
      </c>
      <c r="C72">
        <f t="shared" si="2"/>
        <v>-0.29658299999999999</v>
      </c>
      <c r="D72">
        <f>$O72*(Fraction*Ocean+Land)</f>
        <v>-8.7128535000000007E-2</v>
      </c>
      <c r="E72">
        <f>+$Q72*(Ocean+Land/Fraction)</f>
        <v>-0.48052500000000004</v>
      </c>
      <c r="F72">
        <f t="shared" si="3"/>
        <v>-0.28382676750000002</v>
      </c>
      <c r="G72">
        <f t="shared" si="4"/>
        <v>1906</v>
      </c>
      <c r="H72">
        <f t="shared" si="5"/>
        <v>-7.0660699999999799E-3</v>
      </c>
      <c r="I72">
        <f t="shared" si="6"/>
        <v>0.20945446499999998</v>
      </c>
      <c r="J72">
        <f t="shared" si="7"/>
        <v>-0.18394200000000005</v>
      </c>
      <c r="K72">
        <f t="shared" si="8"/>
        <v>1.2756232499999964E-2</v>
      </c>
      <c r="L72">
        <f t="shared" si="9"/>
        <v>0.49875439747961886</v>
      </c>
      <c r="M72">
        <v>1906</v>
      </c>
      <c r="N72">
        <v>-0.23108300000000001</v>
      </c>
      <c r="O72">
        <f>+$N72+Offset</f>
        <v>-0.13508300000000001</v>
      </c>
      <c r="P72">
        <v>1906</v>
      </c>
      <c r="Q72">
        <v>-0.3725</v>
      </c>
      <c r="S72">
        <v>1906</v>
      </c>
      <c r="T72">
        <v>-0.29658299999999999</v>
      </c>
    </row>
    <row r="73" spans="1:20" x14ac:dyDescent="0.25">
      <c r="A73">
        <f t="shared" si="1"/>
        <v>1907</v>
      </c>
      <c r="B73">
        <f t="shared" si="10"/>
        <v>-0.48136514000000008</v>
      </c>
      <c r="C73">
        <f t="shared" si="2"/>
        <v>-0.47791699999999998</v>
      </c>
      <c r="D73">
        <f>$O73*(Fraction*Ocean+Land)</f>
        <v>-0.33803353500000005</v>
      </c>
      <c r="E73">
        <f>+$Q73*(Ocean+Land/Fraction)</f>
        <v>-0.59845292999999999</v>
      </c>
      <c r="F73">
        <f t="shared" si="3"/>
        <v>-0.4682432325</v>
      </c>
      <c r="G73">
        <f t="shared" si="4"/>
        <v>1907</v>
      </c>
      <c r="H73">
        <f t="shared" si="5"/>
        <v>-3.4481400000000995E-3</v>
      </c>
      <c r="I73">
        <f t="shared" si="6"/>
        <v>0.13988346499999993</v>
      </c>
      <c r="J73">
        <f t="shared" si="7"/>
        <v>-0.12053593000000001</v>
      </c>
      <c r="K73">
        <f t="shared" si="8"/>
        <v>9.6737674999999579E-3</v>
      </c>
      <c r="L73">
        <f t="shared" si="9"/>
        <v>8.5669810220095191E-2</v>
      </c>
      <c r="M73">
        <v>1907</v>
      </c>
      <c r="N73">
        <v>-0.62008300000000005</v>
      </c>
      <c r="O73">
        <f>+$N73+Offset</f>
        <v>-0.52408300000000008</v>
      </c>
      <c r="P73">
        <v>1907</v>
      </c>
      <c r="Q73">
        <v>-0.46391700000000002</v>
      </c>
      <c r="S73">
        <v>1907</v>
      </c>
      <c r="T73">
        <v>-0.47791699999999998</v>
      </c>
    </row>
    <row r="74" spans="1:20" x14ac:dyDescent="0.25">
      <c r="A74">
        <f t="shared" si="1"/>
        <v>1908</v>
      </c>
      <c r="B74">
        <f t="shared" si="10"/>
        <v>-0.52274799999999999</v>
      </c>
      <c r="C74">
        <f t="shared" si="2"/>
        <v>-0.52458300000000002</v>
      </c>
      <c r="D74">
        <f>$O74*(Fraction*Ocean+Land)</f>
        <v>-0.25176478500000005</v>
      </c>
      <c r="E74">
        <f>+$Q74*(Ocean+Land/Fraction)</f>
        <v>-0.74411457000000003</v>
      </c>
      <c r="F74">
        <f t="shared" si="3"/>
        <v>-0.49793967750000001</v>
      </c>
      <c r="G74">
        <f t="shared" si="4"/>
        <v>1908</v>
      </c>
      <c r="H74">
        <f t="shared" si="5"/>
        <v>1.8350000000000311E-3</v>
      </c>
      <c r="I74">
        <f t="shared" si="6"/>
        <v>0.27281821499999998</v>
      </c>
      <c r="J74">
        <f t="shared" si="7"/>
        <v>-0.21953157000000001</v>
      </c>
      <c r="K74">
        <f t="shared" si="8"/>
        <v>2.6643322499999983E-2</v>
      </c>
      <c r="L74">
        <f t="shared" si="9"/>
        <v>0.27046950195208969</v>
      </c>
      <c r="M74">
        <v>1908</v>
      </c>
      <c r="N74">
        <v>-0.48633300000000002</v>
      </c>
      <c r="O74">
        <f>+$N74+Offset</f>
        <v>-0.39033300000000004</v>
      </c>
      <c r="P74">
        <v>1908</v>
      </c>
      <c r="Q74">
        <v>-0.57683300000000004</v>
      </c>
      <c r="S74">
        <v>1908</v>
      </c>
      <c r="T74">
        <v>-0.52458300000000002</v>
      </c>
    </row>
    <row r="75" spans="1:20" x14ac:dyDescent="0.25">
      <c r="A75">
        <f t="shared" si="1"/>
        <v>1909</v>
      </c>
      <c r="B75">
        <f t="shared" si="10"/>
        <v>-0.52444906999999996</v>
      </c>
      <c r="C75">
        <f t="shared" si="2"/>
        <v>-0.53491699999999998</v>
      </c>
      <c r="D75">
        <f>$O75*(Fraction*Ocean+Land)</f>
        <v>-0.23870353500000005</v>
      </c>
      <c r="E75">
        <f>+$Q75*(Ocean+Land/Fraction)</f>
        <v>-0.75787500000000008</v>
      </c>
      <c r="F75">
        <f t="shared" si="3"/>
        <v>-0.49828926750000008</v>
      </c>
      <c r="G75">
        <f t="shared" si="4"/>
        <v>1909</v>
      </c>
      <c r="H75">
        <f t="shared" si="5"/>
        <v>1.0467930000000014E-2</v>
      </c>
      <c r="I75">
        <f t="shared" si="6"/>
        <v>0.2962134649999999</v>
      </c>
      <c r="J75">
        <f t="shared" si="7"/>
        <v>-0.2229580000000001</v>
      </c>
      <c r="K75">
        <f t="shared" si="8"/>
        <v>3.6627732499999899E-2</v>
      </c>
      <c r="L75">
        <f t="shared" si="9"/>
        <v>0.30664563868982941</v>
      </c>
      <c r="M75">
        <v>1909</v>
      </c>
      <c r="N75">
        <v>-0.46608300000000003</v>
      </c>
      <c r="O75">
        <f>+$N75+Offset</f>
        <v>-0.37008300000000005</v>
      </c>
      <c r="P75">
        <v>1909</v>
      </c>
      <c r="Q75">
        <v>-0.58750000000000002</v>
      </c>
      <c r="S75">
        <v>1909</v>
      </c>
      <c r="T75">
        <v>-0.53491699999999998</v>
      </c>
    </row>
    <row r="76" spans="1:20" x14ac:dyDescent="0.25">
      <c r="A76">
        <f t="shared" si="1"/>
        <v>1910</v>
      </c>
      <c r="B76">
        <f t="shared" si="10"/>
        <v>-0.50773999999999997</v>
      </c>
      <c r="C76">
        <f t="shared" si="2"/>
        <v>-0.498</v>
      </c>
      <c r="D76">
        <f>$O76*(Fraction*Ocean+Land)</f>
        <v>-0.15850875</v>
      </c>
      <c r="E76">
        <f>+$Q76*(Ocean+Land/Fraction)</f>
        <v>-0.7930275</v>
      </c>
      <c r="F76">
        <f t="shared" si="3"/>
        <v>-0.47576812499999999</v>
      </c>
      <c r="G76">
        <f t="shared" si="4"/>
        <v>1910</v>
      </c>
      <c r="H76">
        <f t="shared" si="5"/>
        <v>-9.7399999999999709E-3</v>
      </c>
      <c r="I76">
        <f t="shared" si="6"/>
        <v>0.33949125000000002</v>
      </c>
      <c r="J76">
        <f t="shared" si="7"/>
        <v>-0.2950275</v>
      </c>
      <c r="K76">
        <f t="shared" si="8"/>
        <v>2.2231875000000012E-2</v>
      </c>
      <c r="L76">
        <f t="shared" si="9"/>
        <v>0.46472762062935485</v>
      </c>
      <c r="M76">
        <v>1910</v>
      </c>
      <c r="N76">
        <v>-0.34175</v>
      </c>
      <c r="O76">
        <f>+$N76+Offset</f>
        <v>-0.24575</v>
      </c>
      <c r="P76">
        <v>1910</v>
      </c>
      <c r="Q76">
        <v>-0.61475000000000002</v>
      </c>
      <c r="S76">
        <v>1910</v>
      </c>
      <c r="T76">
        <v>-0.498</v>
      </c>
    </row>
    <row r="77" spans="1:20" x14ac:dyDescent="0.25">
      <c r="A77">
        <f t="shared" si="1"/>
        <v>1911</v>
      </c>
      <c r="B77">
        <f t="shared" si="10"/>
        <v>-0.51935200000000004</v>
      </c>
      <c r="C77">
        <f t="shared" si="2"/>
        <v>-0.558083</v>
      </c>
      <c r="D77">
        <f>$O77*(Fraction*Ocean+Land)</f>
        <v>-0.22118146500000002</v>
      </c>
      <c r="E77">
        <f>+$Q77*(Ocean+Land/Fraction)</f>
        <v>-0.76292793000000003</v>
      </c>
      <c r="F77">
        <f t="shared" si="3"/>
        <v>-0.49205469750000003</v>
      </c>
      <c r="G77">
        <f t="shared" si="4"/>
        <v>1911</v>
      </c>
      <c r="H77">
        <f t="shared" si="5"/>
        <v>3.873099999999996E-2</v>
      </c>
      <c r="I77">
        <f t="shared" si="6"/>
        <v>0.33690153499999997</v>
      </c>
      <c r="J77">
        <f t="shared" si="7"/>
        <v>-0.20484493000000004</v>
      </c>
      <c r="K77">
        <f t="shared" si="8"/>
        <v>6.6028302499999969E-2</v>
      </c>
      <c r="L77">
        <f t="shared" si="9"/>
        <v>0.36442519301541737</v>
      </c>
      <c r="M77">
        <v>1911</v>
      </c>
      <c r="N77">
        <v>-0.438917</v>
      </c>
      <c r="O77">
        <f>+$N77+Offset</f>
        <v>-0.34291700000000003</v>
      </c>
      <c r="P77">
        <v>1911</v>
      </c>
      <c r="Q77">
        <v>-0.59141699999999997</v>
      </c>
      <c r="S77">
        <v>1911</v>
      </c>
      <c r="T77">
        <v>-0.558083</v>
      </c>
    </row>
    <row r="78" spans="1:20" x14ac:dyDescent="0.25">
      <c r="A78">
        <f t="shared" si="1"/>
        <v>1912</v>
      </c>
      <c r="B78">
        <f t="shared" si="10"/>
        <v>-0.44740485999999996</v>
      </c>
      <c r="C78">
        <f t="shared" si="2"/>
        <v>-0.45474999999999999</v>
      </c>
      <c r="D78">
        <f>$O78*(Fraction*Ocean+Land)</f>
        <v>-0.24407896500000001</v>
      </c>
      <c r="E78">
        <f>+$Q78*(Ocean+Land/Fraction)</f>
        <v>-0.61350207000000001</v>
      </c>
      <c r="F78">
        <f t="shared" si="3"/>
        <v>-0.42879051750000002</v>
      </c>
      <c r="G78">
        <f t="shared" si="4"/>
        <v>1912</v>
      </c>
      <c r="H78">
        <f t="shared" si="5"/>
        <v>7.3451400000000278E-3</v>
      </c>
      <c r="I78">
        <f t="shared" si="6"/>
        <v>0.21067103499999998</v>
      </c>
      <c r="J78">
        <f t="shared" si="7"/>
        <v>-0.15875207000000002</v>
      </c>
      <c r="K78">
        <f t="shared" si="8"/>
        <v>2.5959482499999978E-2</v>
      </c>
      <c r="L78">
        <f t="shared" si="9"/>
        <v>0.21461706052735133</v>
      </c>
      <c r="M78">
        <v>1912</v>
      </c>
      <c r="N78">
        <v>-0.47441699999999998</v>
      </c>
      <c r="O78">
        <f>+$N78+Offset</f>
        <v>-0.378417</v>
      </c>
      <c r="P78">
        <v>1912</v>
      </c>
      <c r="Q78">
        <v>-0.47558299999999998</v>
      </c>
      <c r="S78">
        <v>1912</v>
      </c>
      <c r="T78">
        <v>-0.45474999999999999</v>
      </c>
    </row>
    <row r="79" spans="1:20" x14ac:dyDescent="0.25">
      <c r="A79">
        <f t="shared" si="1"/>
        <v>1913</v>
      </c>
      <c r="B79">
        <f t="shared" si="10"/>
        <v>-0.44099949999999999</v>
      </c>
      <c r="C79">
        <f t="shared" si="2"/>
        <v>-0.43983299999999997</v>
      </c>
      <c r="D79">
        <f>$O79*(Fraction*Ocean+Land)</f>
        <v>-0.15587521500000001</v>
      </c>
      <c r="E79">
        <f>+$Q79*(Ocean+Land/Fraction)</f>
        <v>-0.67391793</v>
      </c>
      <c r="F79">
        <f t="shared" si="3"/>
        <v>-0.4148965725</v>
      </c>
      <c r="G79">
        <f t="shared" si="4"/>
        <v>1913</v>
      </c>
      <c r="H79">
        <f t="shared" si="5"/>
        <v>-1.1665000000000147E-3</v>
      </c>
      <c r="I79">
        <f t="shared" si="6"/>
        <v>0.28395778499999996</v>
      </c>
      <c r="J79">
        <f t="shared" si="7"/>
        <v>-0.23408493000000002</v>
      </c>
      <c r="K79">
        <f t="shared" si="8"/>
        <v>2.4936427499999969E-2</v>
      </c>
      <c r="L79">
        <f t="shared" si="9"/>
        <v>0.41680405765584166</v>
      </c>
      <c r="M79">
        <v>1913</v>
      </c>
      <c r="N79">
        <v>-0.33766699999999999</v>
      </c>
      <c r="O79">
        <f>+$N79+Offset</f>
        <v>-0.24166699999999999</v>
      </c>
      <c r="P79">
        <v>1913</v>
      </c>
      <c r="Q79">
        <v>-0.52241700000000002</v>
      </c>
      <c r="S79">
        <v>1913</v>
      </c>
      <c r="T79">
        <v>-0.43983299999999997</v>
      </c>
    </row>
    <row r="80" spans="1:20" x14ac:dyDescent="0.25">
      <c r="A80">
        <f t="shared" si="1"/>
        <v>1914</v>
      </c>
      <c r="B80">
        <f t="shared" ref="B80:B111" si="11">Land*($N80+Offset)+Ocean*$Q80</f>
        <v>-0.25381058699999998</v>
      </c>
      <c r="C80">
        <f t="shared" si="2"/>
        <v>-0.26058300000000001</v>
      </c>
      <c r="D80">
        <f>$O80*(Fraction*Ocean+Land)</f>
        <v>-1.0212284999999972E-3</v>
      </c>
      <c r="E80">
        <f>+$Q80*(Ocean+Land/Fraction)</f>
        <v>-0.46031457000000003</v>
      </c>
      <c r="F80">
        <f t="shared" si="3"/>
        <v>-0.23066789925</v>
      </c>
      <c r="G80">
        <f t="shared" si="4"/>
        <v>1914</v>
      </c>
      <c r="H80">
        <f t="shared" si="5"/>
        <v>6.7724130000000327E-3</v>
      </c>
      <c r="I80">
        <f t="shared" si="6"/>
        <v>0.25956177150000004</v>
      </c>
      <c r="J80">
        <f t="shared" si="7"/>
        <v>-0.19973157000000002</v>
      </c>
      <c r="K80">
        <f t="shared" si="8"/>
        <v>2.9915100750000007E-2</v>
      </c>
      <c r="L80">
        <f t="shared" si="9"/>
        <v>0.99217733009859455</v>
      </c>
      <c r="M80">
        <v>1914</v>
      </c>
      <c r="N80">
        <v>-9.7583299999999998E-2</v>
      </c>
      <c r="O80">
        <f>+$N80+Offset</f>
        <v>-1.5832999999999958E-3</v>
      </c>
      <c r="P80">
        <v>1914</v>
      </c>
      <c r="Q80">
        <v>-0.35683300000000001</v>
      </c>
      <c r="S80">
        <v>1914</v>
      </c>
      <c r="T80">
        <v>-0.26058300000000001</v>
      </c>
    </row>
    <row r="81" spans="1:20" x14ac:dyDescent="0.25">
      <c r="A81">
        <f t="shared" ref="A81:A144" si="12">+$M81</f>
        <v>1915</v>
      </c>
      <c r="B81">
        <f t="shared" si="11"/>
        <v>-0.19043985999999999</v>
      </c>
      <c r="C81">
        <f t="shared" ref="C81:C144" si="13">+$T81</f>
        <v>-0.16858300000000001</v>
      </c>
      <c r="D81">
        <f>$O81*(Fraction*Ocean+Land)</f>
        <v>-2.8648964999999992E-2</v>
      </c>
      <c r="E81">
        <f>+$Q81*(Ocean+Land/Fraction)</f>
        <v>-0.32260707</v>
      </c>
      <c r="F81">
        <f t="shared" ref="F81:F144" si="14">0.5*($D81+$E81)</f>
        <v>-0.17562801749999998</v>
      </c>
      <c r="G81">
        <f t="shared" ref="G81:G144" si="15">+$A81</f>
        <v>1915</v>
      </c>
      <c r="H81">
        <f t="shared" ref="H81:H144" si="16">+($B81-$C81)</f>
        <v>-2.1856859999999978E-2</v>
      </c>
      <c r="I81">
        <f t="shared" ref="I81:I144" si="17">+($D81-$C81)</f>
        <v>0.13993403500000001</v>
      </c>
      <c r="J81">
        <f t="shared" ref="J81:J144" si="18">+($E81-$C81)</f>
        <v>-0.15402406999999999</v>
      </c>
      <c r="K81">
        <f t="shared" ref="K81:K144" si="19">+($I81+$J81)/2</f>
        <v>-7.0450174999999865E-3</v>
      </c>
      <c r="L81">
        <f t="shared" ref="L81:L144" si="20">+(($D81-$C81)/$C81)^2</f>
        <v>0.68899989922178728</v>
      </c>
      <c r="M81">
        <v>1915</v>
      </c>
      <c r="N81">
        <v>-0.14041699999999999</v>
      </c>
      <c r="O81">
        <f>+$N81+Offset</f>
        <v>-4.4416999999999984E-2</v>
      </c>
      <c r="P81">
        <v>1915</v>
      </c>
      <c r="Q81">
        <v>-0.250083</v>
      </c>
      <c r="S81">
        <v>1915</v>
      </c>
      <c r="T81">
        <v>-0.16858300000000001</v>
      </c>
    </row>
    <row r="82" spans="1:20" x14ac:dyDescent="0.25">
      <c r="A82">
        <f t="shared" si="12"/>
        <v>1916</v>
      </c>
      <c r="B82">
        <f t="shared" si="11"/>
        <v>-0.394928</v>
      </c>
      <c r="C82">
        <f t="shared" si="13"/>
        <v>-0.39674999999999999</v>
      </c>
      <c r="D82">
        <f>$O82*(Fraction*Ocean+Land)</f>
        <v>-0.17710603500000002</v>
      </c>
      <c r="E82">
        <f>+$Q82*(Ocean+Land/Fraction)</f>
        <v>-0.57286707000000003</v>
      </c>
      <c r="F82">
        <f t="shared" si="14"/>
        <v>-0.37498655250000001</v>
      </c>
      <c r="G82">
        <f t="shared" si="15"/>
        <v>1916</v>
      </c>
      <c r="H82">
        <f t="shared" si="16"/>
        <v>1.8219999999999903E-3</v>
      </c>
      <c r="I82">
        <f t="shared" si="17"/>
        <v>0.21964396499999997</v>
      </c>
      <c r="J82">
        <f t="shared" si="18"/>
        <v>-0.17611707000000004</v>
      </c>
      <c r="K82">
        <f t="shared" si="19"/>
        <v>2.1763447499999963E-2</v>
      </c>
      <c r="L82">
        <f t="shared" si="20"/>
        <v>0.30648179254756941</v>
      </c>
      <c r="M82">
        <v>1916</v>
      </c>
      <c r="N82">
        <v>-0.370583</v>
      </c>
      <c r="O82">
        <f>+$N82+Offset</f>
        <v>-0.27458300000000002</v>
      </c>
      <c r="P82">
        <v>1916</v>
      </c>
      <c r="Q82">
        <v>-0.44408300000000001</v>
      </c>
      <c r="S82">
        <v>1916</v>
      </c>
      <c r="T82">
        <v>-0.39674999999999999</v>
      </c>
    </row>
    <row r="83" spans="1:20" x14ac:dyDescent="0.25">
      <c r="A83">
        <f t="shared" si="12"/>
        <v>1917</v>
      </c>
      <c r="B83">
        <f t="shared" si="11"/>
        <v>-0.48635893000000002</v>
      </c>
      <c r="C83">
        <f t="shared" si="13"/>
        <v>-0.48008299999999998</v>
      </c>
      <c r="D83">
        <f>$O83*(Fraction*Ocean+Land)</f>
        <v>-0.38006625000000005</v>
      </c>
      <c r="E83">
        <f>+$Q83*(Ocean+Land/Fraction)</f>
        <v>-0.57318957000000004</v>
      </c>
      <c r="F83">
        <f t="shared" si="14"/>
        <v>-0.47662791000000004</v>
      </c>
      <c r="G83">
        <f t="shared" si="15"/>
        <v>1917</v>
      </c>
      <c r="H83">
        <f t="shared" si="16"/>
        <v>-6.2759300000000406E-3</v>
      </c>
      <c r="I83">
        <f t="shared" si="17"/>
        <v>0.10001674999999993</v>
      </c>
      <c r="J83">
        <f t="shared" si="18"/>
        <v>-9.3106570000000055E-2</v>
      </c>
      <c r="K83">
        <f t="shared" si="19"/>
        <v>3.4550899999999385E-3</v>
      </c>
      <c r="L83">
        <f t="shared" si="20"/>
        <v>4.3402307663582267E-2</v>
      </c>
      <c r="M83">
        <v>1917</v>
      </c>
      <c r="N83">
        <v>-0.68525000000000003</v>
      </c>
      <c r="O83">
        <f>+$N83+Offset</f>
        <v>-0.58925000000000005</v>
      </c>
      <c r="P83">
        <v>1917</v>
      </c>
      <c r="Q83">
        <v>-0.44433299999999998</v>
      </c>
      <c r="S83">
        <v>1917</v>
      </c>
      <c r="T83">
        <v>-0.48008299999999998</v>
      </c>
    </row>
    <row r="84" spans="1:20" x14ac:dyDescent="0.25">
      <c r="A84">
        <f t="shared" si="12"/>
        <v>1918</v>
      </c>
      <c r="B84">
        <f t="shared" si="11"/>
        <v>-0.36434700000000003</v>
      </c>
      <c r="C84">
        <f t="shared" si="13"/>
        <v>-0.35066700000000001</v>
      </c>
      <c r="D84">
        <f>$O84*(Fraction*Ocean+Land)</f>
        <v>-0.23134021499999999</v>
      </c>
      <c r="E84">
        <f>+$Q84*(Ocean+Land/Fraction)</f>
        <v>-0.47300043000000003</v>
      </c>
      <c r="F84">
        <f t="shared" si="14"/>
        <v>-0.35217032250000002</v>
      </c>
      <c r="G84">
        <f t="shared" si="15"/>
        <v>1918</v>
      </c>
      <c r="H84">
        <f t="shared" si="16"/>
        <v>-1.3680000000000025E-2</v>
      </c>
      <c r="I84">
        <f t="shared" si="17"/>
        <v>0.11932678500000002</v>
      </c>
      <c r="J84">
        <f t="shared" si="18"/>
        <v>-0.12233343000000002</v>
      </c>
      <c r="K84">
        <f t="shared" si="19"/>
        <v>-1.5033225000000011E-3</v>
      </c>
      <c r="L84">
        <f t="shared" si="20"/>
        <v>0.11579400719182287</v>
      </c>
      <c r="M84">
        <v>1918</v>
      </c>
      <c r="N84">
        <v>-0.45466699999999999</v>
      </c>
      <c r="O84">
        <f>+$N84+Offset</f>
        <v>-0.35866699999999996</v>
      </c>
      <c r="P84">
        <v>1918</v>
      </c>
      <c r="Q84">
        <v>-0.36666700000000002</v>
      </c>
      <c r="S84">
        <v>1918</v>
      </c>
      <c r="T84">
        <v>-0.35066700000000001</v>
      </c>
    </row>
    <row r="85" spans="1:20" x14ac:dyDescent="0.25">
      <c r="A85">
        <f t="shared" si="12"/>
        <v>1919</v>
      </c>
      <c r="B85">
        <f t="shared" si="11"/>
        <v>-0.31952592999999996</v>
      </c>
      <c r="C85">
        <f t="shared" si="13"/>
        <v>-0.28899999999999998</v>
      </c>
      <c r="D85">
        <f>$O85*(Fraction*Ocean+Land)</f>
        <v>-0.146522715</v>
      </c>
      <c r="E85">
        <f>+$Q85*(Ocean+Land/Fraction)</f>
        <v>-0.46085250000000005</v>
      </c>
      <c r="F85">
        <f t="shared" si="14"/>
        <v>-0.30368760750000001</v>
      </c>
      <c r="G85">
        <f t="shared" si="15"/>
        <v>1919</v>
      </c>
      <c r="H85">
        <f t="shared" si="16"/>
        <v>-3.0525929999999979E-2</v>
      </c>
      <c r="I85">
        <f t="shared" si="17"/>
        <v>0.14247728499999998</v>
      </c>
      <c r="J85">
        <f t="shared" si="18"/>
        <v>-0.17185250000000007</v>
      </c>
      <c r="K85">
        <f t="shared" si="19"/>
        <v>-1.4687607500000047E-2</v>
      </c>
      <c r="L85">
        <f t="shared" si="20"/>
        <v>0.24304997235391368</v>
      </c>
      <c r="M85">
        <v>1919</v>
      </c>
      <c r="N85">
        <v>-0.32316699999999998</v>
      </c>
      <c r="O85">
        <f>+$N85+Offset</f>
        <v>-0.22716699999999998</v>
      </c>
      <c r="P85">
        <v>1919</v>
      </c>
      <c r="Q85">
        <v>-0.35725000000000001</v>
      </c>
      <c r="S85">
        <v>1919</v>
      </c>
      <c r="T85">
        <v>-0.28899999999999998</v>
      </c>
    </row>
    <row r="86" spans="1:20" x14ac:dyDescent="0.25">
      <c r="A86">
        <f t="shared" si="12"/>
        <v>1920</v>
      </c>
      <c r="B86">
        <f t="shared" si="11"/>
        <v>-0.28031699999999998</v>
      </c>
      <c r="C86">
        <f t="shared" si="13"/>
        <v>-0.253917</v>
      </c>
      <c r="D86">
        <f>$O86*(Fraction*Ocean+Land)</f>
        <v>-0.11669146500000002</v>
      </c>
      <c r="E86">
        <f>+$Q86*(Ocean+Land/Fraction)</f>
        <v>-0.41398293000000003</v>
      </c>
      <c r="F86">
        <f t="shared" si="14"/>
        <v>-0.26533719750000001</v>
      </c>
      <c r="G86">
        <f t="shared" si="15"/>
        <v>1920</v>
      </c>
      <c r="H86">
        <f t="shared" si="16"/>
        <v>-2.6399999999999979E-2</v>
      </c>
      <c r="I86">
        <f t="shared" si="17"/>
        <v>0.13722553499999998</v>
      </c>
      <c r="J86">
        <f t="shared" si="18"/>
        <v>-0.16006593000000002</v>
      </c>
      <c r="K86">
        <f t="shared" si="19"/>
        <v>-1.1420197500000021E-2</v>
      </c>
      <c r="L86">
        <f t="shared" si="20"/>
        <v>0.29206956825042901</v>
      </c>
      <c r="M86">
        <v>1920</v>
      </c>
      <c r="N86">
        <v>-0.27691700000000002</v>
      </c>
      <c r="O86">
        <f>+$N86+Offset</f>
        <v>-0.18091700000000002</v>
      </c>
      <c r="P86">
        <v>1920</v>
      </c>
      <c r="Q86">
        <v>-0.32091700000000001</v>
      </c>
      <c r="S86">
        <v>1920</v>
      </c>
      <c r="T86">
        <v>-0.253917</v>
      </c>
    </row>
    <row r="87" spans="1:20" x14ac:dyDescent="0.25">
      <c r="A87">
        <f t="shared" si="12"/>
        <v>1921</v>
      </c>
      <c r="B87">
        <f t="shared" si="11"/>
        <v>-0.22764856999999999</v>
      </c>
      <c r="C87">
        <f t="shared" si="13"/>
        <v>-0.19291700000000001</v>
      </c>
      <c r="D87">
        <f>$O87*(Fraction*Ocean+Land)</f>
        <v>-1.1287500000000011E-3</v>
      </c>
      <c r="E87">
        <f>+$Q87*(Ocean+Land/Fraction)</f>
        <v>-0.41269293000000001</v>
      </c>
      <c r="F87">
        <f t="shared" si="14"/>
        <v>-0.20691084000000001</v>
      </c>
      <c r="G87">
        <f t="shared" si="15"/>
        <v>1921</v>
      </c>
      <c r="H87">
        <f t="shared" si="16"/>
        <v>-3.4731569999999989E-2</v>
      </c>
      <c r="I87">
        <f t="shared" si="17"/>
        <v>0.19178824999999999</v>
      </c>
      <c r="J87">
        <f t="shared" si="18"/>
        <v>-0.21977593000000001</v>
      </c>
      <c r="K87">
        <f t="shared" si="19"/>
        <v>-1.3993840000000007E-2</v>
      </c>
      <c r="L87">
        <f t="shared" si="20"/>
        <v>0.9883323101289464</v>
      </c>
      <c r="M87">
        <v>1921</v>
      </c>
      <c r="N87">
        <v>-9.7750000000000004E-2</v>
      </c>
      <c r="O87">
        <f>+$N87+Offset</f>
        <v>-1.7500000000000016E-3</v>
      </c>
      <c r="P87">
        <v>1921</v>
      </c>
      <c r="Q87">
        <v>-0.31991700000000001</v>
      </c>
      <c r="S87">
        <v>1921</v>
      </c>
      <c r="T87">
        <v>-0.19291700000000001</v>
      </c>
    </row>
    <row r="88" spans="1:20" x14ac:dyDescent="0.25">
      <c r="A88">
        <f t="shared" si="12"/>
        <v>1922</v>
      </c>
      <c r="B88">
        <f t="shared" si="11"/>
        <v>-0.34260406999999998</v>
      </c>
      <c r="C88">
        <f t="shared" si="13"/>
        <v>-0.31025000000000003</v>
      </c>
      <c r="D88">
        <f>$O88*(Fraction*Ocean+Land)</f>
        <v>-0.10744603500000001</v>
      </c>
      <c r="E88">
        <f>+$Q88*(Ocean+Land/Fraction)</f>
        <v>-0.53470499999999999</v>
      </c>
      <c r="F88">
        <f t="shared" si="14"/>
        <v>-0.32107551750000002</v>
      </c>
      <c r="G88">
        <f t="shared" si="15"/>
        <v>1922</v>
      </c>
      <c r="H88">
        <f t="shared" si="16"/>
        <v>-3.2354069999999957E-2</v>
      </c>
      <c r="I88">
        <f t="shared" si="17"/>
        <v>0.20280396500000003</v>
      </c>
      <c r="J88">
        <f t="shared" si="18"/>
        <v>-0.22445499999999996</v>
      </c>
      <c r="K88">
        <f t="shared" si="19"/>
        <v>-1.0825517499999965E-2</v>
      </c>
      <c r="L88">
        <f t="shared" si="20"/>
        <v>0.42729646785820979</v>
      </c>
      <c r="M88">
        <v>1922</v>
      </c>
      <c r="N88">
        <v>-0.26258300000000001</v>
      </c>
      <c r="O88">
        <f>+$N88+Offset</f>
        <v>-0.16658300000000001</v>
      </c>
      <c r="P88">
        <v>1922</v>
      </c>
      <c r="Q88">
        <v>-0.41449999999999998</v>
      </c>
      <c r="S88">
        <v>1922</v>
      </c>
      <c r="T88">
        <v>-0.31025000000000003</v>
      </c>
    </row>
    <row r="89" spans="1:20" x14ac:dyDescent="0.25">
      <c r="A89">
        <f t="shared" si="12"/>
        <v>1923</v>
      </c>
      <c r="B89">
        <f t="shared" si="11"/>
        <v>-0.31359799999999999</v>
      </c>
      <c r="C89">
        <f t="shared" si="13"/>
        <v>-0.27825</v>
      </c>
      <c r="D89">
        <f>$O89*(Fraction*Ocean+Land)</f>
        <v>-0.10083478499999998</v>
      </c>
      <c r="E89">
        <f>+$Q89*(Ocean+Land/Fraction)</f>
        <v>-0.48740456999999998</v>
      </c>
      <c r="F89">
        <f t="shared" si="14"/>
        <v>-0.29411967750000001</v>
      </c>
      <c r="G89">
        <f t="shared" si="15"/>
        <v>1923</v>
      </c>
      <c r="H89">
        <f t="shared" si="16"/>
        <v>-3.5347999999999991E-2</v>
      </c>
      <c r="I89">
        <f t="shared" si="17"/>
        <v>0.17741521500000001</v>
      </c>
      <c r="J89">
        <f t="shared" si="18"/>
        <v>-0.20915456999999998</v>
      </c>
      <c r="K89">
        <f t="shared" si="19"/>
        <v>-1.5869677499999985E-2</v>
      </c>
      <c r="L89">
        <f t="shared" si="20"/>
        <v>0.40654757764840721</v>
      </c>
      <c r="M89">
        <v>1923</v>
      </c>
      <c r="N89">
        <v>-0.25233299999999997</v>
      </c>
      <c r="O89">
        <f>+$N89+Offset</f>
        <v>-0.15633299999999997</v>
      </c>
      <c r="P89">
        <v>1923</v>
      </c>
      <c r="Q89">
        <v>-0.37783299999999997</v>
      </c>
      <c r="S89">
        <v>1923</v>
      </c>
      <c r="T89">
        <v>-0.27825</v>
      </c>
    </row>
    <row r="90" spans="1:20" x14ac:dyDescent="0.25">
      <c r="A90">
        <f t="shared" si="12"/>
        <v>1924</v>
      </c>
      <c r="B90">
        <f t="shared" si="11"/>
        <v>-0.32099949999999999</v>
      </c>
      <c r="C90">
        <f t="shared" si="13"/>
        <v>-0.30275000000000002</v>
      </c>
      <c r="D90">
        <f>$O90*(Fraction*Ocean+Land)</f>
        <v>-0.15861646500000001</v>
      </c>
      <c r="E90">
        <f>+$Q90*(Ocean+Land/Fraction)</f>
        <v>-0.45365043000000005</v>
      </c>
      <c r="F90">
        <f t="shared" si="14"/>
        <v>-0.30613344750000004</v>
      </c>
      <c r="G90">
        <f t="shared" si="15"/>
        <v>1924</v>
      </c>
      <c r="H90">
        <f t="shared" si="16"/>
        <v>-1.8249499999999974E-2</v>
      </c>
      <c r="I90">
        <f t="shared" si="17"/>
        <v>0.14413353500000001</v>
      </c>
      <c r="J90">
        <f t="shared" si="18"/>
        <v>-0.15090043000000003</v>
      </c>
      <c r="K90">
        <f t="shared" si="19"/>
        <v>-3.3834475000000114E-3</v>
      </c>
      <c r="L90">
        <f t="shared" si="20"/>
        <v>0.22665315708778774</v>
      </c>
      <c r="M90">
        <v>1924</v>
      </c>
      <c r="N90">
        <v>-0.34191700000000003</v>
      </c>
      <c r="O90">
        <f>+$N90+Offset</f>
        <v>-0.24591700000000002</v>
      </c>
      <c r="P90">
        <v>1924</v>
      </c>
      <c r="Q90">
        <v>-0.35166700000000001</v>
      </c>
      <c r="S90">
        <v>1924</v>
      </c>
      <c r="T90">
        <v>-0.30275000000000002</v>
      </c>
    </row>
    <row r="91" spans="1:20" x14ac:dyDescent="0.25">
      <c r="A91">
        <f t="shared" si="12"/>
        <v>1925</v>
      </c>
      <c r="B91">
        <f t="shared" si="11"/>
        <v>-0.25699249999999996</v>
      </c>
      <c r="C91">
        <f t="shared" si="13"/>
        <v>-0.218583</v>
      </c>
      <c r="D91">
        <f>$O91*(Fraction*Ocean+Land)</f>
        <v>-7.3368749999999996E-2</v>
      </c>
      <c r="E91">
        <f>+$Q91*(Ocean+Land/Fraction)</f>
        <v>-0.406995</v>
      </c>
      <c r="F91">
        <f t="shared" si="14"/>
        <v>-0.24018187499999999</v>
      </c>
      <c r="G91">
        <f t="shared" si="15"/>
        <v>1925</v>
      </c>
      <c r="H91">
        <f t="shared" si="16"/>
        <v>-3.8409499999999958E-2</v>
      </c>
      <c r="I91">
        <f t="shared" si="17"/>
        <v>0.14521424999999999</v>
      </c>
      <c r="J91">
        <f t="shared" si="18"/>
        <v>-0.188412</v>
      </c>
      <c r="K91">
        <f t="shared" si="19"/>
        <v>-2.1598875000000003E-2</v>
      </c>
      <c r="L91">
        <f t="shared" si="20"/>
        <v>0.441352618733935</v>
      </c>
      <c r="M91">
        <v>1925</v>
      </c>
      <c r="N91">
        <v>-0.20974999999999999</v>
      </c>
      <c r="O91">
        <f>+$N91+Offset</f>
        <v>-0.11374999999999999</v>
      </c>
      <c r="P91">
        <v>1925</v>
      </c>
      <c r="Q91">
        <v>-0.3155</v>
      </c>
      <c r="S91">
        <v>1925</v>
      </c>
      <c r="T91">
        <v>-0.218583</v>
      </c>
    </row>
    <row r="92" spans="1:20" x14ac:dyDescent="0.25">
      <c r="A92">
        <f t="shared" si="12"/>
        <v>1926</v>
      </c>
      <c r="B92">
        <f t="shared" si="11"/>
        <v>-0.12360107000000001</v>
      </c>
      <c r="C92">
        <f t="shared" si="13"/>
        <v>-0.112</v>
      </c>
      <c r="D92">
        <f>$O92*(Fraction*Ocean+Land)</f>
        <v>2.144625E-2</v>
      </c>
      <c r="E92">
        <f>+$Q92*(Ocean+Land/Fraction)</f>
        <v>-0.24209043</v>
      </c>
      <c r="F92">
        <f t="shared" si="14"/>
        <v>-0.11032209</v>
      </c>
      <c r="G92">
        <f t="shared" si="15"/>
        <v>1926</v>
      </c>
      <c r="H92">
        <f t="shared" si="16"/>
        <v>-1.1601070000000005E-2</v>
      </c>
      <c r="I92">
        <f t="shared" si="17"/>
        <v>0.13344624999999999</v>
      </c>
      <c r="J92">
        <f t="shared" si="18"/>
        <v>-0.13009042999999998</v>
      </c>
      <c r="K92">
        <f t="shared" si="19"/>
        <v>1.6779100000000047E-3</v>
      </c>
      <c r="L92">
        <f t="shared" si="20"/>
        <v>1.4196350158691404</v>
      </c>
      <c r="M92">
        <v>1926</v>
      </c>
      <c r="N92">
        <v>-6.275E-2</v>
      </c>
      <c r="O92">
        <f>+$N92+Offset</f>
        <v>3.3250000000000002E-2</v>
      </c>
      <c r="P92">
        <v>1926</v>
      </c>
      <c r="Q92">
        <v>-0.187667</v>
      </c>
      <c r="S92">
        <v>1926</v>
      </c>
      <c r="T92">
        <v>-0.112</v>
      </c>
    </row>
    <row r="93" spans="1:20" x14ac:dyDescent="0.25">
      <c r="A93">
        <f t="shared" si="12"/>
        <v>1927</v>
      </c>
      <c r="B93">
        <f t="shared" si="11"/>
        <v>-0.21105907000000002</v>
      </c>
      <c r="C93">
        <f t="shared" si="13"/>
        <v>-0.212917</v>
      </c>
      <c r="D93">
        <f>$O93*(Fraction*Ocean+Land)</f>
        <v>-8.6483535000000014E-2</v>
      </c>
      <c r="E93">
        <f>+$Q93*(Ocean+Land/Fraction)</f>
        <v>-0.31282500000000002</v>
      </c>
      <c r="F93">
        <f t="shared" si="14"/>
        <v>-0.19965426750000001</v>
      </c>
      <c r="G93">
        <f t="shared" si="15"/>
        <v>1927</v>
      </c>
      <c r="H93">
        <f t="shared" si="16"/>
        <v>1.8579299999999799E-3</v>
      </c>
      <c r="I93">
        <f t="shared" si="17"/>
        <v>0.12643346499999997</v>
      </c>
      <c r="J93">
        <f t="shared" si="18"/>
        <v>-9.9908000000000025E-2</v>
      </c>
      <c r="K93">
        <f t="shared" si="19"/>
        <v>1.3262732499999971E-2</v>
      </c>
      <c r="L93">
        <f t="shared" si="20"/>
        <v>0.35261712797588207</v>
      </c>
      <c r="M93">
        <v>1927</v>
      </c>
      <c r="N93">
        <v>-0.23008300000000001</v>
      </c>
      <c r="O93">
        <f>+$N93+Offset</f>
        <v>-0.13408300000000001</v>
      </c>
      <c r="P93">
        <v>1927</v>
      </c>
      <c r="Q93">
        <v>-0.24249999999999999</v>
      </c>
      <c r="S93">
        <v>1927</v>
      </c>
      <c r="T93">
        <v>-0.212917</v>
      </c>
    </row>
    <row r="94" spans="1:20" x14ac:dyDescent="0.25">
      <c r="A94">
        <f t="shared" si="12"/>
        <v>1928</v>
      </c>
      <c r="B94">
        <f t="shared" si="11"/>
        <v>-0.20812014000000001</v>
      </c>
      <c r="C94">
        <f t="shared" si="13"/>
        <v>-0.2155</v>
      </c>
      <c r="D94">
        <f>$O94*(Fraction*Ocean+Land)</f>
        <v>-4.0204785E-2</v>
      </c>
      <c r="E94">
        <f>+$Q94*(Ocean+Land/Fraction)</f>
        <v>-0.34529042999999998</v>
      </c>
      <c r="F94">
        <f t="shared" si="14"/>
        <v>-0.1927476075</v>
      </c>
      <c r="G94">
        <f t="shared" si="15"/>
        <v>1928</v>
      </c>
      <c r="H94">
        <f t="shared" si="16"/>
        <v>7.3798599999999881E-3</v>
      </c>
      <c r="I94">
        <f t="shared" si="17"/>
        <v>0.175295215</v>
      </c>
      <c r="J94">
        <f t="shared" si="18"/>
        <v>-0.12979042999999998</v>
      </c>
      <c r="K94">
        <f t="shared" si="19"/>
        <v>2.275239250000001E-2</v>
      </c>
      <c r="L94">
        <f t="shared" si="20"/>
        <v>0.6616762916197958</v>
      </c>
      <c r="M94">
        <v>1928</v>
      </c>
      <c r="N94">
        <v>-0.158333</v>
      </c>
      <c r="O94">
        <f>+$N94+Offset</f>
        <v>-6.2333E-2</v>
      </c>
      <c r="P94">
        <v>1928</v>
      </c>
      <c r="Q94">
        <v>-0.26766699999999999</v>
      </c>
      <c r="S94">
        <v>1928</v>
      </c>
      <c r="T94">
        <v>-0.2155</v>
      </c>
    </row>
    <row r="95" spans="1:20" x14ac:dyDescent="0.25">
      <c r="A95">
        <f t="shared" si="12"/>
        <v>1929</v>
      </c>
      <c r="B95">
        <f t="shared" si="11"/>
        <v>-0.33465643</v>
      </c>
      <c r="C95">
        <f t="shared" si="13"/>
        <v>-0.348167</v>
      </c>
      <c r="D95">
        <f>$O95*(Fraction*Ocean+Land)</f>
        <v>-0.22623375000000001</v>
      </c>
      <c r="E95">
        <f>+$Q95*(Ocean+Land/Fraction)</f>
        <v>-0.42322707000000004</v>
      </c>
      <c r="F95">
        <f t="shared" si="14"/>
        <v>-0.32473041000000002</v>
      </c>
      <c r="G95">
        <f t="shared" si="15"/>
        <v>1929</v>
      </c>
      <c r="H95">
        <f t="shared" si="16"/>
        <v>1.351057E-2</v>
      </c>
      <c r="I95">
        <f t="shared" si="17"/>
        <v>0.12193324999999999</v>
      </c>
      <c r="J95">
        <f t="shared" si="18"/>
        <v>-7.5060070000000034E-2</v>
      </c>
      <c r="K95">
        <f t="shared" si="19"/>
        <v>2.3436589999999979E-2</v>
      </c>
      <c r="L95">
        <f t="shared" si="20"/>
        <v>0.12265043375733309</v>
      </c>
      <c r="M95">
        <v>1929</v>
      </c>
      <c r="N95">
        <v>-0.44674999999999998</v>
      </c>
      <c r="O95">
        <f>+$N95+Offset</f>
        <v>-0.35075000000000001</v>
      </c>
      <c r="P95">
        <v>1929</v>
      </c>
      <c r="Q95">
        <v>-0.32808300000000001</v>
      </c>
      <c r="S95">
        <v>1929</v>
      </c>
      <c r="T95">
        <v>-0.348167</v>
      </c>
    </row>
    <row r="96" spans="1:20" x14ac:dyDescent="0.25">
      <c r="A96">
        <f t="shared" si="12"/>
        <v>1930</v>
      </c>
      <c r="B96">
        <f t="shared" si="11"/>
        <v>-0.12292499999999999</v>
      </c>
      <c r="C96">
        <f t="shared" si="13"/>
        <v>-0.13666700000000001</v>
      </c>
      <c r="D96">
        <f>$O96*(Fraction*Ocean+Land)</f>
        <v>-2.5800000000000024E-3</v>
      </c>
      <c r="E96">
        <f>+$Q96*(Ocean+Land/Fraction)</f>
        <v>-0.22123500000000001</v>
      </c>
      <c r="F96">
        <f t="shared" si="14"/>
        <v>-0.11190750000000001</v>
      </c>
      <c r="G96">
        <f t="shared" si="15"/>
        <v>1930</v>
      </c>
      <c r="H96">
        <f t="shared" si="16"/>
        <v>1.3742000000000018E-2</v>
      </c>
      <c r="I96">
        <f t="shared" si="17"/>
        <v>0.13408700000000001</v>
      </c>
      <c r="J96">
        <f t="shared" si="18"/>
        <v>-8.4568000000000004E-2</v>
      </c>
      <c r="K96">
        <f t="shared" si="19"/>
        <v>2.4759500000000004E-2</v>
      </c>
      <c r="L96">
        <f t="shared" si="20"/>
        <v>0.96260037351416494</v>
      </c>
      <c r="M96">
        <v>1930</v>
      </c>
      <c r="N96">
        <v>-0.1</v>
      </c>
      <c r="O96">
        <f>+$N96+Offset</f>
        <v>-4.0000000000000036E-3</v>
      </c>
      <c r="P96">
        <v>1930</v>
      </c>
      <c r="Q96">
        <v>-0.17150000000000001</v>
      </c>
      <c r="S96">
        <v>1930</v>
      </c>
      <c r="T96">
        <v>-0.13666700000000001</v>
      </c>
    </row>
    <row r="97" spans="1:20" x14ac:dyDescent="0.25">
      <c r="A97">
        <f t="shared" si="12"/>
        <v>1931</v>
      </c>
      <c r="B97">
        <f t="shared" si="11"/>
        <v>-9.571143E-2</v>
      </c>
      <c r="C97">
        <f t="shared" si="13"/>
        <v>-8.6583300000000002E-2</v>
      </c>
      <c r="D97">
        <f>$O97*(Fraction*Ocean+Land)</f>
        <v>5.9662500000000054E-3</v>
      </c>
      <c r="E97">
        <f>+$Q97*(Ocean+Land/Fraction)</f>
        <v>-0.17877207000000003</v>
      </c>
      <c r="F97">
        <f t="shared" si="14"/>
        <v>-8.6402910000000013E-2</v>
      </c>
      <c r="G97">
        <f t="shared" si="15"/>
        <v>1931</v>
      </c>
      <c r="H97">
        <f t="shared" si="16"/>
        <v>-9.1281299999999982E-3</v>
      </c>
      <c r="I97">
        <f t="shared" si="17"/>
        <v>9.2549550000000008E-2</v>
      </c>
      <c r="J97">
        <f t="shared" si="18"/>
        <v>-9.2188770000000031E-2</v>
      </c>
      <c r="K97">
        <f t="shared" si="19"/>
        <v>1.8038999999998862E-4</v>
      </c>
      <c r="L97">
        <f t="shared" si="20"/>
        <v>1.1425635214579211</v>
      </c>
      <c r="M97">
        <v>1931</v>
      </c>
      <c r="N97">
        <v>-8.6749999999999994E-2</v>
      </c>
      <c r="O97">
        <f>+$N97+Offset</f>
        <v>9.2500000000000082E-3</v>
      </c>
      <c r="P97">
        <v>1931</v>
      </c>
      <c r="Q97">
        <v>-0.13858300000000001</v>
      </c>
      <c r="S97">
        <v>1931</v>
      </c>
      <c r="T97">
        <v>-8.6583300000000002E-2</v>
      </c>
    </row>
    <row r="98" spans="1:20" x14ac:dyDescent="0.25">
      <c r="A98">
        <f t="shared" si="12"/>
        <v>1932</v>
      </c>
      <c r="B98">
        <f t="shared" si="11"/>
        <v>-0.12441058699999999</v>
      </c>
      <c r="C98">
        <f t="shared" si="13"/>
        <v>-0.13766700000000001</v>
      </c>
      <c r="D98">
        <f>$O98*(Fraction*Ocean+Land)</f>
        <v>1.8328771500000004E-2</v>
      </c>
      <c r="E98">
        <f>+$Q98*(Ocean+Land/Fraction)</f>
        <v>-0.24101457000000001</v>
      </c>
      <c r="F98">
        <f t="shared" si="14"/>
        <v>-0.11134289925</v>
      </c>
      <c r="G98">
        <f t="shared" si="15"/>
        <v>1932</v>
      </c>
      <c r="H98">
        <f t="shared" si="16"/>
        <v>1.3256413000000022E-2</v>
      </c>
      <c r="I98">
        <f t="shared" si="17"/>
        <v>0.15599577150000002</v>
      </c>
      <c r="J98">
        <f t="shared" si="18"/>
        <v>-0.10334757</v>
      </c>
      <c r="K98">
        <f t="shared" si="19"/>
        <v>2.632410075000001E-2</v>
      </c>
      <c r="L98">
        <f t="shared" si="20"/>
        <v>1.2840027551627913</v>
      </c>
      <c r="M98">
        <v>1932</v>
      </c>
      <c r="N98">
        <v>-6.7583299999999999E-2</v>
      </c>
      <c r="O98">
        <f>+$N98+Offset</f>
        <v>2.8416700000000003E-2</v>
      </c>
      <c r="P98">
        <v>1932</v>
      </c>
      <c r="Q98">
        <v>-0.186833</v>
      </c>
      <c r="S98">
        <v>1932</v>
      </c>
      <c r="T98">
        <v>-0.13766700000000001</v>
      </c>
    </row>
    <row r="99" spans="1:20" x14ac:dyDescent="0.25">
      <c r="A99">
        <f t="shared" si="12"/>
        <v>1933</v>
      </c>
      <c r="B99">
        <f t="shared" si="11"/>
        <v>-0.25739985999999998</v>
      </c>
      <c r="C99">
        <f t="shared" si="13"/>
        <v>-0.276167</v>
      </c>
      <c r="D99">
        <f>$O99*(Fraction*Ocean+Land)</f>
        <v>-0.14007271499999999</v>
      </c>
      <c r="E99">
        <f>+$Q99*(Ocean+Land/Fraction)</f>
        <v>-0.35324456999999998</v>
      </c>
      <c r="F99">
        <f t="shared" si="14"/>
        <v>-0.24665864249999997</v>
      </c>
      <c r="G99">
        <f t="shared" si="15"/>
        <v>1933</v>
      </c>
      <c r="H99">
        <f t="shared" si="16"/>
        <v>1.8767140000000015E-2</v>
      </c>
      <c r="I99">
        <f t="shared" si="17"/>
        <v>0.13609428500000001</v>
      </c>
      <c r="J99">
        <f t="shared" si="18"/>
        <v>-7.7077569999999984E-2</v>
      </c>
      <c r="K99">
        <f t="shared" si="19"/>
        <v>2.9508357500000013E-2</v>
      </c>
      <c r="L99">
        <f t="shared" si="20"/>
        <v>0.24284893995702245</v>
      </c>
      <c r="M99">
        <v>1933</v>
      </c>
      <c r="N99">
        <v>-0.31316699999999997</v>
      </c>
      <c r="O99">
        <f>+$N99+Offset</f>
        <v>-0.21716699999999997</v>
      </c>
      <c r="P99">
        <v>1933</v>
      </c>
      <c r="Q99">
        <v>-0.27383299999999999</v>
      </c>
      <c r="S99">
        <v>1933</v>
      </c>
      <c r="T99">
        <v>-0.276167</v>
      </c>
    </row>
    <row r="100" spans="1:20" x14ac:dyDescent="0.25">
      <c r="A100">
        <f t="shared" si="12"/>
        <v>1934</v>
      </c>
      <c r="B100">
        <f t="shared" si="11"/>
        <v>-0.12005499999999997</v>
      </c>
      <c r="C100">
        <f t="shared" si="13"/>
        <v>-0.13025</v>
      </c>
      <c r="D100">
        <f>$O100*(Fraction*Ocean+Land)</f>
        <v>5.7888750000000003E-2</v>
      </c>
      <c r="E100">
        <f>+$Q100*(Ocean+Land/Fraction)</f>
        <v>-0.26541749999999997</v>
      </c>
      <c r="F100">
        <f t="shared" si="14"/>
        <v>-0.10376437499999999</v>
      </c>
      <c r="G100">
        <f t="shared" si="15"/>
        <v>1934</v>
      </c>
      <c r="H100">
        <f t="shared" si="16"/>
        <v>1.0195000000000037E-2</v>
      </c>
      <c r="I100">
        <f t="shared" si="17"/>
        <v>0.18813875000000002</v>
      </c>
      <c r="J100">
        <f t="shared" si="18"/>
        <v>-0.13516749999999997</v>
      </c>
      <c r="K100">
        <f t="shared" si="19"/>
        <v>2.6485625000000027E-2</v>
      </c>
      <c r="L100">
        <f t="shared" si="20"/>
        <v>2.0864166725918341</v>
      </c>
      <c r="M100">
        <v>1934</v>
      </c>
      <c r="N100">
        <v>-6.2500000000000003E-3</v>
      </c>
      <c r="O100">
        <f>+$N100+Offset</f>
        <v>8.9749999999999996E-2</v>
      </c>
      <c r="P100">
        <v>1934</v>
      </c>
      <c r="Q100">
        <v>-0.20574999999999999</v>
      </c>
      <c r="S100">
        <v>1934</v>
      </c>
      <c r="T100">
        <v>-0.13025</v>
      </c>
    </row>
    <row r="101" spans="1:20" x14ac:dyDescent="0.25">
      <c r="A101">
        <f t="shared" si="12"/>
        <v>1935</v>
      </c>
      <c r="B101">
        <f t="shared" si="11"/>
        <v>-0.14836450000000001</v>
      </c>
      <c r="C101">
        <f t="shared" si="13"/>
        <v>-0.17716699999999999</v>
      </c>
      <c r="D101">
        <f>$O101*(Fraction*Ocean+Land)</f>
        <v>-3.2841464999999993E-2</v>
      </c>
      <c r="E101">
        <f>+$Q101*(Ocean+Land/Fraction)</f>
        <v>-0.24273543</v>
      </c>
      <c r="F101">
        <f t="shared" si="14"/>
        <v>-0.13778844749999999</v>
      </c>
      <c r="G101">
        <f t="shared" si="15"/>
        <v>1935</v>
      </c>
      <c r="H101">
        <f t="shared" si="16"/>
        <v>2.8802499999999981E-2</v>
      </c>
      <c r="I101">
        <f t="shared" si="17"/>
        <v>0.144325535</v>
      </c>
      <c r="J101">
        <f t="shared" si="18"/>
        <v>-6.5568430000000011E-2</v>
      </c>
      <c r="K101">
        <f t="shared" si="19"/>
        <v>3.9378552499999997E-2</v>
      </c>
      <c r="L101">
        <f t="shared" si="20"/>
        <v>0.6636218694375341</v>
      </c>
      <c r="M101">
        <v>1935</v>
      </c>
      <c r="N101">
        <v>-0.14691699999999999</v>
      </c>
      <c r="O101">
        <f>+$N101+Offset</f>
        <v>-5.091699999999999E-2</v>
      </c>
      <c r="P101">
        <v>1935</v>
      </c>
      <c r="Q101">
        <v>-0.188167</v>
      </c>
      <c r="S101">
        <v>1935</v>
      </c>
      <c r="T101">
        <v>-0.17716699999999999</v>
      </c>
    </row>
    <row r="102" spans="1:20" x14ac:dyDescent="0.25">
      <c r="A102">
        <f t="shared" si="12"/>
        <v>1936</v>
      </c>
      <c r="B102">
        <f t="shared" si="11"/>
        <v>-0.11105441299999999</v>
      </c>
      <c r="C102">
        <f t="shared" si="13"/>
        <v>-0.14399999999999999</v>
      </c>
      <c r="D102">
        <f>$O102*(Fraction*Ocean+Land)</f>
        <v>-2.3650214999999968E-3</v>
      </c>
      <c r="E102">
        <f>+$Q102*(Ocean+Land/Fraction)</f>
        <v>-0.19984293</v>
      </c>
      <c r="F102">
        <f t="shared" si="14"/>
        <v>-0.10110397575000001</v>
      </c>
      <c r="G102">
        <f t="shared" si="15"/>
        <v>1936</v>
      </c>
      <c r="H102">
        <f t="shared" si="16"/>
        <v>3.2945586999999998E-2</v>
      </c>
      <c r="I102">
        <f t="shared" si="17"/>
        <v>0.14163497849999998</v>
      </c>
      <c r="J102">
        <f t="shared" si="18"/>
        <v>-5.5842930000000013E-2</v>
      </c>
      <c r="K102">
        <f t="shared" si="19"/>
        <v>4.2896024249999984E-2</v>
      </c>
      <c r="L102">
        <f t="shared" si="20"/>
        <v>0.96742221907289061</v>
      </c>
      <c r="M102">
        <v>1936</v>
      </c>
      <c r="N102">
        <v>-9.9666699999999997E-2</v>
      </c>
      <c r="O102">
        <f>+$N102+Offset</f>
        <v>-3.666699999999995E-3</v>
      </c>
      <c r="P102">
        <v>1936</v>
      </c>
      <c r="Q102">
        <v>-0.154917</v>
      </c>
      <c r="S102">
        <v>1936</v>
      </c>
      <c r="T102">
        <v>-0.14399999999999999</v>
      </c>
    </row>
    <row r="103" spans="1:20" x14ac:dyDescent="0.25">
      <c r="A103">
        <f t="shared" si="12"/>
        <v>1937</v>
      </c>
      <c r="B103">
        <f t="shared" si="11"/>
        <v>7.5808000000000021E-3</v>
      </c>
      <c r="C103">
        <f t="shared" si="13"/>
        <v>-2.5749999999999999E-2</v>
      </c>
      <c r="D103">
        <f>$O103*(Fraction*Ocean+Land)</f>
        <v>4.2784978500000001E-2</v>
      </c>
      <c r="E103">
        <f>+$Q103*(Ocean+Land/Fraction)</f>
        <v>-2.1177543E-2</v>
      </c>
      <c r="F103">
        <f t="shared" si="14"/>
        <v>1.080371775E-2</v>
      </c>
      <c r="G103">
        <f t="shared" si="15"/>
        <v>1937</v>
      </c>
      <c r="H103">
        <f t="shared" si="16"/>
        <v>3.3330800000000001E-2</v>
      </c>
      <c r="I103">
        <f t="shared" si="17"/>
        <v>6.8534978499999996E-2</v>
      </c>
      <c r="J103">
        <f t="shared" si="18"/>
        <v>4.5724569999999985E-3</v>
      </c>
      <c r="K103">
        <f t="shared" si="19"/>
        <v>3.6553717749999999E-2</v>
      </c>
      <c r="L103">
        <f t="shared" si="20"/>
        <v>7.0838620461803563</v>
      </c>
      <c r="M103">
        <v>1937</v>
      </c>
      <c r="N103">
        <v>-2.9666700000000001E-2</v>
      </c>
      <c r="O103">
        <f>+$N103+Offset</f>
        <v>6.6333299999999998E-2</v>
      </c>
      <c r="P103">
        <v>1937</v>
      </c>
      <c r="Q103">
        <v>-1.6416699999999999E-2</v>
      </c>
      <c r="S103">
        <v>1937</v>
      </c>
      <c r="T103">
        <v>-2.5749999999999999E-2</v>
      </c>
    </row>
    <row r="104" spans="1:20" x14ac:dyDescent="0.25">
      <c r="A104">
        <f t="shared" si="12"/>
        <v>1938</v>
      </c>
      <c r="B104">
        <f t="shared" si="11"/>
        <v>3.9788213000000017E-2</v>
      </c>
      <c r="C104">
        <f t="shared" si="13"/>
        <v>-8.4166699999999994E-3</v>
      </c>
      <c r="D104">
        <f>$O104*(Fraction*Ocean+Land)</f>
        <v>0.169688535</v>
      </c>
      <c r="E104">
        <f>+$Q104*(Ocean+Land/Fraction)</f>
        <v>-6.6327543000000003E-2</v>
      </c>
      <c r="F104">
        <f t="shared" si="14"/>
        <v>5.1680495999999999E-2</v>
      </c>
      <c r="G104">
        <f t="shared" si="15"/>
        <v>1938</v>
      </c>
      <c r="H104">
        <f t="shared" si="16"/>
        <v>4.8204883000000018E-2</v>
      </c>
      <c r="I104">
        <f t="shared" si="17"/>
        <v>0.17810520499999999</v>
      </c>
      <c r="J104">
        <f t="shared" si="18"/>
        <v>-5.7910873000000002E-2</v>
      </c>
      <c r="K104">
        <f t="shared" si="19"/>
        <v>6.0097165999999994E-2</v>
      </c>
      <c r="L104">
        <f t="shared" si="20"/>
        <v>447.78817809979967</v>
      </c>
      <c r="M104">
        <v>1938</v>
      </c>
      <c r="N104">
        <v>0.16708300000000001</v>
      </c>
      <c r="O104">
        <f>+$N104+Offset</f>
        <v>0.26308300000000001</v>
      </c>
      <c r="P104">
        <v>1938</v>
      </c>
      <c r="Q104">
        <v>-5.1416700000000003E-2</v>
      </c>
      <c r="S104">
        <v>1938</v>
      </c>
      <c r="T104">
        <v>-8.4166699999999994E-3</v>
      </c>
    </row>
    <row r="105" spans="1:20" x14ac:dyDescent="0.25">
      <c r="A105">
        <f t="shared" si="12"/>
        <v>1939</v>
      </c>
      <c r="B105">
        <f t="shared" si="11"/>
        <v>2.9075000000000007E-2</v>
      </c>
      <c r="C105">
        <f t="shared" si="13"/>
        <v>-5.45E-2</v>
      </c>
      <c r="D105">
        <f>$O105*(Fraction*Ocean+Land)</f>
        <v>7.2562500000000002E-2</v>
      </c>
      <c r="E105">
        <f>+$Q105*(Ocean+Land/Fraction)</f>
        <v>-6.45E-3</v>
      </c>
      <c r="F105">
        <f t="shared" si="14"/>
        <v>3.3056250000000002E-2</v>
      </c>
      <c r="G105">
        <f t="shared" si="15"/>
        <v>1939</v>
      </c>
      <c r="H105">
        <f t="shared" si="16"/>
        <v>8.357500000000001E-2</v>
      </c>
      <c r="I105">
        <f t="shared" si="17"/>
        <v>0.12706249999999999</v>
      </c>
      <c r="J105">
        <f t="shared" si="18"/>
        <v>4.8050000000000002E-2</v>
      </c>
      <c r="K105">
        <f t="shared" si="19"/>
        <v>8.7556250000000002E-2</v>
      </c>
      <c r="L105">
        <f t="shared" si="20"/>
        <v>5.435528627640771</v>
      </c>
      <c r="M105">
        <v>1939</v>
      </c>
      <c r="N105">
        <v>1.6500000000000001E-2</v>
      </c>
      <c r="O105">
        <f>+$N105+Offset</f>
        <v>0.1125</v>
      </c>
      <c r="P105">
        <v>1939</v>
      </c>
      <c r="Q105">
        <v>-5.0000000000000001E-3</v>
      </c>
      <c r="S105">
        <v>1939</v>
      </c>
      <c r="T105">
        <v>-5.45E-2</v>
      </c>
    </row>
    <row r="106" spans="1:20" x14ac:dyDescent="0.25">
      <c r="A106">
        <f t="shared" si="12"/>
        <v>1940</v>
      </c>
      <c r="B106">
        <f t="shared" si="11"/>
        <v>3.4541657000000003E-2</v>
      </c>
      <c r="C106">
        <f t="shared" si="13"/>
        <v>2.1749999999999999E-2</v>
      </c>
      <c r="D106">
        <f>$O106*(Fraction*Ocean+Land)</f>
        <v>4.3268728499999999E-2</v>
      </c>
      <c r="E106">
        <f>+$Q106*(Ocean+Land/Fraction)</f>
        <v>2.7412500000000003E-2</v>
      </c>
      <c r="F106">
        <f t="shared" si="14"/>
        <v>3.5340614249999999E-2</v>
      </c>
      <c r="G106">
        <f t="shared" si="15"/>
        <v>1940</v>
      </c>
      <c r="H106">
        <f t="shared" si="16"/>
        <v>1.2791657000000005E-2</v>
      </c>
      <c r="I106">
        <f t="shared" si="17"/>
        <v>2.1518728500000001E-2</v>
      </c>
      <c r="J106">
        <f t="shared" si="18"/>
        <v>5.6625000000000043E-3</v>
      </c>
      <c r="K106">
        <f t="shared" si="19"/>
        <v>1.3590614250000002E-2</v>
      </c>
      <c r="L106">
        <f t="shared" si="20"/>
        <v>0.9788467195279954</v>
      </c>
      <c r="M106">
        <v>1940</v>
      </c>
      <c r="N106">
        <v>-2.89167E-2</v>
      </c>
      <c r="O106">
        <f>+$N106+Offset</f>
        <v>6.7083299999999998E-2</v>
      </c>
      <c r="P106">
        <v>1940</v>
      </c>
      <c r="Q106">
        <v>2.1250000000000002E-2</v>
      </c>
      <c r="S106">
        <v>1940</v>
      </c>
      <c r="T106">
        <v>2.1749999999999999E-2</v>
      </c>
    </row>
    <row r="107" spans="1:20" x14ac:dyDescent="0.25">
      <c r="A107">
        <f t="shared" si="12"/>
        <v>1941</v>
      </c>
      <c r="B107">
        <f t="shared" si="11"/>
        <v>0.11278941300000001</v>
      </c>
      <c r="C107">
        <f t="shared" si="13"/>
        <v>2.2749999999999999E-2</v>
      </c>
      <c r="D107">
        <f>$O107*(Fraction*Ocean+Land)</f>
        <v>3.6227521499999998E-2</v>
      </c>
      <c r="E107">
        <f>+$Q107*(Ocean+Land/Fraction)</f>
        <v>0.17533293000000003</v>
      </c>
      <c r="F107">
        <f t="shared" si="14"/>
        <v>0.10578022575000001</v>
      </c>
      <c r="G107">
        <f t="shared" si="15"/>
        <v>1941</v>
      </c>
      <c r="H107">
        <f t="shared" si="16"/>
        <v>9.0039413000000013E-2</v>
      </c>
      <c r="I107">
        <f t="shared" si="17"/>
        <v>1.3477521499999999E-2</v>
      </c>
      <c r="J107">
        <f t="shared" si="18"/>
        <v>0.15258293000000003</v>
      </c>
      <c r="K107">
        <f t="shared" si="19"/>
        <v>8.303022575000002E-2</v>
      </c>
      <c r="L107">
        <f t="shared" si="20"/>
        <v>0.35095971169271772</v>
      </c>
      <c r="M107">
        <v>1941</v>
      </c>
      <c r="N107">
        <v>-3.9833300000000002E-2</v>
      </c>
      <c r="O107">
        <f>+$N107+Offset</f>
        <v>5.61667E-2</v>
      </c>
      <c r="P107">
        <v>1941</v>
      </c>
      <c r="Q107">
        <v>0.13591700000000001</v>
      </c>
      <c r="S107">
        <v>1941</v>
      </c>
      <c r="T107">
        <v>2.2749999999999999E-2</v>
      </c>
    </row>
    <row r="108" spans="1:20" x14ac:dyDescent="0.25">
      <c r="A108">
        <f t="shared" si="12"/>
        <v>1942</v>
      </c>
      <c r="B108">
        <f t="shared" si="11"/>
        <v>7.7474860000000031E-3</v>
      </c>
      <c r="C108">
        <f t="shared" si="13"/>
        <v>-2.09167E-2</v>
      </c>
      <c r="D108">
        <f>$O108*(Fraction*Ocean+Land)</f>
        <v>3.5260021500000002E-2</v>
      </c>
      <c r="E108">
        <f>+$Q108*(Ocean+Land/Fraction)</f>
        <v>-1.4727543000000001E-2</v>
      </c>
      <c r="F108">
        <f t="shared" si="14"/>
        <v>1.026623925E-2</v>
      </c>
      <c r="G108">
        <f t="shared" si="15"/>
        <v>1942</v>
      </c>
      <c r="H108">
        <f t="shared" si="16"/>
        <v>2.8664186000000001E-2</v>
      </c>
      <c r="I108">
        <f t="shared" si="17"/>
        <v>5.6176721499999999E-2</v>
      </c>
      <c r="J108">
        <f t="shared" si="18"/>
        <v>6.189156999999999E-3</v>
      </c>
      <c r="K108">
        <f t="shared" si="19"/>
        <v>3.118293925E-2</v>
      </c>
      <c r="L108">
        <f t="shared" si="20"/>
        <v>7.2131746025577161</v>
      </c>
      <c r="M108">
        <v>1942</v>
      </c>
      <c r="N108">
        <v>-4.1333300000000003E-2</v>
      </c>
      <c r="O108">
        <f>+$N108+Offset</f>
        <v>5.4666699999999999E-2</v>
      </c>
      <c r="P108">
        <v>1942</v>
      </c>
      <c r="Q108">
        <v>-1.14167E-2</v>
      </c>
      <c r="S108">
        <v>1942</v>
      </c>
      <c r="T108">
        <v>-2.09167E-2</v>
      </c>
    </row>
    <row r="109" spans="1:20" x14ac:dyDescent="0.25">
      <c r="A109">
        <f t="shared" si="12"/>
        <v>1943</v>
      </c>
      <c r="B109">
        <f t="shared" si="11"/>
        <v>1.6267500000000004E-2</v>
      </c>
      <c r="C109">
        <f t="shared" si="13"/>
        <v>-1.25E-3</v>
      </c>
      <c r="D109">
        <f>$O109*(Fraction*Ocean+Land)</f>
        <v>7.7238749999999995E-2</v>
      </c>
      <c r="E109">
        <f>+$Q109*(Ocean+Land/Fraction)</f>
        <v>-3.354E-2</v>
      </c>
      <c r="F109">
        <f t="shared" si="14"/>
        <v>2.1849374999999997E-2</v>
      </c>
      <c r="G109">
        <f t="shared" si="15"/>
        <v>1943</v>
      </c>
      <c r="H109">
        <f t="shared" si="16"/>
        <v>1.7517500000000005E-2</v>
      </c>
      <c r="I109">
        <f t="shared" si="17"/>
        <v>7.8488749999999996E-2</v>
      </c>
      <c r="J109">
        <f t="shared" si="18"/>
        <v>-3.2289999999999999E-2</v>
      </c>
      <c r="K109">
        <f t="shared" si="19"/>
        <v>2.3099374999999998E-2</v>
      </c>
      <c r="L109">
        <f t="shared" si="20"/>
        <v>3942.7096809999998</v>
      </c>
      <c r="M109">
        <v>1943</v>
      </c>
      <c r="N109">
        <v>2.375E-2</v>
      </c>
      <c r="O109">
        <f>+$N109+Offset</f>
        <v>0.11975</v>
      </c>
      <c r="P109">
        <v>1943</v>
      </c>
      <c r="Q109">
        <v>-2.5999999999999999E-2</v>
      </c>
      <c r="S109">
        <v>1943</v>
      </c>
      <c r="T109">
        <v>-1.25E-3</v>
      </c>
    </row>
    <row r="110" spans="1:20" x14ac:dyDescent="0.25">
      <c r="A110">
        <f t="shared" si="12"/>
        <v>1944</v>
      </c>
      <c r="B110">
        <f t="shared" si="11"/>
        <v>0.12967414299999999</v>
      </c>
      <c r="C110">
        <f t="shared" si="13"/>
        <v>0.15275</v>
      </c>
      <c r="D110">
        <f>$O110*(Fraction*Ocean+Land)</f>
        <v>0.13786875000000001</v>
      </c>
      <c r="E110">
        <f>+$Q110*(Ocean+Land/Fraction)</f>
        <v>0.122979957</v>
      </c>
      <c r="F110">
        <f t="shared" si="14"/>
        <v>0.13042435350000001</v>
      </c>
      <c r="G110">
        <f t="shared" si="15"/>
        <v>1944</v>
      </c>
      <c r="H110">
        <f t="shared" si="16"/>
        <v>-2.3075857000000005E-2</v>
      </c>
      <c r="I110">
        <f t="shared" si="17"/>
        <v>-1.4881249999999985E-2</v>
      </c>
      <c r="J110">
        <f t="shared" si="18"/>
        <v>-2.9770042999999996E-2</v>
      </c>
      <c r="K110">
        <f t="shared" si="19"/>
        <v>-2.232564649999999E-2</v>
      </c>
      <c r="L110">
        <f t="shared" si="20"/>
        <v>9.4910964692583415E-3</v>
      </c>
      <c r="M110">
        <v>1944</v>
      </c>
      <c r="N110">
        <v>0.11774999999999999</v>
      </c>
      <c r="O110">
        <f>+$N110+Offset</f>
        <v>0.21375</v>
      </c>
      <c r="P110">
        <v>1944</v>
      </c>
      <c r="Q110">
        <v>9.5333299999999996E-2</v>
      </c>
      <c r="S110">
        <v>1944</v>
      </c>
      <c r="T110">
        <v>0.15275</v>
      </c>
    </row>
    <row r="111" spans="1:20" x14ac:dyDescent="0.25">
      <c r="A111">
        <f t="shared" si="12"/>
        <v>1945</v>
      </c>
      <c r="B111">
        <f t="shared" si="11"/>
        <v>3.5729142999999998E-2</v>
      </c>
      <c r="C111">
        <f t="shared" si="13"/>
        <v>2.9916700000000001E-2</v>
      </c>
      <c r="D111">
        <f>$O111*(Fraction*Ocean+Land)</f>
        <v>-1.2255000000000002E-2</v>
      </c>
      <c r="E111">
        <f>+$Q111*(Ocean+Land/Fraction)</f>
        <v>7.4927457000000003E-2</v>
      </c>
      <c r="F111">
        <f t="shared" si="14"/>
        <v>3.13362285E-2</v>
      </c>
      <c r="G111">
        <f t="shared" si="15"/>
        <v>1945</v>
      </c>
      <c r="H111">
        <f t="shared" si="16"/>
        <v>5.812442999999997E-3</v>
      </c>
      <c r="I111">
        <f t="shared" si="17"/>
        <v>-4.2171700000000006E-2</v>
      </c>
      <c r="J111">
        <f t="shared" si="18"/>
        <v>4.5010756999999998E-2</v>
      </c>
      <c r="K111">
        <f t="shared" si="19"/>
        <v>1.419528499999996E-3</v>
      </c>
      <c r="L111">
        <f t="shared" si="20"/>
        <v>1.9870776744371479</v>
      </c>
      <c r="M111">
        <v>1945</v>
      </c>
      <c r="N111">
        <v>-0.115</v>
      </c>
      <c r="O111">
        <f>+$N111+Offset</f>
        <v>-1.9000000000000003E-2</v>
      </c>
      <c r="P111">
        <v>1945</v>
      </c>
      <c r="Q111">
        <v>5.8083299999999997E-2</v>
      </c>
      <c r="S111">
        <v>1945</v>
      </c>
      <c r="T111">
        <v>2.9916700000000001E-2</v>
      </c>
    </row>
    <row r="112" spans="1:20" x14ac:dyDescent="0.25">
      <c r="A112">
        <f t="shared" si="12"/>
        <v>1946</v>
      </c>
      <c r="B112">
        <f t="shared" ref="B112:B143" si="21">Land*($N112+Offset)+Ocean*$Q112</f>
        <v>-0.17782834299999997</v>
      </c>
      <c r="C112">
        <f t="shared" si="13"/>
        <v>-6.7500000000000004E-2</v>
      </c>
      <c r="D112">
        <f>$O112*(Fraction*Ocean+Land)</f>
        <v>1.9403728500000005E-2</v>
      </c>
      <c r="E112">
        <f>+$Q112*(Ocean+Land/Fraction)</f>
        <v>-0.33894750000000001</v>
      </c>
      <c r="F112">
        <f t="shared" si="14"/>
        <v>-0.15977188575000001</v>
      </c>
      <c r="G112">
        <f t="shared" si="15"/>
        <v>1946</v>
      </c>
      <c r="H112">
        <f t="shared" si="16"/>
        <v>-0.11032834299999997</v>
      </c>
      <c r="I112">
        <f t="shared" si="17"/>
        <v>8.6903728500000013E-2</v>
      </c>
      <c r="J112">
        <f t="shared" si="18"/>
        <v>-0.27144750000000001</v>
      </c>
      <c r="K112">
        <f t="shared" si="19"/>
        <v>-9.2271885750000004E-2</v>
      </c>
      <c r="L112">
        <f t="shared" si="20"/>
        <v>1.6575600608398824</v>
      </c>
      <c r="M112">
        <v>1946</v>
      </c>
      <c r="N112">
        <v>-6.5916699999999995E-2</v>
      </c>
      <c r="O112">
        <f>+$N112+Offset</f>
        <v>3.0083300000000007E-2</v>
      </c>
      <c r="P112">
        <v>1946</v>
      </c>
      <c r="Q112">
        <v>-0.26274999999999998</v>
      </c>
      <c r="S112">
        <v>1946</v>
      </c>
      <c r="T112">
        <v>-6.7500000000000004E-2</v>
      </c>
    </row>
    <row r="113" spans="1:20" x14ac:dyDescent="0.25">
      <c r="A113">
        <f t="shared" si="12"/>
        <v>1947</v>
      </c>
      <c r="B113">
        <f t="shared" si="21"/>
        <v>-0.18311273569999997</v>
      </c>
      <c r="C113">
        <f t="shared" si="13"/>
        <v>-4.1000000000000002E-2</v>
      </c>
      <c r="D113">
        <f>$O113*(Fraction*Ocean+Land)</f>
        <v>5.6867502150000006E-2</v>
      </c>
      <c r="E113">
        <f>+$Q113*(Ocean+Land/Fraction)</f>
        <v>-0.37915293</v>
      </c>
      <c r="F113">
        <f t="shared" si="14"/>
        <v>-0.16114271392499999</v>
      </c>
      <c r="G113">
        <f t="shared" si="15"/>
        <v>1947</v>
      </c>
      <c r="H113">
        <f t="shared" si="16"/>
        <v>-0.14211273569999996</v>
      </c>
      <c r="I113">
        <f t="shared" si="17"/>
        <v>9.7867502150000008E-2</v>
      </c>
      <c r="J113">
        <f t="shared" si="18"/>
        <v>-0.33815293000000002</v>
      </c>
      <c r="K113">
        <f t="shared" si="19"/>
        <v>-0.12014271392500001</v>
      </c>
      <c r="L113">
        <f t="shared" si="20"/>
        <v>5.6978274700061</v>
      </c>
      <c r="M113">
        <v>1947</v>
      </c>
      <c r="N113">
        <v>-7.8333299999999995E-3</v>
      </c>
      <c r="O113">
        <f>+$N113+Offset</f>
        <v>8.8166670000000003E-2</v>
      </c>
      <c r="P113">
        <v>1947</v>
      </c>
      <c r="Q113" s="2">
        <v>-0.29391699999999998</v>
      </c>
      <c r="S113">
        <v>1947</v>
      </c>
      <c r="T113">
        <v>-4.1000000000000002E-2</v>
      </c>
    </row>
    <row r="114" spans="1:20" x14ac:dyDescent="0.25">
      <c r="A114">
        <f t="shared" si="12"/>
        <v>1948</v>
      </c>
      <c r="B114">
        <f t="shared" si="21"/>
        <v>-0.18173856999999999</v>
      </c>
      <c r="C114">
        <f t="shared" si="13"/>
        <v>-3.7749999999999999E-2</v>
      </c>
      <c r="D114">
        <f>$O114*(Fraction*Ocean+Land)</f>
        <v>6.4661250000000003E-2</v>
      </c>
      <c r="E114">
        <f>+$Q114*(Ocean+Land/Fraction)</f>
        <v>-0.38302292999999998</v>
      </c>
      <c r="F114">
        <f t="shared" si="14"/>
        <v>-0.15918083999999999</v>
      </c>
      <c r="G114">
        <f t="shared" si="15"/>
        <v>1948</v>
      </c>
      <c r="H114">
        <f t="shared" si="16"/>
        <v>-0.14398856999999998</v>
      </c>
      <c r="I114">
        <f t="shared" si="17"/>
        <v>0.10241125000000001</v>
      </c>
      <c r="J114">
        <f t="shared" si="18"/>
        <v>-0.34527292999999998</v>
      </c>
      <c r="K114">
        <f t="shared" si="19"/>
        <v>-0.12143083999999998</v>
      </c>
      <c r="L114">
        <f t="shared" si="20"/>
        <v>7.3597222062628846</v>
      </c>
      <c r="M114">
        <v>1948</v>
      </c>
      <c r="N114">
        <v>4.2500000000000003E-3</v>
      </c>
      <c r="O114">
        <f>+$N114+Offset</f>
        <v>0.10025000000000001</v>
      </c>
      <c r="P114">
        <v>1948</v>
      </c>
      <c r="Q114" s="2">
        <v>-0.29691699999999999</v>
      </c>
      <c r="S114">
        <v>1948</v>
      </c>
      <c r="T114">
        <v>-3.7749999999999999E-2</v>
      </c>
    </row>
    <row r="115" spans="1:20" x14ac:dyDescent="0.25">
      <c r="A115">
        <f t="shared" si="12"/>
        <v>1949</v>
      </c>
      <c r="B115">
        <f t="shared" si="21"/>
        <v>-0.17490264</v>
      </c>
      <c r="C115">
        <f t="shared" si="13"/>
        <v>-7.5333300000000006E-2</v>
      </c>
      <c r="D115">
        <f>$O115*(Fraction*Ocean+Land)</f>
        <v>-6.9872849999999976E-3</v>
      </c>
      <c r="E115">
        <f>+$Q115*(Ocean+Land/Fraction)</f>
        <v>-0.31207293000000003</v>
      </c>
      <c r="F115">
        <f t="shared" si="14"/>
        <v>-0.15953010750000002</v>
      </c>
      <c r="G115">
        <f t="shared" si="15"/>
        <v>1949</v>
      </c>
      <c r="H115">
        <f t="shared" si="16"/>
        <v>-9.9569339999999992E-2</v>
      </c>
      <c r="I115">
        <f t="shared" si="17"/>
        <v>6.834601500000001E-2</v>
      </c>
      <c r="J115">
        <f t="shared" si="18"/>
        <v>-0.23673963000000003</v>
      </c>
      <c r="K115">
        <f t="shared" si="19"/>
        <v>-8.4196807500000012E-2</v>
      </c>
      <c r="L115">
        <f t="shared" si="20"/>
        <v>0.82309963782436824</v>
      </c>
      <c r="M115">
        <v>1949</v>
      </c>
      <c r="N115">
        <v>-0.106833</v>
      </c>
      <c r="O115">
        <f>+$N115+Offset</f>
        <v>-1.0832999999999995E-2</v>
      </c>
      <c r="P115">
        <v>1949</v>
      </c>
      <c r="Q115" s="2">
        <v>-0.24191699999999999</v>
      </c>
      <c r="S115">
        <v>1949</v>
      </c>
      <c r="T115">
        <v>-7.5333300000000006E-2</v>
      </c>
    </row>
    <row r="116" spans="1:20" x14ac:dyDescent="0.25">
      <c r="A116">
        <f t="shared" si="12"/>
        <v>1950</v>
      </c>
      <c r="B116">
        <f t="shared" si="21"/>
        <v>-0.25221450000000001</v>
      </c>
      <c r="C116">
        <f t="shared" si="13"/>
        <v>-0.17724999999999999</v>
      </c>
      <c r="D116">
        <f>$O116*(Fraction*Ocean+Land)</f>
        <v>-0.12959146499999999</v>
      </c>
      <c r="E116">
        <f>+$Q116*(Ocean+Land/Fraction)</f>
        <v>-0.35238543</v>
      </c>
      <c r="F116">
        <f t="shared" si="14"/>
        <v>-0.24098844749999998</v>
      </c>
      <c r="G116">
        <f t="shared" si="15"/>
        <v>1950</v>
      </c>
      <c r="H116">
        <f t="shared" si="16"/>
        <v>-7.4964500000000017E-2</v>
      </c>
      <c r="I116">
        <f t="shared" si="17"/>
        <v>4.7658535000000002E-2</v>
      </c>
      <c r="J116">
        <f t="shared" si="18"/>
        <v>-0.17513543000000001</v>
      </c>
      <c r="K116">
        <f t="shared" si="19"/>
        <v>-6.3738447500000003E-2</v>
      </c>
      <c r="L116">
        <f t="shared" si="20"/>
        <v>7.2295104317727552E-2</v>
      </c>
      <c r="M116">
        <v>1950</v>
      </c>
      <c r="N116">
        <v>-0.29691699999999999</v>
      </c>
      <c r="O116">
        <f>+$N116+Offset</f>
        <v>-0.20091699999999998</v>
      </c>
      <c r="P116">
        <v>1950</v>
      </c>
      <c r="Q116">
        <v>-0.27316699999999999</v>
      </c>
      <c r="S116">
        <v>1950</v>
      </c>
      <c r="T116">
        <v>-0.17724999999999999</v>
      </c>
    </row>
    <row r="117" spans="1:20" x14ac:dyDescent="0.25">
      <c r="A117">
        <f t="shared" si="12"/>
        <v>1951</v>
      </c>
      <c r="B117">
        <f t="shared" si="21"/>
        <v>-0.1251275</v>
      </c>
      <c r="C117">
        <f t="shared" si="13"/>
        <v>-5.0333299999999997E-2</v>
      </c>
      <c r="D117">
        <f>$O117*(Fraction*Ocean+Land)</f>
        <v>-2.7412500000000024E-3</v>
      </c>
      <c r="E117">
        <f>+$Q117*(Ocean+Land/Fraction)</f>
        <v>-0.225105</v>
      </c>
      <c r="F117">
        <f t="shared" si="14"/>
        <v>-0.113923125</v>
      </c>
      <c r="G117">
        <f t="shared" si="15"/>
        <v>1951</v>
      </c>
      <c r="H117">
        <f t="shared" si="16"/>
        <v>-7.4794200000000005E-2</v>
      </c>
      <c r="I117">
        <f t="shared" si="17"/>
        <v>4.7592049999999997E-2</v>
      </c>
      <c r="J117">
        <f t="shared" si="18"/>
        <v>-0.1747717</v>
      </c>
      <c r="K117">
        <f t="shared" si="19"/>
        <v>-6.3589825000000003E-2</v>
      </c>
      <c r="L117">
        <f t="shared" si="20"/>
        <v>0.89404219152176412</v>
      </c>
      <c r="M117">
        <v>1951</v>
      </c>
      <c r="N117">
        <v>-0.10025000000000001</v>
      </c>
      <c r="O117">
        <f>+$N117+Offset</f>
        <v>-4.2500000000000038E-3</v>
      </c>
      <c r="P117">
        <v>1951</v>
      </c>
      <c r="Q117">
        <v>-0.17449999999999999</v>
      </c>
      <c r="S117">
        <v>1951</v>
      </c>
      <c r="T117">
        <v>-5.0333299999999997E-2</v>
      </c>
    </row>
    <row r="118" spans="1:20" x14ac:dyDescent="0.25">
      <c r="A118">
        <f t="shared" si="12"/>
        <v>1952</v>
      </c>
      <c r="B118">
        <f t="shared" si="21"/>
        <v>-4.3929156999999996E-2</v>
      </c>
      <c r="C118">
        <f t="shared" si="13"/>
        <v>3.1916699999999999E-2</v>
      </c>
      <c r="D118">
        <f>$O118*(Fraction*Ocean+Land)</f>
        <v>1.9941271500000003E-2</v>
      </c>
      <c r="E118">
        <f>+$Q118*(Ocean+Land/Fraction)</f>
        <v>-9.6104999999999996E-2</v>
      </c>
      <c r="F118">
        <f t="shared" si="14"/>
        <v>-3.808186425E-2</v>
      </c>
      <c r="G118">
        <f t="shared" si="15"/>
        <v>1952</v>
      </c>
      <c r="H118">
        <f t="shared" si="16"/>
        <v>-7.5845856999999989E-2</v>
      </c>
      <c r="I118">
        <f t="shared" si="17"/>
        <v>-1.1975428499999996E-2</v>
      </c>
      <c r="J118">
        <f t="shared" si="18"/>
        <v>-0.12802169999999999</v>
      </c>
      <c r="K118">
        <f t="shared" si="19"/>
        <v>-6.9998564249999992E-2</v>
      </c>
      <c r="L118">
        <f t="shared" si="20"/>
        <v>0.14078168575495853</v>
      </c>
      <c r="M118">
        <v>1952</v>
      </c>
      <c r="N118">
        <v>-6.5083299999999997E-2</v>
      </c>
      <c r="O118">
        <f>+$N118+Offset</f>
        <v>3.0916700000000005E-2</v>
      </c>
      <c r="P118">
        <v>1952</v>
      </c>
      <c r="Q118">
        <v>-7.4499999999999997E-2</v>
      </c>
      <c r="S118">
        <v>1952</v>
      </c>
      <c r="T118">
        <v>3.1916699999999999E-2</v>
      </c>
    </row>
    <row r="119" spans="1:20" x14ac:dyDescent="0.25">
      <c r="A119">
        <f t="shared" si="12"/>
        <v>1953</v>
      </c>
      <c r="B119">
        <f t="shared" si="21"/>
        <v>7.2400730000000066E-3</v>
      </c>
      <c r="C119">
        <f t="shared" si="13"/>
        <v>9.95833E-2</v>
      </c>
      <c r="D119">
        <f>$O119*(Fraction*Ocean+Land)</f>
        <v>0.13717021500000001</v>
      </c>
      <c r="E119">
        <f>+$Q119*(Ocean+Land/Fraction)</f>
        <v>-9.8900043000000007E-2</v>
      </c>
      <c r="F119">
        <f t="shared" si="14"/>
        <v>1.9135086000000003E-2</v>
      </c>
      <c r="G119">
        <f t="shared" si="15"/>
        <v>1953</v>
      </c>
      <c r="H119">
        <f t="shared" si="16"/>
        <v>-9.2343227E-2</v>
      </c>
      <c r="I119">
        <f t="shared" si="17"/>
        <v>3.7586915000000012E-2</v>
      </c>
      <c r="J119">
        <f t="shared" si="18"/>
        <v>-0.19848334300000001</v>
      </c>
      <c r="K119">
        <f t="shared" si="19"/>
        <v>-8.044821399999999E-2</v>
      </c>
      <c r="L119">
        <f t="shared" si="20"/>
        <v>0.14246242607891113</v>
      </c>
      <c r="M119">
        <v>1953</v>
      </c>
      <c r="N119">
        <v>0.11666700000000001</v>
      </c>
      <c r="O119">
        <f>+$N119+Offset</f>
        <v>0.21266699999999999</v>
      </c>
      <c r="P119">
        <v>1953</v>
      </c>
      <c r="Q119">
        <v>-7.6666700000000004E-2</v>
      </c>
      <c r="S119">
        <v>1953</v>
      </c>
      <c r="T119">
        <v>9.95833E-2</v>
      </c>
    </row>
    <row r="120" spans="1:20" x14ac:dyDescent="0.25">
      <c r="A120">
        <f t="shared" si="12"/>
        <v>1954</v>
      </c>
      <c r="B120">
        <f t="shared" si="21"/>
        <v>-0.19986407</v>
      </c>
      <c r="C120">
        <f t="shared" si="13"/>
        <v>-0.13250000000000001</v>
      </c>
      <c r="D120">
        <f>$O120*(Fraction*Ocean+Land)</f>
        <v>-3.5528535E-2</v>
      </c>
      <c r="E120">
        <f>+$Q120*(Ocean+Land/Fraction)</f>
        <v>-0.33411000000000002</v>
      </c>
      <c r="F120">
        <f t="shared" si="14"/>
        <v>-0.1848192675</v>
      </c>
      <c r="G120">
        <f t="shared" si="15"/>
        <v>1954</v>
      </c>
      <c r="H120">
        <f t="shared" si="16"/>
        <v>-6.7364069999999998E-2</v>
      </c>
      <c r="I120">
        <f t="shared" si="17"/>
        <v>9.6971465000000007E-2</v>
      </c>
      <c r="J120">
        <f t="shared" si="18"/>
        <v>-0.20161000000000001</v>
      </c>
      <c r="K120">
        <f t="shared" si="19"/>
        <v>-5.2319267500000002E-2</v>
      </c>
      <c r="L120">
        <f t="shared" si="20"/>
        <v>0.53561922530416373</v>
      </c>
      <c r="M120">
        <v>1954</v>
      </c>
      <c r="N120">
        <v>-0.151083</v>
      </c>
      <c r="O120">
        <f>+$N120+Offset</f>
        <v>-5.5082999999999993E-2</v>
      </c>
      <c r="P120">
        <v>1954</v>
      </c>
      <c r="Q120">
        <v>-0.25900000000000001</v>
      </c>
      <c r="S120">
        <v>1954</v>
      </c>
      <c r="T120">
        <v>-0.13250000000000001</v>
      </c>
    </row>
    <row r="121" spans="1:20" x14ac:dyDescent="0.25">
      <c r="A121">
        <f t="shared" si="12"/>
        <v>1955</v>
      </c>
      <c r="B121">
        <f t="shared" si="21"/>
        <v>-0.24282392999999999</v>
      </c>
      <c r="C121">
        <f t="shared" si="13"/>
        <v>-0.18875</v>
      </c>
      <c r="D121">
        <f>$O121*(Fraction*Ocean+Land)</f>
        <v>-5.5147499999999995E-2</v>
      </c>
      <c r="E121">
        <f>+$Q121*(Ocean+Land/Fraction)</f>
        <v>-0.39613706999999998</v>
      </c>
      <c r="F121">
        <f t="shared" si="14"/>
        <v>-0.225642285</v>
      </c>
      <c r="G121">
        <f t="shared" si="15"/>
        <v>1955</v>
      </c>
      <c r="H121">
        <f t="shared" si="16"/>
        <v>-5.4073929999999992E-2</v>
      </c>
      <c r="I121">
        <f t="shared" si="17"/>
        <v>0.13360250000000001</v>
      </c>
      <c r="J121">
        <f t="shared" si="18"/>
        <v>-0.20738706999999998</v>
      </c>
      <c r="K121">
        <f t="shared" si="19"/>
        <v>-3.6892284999999983E-2</v>
      </c>
      <c r="L121">
        <f t="shared" si="20"/>
        <v>0.50102021507828609</v>
      </c>
      <c r="M121">
        <v>1955</v>
      </c>
      <c r="N121">
        <v>-0.18149999999999999</v>
      </c>
      <c r="O121">
        <f>+$N121+Offset</f>
        <v>-8.5499999999999993E-2</v>
      </c>
      <c r="P121">
        <v>1955</v>
      </c>
      <c r="Q121">
        <v>-0.30708299999999999</v>
      </c>
      <c r="S121">
        <v>1955</v>
      </c>
      <c r="T121">
        <v>-0.18875</v>
      </c>
    </row>
    <row r="122" spans="1:20" x14ac:dyDescent="0.25">
      <c r="A122">
        <f t="shared" si="12"/>
        <v>1956</v>
      </c>
      <c r="B122">
        <f t="shared" si="21"/>
        <v>-0.28567764000000001</v>
      </c>
      <c r="C122">
        <f t="shared" si="13"/>
        <v>-0.26324999999999998</v>
      </c>
      <c r="D122">
        <f>$O122*(Fraction*Ocean+Land)</f>
        <v>-0.20322853500000002</v>
      </c>
      <c r="E122">
        <f>+$Q122*(Ocean+Land/Fraction)</f>
        <v>-0.35303043000000001</v>
      </c>
      <c r="F122">
        <f t="shared" si="14"/>
        <v>-0.27812948250000002</v>
      </c>
      <c r="G122">
        <f t="shared" si="15"/>
        <v>1956</v>
      </c>
      <c r="H122">
        <f t="shared" si="16"/>
        <v>-2.2427640000000026E-2</v>
      </c>
      <c r="I122">
        <f t="shared" si="17"/>
        <v>6.0021464999999968E-2</v>
      </c>
      <c r="J122">
        <f t="shared" si="18"/>
        <v>-8.9780430000000022E-2</v>
      </c>
      <c r="K122">
        <f t="shared" si="19"/>
        <v>-1.4879482500000027E-2</v>
      </c>
      <c r="L122">
        <f t="shared" si="20"/>
        <v>5.1984805473205525E-2</v>
      </c>
      <c r="M122">
        <v>1956</v>
      </c>
      <c r="N122">
        <v>-0.41108299999999998</v>
      </c>
      <c r="O122">
        <f>+$N122+Offset</f>
        <v>-0.315083</v>
      </c>
      <c r="P122">
        <v>1956</v>
      </c>
      <c r="Q122">
        <v>-0.27366699999999999</v>
      </c>
      <c r="S122">
        <v>1956</v>
      </c>
      <c r="T122">
        <v>-0.26324999999999998</v>
      </c>
    </row>
    <row r="123" spans="1:20" x14ac:dyDescent="0.25">
      <c r="A123">
        <f t="shared" si="12"/>
        <v>1957</v>
      </c>
      <c r="B123">
        <f t="shared" si="21"/>
        <v>-3.0612513999999993E-2</v>
      </c>
      <c r="C123">
        <f t="shared" si="13"/>
        <v>-3.7499999999999999E-3</v>
      </c>
      <c r="D123">
        <f>$O123*(Fraction*Ocean+Land)</f>
        <v>1.7845021500000002E-2</v>
      </c>
      <c r="E123">
        <f>+$Q123*(Ocean+Land/Fraction)</f>
        <v>-7.0197543000000001E-2</v>
      </c>
      <c r="F123">
        <f t="shared" si="14"/>
        <v>-2.6176260749999999E-2</v>
      </c>
      <c r="G123">
        <f t="shared" si="15"/>
        <v>1957</v>
      </c>
      <c r="H123">
        <f t="shared" si="16"/>
        <v>-2.6862513999999994E-2</v>
      </c>
      <c r="I123">
        <f t="shared" si="17"/>
        <v>2.1595021500000002E-2</v>
      </c>
      <c r="J123">
        <f t="shared" si="18"/>
        <v>-6.6447542999999998E-2</v>
      </c>
      <c r="K123">
        <f t="shared" si="19"/>
        <v>-2.2426260749999996E-2</v>
      </c>
      <c r="L123">
        <f t="shared" si="20"/>
        <v>33.162307810521767</v>
      </c>
      <c r="M123">
        <v>1957</v>
      </c>
      <c r="N123">
        <v>-6.83333E-2</v>
      </c>
      <c r="O123">
        <f>+$N123+Offset</f>
        <v>2.7666700000000002E-2</v>
      </c>
      <c r="P123">
        <v>1957</v>
      </c>
      <c r="Q123">
        <v>-5.4416699999999998E-2</v>
      </c>
      <c r="S123">
        <v>1957</v>
      </c>
      <c r="T123">
        <v>-3.7499999999999999E-3</v>
      </c>
    </row>
    <row r="124" spans="1:20" x14ac:dyDescent="0.25">
      <c r="A124">
        <f t="shared" si="12"/>
        <v>1958</v>
      </c>
      <c r="B124">
        <f t="shared" si="21"/>
        <v>2.2999986000000007E-2</v>
      </c>
      <c r="C124">
        <f t="shared" si="13"/>
        <v>4.7833300000000002E-2</v>
      </c>
      <c r="D124">
        <f>$O124*(Fraction*Ocean+Land)</f>
        <v>8.73437715E-2</v>
      </c>
      <c r="E124">
        <f>+$Q124*(Ocean+Land/Fraction)</f>
        <v>-2.9562543000000004E-2</v>
      </c>
      <c r="F124">
        <f t="shared" si="14"/>
        <v>2.8890614249999998E-2</v>
      </c>
      <c r="G124">
        <f t="shared" si="15"/>
        <v>1958</v>
      </c>
      <c r="H124">
        <f t="shared" si="16"/>
        <v>-2.4833313999999995E-2</v>
      </c>
      <c r="I124">
        <f t="shared" si="17"/>
        <v>3.9510471499999998E-2</v>
      </c>
      <c r="J124">
        <f t="shared" si="18"/>
        <v>-7.7395843000000006E-2</v>
      </c>
      <c r="K124">
        <f t="shared" si="19"/>
        <v>-1.8942685750000004E-2</v>
      </c>
      <c r="L124">
        <f t="shared" si="20"/>
        <v>0.6822817227281831</v>
      </c>
      <c r="M124">
        <v>1958</v>
      </c>
      <c r="N124">
        <v>3.9416699999999999E-2</v>
      </c>
      <c r="O124">
        <f>+$N124+Offset</f>
        <v>0.1354167</v>
      </c>
      <c r="P124">
        <v>1958</v>
      </c>
      <c r="Q124">
        <v>-2.2916700000000002E-2</v>
      </c>
      <c r="S124">
        <v>1958</v>
      </c>
      <c r="T124">
        <v>4.7833300000000002E-2</v>
      </c>
    </row>
    <row r="125" spans="1:20" x14ac:dyDescent="0.25">
      <c r="A125">
        <f t="shared" si="12"/>
        <v>1959</v>
      </c>
      <c r="B125">
        <f t="shared" si="21"/>
        <v>-1.8392486E-2</v>
      </c>
      <c r="C125">
        <f t="shared" si="13"/>
        <v>1.6333299999999999E-2</v>
      </c>
      <c r="D125">
        <f>$O125*(Fraction*Ocean+Land)</f>
        <v>7.21324785E-2</v>
      </c>
      <c r="E125">
        <f>+$Q125*(Ocean+Land/Fraction)</f>
        <v>-9.2342457000000003E-2</v>
      </c>
      <c r="F125">
        <f t="shared" si="14"/>
        <v>-1.0104989250000002E-2</v>
      </c>
      <c r="G125">
        <f t="shared" si="15"/>
        <v>1959</v>
      </c>
      <c r="H125">
        <f t="shared" si="16"/>
        <v>-3.4725785999999995E-2</v>
      </c>
      <c r="I125">
        <f t="shared" si="17"/>
        <v>5.5799178500000005E-2</v>
      </c>
      <c r="J125">
        <f t="shared" si="18"/>
        <v>-0.108675757</v>
      </c>
      <c r="K125">
        <f t="shared" si="19"/>
        <v>-2.6438289249999997E-2</v>
      </c>
      <c r="L125">
        <f t="shared" si="20"/>
        <v>11.670990948383322</v>
      </c>
      <c r="M125">
        <v>1959</v>
      </c>
      <c r="N125">
        <v>1.5833300000000002E-2</v>
      </c>
      <c r="O125">
        <f>+$N125+Offset</f>
        <v>0.1118333</v>
      </c>
      <c r="P125">
        <v>1959</v>
      </c>
      <c r="Q125">
        <v>-7.1583300000000002E-2</v>
      </c>
      <c r="S125">
        <v>1959</v>
      </c>
      <c r="T125">
        <v>1.6333299999999999E-2</v>
      </c>
    </row>
    <row r="126" spans="1:20" x14ac:dyDescent="0.25">
      <c r="A126">
        <f t="shared" si="12"/>
        <v>1960</v>
      </c>
      <c r="B126">
        <f t="shared" si="21"/>
        <v>-6.833249999999999E-2</v>
      </c>
      <c r="C126">
        <f t="shared" si="13"/>
        <v>-5.1916700000000003E-2</v>
      </c>
      <c r="D126">
        <f>$O126*(Fraction*Ocean+Land)</f>
        <v>1.5802500000000004E-2</v>
      </c>
      <c r="E126">
        <f>+$Q126*(Ocean+Land/Fraction)</f>
        <v>-0.1370625</v>
      </c>
      <c r="F126">
        <f t="shared" si="14"/>
        <v>-6.0630000000000003E-2</v>
      </c>
      <c r="G126">
        <f t="shared" si="15"/>
        <v>1960</v>
      </c>
      <c r="H126">
        <f t="shared" si="16"/>
        <v>-1.6415799999999987E-2</v>
      </c>
      <c r="I126">
        <f t="shared" si="17"/>
        <v>6.7719200000000007E-2</v>
      </c>
      <c r="J126">
        <f t="shared" si="18"/>
        <v>-8.5145799999999994E-2</v>
      </c>
      <c r="K126">
        <f t="shared" si="19"/>
        <v>-8.7132999999999933E-3</v>
      </c>
      <c r="L126">
        <f t="shared" si="20"/>
        <v>1.7014119507178582</v>
      </c>
      <c r="M126">
        <v>1960</v>
      </c>
      <c r="N126">
        <v>-7.1499999999999994E-2</v>
      </c>
      <c r="O126">
        <f>+$N126+Offset</f>
        <v>2.4500000000000008E-2</v>
      </c>
      <c r="P126">
        <v>1960</v>
      </c>
      <c r="Q126">
        <v>-0.10625</v>
      </c>
      <c r="S126">
        <v>1960</v>
      </c>
      <c r="T126">
        <v>-5.1916700000000003E-2</v>
      </c>
    </row>
    <row r="127" spans="1:20" x14ac:dyDescent="0.25">
      <c r="A127">
        <f t="shared" si="12"/>
        <v>1961</v>
      </c>
      <c r="B127">
        <f t="shared" si="21"/>
        <v>1.5432514000000008E-2</v>
      </c>
      <c r="C127">
        <f t="shared" si="13"/>
        <v>4.0500000000000001E-2</v>
      </c>
      <c r="D127">
        <f>$O127*(Fraction*Ocean+Land)</f>
        <v>9.0514978499999996E-2</v>
      </c>
      <c r="E127">
        <f>+$Q127*(Ocean+Land/Fraction)</f>
        <v>-4.5902457000000001E-2</v>
      </c>
      <c r="F127">
        <f t="shared" si="14"/>
        <v>2.2306260749999998E-2</v>
      </c>
      <c r="G127">
        <f t="shared" si="15"/>
        <v>1961</v>
      </c>
      <c r="H127">
        <f t="shared" si="16"/>
        <v>-2.5067485999999993E-2</v>
      </c>
      <c r="I127">
        <f t="shared" si="17"/>
        <v>5.0014978499999994E-2</v>
      </c>
      <c r="J127">
        <f t="shared" si="18"/>
        <v>-8.6402457000000002E-2</v>
      </c>
      <c r="K127">
        <f t="shared" si="19"/>
        <v>-1.8193739250000004E-2</v>
      </c>
      <c r="L127">
        <f t="shared" si="20"/>
        <v>1.5250712235058443</v>
      </c>
      <c r="M127">
        <v>1961</v>
      </c>
      <c r="N127">
        <v>4.4333299999999999E-2</v>
      </c>
      <c r="O127">
        <f>+$N127+Offset</f>
        <v>0.14033329999999999</v>
      </c>
      <c r="P127">
        <v>1961</v>
      </c>
      <c r="Q127">
        <v>-3.5583299999999998E-2</v>
      </c>
      <c r="S127">
        <v>1961</v>
      </c>
      <c r="T127">
        <v>4.0500000000000001E-2</v>
      </c>
    </row>
    <row r="128" spans="1:20" x14ac:dyDescent="0.25">
      <c r="A128">
        <f t="shared" si="12"/>
        <v>1962</v>
      </c>
      <c r="B128">
        <f t="shared" si="21"/>
        <v>1.8208570000000091E-3</v>
      </c>
      <c r="C128">
        <f t="shared" si="13"/>
        <v>1.9166699999999998E-2</v>
      </c>
      <c r="D128">
        <f>$O128*(Fraction*Ocean+Land)</f>
        <v>7.9979999999999996E-2</v>
      </c>
      <c r="E128">
        <f>+$Q128*(Ocean+Land/Fraction)</f>
        <v>-6.2027457000000008E-2</v>
      </c>
      <c r="F128">
        <f t="shared" si="14"/>
        <v>8.9762714999999937E-3</v>
      </c>
      <c r="G128">
        <f t="shared" si="15"/>
        <v>1962</v>
      </c>
      <c r="H128">
        <f t="shared" si="16"/>
        <v>-1.7345842999999989E-2</v>
      </c>
      <c r="I128">
        <f t="shared" si="17"/>
        <v>6.0813300000000001E-2</v>
      </c>
      <c r="J128">
        <f t="shared" si="18"/>
        <v>-8.1194157000000003E-2</v>
      </c>
      <c r="K128">
        <f t="shared" si="19"/>
        <v>-1.0190428500000001E-2</v>
      </c>
      <c r="L128">
        <f t="shared" si="20"/>
        <v>10.06705522594306</v>
      </c>
      <c r="M128">
        <v>1962</v>
      </c>
      <c r="N128">
        <v>2.8000000000000001E-2</v>
      </c>
      <c r="O128">
        <f>+$N128+Offset</f>
        <v>0.124</v>
      </c>
      <c r="P128">
        <v>1962</v>
      </c>
      <c r="Q128">
        <v>-4.8083300000000002E-2</v>
      </c>
      <c r="S128">
        <v>1962</v>
      </c>
      <c r="T128">
        <v>1.9166699999999998E-2</v>
      </c>
    </row>
    <row r="129" spans="1:20" x14ac:dyDescent="0.25">
      <c r="A129">
        <f t="shared" si="12"/>
        <v>1963</v>
      </c>
      <c r="B129">
        <f t="shared" si="21"/>
        <v>1.3021643000000006E-2</v>
      </c>
      <c r="C129">
        <f t="shared" si="13"/>
        <v>5.0583299999999998E-2</v>
      </c>
      <c r="D129">
        <f>$O129*(Fraction*Ocean+Land)</f>
        <v>7.3046250000000007E-2</v>
      </c>
      <c r="E129">
        <f>+$Q129*(Ocean+Land/Fraction)</f>
        <v>-3.6012543000000001E-2</v>
      </c>
      <c r="F129">
        <f t="shared" si="14"/>
        <v>1.8516853500000003E-2</v>
      </c>
      <c r="G129">
        <f t="shared" si="15"/>
        <v>1963</v>
      </c>
      <c r="H129">
        <f t="shared" si="16"/>
        <v>-3.7561656999999991E-2</v>
      </c>
      <c r="I129">
        <f t="shared" si="17"/>
        <v>2.2462950000000009E-2</v>
      </c>
      <c r="J129">
        <f t="shared" si="18"/>
        <v>-8.6595843000000006E-2</v>
      </c>
      <c r="K129">
        <f t="shared" si="19"/>
        <v>-3.2066446499999998E-2</v>
      </c>
      <c r="L129">
        <f t="shared" si="20"/>
        <v>0.19720560900469872</v>
      </c>
      <c r="M129">
        <v>1963</v>
      </c>
      <c r="N129">
        <v>1.7250000000000001E-2</v>
      </c>
      <c r="O129">
        <f>+$N129+Offset</f>
        <v>0.11325</v>
      </c>
      <c r="P129">
        <v>1963</v>
      </c>
      <c r="Q129">
        <v>-2.7916699999999999E-2</v>
      </c>
      <c r="S129">
        <v>1963</v>
      </c>
      <c r="T129">
        <v>5.0583299999999998E-2</v>
      </c>
    </row>
    <row r="130" spans="1:20" x14ac:dyDescent="0.25">
      <c r="A130">
        <f t="shared" si="12"/>
        <v>1964</v>
      </c>
      <c r="B130">
        <f t="shared" si="21"/>
        <v>-0.24130550000000001</v>
      </c>
      <c r="C130">
        <f t="shared" si="13"/>
        <v>-0.223833</v>
      </c>
      <c r="D130">
        <f>$O130*(Fraction*Ocean+Land)</f>
        <v>-0.12598978500000002</v>
      </c>
      <c r="E130">
        <f>+$Q130*(Ocean+Land/Fraction)</f>
        <v>-0.33550707000000002</v>
      </c>
      <c r="F130">
        <f t="shared" si="14"/>
        <v>-0.23074842750000002</v>
      </c>
      <c r="G130">
        <f t="shared" si="15"/>
        <v>1964</v>
      </c>
      <c r="H130">
        <f t="shared" si="16"/>
        <v>-1.7472500000000002E-2</v>
      </c>
      <c r="I130">
        <f t="shared" si="17"/>
        <v>9.7843214999999983E-2</v>
      </c>
      <c r="J130">
        <f t="shared" si="18"/>
        <v>-0.11167407000000001</v>
      </c>
      <c r="K130">
        <f t="shared" si="19"/>
        <v>-6.9154275000000154E-3</v>
      </c>
      <c r="L130">
        <f t="shared" si="20"/>
        <v>0.19107910488764229</v>
      </c>
      <c r="M130">
        <v>1964</v>
      </c>
      <c r="N130">
        <v>-0.29133300000000001</v>
      </c>
      <c r="O130">
        <f>+$N130+Offset</f>
        <v>-0.19533300000000001</v>
      </c>
      <c r="P130">
        <v>1964</v>
      </c>
      <c r="Q130">
        <v>-0.26008300000000001</v>
      </c>
      <c r="S130">
        <v>1964</v>
      </c>
      <c r="T130">
        <v>-0.223833</v>
      </c>
    </row>
    <row r="131" spans="1:20" x14ac:dyDescent="0.25">
      <c r="A131">
        <f t="shared" si="12"/>
        <v>1965</v>
      </c>
      <c r="B131">
        <f t="shared" si="21"/>
        <v>-0.19226700000000002</v>
      </c>
      <c r="C131">
        <f t="shared" si="13"/>
        <v>-0.14133299999999999</v>
      </c>
      <c r="D131">
        <f>$O131*(Fraction*Ocean+Land)</f>
        <v>-8.5086465E-2</v>
      </c>
      <c r="E131">
        <f>+$Q131*(Ocean+Land/Fraction)</f>
        <v>-0.27982293000000003</v>
      </c>
      <c r="F131">
        <f t="shared" si="14"/>
        <v>-0.18245469750000001</v>
      </c>
      <c r="G131">
        <f t="shared" si="15"/>
        <v>1965</v>
      </c>
      <c r="H131">
        <f t="shared" si="16"/>
        <v>-5.0934000000000035E-2</v>
      </c>
      <c r="I131">
        <f t="shared" si="17"/>
        <v>5.6246534999999986E-2</v>
      </c>
      <c r="J131">
        <f t="shared" si="18"/>
        <v>-0.13848993000000004</v>
      </c>
      <c r="K131">
        <f t="shared" si="19"/>
        <v>-4.1121697500000026E-2</v>
      </c>
      <c r="L131">
        <f t="shared" si="20"/>
        <v>0.15838147807766911</v>
      </c>
      <c r="M131">
        <v>1965</v>
      </c>
      <c r="N131">
        <v>-0.22791700000000001</v>
      </c>
      <c r="O131">
        <f>+$N131+Offset</f>
        <v>-0.13191700000000001</v>
      </c>
      <c r="P131">
        <v>1965</v>
      </c>
      <c r="Q131">
        <v>-0.216917</v>
      </c>
      <c r="S131">
        <v>1965</v>
      </c>
      <c r="T131">
        <v>-0.14133299999999999</v>
      </c>
    </row>
    <row r="132" spans="1:20" x14ac:dyDescent="0.25">
      <c r="A132">
        <f t="shared" si="12"/>
        <v>1966</v>
      </c>
      <c r="B132">
        <f t="shared" si="21"/>
        <v>-0.10185485999999999</v>
      </c>
      <c r="C132">
        <f t="shared" si="13"/>
        <v>-7.0499999999999993E-2</v>
      </c>
      <c r="D132">
        <f>$O132*(Fraction*Ocean+Land)</f>
        <v>-3.4937714999999994E-2</v>
      </c>
      <c r="E132">
        <f>+$Q132*(Ocean+Land/Fraction)</f>
        <v>-0.15651957</v>
      </c>
      <c r="F132">
        <f t="shared" si="14"/>
        <v>-9.5728642499999989E-2</v>
      </c>
      <c r="G132">
        <f t="shared" si="15"/>
        <v>1966</v>
      </c>
      <c r="H132">
        <f t="shared" si="16"/>
        <v>-3.1354859999999998E-2</v>
      </c>
      <c r="I132">
        <f t="shared" si="17"/>
        <v>3.5562284999999999E-2</v>
      </c>
      <c r="J132">
        <f t="shared" si="18"/>
        <v>-8.6019570000000004E-2</v>
      </c>
      <c r="K132">
        <f t="shared" si="19"/>
        <v>-2.5228642500000002E-2</v>
      </c>
      <c r="L132">
        <f t="shared" si="20"/>
        <v>0.25444919559805346</v>
      </c>
      <c r="M132">
        <v>1966</v>
      </c>
      <c r="N132">
        <v>-0.15016699999999999</v>
      </c>
      <c r="O132">
        <f>+$N132+Offset</f>
        <v>-5.4166999999999993E-2</v>
      </c>
      <c r="P132">
        <v>1966</v>
      </c>
      <c r="Q132">
        <v>-0.121333</v>
      </c>
      <c r="S132">
        <v>1966</v>
      </c>
      <c r="T132">
        <v>-7.0499999999999993E-2</v>
      </c>
    </row>
    <row r="133" spans="1:20" x14ac:dyDescent="0.25">
      <c r="A133">
        <f t="shared" si="12"/>
        <v>1967</v>
      </c>
      <c r="B133">
        <f t="shared" si="21"/>
        <v>-0.108833087</v>
      </c>
      <c r="C133">
        <f t="shared" si="13"/>
        <v>-7.5416700000000003E-2</v>
      </c>
      <c r="D133">
        <f>$O133*(Fraction*Ocean+Land)</f>
        <v>-1.5049784999999977E-3</v>
      </c>
      <c r="E133">
        <f>+$Q133*(Ocean+Land/Fraction)</f>
        <v>-0.19650956999999999</v>
      </c>
      <c r="F133">
        <f t="shared" si="14"/>
        <v>-9.9007274249999999E-2</v>
      </c>
      <c r="G133">
        <f t="shared" si="15"/>
        <v>1967</v>
      </c>
      <c r="H133">
        <f t="shared" si="16"/>
        <v>-3.3416386999999992E-2</v>
      </c>
      <c r="I133">
        <f t="shared" si="17"/>
        <v>7.3911721499999999E-2</v>
      </c>
      <c r="J133">
        <f t="shared" si="18"/>
        <v>-0.12109286999999999</v>
      </c>
      <c r="K133">
        <f t="shared" si="19"/>
        <v>-2.3590574249999996E-2</v>
      </c>
      <c r="L133">
        <f t="shared" si="20"/>
        <v>0.96048720786371689</v>
      </c>
      <c r="M133">
        <v>1967</v>
      </c>
      <c r="N133">
        <v>-9.8333299999999998E-2</v>
      </c>
      <c r="O133">
        <f>+$N133+Offset</f>
        <v>-2.3332999999999965E-3</v>
      </c>
      <c r="P133">
        <v>1967</v>
      </c>
      <c r="Q133">
        <v>-0.152333</v>
      </c>
      <c r="S133">
        <v>1967</v>
      </c>
      <c r="T133">
        <v>-7.5416700000000003E-2</v>
      </c>
    </row>
    <row r="134" spans="1:20" x14ac:dyDescent="0.25">
      <c r="A134">
        <f t="shared" si="12"/>
        <v>1968</v>
      </c>
      <c r="B134">
        <f t="shared" si="21"/>
        <v>-0.12169236</v>
      </c>
      <c r="C134">
        <f t="shared" si="13"/>
        <v>-0.110833</v>
      </c>
      <c r="D134">
        <f>$O134*(Fraction*Ocean+Land)</f>
        <v>-7.2347714999999993E-2</v>
      </c>
      <c r="E134">
        <f>+$Q134*(Ocean+Land/Fraction)</f>
        <v>-0.16200207</v>
      </c>
      <c r="F134">
        <f t="shared" si="14"/>
        <v>-0.11717489249999999</v>
      </c>
      <c r="G134">
        <f t="shared" si="15"/>
        <v>1968</v>
      </c>
      <c r="H134">
        <f t="shared" si="16"/>
        <v>-1.0859359999999998E-2</v>
      </c>
      <c r="I134">
        <f t="shared" si="17"/>
        <v>3.8485285000000008E-2</v>
      </c>
      <c r="J134">
        <f t="shared" si="18"/>
        <v>-5.1169069999999997E-2</v>
      </c>
      <c r="K134">
        <f t="shared" si="19"/>
        <v>-6.3418924999999945E-3</v>
      </c>
      <c r="L134">
        <f t="shared" si="20"/>
        <v>0.12057332475478696</v>
      </c>
      <c r="M134">
        <v>1968</v>
      </c>
      <c r="N134">
        <v>-0.20816699999999999</v>
      </c>
      <c r="O134">
        <f>+$N134+Offset</f>
        <v>-0.11216699999999999</v>
      </c>
      <c r="P134">
        <v>1968</v>
      </c>
      <c r="Q134">
        <v>-0.125583</v>
      </c>
      <c r="S134">
        <v>1968</v>
      </c>
      <c r="T134">
        <v>-0.110833</v>
      </c>
    </row>
    <row r="135" spans="1:20" x14ac:dyDescent="0.25">
      <c r="A135">
        <f t="shared" si="12"/>
        <v>1969</v>
      </c>
      <c r="B135">
        <f t="shared" si="21"/>
        <v>2.6620929999999991E-2</v>
      </c>
      <c r="C135">
        <f t="shared" si="13"/>
        <v>2.8500000000000001E-2</v>
      </c>
      <c r="D135">
        <f>$O135*(Fraction*Ocean+Land)</f>
        <v>-2.8433535000000006E-2</v>
      </c>
      <c r="E135">
        <f>+$Q135*(Ocean+Land/Fraction)</f>
        <v>7.1595000000000006E-2</v>
      </c>
      <c r="F135">
        <f t="shared" si="14"/>
        <v>2.1580732499999998E-2</v>
      </c>
      <c r="G135">
        <f t="shared" si="15"/>
        <v>1969</v>
      </c>
      <c r="H135">
        <f t="shared" si="16"/>
        <v>-1.8790700000000105E-3</v>
      </c>
      <c r="I135">
        <f t="shared" si="17"/>
        <v>-5.6933535000000007E-2</v>
      </c>
      <c r="J135">
        <f t="shared" si="18"/>
        <v>4.3095000000000008E-2</v>
      </c>
      <c r="K135">
        <f t="shared" si="19"/>
        <v>-6.9192674999999995E-3</v>
      </c>
      <c r="L135">
        <f t="shared" si="20"/>
        <v>3.9906770176623274</v>
      </c>
      <c r="M135">
        <v>1969</v>
      </c>
      <c r="N135">
        <v>-0.14008300000000001</v>
      </c>
      <c r="O135">
        <f>+$N135+Offset</f>
        <v>-4.4083000000000011E-2</v>
      </c>
      <c r="P135">
        <v>1969</v>
      </c>
      <c r="Q135">
        <v>5.5500000000000001E-2</v>
      </c>
      <c r="S135">
        <v>1969</v>
      </c>
      <c r="T135">
        <v>2.8500000000000001E-2</v>
      </c>
    </row>
    <row r="136" spans="1:20" x14ac:dyDescent="0.25">
      <c r="A136">
        <f t="shared" si="12"/>
        <v>1970</v>
      </c>
      <c r="B136">
        <f t="shared" si="21"/>
        <v>-3.9295013999999989E-2</v>
      </c>
      <c r="C136">
        <f t="shared" si="13"/>
        <v>-2.7833299999999998E-2</v>
      </c>
      <c r="D136">
        <f>$O136*(Fraction*Ocean+Land)</f>
        <v>1.9457521500000005E-2</v>
      </c>
      <c r="E136">
        <f>+$Q136*(Ocean+Land/Fraction)</f>
        <v>-8.7290042999999998E-2</v>
      </c>
      <c r="F136">
        <f t="shared" si="14"/>
        <v>-3.3916260749999996E-2</v>
      </c>
      <c r="G136">
        <f t="shared" si="15"/>
        <v>1970</v>
      </c>
      <c r="H136">
        <f t="shared" si="16"/>
        <v>-1.1461713999999991E-2</v>
      </c>
      <c r="I136">
        <f t="shared" si="17"/>
        <v>4.7290821500000003E-2</v>
      </c>
      <c r="J136">
        <f t="shared" si="18"/>
        <v>-5.9456742999999999E-2</v>
      </c>
      <c r="K136">
        <f t="shared" si="19"/>
        <v>-6.082960749999998E-3</v>
      </c>
      <c r="L136">
        <f t="shared" si="20"/>
        <v>2.8868506427165741</v>
      </c>
      <c r="M136">
        <v>1970</v>
      </c>
      <c r="N136">
        <v>-6.5833299999999997E-2</v>
      </c>
      <c r="O136">
        <f>+$N136+Offset</f>
        <v>3.0166700000000005E-2</v>
      </c>
      <c r="P136">
        <v>1970</v>
      </c>
      <c r="Q136">
        <v>-6.7666699999999996E-2</v>
      </c>
      <c r="S136">
        <v>1970</v>
      </c>
      <c r="T136">
        <v>-2.7833299999999998E-2</v>
      </c>
    </row>
    <row r="137" spans="1:20" x14ac:dyDescent="0.25">
      <c r="A137">
        <f t="shared" si="12"/>
        <v>1971</v>
      </c>
      <c r="B137">
        <f t="shared" si="21"/>
        <v>-0.17147235999999999</v>
      </c>
      <c r="C137">
        <f t="shared" si="13"/>
        <v>-0.184417</v>
      </c>
      <c r="D137">
        <f>$O137*(Fraction*Ocean+Land)</f>
        <v>-6.1866465000000002E-2</v>
      </c>
      <c r="E137">
        <f>+$Q137*(Ocean+Land/Fraction)</f>
        <v>-0.26100957000000002</v>
      </c>
      <c r="F137">
        <f t="shared" si="14"/>
        <v>-0.1614380175</v>
      </c>
      <c r="G137">
        <f t="shared" si="15"/>
        <v>1971</v>
      </c>
      <c r="H137">
        <f t="shared" si="16"/>
        <v>1.2944640000000007E-2</v>
      </c>
      <c r="I137">
        <f t="shared" si="17"/>
        <v>0.12255053499999999</v>
      </c>
      <c r="J137">
        <f t="shared" si="18"/>
        <v>-7.6592570000000026E-2</v>
      </c>
      <c r="K137">
        <f t="shared" si="19"/>
        <v>2.2978982499999981E-2</v>
      </c>
      <c r="L137">
        <f t="shared" si="20"/>
        <v>0.44159944338717477</v>
      </c>
      <c r="M137">
        <v>1971</v>
      </c>
      <c r="N137">
        <v>-0.191917</v>
      </c>
      <c r="O137">
        <f>+$N137+Offset</f>
        <v>-9.5917000000000002E-2</v>
      </c>
      <c r="P137">
        <v>1971</v>
      </c>
      <c r="Q137">
        <v>-0.20233300000000001</v>
      </c>
      <c r="S137">
        <v>1971</v>
      </c>
      <c r="T137">
        <v>-0.184417</v>
      </c>
    </row>
    <row r="138" spans="1:20" x14ac:dyDescent="0.25">
      <c r="A138">
        <f t="shared" si="12"/>
        <v>1972</v>
      </c>
      <c r="B138">
        <f t="shared" si="21"/>
        <v>-3.1816642999999999E-2</v>
      </c>
      <c r="C138">
        <f t="shared" si="13"/>
        <v>-6.5833299999999997E-2</v>
      </c>
      <c r="D138">
        <f>$O138*(Fraction*Ocean+Land)</f>
        <v>-8.9977499999999988E-2</v>
      </c>
      <c r="E138">
        <f>+$Q138*(Ocean+Land/Fraction)</f>
        <v>1.5695043000000002E-2</v>
      </c>
      <c r="F138">
        <f t="shared" si="14"/>
        <v>-3.7141228499999991E-2</v>
      </c>
      <c r="G138">
        <f t="shared" si="15"/>
        <v>1972</v>
      </c>
      <c r="H138">
        <f t="shared" si="16"/>
        <v>3.4016656999999999E-2</v>
      </c>
      <c r="I138">
        <f t="shared" si="17"/>
        <v>-2.4144199999999991E-2</v>
      </c>
      <c r="J138">
        <f t="shared" si="18"/>
        <v>8.1528343000000003E-2</v>
      </c>
      <c r="K138">
        <f t="shared" si="19"/>
        <v>2.8692071500000006E-2</v>
      </c>
      <c r="L138">
        <f t="shared" si="20"/>
        <v>0.13450374890323302</v>
      </c>
      <c r="M138">
        <v>1972</v>
      </c>
      <c r="N138">
        <v>-0.23549999999999999</v>
      </c>
      <c r="O138">
        <f>+$N138+Offset</f>
        <v>-0.13949999999999999</v>
      </c>
      <c r="P138">
        <v>1972</v>
      </c>
      <c r="Q138">
        <v>1.2166700000000001E-2</v>
      </c>
      <c r="S138">
        <v>1972</v>
      </c>
      <c r="T138">
        <v>-6.5833299999999997E-2</v>
      </c>
    </row>
    <row r="139" spans="1:20" x14ac:dyDescent="0.25">
      <c r="A139">
        <f t="shared" si="12"/>
        <v>1973</v>
      </c>
      <c r="B139">
        <f t="shared" si="21"/>
        <v>8.8510856999999998E-2</v>
      </c>
      <c r="C139">
        <f t="shared" si="13"/>
        <v>6.2166699999999998E-2</v>
      </c>
      <c r="D139">
        <f>$O139*(Fraction*Ocean+Land)</f>
        <v>0.14093250000000002</v>
      </c>
      <c r="E139">
        <f>+$Q139*(Ocean+Land/Fraction)</f>
        <v>4.5687543000000004E-2</v>
      </c>
      <c r="F139">
        <f t="shared" si="14"/>
        <v>9.3310021500000007E-2</v>
      </c>
      <c r="G139">
        <f t="shared" si="15"/>
        <v>1973</v>
      </c>
      <c r="H139">
        <f t="shared" si="16"/>
        <v>2.6344157E-2</v>
      </c>
      <c r="I139">
        <f t="shared" si="17"/>
        <v>7.8765800000000025E-2</v>
      </c>
      <c r="J139">
        <f t="shared" si="18"/>
        <v>-1.6479156999999994E-2</v>
      </c>
      <c r="K139">
        <f t="shared" si="19"/>
        <v>3.1143321500000015E-2</v>
      </c>
      <c r="L139">
        <f t="shared" si="20"/>
        <v>1.6053130941375435</v>
      </c>
      <c r="M139">
        <v>1973</v>
      </c>
      <c r="N139">
        <v>0.1225</v>
      </c>
      <c r="O139">
        <f>+$N139+Offset</f>
        <v>0.2185</v>
      </c>
      <c r="P139">
        <v>1973</v>
      </c>
      <c r="Q139">
        <v>3.5416700000000002E-2</v>
      </c>
      <c r="S139">
        <v>1973</v>
      </c>
      <c r="T139">
        <v>6.2166699999999998E-2</v>
      </c>
    </row>
    <row r="140" spans="1:20" x14ac:dyDescent="0.25">
      <c r="A140">
        <f t="shared" si="12"/>
        <v>1974</v>
      </c>
      <c r="B140">
        <f t="shared" si="21"/>
        <v>-0.16861800000000002</v>
      </c>
      <c r="C140">
        <f t="shared" si="13"/>
        <v>-0.213417</v>
      </c>
      <c r="D140">
        <f>$O140*(Fraction*Ocean+Land)</f>
        <v>-0.116314785</v>
      </c>
      <c r="E140">
        <f>+$Q140*(Ocean+Land/Fraction)</f>
        <v>-0.21134457000000001</v>
      </c>
      <c r="F140">
        <f t="shared" si="14"/>
        <v>-0.16382967749999999</v>
      </c>
      <c r="G140">
        <f t="shared" si="15"/>
        <v>1974</v>
      </c>
      <c r="H140">
        <f t="shared" si="16"/>
        <v>4.4798999999999978E-2</v>
      </c>
      <c r="I140">
        <f t="shared" si="17"/>
        <v>9.7102214999999992E-2</v>
      </c>
      <c r="J140">
        <f t="shared" si="18"/>
        <v>2.0724299999999862E-3</v>
      </c>
      <c r="K140">
        <f t="shared" si="19"/>
        <v>4.9587322499999989E-2</v>
      </c>
      <c r="L140">
        <f t="shared" si="20"/>
        <v>0.20701425497854353</v>
      </c>
      <c r="M140">
        <v>1974</v>
      </c>
      <c r="N140">
        <v>-0.276333</v>
      </c>
      <c r="O140">
        <f>+$N140+Offset</f>
        <v>-0.18033299999999999</v>
      </c>
      <c r="P140">
        <v>1974</v>
      </c>
      <c r="Q140">
        <v>-0.16383300000000001</v>
      </c>
      <c r="S140">
        <v>1974</v>
      </c>
      <c r="T140">
        <v>-0.213417</v>
      </c>
    </row>
    <row r="141" spans="1:20" x14ac:dyDescent="0.25">
      <c r="A141">
        <f t="shared" si="12"/>
        <v>1975</v>
      </c>
      <c r="B141">
        <f t="shared" si="21"/>
        <v>-0.13412227299999999</v>
      </c>
      <c r="C141">
        <f t="shared" si="13"/>
        <v>-0.14833299999999999</v>
      </c>
      <c r="D141">
        <f>$O141*(Fraction*Ocean+Land)</f>
        <v>2.6337478500000004E-2</v>
      </c>
      <c r="E141">
        <f>+$Q141*(Ocean+Land/Fraction)</f>
        <v>-0.26520207000000001</v>
      </c>
      <c r="F141">
        <f t="shared" si="14"/>
        <v>-0.11943229575</v>
      </c>
      <c r="G141">
        <f t="shared" si="15"/>
        <v>1975</v>
      </c>
      <c r="H141">
        <f t="shared" si="16"/>
        <v>1.4210727000000006E-2</v>
      </c>
      <c r="I141">
        <f t="shared" si="17"/>
        <v>0.1746704785</v>
      </c>
      <c r="J141">
        <f t="shared" si="18"/>
        <v>-0.11686907000000002</v>
      </c>
      <c r="K141">
        <f t="shared" si="19"/>
        <v>2.8900704249999992E-2</v>
      </c>
      <c r="L141">
        <f t="shared" si="20"/>
        <v>1.386639154865456</v>
      </c>
      <c r="M141">
        <v>1975</v>
      </c>
      <c r="N141">
        <v>-5.5166699999999999E-2</v>
      </c>
      <c r="O141">
        <f>+$N141+Offset</f>
        <v>4.0833300000000003E-2</v>
      </c>
      <c r="P141">
        <v>1975</v>
      </c>
      <c r="Q141">
        <v>-0.20558299999999999</v>
      </c>
      <c r="S141">
        <v>1975</v>
      </c>
      <c r="T141">
        <v>-0.14833299999999999</v>
      </c>
    </row>
    <row r="142" spans="1:20" x14ac:dyDescent="0.25">
      <c r="A142">
        <f t="shared" si="12"/>
        <v>1976</v>
      </c>
      <c r="B142">
        <f t="shared" si="21"/>
        <v>-0.21433486000000002</v>
      </c>
      <c r="C142">
        <f t="shared" si="13"/>
        <v>-0.23866699999999999</v>
      </c>
      <c r="D142">
        <f>$O142*(Fraction*Ocean+Land)</f>
        <v>-0.15877771500000001</v>
      </c>
      <c r="E142">
        <f>+$Q142*(Ocean+Land/Fraction)</f>
        <v>-0.25971957000000001</v>
      </c>
      <c r="F142">
        <f t="shared" si="14"/>
        <v>-0.20924864250000003</v>
      </c>
      <c r="G142">
        <f t="shared" si="15"/>
        <v>1976</v>
      </c>
      <c r="H142">
        <f t="shared" si="16"/>
        <v>2.4332139999999974E-2</v>
      </c>
      <c r="I142">
        <f t="shared" si="17"/>
        <v>7.9889284999999977E-2</v>
      </c>
      <c r="J142">
        <f t="shared" si="18"/>
        <v>-2.105257000000002E-2</v>
      </c>
      <c r="K142">
        <f t="shared" si="19"/>
        <v>2.9418357499999978E-2</v>
      </c>
      <c r="L142">
        <f t="shared" si="20"/>
        <v>0.11204495855272989</v>
      </c>
      <c r="M142">
        <v>1976</v>
      </c>
      <c r="N142">
        <v>-0.342167</v>
      </c>
      <c r="O142">
        <f>+$N142+Offset</f>
        <v>-0.246167</v>
      </c>
      <c r="P142">
        <v>1976</v>
      </c>
      <c r="Q142">
        <v>-0.20133300000000001</v>
      </c>
      <c r="S142">
        <v>1976</v>
      </c>
      <c r="T142">
        <v>-0.23866699999999999</v>
      </c>
    </row>
    <row r="143" spans="1:20" x14ac:dyDescent="0.25">
      <c r="A143">
        <f t="shared" si="12"/>
        <v>1977</v>
      </c>
      <c r="B143">
        <f t="shared" si="21"/>
        <v>3.6750014000000011E-2</v>
      </c>
      <c r="C143">
        <f t="shared" si="13"/>
        <v>4.675E-2</v>
      </c>
      <c r="D143">
        <f>$O143*(Fraction*Ocean+Land)</f>
        <v>0.1114774785</v>
      </c>
      <c r="E143">
        <f>+$Q143*(Ocean+Land/Fraction)</f>
        <v>-2.4294957000000002E-2</v>
      </c>
      <c r="F143">
        <f t="shared" si="14"/>
        <v>4.3591260749999999E-2</v>
      </c>
      <c r="G143">
        <f t="shared" si="15"/>
        <v>1977</v>
      </c>
      <c r="H143">
        <f t="shared" si="16"/>
        <v>-9.9999859999999885E-3</v>
      </c>
      <c r="I143">
        <f t="shared" si="17"/>
        <v>6.4727478500000005E-2</v>
      </c>
      <c r="J143">
        <f t="shared" si="18"/>
        <v>-7.1044957000000006E-2</v>
      </c>
      <c r="K143">
        <f t="shared" si="19"/>
        <v>-3.1587392500000006E-3</v>
      </c>
      <c r="L143">
        <f t="shared" si="20"/>
        <v>1.9169648422170322</v>
      </c>
      <c r="M143">
        <v>1977</v>
      </c>
      <c r="N143">
        <v>7.6833299999999993E-2</v>
      </c>
      <c r="O143">
        <f>+$N143+Offset</f>
        <v>0.1728333</v>
      </c>
      <c r="P143">
        <v>1977</v>
      </c>
      <c r="Q143">
        <v>-1.8833300000000001E-2</v>
      </c>
      <c r="S143">
        <v>1977</v>
      </c>
      <c r="T143">
        <v>4.675E-2</v>
      </c>
    </row>
    <row r="144" spans="1:20" x14ac:dyDescent="0.25">
      <c r="A144">
        <f t="shared" si="12"/>
        <v>1978</v>
      </c>
      <c r="B144">
        <f t="shared" ref="B144:B172" si="22">Land*($N144+Offset)+Ocean*$Q144</f>
        <v>-2.9192513999999996E-2</v>
      </c>
      <c r="C144">
        <f t="shared" si="13"/>
        <v>-6.1666699999999998E-2</v>
      </c>
      <c r="D144">
        <f>$O144*(Fraction*Ocean+Land)</f>
        <v>2.9293771500000003E-2</v>
      </c>
      <c r="E144">
        <f>+$Q144*(Ocean+Land/Fraction)</f>
        <v>-7.6970043000000002E-2</v>
      </c>
      <c r="F144">
        <f t="shared" si="14"/>
        <v>-2.3838135749999999E-2</v>
      </c>
      <c r="G144">
        <f t="shared" si="15"/>
        <v>1978</v>
      </c>
      <c r="H144">
        <f t="shared" si="16"/>
        <v>3.2474186000000002E-2</v>
      </c>
      <c r="I144">
        <f t="shared" si="17"/>
        <v>9.0960471500000001E-2</v>
      </c>
      <c r="J144">
        <f t="shared" si="18"/>
        <v>-1.5303343000000004E-2</v>
      </c>
      <c r="K144">
        <f t="shared" si="19"/>
        <v>3.7828564250000002E-2</v>
      </c>
      <c r="L144">
        <f t="shared" si="20"/>
        <v>2.1757249343367859</v>
      </c>
      <c r="M144">
        <v>1978</v>
      </c>
      <c r="N144">
        <v>-5.0583299999999998E-2</v>
      </c>
      <c r="O144">
        <f>+$N144+Offset</f>
        <v>4.5416700000000004E-2</v>
      </c>
      <c r="P144">
        <v>1978</v>
      </c>
      <c r="Q144">
        <v>-5.9666700000000003E-2</v>
      </c>
      <c r="S144">
        <v>1978</v>
      </c>
      <c r="T144">
        <v>-6.1666699999999998E-2</v>
      </c>
    </row>
    <row r="145" spans="1:20" x14ac:dyDescent="0.25">
      <c r="A145">
        <f t="shared" ref="A145:A172" si="23">+$M145</f>
        <v>1979</v>
      </c>
      <c r="B145">
        <f t="shared" si="22"/>
        <v>7.566584300000001E-2</v>
      </c>
      <c r="C145">
        <f t="shared" ref="C145:C172" si="24">+$T145</f>
        <v>5.7833299999999997E-2</v>
      </c>
      <c r="D145">
        <f>$O145*(Fraction*Ocean+Land)</f>
        <v>8.8150021500000009E-2</v>
      </c>
      <c r="E145">
        <f>+$Q145*(Ocean+Land/Fraction)</f>
        <v>6.5467500000000012E-2</v>
      </c>
      <c r="F145">
        <f t="shared" ref="F145:F172" si="25">0.5*($D145+$E145)</f>
        <v>7.680876075000001E-2</v>
      </c>
      <c r="G145">
        <f t="shared" ref="G145:G172" si="26">+$A145</f>
        <v>1979</v>
      </c>
      <c r="H145">
        <f t="shared" ref="H145:H172" si="27">+($B145-$C145)</f>
        <v>1.7832543000000013E-2</v>
      </c>
      <c r="I145">
        <f t="shared" ref="I145:I172" si="28">+($D145-$C145)</f>
        <v>3.0316721500000011E-2</v>
      </c>
      <c r="J145">
        <f t="shared" ref="J145:J172" si="29">+($E145-$C145)</f>
        <v>7.6342000000000146E-3</v>
      </c>
      <c r="K145">
        <f t="shared" ref="K145:K172" si="30">+($I145+$J145)/2</f>
        <v>1.8975460750000013E-2</v>
      </c>
      <c r="L145">
        <f t="shared" ref="L145:L172" si="31">+(($D145-$C145)/$C145)^2</f>
        <v>0.27479480630032965</v>
      </c>
      <c r="M145">
        <v>1979</v>
      </c>
      <c r="N145">
        <v>4.06667E-2</v>
      </c>
      <c r="O145">
        <f>+$N145+Offset</f>
        <v>0.1366667</v>
      </c>
      <c r="P145">
        <v>1979</v>
      </c>
      <c r="Q145">
        <v>5.0750000000000003E-2</v>
      </c>
      <c r="S145">
        <v>1979</v>
      </c>
      <c r="T145">
        <v>5.7833299999999997E-2</v>
      </c>
    </row>
    <row r="146" spans="1:20" x14ac:dyDescent="0.25">
      <c r="A146">
        <f t="shared" si="23"/>
        <v>1980</v>
      </c>
      <c r="B146">
        <f t="shared" si="22"/>
        <v>9.8997500000000002E-2</v>
      </c>
      <c r="C146">
        <f t="shared" si="24"/>
        <v>9.2749999999999999E-2</v>
      </c>
      <c r="D146">
        <f>$O146*(Fraction*Ocean+Land)</f>
        <v>0.14754375</v>
      </c>
      <c r="E146">
        <f>+$Q146*(Ocean+Land/Fraction)</f>
        <v>5.9340000000000004E-2</v>
      </c>
      <c r="F146">
        <f t="shared" si="25"/>
        <v>0.103441875</v>
      </c>
      <c r="G146">
        <f t="shared" si="26"/>
        <v>1980</v>
      </c>
      <c r="H146">
        <f t="shared" si="27"/>
        <v>6.2475000000000031E-3</v>
      </c>
      <c r="I146">
        <f t="shared" si="28"/>
        <v>5.4793750000000002E-2</v>
      </c>
      <c r="J146">
        <f t="shared" si="29"/>
        <v>-3.3409999999999995E-2</v>
      </c>
      <c r="K146">
        <f t="shared" si="30"/>
        <v>1.0691875000000003E-2</v>
      </c>
      <c r="L146">
        <f t="shared" si="31"/>
        <v>0.34900705912482471</v>
      </c>
      <c r="M146">
        <v>1980</v>
      </c>
      <c r="N146">
        <v>0.13275000000000001</v>
      </c>
      <c r="O146">
        <f>+$N146+Offset</f>
        <v>0.22875000000000001</v>
      </c>
      <c r="P146">
        <v>1980</v>
      </c>
      <c r="Q146">
        <v>4.5999999999999999E-2</v>
      </c>
      <c r="S146">
        <v>1980</v>
      </c>
      <c r="T146">
        <v>9.2749999999999999E-2</v>
      </c>
    </row>
    <row r="147" spans="1:20" x14ac:dyDescent="0.25">
      <c r="A147">
        <f t="shared" si="23"/>
        <v>1981</v>
      </c>
      <c r="B147">
        <f t="shared" si="22"/>
        <v>0.13789250000000003</v>
      </c>
      <c r="C147">
        <f t="shared" si="24"/>
        <v>0.14133299999999999</v>
      </c>
      <c r="D147">
        <f>$O147*(Fraction*Ocean+Land)</f>
        <v>0.26445000000000002</v>
      </c>
      <c r="E147">
        <f>+$Q147*(Ocean+Land/Fraction)</f>
        <v>3.4507500000000003E-2</v>
      </c>
      <c r="F147">
        <f t="shared" si="25"/>
        <v>0.14947875000000002</v>
      </c>
      <c r="G147">
        <f t="shared" si="26"/>
        <v>1981</v>
      </c>
      <c r="H147">
        <f t="shared" si="27"/>
        <v>-3.4404999999999575E-3</v>
      </c>
      <c r="I147">
        <f t="shared" si="28"/>
        <v>0.12311700000000003</v>
      </c>
      <c r="J147">
        <f t="shared" si="29"/>
        <v>-0.10682549999999999</v>
      </c>
      <c r="K147">
        <f t="shared" si="30"/>
        <v>8.145750000000021E-3</v>
      </c>
      <c r="L147">
        <f t="shared" si="31"/>
        <v>0.75883769076296625</v>
      </c>
      <c r="M147">
        <v>1981</v>
      </c>
      <c r="N147">
        <v>0.314</v>
      </c>
      <c r="O147">
        <f>+$N147+Offset</f>
        <v>0.41000000000000003</v>
      </c>
      <c r="P147">
        <v>1981</v>
      </c>
      <c r="Q147">
        <v>2.6749999999999999E-2</v>
      </c>
      <c r="S147">
        <v>1981</v>
      </c>
      <c r="T147">
        <v>0.14133299999999999</v>
      </c>
    </row>
    <row r="148" spans="1:20" x14ac:dyDescent="0.25">
      <c r="A148">
        <f t="shared" si="23"/>
        <v>1982</v>
      </c>
      <c r="B148">
        <f t="shared" si="22"/>
        <v>4.5111665699999998E-2</v>
      </c>
      <c r="C148">
        <f t="shared" si="24"/>
        <v>1.2833300000000001E-2</v>
      </c>
      <c r="D148">
        <f>$O148*(Fraction*Ocean+Land)</f>
        <v>6.5198747850000002E-2</v>
      </c>
      <c r="E148">
        <f>+$Q148*(Ocean+Land/Fraction)</f>
        <v>2.8702499999999999E-2</v>
      </c>
      <c r="F148">
        <f t="shared" si="25"/>
        <v>4.6950623925000004E-2</v>
      </c>
      <c r="G148">
        <f t="shared" si="26"/>
        <v>1982</v>
      </c>
      <c r="H148">
        <f t="shared" si="27"/>
        <v>3.2278365699999999E-2</v>
      </c>
      <c r="I148">
        <f t="shared" si="28"/>
        <v>5.2365447850000003E-2</v>
      </c>
      <c r="J148">
        <f t="shared" si="29"/>
        <v>1.58692E-2</v>
      </c>
      <c r="K148">
        <f t="shared" si="30"/>
        <v>3.4117323924999998E-2</v>
      </c>
      <c r="L148">
        <f t="shared" si="31"/>
        <v>16.649950656929121</v>
      </c>
      <c r="M148">
        <v>1982</v>
      </c>
      <c r="N148">
        <v>5.0833299999999996E-3</v>
      </c>
      <c r="O148">
        <f>+$N148+Offset</f>
        <v>0.10108333</v>
      </c>
      <c r="P148">
        <v>1982</v>
      </c>
      <c r="Q148">
        <v>2.2249999999999999E-2</v>
      </c>
      <c r="S148">
        <v>1982</v>
      </c>
      <c r="T148">
        <v>1.2833300000000001E-2</v>
      </c>
    </row>
    <row r="149" spans="1:20" x14ac:dyDescent="0.25">
      <c r="A149">
        <f t="shared" si="23"/>
        <v>1983</v>
      </c>
      <c r="B149">
        <f t="shared" si="22"/>
        <v>0.20331950000000001</v>
      </c>
      <c r="C149">
        <f t="shared" si="24"/>
        <v>0.188333</v>
      </c>
      <c r="D149">
        <f>$O149*(Fraction*Ocean+Land)</f>
        <v>0.26955646500000002</v>
      </c>
      <c r="E149">
        <f>+$Q149*(Ocean+Land/Fraction)</f>
        <v>0.14921043000000001</v>
      </c>
      <c r="F149">
        <f t="shared" si="25"/>
        <v>0.20938344750000001</v>
      </c>
      <c r="G149">
        <f t="shared" si="26"/>
        <v>1983</v>
      </c>
      <c r="H149">
        <f t="shared" si="27"/>
        <v>1.4986500000000014E-2</v>
      </c>
      <c r="I149">
        <f t="shared" si="28"/>
        <v>8.1223465000000022E-2</v>
      </c>
      <c r="J149">
        <f t="shared" si="29"/>
        <v>-3.9122569999999995E-2</v>
      </c>
      <c r="K149">
        <f t="shared" si="30"/>
        <v>2.1050447500000014E-2</v>
      </c>
      <c r="L149">
        <f t="shared" si="31"/>
        <v>0.18599881456004549</v>
      </c>
      <c r="M149">
        <v>1983</v>
      </c>
      <c r="N149">
        <v>0.32191700000000001</v>
      </c>
      <c r="O149">
        <f>+$N149+Offset</f>
        <v>0.41791699999999998</v>
      </c>
      <c r="P149">
        <v>1983</v>
      </c>
      <c r="Q149">
        <v>0.11566700000000001</v>
      </c>
      <c r="S149">
        <v>1983</v>
      </c>
      <c r="T149">
        <v>0.188333</v>
      </c>
    </row>
    <row r="150" spans="1:20" x14ac:dyDescent="0.25">
      <c r="A150">
        <f t="shared" si="23"/>
        <v>1984</v>
      </c>
      <c r="B150">
        <f t="shared" si="22"/>
        <v>1.1826657000000001E-2</v>
      </c>
      <c r="C150">
        <f t="shared" si="24"/>
        <v>-1.4749999999999999E-2</v>
      </c>
      <c r="D150">
        <f>$O150*(Fraction*Ocean+Land)</f>
        <v>3.6173728500000002E-2</v>
      </c>
      <c r="E150">
        <f>+$Q150*(Ocean+Land/Fraction)</f>
        <v>-8.0625000000000002E-3</v>
      </c>
      <c r="F150">
        <f t="shared" si="25"/>
        <v>1.4055614250000001E-2</v>
      </c>
      <c r="G150">
        <f t="shared" si="26"/>
        <v>1984</v>
      </c>
      <c r="H150">
        <f t="shared" si="27"/>
        <v>2.6576657E-2</v>
      </c>
      <c r="I150">
        <f t="shared" si="28"/>
        <v>5.0923728500000001E-2</v>
      </c>
      <c r="J150">
        <f t="shared" si="29"/>
        <v>6.687499999999999E-3</v>
      </c>
      <c r="K150">
        <f t="shared" si="30"/>
        <v>2.880561425E-2</v>
      </c>
      <c r="L150">
        <f t="shared" si="31"/>
        <v>11.9194536022601</v>
      </c>
      <c r="M150">
        <v>1984</v>
      </c>
      <c r="N150">
        <v>-3.9916699999999999E-2</v>
      </c>
      <c r="O150">
        <f>+$N150+Offset</f>
        <v>5.6083300000000003E-2</v>
      </c>
      <c r="P150">
        <v>1984</v>
      </c>
      <c r="Q150">
        <v>-6.2500000000000003E-3</v>
      </c>
      <c r="S150">
        <v>1984</v>
      </c>
      <c r="T150">
        <v>-1.4749999999999999E-2</v>
      </c>
    </row>
    <row r="151" spans="1:20" x14ac:dyDescent="0.25">
      <c r="A151">
        <f t="shared" si="23"/>
        <v>1985</v>
      </c>
      <c r="B151">
        <f t="shared" si="22"/>
        <v>-1.0376656999999994E-2</v>
      </c>
      <c r="C151">
        <f t="shared" si="24"/>
        <v>-2.8250000000000001E-2</v>
      </c>
      <c r="D151">
        <f>$O151*(Fraction*Ocean+Land)</f>
        <v>4.7192521500000001E-2</v>
      </c>
      <c r="E151">
        <f>+$Q151*(Ocean+Land/Fraction)</f>
        <v>-5.7404999999999998E-2</v>
      </c>
      <c r="F151">
        <f t="shared" si="25"/>
        <v>-5.1062392499999984E-3</v>
      </c>
      <c r="G151">
        <f t="shared" si="26"/>
        <v>1985</v>
      </c>
      <c r="H151">
        <f t="shared" si="27"/>
        <v>1.7873343000000007E-2</v>
      </c>
      <c r="I151">
        <f t="shared" si="28"/>
        <v>7.5442521499999998E-2</v>
      </c>
      <c r="J151">
        <f t="shared" si="29"/>
        <v>-2.9154999999999997E-2</v>
      </c>
      <c r="K151">
        <f t="shared" si="30"/>
        <v>2.3143760749999999E-2</v>
      </c>
      <c r="L151">
        <f t="shared" si="31"/>
        <v>7.1317397450424771</v>
      </c>
      <c r="M151">
        <v>1985</v>
      </c>
      <c r="N151">
        <v>-2.2833300000000001E-2</v>
      </c>
      <c r="O151">
        <f>+$N151+Offset</f>
        <v>7.3166700000000001E-2</v>
      </c>
      <c r="P151">
        <v>1985</v>
      </c>
      <c r="Q151">
        <v>-4.4499999999999998E-2</v>
      </c>
      <c r="S151">
        <v>1985</v>
      </c>
      <c r="T151">
        <v>-2.8250000000000001E-2</v>
      </c>
    </row>
    <row r="152" spans="1:20" x14ac:dyDescent="0.25">
      <c r="A152">
        <f t="shared" si="23"/>
        <v>1986</v>
      </c>
      <c r="B152">
        <f t="shared" si="22"/>
        <v>4.95675E-2</v>
      </c>
      <c r="C152">
        <f t="shared" si="24"/>
        <v>4.6666699999999998E-2</v>
      </c>
      <c r="D152">
        <f>$O152*(Fraction*Ocean+Land)</f>
        <v>0.1422225</v>
      </c>
      <c r="E152">
        <f>+$Q152*(Ocean+Land/Fraction)</f>
        <v>-2.61225E-2</v>
      </c>
      <c r="F152">
        <f t="shared" si="25"/>
        <v>5.8050000000000004E-2</v>
      </c>
      <c r="G152">
        <f t="shared" si="26"/>
        <v>1986</v>
      </c>
      <c r="H152">
        <f t="shared" si="27"/>
        <v>2.900800000000002E-3</v>
      </c>
      <c r="I152">
        <f t="shared" si="28"/>
        <v>9.5555799999999996E-2</v>
      </c>
      <c r="J152">
        <f t="shared" si="29"/>
        <v>-7.2789199999999998E-2</v>
      </c>
      <c r="K152">
        <f t="shared" si="30"/>
        <v>1.1383299999999999E-2</v>
      </c>
      <c r="L152">
        <f t="shared" si="31"/>
        <v>4.1927592257887634</v>
      </c>
      <c r="M152">
        <v>1986</v>
      </c>
      <c r="N152">
        <v>0.1245</v>
      </c>
      <c r="O152">
        <f>+$N152+Offset</f>
        <v>0.2205</v>
      </c>
      <c r="P152">
        <v>1986</v>
      </c>
      <c r="Q152">
        <v>-2.0250000000000001E-2</v>
      </c>
      <c r="S152">
        <v>1986</v>
      </c>
      <c r="T152">
        <v>4.6666699999999998E-2</v>
      </c>
    </row>
    <row r="153" spans="1:20" x14ac:dyDescent="0.25">
      <c r="A153">
        <f t="shared" si="23"/>
        <v>1987</v>
      </c>
      <c r="B153">
        <f t="shared" si="22"/>
        <v>0.19786857000000002</v>
      </c>
      <c r="C153">
        <f t="shared" si="24"/>
        <v>0.184167</v>
      </c>
      <c r="D153">
        <f>$O153*(Fraction*Ocean+Land)</f>
        <v>0.21913874999999999</v>
      </c>
      <c r="E153">
        <f>+$Q153*(Ocean+Land/Fraction)</f>
        <v>0.18049293000000002</v>
      </c>
      <c r="F153">
        <f t="shared" si="25"/>
        <v>0.19981584000000002</v>
      </c>
      <c r="G153">
        <f t="shared" si="26"/>
        <v>1987</v>
      </c>
      <c r="H153">
        <f t="shared" si="27"/>
        <v>1.3701570000000024E-2</v>
      </c>
      <c r="I153">
        <f t="shared" si="28"/>
        <v>3.4971749999999996E-2</v>
      </c>
      <c r="J153">
        <f t="shared" si="29"/>
        <v>-3.6740699999999737E-3</v>
      </c>
      <c r="K153">
        <f t="shared" si="30"/>
        <v>1.5648840000000011E-2</v>
      </c>
      <c r="L153">
        <f t="shared" si="31"/>
        <v>3.605878614301182E-2</v>
      </c>
      <c r="M153">
        <v>1987</v>
      </c>
      <c r="N153">
        <v>0.24374999999999999</v>
      </c>
      <c r="O153">
        <f>+$N153+Offset</f>
        <v>0.33975</v>
      </c>
      <c r="P153">
        <v>1987</v>
      </c>
      <c r="Q153">
        <v>0.13991700000000001</v>
      </c>
      <c r="S153">
        <v>1987</v>
      </c>
      <c r="T153">
        <v>0.184167</v>
      </c>
    </row>
    <row r="154" spans="1:20" x14ac:dyDescent="0.25">
      <c r="A154">
        <f t="shared" si="23"/>
        <v>1988</v>
      </c>
      <c r="B154">
        <f t="shared" si="22"/>
        <v>0.20985486000000003</v>
      </c>
      <c r="C154">
        <f t="shared" si="24"/>
        <v>0.20033300000000001</v>
      </c>
      <c r="D154">
        <f>$O154*(Fraction*Ocean+Land)</f>
        <v>0.299226465</v>
      </c>
      <c r="E154">
        <f>+$Q154*(Ocean+Land/Fraction)</f>
        <v>0.13684706999999999</v>
      </c>
      <c r="F154">
        <f t="shared" si="25"/>
        <v>0.21803676750000001</v>
      </c>
      <c r="G154">
        <f t="shared" si="26"/>
        <v>1988</v>
      </c>
      <c r="H154">
        <f t="shared" si="27"/>
        <v>9.5218600000000209E-3</v>
      </c>
      <c r="I154">
        <f t="shared" si="28"/>
        <v>9.8893464999999986E-2</v>
      </c>
      <c r="J154">
        <f t="shared" si="29"/>
        <v>-6.3485930000000024E-2</v>
      </c>
      <c r="K154">
        <f t="shared" si="30"/>
        <v>1.7703767499999981E-2</v>
      </c>
      <c r="L154">
        <f t="shared" si="31"/>
        <v>0.24368578627253915</v>
      </c>
      <c r="M154">
        <v>1988</v>
      </c>
      <c r="N154">
        <v>0.36791699999999999</v>
      </c>
      <c r="O154">
        <f>+$N154+Offset</f>
        <v>0.46391700000000002</v>
      </c>
      <c r="P154">
        <v>1988</v>
      </c>
      <c r="Q154">
        <v>0.106083</v>
      </c>
      <c r="S154">
        <v>1988</v>
      </c>
      <c r="T154">
        <v>0.20033300000000001</v>
      </c>
    </row>
    <row r="155" spans="1:20" x14ac:dyDescent="0.25">
      <c r="A155">
        <f t="shared" si="23"/>
        <v>1989</v>
      </c>
      <c r="B155">
        <f t="shared" si="22"/>
        <v>0.14473914300000001</v>
      </c>
      <c r="C155">
        <f t="shared" si="24"/>
        <v>0.12125</v>
      </c>
      <c r="D155">
        <f>$O155*(Fraction*Ocean+Land)</f>
        <v>0.22703999999999999</v>
      </c>
      <c r="E155">
        <f>+$Q155*(Ocean+Land/Fraction)</f>
        <v>7.7507457000000002E-2</v>
      </c>
      <c r="F155">
        <f t="shared" si="25"/>
        <v>0.15227372849999998</v>
      </c>
      <c r="G155">
        <f t="shared" si="26"/>
        <v>1989</v>
      </c>
      <c r="H155">
        <f t="shared" si="27"/>
        <v>2.3489143000000018E-2</v>
      </c>
      <c r="I155">
        <f t="shared" si="28"/>
        <v>0.10579</v>
      </c>
      <c r="J155">
        <f t="shared" si="29"/>
        <v>-4.3742542999999995E-2</v>
      </c>
      <c r="K155">
        <f t="shared" si="30"/>
        <v>3.10237285E-2</v>
      </c>
      <c r="L155">
        <f t="shared" si="31"/>
        <v>0.7612472551812095</v>
      </c>
      <c r="M155">
        <v>1989</v>
      </c>
      <c r="N155">
        <v>0.25600000000000001</v>
      </c>
      <c r="O155">
        <f>+$N155+Offset</f>
        <v>0.35199999999999998</v>
      </c>
      <c r="P155">
        <v>1989</v>
      </c>
      <c r="Q155">
        <v>6.0083299999999999E-2</v>
      </c>
      <c r="S155">
        <v>1989</v>
      </c>
      <c r="T155">
        <v>0.12125</v>
      </c>
    </row>
    <row r="156" spans="1:20" x14ac:dyDescent="0.25">
      <c r="A156">
        <f t="shared" si="23"/>
        <v>1990</v>
      </c>
      <c r="B156">
        <f t="shared" si="22"/>
        <v>0.29735357000000001</v>
      </c>
      <c r="C156">
        <f t="shared" si="24"/>
        <v>0.29266700000000001</v>
      </c>
      <c r="D156">
        <f>$O156*(Fraction*Ocean+Land)</f>
        <v>0.37329374999999998</v>
      </c>
      <c r="E156">
        <f>+$Q156*(Ocean+Land/Fraction)</f>
        <v>0.23531793000000001</v>
      </c>
      <c r="F156">
        <f t="shared" si="25"/>
        <v>0.30430583999999999</v>
      </c>
      <c r="G156">
        <f t="shared" si="26"/>
        <v>1990</v>
      </c>
      <c r="H156">
        <f t="shared" si="27"/>
        <v>4.686570000000001E-3</v>
      </c>
      <c r="I156">
        <f t="shared" si="28"/>
        <v>8.0626749999999969E-2</v>
      </c>
      <c r="J156">
        <f t="shared" si="29"/>
        <v>-5.7349070000000002E-2</v>
      </c>
      <c r="K156">
        <f t="shared" si="30"/>
        <v>1.1638839999999984E-2</v>
      </c>
      <c r="L156">
        <f t="shared" si="31"/>
        <v>7.5894586045492526E-2</v>
      </c>
      <c r="M156">
        <v>1990</v>
      </c>
      <c r="N156">
        <v>0.48275000000000001</v>
      </c>
      <c r="O156">
        <f>+$N156+Offset</f>
        <v>0.57874999999999999</v>
      </c>
      <c r="P156">
        <v>1990</v>
      </c>
      <c r="Q156">
        <v>0.182417</v>
      </c>
      <c r="S156">
        <v>1990</v>
      </c>
      <c r="T156">
        <v>0.29266700000000001</v>
      </c>
    </row>
    <row r="157" spans="1:20" x14ac:dyDescent="0.25">
      <c r="A157">
        <f t="shared" si="23"/>
        <v>1991</v>
      </c>
      <c r="B157">
        <f t="shared" si="22"/>
        <v>0.25198156999999999</v>
      </c>
      <c r="C157">
        <f t="shared" si="24"/>
        <v>0.252917</v>
      </c>
      <c r="D157">
        <f>$O157*(Fraction*Ocean+Land)</f>
        <v>0.31449103499999997</v>
      </c>
      <c r="E157">
        <f>+$Q157*(Ocean+Land/Fraction)</f>
        <v>0.2009175</v>
      </c>
      <c r="F157">
        <f t="shared" si="25"/>
        <v>0.25770426749999997</v>
      </c>
      <c r="G157">
        <f t="shared" si="26"/>
        <v>1991</v>
      </c>
      <c r="H157">
        <f t="shared" si="27"/>
        <v>-9.3543000000001486E-4</v>
      </c>
      <c r="I157">
        <f t="shared" si="28"/>
        <v>6.1574034999999971E-2</v>
      </c>
      <c r="J157">
        <f t="shared" si="29"/>
        <v>-5.1999500000000004E-2</v>
      </c>
      <c r="K157">
        <f t="shared" si="30"/>
        <v>4.7872674999999837E-3</v>
      </c>
      <c r="L157">
        <f t="shared" si="31"/>
        <v>5.9270581070317921E-2</v>
      </c>
      <c r="M157">
        <v>1991</v>
      </c>
      <c r="N157">
        <v>0.39158300000000001</v>
      </c>
      <c r="O157">
        <f>+$N157+Offset</f>
        <v>0.48758299999999999</v>
      </c>
      <c r="P157">
        <v>1991</v>
      </c>
      <c r="Q157">
        <v>0.15575</v>
      </c>
      <c r="S157">
        <v>1991</v>
      </c>
      <c r="T157">
        <v>0.252917</v>
      </c>
    </row>
    <row r="158" spans="1:20" x14ac:dyDescent="0.25">
      <c r="A158">
        <f t="shared" si="23"/>
        <v>1992</v>
      </c>
      <c r="B158">
        <f t="shared" si="22"/>
        <v>9.8962572999999998E-2</v>
      </c>
      <c r="C158">
        <f t="shared" si="24"/>
        <v>0.10224999999999999</v>
      </c>
      <c r="D158">
        <f>$O158*(Fraction*Ocean+Land)</f>
        <v>0.13233271499999999</v>
      </c>
      <c r="E158">
        <f>+$Q158*(Ocean+Land/Fraction)</f>
        <v>7.1702457000000011E-2</v>
      </c>
      <c r="F158">
        <f t="shared" si="25"/>
        <v>0.10201758599999999</v>
      </c>
      <c r="G158">
        <f t="shared" si="26"/>
        <v>1992</v>
      </c>
      <c r="H158">
        <f t="shared" si="27"/>
        <v>-3.2874269999999955E-3</v>
      </c>
      <c r="I158">
        <f t="shared" si="28"/>
        <v>3.0082714999999996E-2</v>
      </c>
      <c r="J158">
        <f t="shared" si="29"/>
        <v>-3.0547542999999983E-2</v>
      </c>
      <c r="K158">
        <f t="shared" si="30"/>
        <v>-2.3241399999999329E-4</v>
      </c>
      <c r="L158">
        <f t="shared" si="31"/>
        <v>8.6558042266244195E-2</v>
      </c>
      <c r="M158">
        <v>1992</v>
      </c>
      <c r="N158">
        <v>0.109167</v>
      </c>
      <c r="O158">
        <f>+$N158+Offset</f>
        <v>0.20516699999999999</v>
      </c>
      <c r="P158">
        <v>1992</v>
      </c>
      <c r="Q158">
        <v>5.5583300000000002E-2</v>
      </c>
      <c r="S158">
        <v>1992</v>
      </c>
      <c r="T158">
        <v>0.10224999999999999</v>
      </c>
    </row>
    <row r="159" spans="1:20" x14ac:dyDescent="0.25">
      <c r="A159">
        <f t="shared" si="23"/>
        <v>1993</v>
      </c>
      <c r="B159">
        <f t="shared" si="22"/>
        <v>0.135645073</v>
      </c>
      <c r="C159">
        <f t="shared" si="24"/>
        <v>0.14366699999999999</v>
      </c>
      <c r="D159">
        <f>$O159*(Fraction*Ocean+Land)</f>
        <v>0.18312646499999999</v>
      </c>
      <c r="E159">
        <f>+$Q159*(Ocean+Land/Fraction)</f>
        <v>9.6857457000000008E-2</v>
      </c>
      <c r="F159">
        <f t="shared" si="25"/>
        <v>0.139991961</v>
      </c>
      <c r="G159">
        <f t="shared" si="26"/>
        <v>1993</v>
      </c>
      <c r="H159">
        <f t="shared" si="27"/>
        <v>-8.0219269999999843E-3</v>
      </c>
      <c r="I159">
        <f t="shared" si="28"/>
        <v>3.9459464999999999E-2</v>
      </c>
      <c r="J159">
        <f t="shared" si="29"/>
        <v>-4.6809542999999981E-2</v>
      </c>
      <c r="K159">
        <f t="shared" si="30"/>
        <v>-3.6750389999999911E-3</v>
      </c>
      <c r="L159">
        <f t="shared" si="31"/>
        <v>7.5437682696680691E-2</v>
      </c>
      <c r="M159">
        <v>1993</v>
      </c>
      <c r="N159">
        <v>0.187917</v>
      </c>
      <c r="O159">
        <f>+$N159+Offset</f>
        <v>0.28391699999999997</v>
      </c>
      <c r="P159">
        <v>1993</v>
      </c>
      <c r="Q159">
        <v>7.5083300000000006E-2</v>
      </c>
      <c r="S159">
        <v>1993</v>
      </c>
      <c r="T159">
        <v>0.14366699999999999</v>
      </c>
    </row>
    <row r="160" spans="1:20" x14ac:dyDescent="0.25">
      <c r="A160">
        <f t="shared" si="23"/>
        <v>1994</v>
      </c>
      <c r="B160">
        <f t="shared" si="22"/>
        <v>0.21592764</v>
      </c>
      <c r="C160">
        <f t="shared" si="24"/>
        <v>0.20216700000000001</v>
      </c>
      <c r="D160">
        <f>$O160*(Fraction*Ocean+Land)</f>
        <v>0.28417603499999999</v>
      </c>
      <c r="E160">
        <f>+$Q160*(Ocean+Land/Fraction)</f>
        <v>0.16017543000000001</v>
      </c>
      <c r="F160">
        <f t="shared" si="25"/>
        <v>0.2221757325</v>
      </c>
      <c r="G160">
        <f t="shared" si="26"/>
        <v>1994</v>
      </c>
      <c r="H160">
        <f t="shared" si="27"/>
        <v>1.3760639999999991E-2</v>
      </c>
      <c r="I160">
        <f t="shared" si="28"/>
        <v>8.200903499999998E-2</v>
      </c>
      <c r="J160">
        <f t="shared" si="29"/>
        <v>-4.1991570000000006E-2</v>
      </c>
      <c r="K160">
        <f t="shared" si="30"/>
        <v>2.0008732499999987E-2</v>
      </c>
      <c r="L160">
        <f t="shared" si="31"/>
        <v>0.16455188818868977</v>
      </c>
      <c r="M160">
        <v>1994</v>
      </c>
      <c r="N160">
        <v>0.34458299999999997</v>
      </c>
      <c r="O160">
        <f>+$N160+Offset</f>
        <v>0.44058299999999995</v>
      </c>
      <c r="P160">
        <v>1994</v>
      </c>
      <c r="Q160">
        <v>0.124167</v>
      </c>
      <c r="S160">
        <v>1994</v>
      </c>
      <c r="T160">
        <v>0.20216700000000001</v>
      </c>
    </row>
    <row r="161" spans="1:20" x14ac:dyDescent="0.25">
      <c r="A161">
        <f t="shared" si="23"/>
        <v>1995</v>
      </c>
      <c r="B161">
        <f t="shared" si="22"/>
        <v>0.32629606999999999</v>
      </c>
      <c r="C161">
        <f t="shared" si="24"/>
        <v>0.32258300000000001</v>
      </c>
      <c r="D161">
        <f>$O161*(Fraction*Ocean+Land)</f>
        <v>0.439245</v>
      </c>
      <c r="E161">
        <f>+$Q161*(Ocean+Land/Fraction)</f>
        <v>0.23402793</v>
      </c>
      <c r="F161">
        <f t="shared" si="25"/>
        <v>0.336636465</v>
      </c>
      <c r="G161">
        <f t="shared" si="26"/>
        <v>1995</v>
      </c>
      <c r="H161">
        <f t="shared" si="27"/>
        <v>3.713069999999985E-3</v>
      </c>
      <c r="I161">
        <f t="shared" si="28"/>
        <v>0.11666199999999999</v>
      </c>
      <c r="J161">
        <f t="shared" si="29"/>
        <v>-8.8555070000000013E-2</v>
      </c>
      <c r="K161">
        <f t="shared" si="30"/>
        <v>1.4053464999999987E-2</v>
      </c>
      <c r="L161">
        <f t="shared" si="31"/>
        <v>0.13079040421796856</v>
      </c>
      <c r="M161">
        <v>1995</v>
      </c>
      <c r="N161">
        <v>0.58499999999999996</v>
      </c>
      <c r="O161">
        <f>+$N161+Offset</f>
        <v>0.68099999999999994</v>
      </c>
      <c r="P161">
        <v>1995</v>
      </c>
      <c r="Q161">
        <v>0.18141699999999999</v>
      </c>
      <c r="S161">
        <v>1995</v>
      </c>
      <c r="T161">
        <v>0.32258300000000001</v>
      </c>
    </row>
    <row r="162" spans="1:20" x14ac:dyDescent="0.25">
      <c r="A162">
        <f t="shared" si="23"/>
        <v>1996</v>
      </c>
      <c r="B162">
        <f t="shared" si="22"/>
        <v>0.17610750000000003</v>
      </c>
      <c r="C162">
        <f t="shared" si="24"/>
        <v>0.17658299999999999</v>
      </c>
      <c r="D162">
        <f>$O162*(Fraction*Ocean+Land)</f>
        <v>0.21285000000000001</v>
      </c>
      <c r="E162">
        <f>+$Q162*(Ocean+Land/Fraction)</f>
        <v>0.14609250000000001</v>
      </c>
      <c r="F162">
        <f t="shared" si="25"/>
        <v>0.17947125000000003</v>
      </c>
      <c r="G162">
        <f t="shared" si="26"/>
        <v>1996</v>
      </c>
      <c r="H162">
        <f t="shared" si="27"/>
        <v>-4.7549999999996206E-4</v>
      </c>
      <c r="I162">
        <f t="shared" si="28"/>
        <v>3.6267000000000021E-2</v>
      </c>
      <c r="J162">
        <f t="shared" si="29"/>
        <v>-3.0490499999999976E-2</v>
      </c>
      <c r="K162">
        <f t="shared" si="30"/>
        <v>2.8882500000000227E-3</v>
      </c>
      <c r="L162">
        <f t="shared" si="31"/>
        <v>4.218183639335335E-2</v>
      </c>
      <c r="M162">
        <v>1996</v>
      </c>
      <c r="N162">
        <v>0.23400000000000001</v>
      </c>
      <c r="O162">
        <f>+$N162+Offset</f>
        <v>0.33</v>
      </c>
      <c r="P162">
        <v>1996</v>
      </c>
      <c r="Q162">
        <v>0.11325</v>
      </c>
      <c r="S162">
        <v>1996</v>
      </c>
      <c r="T162">
        <v>0.17658299999999999</v>
      </c>
    </row>
    <row r="163" spans="1:20" x14ac:dyDescent="0.25">
      <c r="A163">
        <f t="shared" si="23"/>
        <v>1997</v>
      </c>
      <c r="B163">
        <f t="shared" si="22"/>
        <v>0.39458549999999998</v>
      </c>
      <c r="C163">
        <f t="shared" si="24"/>
        <v>0.39</v>
      </c>
      <c r="D163">
        <f>$O163*(Fraction*Ocean+Land)</f>
        <v>0.39979228499999997</v>
      </c>
      <c r="E163">
        <f>+$Q163*(Ocean+Land/Fraction)</f>
        <v>0.39033206999999998</v>
      </c>
      <c r="F163">
        <f t="shared" si="25"/>
        <v>0.39506217749999994</v>
      </c>
      <c r="G163">
        <f t="shared" si="26"/>
        <v>1997</v>
      </c>
      <c r="H163">
        <f t="shared" si="27"/>
        <v>4.5854999999999646E-3</v>
      </c>
      <c r="I163">
        <f t="shared" si="28"/>
        <v>9.7922849999999562E-3</v>
      </c>
      <c r="J163">
        <f t="shared" si="29"/>
        <v>3.3206999999996212E-4</v>
      </c>
      <c r="K163">
        <f t="shared" si="30"/>
        <v>5.0621774999999591E-3</v>
      </c>
      <c r="L163">
        <f t="shared" si="31"/>
        <v>6.3043290940975757E-4</v>
      </c>
      <c r="M163">
        <v>1997</v>
      </c>
      <c r="N163">
        <v>0.52383299999999999</v>
      </c>
      <c r="O163">
        <f>+$N163+Offset</f>
        <v>0.61983299999999997</v>
      </c>
      <c r="P163">
        <v>1997</v>
      </c>
      <c r="Q163">
        <v>0.30258299999999999</v>
      </c>
      <c r="S163">
        <v>1997</v>
      </c>
      <c r="T163">
        <v>0.39</v>
      </c>
    </row>
    <row r="164" spans="1:20" x14ac:dyDescent="0.25">
      <c r="A164">
        <f t="shared" si="23"/>
        <v>1998</v>
      </c>
      <c r="B164">
        <f t="shared" si="22"/>
        <v>0.57887407000000002</v>
      </c>
      <c r="C164">
        <f t="shared" si="24"/>
        <v>0.52324999999999999</v>
      </c>
      <c r="D164">
        <f>$O164*(Fraction*Ocean+Land)</f>
        <v>0.57490978500000001</v>
      </c>
      <c r="E164">
        <f>+$Q164*(Ocean+Land/Fraction)</f>
        <v>0.58211250000000003</v>
      </c>
      <c r="F164">
        <f t="shared" si="25"/>
        <v>0.57851114250000002</v>
      </c>
      <c r="G164">
        <f t="shared" si="26"/>
        <v>1998</v>
      </c>
      <c r="H164">
        <f t="shared" si="27"/>
        <v>5.5624070000000025E-2</v>
      </c>
      <c r="I164">
        <f t="shared" si="28"/>
        <v>5.1659785000000014E-2</v>
      </c>
      <c r="J164">
        <f t="shared" si="29"/>
        <v>5.886250000000004E-2</v>
      </c>
      <c r="K164">
        <f t="shared" si="30"/>
        <v>5.5261142500000027E-2</v>
      </c>
      <c r="L164">
        <f t="shared" si="31"/>
        <v>9.7473534583436428E-3</v>
      </c>
      <c r="M164">
        <v>1998</v>
      </c>
      <c r="N164">
        <v>0.79533299999999996</v>
      </c>
      <c r="O164">
        <f>+$N164+Offset</f>
        <v>0.89133299999999993</v>
      </c>
      <c r="P164">
        <v>1998</v>
      </c>
      <c r="Q164">
        <v>0.45124999999999998</v>
      </c>
      <c r="S164">
        <v>1998</v>
      </c>
      <c r="T164">
        <v>0.52324999999999999</v>
      </c>
    </row>
    <row r="165" spans="1:20" x14ac:dyDescent="0.25">
      <c r="A165">
        <f t="shared" si="23"/>
        <v>1999</v>
      </c>
      <c r="B165">
        <f t="shared" si="22"/>
        <v>0.33842000000000005</v>
      </c>
      <c r="C165">
        <f t="shared" si="24"/>
        <v>0.29925000000000002</v>
      </c>
      <c r="D165">
        <f>$O165*(Fraction*Ocean+Land)</f>
        <v>0.4234425</v>
      </c>
      <c r="E165">
        <f>+$Q165*(Ocean+Land/Fraction)</f>
        <v>0.26896500000000001</v>
      </c>
      <c r="F165">
        <f t="shared" si="25"/>
        <v>0.34620375000000003</v>
      </c>
      <c r="G165">
        <f t="shared" si="26"/>
        <v>1999</v>
      </c>
      <c r="H165">
        <f t="shared" si="27"/>
        <v>3.9170000000000038E-2</v>
      </c>
      <c r="I165">
        <f t="shared" si="28"/>
        <v>0.12419249999999998</v>
      </c>
      <c r="J165">
        <f t="shared" si="29"/>
        <v>-3.0285000000000006E-2</v>
      </c>
      <c r="K165">
        <f t="shared" si="30"/>
        <v>4.6953749999999989E-2</v>
      </c>
      <c r="L165">
        <f t="shared" si="31"/>
        <v>0.17223540115954039</v>
      </c>
      <c r="M165">
        <v>1999</v>
      </c>
      <c r="N165">
        <v>0.5605</v>
      </c>
      <c r="O165">
        <f>+$N165+Offset</f>
        <v>0.65649999999999997</v>
      </c>
      <c r="P165">
        <v>1999</v>
      </c>
      <c r="Q165">
        <v>0.20849999999999999</v>
      </c>
      <c r="S165">
        <v>1999</v>
      </c>
      <c r="T165">
        <v>0.29925000000000002</v>
      </c>
    </row>
    <row r="166" spans="1:20" x14ac:dyDescent="0.25">
      <c r="A166">
        <f t="shared" si="23"/>
        <v>2000</v>
      </c>
      <c r="B166">
        <f t="shared" si="22"/>
        <v>0.32513486000000003</v>
      </c>
      <c r="C166">
        <f t="shared" si="24"/>
        <v>0.29108299999999998</v>
      </c>
      <c r="D166">
        <f>$O166*(Fraction*Ocean+Land)</f>
        <v>0.37678771500000002</v>
      </c>
      <c r="E166">
        <f>+$Q166*(Ocean+Land/Fraction)</f>
        <v>0.28293957000000003</v>
      </c>
      <c r="F166">
        <f t="shared" si="25"/>
        <v>0.3298636425</v>
      </c>
      <c r="G166">
        <f t="shared" si="26"/>
        <v>2000</v>
      </c>
      <c r="H166">
        <f t="shared" si="27"/>
        <v>3.4051860000000045E-2</v>
      </c>
      <c r="I166">
        <f t="shared" si="28"/>
        <v>8.5704715000000042E-2</v>
      </c>
      <c r="J166">
        <f t="shared" si="29"/>
        <v>-8.1434299999999515E-3</v>
      </c>
      <c r="K166">
        <f t="shared" si="30"/>
        <v>3.8780642500000045E-2</v>
      </c>
      <c r="L166">
        <f t="shared" si="31"/>
        <v>8.669134592008286E-2</v>
      </c>
      <c r="M166">
        <v>2000</v>
      </c>
      <c r="N166">
        <v>0.48816700000000002</v>
      </c>
      <c r="O166">
        <f>+$N166+Offset</f>
        <v>0.58416699999999999</v>
      </c>
      <c r="P166">
        <v>2000</v>
      </c>
      <c r="Q166">
        <v>0.219333</v>
      </c>
      <c r="S166">
        <v>2000</v>
      </c>
      <c r="T166">
        <v>0.29108299999999998</v>
      </c>
    </row>
    <row r="167" spans="1:20" x14ac:dyDescent="0.25">
      <c r="A167">
        <f t="shared" si="23"/>
        <v>2001</v>
      </c>
      <c r="B167">
        <f t="shared" si="22"/>
        <v>0.45872800000000002</v>
      </c>
      <c r="C167">
        <f t="shared" si="24"/>
        <v>0.43425000000000002</v>
      </c>
      <c r="D167">
        <f>$O167*(Fraction*Ocean+Land)</f>
        <v>0.49073728500000002</v>
      </c>
      <c r="E167">
        <f>+$Q167*(Ocean+Land/Fraction)</f>
        <v>0.43257957000000002</v>
      </c>
      <c r="F167">
        <f t="shared" si="25"/>
        <v>0.46165842750000002</v>
      </c>
      <c r="G167">
        <f t="shared" si="26"/>
        <v>2001</v>
      </c>
      <c r="H167">
        <f t="shared" si="27"/>
        <v>2.4478E-2</v>
      </c>
      <c r="I167">
        <f t="shared" si="28"/>
        <v>5.6487284999999998E-2</v>
      </c>
      <c r="J167">
        <f t="shared" si="29"/>
        <v>-1.6704300000000005E-3</v>
      </c>
      <c r="K167">
        <f t="shared" si="30"/>
        <v>2.7408427499999999E-2</v>
      </c>
      <c r="L167">
        <f t="shared" si="31"/>
        <v>1.6920833359596231E-2</v>
      </c>
      <c r="M167">
        <v>2001</v>
      </c>
      <c r="N167">
        <v>0.66483300000000001</v>
      </c>
      <c r="O167">
        <f>+$N167+Offset</f>
        <v>0.76083299999999998</v>
      </c>
      <c r="P167">
        <v>2001</v>
      </c>
      <c r="Q167">
        <v>0.33533299999999999</v>
      </c>
      <c r="S167">
        <v>2001</v>
      </c>
      <c r="T167">
        <v>0.43425000000000002</v>
      </c>
    </row>
    <row r="168" spans="1:20" x14ac:dyDescent="0.25">
      <c r="A168">
        <f t="shared" si="23"/>
        <v>2002</v>
      </c>
      <c r="B168">
        <f t="shared" si="22"/>
        <v>0.51709550000000004</v>
      </c>
      <c r="C168">
        <f t="shared" si="24"/>
        <v>0.48683300000000002</v>
      </c>
      <c r="D168">
        <f>$O168*(Fraction*Ocean+Land)</f>
        <v>0.55620478500000003</v>
      </c>
      <c r="E168">
        <f>+$Q168*(Ocean+Land/Fraction)</f>
        <v>0.48514707000000001</v>
      </c>
      <c r="F168">
        <f t="shared" si="25"/>
        <v>0.52067592750000002</v>
      </c>
      <c r="G168">
        <f t="shared" si="26"/>
        <v>2002</v>
      </c>
      <c r="H168">
        <f t="shared" si="27"/>
        <v>3.0262500000000025E-2</v>
      </c>
      <c r="I168">
        <f t="shared" si="28"/>
        <v>6.9371785000000019E-2</v>
      </c>
      <c r="J168">
        <f t="shared" si="29"/>
        <v>-1.6859300000000021E-3</v>
      </c>
      <c r="K168">
        <f t="shared" si="30"/>
        <v>3.3842927500000008E-2</v>
      </c>
      <c r="L168">
        <f t="shared" si="31"/>
        <v>2.0305127479654222E-2</v>
      </c>
      <c r="M168">
        <v>2002</v>
      </c>
      <c r="N168">
        <v>0.76633300000000004</v>
      </c>
      <c r="O168">
        <f>+$N168+Offset</f>
        <v>0.86233300000000002</v>
      </c>
      <c r="P168">
        <v>2002</v>
      </c>
      <c r="Q168">
        <v>0.376083</v>
      </c>
      <c r="S168">
        <v>2002</v>
      </c>
      <c r="T168">
        <v>0.48683300000000002</v>
      </c>
    </row>
    <row r="169" spans="1:20" x14ac:dyDescent="0.25">
      <c r="A169">
        <f t="shared" si="23"/>
        <v>2003</v>
      </c>
      <c r="B169">
        <f t="shared" si="22"/>
        <v>0.53371550000000001</v>
      </c>
      <c r="C169">
        <f t="shared" si="24"/>
        <v>0.49816700000000003</v>
      </c>
      <c r="D169">
        <f>$O169*(Fraction*Ocean+Land)</f>
        <v>0.54540103500000003</v>
      </c>
      <c r="E169">
        <f>+$Q169*(Ocean+Land/Fraction)</f>
        <v>0.52416956999999997</v>
      </c>
      <c r="F169">
        <f t="shared" si="25"/>
        <v>0.5347853025</v>
      </c>
      <c r="G169">
        <f t="shared" si="26"/>
        <v>2003</v>
      </c>
      <c r="H169">
        <f t="shared" si="27"/>
        <v>3.5548499999999983E-2</v>
      </c>
      <c r="I169">
        <f t="shared" si="28"/>
        <v>4.7234035000000008E-2</v>
      </c>
      <c r="J169">
        <f t="shared" si="29"/>
        <v>2.6002569999999947E-2</v>
      </c>
      <c r="K169">
        <f t="shared" si="30"/>
        <v>3.6618302499999977E-2</v>
      </c>
      <c r="L169">
        <f t="shared" si="31"/>
        <v>8.9900101824372455E-3</v>
      </c>
      <c r="M169">
        <v>2003</v>
      </c>
      <c r="N169">
        <v>0.749583</v>
      </c>
      <c r="O169">
        <f>+$N169+Offset</f>
        <v>0.84558299999999997</v>
      </c>
      <c r="P169">
        <v>2003</v>
      </c>
      <c r="Q169">
        <v>0.406333</v>
      </c>
      <c r="S169">
        <v>2003</v>
      </c>
      <c r="T169">
        <v>0.49816700000000003</v>
      </c>
    </row>
    <row r="170" spans="1:20" x14ac:dyDescent="0.25">
      <c r="A170">
        <f t="shared" si="23"/>
        <v>2004</v>
      </c>
      <c r="B170">
        <f t="shared" si="22"/>
        <v>0.49495592999999999</v>
      </c>
      <c r="C170">
        <f t="shared" si="24"/>
        <v>0.4395</v>
      </c>
      <c r="D170">
        <f>$O170*(Fraction*Ocean+Land)</f>
        <v>0.49643521499999999</v>
      </c>
      <c r="E170">
        <f>+$Q170*(Ocean+Land/Fraction)</f>
        <v>0.49374750000000001</v>
      </c>
      <c r="F170">
        <f t="shared" si="25"/>
        <v>0.4950913575</v>
      </c>
      <c r="G170">
        <f t="shared" si="26"/>
        <v>2004</v>
      </c>
      <c r="H170">
        <f t="shared" si="27"/>
        <v>5.5455929999999987E-2</v>
      </c>
      <c r="I170">
        <f t="shared" si="28"/>
        <v>5.6935214999999983E-2</v>
      </c>
      <c r="J170">
        <f t="shared" si="29"/>
        <v>5.4247500000000004E-2</v>
      </c>
      <c r="K170">
        <f t="shared" si="30"/>
        <v>5.5591357499999994E-2</v>
      </c>
      <c r="L170">
        <f t="shared" si="31"/>
        <v>1.6782017558458446E-2</v>
      </c>
      <c r="M170">
        <v>2004</v>
      </c>
      <c r="N170">
        <v>0.67366700000000002</v>
      </c>
      <c r="O170">
        <f>+$N170+Offset</f>
        <v>0.76966699999999999</v>
      </c>
      <c r="P170">
        <v>2004</v>
      </c>
      <c r="Q170">
        <v>0.38274999999999998</v>
      </c>
      <c r="S170">
        <v>2004</v>
      </c>
      <c r="T170">
        <v>0.4395</v>
      </c>
    </row>
    <row r="171" spans="1:20" x14ac:dyDescent="0.25">
      <c r="A171">
        <f t="shared" si="23"/>
        <v>2005</v>
      </c>
      <c r="B171">
        <f t="shared" si="22"/>
        <v>0.55008299999999999</v>
      </c>
      <c r="C171">
        <f t="shared" si="24"/>
        <v>0.53574999999999995</v>
      </c>
      <c r="D171">
        <f>$O171*(Fraction*Ocean+Land)</f>
        <v>0.61812478500000001</v>
      </c>
      <c r="E171">
        <f>+$Q171*(Ocean+Land/Fraction)</f>
        <v>0.49449957</v>
      </c>
      <c r="F171">
        <f t="shared" si="25"/>
        <v>0.55631217749999995</v>
      </c>
      <c r="G171">
        <f t="shared" si="26"/>
        <v>2005</v>
      </c>
      <c r="H171">
        <f t="shared" si="27"/>
        <v>1.433300000000004E-2</v>
      </c>
      <c r="I171">
        <f t="shared" si="28"/>
        <v>8.2374785000000061E-2</v>
      </c>
      <c r="J171">
        <f t="shared" si="29"/>
        <v>-4.1250429999999949E-2</v>
      </c>
      <c r="K171">
        <f t="shared" si="30"/>
        <v>2.0562177500000056E-2</v>
      </c>
      <c r="L171">
        <f t="shared" si="31"/>
        <v>2.364091212787334E-2</v>
      </c>
      <c r="M171">
        <v>2005</v>
      </c>
      <c r="N171">
        <v>0.86233300000000002</v>
      </c>
      <c r="O171">
        <f>+$N171+Offset</f>
        <v>0.95833299999999999</v>
      </c>
      <c r="P171">
        <v>2005</v>
      </c>
      <c r="Q171">
        <v>0.38333299999999998</v>
      </c>
      <c r="S171">
        <v>2005</v>
      </c>
      <c r="T171">
        <v>0.53574999999999995</v>
      </c>
    </row>
    <row r="172" spans="1:20" x14ac:dyDescent="0.25">
      <c r="A172">
        <f t="shared" si="23"/>
        <v>2006</v>
      </c>
      <c r="B172">
        <f t="shared" si="22"/>
        <v>0.50361450000000008</v>
      </c>
      <c r="C172">
        <f t="shared" si="24"/>
        <v>0.49183300000000002</v>
      </c>
      <c r="D172">
        <f>$O172*(Fraction*Ocean+Land)</f>
        <v>0.58254271499999999</v>
      </c>
      <c r="E172">
        <f>+$Q172*(Ocean+Land/Fraction)</f>
        <v>0.43913793000000007</v>
      </c>
      <c r="F172">
        <f t="shared" si="25"/>
        <v>0.5108403225</v>
      </c>
      <c r="G172">
        <f t="shared" si="26"/>
        <v>2006</v>
      </c>
      <c r="H172">
        <f t="shared" si="27"/>
        <v>1.1781500000000056E-2</v>
      </c>
      <c r="I172">
        <f t="shared" si="28"/>
        <v>9.0709714999999969E-2</v>
      </c>
      <c r="J172">
        <f t="shared" si="29"/>
        <v>-5.2695069999999955E-2</v>
      </c>
      <c r="K172">
        <f t="shared" si="30"/>
        <v>1.9007322500000007E-2</v>
      </c>
      <c r="L172">
        <f t="shared" si="31"/>
        <v>3.4015140982634126E-2</v>
      </c>
      <c r="M172">
        <v>2006</v>
      </c>
      <c r="N172">
        <v>0.80716699999999997</v>
      </c>
      <c r="O172">
        <f>+$N172+Offset</f>
        <v>0.90316699999999994</v>
      </c>
      <c r="P172">
        <v>2006</v>
      </c>
      <c r="Q172">
        <v>0.34041700000000003</v>
      </c>
      <c r="S172">
        <v>2006</v>
      </c>
      <c r="T172">
        <v>0.49183300000000002</v>
      </c>
    </row>
    <row r="173" spans="1:20" x14ac:dyDescent="0.25">
      <c r="A173" t="s">
        <v>34</v>
      </c>
      <c r="B173" t="s">
        <v>35</v>
      </c>
      <c r="C173" t="s">
        <v>27</v>
      </c>
      <c r="D173" t="s">
        <v>36</v>
      </c>
      <c r="L173" t="s">
        <v>38</v>
      </c>
      <c r="M173">
        <v>2007</v>
      </c>
      <c r="N173">
        <v>0.90041700000000002</v>
      </c>
      <c r="O173">
        <f>+$N173+Offset</f>
        <v>0.996417</v>
      </c>
      <c r="P173">
        <v>2007</v>
      </c>
      <c r="Q173">
        <v>0.27808300000000002</v>
      </c>
      <c r="S173">
        <v>2007</v>
      </c>
      <c r="T173">
        <v>0.47833300000000001</v>
      </c>
    </row>
    <row r="174" spans="1:20" x14ac:dyDescent="0.25">
      <c r="M174">
        <v>2008</v>
      </c>
      <c r="N174">
        <v>0.69908300000000001</v>
      </c>
      <c r="O174">
        <f>+$N174+Offset</f>
        <v>0.79508299999999998</v>
      </c>
      <c r="P174">
        <v>2008</v>
      </c>
      <c r="Q174">
        <v>0.248417</v>
      </c>
      <c r="S174">
        <v>2008</v>
      </c>
      <c r="T174">
        <v>0.38441700000000001</v>
      </c>
    </row>
    <row r="175" spans="1:20" x14ac:dyDescent="0.25">
      <c r="M175">
        <v>2009</v>
      </c>
      <c r="N175">
        <v>0.72875000000000001</v>
      </c>
      <c r="O175">
        <f>+$N175+Offset</f>
        <v>0.82474999999999998</v>
      </c>
      <c r="P175">
        <v>2009</v>
      </c>
      <c r="Q175">
        <v>0.3765</v>
      </c>
      <c r="S175">
        <v>2009</v>
      </c>
      <c r="T175">
        <v>0.48958299999999999</v>
      </c>
    </row>
    <row r="176" spans="1:20" x14ac:dyDescent="0.25">
      <c r="M176">
        <v>2010</v>
      </c>
      <c r="N176">
        <v>0.86491700000000005</v>
      </c>
      <c r="O176">
        <f>+$N176+Offset</f>
        <v>0.96091700000000002</v>
      </c>
      <c r="P176">
        <v>2010</v>
      </c>
      <c r="Q176">
        <v>0.39133299999999999</v>
      </c>
      <c r="S176">
        <v>2010</v>
      </c>
      <c r="T176">
        <v>0.54</v>
      </c>
    </row>
    <row r="177" spans="16:20" x14ac:dyDescent="0.25">
      <c r="P177">
        <v>2011</v>
      </c>
      <c r="Q177">
        <v>0.27308300000000002</v>
      </c>
      <c r="S177">
        <v>2011</v>
      </c>
      <c r="T177">
        <v>0.40033299999999999</v>
      </c>
    </row>
    <row r="178" spans="16:20" x14ac:dyDescent="0.25">
      <c r="P178">
        <v>2012</v>
      </c>
      <c r="Q178">
        <v>0.34200000000000003</v>
      </c>
      <c r="S178">
        <v>2012</v>
      </c>
      <c r="T178">
        <v>0.43533300000000003</v>
      </c>
    </row>
    <row r="533" spans="13:13" x14ac:dyDescent="0.25">
      <c r="M533" t="s">
        <v>19</v>
      </c>
    </row>
  </sheetData>
  <hyperlinks>
    <hyperlink ref="A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4"/>
  <sheetViews>
    <sheetView workbookViewId="0">
      <selection activeCell="B6" sqref="B6"/>
    </sheetView>
  </sheetViews>
  <sheetFormatPr defaultRowHeight="15" x14ac:dyDescent="0.25"/>
  <cols>
    <col min="1" max="1" width="71.7109375" bestFit="1" customWidth="1"/>
    <col min="2" max="2" width="24.140625" customWidth="1"/>
    <col min="3" max="3" width="20.7109375" customWidth="1"/>
    <col min="4" max="4" width="12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5" spans="1:5" x14ac:dyDescent="0.25">
      <c r="A5" t="s">
        <v>4</v>
      </c>
    </row>
    <row r="6" spans="1:5" x14ac:dyDescent="0.25">
      <c r="A6" t="s">
        <v>5</v>
      </c>
    </row>
    <row r="7" spans="1:5" x14ac:dyDescent="0.25">
      <c r="A7" t="s">
        <v>6</v>
      </c>
    </row>
    <row r="8" spans="1:5" x14ac:dyDescent="0.25">
      <c r="A8" t="s">
        <v>7</v>
      </c>
    </row>
    <row r="9" spans="1:5" x14ac:dyDescent="0.25">
      <c r="A9" t="s">
        <v>3</v>
      </c>
    </row>
    <row r="10" spans="1:5" x14ac:dyDescent="0.25">
      <c r="A10" t="s">
        <v>2</v>
      </c>
    </row>
    <row r="11" spans="1:5" x14ac:dyDescent="0.25">
      <c r="A11" t="s">
        <v>8</v>
      </c>
    </row>
    <row r="12" spans="1:5" x14ac:dyDescent="0.25">
      <c r="A12" t="s">
        <v>2</v>
      </c>
    </row>
    <row r="13" spans="1:5" x14ac:dyDescent="0.25">
      <c r="A13" t="s">
        <v>9</v>
      </c>
    </row>
    <row r="14" spans="1:5" x14ac:dyDescent="0.25">
      <c r="A14" t="s">
        <v>10</v>
      </c>
    </row>
    <row r="15" spans="1:5" x14ac:dyDescent="0.25">
      <c r="A15" t="s">
        <v>20</v>
      </c>
      <c r="C15" t="s">
        <v>32</v>
      </c>
      <c r="D15" t="s">
        <v>29</v>
      </c>
      <c r="E15" t="s">
        <v>30</v>
      </c>
    </row>
    <row r="16" spans="1:5" x14ac:dyDescent="0.25">
      <c r="A16" t="s">
        <v>34</v>
      </c>
      <c r="B16" t="s">
        <v>33</v>
      </c>
      <c r="C16" t="s">
        <v>27</v>
      </c>
      <c r="D16" t="s">
        <v>28</v>
      </c>
      <c r="E16" t="s">
        <v>31</v>
      </c>
    </row>
    <row r="17" spans="1:5" x14ac:dyDescent="0.25">
      <c r="A17">
        <v>1850.17</v>
      </c>
      <c r="B17">
        <f>0.3*$D17+0.7*$E17</f>
        <v>-0.21402690999999999</v>
      </c>
      <c r="C17">
        <v>-0.27318300000000001</v>
      </c>
      <c r="D17">
        <v>5.9533299999999997E-2</v>
      </c>
      <c r="E17">
        <v>-0.33126699999999998</v>
      </c>
    </row>
    <row r="18" spans="1:5" x14ac:dyDescent="0.25">
      <c r="A18">
        <v>1851.17</v>
      </c>
      <c r="B18">
        <f t="shared" ref="B18:B81" si="0">0.3*$D18+0.7*$E18</f>
        <v>-0.18817498999999996</v>
      </c>
      <c r="C18">
        <v>-0.25173299999999998</v>
      </c>
      <c r="D18">
        <v>8.47667E-2</v>
      </c>
      <c r="E18">
        <v>-0.30514999999999998</v>
      </c>
    </row>
    <row r="19" spans="1:5" x14ac:dyDescent="0.25">
      <c r="A19">
        <v>1852.17</v>
      </c>
      <c r="B19">
        <f t="shared" si="0"/>
        <v>-0.24263999999999997</v>
      </c>
      <c r="C19">
        <v>-0.27898299999999998</v>
      </c>
      <c r="D19">
        <v>-5.5599999999999997E-2</v>
      </c>
      <c r="E19">
        <v>-0.32279999999999998</v>
      </c>
    </row>
    <row r="20" spans="1:5" x14ac:dyDescent="0.25">
      <c r="A20">
        <v>1853.17</v>
      </c>
      <c r="B20">
        <f t="shared" si="0"/>
        <v>-0.3119401</v>
      </c>
      <c r="C20">
        <v>-0.32541700000000001</v>
      </c>
      <c r="D20">
        <v>-0.18381700000000001</v>
      </c>
      <c r="E20">
        <v>-0.36685000000000001</v>
      </c>
    </row>
    <row r="21" spans="1:5" x14ac:dyDescent="0.25">
      <c r="A21">
        <v>1854.17</v>
      </c>
      <c r="B21">
        <f t="shared" si="0"/>
        <v>-0.35610179999999997</v>
      </c>
      <c r="C21">
        <v>-0.36413299999999998</v>
      </c>
      <c r="D21">
        <v>-0.22948299999999999</v>
      </c>
      <c r="E21">
        <v>-0.41036699999999998</v>
      </c>
    </row>
    <row r="22" spans="1:5" x14ac:dyDescent="0.25">
      <c r="A22">
        <v>1855.17</v>
      </c>
      <c r="B22">
        <f t="shared" si="0"/>
        <v>-0.38748300000000002</v>
      </c>
      <c r="C22">
        <v>-0.37238300000000002</v>
      </c>
      <c r="D22">
        <v>-0.29928300000000002</v>
      </c>
      <c r="E22">
        <v>-0.42528300000000002</v>
      </c>
    </row>
    <row r="23" spans="1:5" x14ac:dyDescent="0.25">
      <c r="A23">
        <v>1856.17</v>
      </c>
      <c r="B23">
        <f t="shared" si="0"/>
        <v>-0.41178510000000002</v>
      </c>
      <c r="C23">
        <v>-0.38746700000000001</v>
      </c>
      <c r="D23">
        <v>-0.36916700000000002</v>
      </c>
      <c r="E23">
        <v>-0.43004999999999999</v>
      </c>
    </row>
    <row r="24" spans="1:5" x14ac:dyDescent="0.25">
      <c r="A24">
        <v>1857.17</v>
      </c>
      <c r="B24">
        <f t="shared" si="0"/>
        <v>-0.411275</v>
      </c>
      <c r="C24">
        <v>-0.394233</v>
      </c>
      <c r="D24">
        <v>-0.35404999999999998</v>
      </c>
      <c r="E24">
        <v>-0.43580000000000002</v>
      </c>
    </row>
    <row r="25" spans="1:5" x14ac:dyDescent="0.25">
      <c r="A25">
        <v>1858.17</v>
      </c>
      <c r="B25">
        <f t="shared" si="0"/>
        <v>-0.42464809999999997</v>
      </c>
      <c r="C25">
        <v>-0.40363300000000002</v>
      </c>
      <c r="D25">
        <v>-0.40484999999999999</v>
      </c>
      <c r="E25">
        <v>-0.43313299999999999</v>
      </c>
    </row>
    <row r="26" spans="1:5" x14ac:dyDescent="0.25">
      <c r="A26">
        <v>1859.17</v>
      </c>
      <c r="B26">
        <f t="shared" si="0"/>
        <v>-0.39620009999999994</v>
      </c>
      <c r="C26">
        <v>-0.366817</v>
      </c>
      <c r="D26">
        <v>-0.34801700000000002</v>
      </c>
      <c r="E26">
        <v>-0.41685</v>
      </c>
    </row>
    <row r="27" spans="1:5" x14ac:dyDescent="0.25">
      <c r="A27">
        <v>1860.17</v>
      </c>
      <c r="B27">
        <f t="shared" si="0"/>
        <v>-0.4233981</v>
      </c>
      <c r="C27">
        <v>-0.40446700000000002</v>
      </c>
      <c r="D27">
        <v>-0.43930000000000002</v>
      </c>
      <c r="E27">
        <v>-0.41658299999999998</v>
      </c>
    </row>
    <row r="28" spans="1:5" x14ac:dyDescent="0.25">
      <c r="A28">
        <v>1861.17</v>
      </c>
      <c r="B28">
        <f t="shared" si="0"/>
        <v>-0.40191189999999999</v>
      </c>
      <c r="C28">
        <v>-0.39005000000000001</v>
      </c>
      <c r="D28">
        <v>-0.39560000000000001</v>
      </c>
      <c r="E28">
        <v>-0.404617</v>
      </c>
    </row>
    <row r="29" spans="1:5" x14ac:dyDescent="0.25">
      <c r="A29">
        <v>1862.17</v>
      </c>
      <c r="B29">
        <f t="shared" si="0"/>
        <v>-0.37440180000000001</v>
      </c>
      <c r="C29">
        <v>-0.35844999999999999</v>
      </c>
      <c r="D29">
        <v>-0.37483300000000003</v>
      </c>
      <c r="E29">
        <v>-0.37421700000000002</v>
      </c>
    </row>
    <row r="30" spans="1:5" x14ac:dyDescent="0.25">
      <c r="A30">
        <v>1863.17</v>
      </c>
      <c r="B30">
        <f t="shared" si="0"/>
        <v>-0.32631309999999997</v>
      </c>
      <c r="C30">
        <v>-0.31781700000000002</v>
      </c>
      <c r="D30">
        <v>-0.33805000000000002</v>
      </c>
      <c r="E30">
        <v>-0.32128299999999999</v>
      </c>
    </row>
    <row r="31" spans="1:5" x14ac:dyDescent="0.25">
      <c r="A31">
        <v>1864.17</v>
      </c>
      <c r="B31">
        <f t="shared" si="0"/>
        <v>-0.29669509999999999</v>
      </c>
      <c r="C31">
        <v>-0.30658299999999999</v>
      </c>
      <c r="D31">
        <v>-0.35851699999999997</v>
      </c>
      <c r="E31">
        <v>-0.2702</v>
      </c>
    </row>
    <row r="32" spans="1:5" x14ac:dyDescent="0.25">
      <c r="A32">
        <v>1865.17</v>
      </c>
      <c r="B32">
        <f t="shared" si="0"/>
        <v>-0.254388</v>
      </c>
      <c r="C32">
        <v>-0.26173299999999999</v>
      </c>
      <c r="D32">
        <v>-0.276333</v>
      </c>
      <c r="E32">
        <v>-0.24498300000000001</v>
      </c>
    </row>
    <row r="33" spans="1:5" x14ac:dyDescent="0.25">
      <c r="A33">
        <v>1866.17</v>
      </c>
      <c r="B33">
        <f t="shared" si="0"/>
        <v>-0.25610699999999997</v>
      </c>
      <c r="C33">
        <v>-0.26116699999999998</v>
      </c>
      <c r="D33">
        <v>-0.29166700000000001</v>
      </c>
      <c r="E33">
        <v>-0.240867</v>
      </c>
    </row>
    <row r="34" spans="1:5" x14ac:dyDescent="0.25">
      <c r="A34">
        <v>1867.17</v>
      </c>
      <c r="B34">
        <f t="shared" si="0"/>
        <v>-0.27056189999999997</v>
      </c>
      <c r="C34">
        <v>-0.27953299999999998</v>
      </c>
      <c r="D34">
        <v>-0.33844999999999997</v>
      </c>
      <c r="E34">
        <v>-0.24146699999999999</v>
      </c>
    </row>
    <row r="35" spans="1:5" x14ac:dyDescent="0.25">
      <c r="A35">
        <v>1868.17</v>
      </c>
      <c r="B35">
        <f t="shared" si="0"/>
        <v>-0.26418819999999998</v>
      </c>
      <c r="C35">
        <v>-0.26333299999999998</v>
      </c>
      <c r="D35">
        <v>-0.29196699999999998</v>
      </c>
      <c r="E35">
        <v>-0.25228299999999998</v>
      </c>
    </row>
    <row r="36" spans="1:5" x14ac:dyDescent="0.25">
      <c r="A36">
        <v>1869.17</v>
      </c>
      <c r="B36">
        <f t="shared" si="0"/>
        <v>-0.28447800000000001</v>
      </c>
      <c r="C36">
        <v>-0.27868300000000001</v>
      </c>
      <c r="D36">
        <v>-0.295433</v>
      </c>
      <c r="E36">
        <v>-0.279783</v>
      </c>
    </row>
    <row r="37" spans="1:5" x14ac:dyDescent="0.25">
      <c r="A37">
        <v>1870.17</v>
      </c>
      <c r="B37">
        <f t="shared" si="0"/>
        <v>-0.31110680000000002</v>
      </c>
      <c r="C37">
        <v>-0.301983</v>
      </c>
      <c r="D37">
        <v>-0.32193300000000002</v>
      </c>
      <c r="E37">
        <v>-0.30646699999999999</v>
      </c>
    </row>
    <row r="38" spans="1:5" x14ac:dyDescent="0.25">
      <c r="A38">
        <v>1871.17</v>
      </c>
      <c r="B38">
        <f t="shared" si="0"/>
        <v>-0.33969489999999997</v>
      </c>
      <c r="C38">
        <v>-0.33011699999999999</v>
      </c>
      <c r="D38">
        <v>-0.39078299999999999</v>
      </c>
      <c r="E38">
        <v>-0.31780000000000003</v>
      </c>
    </row>
    <row r="39" spans="1:5" x14ac:dyDescent="0.25">
      <c r="A39">
        <v>1872.17</v>
      </c>
      <c r="B39">
        <f t="shared" si="0"/>
        <v>-0.34923989999999999</v>
      </c>
      <c r="C39">
        <v>-0.34115000000000001</v>
      </c>
      <c r="D39">
        <v>-0.36438300000000001</v>
      </c>
      <c r="E39">
        <v>-0.34275</v>
      </c>
    </row>
    <row r="40" spans="1:5" x14ac:dyDescent="0.25">
      <c r="A40">
        <v>1873.17</v>
      </c>
      <c r="B40">
        <f t="shared" si="0"/>
        <v>-0.31763189999999997</v>
      </c>
      <c r="C40">
        <v>-0.31085000000000002</v>
      </c>
      <c r="D40">
        <v>-0.3634</v>
      </c>
      <c r="E40">
        <v>-0.29801699999999998</v>
      </c>
    </row>
    <row r="41" spans="1:5" x14ac:dyDescent="0.25">
      <c r="A41">
        <v>1874.17</v>
      </c>
      <c r="B41">
        <f t="shared" si="0"/>
        <v>-0.25273489999999998</v>
      </c>
      <c r="C41">
        <v>-0.24313299999999999</v>
      </c>
      <c r="D41">
        <v>-0.30123299999999997</v>
      </c>
      <c r="E41">
        <v>-0.23194999999999999</v>
      </c>
    </row>
    <row r="42" spans="1:5" x14ac:dyDescent="0.25">
      <c r="A42">
        <v>1875.17</v>
      </c>
      <c r="B42">
        <f t="shared" si="0"/>
        <v>-0.23299700000000001</v>
      </c>
      <c r="C42">
        <v>-0.21460000000000001</v>
      </c>
      <c r="D42">
        <v>-0.31426700000000002</v>
      </c>
      <c r="E42">
        <v>-0.19816700000000001</v>
      </c>
    </row>
    <row r="43" spans="1:5" x14ac:dyDescent="0.25">
      <c r="A43">
        <v>1876.17</v>
      </c>
      <c r="B43">
        <f t="shared" si="0"/>
        <v>-0.19625009999999998</v>
      </c>
      <c r="C43">
        <v>-0.17715</v>
      </c>
      <c r="D43">
        <v>-0.213167</v>
      </c>
      <c r="E43">
        <v>-0.189</v>
      </c>
    </row>
    <row r="44" spans="1:5" x14ac:dyDescent="0.25">
      <c r="A44">
        <v>1877.17</v>
      </c>
      <c r="B44">
        <f t="shared" si="0"/>
        <v>-0.16997180000000001</v>
      </c>
      <c r="C44">
        <v>-0.14091699999999999</v>
      </c>
      <c r="D44">
        <v>-0.208483</v>
      </c>
      <c r="E44">
        <v>-0.15346699999999999</v>
      </c>
    </row>
    <row r="45" spans="1:5" x14ac:dyDescent="0.25">
      <c r="A45">
        <v>1878.17</v>
      </c>
      <c r="B45">
        <f t="shared" si="0"/>
        <v>-0.20049199999999998</v>
      </c>
      <c r="C45">
        <v>-0.16855000000000001</v>
      </c>
      <c r="D45">
        <v>-0.210817</v>
      </c>
      <c r="E45">
        <v>-0.19606699999999999</v>
      </c>
    </row>
    <row r="46" spans="1:5" x14ac:dyDescent="0.25">
      <c r="A46">
        <v>1879.17</v>
      </c>
      <c r="B46">
        <f t="shared" si="0"/>
        <v>-0.26658700000000002</v>
      </c>
      <c r="C46">
        <v>-0.23335</v>
      </c>
      <c r="D46">
        <v>-0.308867</v>
      </c>
      <c r="E46">
        <v>-0.24846699999999999</v>
      </c>
    </row>
    <row r="47" spans="1:5" x14ac:dyDescent="0.25">
      <c r="A47">
        <v>1880.17</v>
      </c>
      <c r="B47">
        <f t="shared" si="0"/>
        <v>-0.284132</v>
      </c>
      <c r="C47">
        <v>-0.26741700000000002</v>
      </c>
      <c r="D47">
        <v>-0.33246700000000001</v>
      </c>
      <c r="E47">
        <v>-0.26341700000000001</v>
      </c>
    </row>
    <row r="48" spans="1:5" x14ac:dyDescent="0.25">
      <c r="A48">
        <v>1881.17</v>
      </c>
      <c r="B48">
        <f t="shared" si="0"/>
        <v>-0.30938319999999997</v>
      </c>
      <c r="C48">
        <v>-0.29861700000000002</v>
      </c>
      <c r="D48">
        <v>-0.392567</v>
      </c>
      <c r="E48">
        <v>-0.273733</v>
      </c>
    </row>
    <row r="49" spans="1:5" x14ac:dyDescent="0.25">
      <c r="A49">
        <v>1882.17</v>
      </c>
      <c r="B49">
        <f t="shared" si="0"/>
        <v>-0.31376179999999998</v>
      </c>
      <c r="C49">
        <v>-0.33055000000000001</v>
      </c>
      <c r="D49">
        <v>-0.40568300000000002</v>
      </c>
      <c r="E49">
        <v>-0.27436700000000003</v>
      </c>
    </row>
    <row r="50" spans="1:5" x14ac:dyDescent="0.25">
      <c r="A50">
        <v>1883.17</v>
      </c>
      <c r="B50">
        <f t="shared" si="0"/>
        <v>-0.33844199999999997</v>
      </c>
      <c r="C50">
        <v>-0.37128299999999997</v>
      </c>
      <c r="D50">
        <v>-0.45166699999999999</v>
      </c>
      <c r="E50">
        <v>-0.28991699999999998</v>
      </c>
    </row>
    <row r="51" spans="1:5" x14ac:dyDescent="0.25">
      <c r="A51">
        <v>1884.17</v>
      </c>
      <c r="B51">
        <f t="shared" si="0"/>
        <v>-0.34086320000000003</v>
      </c>
      <c r="C51">
        <v>-0.37498300000000001</v>
      </c>
      <c r="D51">
        <v>-0.463667</v>
      </c>
      <c r="E51">
        <v>-0.28823300000000002</v>
      </c>
    </row>
    <row r="52" spans="1:5" x14ac:dyDescent="0.25">
      <c r="A52">
        <v>1885.17</v>
      </c>
      <c r="B52">
        <f t="shared" si="0"/>
        <v>-0.30118179999999994</v>
      </c>
      <c r="C52">
        <v>-0.32988299999999998</v>
      </c>
      <c r="D52">
        <v>-0.40493299999999999</v>
      </c>
      <c r="E52">
        <v>-0.25671699999999997</v>
      </c>
    </row>
    <row r="53" spans="1:5" x14ac:dyDescent="0.25">
      <c r="A53">
        <v>1886.17</v>
      </c>
      <c r="B53">
        <f t="shared" si="0"/>
        <v>-0.3106469</v>
      </c>
      <c r="C53">
        <v>-0.33800000000000002</v>
      </c>
      <c r="D53">
        <v>-0.36799999999999999</v>
      </c>
      <c r="E53">
        <v>-0.28606700000000002</v>
      </c>
    </row>
    <row r="54" spans="1:5" x14ac:dyDescent="0.25">
      <c r="A54">
        <v>1887.17</v>
      </c>
      <c r="B54">
        <f t="shared" si="0"/>
        <v>-0.32700819999999997</v>
      </c>
      <c r="C54">
        <v>-0.33336700000000002</v>
      </c>
      <c r="D54">
        <v>-0.38061699999999998</v>
      </c>
      <c r="E54">
        <v>-0.304033</v>
      </c>
    </row>
    <row r="55" spans="1:5" x14ac:dyDescent="0.25">
      <c r="A55">
        <v>1888.17</v>
      </c>
      <c r="B55">
        <f t="shared" si="0"/>
        <v>-0.34763009999999994</v>
      </c>
      <c r="C55">
        <v>-0.34196700000000002</v>
      </c>
      <c r="D55">
        <v>-0.40451700000000002</v>
      </c>
      <c r="E55">
        <v>-0.32324999999999998</v>
      </c>
    </row>
    <row r="56" spans="1:5" x14ac:dyDescent="0.25">
      <c r="A56">
        <v>1889.17</v>
      </c>
      <c r="B56">
        <f t="shared" si="0"/>
        <v>-0.37839009999999995</v>
      </c>
      <c r="C56">
        <v>-0.37633299999999997</v>
      </c>
      <c r="D56">
        <v>-0.42806699999999998</v>
      </c>
      <c r="E56">
        <v>-0.35709999999999997</v>
      </c>
    </row>
    <row r="57" spans="1:5" x14ac:dyDescent="0.25">
      <c r="A57">
        <v>1890.17</v>
      </c>
      <c r="B57">
        <f t="shared" si="0"/>
        <v>-0.42901319999999998</v>
      </c>
      <c r="C57">
        <v>-0.423483</v>
      </c>
      <c r="D57">
        <v>-0.45696700000000001</v>
      </c>
      <c r="E57">
        <v>-0.41703299999999999</v>
      </c>
    </row>
    <row r="58" spans="1:5" x14ac:dyDescent="0.25">
      <c r="A58">
        <v>1891.17</v>
      </c>
      <c r="B58">
        <f t="shared" si="0"/>
        <v>-0.42399189999999998</v>
      </c>
      <c r="C58">
        <v>-0.41791699999999998</v>
      </c>
      <c r="D58">
        <v>-0.48635</v>
      </c>
      <c r="E58">
        <v>-0.39726699999999998</v>
      </c>
    </row>
    <row r="59" spans="1:5" x14ac:dyDescent="0.25">
      <c r="A59">
        <v>1892.17</v>
      </c>
      <c r="B59">
        <f t="shared" si="0"/>
        <v>-0.39316499999999999</v>
      </c>
      <c r="C59">
        <v>-0.38778299999999999</v>
      </c>
      <c r="D59">
        <v>-0.45515</v>
      </c>
      <c r="E59">
        <v>-0.36659999999999998</v>
      </c>
    </row>
    <row r="60" spans="1:5" x14ac:dyDescent="0.25">
      <c r="A60">
        <v>1893.17</v>
      </c>
      <c r="B60">
        <f t="shared" si="0"/>
        <v>-0.34096499999999996</v>
      </c>
      <c r="C60">
        <v>-0.33776699999999998</v>
      </c>
      <c r="D60">
        <v>-0.39174999999999999</v>
      </c>
      <c r="E60">
        <v>-0.31919999999999998</v>
      </c>
    </row>
    <row r="61" spans="1:5" x14ac:dyDescent="0.25">
      <c r="A61">
        <v>1894.17</v>
      </c>
      <c r="B61">
        <f t="shared" si="0"/>
        <v>-0.32228689999999993</v>
      </c>
      <c r="C61">
        <v>-0.32353300000000002</v>
      </c>
      <c r="D61">
        <v>-0.32734999999999997</v>
      </c>
      <c r="E61">
        <v>-0.32011699999999998</v>
      </c>
    </row>
    <row r="62" spans="1:5" x14ac:dyDescent="0.25">
      <c r="A62">
        <v>1895.17</v>
      </c>
      <c r="B62">
        <f t="shared" si="0"/>
        <v>-0.29334320000000003</v>
      </c>
      <c r="C62">
        <v>-0.29930000000000001</v>
      </c>
      <c r="D62">
        <v>-0.30071700000000001</v>
      </c>
      <c r="E62">
        <v>-0.29018300000000002</v>
      </c>
    </row>
    <row r="63" spans="1:5" x14ac:dyDescent="0.25">
      <c r="A63">
        <v>1896.17</v>
      </c>
      <c r="B63">
        <f t="shared" si="0"/>
        <v>-0.25420689999999996</v>
      </c>
      <c r="C63">
        <v>-0.26019999999999999</v>
      </c>
      <c r="D63">
        <v>-0.2263</v>
      </c>
      <c r="E63">
        <v>-0.26616699999999999</v>
      </c>
    </row>
    <row r="64" spans="1:5" x14ac:dyDescent="0.25">
      <c r="A64">
        <v>1897.17</v>
      </c>
      <c r="B64">
        <f t="shared" si="0"/>
        <v>-0.2688931</v>
      </c>
      <c r="C64">
        <v>-0.27625</v>
      </c>
      <c r="D64">
        <v>-0.18410000000000001</v>
      </c>
      <c r="E64">
        <v>-0.30523299999999998</v>
      </c>
    </row>
    <row r="65" spans="1:5" x14ac:dyDescent="0.25">
      <c r="A65">
        <v>1898.17</v>
      </c>
      <c r="B65">
        <f t="shared" si="0"/>
        <v>-0.30664509999999995</v>
      </c>
      <c r="C65">
        <v>-0.31661699999999998</v>
      </c>
      <c r="D65">
        <v>-0.204317</v>
      </c>
      <c r="E65">
        <v>-0.35049999999999998</v>
      </c>
    </row>
    <row r="66" spans="1:5" x14ac:dyDescent="0.25">
      <c r="A66">
        <v>1899.17</v>
      </c>
      <c r="B66">
        <f t="shared" si="0"/>
        <v>-0.32397799999999999</v>
      </c>
      <c r="C66">
        <v>-0.33111699999999999</v>
      </c>
      <c r="D66">
        <v>-0.21068300000000001</v>
      </c>
      <c r="E66">
        <v>-0.372533</v>
      </c>
    </row>
    <row r="67" spans="1:5" x14ac:dyDescent="0.25">
      <c r="A67">
        <v>1900.17</v>
      </c>
      <c r="B67">
        <f t="shared" si="0"/>
        <v>-0.37148809999999999</v>
      </c>
      <c r="C67">
        <v>-0.37816699999999998</v>
      </c>
      <c r="D67">
        <v>-0.25285000000000002</v>
      </c>
      <c r="E67">
        <v>-0.42233300000000001</v>
      </c>
    </row>
    <row r="68" spans="1:5" x14ac:dyDescent="0.25">
      <c r="A68">
        <v>1901.17</v>
      </c>
      <c r="B68">
        <f t="shared" si="0"/>
        <v>-0.4126281</v>
      </c>
      <c r="C68">
        <v>-0.41501700000000002</v>
      </c>
      <c r="D68">
        <v>-0.29944999999999999</v>
      </c>
      <c r="E68">
        <v>-0.46113300000000002</v>
      </c>
    </row>
    <row r="69" spans="1:5" x14ac:dyDescent="0.25">
      <c r="A69">
        <v>1902.17</v>
      </c>
      <c r="B69">
        <f t="shared" si="0"/>
        <v>-0.41780799999999996</v>
      </c>
      <c r="C69">
        <v>-0.42021700000000001</v>
      </c>
      <c r="D69">
        <v>-0.307033</v>
      </c>
      <c r="E69">
        <v>-0.465283</v>
      </c>
    </row>
    <row r="70" spans="1:5" x14ac:dyDescent="0.25">
      <c r="A70">
        <v>1903.17</v>
      </c>
      <c r="B70">
        <f t="shared" si="0"/>
        <v>-0.43400489999999997</v>
      </c>
      <c r="C70">
        <v>-0.433417</v>
      </c>
      <c r="D70">
        <v>-0.34698299999999999</v>
      </c>
      <c r="E70">
        <v>-0.4713</v>
      </c>
    </row>
    <row r="71" spans="1:5" x14ac:dyDescent="0.25">
      <c r="A71">
        <v>1904.17</v>
      </c>
      <c r="B71">
        <f t="shared" si="0"/>
        <v>-0.44400309999999998</v>
      </c>
      <c r="C71">
        <v>-0.44193300000000002</v>
      </c>
      <c r="D71">
        <v>-0.36180000000000001</v>
      </c>
      <c r="E71">
        <v>-0.47923300000000002</v>
      </c>
    </row>
    <row r="72" spans="1:5" x14ac:dyDescent="0.25">
      <c r="A72">
        <v>1905.17</v>
      </c>
      <c r="B72">
        <f t="shared" si="0"/>
        <v>-0.44308199999999998</v>
      </c>
      <c r="C72">
        <v>-0.443633</v>
      </c>
      <c r="D72">
        <v>-0.34686699999999998</v>
      </c>
      <c r="E72">
        <v>-0.484317</v>
      </c>
    </row>
    <row r="73" spans="1:5" x14ac:dyDescent="0.25">
      <c r="A73">
        <v>1906.17</v>
      </c>
      <c r="B73">
        <f t="shared" si="0"/>
        <v>-0.46489009999999997</v>
      </c>
      <c r="C73">
        <v>-0.46639999999999998</v>
      </c>
      <c r="D73">
        <v>-0.329067</v>
      </c>
      <c r="E73">
        <v>-0.52310000000000001</v>
      </c>
    </row>
    <row r="74" spans="1:5" x14ac:dyDescent="0.25">
      <c r="A74">
        <v>1907.17</v>
      </c>
      <c r="B74">
        <f t="shared" si="0"/>
        <v>-0.50800800000000002</v>
      </c>
      <c r="C74">
        <v>-0.51870000000000005</v>
      </c>
      <c r="D74">
        <v>-0.37063299999999999</v>
      </c>
      <c r="E74">
        <v>-0.56688300000000003</v>
      </c>
    </row>
    <row r="75" spans="1:5" x14ac:dyDescent="0.25">
      <c r="A75">
        <v>1908.17</v>
      </c>
      <c r="B75">
        <f t="shared" si="0"/>
        <v>-0.50090190000000001</v>
      </c>
      <c r="C75">
        <v>-0.51406700000000005</v>
      </c>
      <c r="D75">
        <v>-0.34150000000000003</v>
      </c>
      <c r="E75">
        <v>-0.56921699999999997</v>
      </c>
    </row>
    <row r="76" spans="1:5" x14ac:dyDescent="0.25">
      <c r="A76">
        <v>1909.17</v>
      </c>
      <c r="B76">
        <f t="shared" si="0"/>
        <v>-0.48436319999999994</v>
      </c>
      <c r="C76">
        <v>-0.49711699999999998</v>
      </c>
      <c r="D76">
        <v>-0.31176700000000002</v>
      </c>
      <c r="E76">
        <v>-0.55833299999999997</v>
      </c>
    </row>
    <row r="77" spans="1:5" x14ac:dyDescent="0.25">
      <c r="A77">
        <v>1910.17</v>
      </c>
      <c r="B77">
        <f t="shared" si="0"/>
        <v>-0.42996009999999996</v>
      </c>
      <c r="C77">
        <v>-0.44224999999999998</v>
      </c>
      <c r="D77">
        <v>-0.238067</v>
      </c>
      <c r="E77">
        <v>-0.51219999999999999</v>
      </c>
    </row>
    <row r="78" spans="1:5" x14ac:dyDescent="0.25">
      <c r="A78">
        <v>1911.17</v>
      </c>
      <c r="B78">
        <f t="shared" si="0"/>
        <v>-0.36682690000000001</v>
      </c>
      <c r="C78">
        <v>-0.37636700000000001</v>
      </c>
      <c r="D78">
        <v>-0.1978</v>
      </c>
      <c r="E78">
        <v>-0.43926700000000002</v>
      </c>
    </row>
    <row r="79" spans="1:5" x14ac:dyDescent="0.25">
      <c r="A79">
        <v>1912.17</v>
      </c>
      <c r="B79">
        <f t="shared" si="0"/>
        <v>-0.34209990000000001</v>
      </c>
      <c r="C79">
        <v>-0.34410000000000002</v>
      </c>
      <c r="D79">
        <v>-0.18413299999999999</v>
      </c>
      <c r="E79">
        <v>-0.4098</v>
      </c>
    </row>
    <row r="80" spans="1:5" x14ac:dyDescent="0.25">
      <c r="A80">
        <v>1913.17</v>
      </c>
      <c r="B80">
        <f t="shared" si="0"/>
        <v>-0.35037499999999999</v>
      </c>
      <c r="C80">
        <v>-0.34916700000000001</v>
      </c>
      <c r="D80">
        <v>-0.2263</v>
      </c>
      <c r="E80">
        <v>-0.40355000000000002</v>
      </c>
    </row>
    <row r="81" spans="1:5" x14ac:dyDescent="0.25">
      <c r="A81">
        <v>1914.17</v>
      </c>
      <c r="B81">
        <f t="shared" si="0"/>
        <v>-0.33558999999999994</v>
      </c>
      <c r="C81">
        <v>-0.33133299999999999</v>
      </c>
      <c r="D81">
        <v>-0.24970000000000001</v>
      </c>
      <c r="E81">
        <v>-0.37240000000000001</v>
      </c>
    </row>
    <row r="82" spans="1:5" x14ac:dyDescent="0.25">
      <c r="A82">
        <v>1915.17</v>
      </c>
      <c r="B82">
        <f t="shared" ref="B82:B145" si="1">0.3*$D82+0.7*$E82</f>
        <v>-0.34918319999999997</v>
      </c>
      <c r="C82">
        <v>-0.33701700000000001</v>
      </c>
      <c r="D82">
        <v>-0.294817</v>
      </c>
      <c r="E82">
        <v>-0.37248300000000001</v>
      </c>
    </row>
    <row r="83" spans="1:5" x14ac:dyDescent="0.25">
      <c r="A83">
        <v>1916.17</v>
      </c>
      <c r="B83">
        <f t="shared" si="1"/>
        <v>-0.36729009999999995</v>
      </c>
      <c r="C83">
        <v>-0.35408299999999998</v>
      </c>
      <c r="D83">
        <v>-0.32211699999999999</v>
      </c>
      <c r="E83">
        <v>-0.38664999999999999</v>
      </c>
    </row>
    <row r="84" spans="1:5" x14ac:dyDescent="0.25">
      <c r="A84">
        <v>1917.17</v>
      </c>
      <c r="B84">
        <f t="shared" si="1"/>
        <v>-0.33353690000000003</v>
      </c>
      <c r="C84">
        <v>-0.31331700000000001</v>
      </c>
      <c r="D84">
        <v>-0.26755000000000001</v>
      </c>
      <c r="E84">
        <v>-0.361817</v>
      </c>
    </row>
    <row r="85" spans="1:5" x14ac:dyDescent="0.25">
      <c r="A85">
        <v>1918.17</v>
      </c>
      <c r="B85">
        <f t="shared" si="1"/>
        <v>-0.3040001</v>
      </c>
      <c r="C85">
        <v>-0.27934999999999999</v>
      </c>
      <c r="D85">
        <v>-0.18301700000000001</v>
      </c>
      <c r="E85">
        <v>-0.35585</v>
      </c>
    </row>
    <row r="86" spans="1:5" x14ac:dyDescent="0.25">
      <c r="A86">
        <v>1919.17</v>
      </c>
      <c r="B86">
        <f t="shared" si="1"/>
        <v>-0.29342309999999999</v>
      </c>
      <c r="C86">
        <v>-0.26486700000000002</v>
      </c>
      <c r="D86">
        <v>-0.14255000000000001</v>
      </c>
      <c r="E86">
        <v>-0.35808299999999998</v>
      </c>
    </row>
    <row r="87" spans="1:5" x14ac:dyDescent="0.25">
      <c r="A87">
        <v>1920.17</v>
      </c>
      <c r="B87">
        <f t="shared" si="1"/>
        <v>-0.29376689999999994</v>
      </c>
      <c r="C87">
        <v>-0.26761699999999999</v>
      </c>
      <c r="D87">
        <v>-0.14630000000000001</v>
      </c>
      <c r="E87">
        <v>-0.35696699999999998</v>
      </c>
    </row>
    <row r="88" spans="1:5" x14ac:dyDescent="0.25">
      <c r="A88">
        <v>1921.17</v>
      </c>
      <c r="B88">
        <f t="shared" si="1"/>
        <v>-0.28897819999999996</v>
      </c>
      <c r="C88">
        <v>-0.26055</v>
      </c>
      <c r="D88">
        <v>-0.13286700000000001</v>
      </c>
      <c r="E88">
        <v>-0.355883</v>
      </c>
    </row>
    <row r="89" spans="1:5" x14ac:dyDescent="0.25">
      <c r="A89">
        <v>1922.17</v>
      </c>
      <c r="B89">
        <f t="shared" si="1"/>
        <v>-0.26836319999999997</v>
      </c>
      <c r="C89">
        <v>-0.244367</v>
      </c>
      <c r="D89">
        <v>-0.12586700000000001</v>
      </c>
      <c r="E89">
        <v>-0.32943299999999998</v>
      </c>
    </row>
    <row r="90" spans="1:5" x14ac:dyDescent="0.25">
      <c r="A90">
        <v>1923.17</v>
      </c>
      <c r="B90">
        <f t="shared" si="1"/>
        <v>-0.24233319999999997</v>
      </c>
      <c r="C90">
        <v>-0.22489999999999999</v>
      </c>
      <c r="D90">
        <v>-0.119367</v>
      </c>
      <c r="E90">
        <v>-0.29503299999999999</v>
      </c>
    </row>
    <row r="91" spans="1:5" x14ac:dyDescent="0.25">
      <c r="A91">
        <v>1924.17</v>
      </c>
      <c r="B91">
        <f t="shared" si="1"/>
        <v>-0.2212701</v>
      </c>
      <c r="C91">
        <v>-0.21235000000000001</v>
      </c>
      <c r="D91">
        <v>-0.100567</v>
      </c>
      <c r="E91">
        <v>-0.27300000000000002</v>
      </c>
    </row>
    <row r="92" spans="1:5" x14ac:dyDescent="0.25">
      <c r="A92">
        <v>1925.17</v>
      </c>
      <c r="B92">
        <f t="shared" si="1"/>
        <v>-0.22425799999999999</v>
      </c>
      <c r="C92">
        <v>-0.22143299999999999</v>
      </c>
      <c r="D92">
        <v>-0.121533</v>
      </c>
      <c r="E92">
        <v>-0.26828299999999999</v>
      </c>
    </row>
    <row r="93" spans="1:5" x14ac:dyDescent="0.25">
      <c r="A93">
        <v>1926.17</v>
      </c>
      <c r="B93">
        <f t="shared" si="1"/>
        <v>-0.19751308999999997</v>
      </c>
      <c r="C93">
        <v>-0.20505000000000001</v>
      </c>
      <c r="D93">
        <v>-9.95833E-2</v>
      </c>
      <c r="E93">
        <v>-0.239483</v>
      </c>
    </row>
    <row r="94" spans="1:5" x14ac:dyDescent="0.25">
      <c r="A94">
        <v>1927.17</v>
      </c>
      <c r="B94">
        <f t="shared" si="1"/>
        <v>-0.1920818</v>
      </c>
      <c r="C94">
        <v>-0.19996700000000001</v>
      </c>
      <c r="D94">
        <v>-0.104383</v>
      </c>
      <c r="E94">
        <v>-0.22966700000000001</v>
      </c>
    </row>
    <row r="95" spans="1:5" x14ac:dyDescent="0.25">
      <c r="A95">
        <v>1928.17</v>
      </c>
      <c r="B95">
        <f t="shared" si="1"/>
        <v>-0.17453809000000001</v>
      </c>
      <c r="C95">
        <v>-0.184917</v>
      </c>
      <c r="D95">
        <v>-7.1883299999999997E-2</v>
      </c>
      <c r="E95">
        <v>-0.21853300000000001</v>
      </c>
    </row>
    <row r="96" spans="1:5" x14ac:dyDescent="0.25">
      <c r="A96">
        <v>1929.17</v>
      </c>
      <c r="B96">
        <f t="shared" si="1"/>
        <v>-0.18469189999999996</v>
      </c>
      <c r="C96">
        <v>-0.19705</v>
      </c>
      <c r="D96">
        <v>-0.10285</v>
      </c>
      <c r="E96">
        <v>-0.21976699999999999</v>
      </c>
    </row>
    <row r="97" spans="1:5" x14ac:dyDescent="0.25">
      <c r="A97">
        <v>1930.17</v>
      </c>
      <c r="B97">
        <f t="shared" si="1"/>
        <v>-0.14113500000000001</v>
      </c>
      <c r="C97">
        <v>-0.15346699999999999</v>
      </c>
      <c r="D97">
        <v>-1.4749999999999999E-2</v>
      </c>
      <c r="E97">
        <v>-0.1953</v>
      </c>
    </row>
    <row r="98" spans="1:5" x14ac:dyDescent="0.25">
      <c r="A98">
        <v>1931.17</v>
      </c>
      <c r="B98">
        <f t="shared" si="1"/>
        <v>-0.14628309</v>
      </c>
      <c r="C98">
        <v>-0.16156699999999999</v>
      </c>
      <c r="D98">
        <v>-2.41333E-2</v>
      </c>
      <c r="E98">
        <v>-0.198633</v>
      </c>
    </row>
    <row r="99" spans="1:5" x14ac:dyDescent="0.25">
      <c r="A99">
        <v>1932.17</v>
      </c>
      <c r="B99">
        <f t="shared" si="1"/>
        <v>-0.14934500999999997</v>
      </c>
      <c r="C99">
        <v>-0.17305000000000001</v>
      </c>
      <c r="D99">
        <v>-2.6716699999999999E-2</v>
      </c>
      <c r="E99">
        <v>-0.2019</v>
      </c>
    </row>
    <row r="100" spans="1:5" x14ac:dyDescent="0.25">
      <c r="A100">
        <v>1933.17</v>
      </c>
      <c r="B100">
        <f t="shared" si="1"/>
        <v>-0.12321188999999999</v>
      </c>
      <c r="C100">
        <v>-0.150667</v>
      </c>
      <c r="D100">
        <v>-1.9133299999999999E-2</v>
      </c>
      <c r="E100">
        <v>-0.16781699999999999</v>
      </c>
    </row>
    <row r="101" spans="1:5" x14ac:dyDescent="0.25">
      <c r="A101">
        <v>1934.17</v>
      </c>
      <c r="B101">
        <f t="shared" si="1"/>
        <v>-6.3258089999999989E-2</v>
      </c>
      <c r="C101">
        <v>-9.71167E-2</v>
      </c>
      <c r="D101">
        <v>7.6916700000000005E-2</v>
      </c>
      <c r="E101">
        <v>-0.123333</v>
      </c>
    </row>
    <row r="102" spans="1:5" x14ac:dyDescent="0.25">
      <c r="A102">
        <v>1935.17</v>
      </c>
      <c r="B102">
        <f t="shared" si="1"/>
        <v>-3.3788299999999993E-2</v>
      </c>
      <c r="C102">
        <v>-8.1966700000000003E-2</v>
      </c>
      <c r="D102">
        <v>8.1466700000000003E-2</v>
      </c>
      <c r="E102">
        <v>-8.3183300000000002E-2</v>
      </c>
    </row>
    <row r="103" spans="1:5" x14ac:dyDescent="0.25">
      <c r="A103">
        <v>1936.17</v>
      </c>
      <c r="B103">
        <f t="shared" si="1"/>
        <v>2.6100999999999937E-3</v>
      </c>
      <c r="C103">
        <v>-4.21833E-2</v>
      </c>
      <c r="D103">
        <v>0.10506699999999999</v>
      </c>
      <c r="E103">
        <v>-4.1300000000000003E-2</v>
      </c>
    </row>
    <row r="104" spans="1:5" x14ac:dyDescent="0.25">
      <c r="A104">
        <v>1937.17</v>
      </c>
      <c r="B104">
        <f t="shared" si="1"/>
        <v>4.6916589999999994E-2</v>
      </c>
      <c r="C104">
        <v>-8.8333300000000003E-3</v>
      </c>
      <c r="D104">
        <v>0.117033</v>
      </c>
      <c r="E104">
        <v>1.6866699999999998E-2</v>
      </c>
    </row>
    <row r="105" spans="1:5" x14ac:dyDescent="0.25">
      <c r="A105">
        <v>1938.17</v>
      </c>
      <c r="B105">
        <f t="shared" si="1"/>
        <v>4.6916689999999997E-2</v>
      </c>
      <c r="C105">
        <v>-7.8666699999999992E-3</v>
      </c>
      <c r="D105">
        <v>0.1147</v>
      </c>
      <c r="E105">
        <v>1.7866699999999999E-2</v>
      </c>
    </row>
    <row r="106" spans="1:5" x14ac:dyDescent="0.25">
      <c r="A106">
        <v>1939.17</v>
      </c>
      <c r="B106">
        <f t="shared" si="1"/>
        <v>4.1874990000000001E-2</v>
      </c>
      <c r="C106">
        <v>-6.4333300000000001E-3</v>
      </c>
      <c r="D106">
        <v>8.6033299999999993E-2</v>
      </c>
      <c r="E106">
        <v>2.2950000000000002E-2</v>
      </c>
    </row>
    <row r="107" spans="1:5" x14ac:dyDescent="0.25">
      <c r="A107">
        <v>1940.17</v>
      </c>
      <c r="B107">
        <f t="shared" si="1"/>
        <v>6.1996589999999997E-2</v>
      </c>
      <c r="C107">
        <v>3.5016699999999998E-2</v>
      </c>
      <c r="D107">
        <v>0.106283</v>
      </c>
      <c r="E107">
        <v>4.3016699999999998E-2</v>
      </c>
    </row>
    <row r="108" spans="1:5" x14ac:dyDescent="0.25">
      <c r="A108">
        <v>1941.17</v>
      </c>
      <c r="B108">
        <f t="shared" si="1"/>
        <v>6.198832E-2</v>
      </c>
      <c r="C108">
        <v>3.6650000000000002E-2</v>
      </c>
      <c r="D108">
        <v>8.9066699999999999E-2</v>
      </c>
      <c r="E108">
        <v>5.0383299999999999E-2</v>
      </c>
    </row>
    <row r="109" spans="1:5" x14ac:dyDescent="0.25">
      <c r="A109">
        <v>1942.17</v>
      </c>
      <c r="B109">
        <f t="shared" si="1"/>
        <v>4.609999999999996E-3</v>
      </c>
      <c r="C109">
        <v>1.8599999999999998E-2</v>
      </c>
      <c r="D109">
        <v>8.3849999999999994E-2</v>
      </c>
      <c r="E109">
        <v>-2.9350000000000001E-2</v>
      </c>
    </row>
    <row r="110" spans="1:5" x14ac:dyDescent="0.25">
      <c r="A110">
        <v>1943.17</v>
      </c>
      <c r="B110">
        <f t="shared" si="1"/>
        <v>-3.2929999999999994E-2</v>
      </c>
      <c r="C110">
        <v>1.45833E-2</v>
      </c>
      <c r="D110">
        <v>9.0550000000000005E-2</v>
      </c>
      <c r="E110">
        <v>-8.5849999999999996E-2</v>
      </c>
    </row>
    <row r="111" spans="1:5" x14ac:dyDescent="0.25">
      <c r="A111">
        <v>1944.17</v>
      </c>
      <c r="B111">
        <f t="shared" si="1"/>
        <v>-7.2028099999999984E-2</v>
      </c>
      <c r="C111">
        <v>7.2833300000000002E-3</v>
      </c>
      <c r="D111">
        <v>8.6650000000000005E-2</v>
      </c>
      <c r="E111">
        <v>-0.14003299999999999</v>
      </c>
    </row>
    <row r="112" spans="1:5" x14ac:dyDescent="0.25">
      <c r="A112">
        <v>1945.17</v>
      </c>
      <c r="B112">
        <f t="shared" si="1"/>
        <v>-0.13271810999999997</v>
      </c>
      <c r="C112">
        <v>-3.8333300000000001E-2</v>
      </c>
      <c r="D112">
        <v>4.1733300000000001E-2</v>
      </c>
      <c r="E112">
        <v>-0.207483</v>
      </c>
    </row>
    <row r="113" spans="1:5" x14ac:dyDescent="0.25">
      <c r="A113">
        <v>1946.17</v>
      </c>
      <c r="B113">
        <f t="shared" si="1"/>
        <v>-0.19000809999999999</v>
      </c>
      <c r="C113">
        <v>-7.9766699999999996E-2</v>
      </c>
      <c r="D113">
        <v>5.3499999999999997E-3</v>
      </c>
      <c r="E113">
        <v>-0.273733</v>
      </c>
    </row>
    <row r="114" spans="1:5" x14ac:dyDescent="0.25">
      <c r="A114">
        <v>1947.17</v>
      </c>
      <c r="B114">
        <f t="shared" si="1"/>
        <v>-0.17971310100000001</v>
      </c>
      <c r="C114">
        <v>-7.6333300000000007E-2</v>
      </c>
      <c r="D114">
        <v>-1.5166699999999999E-3</v>
      </c>
      <c r="E114">
        <v>-0.25608300000000001</v>
      </c>
    </row>
    <row r="115" spans="1:5" x14ac:dyDescent="0.25">
      <c r="A115">
        <v>1948.17</v>
      </c>
      <c r="B115">
        <f t="shared" si="1"/>
        <v>-0.15243000999999998</v>
      </c>
      <c r="C115">
        <v>-6.1749999999999999E-2</v>
      </c>
      <c r="D115">
        <v>-1.2966699999999999E-2</v>
      </c>
      <c r="E115">
        <v>-0.2122</v>
      </c>
    </row>
    <row r="116" spans="1:5" x14ac:dyDescent="0.25">
      <c r="A116">
        <v>1949.17</v>
      </c>
      <c r="B116">
        <f t="shared" si="1"/>
        <v>-0.11484999899999999</v>
      </c>
      <c r="C116">
        <v>-3.4283300000000003E-2</v>
      </c>
      <c r="D116">
        <v>9.5166699999999996E-3</v>
      </c>
      <c r="E116">
        <v>-0.16814999999999999</v>
      </c>
    </row>
    <row r="117" spans="1:5" x14ac:dyDescent="0.25">
      <c r="A117">
        <v>1950.17</v>
      </c>
      <c r="B117">
        <f t="shared" si="1"/>
        <v>-0.11989689989999999</v>
      </c>
      <c r="C117">
        <v>-4.5716699999999999E-2</v>
      </c>
      <c r="D117">
        <v>6.6666700000000002E-4</v>
      </c>
      <c r="E117">
        <v>-0.171567</v>
      </c>
    </row>
    <row r="118" spans="1:5" x14ac:dyDescent="0.25">
      <c r="A118">
        <v>1951.17</v>
      </c>
      <c r="B118">
        <f t="shared" si="1"/>
        <v>-0.11771999999999999</v>
      </c>
      <c r="C118">
        <v>-4.8016700000000002E-2</v>
      </c>
      <c r="D118">
        <v>2.375E-2</v>
      </c>
      <c r="E118">
        <v>-0.17835000000000001</v>
      </c>
    </row>
    <row r="119" spans="1:5" x14ac:dyDescent="0.25">
      <c r="A119">
        <v>1952.17</v>
      </c>
      <c r="B119">
        <f t="shared" si="1"/>
        <v>-0.15025311</v>
      </c>
      <c r="C119">
        <v>-9.06E-2</v>
      </c>
      <c r="D119">
        <v>-3.8416699999999998E-2</v>
      </c>
      <c r="E119">
        <v>-0.198183</v>
      </c>
    </row>
    <row r="120" spans="1:5" x14ac:dyDescent="0.25">
      <c r="A120">
        <v>1953.17</v>
      </c>
      <c r="B120">
        <f t="shared" si="1"/>
        <v>-0.14763691000000001</v>
      </c>
      <c r="C120">
        <v>-9.7733299999999995E-2</v>
      </c>
      <c r="D120">
        <v>-3.9066700000000003E-2</v>
      </c>
      <c r="E120">
        <v>-0.19416700000000001</v>
      </c>
    </row>
    <row r="121" spans="1:5" x14ac:dyDescent="0.25">
      <c r="A121">
        <v>1954.17</v>
      </c>
      <c r="B121">
        <f t="shared" si="1"/>
        <v>-0.14474691000000001</v>
      </c>
      <c r="C121">
        <v>-0.108083</v>
      </c>
      <c r="D121">
        <v>-5.4516700000000001E-2</v>
      </c>
      <c r="E121">
        <v>-0.183417</v>
      </c>
    </row>
    <row r="122" spans="1:5" x14ac:dyDescent="0.25">
      <c r="A122">
        <v>1955.17</v>
      </c>
      <c r="B122">
        <f t="shared" si="1"/>
        <v>-0.10849309</v>
      </c>
      <c r="C122">
        <v>-7.8316700000000003E-2</v>
      </c>
      <c r="D122">
        <v>-2.1133300000000001E-2</v>
      </c>
      <c r="E122">
        <v>-0.14593300000000001</v>
      </c>
    </row>
    <row r="123" spans="1:5" x14ac:dyDescent="0.25">
      <c r="A123">
        <v>1956.17</v>
      </c>
      <c r="B123">
        <f t="shared" si="1"/>
        <v>-7.3776899899999984E-2</v>
      </c>
      <c r="C123">
        <v>-5.0950000000000002E-2</v>
      </c>
      <c r="D123">
        <v>8.66667E-4</v>
      </c>
      <c r="E123">
        <v>-0.105767</v>
      </c>
    </row>
    <row r="124" spans="1:5" x14ac:dyDescent="0.25">
      <c r="A124">
        <v>1957.17</v>
      </c>
      <c r="B124">
        <f t="shared" si="1"/>
        <v>-1.3119999999999996E-2</v>
      </c>
      <c r="C124">
        <v>9.7999999999999997E-3</v>
      </c>
      <c r="D124">
        <v>9.1950000000000004E-2</v>
      </c>
      <c r="E124">
        <v>-5.815E-2</v>
      </c>
    </row>
    <row r="125" spans="1:5" x14ac:dyDescent="0.25">
      <c r="A125">
        <v>1958.17</v>
      </c>
      <c r="B125">
        <f t="shared" si="1"/>
        <v>-6.4532100000000009E-3</v>
      </c>
      <c r="C125">
        <v>1.43833E-2</v>
      </c>
      <c r="D125">
        <v>0.111217</v>
      </c>
      <c r="E125">
        <v>-5.6883299999999998E-2</v>
      </c>
    </row>
    <row r="126" spans="1:5" x14ac:dyDescent="0.25">
      <c r="A126">
        <v>1959.17</v>
      </c>
      <c r="B126">
        <f t="shared" si="1"/>
        <v>-8.4834099999999968E-3</v>
      </c>
      <c r="C126">
        <v>1.49333E-2</v>
      </c>
      <c r="D126">
        <v>0.106783</v>
      </c>
      <c r="E126">
        <v>-5.7883299999999999E-2</v>
      </c>
    </row>
    <row r="127" spans="1:5" x14ac:dyDescent="0.25">
      <c r="A127">
        <v>1960.17</v>
      </c>
      <c r="B127">
        <f t="shared" si="1"/>
        <v>-5.330331E-2</v>
      </c>
      <c r="C127">
        <v>-3.3099999999999997E-2</v>
      </c>
      <c r="D127">
        <v>4.5350000000000001E-2</v>
      </c>
      <c r="E127">
        <v>-9.5583299999999996E-2</v>
      </c>
    </row>
    <row r="128" spans="1:5" x14ac:dyDescent="0.25">
      <c r="A128">
        <v>1961.17</v>
      </c>
      <c r="B128">
        <f t="shared" si="1"/>
        <v>-7.8181890000000004E-2</v>
      </c>
      <c r="C128">
        <v>-5.0983300000000002E-2</v>
      </c>
      <c r="D128">
        <v>1.40667E-2</v>
      </c>
      <c r="E128">
        <v>-0.117717</v>
      </c>
    </row>
    <row r="129" spans="1:5" x14ac:dyDescent="0.25">
      <c r="A129">
        <v>1962.17</v>
      </c>
      <c r="B129">
        <f t="shared" si="1"/>
        <v>-0.10185688999999999</v>
      </c>
      <c r="C129">
        <v>-7.3183300000000007E-2</v>
      </c>
      <c r="D129">
        <v>-2.4833299999999999E-2</v>
      </c>
      <c r="E129">
        <v>-0.13486699999999999</v>
      </c>
    </row>
    <row r="130" spans="1:5" x14ac:dyDescent="0.25">
      <c r="A130">
        <v>1963.17</v>
      </c>
      <c r="B130">
        <f t="shared" si="1"/>
        <v>-0.12403189999999999</v>
      </c>
      <c r="C130">
        <v>-9.2100000000000001E-2</v>
      </c>
      <c r="D130">
        <v>-5.0099999999999999E-2</v>
      </c>
      <c r="E130">
        <v>-0.15571699999999999</v>
      </c>
    </row>
    <row r="131" spans="1:5" x14ac:dyDescent="0.25">
      <c r="A131">
        <v>1964.17</v>
      </c>
      <c r="B131">
        <f t="shared" si="1"/>
        <v>-0.15122998999999998</v>
      </c>
      <c r="C131">
        <v>-0.12438299999999999</v>
      </c>
      <c r="D131">
        <v>-9.5183299999999998E-2</v>
      </c>
      <c r="E131">
        <v>-0.17524999999999999</v>
      </c>
    </row>
    <row r="132" spans="1:5" x14ac:dyDescent="0.25">
      <c r="A132">
        <v>1965.17</v>
      </c>
      <c r="B132">
        <f t="shared" si="1"/>
        <v>-9.7973089999999999E-2</v>
      </c>
      <c r="C132">
        <v>-7.3916700000000002E-2</v>
      </c>
      <c r="D132">
        <v>-6.4933299999999999E-2</v>
      </c>
      <c r="E132">
        <v>-0.112133</v>
      </c>
    </row>
    <row r="133" spans="1:5" x14ac:dyDescent="0.25">
      <c r="A133">
        <v>1966.17</v>
      </c>
      <c r="B133">
        <f t="shared" si="1"/>
        <v>-6.7353319999999994E-2</v>
      </c>
      <c r="C133">
        <v>-5.1216699999999997E-2</v>
      </c>
      <c r="D133">
        <v>-3.2516700000000003E-2</v>
      </c>
      <c r="E133">
        <v>-8.2283300000000004E-2</v>
      </c>
    </row>
    <row r="134" spans="1:5" x14ac:dyDescent="0.25">
      <c r="A134">
        <v>1967.17</v>
      </c>
      <c r="B134">
        <f t="shared" si="1"/>
        <v>-8.1198319999999991E-2</v>
      </c>
      <c r="C134">
        <v>-7.3999999999999996E-2</v>
      </c>
      <c r="D134">
        <v>-4.0866699999999999E-2</v>
      </c>
      <c r="E134">
        <v>-9.8483299999999996E-2</v>
      </c>
    </row>
    <row r="135" spans="1:5" x14ac:dyDescent="0.25">
      <c r="A135">
        <v>1968.17</v>
      </c>
      <c r="B135">
        <f t="shared" si="1"/>
        <v>-6.6398309999999988E-2</v>
      </c>
      <c r="C135">
        <v>-7.2083300000000003E-2</v>
      </c>
      <c r="D135">
        <v>-6.83E-2</v>
      </c>
      <c r="E135">
        <v>-6.5583299999999997E-2</v>
      </c>
    </row>
    <row r="136" spans="1:5" x14ac:dyDescent="0.25">
      <c r="A136">
        <v>1969.17</v>
      </c>
      <c r="B136">
        <f t="shared" si="1"/>
        <v>-2.4018310999999997E-2</v>
      </c>
      <c r="C136">
        <v>-3.7483299999999997E-2</v>
      </c>
      <c r="D136">
        <v>-2.1666699999999999E-3</v>
      </c>
      <c r="E136">
        <v>-3.3383299999999998E-2</v>
      </c>
    </row>
    <row r="137" spans="1:5" x14ac:dyDescent="0.25">
      <c r="A137">
        <v>1970.17</v>
      </c>
      <c r="B137">
        <f t="shared" si="1"/>
        <v>-6.2900009999999992E-2</v>
      </c>
      <c r="C137">
        <v>-8.5866700000000004E-2</v>
      </c>
      <c r="D137">
        <v>-2.94167E-2</v>
      </c>
      <c r="E137">
        <v>-7.7249999999999999E-2</v>
      </c>
    </row>
    <row r="138" spans="1:5" x14ac:dyDescent="0.25">
      <c r="A138">
        <v>1971.17</v>
      </c>
      <c r="B138">
        <f t="shared" si="1"/>
        <v>-8.1568089999999996E-2</v>
      </c>
      <c r="C138">
        <v>-0.109967</v>
      </c>
      <c r="D138">
        <v>-2.72833E-2</v>
      </c>
      <c r="E138">
        <v>-0.104833</v>
      </c>
    </row>
    <row r="139" spans="1:5" x14ac:dyDescent="0.25">
      <c r="A139">
        <v>1972.17</v>
      </c>
      <c r="B139">
        <f t="shared" si="1"/>
        <v>-9.044308999999999E-2</v>
      </c>
      <c r="C139">
        <v>-0.12081699999999999</v>
      </c>
      <c r="D139">
        <v>-5.7333299999999997E-2</v>
      </c>
      <c r="E139">
        <v>-0.104633</v>
      </c>
    </row>
    <row r="140" spans="1:5" x14ac:dyDescent="0.25">
      <c r="A140">
        <v>1973.17</v>
      </c>
      <c r="B140">
        <f t="shared" si="1"/>
        <v>-7.6043101000000002E-2</v>
      </c>
      <c r="C140">
        <v>-9.8299999999999998E-2</v>
      </c>
      <c r="D140">
        <v>5.1333300000000002E-3</v>
      </c>
      <c r="E140">
        <v>-0.110833</v>
      </c>
    </row>
    <row r="141" spans="1:5" x14ac:dyDescent="0.25">
      <c r="A141">
        <v>1974.17</v>
      </c>
      <c r="B141">
        <f t="shared" si="1"/>
        <v>-9.9739989999999987E-2</v>
      </c>
      <c r="C141">
        <v>-0.123067</v>
      </c>
      <c r="D141">
        <v>-2.94833E-2</v>
      </c>
      <c r="E141">
        <v>-0.12984999999999999</v>
      </c>
    </row>
    <row r="142" spans="1:5" x14ac:dyDescent="0.25">
      <c r="A142">
        <v>1975.17</v>
      </c>
      <c r="B142">
        <f t="shared" si="1"/>
        <v>-5.0678300000000003E-2</v>
      </c>
      <c r="C142">
        <v>-6.8816699999999995E-2</v>
      </c>
      <c r="D142">
        <v>3.3916700000000001E-2</v>
      </c>
      <c r="E142">
        <v>-8.6933300000000005E-2</v>
      </c>
    </row>
    <row r="143" spans="1:5" x14ac:dyDescent="0.25">
      <c r="A143">
        <v>1976.17</v>
      </c>
      <c r="B143">
        <f t="shared" si="1"/>
        <v>-4.1816900000000018E-3</v>
      </c>
      <c r="C143">
        <v>-2.06E-2</v>
      </c>
      <c r="D143">
        <v>7.1499999999999994E-2</v>
      </c>
      <c r="E143">
        <v>-3.6616700000000002E-2</v>
      </c>
    </row>
    <row r="144" spans="1:5" x14ac:dyDescent="0.25">
      <c r="A144">
        <v>1977.17</v>
      </c>
      <c r="B144">
        <f t="shared" si="1"/>
        <v>6.7119899999999996E-2</v>
      </c>
      <c r="C144">
        <v>5.5399999999999998E-2</v>
      </c>
      <c r="D144">
        <v>0.202733</v>
      </c>
      <c r="E144">
        <v>8.9999999999999993E-3</v>
      </c>
    </row>
    <row r="145" spans="1:5" x14ac:dyDescent="0.25">
      <c r="A145">
        <v>1978.17</v>
      </c>
      <c r="B145">
        <f t="shared" si="1"/>
        <v>6.8566589999999997E-2</v>
      </c>
      <c r="C145">
        <v>4.8616699999999999E-2</v>
      </c>
      <c r="D145">
        <v>0.18838299999999999</v>
      </c>
      <c r="E145">
        <v>1.7216700000000001E-2</v>
      </c>
    </row>
    <row r="146" spans="1:5" x14ac:dyDescent="0.25">
      <c r="A146">
        <v>1979.17</v>
      </c>
      <c r="B146">
        <f t="shared" ref="B146:B173" si="2">0.3*$D146+0.7*$E146</f>
        <v>0.11546320999999998</v>
      </c>
      <c r="C146">
        <v>9.8616700000000002E-2</v>
      </c>
      <c r="D146">
        <v>0.26288299999999998</v>
      </c>
      <c r="E146">
        <v>5.2283299999999998E-2</v>
      </c>
    </row>
    <row r="147" spans="1:5" x14ac:dyDescent="0.25">
      <c r="A147">
        <v>1980.17</v>
      </c>
      <c r="B147">
        <f t="shared" si="2"/>
        <v>0.10264840999999998</v>
      </c>
      <c r="C147">
        <v>8.4099999999999994E-2</v>
      </c>
      <c r="D147">
        <v>0.24676699999999999</v>
      </c>
      <c r="E147">
        <v>4.0883299999999997E-2</v>
      </c>
    </row>
    <row r="148" spans="1:5" x14ac:dyDescent="0.25">
      <c r="A148">
        <v>1981.17</v>
      </c>
      <c r="B148">
        <f t="shared" si="2"/>
        <v>8.0643309999999996E-2</v>
      </c>
      <c r="C148">
        <v>5.9900000000000002E-2</v>
      </c>
      <c r="D148">
        <v>0.21565000000000001</v>
      </c>
      <c r="E148">
        <v>2.2783299999999999E-2</v>
      </c>
    </row>
    <row r="149" spans="1:5" x14ac:dyDescent="0.25">
      <c r="A149">
        <v>1982.17</v>
      </c>
      <c r="B149">
        <f t="shared" si="2"/>
        <v>6.2693310000000002E-2</v>
      </c>
      <c r="C149">
        <v>4.0966700000000002E-2</v>
      </c>
      <c r="D149">
        <v>0.17774999999999999</v>
      </c>
      <c r="E149">
        <v>1.3383300000000001E-2</v>
      </c>
    </row>
    <row r="150" spans="1:5" x14ac:dyDescent="0.25">
      <c r="A150">
        <v>1983.17</v>
      </c>
      <c r="B150">
        <f t="shared" si="2"/>
        <v>9.3486589999999994E-2</v>
      </c>
      <c r="C150">
        <v>7.5233300000000003E-2</v>
      </c>
      <c r="D150">
        <v>0.22548299999999999</v>
      </c>
      <c r="E150">
        <v>3.6916699999999997E-2</v>
      </c>
    </row>
    <row r="151" spans="1:5" x14ac:dyDescent="0.25">
      <c r="A151">
        <v>1984.17</v>
      </c>
      <c r="B151">
        <f t="shared" si="2"/>
        <v>9.4904899999999986E-2</v>
      </c>
      <c r="C151">
        <v>7.7633300000000002E-2</v>
      </c>
      <c r="D151">
        <v>0.234683</v>
      </c>
      <c r="E151">
        <v>3.5000000000000003E-2</v>
      </c>
    </row>
    <row r="152" spans="1:5" x14ac:dyDescent="0.25">
      <c r="A152">
        <v>1985.17</v>
      </c>
      <c r="B152">
        <f t="shared" si="2"/>
        <v>0.12194679</v>
      </c>
      <c r="C152">
        <v>0.104833</v>
      </c>
      <c r="D152">
        <v>0.29386699999999999</v>
      </c>
      <c r="E152">
        <v>4.8266700000000003E-2</v>
      </c>
    </row>
    <row r="153" spans="1:5" x14ac:dyDescent="0.25">
      <c r="A153">
        <v>1986.17</v>
      </c>
      <c r="B153">
        <f t="shared" si="2"/>
        <v>0.18404989999999999</v>
      </c>
      <c r="C153">
        <v>0.169017</v>
      </c>
      <c r="D153">
        <v>0.39498299999999997</v>
      </c>
      <c r="E153">
        <v>9.3649999999999997E-2</v>
      </c>
    </row>
    <row r="154" spans="1:5" x14ac:dyDescent="0.25">
      <c r="A154">
        <v>1987.17</v>
      </c>
      <c r="B154">
        <f t="shared" si="2"/>
        <v>0.224715</v>
      </c>
      <c r="C154">
        <v>0.21026700000000001</v>
      </c>
      <c r="D154">
        <v>0.44840000000000002</v>
      </c>
      <c r="E154">
        <v>0.12884999999999999</v>
      </c>
    </row>
    <row r="155" spans="1:5" x14ac:dyDescent="0.25">
      <c r="A155">
        <v>1988.17</v>
      </c>
      <c r="B155">
        <f t="shared" si="2"/>
        <v>0.20483299999999999</v>
      </c>
      <c r="C155">
        <v>0.193883</v>
      </c>
      <c r="D155">
        <v>0.421483</v>
      </c>
      <c r="E155">
        <v>0.111983</v>
      </c>
    </row>
    <row r="156" spans="1:5" x14ac:dyDescent="0.25">
      <c r="A156">
        <v>1989.17</v>
      </c>
      <c r="B156">
        <f t="shared" si="2"/>
        <v>0.189693</v>
      </c>
      <c r="C156">
        <v>0.18254999999999999</v>
      </c>
      <c r="D156">
        <v>0.38548300000000002</v>
      </c>
      <c r="E156">
        <v>0.105783</v>
      </c>
    </row>
    <row r="157" spans="1:5" x14ac:dyDescent="0.25">
      <c r="A157">
        <v>1990.17</v>
      </c>
      <c r="B157">
        <f t="shared" si="2"/>
        <v>0.20397999999999999</v>
      </c>
      <c r="C157">
        <v>0.19873299999999999</v>
      </c>
      <c r="D157">
        <v>0.4032</v>
      </c>
      <c r="E157">
        <v>0.1186</v>
      </c>
    </row>
    <row r="158" spans="1:5" x14ac:dyDescent="0.25">
      <c r="A158">
        <v>1991.17</v>
      </c>
      <c r="B158">
        <f t="shared" si="2"/>
        <v>0.20997500000000002</v>
      </c>
      <c r="C158">
        <v>0.20471700000000001</v>
      </c>
      <c r="D158">
        <v>0.42365000000000003</v>
      </c>
      <c r="E158">
        <v>0.11840000000000001</v>
      </c>
    </row>
    <row r="159" spans="1:5" x14ac:dyDescent="0.25">
      <c r="A159">
        <v>1992.17</v>
      </c>
      <c r="B159">
        <f t="shared" si="2"/>
        <v>0.19456989999999999</v>
      </c>
      <c r="C159">
        <v>0.18945000000000001</v>
      </c>
      <c r="D159">
        <v>0.39213300000000001</v>
      </c>
      <c r="E159">
        <v>0.1099</v>
      </c>
    </row>
    <row r="160" spans="1:5" x14ac:dyDescent="0.25">
      <c r="A160">
        <v>1993.17</v>
      </c>
      <c r="B160">
        <f t="shared" si="2"/>
        <v>0.25403009999999998</v>
      </c>
      <c r="C160">
        <v>0.247</v>
      </c>
      <c r="D160">
        <v>0.47506700000000002</v>
      </c>
      <c r="E160">
        <v>0.1593</v>
      </c>
    </row>
    <row r="161" spans="1:5" x14ac:dyDescent="0.25">
      <c r="A161">
        <v>1994.17</v>
      </c>
      <c r="B161">
        <f t="shared" si="2"/>
        <v>0.3431381</v>
      </c>
      <c r="C161">
        <v>0.32291700000000001</v>
      </c>
      <c r="D161">
        <v>0.59655000000000002</v>
      </c>
      <c r="E161">
        <v>0.23453299999999999</v>
      </c>
    </row>
    <row r="162" spans="1:5" x14ac:dyDescent="0.25">
      <c r="A162">
        <v>1995.17</v>
      </c>
      <c r="B162">
        <f t="shared" si="2"/>
        <v>0.3678999</v>
      </c>
      <c r="C162">
        <v>0.342333</v>
      </c>
      <c r="D162">
        <v>0.639733</v>
      </c>
      <c r="E162">
        <v>0.25140000000000001</v>
      </c>
    </row>
    <row r="163" spans="1:5" x14ac:dyDescent="0.25">
      <c r="A163">
        <v>1996.17</v>
      </c>
      <c r="B163">
        <f t="shared" si="2"/>
        <v>0.36739820000000001</v>
      </c>
      <c r="C163">
        <v>0.33603300000000003</v>
      </c>
      <c r="D163">
        <v>0.620367</v>
      </c>
      <c r="E163">
        <v>0.25898300000000002</v>
      </c>
    </row>
    <row r="164" spans="1:5" x14ac:dyDescent="0.25">
      <c r="A164">
        <v>1997.17</v>
      </c>
      <c r="B164">
        <f t="shared" si="2"/>
        <v>0.42433989999999999</v>
      </c>
      <c r="C164">
        <v>0.38756699999999999</v>
      </c>
      <c r="D164">
        <v>0.70653299999999997</v>
      </c>
      <c r="E164">
        <v>0.3034</v>
      </c>
    </row>
    <row r="165" spans="1:5" x14ac:dyDescent="0.25">
      <c r="A165">
        <v>1998.17</v>
      </c>
      <c r="B165">
        <f t="shared" si="2"/>
        <v>0.44917989999999997</v>
      </c>
      <c r="C165">
        <v>0.40693299999999999</v>
      </c>
      <c r="D165">
        <v>0.75503299999999995</v>
      </c>
      <c r="E165">
        <v>0.31809999999999999</v>
      </c>
    </row>
    <row r="166" spans="1:5" x14ac:dyDescent="0.25">
      <c r="A166">
        <v>1999.17</v>
      </c>
      <c r="B166">
        <f t="shared" si="2"/>
        <v>0.44014679999999995</v>
      </c>
      <c r="C166">
        <v>0.40191700000000002</v>
      </c>
      <c r="D166">
        <v>0.74588299999999996</v>
      </c>
      <c r="E166">
        <v>0.30911699999999998</v>
      </c>
    </row>
    <row r="167" spans="1:5" x14ac:dyDescent="0.25">
      <c r="A167">
        <v>2000.17</v>
      </c>
      <c r="B167">
        <f t="shared" si="2"/>
        <v>0.47133199999999997</v>
      </c>
      <c r="C167">
        <v>0.42996699999999999</v>
      </c>
      <c r="D167">
        <v>0.76851700000000001</v>
      </c>
      <c r="E167">
        <v>0.34396700000000002</v>
      </c>
    </row>
    <row r="168" spans="1:5" x14ac:dyDescent="0.25">
      <c r="A168">
        <v>2001.17</v>
      </c>
      <c r="B168">
        <f t="shared" si="2"/>
        <v>0.51674189999999998</v>
      </c>
      <c r="C168">
        <v>0.47889999999999999</v>
      </c>
      <c r="D168">
        <v>0.84335000000000004</v>
      </c>
      <c r="E168">
        <v>0.37676700000000002</v>
      </c>
    </row>
    <row r="169" spans="1:5" x14ac:dyDescent="0.25">
      <c r="A169">
        <v>2002.17</v>
      </c>
      <c r="B169">
        <f t="shared" si="2"/>
        <v>0.52599319999999994</v>
      </c>
      <c r="C169">
        <v>0.49041699999999999</v>
      </c>
      <c r="D169">
        <v>0.87181699999999995</v>
      </c>
      <c r="E169">
        <v>0.37778299999999998</v>
      </c>
    </row>
    <row r="170" spans="1:5" x14ac:dyDescent="0.25">
      <c r="A170">
        <v>2003.17</v>
      </c>
      <c r="B170">
        <f t="shared" si="2"/>
        <v>0.52031799999999995</v>
      </c>
      <c r="C170">
        <v>0.48871700000000001</v>
      </c>
      <c r="D170">
        <v>0.89863300000000002</v>
      </c>
      <c r="E170">
        <v>0.35818299999999997</v>
      </c>
    </row>
    <row r="171" spans="1:5" x14ac:dyDescent="0.25">
      <c r="A171">
        <v>2004.17</v>
      </c>
      <c r="B171">
        <f t="shared" si="2"/>
        <v>0.49517990000000001</v>
      </c>
      <c r="C171">
        <v>0.46596700000000002</v>
      </c>
      <c r="D171">
        <v>0.88853300000000002</v>
      </c>
      <c r="E171">
        <v>0.3266</v>
      </c>
    </row>
    <row r="172" spans="1:5" x14ac:dyDescent="0.25">
      <c r="A172">
        <v>2005.17</v>
      </c>
      <c r="B172">
        <f t="shared" si="2"/>
        <v>0.49760999999999994</v>
      </c>
      <c r="C172">
        <v>0.47598299999999999</v>
      </c>
      <c r="D172">
        <v>0.89954999999999996</v>
      </c>
      <c r="E172">
        <v>0.32534999999999997</v>
      </c>
    </row>
    <row r="173" spans="1:5" x14ac:dyDescent="0.25">
      <c r="A173">
        <v>2006.17</v>
      </c>
      <c r="B173">
        <f t="shared" si="2"/>
        <v>0.49888509999999997</v>
      </c>
      <c r="C173">
        <v>0.47683300000000001</v>
      </c>
      <c r="D173">
        <v>0.90006699999999995</v>
      </c>
      <c r="E173">
        <v>0.32695000000000002</v>
      </c>
    </row>
    <row r="174" spans="1:5" x14ac:dyDescent="0.25">
      <c r="A174" t="s">
        <v>11</v>
      </c>
      <c r="C174">
        <v>0.45853300000000002</v>
      </c>
      <c r="E174">
        <v>0.31348300000000001</v>
      </c>
    </row>
    <row r="175" spans="1:5" x14ac:dyDescent="0.25">
      <c r="A175" t="s">
        <v>21</v>
      </c>
      <c r="C175">
        <v>0.44993300000000003</v>
      </c>
      <c r="E175">
        <v>0.32626699999999997</v>
      </c>
    </row>
    <row r="176" spans="1:5" x14ac:dyDescent="0.25">
      <c r="A176" t="s">
        <v>22</v>
      </c>
    </row>
    <row r="177" spans="1:1" x14ac:dyDescent="0.25">
      <c r="A177" t="s">
        <v>13</v>
      </c>
    </row>
    <row r="178" spans="1:1" x14ac:dyDescent="0.25">
      <c r="A178" t="s">
        <v>0</v>
      </c>
    </row>
    <row r="179" spans="1:1" x14ac:dyDescent="0.25">
      <c r="A179" t="s">
        <v>1</v>
      </c>
    </row>
    <row r="180" spans="1:1" x14ac:dyDescent="0.25">
      <c r="A180" t="s">
        <v>2</v>
      </c>
    </row>
    <row r="181" spans="1:1" x14ac:dyDescent="0.25">
      <c r="A181" t="s">
        <v>3</v>
      </c>
    </row>
    <row r="182" spans="1:1" x14ac:dyDescent="0.25">
      <c r="A182" t="s">
        <v>4</v>
      </c>
    </row>
    <row r="183" spans="1:1" x14ac:dyDescent="0.25">
      <c r="A183" t="s">
        <v>5</v>
      </c>
    </row>
    <row r="184" spans="1:1" x14ac:dyDescent="0.25">
      <c r="A184" t="s">
        <v>6</v>
      </c>
    </row>
    <row r="185" spans="1:1" x14ac:dyDescent="0.25">
      <c r="A185" t="s">
        <v>7</v>
      </c>
    </row>
    <row r="186" spans="1:1" x14ac:dyDescent="0.25">
      <c r="A186" t="s">
        <v>3</v>
      </c>
    </row>
    <row r="187" spans="1:1" x14ac:dyDescent="0.25">
      <c r="A187" t="s">
        <v>2</v>
      </c>
    </row>
    <row r="188" spans="1:1" x14ac:dyDescent="0.25">
      <c r="A188" t="s">
        <v>23</v>
      </c>
    </row>
    <row r="189" spans="1:1" x14ac:dyDescent="0.25">
      <c r="A189" t="s">
        <v>2</v>
      </c>
    </row>
    <row r="190" spans="1:1" x14ac:dyDescent="0.25">
      <c r="A190" t="s">
        <v>24</v>
      </c>
    </row>
    <row r="191" spans="1:1" x14ac:dyDescent="0.25">
      <c r="A191" t="s">
        <v>10</v>
      </c>
    </row>
    <row r="192" spans="1:1" x14ac:dyDescent="0.25">
      <c r="A192" t="s">
        <v>20</v>
      </c>
    </row>
    <row r="193" spans="1:4" x14ac:dyDescent="0.25">
      <c r="A193">
        <v>1850.17</v>
      </c>
      <c r="D193">
        <v>-0.33126699999999998</v>
      </c>
    </row>
    <row r="194" spans="1:4" x14ac:dyDescent="0.25">
      <c r="A194">
        <v>1851.17</v>
      </c>
      <c r="D194">
        <v>-0.30514999999999998</v>
      </c>
    </row>
    <row r="195" spans="1:4" x14ac:dyDescent="0.25">
      <c r="A195">
        <v>1852.17</v>
      </c>
      <c r="D195">
        <v>-0.32279999999999998</v>
      </c>
    </row>
    <row r="196" spans="1:4" x14ac:dyDescent="0.25">
      <c r="A196">
        <v>1853.17</v>
      </c>
      <c r="D196">
        <v>-0.36685000000000001</v>
      </c>
    </row>
    <row r="197" spans="1:4" x14ac:dyDescent="0.25">
      <c r="A197">
        <v>1854.17</v>
      </c>
      <c r="D197">
        <v>-0.41036699999999998</v>
      </c>
    </row>
    <row r="198" spans="1:4" x14ac:dyDescent="0.25">
      <c r="A198">
        <v>1855.17</v>
      </c>
      <c r="D198">
        <v>-0.42528300000000002</v>
      </c>
    </row>
    <row r="199" spans="1:4" x14ac:dyDescent="0.25">
      <c r="A199">
        <v>1856.17</v>
      </c>
      <c r="D199">
        <v>-0.43004999999999999</v>
      </c>
    </row>
    <row r="200" spans="1:4" x14ac:dyDescent="0.25">
      <c r="A200">
        <v>1857.17</v>
      </c>
      <c r="D200">
        <v>-0.43580000000000002</v>
      </c>
    </row>
    <row r="201" spans="1:4" x14ac:dyDescent="0.25">
      <c r="A201">
        <v>1858.17</v>
      </c>
      <c r="D201">
        <v>-0.43313299999999999</v>
      </c>
    </row>
    <row r="202" spans="1:4" x14ac:dyDescent="0.25">
      <c r="A202">
        <v>1859.17</v>
      </c>
      <c r="D202">
        <v>-0.41685</v>
      </c>
    </row>
    <row r="203" spans="1:4" x14ac:dyDescent="0.25">
      <c r="A203">
        <v>1860.17</v>
      </c>
      <c r="D203">
        <v>-0.41658299999999998</v>
      </c>
    </row>
    <row r="204" spans="1:4" x14ac:dyDescent="0.25">
      <c r="A204">
        <v>1861.17</v>
      </c>
      <c r="D204">
        <v>-0.404617</v>
      </c>
    </row>
    <row r="205" spans="1:4" x14ac:dyDescent="0.25">
      <c r="A205">
        <v>1862.17</v>
      </c>
      <c r="D205">
        <v>-0.37421700000000002</v>
      </c>
    </row>
    <row r="206" spans="1:4" x14ac:dyDescent="0.25">
      <c r="A206">
        <v>1863.17</v>
      </c>
      <c r="D206">
        <v>-0.32128299999999999</v>
      </c>
    </row>
    <row r="207" spans="1:4" x14ac:dyDescent="0.25">
      <c r="A207">
        <v>1864.17</v>
      </c>
      <c r="D207">
        <v>-0.2702</v>
      </c>
    </row>
    <row r="208" spans="1:4" x14ac:dyDescent="0.25">
      <c r="A208">
        <v>1865.17</v>
      </c>
      <c r="D208">
        <v>-0.24498300000000001</v>
      </c>
    </row>
    <row r="209" spans="1:4" x14ac:dyDescent="0.25">
      <c r="A209">
        <v>1866.17</v>
      </c>
      <c r="D209">
        <v>-0.240867</v>
      </c>
    </row>
    <row r="210" spans="1:4" x14ac:dyDescent="0.25">
      <c r="A210">
        <v>1867.17</v>
      </c>
      <c r="D210">
        <v>-0.24146699999999999</v>
      </c>
    </row>
    <row r="211" spans="1:4" x14ac:dyDescent="0.25">
      <c r="A211">
        <v>1868.17</v>
      </c>
      <c r="D211">
        <v>-0.25228299999999998</v>
      </c>
    </row>
    <row r="212" spans="1:4" x14ac:dyDescent="0.25">
      <c r="A212">
        <v>1869.17</v>
      </c>
      <c r="D212">
        <v>-0.279783</v>
      </c>
    </row>
    <row r="213" spans="1:4" x14ac:dyDescent="0.25">
      <c r="A213">
        <v>1870.17</v>
      </c>
      <c r="D213">
        <v>-0.30646699999999999</v>
      </c>
    </row>
    <row r="214" spans="1:4" x14ac:dyDescent="0.25">
      <c r="A214">
        <v>1871.17</v>
      </c>
      <c r="D214">
        <v>-0.31780000000000003</v>
      </c>
    </row>
    <row r="215" spans="1:4" x14ac:dyDescent="0.25">
      <c r="A215">
        <v>1872.17</v>
      </c>
      <c r="D215">
        <v>-0.34275</v>
      </c>
    </row>
    <row r="216" spans="1:4" x14ac:dyDescent="0.25">
      <c r="A216">
        <v>1873.17</v>
      </c>
      <c r="D216">
        <v>-0.29801699999999998</v>
      </c>
    </row>
    <row r="217" spans="1:4" x14ac:dyDescent="0.25">
      <c r="A217">
        <v>1874.17</v>
      </c>
      <c r="D217">
        <v>-0.23194999999999999</v>
      </c>
    </row>
    <row r="218" spans="1:4" x14ac:dyDescent="0.25">
      <c r="A218">
        <v>1875.17</v>
      </c>
      <c r="D218">
        <v>-0.19816700000000001</v>
      </c>
    </row>
    <row r="219" spans="1:4" x14ac:dyDescent="0.25">
      <c r="A219">
        <v>1876.17</v>
      </c>
      <c r="D219">
        <v>-0.189</v>
      </c>
    </row>
    <row r="220" spans="1:4" x14ac:dyDescent="0.25">
      <c r="A220">
        <v>1877.17</v>
      </c>
      <c r="D220">
        <v>-0.15346699999999999</v>
      </c>
    </row>
    <row r="221" spans="1:4" x14ac:dyDescent="0.25">
      <c r="A221">
        <v>1878.17</v>
      </c>
      <c r="D221">
        <v>-0.19606699999999999</v>
      </c>
    </row>
    <row r="222" spans="1:4" x14ac:dyDescent="0.25">
      <c r="A222">
        <v>1879.17</v>
      </c>
      <c r="D222">
        <v>-0.24846699999999999</v>
      </c>
    </row>
    <row r="223" spans="1:4" x14ac:dyDescent="0.25">
      <c r="A223">
        <v>1880.17</v>
      </c>
      <c r="D223">
        <v>-0.26341700000000001</v>
      </c>
    </row>
    <row r="224" spans="1:4" x14ac:dyDescent="0.25">
      <c r="A224">
        <v>1881.17</v>
      </c>
      <c r="D224">
        <v>-0.273733</v>
      </c>
    </row>
    <row r="225" spans="1:4" x14ac:dyDescent="0.25">
      <c r="A225">
        <v>1882.17</v>
      </c>
      <c r="D225">
        <v>-0.27436700000000003</v>
      </c>
    </row>
    <row r="226" spans="1:4" x14ac:dyDescent="0.25">
      <c r="A226">
        <v>1883.17</v>
      </c>
      <c r="D226">
        <v>-0.28991699999999998</v>
      </c>
    </row>
    <row r="227" spans="1:4" x14ac:dyDescent="0.25">
      <c r="A227">
        <v>1884.17</v>
      </c>
      <c r="D227">
        <v>-0.28823300000000002</v>
      </c>
    </row>
    <row r="228" spans="1:4" x14ac:dyDescent="0.25">
      <c r="A228">
        <v>1885.17</v>
      </c>
      <c r="D228">
        <v>-0.25671699999999997</v>
      </c>
    </row>
    <row r="229" spans="1:4" x14ac:dyDescent="0.25">
      <c r="A229">
        <v>1886.17</v>
      </c>
      <c r="D229">
        <v>-0.28606700000000002</v>
      </c>
    </row>
    <row r="230" spans="1:4" x14ac:dyDescent="0.25">
      <c r="A230">
        <v>1887.17</v>
      </c>
      <c r="D230">
        <v>-0.304033</v>
      </c>
    </row>
    <row r="231" spans="1:4" x14ac:dyDescent="0.25">
      <c r="A231">
        <v>1888.17</v>
      </c>
      <c r="D231">
        <v>-0.32324999999999998</v>
      </c>
    </row>
    <row r="232" spans="1:4" x14ac:dyDescent="0.25">
      <c r="A232">
        <v>1889.17</v>
      </c>
      <c r="D232">
        <v>-0.35709999999999997</v>
      </c>
    </row>
    <row r="233" spans="1:4" x14ac:dyDescent="0.25">
      <c r="A233">
        <v>1890.17</v>
      </c>
      <c r="D233">
        <v>-0.41703299999999999</v>
      </c>
    </row>
    <row r="234" spans="1:4" x14ac:dyDescent="0.25">
      <c r="A234">
        <v>1891.17</v>
      </c>
      <c r="D234">
        <v>-0.39726699999999998</v>
      </c>
    </row>
    <row r="235" spans="1:4" x14ac:dyDescent="0.25">
      <c r="A235">
        <v>1892.17</v>
      </c>
      <c r="D235">
        <v>-0.36659999999999998</v>
      </c>
    </row>
    <row r="236" spans="1:4" x14ac:dyDescent="0.25">
      <c r="A236">
        <v>1893.17</v>
      </c>
      <c r="D236">
        <v>-0.31919999999999998</v>
      </c>
    </row>
    <row r="237" spans="1:4" x14ac:dyDescent="0.25">
      <c r="A237">
        <v>1894.17</v>
      </c>
      <c r="D237">
        <v>-0.32011699999999998</v>
      </c>
    </row>
    <row r="238" spans="1:4" x14ac:dyDescent="0.25">
      <c r="A238">
        <v>1895.17</v>
      </c>
      <c r="D238">
        <v>-0.29018300000000002</v>
      </c>
    </row>
    <row r="239" spans="1:4" x14ac:dyDescent="0.25">
      <c r="A239">
        <v>1896.17</v>
      </c>
      <c r="D239">
        <v>-0.26616699999999999</v>
      </c>
    </row>
    <row r="240" spans="1:4" x14ac:dyDescent="0.25">
      <c r="A240">
        <v>1897.17</v>
      </c>
      <c r="D240">
        <v>-0.30523299999999998</v>
      </c>
    </row>
    <row r="241" spans="1:4" x14ac:dyDescent="0.25">
      <c r="A241">
        <v>1898.17</v>
      </c>
      <c r="D241">
        <v>-0.35049999999999998</v>
      </c>
    </row>
    <row r="242" spans="1:4" x14ac:dyDescent="0.25">
      <c r="A242">
        <v>1899.17</v>
      </c>
      <c r="D242">
        <v>-0.372533</v>
      </c>
    </row>
    <row r="243" spans="1:4" x14ac:dyDescent="0.25">
      <c r="A243">
        <v>1900.17</v>
      </c>
      <c r="D243">
        <v>-0.42233300000000001</v>
      </c>
    </row>
    <row r="244" spans="1:4" x14ac:dyDescent="0.25">
      <c r="A244">
        <v>1901.17</v>
      </c>
      <c r="D244">
        <v>-0.46113300000000002</v>
      </c>
    </row>
    <row r="245" spans="1:4" x14ac:dyDescent="0.25">
      <c r="A245">
        <v>1902.17</v>
      </c>
      <c r="D245">
        <v>-0.465283</v>
      </c>
    </row>
    <row r="246" spans="1:4" x14ac:dyDescent="0.25">
      <c r="A246">
        <v>1903.17</v>
      </c>
      <c r="D246">
        <v>-0.4713</v>
      </c>
    </row>
    <row r="247" spans="1:4" x14ac:dyDescent="0.25">
      <c r="A247">
        <v>1904.17</v>
      </c>
      <c r="D247">
        <v>-0.47923300000000002</v>
      </c>
    </row>
    <row r="248" spans="1:4" x14ac:dyDescent="0.25">
      <c r="A248">
        <v>1905.17</v>
      </c>
      <c r="D248">
        <v>-0.484317</v>
      </c>
    </row>
    <row r="249" spans="1:4" x14ac:dyDescent="0.25">
      <c r="A249">
        <v>1906.17</v>
      </c>
      <c r="D249">
        <v>-0.52310000000000001</v>
      </c>
    </row>
    <row r="250" spans="1:4" x14ac:dyDescent="0.25">
      <c r="A250">
        <v>1907.17</v>
      </c>
      <c r="D250">
        <v>-0.56688300000000003</v>
      </c>
    </row>
    <row r="251" spans="1:4" x14ac:dyDescent="0.25">
      <c r="A251">
        <v>1908.17</v>
      </c>
      <c r="D251">
        <v>-0.56921699999999997</v>
      </c>
    </row>
    <row r="252" spans="1:4" x14ac:dyDescent="0.25">
      <c r="A252">
        <v>1909.17</v>
      </c>
      <c r="D252">
        <v>-0.55833299999999997</v>
      </c>
    </row>
    <row r="253" spans="1:4" x14ac:dyDescent="0.25">
      <c r="A253">
        <v>1910.17</v>
      </c>
      <c r="D253">
        <v>-0.51219999999999999</v>
      </c>
    </row>
    <row r="254" spans="1:4" x14ac:dyDescent="0.25">
      <c r="A254">
        <v>1911.17</v>
      </c>
      <c r="D254">
        <v>-0.43926700000000002</v>
      </c>
    </row>
    <row r="255" spans="1:4" x14ac:dyDescent="0.25">
      <c r="A255">
        <v>1912.17</v>
      </c>
      <c r="D255">
        <v>-0.4098</v>
      </c>
    </row>
    <row r="256" spans="1:4" x14ac:dyDescent="0.25">
      <c r="A256">
        <v>1913.17</v>
      </c>
      <c r="D256">
        <v>-0.40355000000000002</v>
      </c>
    </row>
    <row r="257" spans="1:4" x14ac:dyDescent="0.25">
      <c r="A257">
        <v>1914.17</v>
      </c>
      <c r="D257">
        <v>-0.37240000000000001</v>
      </c>
    </row>
    <row r="258" spans="1:4" x14ac:dyDescent="0.25">
      <c r="A258">
        <v>1915.17</v>
      </c>
      <c r="D258">
        <v>-0.37248300000000001</v>
      </c>
    </row>
    <row r="259" spans="1:4" x14ac:dyDescent="0.25">
      <c r="A259">
        <v>1916.17</v>
      </c>
      <c r="D259">
        <v>-0.38664999999999999</v>
      </c>
    </row>
    <row r="260" spans="1:4" x14ac:dyDescent="0.25">
      <c r="A260">
        <v>1917.17</v>
      </c>
      <c r="D260">
        <v>-0.361817</v>
      </c>
    </row>
    <row r="261" spans="1:4" x14ac:dyDescent="0.25">
      <c r="A261">
        <v>1918.17</v>
      </c>
      <c r="D261">
        <v>-0.35585</v>
      </c>
    </row>
    <row r="262" spans="1:4" x14ac:dyDescent="0.25">
      <c r="A262">
        <v>1919.17</v>
      </c>
      <c r="D262">
        <v>-0.35808299999999998</v>
      </c>
    </row>
    <row r="263" spans="1:4" x14ac:dyDescent="0.25">
      <c r="A263">
        <v>1920.17</v>
      </c>
      <c r="D263">
        <v>-0.35696699999999998</v>
      </c>
    </row>
    <row r="264" spans="1:4" x14ac:dyDescent="0.25">
      <c r="A264">
        <v>1921.17</v>
      </c>
      <c r="D264">
        <v>-0.355883</v>
      </c>
    </row>
    <row r="265" spans="1:4" x14ac:dyDescent="0.25">
      <c r="A265">
        <v>1922.17</v>
      </c>
      <c r="D265">
        <v>-0.32943299999999998</v>
      </c>
    </row>
    <row r="266" spans="1:4" x14ac:dyDescent="0.25">
      <c r="A266">
        <v>1923.17</v>
      </c>
      <c r="D266">
        <v>-0.29503299999999999</v>
      </c>
    </row>
    <row r="267" spans="1:4" x14ac:dyDescent="0.25">
      <c r="A267">
        <v>1924.17</v>
      </c>
      <c r="D267">
        <v>-0.27300000000000002</v>
      </c>
    </row>
    <row r="268" spans="1:4" x14ac:dyDescent="0.25">
      <c r="A268">
        <v>1925.17</v>
      </c>
      <c r="D268">
        <v>-0.26828299999999999</v>
      </c>
    </row>
    <row r="269" spans="1:4" x14ac:dyDescent="0.25">
      <c r="A269">
        <v>1926.17</v>
      </c>
      <c r="D269">
        <v>-0.239483</v>
      </c>
    </row>
    <row r="270" spans="1:4" x14ac:dyDescent="0.25">
      <c r="A270">
        <v>1927.17</v>
      </c>
      <c r="D270">
        <v>-0.22966700000000001</v>
      </c>
    </row>
    <row r="271" spans="1:4" x14ac:dyDescent="0.25">
      <c r="A271">
        <v>1928.17</v>
      </c>
      <c r="D271">
        <v>-0.21853300000000001</v>
      </c>
    </row>
    <row r="272" spans="1:4" x14ac:dyDescent="0.25">
      <c r="A272">
        <v>1929.17</v>
      </c>
      <c r="D272">
        <v>-0.21976699999999999</v>
      </c>
    </row>
    <row r="273" spans="1:4" x14ac:dyDescent="0.25">
      <c r="A273">
        <v>1930.17</v>
      </c>
      <c r="D273">
        <v>-0.1953</v>
      </c>
    </row>
    <row r="274" spans="1:4" x14ac:dyDescent="0.25">
      <c r="A274">
        <v>1931.17</v>
      </c>
      <c r="D274">
        <v>-0.198633</v>
      </c>
    </row>
    <row r="275" spans="1:4" x14ac:dyDescent="0.25">
      <c r="A275">
        <v>1932.17</v>
      </c>
      <c r="D275">
        <v>-0.2019</v>
      </c>
    </row>
    <row r="276" spans="1:4" x14ac:dyDescent="0.25">
      <c r="A276">
        <v>1933.17</v>
      </c>
      <c r="D276">
        <v>-0.16781699999999999</v>
      </c>
    </row>
    <row r="277" spans="1:4" x14ac:dyDescent="0.25">
      <c r="A277">
        <v>1934.17</v>
      </c>
      <c r="D277">
        <v>-0.123333</v>
      </c>
    </row>
    <row r="278" spans="1:4" x14ac:dyDescent="0.25">
      <c r="A278">
        <v>1935.17</v>
      </c>
      <c r="D278">
        <v>-8.3183300000000002E-2</v>
      </c>
    </row>
    <row r="279" spans="1:4" x14ac:dyDescent="0.25">
      <c r="A279">
        <v>1936.17</v>
      </c>
      <c r="D279">
        <v>-4.1300000000000003E-2</v>
      </c>
    </row>
    <row r="280" spans="1:4" x14ac:dyDescent="0.25">
      <c r="A280">
        <v>1937.17</v>
      </c>
      <c r="D280">
        <v>1.6866699999999998E-2</v>
      </c>
    </row>
    <row r="281" spans="1:4" x14ac:dyDescent="0.25">
      <c r="A281">
        <v>1938.17</v>
      </c>
      <c r="D281">
        <v>1.7866699999999999E-2</v>
      </c>
    </row>
    <row r="282" spans="1:4" x14ac:dyDescent="0.25">
      <c r="A282">
        <v>1939.17</v>
      </c>
      <c r="D282">
        <v>2.2950000000000002E-2</v>
      </c>
    </row>
    <row r="283" spans="1:4" x14ac:dyDescent="0.25">
      <c r="A283">
        <v>1940.17</v>
      </c>
      <c r="D283">
        <v>4.3016699999999998E-2</v>
      </c>
    </row>
    <row r="284" spans="1:4" x14ac:dyDescent="0.25">
      <c r="A284">
        <v>1941.17</v>
      </c>
      <c r="D284">
        <v>5.0383299999999999E-2</v>
      </c>
    </row>
    <row r="285" spans="1:4" x14ac:dyDescent="0.25">
      <c r="A285">
        <v>1942.17</v>
      </c>
      <c r="D285">
        <v>-2.9350000000000001E-2</v>
      </c>
    </row>
    <row r="286" spans="1:4" x14ac:dyDescent="0.25">
      <c r="A286">
        <v>1943.17</v>
      </c>
      <c r="D286">
        <v>-8.5849999999999996E-2</v>
      </c>
    </row>
    <row r="287" spans="1:4" x14ac:dyDescent="0.25">
      <c r="A287">
        <v>1944.17</v>
      </c>
      <c r="D287">
        <v>-0.14003299999999999</v>
      </c>
    </row>
    <row r="288" spans="1:4" x14ac:dyDescent="0.25">
      <c r="A288">
        <v>1945.17</v>
      </c>
      <c r="D288">
        <v>-0.207483</v>
      </c>
    </row>
    <row r="289" spans="1:4" x14ac:dyDescent="0.25">
      <c r="A289">
        <v>1946.17</v>
      </c>
      <c r="D289">
        <v>-0.273733</v>
      </c>
    </row>
    <row r="290" spans="1:4" x14ac:dyDescent="0.25">
      <c r="A290">
        <v>1947.17</v>
      </c>
      <c r="D290">
        <v>-0.25608300000000001</v>
      </c>
    </row>
    <row r="291" spans="1:4" x14ac:dyDescent="0.25">
      <c r="A291">
        <v>1948.17</v>
      </c>
      <c r="D291">
        <v>-0.2122</v>
      </c>
    </row>
    <row r="292" spans="1:4" x14ac:dyDescent="0.25">
      <c r="A292">
        <v>1949.17</v>
      </c>
      <c r="D292">
        <v>-0.16814999999999999</v>
      </c>
    </row>
    <row r="293" spans="1:4" x14ac:dyDescent="0.25">
      <c r="A293">
        <v>1950.17</v>
      </c>
      <c r="D293">
        <v>-0.171567</v>
      </c>
    </row>
    <row r="294" spans="1:4" x14ac:dyDescent="0.25">
      <c r="A294">
        <v>1951.17</v>
      </c>
      <c r="D294">
        <v>-0.17835000000000001</v>
      </c>
    </row>
    <row r="295" spans="1:4" x14ac:dyDescent="0.25">
      <c r="A295">
        <v>1952.17</v>
      </c>
      <c r="D295">
        <v>-0.198183</v>
      </c>
    </row>
    <row r="296" spans="1:4" x14ac:dyDescent="0.25">
      <c r="A296">
        <v>1953.17</v>
      </c>
      <c r="D296">
        <v>-0.19416700000000001</v>
      </c>
    </row>
    <row r="297" spans="1:4" x14ac:dyDescent="0.25">
      <c r="A297">
        <v>1954.17</v>
      </c>
      <c r="D297">
        <v>-0.183417</v>
      </c>
    </row>
    <row r="298" spans="1:4" x14ac:dyDescent="0.25">
      <c r="A298">
        <v>1955.17</v>
      </c>
      <c r="D298">
        <v>-0.14593300000000001</v>
      </c>
    </row>
    <row r="299" spans="1:4" x14ac:dyDescent="0.25">
      <c r="A299">
        <v>1956.17</v>
      </c>
      <c r="D299">
        <v>-0.105767</v>
      </c>
    </row>
    <row r="300" spans="1:4" x14ac:dyDescent="0.25">
      <c r="A300">
        <v>1957.17</v>
      </c>
      <c r="D300">
        <v>-5.815E-2</v>
      </c>
    </row>
    <row r="301" spans="1:4" x14ac:dyDescent="0.25">
      <c r="A301">
        <v>1958.17</v>
      </c>
      <c r="D301">
        <v>-5.6883299999999998E-2</v>
      </c>
    </row>
    <row r="302" spans="1:4" x14ac:dyDescent="0.25">
      <c r="A302">
        <v>1959.17</v>
      </c>
      <c r="D302">
        <v>-5.7883299999999999E-2</v>
      </c>
    </row>
    <row r="303" spans="1:4" x14ac:dyDescent="0.25">
      <c r="A303">
        <v>1960.17</v>
      </c>
      <c r="D303">
        <v>-9.5583299999999996E-2</v>
      </c>
    </row>
    <row r="304" spans="1:4" x14ac:dyDescent="0.25">
      <c r="A304">
        <v>1961.17</v>
      </c>
      <c r="D304">
        <v>-0.117717</v>
      </c>
    </row>
    <row r="305" spans="1:4" x14ac:dyDescent="0.25">
      <c r="A305">
        <v>1962.17</v>
      </c>
      <c r="D305">
        <v>-0.13486699999999999</v>
      </c>
    </row>
    <row r="306" spans="1:4" x14ac:dyDescent="0.25">
      <c r="A306">
        <v>1963.17</v>
      </c>
      <c r="D306">
        <v>-0.15571699999999999</v>
      </c>
    </row>
    <row r="307" spans="1:4" x14ac:dyDescent="0.25">
      <c r="A307">
        <v>1964.17</v>
      </c>
      <c r="D307">
        <v>-0.17524999999999999</v>
      </c>
    </row>
    <row r="308" spans="1:4" x14ac:dyDescent="0.25">
      <c r="A308">
        <v>1965.17</v>
      </c>
      <c r="D308">
        <v>-0.112133</v>
      </c>
    </row>
    <row r="309" spans="1:4" x14ac:dyDescent="0.25">
      <c r="A309">
        <v>1966.17</v>
      </c>
      <c r="D309">
        <v>-8.2283300000000004E-2</v>
      </c>
    </row>
    <row r="310" spans="1:4" x14ac:dyDescent="0.25">
      <c r="A310">
        <v>1967.17</v>
      </c>
      <c r="D310">
        <v>-9.8483299999999996E-2</v>
      </c>
    </row>
    <row r="311" spans="1:4" x14ac:dyDescent="0.25">
      <c r="A311">
        <v>1968.17</v>
      </c>
      <c r="D311">
        <v>-6.5583299999999997E-2</v>
      </c>
    </row>
    <row r="312" spans="1:4" x14ac:dyDescent="0.25">
      <c r="A312">
        <v>1969.17</v>
      </c>
      <c r="D312">
        <v>-3.3383299999999998E-2</v>
      </c>
    </row>
    <row r="313" spans="1:4" x14ac:dyDescent="0.25">
      <c r="A313">
        <v>1970.17</v>
      </c>
      <c r="D313">
        <v>-7.7249999999999999E-2</v>
      </c>
    </row>
    <row r="314" spans="1:4" x14ac:dyDescent="0.25">
      <c r="A314">
        <v>1971.17</v>
      </c>
      <c r="D314">
        <v>-0.104833</v>
      </c>
    </row>
    <row r="315" spans="1:4" x14ac:dyDescent="0.25">
      <c r="A315">
        <v>1972.17</v>
      </c>
      <c r="D315">
        <v>-0.104633</v>
      </c>
    </row>
    <row r="316" spans="1:4" x14ac:dyDescent="0.25">
      <c r="A316">
        <v>1973.17</v>
      </c>
      <c r="D316">
        <v>-0.110833</v>
      </c>
    </row>
    <row r="317" spans="1:4" x14ac:dyDescent="0.25">
      <c r="A317">
        <v>1974.17</v>
      </c>
      <c r="D317">
        <v>-0.12984999999999999</v>
      </c>
    </row>
    <row r="318" spans="1:4" x14ac:dyDescent="0.25">
      <c r="A318">
        <v>1975.17</v>
      </c>
      <c r="D318">
        <v>-8.6933300000000005E-2</v>
      </c>
    </row>
    <row r="319" spans="1:4" x14ac:dyDescent="0.25">
      <c r="A319">
        <v>1976.17</v>
      </c>
      <c r="D319">
        <v>-3.6616700000000002E-2</v>
      </c>
    </row>
    <row r="320" spans="1:4" x14ac:dyDescent="0.25">
      <c r="A320">
        <v>1977.17</v>
      </c>
      <c r="D320">
        <v>8.9999999999999993E-3</v>
      </c>
    </row>
    <row r="321" spans="1:4" x14ac:dyDescent="0.25">
      <c r="A321">
        <v>1978.17</v>
      </c>
      <c r="D321">
        <v>1.7216700000000001E-2</v>
      </c>
    </row>
    <row r="322" spans="1:4" x14ac:dyDescent="0.25">
      <c r="A322">
        <v>1979.17</v>
      </c>
      <c r="D322">
        <v>5.2283299999999998E-2</v>
      </c>
    </row>
    <row r="323" spans="1:4" x14ac:dyDescent="0.25">
      <c r="A323">
        <v>1980.17</v>
      </c>
      <c r="D323">
        <v>4.0883299999999997E-2</v>
      </c>
    </row>
    <row r="324" spans="1:4" x14ac:dyDescent="0.25">
      <c r="A324">
        <v>1981.17</v>
      </c>
      <c r="D324">
        <v>2.2783299999999999E-2</v>
      </c>
    </row>
    <row r="325" spans="1:4" x14ac:dyDescent="0.25">
      <c r="A325">
        <v>1982.17</v>
      </c>
      <c r="D325">
        <v>1.3383300000000001E-2</v>
      </c>
    </row>
    <row r="326" spans="1:4" x14ac:dyDescent="0.25">
      <c r="A326">
        <v>1983.17</v>
      </c>
      <c r="D326">
        <v>3.6916699999999997E-2</v>
      </c>
    </row>
    <row r="327" spans="1:4" x14ac:dyDescent="0.25">
      <c r="A327">
        <v>1984.17</v>
      </c>
      <c r="D327">
        <v>3.5000000000000003E-2</v>
      </c>
    </row>
    <row r="328" spans="1:4" x14ac:dyDescent="0.25">
      <c r="A328">
        <v>1985.17</v>
      </c>
      <c r="D328">
        <v>4.8266700000000003E-2</v>
      </c>
    </row>
    <row r="329" spans="1:4" x14ac:dyDescent="0.25">
      <c r="A329">
        <v>1986.17</v>
      </c>
      <c r="D329">
        <v>9.3649999999999997E-2</v>
      </c>
    </row>
    <row r="330" spans="1:4" x14ac:dyDescent="0.25">
      <c r="A330">
        <v>1987.17</v>
      </c>
      <c r="D330">
        <v>0.12884999999999999</v>
      </c>
    </row>
    <row r="331" spans="1:4" x14ac:dyDescent="0.25">
      <c r="A331">
        <v>1988.17</v>
      </c>
      <c r="D331">
        <v>0.111983</v>
      </c>
    </row>
    <row r="332" spans="1:4" x14ac:dyDescent="0.25">
      <c r="A332">
        <v>1989.17</v>
      </c>
      <c r="D332">
        <v>0.105783</v>
      </c>
    </row>
    <row r="333" spans="1:4" x14ac:dyDescent="0.25">
      <c r="A333">
        <v>1990.17</v>
      </c>
      <c r="D333">
        <v>0.1186</v>
      </c>
    </row>
    <row r="334" spans="1:4" x14ac:dyDescent="0.25">
      <c r="A334">
        <v>1991.17</v>
      </c>
      <c r="D334">
        <v>0.11840000000000001</v>
      </c>
    </row>
    <row r="335" spans="1:4" x14ac:dyDescent="0.25">
      <c r="A335">
        <v>1992.17</v>
      </c>
      <c r="D335">
        <v>0.1099</v>
      </c>
    </row>
    <row r="336" spans="1:4" x14ac:dyDescent="0.25">
      <c r="A336">
        <v>1993.17</v>
      </c>
      <c r="D336">
        <v>0.1593</v>
      </c>
    </row>
    <row r="337" spans="1:4" x14ac:dyDescent="0.25">
      <c r="A337">
        <v>1994.17</v>
      </c>
      <c r="D337">
        <v>0.23453299999999999</v>
      </c>
    </row>
    <row r="338" spans="1:4" x14ac:dyDescent="0.25">
      <c r="A338">
        <v>1995.17</v>
      </c>
      <c r="D338">
        <v>0.25140000000000001</v>
      </c>
    </row>
    <row r="339" spans="1:4" x14ac:dyDescent="0.25">
      <c r="A339">
        <v>1996.17</v>
      </c>
      <c r="D339">
        <v>0.25898300000000002</v>
      </c>
    </row>
    <row r="340" spans="1:4" x14ac:dyDescent="0.25">
      <c r="A340">
        <v>1997.17</v>
      </c>
      <c r="D340">
        <v>0.3034</v>
      </c>
    </row>
    <row r="341" spans="1:4" x14ac:dyDescent="0.25">
      <c r="A341">
        <v>1998.17</v>
      </c>
      <c r="D341">
        <v>0.31809999999999999</v>
      </c>
    </row>
    <row r="342" spans="1:4" x14ac:dyDescent="0.25">
      <c r="A342">
        <v>1999.17</v>
      </c>
      <c r="D342">
        <v>0.30911699999999998</v>
      </c>
    </row>
    <row r="343" spans="1:4" x14ac:dyDescent="0.25">
      <c r="A343">
        <v>2000.17</v>
      </c>
      <c r="D343">
        <v>0.34396700000000002</v>
      </c>
    </row>
    <row r="344" spans="1:4" x14ac:dyDescent="0.25">
      <c r="A344">
        <v>2001.17</v>
      </c>
      <c r="D344">
        <v>0.37676700000000002</v>
      </c>
    </row>
    <row r="345" spans="1:4" x14ac:dyDescent="0.25">
      <c r="A345">
        <v>2002.17</v>
      </c>
      <c r="D345">
        <v>0.37778299999999998</v>
      </c>
    </row>
    <row r="346" spans="1:4" x14ac:dyDescent="0.25">
      <c r="A346">
        <v>2003.17</v>
      </c>
      <c r="D346">
        <v>0.35818299999999997</v>
      </c>
    </row>
    <row r="347" spans="1:4" x14ac:dyDescent="0.25">
      <c r="A347">
        <v>2004.17</v>
      </c>
      <c r="D347">
        <v>0.3266</v>
      </c>
    </row>
    <row r="348" spans="1:4" x14ac:dyDescent="0.25">
      <c r="A348">
        <v>2005.17</v>
      </c>
      <c r="D348">
        <v>0.32534999999999997</v>
      </c>
    </row>
    <row r="349" spans="1:4" x14ac:dyDescent="0.25">
      <c r="A349">
        <v>2006.17</v>
      </c>
      <c r="D349">
        <v>0.32695000000000002</v>
      </c>
    </row>
    <row r="350" spans="1:4" x14ac:dyDescent="0.25">
      <c r="A350">
        <v>2007.17</v>
      </c>
      <c r="D350">
        <v>0.31348300000000001</v>
      </c>
    </row>
    <row r="351" spans="1:4" x14ac:dyDescent="0.25">
      <c r="A351">
        <v>2008.17</v>
      </c>
      <c r="D351">
        <v>0.32626699999999997</v>
      </c>
    </row>
    <row r="352" spans="1:4" x14ac:dyDescent="0.25">
      <c r="A352" t="s">
        <v>11</v>
      </c>
    </row>
    <row r="353" spans="1:1" x14ac:dyDescent="0.25">
      <c r="A353" t="s">
        <v>12</v>
      </c>
    </row>
    <row r="354" spans="1:1" x14ac:dyDescent="0.25">
      <c r="A354" t="s">
        <v>25</v>
      </c>
    </row>
    <row r="355" spans="1:1" x14ac:dyDescent="0.25">
      <c r="A355" t="s">
        <v>13</v>
      </c>
    </row>
    <row r="356" spans="1:1" x14ac:dyDescent="0.25">
      <c r="A356" t="s">
        <v>0</v>
      </c>
    </row>
    <row r="357" spans="1:1" x14ac:dyDescent="0.25">
      <c r="A357" t="s">
        <v>1</v>
      </c>
    </row>
    <row r="358" spans="1:1" x14ac:dyDescent="0.25">
      <c r="A358" t="s">
        <v>2</v>
      </c>
    </row>
    <row r="359" spans="1:1" x14ac:dyDescent="0.25">
      <c r="A359" t="s">
        <v>3</v>
      </c>
    </row>
    <row r="360" spans="1:1" x14ac:dyDescent="0.25">
      <c r="A360" t="s">
        <v>14</v>
      </c>
    </row>
    <row r="361" spans="1:1" x14ac:dyDescent="0.25">
      <c r="A361" t="s">
        <v>15</v>
      </c>
    </row>
    <row r="362" spans="1:1" x14ac:dyDescent="0.25">
      <c r="A362" t="s">
        <v>6</v>
      </c>
    </row>
    <row r="363" spans="1:1" x14ac:dyDescent="0.25">
      <c r="A363" t="s">
        <v>16</v>
      </c>
    </row>
    <row r="364" spans="1:1" x14ac:dyDescent="0.25">
      <c r="A364" t="s">
        <v>3</v>
      </c>
    </row>
    <row r="365" spans="1:1" x14ac:dyDescent="0.25">
      <c r="A365" t="s">
        <v>2</v>
      </c>
    </row>
    <row r="366" spans="1:1" x14ac:dyDescent="0.25">
      <c r="A366" t="s">
        <v>17</v>
      </c>
    </row>
    <row r="367" spans="1:1" x14ac:dyDescent="0.25">
      <c r="A367" t="s">
        <v>2</v>
      </c>
    </row>
    <row r="368" spans="1:1" x14ac:dyDescent="0.25">
      <c r="A368" t="s">
        <v>18</v>
      </c>
    </row>
    <row r="369" spans="1:4" x14ac:dyDescent="0.25">
      <c r="A369" t="s">
        <v>10</v>
      </c>
    </row>
    <row r="370" spans="1:4" x14ac:dyDescent="0.25">
      <c r="A370" t="s">
        <v>20</v>
      </c>
    </row>
    <row r="371" spans="1:4" x14ac:dyDescent="0.25">
      <c r="A371">
        <v>1850.17</v>
      </c>
      <c r="D371">
        <v>-0.27318300000000001</v>
      </c>
    </row>
    <row r="372" spans="1:4" x14ac:dyDescent="0.25">
      <c r="A372">
        <v>1851.17</v>
      </c>
      <c r="D372">
        <v>-0.25173299999999998</v>
      </c>
    </row>
    <row r="373" spans="1:4" x14ac:dyDescent="0.25">
      <c r="A373">
        <v>1852.17</v>
      </c>
      <c r="D373">
        <v>-0.27898299999999998</v>
      </c>
    </row>
    <row r="374" spans="1:4" x14ac:dyDescent="0.25">
      <c r="A374">
        <v>1853.17</v>
      </c>
      <c r="D374">
        <v>-0.32541700000000001</v>
      </c>
    </row>
    <row r="375" spans="1:4" x14ac:dyDescent="0.25">
      <c r="A375">
        <v>1854.17</v>
      </c>
      <c r="D375">
        <v>-0.36413299999999998</v>
      </c>
    </row>
    <row r="376" spans="1:4" x14ac:dyDescent="0.25">
      <c r="A376">
        <v>1855.17</v>
      </c>
      <c r="D376">
        <v>-0.37238300000000002</v>
      </c>
    </row>
    <row r="377" spans="1:4" x14ac:dyDescent="0.25">
      <c r="A377">
        <v>1856.17</v>
      </c>
      <c r="D377">
        <v>-0.38746700000000001</v>
      </c>
    </row>
    <row r="378" spans="1:4" x14ac:dyDescent="0.25">
      <c r="A378">
        <v>1857.17</v>
      </c>
      <c r="D378">
        <v>-0.394233</v>
      </c>
    </row>
    <row r="379" spans="1:4" x14ac:dyDescent="0.25">
      <c r="A379">
        <v>1858.17</v>
      </c>
      <c r="D379">
        <v>-0.40363300000000002</v>
      </c>
    </row>
    <row r="380" spans="1:4" x14ac:dyDescent="0.25">
      <c r="A380">
        <v>1859.17</v>
      </c>
      <c r="D380">
        <v>-0.366817</v>
      </c>
    </row>
    <row r="381" spans="1:4" x14ac:dyDescent="0.25">
      <c r="A381">
        <v>1860.17</v>
      </c>
      <c r="D381">
        <v>-0.40446700000000002</v>
      </c>
    </row>
    <row r="382" spans="1:4" x14ac:dyDescent="0.25">
      <c r="A382">
        <v>1861.17</v>
      </c>
      <c r="D382">
        <v>-0.39005000000000001</v>
      </c>
    </row>
    <row r="383" spans="1:4" x14ac:dyDescent="0.25">
      <c r="A383">
        <v>1862.17</v>
      </c>
      <c r="D383">
        <v>-0.35844999999999999</v>
      </c>
    </row>
    <row r="384" spans="1:4" x14ac:dyDescent="0.25">
      <c r="A384">
        <v>1863.17</v>
      </c>
      <c r="D384">
        <v>-0.31781700000000002</v>
      </c>
    </row>
    <row r="385" spans="1:4" x14ac:dyDescent="0.25">
      <c r="A385">
        <v>1864.17</v>
      </c>
      <c r="D385">
        <v>-0.30658299999999999</v>
      </c>
    </row>
    <row r="386" spans="1:4" x14ac:dyDescent="0.25">
      <c r="A386">
        <v>1865.17</v>
      </c>
      <c r="D386">
        <v>-0.26173299999999999</v>
      </c>
    </row>
    <row r="387" spans="1:4" x14ac:dyDescent="0.25">
      <c r="A387">
        <v>1866.17</v>
      </c>
      <c r="D387">
        <v>-0.26116699999999998</v>
      </c>
    </row>
    <row r="388" spans="1:4" x14ac:dyDescent="0.25">
      <c r="A388">
        <v>1867.17</v>
      </c>
      <c r="D388">
        <v>-0.27953299999999998</v>
      </c>
    </row>
    <row r="389" spans="1:4" x14ac:dyDescent="0.25">
      <c r="A389">
        <v>1868.17</v>
      </c>
      <c r="D389">
        <v>-0.26333299999999998</v>
      </c>
    </row>
    <row r="390" spans="1:4" x14ac:dyDescent="0.25">
      <c r="A390">
        <v>1869.17</v>
      </c>
      <c r="D390">
        <v>-0.27868300000000001</v>
      </c>
    </row>
    <row r="391" spans="1:4" x14ac:dyDescent="0.25">
      <c r="A391">
        <v>1870.17</v>
      </c>
      <c r="D391">
        <v>-0.301983</v>
      </c>
    </row>
    <row r="392" spans="1:4" x14ac:dyDescent="0.25">
      <c r="A392">
        <v>1871.17</v>
      </c>
      <c r="D392">
        <v>-0.33011699999999999</v>
      </c>
    </row>
    <row r="393" spans="1:4" x14ac:dyDescent="0.25">
      <c r="A393">
        <v>1872.17</v>
      </c>
      <c r="D393">
        <v>-0.34115000000000001</v>
      </c>
    </row>
    <row r="394" spans="1:4" x14ac:dyDescent="0.25">
      <c r="A394">
        <v>1873.17</v>
      </c>
      <c r="D394">
        <v>-0.31085000000000002</v>
      </c>
    </row>
    <row r="395" spans="1:4" x14ac:dyDescent="0.25">
      <c r="A395">
        <v>1874.17</v>
      </c>
      <c r="D395">
        <v>-0.24313299999999999</v>
      </c>
    </row>
    <row r="396" spans="1:4" x14ac:dyDescent="0.25">
      <c r="A396">
        <v>1875.17</v>
      </c>
      <c r="D396">
        <v>-0.21460000000000001</v>
      </c>
    </row>
    <row r="397" spans="1:4" x14ac:dyDescent="0.25">
      <c r="A397">
        <v>1876.17</v>
      </c>
      <c r="D397">
        <v>-0.17715</v>
      </c>
    </row>
    <row r="398" spans="1:4" x14ac:dyDescent="0.25">
      <c r="A398">
        <v>1877.17</v>
      </c>
      <c r="D398">
        <v>-0.14091699999999999</v>
      </c>
    </row>
    <row r="399" spans="1:4" x14ac:dyDescent="0.25">
      <c r="A399">
        <v>1878.17</v>
      </c>
      <c r="D399">
        <v>-0.16855000000000001</v>
      </c>
    </row>
    <row r="400" spans="1:4" x14ac:dyDescent="0.25">
      <c r="A400">
        <v>1879.17</v>
      </c>
      <c r="D400">
        <v>-0.23335</v>
      </c>
    </row>
    <row r="401" spans="1:4" x14ac:dyDescent="0.25">
      <c r="A401">
        <v>1880.17</v>
      </c>
      <c r="D401">
        <v>-0.26741700000000002</v>
      </c>
    </row>
    <row r="402" spans="1:4" x14ac:dyDescent="0.25">
      <c r="A402">
        <v>1881.17</v>
      </c>
      <c r="D402">
        <v>-0.29861700000000002</v>
      </c>
    </row>
    <row r="403" spans="1:4" x14ac:dyDescent="0.25">
      <c r="A403">
        <v>1882.17</v>
      </c>
      <c r="D403">
        <v>-0.33055000000000001</v>
      </c>
    </row>
    <row r="404" spans="1:4" x14ac:dyDescent="0.25">
      <c r="A404">
        <v>1883.17</v>
      </c>
      <c r="D404">
        <v>-0.37128299999999997</v>
      </c>
    </row>
    <row r="405" spans="1:4" x14ac:dyDescent="0.25">
      <c r="A405">
        <v>1884.17</v>
      </c>
      <c r="D405">
        <v>-0.37498300000000001</v>
      </c>
    </row>
    <row r="406" spans="1:4" x14ac:dyDescent="0.25">
      <c r="A406">
        <v>1885.17</v>
      </c>
      <c r="D406">
        <v>-0.32988299999999998</v>
      </c>
    </row>
    <row r="407" spans="1:4" x14ac:dyDescent="0.25">
      <c r="A407">
        <v>1886.17</v>
      </c>
      <c r="D407">
        <v>-0.33800000000000002</v>
      </c>
    </row>
    <row r="408" spans="1:4" x14ac:dyDescent="0.25">
      <c r="A408">
        <v>1887.17</v>
      </c>
      <c r="D408">
        <v>-0.33336700000000002</v>
      </c>
    </row>
    <row r="409" spans="1:4" x14ac:dyDescent="0.25">
      <c r="A409">
        <v>1888.17</v>
      </c>
      <c r="D409">
        <v>-0.34196700000000002</v>
      </c>
    </row>
    <row r="410" spans="1:4" x14ac:dyDescent="0.25">
      <c r="A410">
        <v>1889.17</v>
      </c>
      <c r="D410">
        <v>-0.37633299999999997</v>
      </c>
    </row>
    <row r="411" spans="1:4" x14ac:dyDescent="0.25">
      <c r="A411">
        <v>1890.17</v>
      </c>
      <c r="D411">
        <v>-0.423483</v>
      </c>
    </row>
    <row r="412" spans="1:4" x14ac:dyDescent="0.25">
      <c r="A412">
        <v>1891.17</v>
      </c>
      <c r="D412">
        <v>-0.41791699999999998</v>
      </c>
    </row>
    <row r="413" spans="1:4" x14ac:dyDescent="0.25">
      <c r="A413">
        <v>1892.17</v>
      </c>
      <c r="D413">
        <v>-0.38778299999999999</v>
      </c>
    </row>
    <row r="414" spans="1:4" x14ac:dyDescent="0.25">
      <c r="A414">
        <v>1893.17</v>
      </c>
      <c r="D414">
        <v>-0.33776699999999998</v>
      </c>
    </row>
    <row r="415" spans="1:4" x14ac:dyDescent="0.25">
      <c r="A415">
        <v>1894.17</v>
      </c>
      <c r="D415">
        <v>-0.32353300000000002</v>
      </c>
    </row>
    <row r="416" spans="1:4" x14ac:dyDescent="0.25">
      <c r="A416">
        <v>1895.17</v>
      </c>
      <c r="D416">
        <v>-0.29930000000000001</v>
      </c>
    </row>
    <row r="417" spans="1:4" x14ac:dyDescent="0.25">
      <c r="A417">
        <v>1896.17</v>
      </c>
      <c r="D417">
        <v>-0.26019999999999999</v>
      </c>
    </row>
    <row r="418" spans="1:4" x14ac:dyDescent="0.25">
      <c r="A418">
        <v>1897.17</v>
      </c>
      <c r="D418">
        <v>-0.27625</v>
      </c>
    </row>
    <row r="419" spans="1:4" x14ac:dyDescent="0.25">
      <c r="A419">
        <v>1898.17</v>
      </c>
      <c r="D419">
        <v>-0.31661699999999998</v>
      </c>
    </row>
    <row r="420" spans="1:4" x14ac:dyDescent="0.25">
      <c r="A420">
        <v>1899.17</v>
      </c>
      <c r="D420">
        <v>-0.33111699999999999</v>
      </c>
    </row>
    <row r="421" spans="1:4" x14ac:dyDescent="0.25">
      <c r="A421">
        <v>1900.17</v>
      </c>
      <c r="D421">
        <v>-0.37816699999999998</v>
      </c>
    </row>
    <row r="422" spans="1:4" x14ac:dyDescent="0.25">
      <c r="A422">
        <v>1901.17</v>
      </c>
      <c r="D422">
        <v>-0.41501700000000002</v>
      </c>
    </row>
    <row r="423" spans="1:4" x14ac:dyDescent="0.25">
      <c r="A423">
        <v>1902.17</v>
      </c>
      <c r="D423">
        <v>-0.42021700000000001</v>
      </c>
    </row>
    <row r="424" spans="1:4" x14ac:dyDescent="0.25">
      <c r="A424">
        <v>1903.17</v>
      </c>
      <c r="D424">
        <v>-0.433417</v>
      </c>
    </row>
    <row r="425" spans="1:4" x14ac:dyDescent="0.25">
      <c r="A425">
        <v>1904.17</v>
      </c>
      <c r="D425">
        <v>-0.44193300000000002</v>
      </c>
    </row>
    <row r="426" spans="1:4" x14ac:dyDescent="0.25">
      <c r="A426">
        <v>1905.17</v>
      </c>
      <c r="D426">
        <v>-0.443633</v>
      </c>
    </row>
    <row r="427" spans="1:4" x14ac:dyDescent="0.25">
      <c r="A427">
        <v>1906.17</v>
      </c>
      <c r="D427">
        <v>-0.46639999999999998</v>
      </c>
    </row>
    <row r="428" spans="1:4" x14ac:dyDescent="0.25">
      <c r="A428">
        <v>1907.17</v>
      </c>
      <c r="D428">
        <v>-0.51870000000000005</v>
      </c>
    </row>
    <row r="429" spans="1:4" x14ac:dyDescent="0.25">
      <c r="A429">
        <v>1908.17</v>
      </c>
      <c r="D429">
        <v>-0.51406700000000005</v>
      </c>
    </row>
    <row r="430" spans="1:4" x14ac:dyDescent="0.25">
      <c r="A430">
        <v>1909.17</v>
      </c>
      <c r="D430">
        <v>-0.49711699999999998</v>
      </c>
    </row>
    <row r="431" spans="1:4" x14ac:dyDescent="0.25">
      <c r="A431">
        <v>1910.17</v>
      </c>
      <c r="D431">
        <v>-0.44224999999999998</v>
      </c>
    </row>
    <row r="432" spans="1:4" x14ac:dyDescent="0.25">
      <c r="A432">
        <v>1911.17</v>
      </c>
      <c r="D432">
        <v>-0.37636700000000001</v>
      </c>
    </row>
    <row r="433" spans="1:4" x14ac:dyDescent="0.25">
      <c r="A433">
        <v>1912.17</v>
      </c>
      <c r="D433">
        <v>-0.34410000000000002</v>
      </c>
    </row>
    <row r="434" spans="1:4" x14ac:dyDescent="0.25">
      <c r="A434">
        <v>1913.17</v>
      </c>
      <c r="D434">
        <v>-0.34916700000000001</v>
      </c>
    </row>
    <row r="435" spans="1:4" x14ac:dyDescent="0.25">
      <c r="A435">
        <v>1914.17</v>
      </c>
      <c r="D435">
        <v>-0.33133299999999999</v>
      </c>
    </row>
    <row r="436" spans="1:4" x14ac:dyDescent="0.25">
      <c r="A436">
        <v>1915.17</v>
      </c>
      <c r="D436">
        <v>-0.33701700000000001</v>
      </c>
    </row>
    <row r="437" spans="1:4" x14ac:dyDescent="0.25">
      <c r="A437">
        <v>1916.17</v>
      </c>
      <c r="D437">
        <v>-0.35408299999999998</v>
      </c>
    </row>
    <row r="438" spans="1:4" x14ac:dyDescent="0.25">
      <c r="A438">
        <v>1917.17</v>
      </c>
      <c r="D438">
        <v>-0.31331700000000001</v>
      </c>
    </row>
    <row r="439" spans="1:4" x14ac:dyDescent="0.25">
      <c r="A439">
        <v>1918.17</v>
      </c>
      <c r="D439">
        <v>-0.27934999999999999</v>
      </c>
    </row>
    <row r="440" spans="1:4" x14ac:dyDescent="0.25">
      <c r="A440">
        <v>1919.17</v>
      </c>
      <c r="D440">
        <v>-0.26486700000000002</v>
      </c>
    </row>
    <row r="441" spans="1:4" x14ac:dyDescent="0.25">
      <c r="A441">
        <v>1920.17</v>
      </c>
      <c r="D441">
        <v>-0.26761699999999999</v>
      </c>
    </row>
    <row r="442" spans="1:4" x14ac:dyDescent="0.25">
      <c r="A442">
        <v>1921.17</v>
      </c>
      <c r="D442">
        <v>-0.26055</v>
      </c>
    </row>
    <row r="443" spans="1:4" x14ac:dyDescent="0.25">
      <c r="A443">
        <v>1922.17</v>
      </c>
      <c r="D443">
        <v>-0.244367</v>
      </c>
    </row>
    <row r="444" spans="1:4" x14ac:dyDescent="0.25">
      <c r="A444">
        <v>1923.17</v>
      </c>
      <c r="D444">
        <v>-0.22489999999999999</v>
      </c>
    </row>
    <row r="445" spans="1:4" x14ac:dyDescent="0.25">
      <c r="A445">
        <v>1924.17</v>
      </c>
      <c r="D445">
        <v>-0.21235000000000001</v>
      </c>
    </row>
    <row r="446" spans="1:4" x14ac:dyDescent="0.25">
      <c r="A446">
        <v>1925.17</v>
      </c>
      <c r="D446">
        <v>-0.22143299999999999</v>
      </c>
    </row>
    <row r="447" spans="1:4" x14ac:dyDescent="0.25">
      <c r="A447">
        <v>1926.17</v>
      </c>
      <c r="D447">
        <v>-0.20505000000000001</v>
      </c>
    </row>
    <row r="448" spans="1:4" x14ac:dyDescent="0.25">
      <c r="A448">
        <v>1927.17</v>
      </c>
      <c r="D448">
        <v>-0.19996700000000001</v>
      </c>
    </row>
    <row r="449" spans="1:4" x14ac:dyDescent="0.25">
      <c r="A449">
        <v>1928.17</v>
      </c>
      <c r="D449">
        <v>-0.184917</v>
      </c>
    </row>
    <row r="450" spans="1:4" x14ac:dyDescent="0.25">
      <c r="A450">
        <v>1929.17</v>
      </c>
      <c r="D450">
        <v>-0.19705</v>
      </c>
    </row>
    <row r="451" spans="1:4" x14ac:dyDescent="0.25">
      <c r="A451">
        <v>1930.17</v>
      </c>
      <c r="D451">
        <v>-0.15346699999999999</v>
      </c>
    </row>
    <row r="452" spans="1:4" x14ac:dyDescent="0.25">
      <c r="A452">
        <v>1931.17</v>
      </c>
      <c r="D452">
        <v>-0.16156699999999999</v>
      </c>
    </row>
    <row r="453" spans="1:4" x14ac:dyDescent="0.25">
      <c r="A453">
        <v>1932.17</v>
      </c>
      <c r="D453">
        <v>-0.17305000000000001</v>
      </c>
    </row>
    <row r="454" spans="1:4" x14ac:dyDescent="0.25">
      <c r="A454">
        <v>1933.17</v>
      </c>
      <c r="D454">
        <v>-0.150667</v>
      </c>
    </row>
    <row r="455" spans="1:4" x14ac:dyDescent="0.25">
      <c r="A455">
        <v>1934.17</v>
      </c>
      <c r="D455">
        <v>-9.71167E-2</v>
      </c>
    </row>
    <row r="456" spans="1:4" x14ac:dyDescent="0.25">
      <c r="A456">
        <v>1935.17</v>
      </c>
      <c r="D456">
        <v>-8.1966700000000003E-2</v>
      </c>
    </row>
    <row r="457" spans="1:4" x14ac:dyDescent="0.25">
      <c r="A457">
        <v>1936.17</v>
      </c>
      <c r="D457">
        <v>-4.21833E-2</v>
      </c>
    </row>
    <row r="458" spans="1:4" x14ac:dyDescent="0.25">
      <c r="A458">
        <v>1937.17</v>
      </c>
      <c r="D458">
        <v>-8.8333300000000003E-3</v>
      </c>
    </row>
    <row r="459" spans="1:4" x14ac:dyDescent="0.25">
      <c r="A459">
        <v>1938.17</v>
      </c>
      <c r="D459">
        <v>-7.8666699999999992E-3</v>
      </c>
    </row>
    <row r="460" spans="1:4" x14ac:dyDescent="0.25">
      <c r="A460">
        <v>1939.17</v>
      </c>
      <c r="D460">
        <v>-6.4333300000000001E-3</v>
      </c>
    </row>
    <row r="461" spans="1:4" x14ac:dyDescent="0.25">
      <c r="A461">
        <v>1940.17</v>
      </c>
      <c r="D461">
        <v>3.5016699999999998E-2</v>
      </c>
    </row>
    <row r="462" spans="1:4" x14ac:dyDescent="0.25">
      <c r="A462">
        <v>1941.17</v>
      </c>
      <c r="D462">
        <v>3.6650000000000002E-2</v>
      </c>
    </row>
    <row r="463" spans="1:4" x14ac:dyDescent="0.25">
      <c r="A463">
        <v>1942.17</v>
      </c>
      <c r="D463">
        <v>1.8599999999999998E-2</v>
      </c>
    </row>
    <row r="464" spans="1:4" x14ac:dyDescent="0.25">
      <c r="A464">
        <v>1943.17</v>
      </c>
      <c r="D464">
        <v>1.45833E-2</v>
      </c>
    </row>
    <row r="465" spans="1:4" x14ac:dyDescent="0.25">
      <c r="A465">
        <v>1944.17</v>
      </c>
      <c r="D465">
        <v>7.2833300000000002E-3</v>
      </c>
    </row>
    <row r="466" spans="1:4" x14ac:dyDescent="0.25">
      <c r="A466">
        <v>1945.17</v>
      </c>
      <c r="D466">
        <v>-3.8333300000000001E-2</v>
      </c>
    </row>
    <row r="467" spans="1:4" x14ac:dyDescent="0.25">
      <c r="A467">
        <v>1946.17</v>
      </c>
      <c r="D467">
        <v>-7.9766699999999996E-2</v>
      </c>
    </row>
    <row r="468" spans="1:4" x14ac:dyDescent="0.25">
      <c r="A468">
        <v>1947.17</v>
      </c>
      <c r="D468">
        <v>-7.6333300000000007E-2</v>
      </c>
    </row>
    <row r="469" spans="1:4" x14ac:dyDescent="0.25">
      <c r="A469">
        <v>1948.17</v>
      </c>
      <c r="D469">
        <v>-6.1749999999999999E-2</v>
      </c>
    </row>
    <row r="470" spans="1:4" x14ac:dyDescent="0.25">
      <c r="A470">
        <v>1949.17</v>
      </c>
      <c r="D470">
        <v>-3.4283300000000003E-2</v>
      </c>
    </row>
    <row r="471" spans="1:4" x14ac:dyDescent="0.25">
      <c r="A471">
        <v>1950.17</v>
      </c>
      <c r="D471">
        <v>-4.5716699999999999E-2</v>
      </c>
    </row>
    <row r="472" spans="1:4" x14ac:dyDescent="0.25">
      <c r="A472">
        <v>1951.17</v>
      </c>
      <c r="D472">
        <v>-4.8016700000000002E-2</v>
      </c>
    </row>
    <row r="473" spans="1:4" x14ac:dyDescent="0.25">
      <c r="A473">
        <v>1952.17</v>
      </c>
      <c r="D473">
        <v>-9.06E-2</v>
      </c>
    </row>
    <row r="474" spans="1:4" x14ac:dyDescent="0.25">
      <c r="A474">
        <v>1953.17</v>
      </c>
      <c r="D474">
        <v>-9.7733299999999995E-2</v>
      </c>
    </row>
    <row r="475" spans="1:4" x14ac:dyDescent="0.25">
      <c r="A475">
        <v>1954.17</v>
      </c>
      <c r="D475">
        <v>-0.108083</v>
      </c>
    </row>
    <row r="476" spans="1:4" x14ac:dyDescent="0.25">
      <c r="A476">
        <v>1955.17</v>
      </c>
      <c r="D476">
        <v>-7.8316700000000003E-2</v>
      </c>
    </row>
    <row r="477" spans="1:4" x14ac:dyDescent="0.25">
      <c r="A477">
        <v>1956.17</v>
      </c>
      <c r="D477">
        <v>-5.0950000000000002E-2</v>
      </c>
    </row>
    <row r="478" spans="1:4" x14ac:dyDescent="0.25">
      <c r="A478">
        <v>1957.17</v>
      </c>
      <c r="D478">
        <v>9.7999999999999997E-3</v>
      </c>
    </row>
    <row r="479" spans="1:4" x14ac:dyDescent="0.25">
      <c r="A479">
        <v>1958.17</v>
      </c>
      <c r="D479">
        <v>1.43833E-2</v>
      </c>
    </row>
    <row r="480" spans="1:4" x14ac:dyDescent="0.25">
      <c r="A480">
        <v>1959.17</v>
      </c>
      <c r="D480">
        <v>1.49333E-2</v>
      </c>
    </row>
    <row r="481" spans="1:4" x14ac:dyDescent="0.25">
      <c r="A481">
        <v>1960.17</v>
      </c>
      <c r="D481">
        <v>-3.3099999999999997E-2</v>
      </c>
    </row>
    <row r="482" spans="1:4" x14ac:dyDescent="0.25">
      <c r="A482">
        <v>1961.17</v>
      </c>
      <c r="D482">
        <v>-5.0983300000000002E-2</v>
      </c>
    </row>
    <row r="483" spans="1:4" x14ac:dyDescent="0.25">
      <c r="A483">
        <v>1962.17</v>
      </c>
      <c r="D483">
        <v>-7.3183300000000007E-2</v>
      </c>
    </row>
    <row r="484" spans="1:4" x14ac:dyDescent="0.25">
      <c r="A484">
        <v>1963.17</v>
      </c>
      <c r="D484">
        <v>-9.2100000000000001E-2</v>
      </c>
    </row>
    <row r="485" spans="1:4" x14ac:dyDescent="0.25">
      <c r="A485">
        <v>1964.17</v>
      </c>
      <c r="D485">
        <v>-0.12438299999999999</v>
      </c>
    </row>
    <row r="486" spans="1:4" x14ac:dyDescent="0.25">
      <c r="A486">
        <v>1965.17</v>
      </c>
      <c r="D486">
        <v>-7.3916700000000002E-2</v>
      </c>
    </row>
    <row r="487" spans="1:4" x14ac:dyDescent="0.25">
      <c r="A487">
        <v>1966.17</v>
      </c>
      <c r="D487">
        <v>-5.1216699999999997E-2</v>
      </c>
    </row>
    <row r="488" spans="1:4" x14ac:dyDescent="0.25">
      <c r="A488">
        <v>1967.17</v>
      </c>
      <c r="D488">
        <v>-7.3999999999999996E-2</v>
      </c>
    </row>
    <row r="489" spans="1:4" x14ac:dyDescent="0.25">
      <c r="A489">
        <v>1968.17</v>
      </c>
      <c r="D489">
        <v>-7.2083300000000003E-2</v>
      </c>
    </row>
    <row r="490" spans="1:4" x14ac:dyDescent="0.25">
      <c r="A490">
        <v>1969.17</v>
      </c>
      <c r="D490">
        <v>-3.7483299999999997E-2</v>
      </c>
    </row>
    <row r="491" spans="1:4" x14ac:dyDescent="0.25">
      <c r="A491">
        <v>1970.17</v>
      </c>
      <c r="D491">
        <v>-8.5866700000000004E-2</v>
      </c>
    </row>
    <row r="492" spans="1:4" x14ac:dyDescent="0.25">
      <c r="A492">
        <v>1971.17</v>
      </c>
      <c r="D492">
        <v>-0.109967</v>
      </c>
    </row>
    <row r="493" spans="1:4" x14ac:dyDescent="0.25">
      <c r="A493">
        <v>1972.17</v>
      </c>
      <c r="D493">
        <v>-0.12081699999999999</v>
      </c>
    </row>
    <row r="494" spans="1:4" x14ac:dyDescent="0.25">
      <c r="A494">
        <v>1973.17</v>
      </c>
      <c r="D494">
        <v>-9.8299999999999998E-2</v>
      </c>
    </row>
    <row r="495" spans="1:4" x14ac:dyDescent="0.25">
      <c r="A495">
        <v>1974.17</v>
      </c>
      <c r="D495">
        <v>-0.123067</v>
      </c>
    </row>
    <row r="496" spans="1:4" x14ac:dyDescent="0.25">
      <c r="A496">
        <v>1975.17</v>
      </c>
      <c r="D496">
        <v>-6.8816699999999995E-2</v>
      </c>
    </row>
    <row r="497" spans="1:4" x14ac:dyDescent="0.25">
      <c r="A497">
        <v>1976.17</v>
      </c>
      <c r="D497">
        <v>-2.06E-2</v>
      </c>
    </row>
    <row r="498" spans="1:4" x14ac:dyDescent="0.25">
      <c r="A498">
        <v>1977.17</v>
      </c>
      <c r="D498">
        <v>5.5399999999999998E-2</v>
      </c>
    </row>
    <row r="499" spans="1:4" x14ac:dyDescent="0.25">
      <c r="A499">
        <v>1978.17</v>
      </c>
      <c r="D499">
        <v>4.8616699999999999E-2</v>
      </c>
    </row>
    <row r="500" spans="1:4" x14ac:dyDescent="0.25">
      <c r="A500">
        <v>1979.17</v>
      </c>
      <c r="D500">
        <v>9.8616700000000002E-2</v>
      </c>
    </row>
    <row r="501" spans="1:4" x14ac:dyDescent="0.25">
      <c r="A501">
        <v>1980.17</v>
      </c>
      <c r="D501">
        <v>8.4099999999999994E-2</v>
      </c>
    </row>
    <row r="502" spans="1:4" x14ac:dyDescent="0.25">
      <c r="A502">
        <v>1981.17</v>
      </c>
      <c r="D502">
        <v>5.9900000000000002E-2</v>
      </c>
    </row>
    <row r="503" spans="1:4" x14ac:dyDescent="0.25">
      <c r="A503">
        <v>1982.17</v>
      </c>
      <c r="D503">
        <v>4.0966700000000002E-2</v>
      </c>
    </row>
    <row r="504" spans="1:4" x14ac:dyDescent="0.25">
      <c r="A504">
        <v>1983.17</v>
      </c>
      <c r="D504">
        <v>7.5233300000000003E-2</v>
      </c>
    </row>
    <row r="505" spans="1:4" x14ac:dyDescent="0.25">
      <c r="A505">
        <v>1984.17</v>
      </c>
      <c r="D505">
        <v>7.7633300000000002E-2</v>
      </c>
    </row>
    <row r="506" spans="1:4" x14ac:dyDescent="0.25">
      <c r="A506">
        <v>1985.17</v>
      </c>
      <c r="D506">
        <v>0.104833</v>
      </c>
    </row>
    <row r="507" spans="1:4" x14ac:dyDescent="0.25">
      <c r="A507">
        <v>1986.17</v>
      </c>
      <c r="D507">
        <v>0.169017</v>
      </c>
    </row>
    <row r="508" spans="1:4" x14ac:dyDescent="0.25">
      <c r="A508">
        <v>1987.17</v>
      </c>
      <c r="D508">
        <v>0.21026700000000001</v>
      </c>
    </row>
    <row r="509" spans="1:4" x14ac:dyDescent="0.25">
      <c r="A509">
        <v>1988.17</v>
      </c>
      <c r="D509">
        <v>0.193883</v>
      </c>
    </row>
    <row r="510" spans="1:4" x14ac:dyDescent="0.25">
      <c r="A510">
        <v>1989.17</v>
      </c>
      <c r="D510">
        <v>0.18254999999999999</v>
      </c>
    </row>
    <row r="511" spans="1:4" x14ac:dyDescent="0.25">
      <c r="A511">
        <v>1990.17</v>
      </c>
      <c r="D511">
        <v>0.19873299999999999</v>
      </c>
    </row>
    <row r="512" spans="1:4" x14ac:dyDescent="0.25">
      <c r="A512">
        <v>1991.17</v>
      </c>
      <c r="D512">
        <v>0.20471700000000001</v>
      </c>
    </row>
    <row r="513" spans="1:4" x14ac:dyDescent="0.25">
      <c r="A513">
        <v>1992.17</v>
      </c>
      <c r="D513">
        <v>0.18945000000000001</v>
      </c>
    </row>
    <row r="514" spans="1:4" x14ac:dyDescent="0.25">
      <c r="A514">
        <v>1993.17</v>
      </c>
      <c r="D514">
        <v>0.247</v>
      </c>
    </row>
    <row r="515" spans="1:4" x14ac:dyDescent="0.25">
      <c r="A515">
        <v>1994.17</v>
      </c>
      <c r="D515">
        <v>0.32291700000000001</v>
      </c>
    </row>
    <row r="516" spans="1:4" x14ac:dyDescent="0.25">
      <c r="A516">
        <v>1995.17</v>
      </c>
      <c r="D516">
        <v>0.342333</v>
      </c>
    </row>
    <row r="517" spans="1:4" x14ac:dyDescent="0.25">
      <c r="A517">
        <v>1996.17</v>
      </c>
      <c r="D517">
        <v>0.33603300000000003</v>
      </c>
    </row>
    <row r="518" spans="1:4" x14ac:dyDescent="0.25">
      <c r="A518">
        <v>1997.17</v>
      </c>
      <c r="D518">
        <v>0.38756699999999999</v>
      </c>
    </row>
    <row r="519" spans="1:4" x14ac:dyDescent="0.25">
      <c r="A519">
        <v>1998.17</v>
      </c>
      <c r="D519">
        <v>0.40693299999999999</v>
      </c>
    </row>
    <row r="520" spans="1:4" x14ac:dyDescent="0.25">
      <c r="A520">
        <v>1999.17</v>
      </c>
      <c r="D520">
        <v>0.40191700000000002</v>
      </c>
    </row>
    <row r="521" spans="1:4" x14ac:dyDescent="0.25">
      <c r="A521">
        <v>2000.17</v>
      </c>
      <c r="D521">
        <v>0.42996699999999999</v>
      </c>
    </row>
    <row r="522" spans="1:4" x14ac:dyDescent="0.25">
      <c r="A522">
        <v>2001.17</v>
      </c>
      <c r="D522">
        <v>0.47889999999999999</v>
      </c>
    </row>
    <row r="523" spans="1:4" x14ac:dyDescent="0.25">
      <c r="A523">
        <v>2002.17</v>
      </c>
      <c r="D523">
        <v>0.49041699999999999</v>
      </c>
    </row>
    <row r="524" spans="1:4" x14ac:dyDescent="0.25">
      <c r="A524">
        <v>2003.17</v>
      </c>
      <c r="D524">
        <v>0.48871700000000001</v>
      </c>
    </row>
    <row r="525" spans="1:4" x14ac:dyDescent="0.25">
      <c r="A525">
        <v>2004.17</v>
      </c>
      <c r="D525">
        <v>0.46596700000000002</v>
      </c>
    </row>
    <row r="526" spans="1:4" x14ac:dyDescent="0.25">
      <c r="A526">
        <v>2005.17</v>
      </c>
      <c r="D526">
        <v>0.47598299999999999</v>
      </c>
    </row>
    <row r="527" spans="1:4" x14ac:dyDescent="0.25">
      <c r="A527">
        <v>2006.17</v>
      </c>
      <c r="D527">
        <v>0.47683300000000001</v>
      </c>
    </row>
    <row r="528" spans="1:4" x14ac:dyDescent="0.25">
      <c r="A528">
        <v>2007.17</v>
      </c>
      <c r="D528">
        <v>0.45853300000000002</v>
      </c>
    </row>
    <row r="529" spans="1:4" x14ac:dyDescent="0.25">
      <c r="A529">
        <v>2008.17</v>
      </c>
      <c r="D529">
        <v>0.44993300000000003</v>
      </c>
    </row>
    <row r="530" spans="1:4" x14ac:dyDescent="0.25">
      <c r="A530" t="s">
        <v>11</v>
      </c>
    </row>
    <row r="531" spans="1:4" x14ac:dyDescent="0.25">
      <c r="A531" t="s">
        <v>12</v>
      </c>
    </row>
    <row r="532" spans="1:4" x14ac:dyDescent="0.25">
      <c r="A532" t="s">
        <v>26</v>
      </c>
    </row>
    <row r="533" spans="1:4" x14ac:dyDescent="0.25">
      <c r="A533" t="s">
        <v>13</v>
      </c>
    </row>
    <row r="534" spans="1:4" x14ac:dyDescent="0.25">
      <c r="A534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HAD global</vt:lpstr>
      <vt:lpstr>with offset</vt:lpstr>
      <vt:lpstr>Sheet1</vt:lpstr>
      <vt:lpstr>'HAD global'!_5</vt:lpstr>
      <vt:lpstr>'with offset'!_5</vt:lpstr>
      <vt:lpstr>Fraction</vt:lpstr>
      <vt:lpstr>Land</vt:lpstr>
      <vt:lpstr>Ocean</vt:lpstr>
      <vt:lpstr>Offset</vt:lpstr>
    </vt:vector>
  </TitlesOfParts>
  <Company>Customer Solutions BAE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pp</cp:lastModifiedBy>
  <cp:lastPrinted>2013-05-01T23:36:08Z</cp:lastPrinted>
  <dcterms:created xsi:type="dcterms:W3CDTF">2013-05-01T23:30:09Z</dcterms:created>
  <dcterms:modified xsi:type="dcterms:W3CDTF">2013-05-04T01:25:44Z</dcterms:modified>
</cp:coreProperties>
</file>