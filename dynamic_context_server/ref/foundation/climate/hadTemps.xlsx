
<file path=[Content_Types].xml><?xml version="1.0" encoding="utf-8"?>
<Types xmlns="http://schemas.openxmlformats.org/package/2006/content-types"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45" windowWidth="17100" windowHeight="12405"/>
  </bookViews>
  <sheets>
    <sheet name="HAD global" sheetId="3" r:id="rId1"/>
    <sheet name="with offset" sheetId="4" r:id="rId2"/>
  </sheets>
  <definedNames>
    <definedName name="_5" localSheetId="0">'HAD global'!$F$1:$G$533</definedName>
    <definedName name="_5" localSheetId="1">'with offset'!$A$1:$D$534</definedName>
    <definedName name="Fraction">'HAD global'!$B$4</definedName>
    <definedName name="Land">'HAD global'!$B$3</definedName>
    <definedName name="Ocean">'HAD global'!$B$2</definedName>
    <definedName name="Offset">'HAD global'!$B$1</definedName>
  </definedNames>
  <calcPr calcId="125725"/>
</workbook>
</file>

<file path=xl/calcChain.xml><?xml version="1.0" encoding="utf-8"?>
<calcChain xmlns="http://schemas.openxmlformats.org/spreadsheetml/2006/main">
  <c r="D172" i="3"/>
  <c r="E172" s="1"/>
  <c r="D171"/>
  <c r="E171" s="1"/>
  <c r="D170"/>
  <c r="E170" s="1"/>
  <c r="D169"/>
  <c r="E169" s="1"/>
  <c r="D168"/>
  <c r="E168" s="1"/>
  <c r="D167"/>
  <c r="E167" s="1"/>
  <c r="D166"/>
  <c r="E166" s="1"/>
  <c r="D165"/>
  <c r="E165" s="1"/>
  <c r="D164"/>
  <c r="E164" s="1"/>
  <c r="D163"/>
  <c r="E163" s="1"/>
  <c r="D162"/>
  <c r="E162" s="1"/>
  <c r="D161"/>
  <c r="E161" s="1"/>
  <c r="D160"/>
  <c r="E160" s="1"/>
  <c r="D159"/>
  <c r="E159" s="1"/>
  <c r="D158"/>
  <c r="E158" s="1"/>
  <c r="D157"/>
  <c r="E157" s="1"/>
  <c r="D156"/>
  <c r="E156" s="1"/>
  <c r="D155"/>
  <c r="E155" s="1"/>
  <c r="D154"/>
  <c r="E154" s="1"/>
  <c r="D153"/>
  <c r="E153" s="1"/>
  <c r="D152"/>
  <c r="E152" s="1"/>
  <c r="D151"/>
  <c r="E151" s="1"/>
  <c r="D150"/>
  <c r="E150" s="1"/>
  <c r="D149"/>
  <c r="E149" s="1"/>
  <c r="D148"/>
  <c r="E148" s="1"/>
  <c r="D147"/>
  <c r="E147" s="1"/>
  <c r="D146"/>
  <c r="E146" s="1"/>
  <c r="D145"/>
  <c r="E145" s="1"/>
  <c r="D144"/>
  <c r="E144" s="1"/>
  <c r="D143"/>
  <c r="E143" s="1"/>
  <c r="D142"/>
  <c r="E142" s="1"/>
  <c r="D141"/>
  <c r="E141" s="1"/>
  <c r="D140"/>
  <c r="E140" s="1"/>
  <c r="D139"/>
  <c r="E139" s="1"/>
  <c r="D138"/>
  <c r="E138" s="1"/>
  <c r="D137"/>
  <c r="E137" s="1"/>
  <c r="D136"/>
  <c r="E136" s="1"/>
  <c r="D135"/>
  <c r="E135" s="1"/>
  <c r="D134"/>
  <c r="E134" s="1"/>
  <c r="D133"/>
  <c r="E133" s="1"/>
  <c r="D132"/>
  <c r="E132" s="1"/>
  <c r="D131"/>
  <c r="E131" s="1"/>
  <c r="D130"/>
  <c r="E130" s="1"/>
  <c r="D129"/>
  <c r="E129" s="1"/>
  <c r="D128"/>
  <c r="E128" s="1"/>
  <c r="D127"/>
  <c r="E127" s="1"/>
  <c r="D126"/>
  <c r="E126" s="1"/>
  <c r="D125"/>
  <c r="E125" s="1"/>
  <c r="D124"/>
  <c r="E124" s="1"/>
  <c r="D123"/>
  <c r="E123" s="1"/>
  <c r="D122"/>
  <c r="E122" s="1"/>
  <c r="D121"/>
  <c r="E121" s="1"/>
  <c r="D120"/>
  <c r="E120" s="1"/>
  <c r="D119"/>
  <c r="E119" s="1"/>
  <c r="D118"/>
  <c r="E118" s="1"/>
  <c r="D117"/>
  <c r="E117" s="1"/>
  <c r="D116"/>
  <c r="E116" s="1"/>
  <c r="D115"/>
  <c r="E115" s="1"/>
  <c r="D114"/>
  <c r="E114" s="1"/>
  <c r="D113"/>
  <c r="E113" s="1"/>
  <c r="D112"/>
  <c r="E112" s="1"/>
  <c r="D111"/>
  <c r="E111" s="1"/>
  <c r="D110"/>
  <c r="E110" s="1"/>
  <c r="D109"/>
  <c r="E109" s="1"/>
  <c r="D108"/>
  <c r="E108" s="1"/>
  <c r="D107"/>
  <c r="E107" s="1"/>
  <c r="D106"/>
  <c r="E106" s="1"/>
  <c r="D105"/>
  <c r="E105" s="1"/>
  <c r="D104"/>
  <c r="E104" s="1"/>
  <c r="D103"/>
  <c r="E103" s="1"/>
  <c r="D102"/>
  <c r="E102" s="1"/>
  <c r="D101"/>
  <c r="E101" s="1"/>
  <c r="D100"/>
  <c r="E100" s="1"/>
  <c r="D99"/>
  <c r="E99" s="1"/>
  <c r="D98"/>
  <c r="E98" s="1"/>
  <c r="D97"/>
  <c r="E97" s="1"/>
  <c r="D96"/>
  <c r="E96" s="1"/>
  <c r="D95"/>
  <c r="E95" s="1"/>
  <c r="D94"/>
  <c r="E94" s="1"/>
  <c r="D93"/>
  <c r="E93" s="1"/>
  <c r="D92"/>
  <c r="E92" s="1"/>
  <c r="D91"/>
  <c r="E91" s="1"/>
  <c r="D90"/>
  <c r="E90" s="1"/>
  <c r="D89"/>
  <c r="E89" s="1"/>
  <c r="D88"/>
  <c r="E88" s="1"/>
  <c r="D87"/>
  <c r="E87" s="1"/>
  <c r="D86"/>
  <c r="E86" s="1"/>
  <c r="D85"/>
  <c r="E85" s="1"/>
  <c r="D84"/>
  <c r="E84" s="1"/>
  <c r="D83"/>
  <c r="E83" s="1"/>
  <c r="D82"/>
  <c r="E82" s="1"/>
  <c r="D81"/>
  <c r="E81" s="1"/>
  <c r="D80"/>
  <c r="E80" s="1"/>
  <c r="D79"/>
  <c r="E79" s="1"/>
  <c r="D78"/>
  <c r="E78" s="1"/>
  <c r="D77"/>
  <c r="E77" s="1"/>
  <c r="D76"/>
  <c r="E76" s="1"/>
  <c r="D75"/>
  <c r="E75" s="1"/>
  <c r="D74"/>
  <c r="E74" s="1"/>
  <c r="D73"/>
  <c r="E73" s="1"/>
  <c r="D72"/>
  <c r="E72" s="1"/>
  <c r="D71"/>
  <c r="E71" s="1"/>
  <c r="D70"/>
  <c r="E70" s="1"/>
  <c r="D69"/>
  <c r="E69" s="1"/>
  <c r="D68"/>
  <c r="E68" s="1"/>
  <c r="D67"/>
  <c r="E67" s="1"/>
  <c r="D66"/>
  <c r="E66" s="1"/>
  <c r="D65"/>
  <c r="E65" s="1"/>
  <c r="D64"/>
  <c r="E64" s="1"/>
  <c r="D63"/>
  <c r="E63" s="1"/>
  <c r="D62"/>
  <c r="E62" s="1"/>
  <c r="D61"/>
  <c r="E61" s="1"/>
  <c r="D60"/>
  <c r="E60" s="1"/>
  <c r="D59"/>
  <c r="E59" s="1"/>
  <c r="D58"/>
  <c r="E58" s="1"/>
  <c r="D57"/>
  <c r="E57" s="1"/>
  <c r="D56"/>
  <c r="E56" s="1"/>
  <c r="D55"/>
  <c r="E55" s="1"/>
  <c r="D54"/>
  <c r="E54" s="1"/>
  <c r="D53"/>
  <c r="E53" s="1"/>
  <c r="D52"/>
  <c r="E52" s="1"/>
  <c r="D51"/>
  <c r="E51" s="1"/>
  <c r="D50"/>
  <c r="E50" s="1"/>
  <c r="D49"/>
  <c r="E49" s="1"/>
  <c r="D48"/>
  <c r="E48" s="1"/>
  <c r="D47"/>
  <c r="E47" s="1"/>
  <c r="D46"/>
  <c r="E46" s="1"/>
  <c r="D45"/>
  <c r="E45" s="1"/>
  <c r="D44"/>
  <c r="E44" s="1"/>
  <c r="D43"/>
  <c r="E43" s="1"/>
  <c r="D42"/>
  <c r="E42" s="1"/>
  <c r="D41"/>
  <c r="E41" s="1"/>
  <c r="D40"/>
  <c r="E40" s="1"/>
  <c r="D39"/>
  <c r="E39" s="1"/>
  <c r="D38"/>
  <c r="E38" s="1"/>
  <c r="D37"/>
  <c r="E37" s="1"/>
  <c r="D36"/>
  <c r="E36" s="1"/>
  <c r="D35"/>
  <c r="E35" s="1"/>
  <c r="D34"/>
  <c r="E34" s="1"/>
  <c r="D33"/>
  <c r="E33" s="1"/>
  <c r="D32"/>
  <c r="E32" s="1"/>
  <c r="D31"/>
  <c r="E31" s="1"/>
  <c r="D30"/>
  <c r="E30" s="1"/>
  <c r="D29"/>
  <c r="E29" s="1"/>
  <c r="D28"/>
  <c r="E28" s="1"/>
  <c r="D27"/>
  <c r="E27" s="1"/>
  <c r="D26"/>
  <c r="E26" s="1"/>
  <c r="D25"/>
  <c r="E25" s="1"/>
  <c r="D24"/>
  <c r="E24" s="1"/>
  <c r="D23"/>
  <c r="E23" s="1"/>
  <c r="D22"/>
  <c r="E22" s="1"/>
  <c r="D21"/>
  <c r="E21" s="1"/>
  <c r="D20"/>
  <c r="E20" s="1"/>
  <c r="D19"/>
  <c r="E19" s="1"/>
  <c r="D18"/>
  <c r="E18" s="1"/>
  <c r="D17"/>
  <c r="E17" s="1"/>
  <c r="D16"/>
  <c r="E16" s="1"/>
  <c r="B3"/>
  <c r="B165" s="1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A172"/>
  <c r="A171"/>
  <c r="A170"/>
  <c r="A169"/>
  <c r="A168"/>
  <c r="A167"/>
  <c r="A166"/>
  <c r="A165"/>
  <c r="A164"/>
  <c r="A163"/>
  <c r="A162"/>
  <c r="A161"/>
  <c r="A160"/>
  <c r="A159"/>
  <c r="A158"/>
  <c r="A157"/>
  <c r="A156"/>
  <c r="A155"/>
  <c r="A154"/>
  <c r="A153"/>
  <c r="A152"/>
  <c r="A151"/>
  <c r="A150"/>
  <c r="A149"/>
  <c r="A148"/>
  <c r="A147"/>
  <c r="A146"/>
  <c r="A145"/>
  <c r="A144"/>
  <c r="A143"/>
  <c r="A142"/>
  <c r="A141"/>
  <c r="A140"/>
  <c r="A139"/>
  <c r="A138"/>
  <c r="A137"/>
  <c r="A136"/>
  <c r="A135"/>
  <c r="A134"/>
  <c r="A133"/>
  <c r="A132"/>
  <c r="A131"/>
  <c r="A130"/>
  <c r="A129"/>
  <c r="A128"/>
  <c r="A127"/>
  <c r="A126"/>
  <c r="A125"/>
  <c r="A124"/>
  <c r="A123"/>
  <c r="A122"/>
  <c r="A121"/>
  <c r="A120"/>
  <c r="A119"/>
  <c r="A118"/>
  <c r="A117"/>
  <c r="A116"/>
  <c r="A115"/>
  <c r="A114"/>
  <c r="A113"/>
  <c r="A112"/>
  <c r="A111"/>
  <c r="A110"/>
  <c r="A109"/>
  <c r="A108"/>
  <c r="A107"/>
  <c r="A106"/>
  <c r="A105"/>
  <c r="A104"/>
  <c r="A103"/>
  <c r="A102"/>
  <c r="A101"/>
  <c r="A100"/>
  <c r="A99"/>
  <c r="A98"/>
  <c r="A97"/>
  <c r="A96"/>
  <c r="A95"/>
  <c r="A94"/>
  <c r="A93"/>
  <c r="A92"/>
  <c r="A91"/>
  <c r="A90"/>
  <c r="A89"/>
  <c r="A88"/>
  <c r="A87"/>
  <c r="A86"/>
  <c r="A85"/>
  <c r="A84"/>
  <c r="A83"/>
  <c r="A82"/>
  <c r="A81"/>
  <c r="A80"/>
  <c r="A79"/>
  <c r="A78"/>
  <c r="A77"/>
  <c r="A76"/>
  <c r="A75"/>
  <c r="A74"/>
  <c r="A73"/>
  <c r="A72"/>
  <c r="A71"/>
  <c r="A70"/>
  <c r="A69"/>
  <c r="A68"/>
  <c r="A67"/>
  <c r="A66"/>
  <c r="A65"/>
  <c r="A64"/>
  <c r="A63"/>
  <c r="A62"/>
  <c r="A61"/>
  <c r="A60"/>
  <c r="A59"/>
  <c r="A58"/>
  <c r="A57"/>
  <c r="A56"/>
  <c r="A55"/>
  <c r="A54"/>
  <c r="A53"/>
  <c r="A52"/>
  <c r="A51"/>
  <c r="A50"/>
  <c r="A49"/>
  <c r="A48"/>
  <c r="A47"/>
  <c r="A46"/>
  <c r="A45"/>
  <c r="A44"/>
  <c r="A43"/>
  <c r="A42"/>
  <c r="A41"/>
  <c r="A40"/>
  <c r="A39"/>
  <c r="A38"/>
  <c r="A37"/>
  <c r="A36"/>
  <c r="A35"/>
  <c r="A34"/>
  <c r="A33"/>
  <c r="A32"/>
  <c r="A31"/>
  <c r="A30"/>
  <c r="A29"/>
  <c r="A28"/>
  <c r="A27"/>
  <c r="A26"/>
  <c r="A25"/>
  <c r="A24"/>
  <c r="A23"/>
  <c r="A22"/>
  <c r="A21"/>
  <c r="A20"/>
  <c r="A19"/>
  <c r="A18"/>
  <c r="A17"/>
  <c r="A16"/>
  <c r="B173" i="4"/>
  <c r="B172"/>
  <c r="B171"/>
  <c r="B170"/>
  <c r="B169"/>
  <c r="B168"/>
  <c r="B167"/>
  <c r="B166"/>
  <c r="B165"/>
  <c r="B164"/>
  <c r="B163"/>
  <c r="B162"/>
  <c r="B161"/>
  <c r="B160"/>
  <c r="B159"/>
  <c r="B158"/>
  <c r="B157"/>
  <c r="B156"/>
  <c r="B155"/>
  <c r="B154"/>
  <c r="B153"/>
  <c r="B152"/>
  <c r="B151"/>
  <c r="B150"/>
  <c r="B149"/>
  <c r="B148"/>
  <c r="B147"/>
  <c r="B146"/>
  <c r="B145"/>
  <c r="B144"/>
  <c r="B143"/>
  <c r="B142"/>
  <c r="B141"/>
  <c r="B140"/>
  <c r="B139"/>
  <c r="B138"/>
  <c r="B137"/>
  <c r="B136"/>
  <c r="B135"/>
  <c r="B134"/>
  <c r="B133"/>
  <c r="B132"/>
  <c r="B131"/>
  <c r="B130"/>
  <c r="B129"/>
  <c r="B128"/>
  <c r="B127"/>
  <c r="B126"/>
  <c r="B125"/>
  <c r="B124"/>
  <c r="B123"/>
  <c r="B122"/>
  <c r="B121"/>
  <c r="B120"/>
  <c r="B119"/>
  <c r="B118"/>
  <c r="B117"/>
  <c r="B116"/>
  <c r="B115"/>
  <c r="B114"/>
  <c r="B113"/>
  <c r="B112"/>
  <c r="B111"/>
  <c r="B110"/>
  <c r="B109"/>
  <c r="B108"/>
  <c r="B107"/>
  <c r="B106"/>
  <c r="B105"/>
  <c r="B104"/>
  <c r="B103"/>
  <c r="B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71" i="3" l="1"/>
  <c r="B120"/>
  <c r="B66"/>
  <c r="B67"/>
  <c r="B121"/>
  <c r="B172"/>
  <c r="B161"/>
  <c r="B42"/>
  <c r="B108"/>
  <c r="B19"/>
  <c r="B18"/>
  <c r="B91"/>
  <c r="B147"/>
  <c r="B116"/>
  <c r="B169"/>
  <c r="B17"/>
  <c r="B72"/>
  <c r="B144"/>
  <c r="B170"/>
  <c r="B41"/>
  <c r="B92"/>
  <c r="B16"/>
  <c r="B68"/>
  <c r="B122"/>
  <c r="B44"/>
  <c r="B97"/>
  <c r="B146"/>
  <c r="B43"/>
  <c r="B96"/>
  <c r="B145"/>
  <c r="B33"/>
  <c r="B58"/>
  <c r="B83"/>
  <c r="B136"/>
  <c r="B32"/>
  <c r="B57"/>
  <c r="B82"/>
  <c r="B107"/>
  <c r="B132"/>
  <c r="B160"/>
  <c r="B28"/>
  <c r="B56"/>
  <c r="B81"/>
  <c r="B106"/>
  <c r="B131"/>
  <c r="B156"/>
  <c r="B27"/>
  <c r="B52"/>
  <c r="B80"/>
  <c r="B105"/>
  <c r="B130"/>
  <c r="B155"/>
  <c r="B40"/>
  <c r="B154"/>
  <c r="B25"/>
  <c r="B36"/>
  <c r="B50"/>
  <c r="B64"/>
  <c r="B75"/>
  <c r="B89"/>
  <c r="B100"/>
  <c r="B114"/>
  <c r="B128"/>
  <c r="B139"/>
  <c r="B153"/>
  <c r="B164"/>
  <c r="B51"/>
  <c r="B140"/>
  <c r="B24"/>
  <c r="B35"/>
  <c r="B49"/>
  <c r="B60"/>
  <c r="B74"/>
  <c r="B88"/>
  <c r="B99"/>
  <c r="B113"/>
  <c r="B124"/>
  <c r="B138"/>
  <c r="B152"/>
  <c r="B163"/>
  <c r="B26"/>
  <c r="B65"/>
  <c r="B76"/>
  <c r="B90"/>
  <c r="B104"/>
  <c r="B115"/>
  <c r="B129"/>
  <c r="B168"/>
  <c r="B20"/>
  <c r="B34"/>
  <c r="B48"/>
  <c r="B59"/>
  <c r="B73"/>
  <c r="B84"/>
  <c r="B98"/>
  <c r="B112"/>
  <c r="B123"/>
  <c r="B137"/>
  <c r="B148"/>
  <c r="B162"/>
  <c r="B23"/>
  <c r="B31"/>
  <c r="B39"/>
  <c r="B47"/>
  <c r="B55"/>
  <c r="B63"/>
  <c r="B71"/>
  <c r="B79"/>
  <c r="B87"/>
  <c r="B95"/>
  <c r="B103"/>
  <c r="B111"/>
  <c r="B119"/>
  <c r="B127"/>
  <c r="B135"/>
  <c r="B143"/>
  <c r="B151"/>
  <c r="B159"/>
  <c r="B167"/>
  <c r="B22"/>
  <c r="B30"/>
  <c r="B38"/>
  <c r="B46"/>
  <c r="B54"/>
  <c r="B62"/>
  <c r="B70"/>
  <c r="B78"/>
  <c r="B86"/>
  <c r="B94"/>
  <c r="B102"/>
  <c r="B110"/>
  <c r="B118"/>
  <c r="B126"/>
  <c r="B134"/>
  <c r="B142"/>
  <c r="B150"/>
  <c r="B158"/>
  <c r="B166"/>
  <c r="B21"/>
  <c r="B29"/>
  <c r="B37"/>
  <c r="B45"/>
  <c r="B53"/>
  <c r="B61"/>
  <c r="B69"/>
  <c r="B77"/>
  <c r="B85"/>
  <c r="B93"/>
  <c r="B101"/>
  <c r="B109"/>
  <c r="B117"/>
  <c r="B125"/>
  <c r="B133"/>
  <c r="B141"/>
  <c r="B149"/>
  <c r="B157"/>
  <c r="E1" l="1"/>
</calcChain>
</file>

<file path=xl/connections.xml><?xml version="1.0" encoding="utf-8"?>
<connections xmlns="http://schemas.openxmlformats.org/spreadsheetml/2006/main">
  <connection id="1" name="Connection" type="4" refreshedVersion="3" background="1" saveData="1">
    <webPr sourceData="1" parsePre="1" consecutive="1" xl2000="1" url="http://www.woodfortrees.org/data/crutem4vgl/compress:12/mean:5/plot/hadsst2gl/compress:12/mean:5/plot/hadcrut4gl/compress:12/mean:5" htmlTables="1"/>
  </connection>
  <connection id="2" name="Connection2" type="4" refreshedVersion="3" background="1" saveData="1">
    <webPr sourceData="1" parsePre="1" consecutive="1" xl2000="1" url="http://www.woodfortrees.org/data/crutem4vgl/compress:12/mean:5/offset:0.1/plot/hadsst2gl/compress:12/mean:5/plot/hadcrut4gl/compress:12/mean:5" htmlTables="1"/>
  </connection>
</connections>
</file>

<file path=xl/sharedStrings.xml><?xml version="1.0" encoding="utf-8"?>
<sst xmlns="http://schemas.openxmlformats.org/spreadsheetml/2006/main" count="139" uniqueCount="42">
  <si>
    <t>#Data processed by www.woodfortrees.org</t>
  </si>
  <si>
    <t>#Please check original source for first-hand data and information:</t>
  </si>
  <si>
    <t>#</t>
  </si>
  <si>
    <t>#----------------------------------------------------</t>
  </si>
  <si>
    <t>#Data from Hadley Centre / UEA CRU</t>
  </si>
  <si>
    <t>#http://www.cru.uea.ac.uk/cru/data/temperature/</t>
  </si>
  <si>
    <t>#For terms and conditions of use, please see</t>
  </si>
  <si>
    <t>#http://hadobs.metoffice.com/hadcrut3/terms_and_conditions.html</t>
  </si>
  <si>
    <t>#File: crutem4vgl.txt</t>
  </si>
  <si>
    <t>#Time series (hadcrut3) from 1850 to 2011</t>
  </si>
  <si>
    <t>#Averaged and compressed in 12-sample sections</t>
  </si>
  <si>
    <t>#Data ends</t>
  </si>
  <si>
    <t>#Number of samples: 159</t>
  </si>
  <si>
    <t>e</t>
  </si>
  <si>
    <t>#Data from Hadley Centre</t>
  </si>
  <si>
    <t>#http://www.metoffice.gov.uk/hadobs/hadcrut4/data/download.html</t>
  </si>
  <si>
    <t>#http://www.metoffice.gov.uk/hadobs/hadcrut4/terms_and_conditions.html</t>
  </si>
  <si>
    <t>#File: hadcrut4_monthly_ns_avg.txt</t>
  </si>
  <si>
    <t>#Time series (hadcrut4) from 1850 to 2013.17</t>
  </si>
  <si>
    <t xml:space="preserve"> </t>
  </si>
  <si>
    <t>#Averaged with 5-sample running mean</t>
  </si>
  <si>
    <t>#Number of samples: 157</t>
  </si>
  <si>
    <t>#Mean: -0.0389854</t>
  </si>
  <si>
    <t>#File: hadsst2gl.txt</t>
  </si>
  <si>
    <t>#Time series (hadcrut3) from 1850 to 2013</t>
  </si>
  <si>
    <t>#Mean: -0.168675</t>
  </si>
  <si>
    <t>#Mean: -0.126255</t>
  </si>
  <si>
    <t>Global</t>
  </si>
  <si>
    <t>SST</t>
  </si>
  <si>
    <t>Land</t>
  </si>
  <si>
    <t>crutem4vgl</t>
  </si>
  <si>
    <t>hadsst2gl</t>
  </si>
  <si>
    <t>Ocean</t>
  </si>
  <si>
    <t>hadcrut2</t>
  </si>
  <si>
    <t>Composed Land +Ocean</t>
  </si>
  <si>
    <t>Year</t>
  </si>
  <si>
    <t>#Mean: -0.138985</t>
  </si>
  <si>
    <t>Composed = 0.7*SST + 0.3*Land</t>
  </si>
  <si>
    <t xml:space="preserve">         1/2 heat into ocean</t>
  </si>
  <si>
    <t>Composed = 0.7*1/2*Land + 0.3*Land</t>
  </si>
  <si>
    <t>error</t>
  </si>
  <si>
    <t>http://www.woodfortrees.org/plot/crutem4vgl/compress:12/mean:5/plot/hadsst2gl/compress:12/mean:5/plot/hadcrut4gl/compress:12/mean:5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</si>
</sst>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2">
    <xf numFmtId="0" fontId="0" fillId="0" borderId="0" xfId="0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mruColors>
      <color rgb="FFEBF6F9"/>
    </mru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algn="l">
              <a:defRPr/>
            </a:pPr>
            <a:r>
              <a:rPr lang="en-US" u="sng"/>
              <a:t>Hadley data decomposition</a:t>
            </a:r>
          </a:p>
          <a:p>
            <a:pPr algn="l">
              <a:defRPr/>
            </a:pPr>
            <a:r>
              <a:rPr lang="en-US"/>
              <a:t>Global 	: </a:t>
            </a:r>
            <a:r>
              <a:rPr lang="en-US" i="1"/>
              <a:t>hadcrut4</a:t>
            </a:r>
          </a:p>
          <a:p>
            <a:pPr algn="l">
              <a:defRPr/>
            </a:pPr>
            <a:r>
              <a:rPr lang="en-US"/>
              <a:t>SST 	: </a:t>
            </a:r>
            <a:r>
              <a:rPr lang="en-US" i="1"/>
              <a:t>hadsst2gl</a:t>
            </a:r>
          </a:p>
          <a:p>
            <a:pPr algn="l">
              <a:defRPr/>
            </a:pPr>
            <a:r>
              <a:rPr lang="en-US"/>
              <a:t>Land 	: </a:t>
            </a:r>
            <a:r>
              <a:rPr lang="en-US" i="1"/>
              <a:t>crutem4vgl </a:t>
            </a:r>
          </a:p>
        </c:rich>
      </c:tx>
      <c:layout>
        <c:manualLayout>
          <c:xMode val="edge"/>
          <c:yMode val="edge"/>
          <c:x val="0.11635578883051237"/>
          <c:y val="9.1216752986090638E-2"/>
        </c:manualLayout>
      </c:layout>
      <c:overlay val="1"/>
      <c:spPr>
        <a:solidFill>
          <a:schemeClr val="bg1"/>
        </a:solidFill>
        <a:ln>
          <a:noFill/>
        </a:ln>
      </c:spPr>
    </c:title>
    <c:plotArea>
      <c:layout>
        <c:manualLayout>
          <c:layoutTarget val="inner"/>
          <c:xMode val="edge"/>
          <c:yMode val="edge"/>
          <c:x val="0.11147235724191648"/>
          <c:y val="8.6008362806754127E-2"/>
          <c:w val="0.82137872785324162"/>
          <c:h val="0.7878680994633519"/>
        </c:manualLayout>
      </c:layout>
      <c:scatterChart>
        <c:scatterStyle val="lineMarker"/>
        <c:ser>
          <c:idx val="1"/>
          <c:order val="0"/>
          <c:tx>
            <c:strRef>
              <c:f>'HAD global'!$C$15</c:f>
              <c:strCache>
                <c:ptCount val="1"/>
                <c:pt idx="0">
                  <c:v>Global</c:v>
                </c:pt>
              </c:strCache>
            </c:strRef>
          </c:tx>
          <c:marker>
            <c:symbol val="none"/>
          </c:marker>
          <c:xVal>
            <c:numRef>
              <c:f>'HAD global'!$A$16:$A$172</c:f>
              <c:numCache>
                <c:formatCode>General</c:formatCode>
                <c:ptCount val="157"/>
                <c:pt idx="0">
                  <c:v>1850.17</c:v>
                </c:pt>
                <c:pt idx="1">
                  <c:v>1851.17</c:v>
                </c:pt>
                <c:pt idx="2">
                  <c:v>1852.17</c:v>
                </c:pt>
                <c:pt idx="3">
                  <c:v>1853.17</c:v>
                </c:pt>
                <c:pt idx="4">
                  <c:v>1854.17</c:v>
                </c:pt>
                <c:pt idx="5">
                  <c:v>1855.17</c:v>
                </c:pt>
                <c:pt idx="6">
                  <c:v>1856.17</c:v>
                </c:pt>
                <c:pt idx="7">
                  <c:v>1857.17</c:v>
                </c:pt>
                <c:pt idx="8">
                  <c:v>1858.17</c:v>
                </c:pt>
                <c:pt idx="9">
                  <c:v>1859.17</c:v>
                </c:pt>
                <c:pt idx="10">
                  <c:v>1860.17</c:v>
                </c:pt>
                <c:pt idx="11">
                  <c:v>1861.17</c:v>
                </c:pt>
                <c:pt idx="12">
                  <c:v>1862.17</c:v>
                </c:pt>
                <c:pt idx="13">
                  <c:v>1863.17</c:v>
                </c:pt>
                <c:pt idx="14">
                  <c:v>1864.17</c:v>
                </c:pt>
                <c:pt idx="15">
                  <c:v>1865.17</c:v>
                </c:pt>
                <c:pt idx="16">
                  <c:v>1866.17</c:v>
                </c:pt>
                <c:pt idx="17">
                  <c:v>1867.17</c:v>
                </c:pt>
                <c:pt idx="18">
                  <c:v>1868.17</c:v>
                </c:pt>
                <c:pt idx="19">
                  <c:v>1869.17</c:v>
                </c:pt>
                <c:pt idx="20">
                  <c:v>1870.17</c:v>
                </c:pt>
                <c:pt idx="21">
                  <c:v>1871.17</c:v>
                </c:pt>
                <c:pt idx="22">
                  <c:v>1872.17</c:v>
                </c:pt>
                <c:pt idx="23">
                  <c:v>1873.17</c:v>
                </c:pt>
                <c:pt idx="24">
                  <c:v>1874.17</c:v>
                </c:pt>
                <c:pt idx="25">
                  <c:v>1875.17</c:v>
                </c:pt>
                <c:pt idx="26">
                  <c:v>1876.17</c:v>
                </c:pt>
                <c:pt idx="27">
                  <c:v>1877.17</c:v>
                </c:pt>
                <c:pt idx="28">
                  <c:v>1878.17</c:v>
                </c:pt>
                <c:pt idx="29">
                  <c:v>1879.17</c:v>
                </c:pt>
                <c:pt idx="30">
                  <c:v>1880.17</c:v>
                </c:pt>
                <c:pt idx="31">
                  <c:v>1881.17</c:v>
                </c:pt>
                <c:pt idx="32">
                  <c:v>1882.17</c:v>
                </c:pt>
                <c:pt idx="33">
                  <c:v>1883.17</c:v>
                </c:pt>
                <c:pt idx="34">
                  <c:v>1884.17</c:v>
                </c:pt>
                <c:pt idx="35">
                  <c:v>1885.17</c:v>
                </c:pt>
                <c:pt idx="36">
                  <c:v>1886.17</c:v>
                </c:pt>
                <c:pt idx="37">
                  <c:v>1887.17</c:v>
                </c:pt>
                <c:pt idx="38">
                  <c:v>1888.17</c:v>
                </c:pt>
                <c:pt idx="39">
                  <c:v>1889.17</c:v>
                </c:pt>
                <c:pt idx="40">
                  <c:v>1890.17</c:v>
                </c:pt>
                <c:pt idx="41">
                  <c:v>1891.17</c:v>
                </c:pt>
                <c:pt idx="42">
                  <c:v>1892.17</c:v>
                </c:pt>
                <c:pt idx="43">
                  <c:v>1893.17</c:v>
                </c:pt>
                <c:pt idx="44">
                  <c:v>1894.17</c:v>
                </c:pt>
                <c:pt idx="45">
                  <c:v>1895.17</c:v>
                </c:pt>
                <c:pt idx="46">
                  <c:v>1896.17</c:v>
                </c:pt>
                <c:pt idx="47">
                  <c:v>1897.17</c:v>
                </c:pt>
                <c:pt idx="48">
                  <c:v>1898.17</c:v>
                </c:pt>
                <c:pt idx="49">
                  <c:v>1899.17</c:v>
                </c:pt>
                <c:pt idx="50">
                  <c:v>1900.17</c:v>
                </c:pt>
                <c:pt idx="51">
                  <c:v>1901.17</c:v>
                </c:pt>
                <c:pt idx="52">
                  <c:v>1902.17</c:v>
                </c:pt>
                <c:pt idx="53">
                  <c:v>1903.17</c:v>
                </c:pt>
                <c:pt idx="54">
                  <c:v>1904.17</c:v>
                </c:pt>
                <c:pt idx="55">
                  <c:v>1905.17</c:v>
                </c:pt>
                <c:pt idx="56">
                  <c:v>1906.17</c:v>
                </c:pt>
                <c:pt idx="57">
                  <c:v>1907.17</c:v>
                </c:pt>
                <c:pt idx="58">
                  <c:v>1908.17</c:v>
                </c:pt>
                <c:pt idx="59">
                  <c:v>1909.17</c:v>
                </c:pt>
                <c:pt idx="60">
                  <c:v>1910.17</c:v>
                </c:pt>
                <c:pt idx="61">
                  <c:v>1911.17</c:v>
                </c:pt>
                <c:pt idx="62">
                  <c:v>1912.17</c:v>
                </c:pt>
                <c:pt idx="63">
                  <c:v>1913.17</c:v>
                </c:pt>
                <c:pt idx="64">
                  <c:v>1914.17</c:v>
                </c:pt>
                <c:pt idx="65">
                  <c:v>1915.17</c:v>
                </c:pt>
                <c:pt idx="66">
                  <c:v>1916.17</c:v>
                </c:pt>
                <c:pt idx="67">
                  <c:v>1917.17</c:v>
                </c:pt>
                <c:pt idx="68">
                  <c:v>1918.17</c:v>
                </c:pt>
                <c:pt idx="69">
                  <c:v>1919.17</c:v>
                </c:pt>
                <c:pt idx="70">
                  <c:v>1920.17</c:v>
                </c:pt>
                <c:pt idx="71">
                  <c:v>1921.17</c:v>
                </c:pt>
                <c:pt idx="72">
                  <c:v>1922.17</c:v>
                </c:pt>
                <c:pt idx="73">
                  <c:v>1923.17</c:v>
                </c:pt>
                <c:pt idx="74">
                  <c:v>1924.17</c:v>
                </c:pt>
                <c:pt idx="75">
                  <c:v>1925.17</c:v>
                </c:pt>
                <c:pt idx="76">
                  <c:v>1926.17</c:v>
                </c:pt>
                <c:pt idx="77">
                  <c:v>1927.17</c:v>
                </c:pt>
                <c:pt idx="78">
                  <c:v>1928.17</c:v>
                </c:pt>
                <c:pt idx="79">
                  <c:v>1929.17</c:v>
                </c:pt>
                <c:pt idx="80">
                  <c:v>1930.17</c:v>
                </c:pt>
                <c:pt idx="81">
                  <c:v>1931.17</c:v>
                </c:pt>
                <c:pt idx="82">
                  <c:v>1932.17</c:v>
                </c:pt>
                <c:pt idx="83">
                  <c:v>1933.17</c:v>
                </c:pt>
                <c:pt idx="84">
                  <c:v>1934.17</c:v>
                </c:pt>
                <c:pt idx="85">
                  <c:v>1935.17</c:v>
                </c:pt>
                <c:pt idx="86">
                  <c:v>1936.17</c:v>
                </c:pt>
                <c:pt idx="87">
                  <c:v>1937.17</c:v>
                </c:pt>
                <c:pt idx="88">
                  <c:v>1938.17</c:v>
                </c:pt>
                <c:pt idx="89">
                  <c:v>1939.17</c:v>
                </c:pt>
                <c:pt idx="90">
                  <c:v>1940.17</c:v>
                </c:pt>
                <c:pt idx="91">
                  <c:v>1941.17</c:v>
                </c:pt>
                <c:pt idx="92">
                  <c:v>1942.17</c:v>
                </c:pt>
                <c:pt idx="93">
                  <c:v>1943.17</c:v>
                </c:pt>
                <c:pt idx="94">
                  <c:v>1944.17</c:v>
                </c:pt>
                <c:pt idx="95">
                  <c:v>1945.17</c:v>
                </c:pt>
                <c:pt idx="96">
                  <c:v>1946.17</c:v>
                </c:pt>
                <c:pt idx="97">
                  <c:v>1947.17</c:v>
                </c:pt>
                <c:pt idx="98">
                  <c:v>1948.17</c:v>
                </c:pt>
                <c:pt idx="99">
                  <c:v>1949.17</c:v>
                </c:pt>
                <c:pt idx="100">
                  <c:v>1950.17</c:v>
                </c:pt>
                <c:pt idx="101">
                  <c:v>1951.17</c:v>
                </c:pt>
                <c:pt idx="102">
                  <c:v>1952.17</c:v>
                </c:pt>
                <c:pt idx="103">
                  <c:v>1953.17</c:v>
                </c:pt>
                <c:pt idx="104">
                  <c:v>1954.17</c:v>
                </c:pt>
                <c:pt idx="105">
                  <c:v>1955.17</c:v>
                </c:pt>
                <c:pt idx="106">
                  <c:v>1956.17</c:v>
                </c:pt>
                <c:pt idx="107">
                  <c:v>1957.17</c:v>
                </c:pt>
                <c:pt idx="108">
                  <c:v>1958.17</c:v>
                </c:pt>
                <c:pt idx="109">
                  <c:v>1959.17</c:v>
                </c:pt>
                <c:pt idx="110">
                  <c:v>1960.17</c:v>
                </c:pt>
                <c:pt idx="111">
                  <c:v>1961.17</c:v>
                </c:pt>
                <c:pt idx="112">
                  <c:v>1962.17</c:v>
                </c:pt>
                <c:pt idx="113">
                  <c:v>1963.17</c:v>
                </c:pt>
                <c:pt idx="114">
                  <c:v>1964.17</c:v>
                </c:pt>
                <c:pt idx="115">
                  <c:v>1965.17</c:v>
                </c:pt>
                <c:pt idx="116">
                  <c:v>1966.17</c:v>
                </c:pt>
                <c:pt idx="117">
                  <c:v>1967.17</c:v>
                </c:pt>
                <c:pt idx="118">
                  <c:v>1968.17</c:v>
                </c:pt>
                <c:pt idx="119">
                  <c:v>1969.17</c:v>
                </c:pt>
                <c:pt idx="120">
                  <c:v>1970.17</c:v>
                </c:pt>
                <c:pt idx="121">
                  <c:v>1971.17</c:v>
                </c:pt>
                <c:pt idx="122">
                  <c:v>1972.17</c:v>
                </c:pt>
                <c:pt idx="123">
                  <c:v>1973.17</c:v>
                </c:pt>
                <c:pt idx="124">
                  <c:v>1974.17</c:v>
                </c:pt>
                <c:pt idx="125">
                  <c:v>1975.17</c:v>
                </c:pt>
                <c:pt idx="126">
                  <c:v>1976.17</c:v>
                </c:pt>
                <c:pt idx="127">
                  <c:v>1977.17</c:v>
                </c:pt>
                <c:pt idx="128">
                  <c:v>1978.17</c:v>
                </c:pt>
                <c:pt idx="129">
                  <c:v>1979.17</c:v>
                </c:pt>
                <c:pt idx="130">
                  <c:v>1980.17</c:v>
                </c:pt>
                <c:pt idx="131">
                  <c:v>1981.17</c:v>
                </c:pt>
                <c:pt idx="132">
                  <c:v>1982.17</c:v>
                </c:pt>
                <c:pt idx="133">
                  <c:v>1983.17</c:v>
                </c:pt>
                <c:pt idx="134">
                  <c:v>1984.17</c:v>
                </c:pt>
                <c:pt idx="135">
                  <c:v>1985.17</c:v>
                </c:pt>
                <c:pt idx="136">
                  <c:v>1986.17</c:v>
                </c:pt>
                <c:pt idx="137">
                  <c:v>1987.17</c:v>
                </c:pt>
                <c:pt idx="138">
                  <c:v>1988.17</c:v>
                </c:pt>
                <c:pt idx="139">
                  <c:v>1989.17</c:v>
                </c:pt>
                <c:pt idx="140">
                  <c:v>1990.17</c:v>
                </c:pt>
                <c:pt idx="141">
                  <c:v>1991.17</c:v>
                </c:pt>
                <c:pt idx="142">
                  <c:v>1992.17</c:v>
                </c:pt>
                <c:pt idx="143">
                  <c:v>1993.17</c:v>
                </c:pt>
                <c:pt idx="144">
                  <c:v>1994.17</c:v>
                </c:pt>
                <c:pt idx="145">
                  <c:v>1995.17</c:v>
                </c:pt>
                <c:pt idx="146">
                  <c:v>1996.17</c:v>
                </c:pt>
                <c:pt idx="147">
                  <c:v>1997.17</c:v>
                </c:pt>
                <c:pt idx="148">
                  <c:v>1998.17</c:v>
                </c:pt>
                <c:pt idx="149">
                  <c:v>1999.17</c:v>
                </c:pt>
                <c:pt idx="150">
                  <c:v>2000.17</c:v>
                </c:pt>
                <c:pt idx="151">
                  <c:v>2001.17</c:v>
                </c:pt>
                <c:pt idx="152">
                  <c:v>2002.17</c:v>
                </c:pt>
                <c:pt idx="153">
                  <c:v>2003.17</c:v>
                </c:pt>
                <c:pt idx="154">
                  <c:v>2004.17</c:v>
                </c:pt>
                <c:pt idx="155">
                  <c:v>2005.17</c:v>
                </c:pt>
                <c:pt idx="156">
                  <c:v>2006.17</c:v>
                </c:pt>
              </c:numCache>
            </c:numRef>
          </c:xVal>
          <c:yVal>
            <c:numRef>
              <c:f>'HAD global'!$C$16:$C$172</c:f>
              <c:numCache>
                <c:formatCode>General</c:formatCode>
                <c:ptCount val="157"/>
                <c:pt idx="0">
                  <c:v>-0.27318300000000001</c:v>
                </c:pt>
                <c:pt idx="1">
                  <c:v>-0.25173299999999998</c:v>
                </c:pt>
                <c:pt idx="2">
                  <c:v>-0.27898299999999998</c:v>
                </c:pt>
                <c:pt idx="3">
                  <c:v>-0.32541700000000001</c:v>
                </c:pt>
                <c:pt idx="4">
                  <c:v>-0.36413299999999998</c:v>
                </c:pt>
                <c:pt idx="5">
                  <c:v>-0.37238300000000002</c:v>
                </c:pt>
                <c:pt idx="6">
                  <c:v>-0.38746700000000001</c:v>
                </c:pt>
                <c:pt idx="7">
                  <c:v>-0.394233</c:v>
                </c:pt>
                <c:pt idx="8">
                  <c:v>-0.40363300000000002</c:v>
                </c:pt>
                <c:pt idx="9">
                  <c:v>-0.366817</c:v>
                </c:pt>
                <c:pt idx="10">
                  <c:v>-0.40446700000000002</c:v>
                </c:pt>
                <c:pt idx="11">
                  <c:v>-0.39005000000000001</c:v>
                </c:pt>
                <c:pt idx="12">
                  <c:v>-0.35844999999999999</c:v>
                </c:pt>
                <c:pt idx="13">
                  <c:v>-0.31781700000000002</c:v>
                </c:pt>
                <c:pt idx="14">
                  <c:v>-0.30658299999999999</c:v>
                </c:pt>
                <c:pt idx="15">
                  <c:v>-0.26173299999999999</c:v>
                </c:pt>
                <c:pt idx="16">
                  <c:v>-0.26116699999999998</c:v>
                </c:pt>
                <c:pt idx="17">
                  <c:v>-0.27953299999999998</c:v>
                </c:pt>
                <c:pt idx="18">
                  <c:v>-0.26333299999999998</c:v>
                </c:pt>
                <c:pt idx="19">
                  <c:v>-0.27868300000000001</c:v>
                </c:pt>
                <c:pt idx="20">
                  <c:v>-0.301983</c:v>
                </c:pt>
                <c:pt idx="21">
                  <c:v>-0.33011699999999999</c:v>
                </c:pt>
                <c:pt idx="22">
                  <c:v>-0.34115000000000001</c:v>
                </c:pt>
                <c:pt idx="23">
                  <c:v>-0.31085000000000002</c:v>
                </c:pt>
                <c:pt idx="24">
                  <c:v>-0.24313299999999999</c:v>
                </c:pt>
                <c:pt idx="25">
                  <c:v>-0.21460000000000001</c:v>
                </c:pt>
                <c:pt idx="26">
                  <c:v>-0.17715</c:v>
                </c:pt>
                <c:pt idx="27">
                  <c:v>-0.14091699999999999</c:v>
                </c:pt>
                <c:pt idx="28">
                  <c:v>-0.16855000000000001</c:v>
                </c:pt>
                <c:pt idx="29">
                  <c:v>-0.23335</c:v>
                </c:pt>
                <c:pt idx="30">
                  <c:v>-0.26741700000000002</c:v>
                </c:pt>
                <c:pt idx="31">
                  <c:v>-0.29861700000000002</c:v>
                </c:pt>
                <c:pt idx="32">
                  <c:v>-0.33055000000000001</c:v>
                </c:pt>
                <c:pt idx="33">
                  <c:v>-0.37128299999999997</c:v>
                </c:pt>
                <c:pt idx="34">
                  <c:v>-0.37498300000000001</c:v>
                </c:pt>
                <c:pt idx="35">
                  <c:v>-0.32988299999999998</c:v>
                </c:pt>
                <c:pt idx="36">
                  <c:v>-0.33800000000000002</c:v>
                </c:pt>
                <c:pt idx="37">
                  <c:v>-0.33336700000000002</c:v>
                </c:pt>
                <c:pt idx="38">
                  <c:v>-0.34196700000000002</c:v>
                </c:pt>
                <c:pt idx="39">
                  <c:v>-0.37633299999999997</c:v>
                </c:pt>
                <c:pt idx="40">
                  <c:v>-0.423483</c:v>
                </c:pt>
                <c:pt idx="41">
                  <c:v>-0.41791699999999998</c:v>
                </c:pt>
                <c:pt idx="42">
                  <c:v>-0.38778299999999999</c:v>
                </c:pt>
                <c:pt idx="43">
                  <c:v>-0.33776699999999998</c:v>
                </c:pt>
                <c:pt idx="44">
                  <c:v>-0.32353300000000002</c:v>
                </c:pt>
                <c:pt idx="45">
                  <c:v>-0.29930000000000001</c:v>
                </c:pt>
                <c:pt idx="46">
                  <c:v>-0.26019999999999999</c:v>
                </c:pt>
                <c:pt idx="47">
                  <c:v>-0.27625</c:v>
                </c:pt>
                <c:pt idx="48">
                  <c:v>-0.31661699999999998</c:v>
                </c:pt>
                <c:pt idx="49">
                  <c:v>-0.33111699999999999</c:v>
                </c:pt>
                <c:pt idx="50">
                  <c:v>-0.37816699999999998</c:v>
                </c:pt>
                <c:pt idx="51">
                  <c:v>-0.41501700000000002</c:v>
                </c:pt>
                <c:pt idx="52">
                  <c:v>-0.42021700000000001</c:v>
                </c:pt>
                <c:pt idx="53">
                  <c:v>-0.433417</c:v>
                </c:pt>
                <c:pt idx="54">
                  <c:v>-0.44193300000000002</c:v>
                </c:pt>
                <c:pt idx="55">
                  <c:v>-0.443633</c:v>
                </c:pt>
                <c:pt idx="56">
                  <c:v>-0.46639999999999998</c:v>
                </c:pt>
                <c:pt idx="57">
                  <c:v>-0.51870000000000005</c:v>
                </c:pt>
                <c:pt idx="58">
                  <c:v>-0.51406700000000005</c:v>
                </c:pt>
                <c:pt idx="59">
                  <c:v>-0.49711699999999998</c:v>
                </c:pt>
                <c:pt idx="60">
                  <c:v>-0.44224999999999998</c:v>
                </c:pt>
                <c:pt idx="61">
                  <c:v>-0.37636700000000001</c:v>
                </c:pt>
                <c:pt idx="62">
                  <c:v>-0.34410000000000002</c:v>
                </c:pt>
                <c:pt idx="63">
                  <c:v>-0.34916700000000001</c:v>
                </c:pt>
                <c:pt idx="64">
                  <c:v>-0.33133299999999999</c:v>
                </c:pt>
                <c:pt idx="65">
                  <c:v>-0.33701700000000001</c:v>
                </c:pt>
                <c:pt idx="66">
                  <c:v>-0.35408299999999998</c:v>
                </c:pt>
                <c:pt idx="67">
                  <c:v>-0.31331700000000001</c:v>
                </c:pt>
                <c:pt idx="68">
                  <c:v>-0.27934999999999999</c:v>
                </c:pt>
                <c:pt idx="69">
                  <c:v>-0.26486700000000002</c:v>
                </c:pt>
                <c:pt idx="70">
                  <c:v>-0.26761699999999999</c:v>
                </c:pt>
                <c:pt idx="71">
                  <c:v>-0.26055</c:v>
                </c:pt>
                <c:pt idx="72">
                  <c:v>-0.244367</c:v>
                </c:pt>
                <c:pt idx="73">
                  <c:v>-0.22489999999999999</c:v>
                </c:pt>
                <c:pt idx="74">
                  <c:v>-0.21235000000000001</c:v>
                </c:pt>
                <c:pt idx="75">
                  <c:v>-0.22143299999999999</c:v>
                </c:pt>
                <c:pt idx="76">
                  <c:v>-0.20505000000000001</c:v>
                </c:pt>
                <c:pt idx="77">
                  <c:v>-0.19996700000000001</c:v>
                </c:pt>
                <c:pt idx="78">
                  <c:v>-0.184917</c:v>
                </c:pt>
                <c:pt idx="79">
                  <c:v>-0.19705</c:v>
                </c:pt>
                <c:pt idx="80">
                  <c:v>-0.15346699999999999</c:v>
                </c:pt>
                <c:pt idx="81">
                  <c:v>-0.16156699999999999</c:v>
                </c:pt>
                <c:pt idx="82">
                  <c:v>-0.17305000000000001</c:v>
                </c:pt>
                <c:pt idx="83">
                  <c:v>-0.150667</c:v>
                </c:pt>
                <c:pt idx="84">
                  <c:v>-9.71167E-2</c:v>
                </c:pt>
                <c:pt idx="85">
                  <c:v>-8.1966700000000003E-2</c:v>
                </c:pt>
                <c:pt idx="86">
                  <c:v>-4.21833E-2</c:v>
                </c:pt>
                <c:pt idx="87">
                  <c:v>-8.8333300000000003E-3</c:v>
                </c:pt>
                <c:pt idx="88">
                  <c:v>-7.8666699999999992E-3</c:v>
                </c:pt>
                <c:pt idx="89">
                  <c:v>-6.4333300000000001E-3</c:v>
                </c:pt>
                <c:pt idx="90">
                  <c:v>3.5016699999999998E-2</c:v>
                </c:pt>
                <c:pt idx="91">
                  <c:v>3.6650000000000002E-2</c:v>
                </c:pt>
                <c:pt idx="92">
                  <c:v>1.8599999999999998E-2</c:v>
                </c:pt>
                <c:pt idx="93">
                  <c:v>1.45833E-2</c:v>
                </c:pt>
                <c:pt idx="94">
                  <c:v>7.2833300000000002E-3</c:v>
                </c:pt>
                <c:pt idx="95">
                  <c:v>-3.8333300000000001E-2</c:v>
                </c:pt>
                <c:pt idx="96">
                  <c:v>-7.9766699999999996E-2</c:v>
                </c:pt>
                <c:pt idx="97">
                  <c:v>-7.6333300000000007E-2</c:v>
                </c:pt>
                <c:pt idx="98">
                  <c:v>-6.1749999999999999E-2</c:v>
                </c:pt>
                <c:pt idx="99">
                  <c:v>-3.4283300000000003E-2</c:v>
                </c:pt>
                <c:pt idx="100">
                  <c:v>-4.5716699999999999E-2</c:v>
                </c:pt>
                <c:pt idx="101">
                  <c:v>-4.8016700000000002E-2</c:v>
                </c:pt>
                <c:pt idx="102">
                  <c:v>-9.06E-2</c:v>
                </c:pt>
                <c:pt idx="103">
                  <c:v>-9.7733299999999995E-2</c:v>
                </c:pt>
                <c:pt idx="104">
                  <c:v>-0.108083</c:v>
                </c:pt>
                <c:pt idx="105">
                  <c:v>-7.8316700000000003E-2</c:v>
                </c:pt>
                <c:pt idx="106">
                  <c:v>-5.0950000000000002E-2</c:v>
                </c:pt>
                <c:pt idx="107">
                  <c:v>9.7999999999999997E-3</c:v>
                </c:pt>
                <c:pt idx="108">
                  <c:v>1.43833E-2</c:v>
                </c:pt>
                <c:pt idx="109">
                  <c:v>1.49333E-2</c:v>
                </c:pt>
                <c:pt idx="110">
                  <c:v>-3.3099999999999997E-2</c:v>
                </c:pt>
                <c:pt idx="111">
                  <c:v>-5.0983300000000002E-2</c:v>
                </c:pt>
                <c:pt idx="112">
                  <c:v>-7.3183300000000007E-2</c:v>
                </c:pt>
                <c:pt idx="113">
                  <c:v>-9.2100000000000001E-2</c:v>
                </c:pt>
                <c:pt idx="114">
                  <c:v>-0.12438299999999999</c:v>
                </c:pt>
                <c:pt idx="115">
                  <c:v>-7.3916700000000002E-2</c:v>
                </c:pt>
                <c:pt idx="116">
                  <c:v>-5.1216699999999997E-2</c:v>
                </c:pt>
                <c:pt idx="117">
                  <c:v>-7.3999999999999996E-2</c:v>
                </c:pt>
                <c:pt idx="118">
                  <c:v>-7.2083300000000003E-2</c:v>
                </c:pt>
                <c:pt idx="119">
                  <c:v>-3.7483299999999997E-2</c:v>
                </c:pt>
                <c:pt idx="120">
                  <c:v>-8.5866700000000004E-2</c:v>
                </c:pt>
                <c:pt idx="121">
                  <c:v>-0.109967</c:v>
                </c:pt>
                <c:pt idx="122">
                  <c:v>-0.12081699999999999</c:v>
                </c:pt>
                <c:pt idx="123">
                  <c:v>-9.8299999999999998E-2</c:v>
                </c:pt>
                <c:pt idx="124">
                  <c:v>-0.123067</c:v>
                </c:pt>
                <c:pt idx="125">
                  <c:v>-6.8816699999999995E-2</c:v>
                </c:pt>
                <c:pt idx="126">
                  <c:v>-2.06E-2</c:v>
                </c:pt>
                <c:pt idx="127">
                  <c:v>5.5399999999999998E-2</c:v>
                </c:pt>
                <c:pt idx="128">
                  <c:v>4.8616699999999999E-2</c:v>
                </c:pt>
                <c:pt idx="129">
                  <c:v>9.8616700000000002E-2</c:v>
                </c:pt>
                <c:pt idx="130">
                  <c:v>8.4099999999999994E-2</c:v>
                </c:pt>
                <c:pt idx="131">
                  <c:v>5.9900000000000002E-2</c:v>
                </c:pt>
                <c:pt idx="132">
                  <c:v>4.0966700000000002E-2</c:v>
                </c:pt>
                <c:pt idx="133">
                  <c:v>7.5233300000000003E-2</c:v>
                </c:pt>
                <c:pt idx="134">
                  <c:v>7.7633300000000002E-2</c:v>
                </c:pt>
                <c:pt idx="135">
                  <c:v>0.104833</c:v>
                </c:pt>
                <c:pt idx="136">
                  <c:v>0.169017</c:v>
                </c:pt>
                <c:pt idx="137">
                  <c:v>0.21026700000000001</c:v>
                </c:pt>
                <c:pt idx="138">
                  <c:v>0.193883</c:v>
                </c:pt>
                <c:pt idx="139">
                  <c:v>0.18254999999999999</c:v>
                </c:pt>
                <c:pt idx="140">
                  <c:v>0.19873299999999999</c:v>
                </c:pt>
                <c:pt idx="141">
                  <c:v>0.20471700000000001</c:v>
                </c:pt>
                <c:pt idx="142">
                  <c:v>0.18945000000000001</c:v>
                </c:pt>
                <c:pt idx="143">
                  <c:v>0.247</c:v>
                </c:pt>
                <c:pt idx="144">
                  <c:v>0.32291700000000001</c:v>
                </c:pt>
                <c:pt idx="145">
                  <c:v>0.342333</c:v>
                </c:pt>
                <c:pt idx="146">
                  <c:v>0.33603300000000003</c:v>
                </c:pt>
                <c:pt idx="147">
                  <c:v>0.38756699999999999</c:v>
                </c:pt>
                <c:pt idx="148">
                  <c:v>0.40693299999999999</c:v>
                </c:pt>
                <c:pt idx="149">
                  <c:v>0.40191700000000002</c:v>
                </c:pt>
                <c:pt idx="150">
                  <c:v>0.42996699999999999</c:v>
                </c:pt>
                <c:pt idx="151">
                  <c:v>0.47889999999999999</c:v>
                </c:pt>
                <c:pt idx="152">
                  <c:v>0.49041699999999999</c:v>
                </c:pt>
                <c:pt idx="153">
                  <c:v>0.48871700000000001</c:v>
                </c:pt>
                <c:pt idx="154">
                  <c:v>0.46596700000000002</c:v>
                </c:pt>
                <c:pt idx="155">
                  <c:v>0.47598299999999999</c:v>
                </c:pt>
                <c:pt idx="156">
                  <c:v>0.47683300000000001</c:v>
                </c:pt>
              </c:numCache>
            </c:numRef>
          </c:yVal>
        </c:ser>
        <c:ser>
          <c:idx val="0"/>
          <c:order val="1"/>
          <c:tx>
            <c:strRef>
              <c:f>'HAD global'!$B$15</c:f>
              <c:strCache>
                <c:ptCount val="1"/>
                <c:pt idx="0">
                  <c:v>Composed = 0.7*SST + 0.3*Land</c:v>
                </c:pt>
              </c:strCache>
            </c:strRef>
          </c:tx>
          <c:marker>
            <c:symbol val="none"/>
          </c:marker>
          <c:xVal>
            <c:numRef>
              <c:f>'HAD global'!$A$16:$A$172</c:f>
              <c:numCache>
                <c:formatCode>General</c:formatCode>
                <c:ptCount val="157"/>
                <c:pt idx="0">
                  <c:v>1850.17</c:v>
                </c:pt>
                <c:pt idx="1">
                  <c:v>1851.17</c:v>
                </c:pt>
                <c:pt idx="2">
                  <c:v>1852.17</c:v>
                </c:pt>
                <c:pt idx="3">
                  <c:v>1853.17</c:v>
                </c:pt>
                <c:pt idx="4">
                  <c:v>1854.17</c:v>
                </c:pt>
                <c:pt idx="5">
                  <c:v>1855.17</c:v>
                </c:pt>
                <c:pt idx="6">
                  <c:v>1856.17</c:v>
                </c:pt>
                <c:pt idx="7">
                  <c:v>1857.17</c:v>
                </c:pt>
                <c:pt idx="8">
                  <c:v>1858.17</c:v>
                </c:pt>
                <c:pt idx="9">
                  <c:v>1859.17</c:v>
                </c:pt>
                <c:pt idx="10">
                  <c:v>1860.17</c:v>
                </c:pt>
                <c:pt idx="11">
                  <c:v>1861.17</c:v>
                </c:pt>
                <c:pt idx="12">
                  <c:v>1862.17</c:v>
                </c:pt>
                <c:pt idx="13">
                  <c:v>1863.17</c:v>
                </c:pt>
                <c:pt idx="14">
                  <c:v>1864.17</c:v>
                </c:pt>
                <c:pt idx="15">
                  <c:v>1865.17</c:v>
                </c:pt>
                <c:pt idx="16">
                  <c:v>1866.17</c:v>
                </c:pt>
                <c:pt idx="17">
                  <c:v>1867.17</c:v>
                </c:pt>
                <c:pt idx="18">
                  <c:v>1868.17</c:v>
                </c:pt>
                <c:pt idx="19">
                  <c:v>1869.17</c:v>
                </c:pt>
                <c:pt idx="20">
                  <c:v>1870.17</c:v>
                </c:pt>
                <c:pt idx="21">
                  <c:v>1871.17</c:v>
                </c:pt>
                <c:pt idx="22">
                  <c:v>1872.17</c:v>
                </c:pt>
                <c:pt idx="23">
                  <c:v>1873.17</c:v>
                </c:pt>
                <c:pt idx="24">
                  <c:v>1874.17</c:v>
                </c:pt>
                <c:pt idx="25">
                  <c:v>1875.17</c:v>
                </c:pt>
                <c:pt idx="26">
                  <c:v>1876.17</c:v>
                </c:pt>
                <c:pt idx="27">
                  <c:v>1877.17</c:v>
                </c:pt>
                <c:pt idx="28">
                  <c:v>1878.17</c:v>
                </c:pt>
                <c:pt idx="29">
                  <c:v>1879.17</c:v>
                </c:pt>
                <c:pt idx="30">
                  <c:v>1880.17</c:v>
                </c:pt>
                <c:pt idx="31">
                  <c:v>1881.17</c:v>
                </c:pt>
                <c:pt idx="32">
                  <c:v>1882.17</c:v>
                </c:pt>
                <c:pt idx="33">
                  <c:v>1883.17</c:v>
                </c:pt>
                <c:pt idx="34">
                  <c:v>1884.17</c:v>
                </c:pt>
                <c:pt idx="35">
                  <c:v>1885.17</c:v>
                </c:pt>
                <c:pt idx="36">
                  <c:v>1886.17</c:v>
                </c:pt>
                <c:pt idx="37">
                  <c:v>1887.17</c:v>
                </c:pt>
                <c:pt idx="38">
                  <c:v>1888.17</c:v>
                </c:pt>
                <c:pt idx="39">
                  <c:v>1889.17</c:v>
                </c:pt>
                <c:pt idx="40">
                  <c:v>1890.17</c:v>
                </c:pt>
                <c:pt idx="41">
                  <c:v>1891.17</c:v>
                </c:pt>
                <c:pt idx="42">
                  <c:v>1892.17</c:v>
                </c:pt>
                <c:pt idx="43">
                  <c:v>1893.17</c:v>
                </c:pt>
                <c:pt idx="44">
                  <c:v>1894.17</c:v>
                </c:pt>
                <c:pt idx="45">
                  <c:v>1895.17</c:v>
                </c:pt>
                <c:pt idx="46">
                  <c:v>1896.17</c:v>
                </c:pt>
                <c:pt idx="47">
                  <c:v>1897.17</c:v>
                </c:pt>
                <c:pt idx="48">
                  <c:v>1898.17</c:v>
                </c:pt>
                <c:pt idx="49">
                  <c:v>1899.17</c:v>
                </c:pt>
                <c:pt idx="50">
                  <c:v>1900.17</c:v>
                </c:pt>
                <c:pt idx="51">
                  <c:v>1901.17</c:v>
                </c:pt>
                <c:pt idx="52">
                  <c:v>1902.17</c:v>
                </c:pt>
                <c:pt idx="53">
                  <c:v>1903.17</c:v>
                </c:pt>
                <c:pt idx="54">
                  <c:v>1904.17</c:v>
                </c:pt>
                <c:pt idx="55">
                  <c:v>1905.17</c:v>
                </c:pt>
                <c:pt idx="56">
                  <c:v>1906.17</c:v>
                </c:pt>
                <c:pt idx="57">
                  <c:v>1907.17</c:v>
                </c:pt>
                <c:pt idx="58">
                  <c:v>1908.17</c:v>
                </c:pt>
                <c:pt idx="59">
                  <c:v>1909.17</c:v>
                </c:pt>
                <c:pt idx="60">
                  <c:v>1910.17</c:v>
                </c:pt>
                <c:pt idx="61">
                  <c:v>1911.17</c:v>
                </c:pt>
                <c:pt idx="62">
                  <c:v>1912.17</c:v>
                </c:pt>
                <c:pt idx="63">
                  <c:v>1913.17</c:v>
                </c:pt>
                <c:pt idx="64">
                  <c:v>1914.17</c:v>
                </c:pt>
                <c:pt idx="65">
                  <c:v>1915.17</c:v>
                </c:pt>
                <c:pt idx="66">
                  <c:v>1916.17</c:v>
                </c:pt>
                <c:pt idx="67">
                  <c:v>1917.17</c:v>
                </c:pt>
                <c:pt idx="68">
                  <c:v>1918.17</c:v>
                </c:pt>
                <c:pt idx="69">
                  <c:v>1919.17</c:v>
                </c:pt>
                <c:pt idx="70">
                  <c:v>1920.17</c:v>
                </c:pt>
                <c:pt idx="71">
                  <c:v>1921.17</c:v>
                </c:pt>
                <c:pt idx="72">
                  <c:v>1922.17</c:v>
                </c:pt>
                <c:pt idx="73">
                  <c:v>1923.17</c:v>
                </c:pt>
                <c:pt idx="74">
                  <c:v>1924.17</c:v>
                </c:pt>
                <c:pt idx="75">
                  <c:v>1925.17</c:v>
                </c:pt>
                <c:pt idx="76">
                  <c:v>1926.17</c:v>
                </c:pt>
                <c:pt idx="77">
                  <c:v>1927.17</c:v>
                </c:pt>
                <c:pt idx="78">
                  <c:v>1928.17</c:v>
                </c:pt>
                <c:pt idx="79">
                  <c:v>1929.17</c:v>
                </c:pt>
                <c:pt idx="80">
                  <c:v>1930.17</c:v>
                </c:pt>
                <c:pt idx="81">
                  <c:v>1931.17</c:v>
                </c:pt>
                <c:pt idx="82">
                  <c:v>1932.17</c:v>
                </c:pt>
                <c:pt idx="83">
                  <c:v>1933.17</c:v>
                </c:pt>
                <c:pt idx="84">
                  <c:v>1934.17</c:v>
                </c:pt>
                <c:pt idx="85">
                  <c:v>1935.17</c:v>
                </c:pt>
                <c:pt idx="86">
                  <c:v>1936.17</c:v>
                </c:pt>
                <c:pt idx="87">
                  <c:v>1937.17</c:v>
                </c:pt>
                <c:pt idx="88">
                  <c:v>1938.17</c:v>
                </c:pt>
                <c:pt idx="89">
                  <c:v>1939.17</c:v>
                </c:pt>
                <c:pt idx="90">
                  <c:v>1940.17</c:v>
                </c:pt>
                <c:pt idx="91">
                  <c:v>1941.17</c:v>
                </c:pt>
                <c:pt idx="92">
                  <c:v>1942.17</c:v>
                </c:pt>
                <c:pt idx="93">
                  <c:v>1943.17</c:v>
                </c:pt>
                <c:pt idx="94">
                  <c:v>1944.17</c:v>
                </c:pt>
                <c:pt idx="95">
                  <c:v>1945.17</c:v>
                </c:pt>
                <c:pt idx="96">
                  <c:v>1946.17</c:v>
                </c:pt>
                <c:pt idx="97">
                  <c:v>1947.17</c:v>
                </c:pt>
                <c:pt idx="98">
                  <c:v>1948.17</c:v>
                </c:pt>
                <c:pt idx="99">
                  <c:v>1949.17</c:v>
                </c:pt>
                <c:pt idx="100">
                  <c:v>1950.17</c:v>
                </c:pt>
                <c:pt idx="101">
                  <c:v>1951.17</c:v>
                </c:pt>
                <c:pt idx="102">
                  <c:v>1952.17</c:v>
                </c:pt>
                <c:pt idx="103">
                  <c:v>1953.17</c:v>
                </c:pt>
                <c:pt idx="104">
                  <c:v>1954.17</c:v>
                </c:pt>
                <c:pt idx="105">
                  <c:v>1955.17</c:v>
                </c:pt>
                <c:pt idx="106">
                  <c:v>1956.17</c:v>
                </c:pt>
                <c:pt idx="107">
                  <c:v>1957.17</c:v>
                </c:pt>
                <c:pt idx="108">
                  <c:v>1958.17</c:v>
                </c:pt>
                <c:pt idx="109">
                  <c:v>1959.17</c:v>
                </c:pt>
                <c:pt idx="110">
                  <c:v>1960.17</c:v>
                </c:pt>
                <c:pt idx="111">
                  <c:v>1961.17</c:v>
                </c:pt>
                <c:pt idx="112">
                  <c:v>1962.17</c:v>
                </c:pt>
                <c:pt idx="113">
                  <c:v>1963.17</c:v>
                </c:pt>
                <c:pt idx="114">
                  <c:v>1964.17</c:v>
                </c:pt>
                <c:pt idx="115">
                  <c:v>1965.17</c:v>
                </c:pt>
                <c:pt idx="116">
                  <c:v>1966.17</c:v>
                </c:pt>
                <c:pt idx="117">
                  <c:v>1967.17</c:v>
                </c:pt>
                <c:pt idx="118">
                  <c:v>1968.17</c:v>
                </c:pt>
                <c:pt idx="119">
                  <c:v>1969.17</c:v>
                </c:pt>
                <c:pt idx="120">
                  <c:v>1970.17</c:v>
                </c:pt>
                <c:pt idx="121">
                  <c:v>1971.17</c:v>
                </c:pt>
                <c:pt idx="122">
                  <c:v>1972.17</c:v>
                </c:pt>
                <c:pt idx="123">
                  <c:v>1973.17</c:v>
                </c:pt>
                <c:pt idx="124">
                  <c:v>1974.17</c:v>
                </c:pt>
                <c:pt idx="125">
                  <c:v>1975.17</c:v>
                </c:pt>
                <c:pt idx="126">
                  <c:v>1976.17</c:v>
                </c:pt>
                <c:pt idx="127">
                  <c:v>1977.17</c:v>
                </c:pt>
                <c:pt idx="128">
                  <c:v>1978.17</c:v>
                </c:pt>
                <c:pt idx="129">
                  <c:v>1979.17</c:v>
                </c:pt>
                <c:pt idx="130">
                  <c:v>1980.17</c:v>
                </c:pt>
                <c:pt idx="131">
                  <c:v>1981.17</c:v>
                </c:pt>
                <c:pt idx="132">
                  <c:v>1982.17</c:v>
                </c:pt>
                <c:pt idx="133">
                  <c:v>1983.17</c:v>
                </c:pt>
                <c:pt idx="134">
                  <c:v>1984.17</c:v>
                </c:pt>
                <c:pt idx="135">
                  <c:v>1985.17</c:v>
                </c:pt>
                <c:pt idx="136">
                  <c:v>1986.17</c:v>
                </c:pt>
                <c:pt idx="137">
                  <c:v>1987.17</c:v>
                </c:pt>
                <c:pt idx="138">
                  <c:v>1988.17</c:v>
                </c:pt>
                <c:pt idx="139">
                  <c:v>1989.17</c:v>
                </c:pt>
                <c:pt idx="140">
                  <c:v>1990.17</c:v>
                </c:pt>
                <c:pt idx="141">
                  <c:v>1991.17</c:v>
                </c:pt>
                <c:pt idx="142">
                  <c:v>1992.17</c:v>
                </c:pt>
                <c:pt idx="143">
                  <c:v>1993.17</c:v>
                </c:pt>
                <c:pt idx="144">
                  <c:v>1994.17</c:v>
                </c:pt>
                <c:pt idx="145">
                  <c:v>1995.17</c:v>
                </c:pt>
                <c:pt idx="146">
                  <c:v>1996.17</c:v>
                </c:pt>
                <c:pt idx="147">
                  <c:v>1997.17</c:v>
                </c:pt>
                <c:pt idx="148">
                  <c:v>1998.17</c:v>
                </c:pt>
                <c:pt idx="149">
                  <c:v>1999.17</c:v>
                </c:pt>
                <c:pt idx="150">
                  <c:v>2000.17</c:v>
                </c:pt>
                <c:pt idx="151">
                  <c:v>2001.17</c:v>
                </c:pt>
                <c:pt idx="152">
                  <c:v>2002.17</c:v>
                </c:pt>
                <c:pt idx="153">
                  <c:v>2003.17</c:v>
                </c:pt>
                <c:pt idx="154">
                  <c:v>2004.17</c:v>
                </c:pt>
                <c:pt idx="155">
                  <c:v>2005.17</c:v>
                </c:pt>
                <c:pt idx="156">
                  <c:v>2006.17</c:v>
                </c:pt>
              </c:numCache>
            </c:numRef>
          </c:xVal>
          <c:yVal>
            <c:numRef>
              <c:f>'HAD global'!$B$16:$B$172</c:f>
              <c:numCache>
                <c:formatCode>General</c:formatCode>
                <c:ptCount val="157"/>
                <c:pt idx="0">
                  <c:v>-0.24402690999999999</c:v>
                </c:pt>
                <c:pt idx="1">
                  <c:v>-0.21817498999999996</c:v>
                </c:pt>
                <c:pt idx="2">
                  <c:v>-0.27263999999999999</c:v>
                </c:pt>
                <c:pt idx="3">
                  <c:v>-0.34194010000000002</c:v>
                </c:pt>
                <c:pt idx="4">
                  <c:v>-0.3861018</c:v>
                </c:pt>
                <c:pt idx="5">
                  <c:v>-0.41748300000000005</c:v>
                </c:pt>
                <c:pt idx="6">
                  <c:v>-0.44178510000000004</c:v>
                </c:pt>
                <c:pt idx="7">
                  <c:v>-0.44127500000000003</c:v>
                </c:pt>
                <c:pt idx="8">
                  <c:v>-0.4546481</c:v>
                </c:pt>
                <c:pt idx="9">
                  <c:v>-0.42620009999999997</c:v>
                </c:pt>
                <c:pt idx="10">
                  <c:v>-0.45339810000000003</c:v>
                </c:pt>
                <c:pt idx="11">
                  <c:v>-0.43191190000000002</c:v>
                </c:pt>
                <c:pt idx="12">
                  <c:v>-0.40440180000000003</c:v>
                </c:pt>
                <c:pt idx="13">
                  <c:v>-0.35631309999999999</c:v>
                </c:pt>
                <c:pt idx="14">
                  <c:v>-0.32669510000000002</c:v>
                </c:pt>
                <c:pt idx="15">
                  <c:v>-0.28438800000000003</c:v>
                </c:pt>
                <c:pt idx="16">
                  <c:v>-0.286107</c:v>
                </c:pt>
                <c:pt idx="17">
                  <c:v>-0.30056189999999999</c:v>
                </c:pt>
                <c:pt idx="18">
                  <c:v>-0.29418820000000001</c:v>
                </c:pt>
                <c:pt idx="19">
                  <c:v>-0.31447800000000004</c:v>
                </c:pt>
                <c:pt idx="20">
                  <c:v>-0.34110680000000004</c:v>
                </c:pt>
                <c:pt idx="21">
                  <c:v>-0.36969490000000005</c:v>
                </c:pt>
                <c:pt idx="22">
                  <c:v>-0.37923989999999996</c:v>
                </c:pt>
                <c:pt idx="23">
                  <c:v>-0.34763189999999999</c:v>
                </c:pt>
                <c:pt idx="24">
                  <c:v>-0.28273490000000001</c:v>
                </c:pt>
                <c:pt idx="25">
                  <c:v>-0.26299700000000004</c:v>
                </c:pt>
                <c:pt idx="26">
                  <c:v>-0.22625010000000001</c:v>
                </c:pt>
                <c:pt idx="27">
                  <c:v>-0.19997180000000001</c:v>
                </c:pt>
                <c:pt idx="28">
                  <c:v>-0.23049199999999997</c:v>
                </c:pt>
                <c:pt idx="29">
                  <c:v>-0.29658699999999999</c:v>
                </c:pt>
                <c:pt idx="30">
                  <c:v>-0.31413200000000002</c:v>
                </c:pt>
                <c:pt idx="31">
                  <c:v>-0.3393832</c:v>
                </c:pt>
                <c:pt idx="32">
                  <c:v>-0.34376180000000001</c:v>
                </c:pt>
                <c:pt idx="33">
                  <c:v>-0.36844200000000005</c:v>
                </c:pt>
                <c:pt idx="34">
                  <c:v>-0.37086320000000006</c:v>
                </c:pt>
                <c:pt idx="35">
                  <c:v>-0.33118179999999997</c:v>
                </c:pt>
                <c:pt idx="36">
                  <c:v>-0.34064690000000003</c:v>
                </c:pt>
                <c:pt idx="37">
                  <c:v>-0.3570082</c:v>
                </c:pt>
                <c:pt idx="38">
                  <c:v>-0.37763009999999997</c:v>
                </c:pt>
                <c:pt idx="39">
                  <c:v>-0.40839009999999998</c:v>
                </c:pt>
                <c:pt idx="40">
                  <c:v>-0.45901320000000001</c:v>
                </c:pt>
                <c:pt idx="41">
                  <c:v>-0.4539919</c:v>
                </c:pt>
                <c:pt idx="42">
                  <c:v>-0.42316500000000001</c:v>
                </c:pt>
                <c:pt idx="43">
                  <c:v>-0.37096499999999999</c:v>
                </c:pt>
                <c:pt idx="44">
                  <c:v>-0.35228689999999996</c:v>
                </c:pt>
                <c:pt idx="45">
                  <c:v>-0.32334320000000005</c:v>
                </c:pt>
                <c:pt idx="46">
                  <c:v>-0.28420689999999998</c:v>
                </c:pt>
                <c:pt idx="47">
                  <c:v>-0.29889309999999997</c:v>
                </c:pt>
                <c:pt idx="48">
                  <c:v>-0.33664509999999997</c:v>
                </c:pt>
                <c:pt idx="49">
                  <c:v>-0.35397800000000001</c:v>
                </c:pt>
                <c:pt idx="50">
                  <c:v>-0.40148810000000001</c:v>
                </c:pt>
                <c:pt idx="51">
                  <c:v>-0.44262810000000002</c:v>
                </c:pt>
                <c:pt idx="52">
                  <c:v>-0.44780799999999998</c:v>
                </c:pt>
                <c:pt idx="53">
                  <c:v>-0.4640049</c:v>
                </c:pt>
                <c:pt idx="54">
                  <c:v>-0.47400310000000001</c:v>
                </c:pt>
                <c:pt idx="55">
                  <c:v>-0.473082</c:v>
                </c:pt>
                <c:pt idx="56">
                  <c:v>-0.4948901</c:v>
                </c:pt>
                <c:pt idx="57">
                  <c:v>-0.53800800000000004</c:v>
                </c:pt>
                <c:pt idx="58">
                  <c:v>-0.53090189999999993</c:v>
                </c:pt>
                <c:pt idx="59">
                  <c:v>-0.51436319999999991</c:v>
                </c:pt>
                <c:pt idx="60">
                  <c:v>-0.45996009999999998</c:v>
                </c:pt>
                <c:pt idx="61">
                  <c:v>-0.39682690000000004</c:v>
                </c:pt>
                <c:pt idx="62">
                  <c:v>-0.37209990000000004</c:v>
                </c:pt>
                <c:pt idx="63">
                  <c:v>-0.38037500000000002</c:v>
                </c:pt>
                <c:pt idx="64">
                  <c:v>-0.36558999999999997</c:v>
                </c:pt>
                <c:pt idx="65">
                  <c:v>-0.3791832</c:v>
                </c:pt>
                <c:pt idx="66">
                  <c:v>-0.39729009999999998</c:v>
                </c:pt>
                <c:pt idx="67">
                  <c:v>-0.3635369</c:v>
                </c:pt>
                <c:pt idx="68">
                  <c:v>-0.33400010000000002</c:v>
                </c:pt>
                <c:pt idx="69">
                  <c:v>-0.32342310000000002</c:v>
                </c:pt>
                <c:pt idx="70">
                  <c:v>-0.32376689999999997</c:v>
                </c:pt>
                <c:pt idx="71">
                  <c:v>-0.31897819999999999</c:v>
                </c:pt>
                <c:pt idx="72">
                  <c:v>-0.2983632</c:v>
                </c:pt>
                <c:pt idx="73">
                  <c:v>-0.2723332</c:v>
                </c:pt>
                <c:pt idx="74">
                  <c:v>-0.2512701</c:v>
                </c:pt>
                <c:pt idx="75">
                  <c:v>-0.25425799999999998</c:v>
                </c:pt>
                <c:pt idx="76">
                  <c:v>-0.22751299999999999</c:v>
                </c:pt>
                <c:pt idx="77">
                  <c:v>-0.2220818</c:v>
                </c:pt>
                <c:pt idx="78">
                  <c:v>-0.204538</c:v>
                </c:pt>
                <c:pt idx="79">
                  <c:v>-0.21469189999999999</c:v>
                </c:pt>
                <c:pt idx="80">
                  <c:v>-0.17113500000000001</c:v>
                </c:pt>
                <c:pt idx="81">
                  <c:v>-0.17628300000000002</c:v>
                </c:pt>
                <c:pt idx="82">
                  <c:v>-0.17934509999999998</c:v>
                </c:pt>
                <c:pt idx="83">
                  <c:v>-0.15321180000000001</c:v>
                </c:pt>
                <c:pt idx="84">
                  <c:v>-9.3258090000000002E-2</c:v>
                </c:pt>
                <c:pt idx="85">
                  <c:v>-6.3788299999999992E-2</c:v>
                </c:pt>
                <c:pt idx="86">
                  <c:v>-2.7389999000000002E-2</c:v>
                </c:pt>
                <c:pt idx="87">
                  <c:v>1.691668E-2</c:v>
                </c:pt>
                <c:pt idx="88">
                  <c:v>1.6916689999999998E-2</c:v>
                </c:pt>
                <c:pt idx="89">
                  <c:v>1.1874989999999998E-2</c:v>
                </c:pt>
                <c:pt idx="90">
                  <c:v>3.1996688999999995E-2</c:v>
                </c:pt>
                <c:pt idx="91">
                  <c:v>3.1988319999999994E-2</c:v>
                </c:pt>
                <c:pt idx="92">
                  <c:v>-2.5390000000000003E-2</c:v>
                </c:pt>
                <c:pt idx="93">
                  <c:v>-6.293E-2</c:v>
                </c:pt>
                <c:pt idx="94">
                  <c:v>-0.10202809999999998</c:v>
                </c:pt>
                <c:pt idx="95">
                  <c:v>-0.16271810999999997</c:v>
                </c:pt>
                <c:pt idx="96">
                  <c:v>-0.22000809999999998</c:v>
                </c:pt>
                <c:pt idx="97">
                  <c:v>-0.20971320000000002</c:v>
                </c:pt>
                <c:pt idx="98">
                  <c:v>-0.18243009999999998</c:v>
                </c:pt>
                <c:pt idx="99">
                  <c:v>-0.14484998999999998</c:v>
                </c:pt>
                <c:pt idx="100">
                  <c:v>-0.14989689</c:v>
                </c:pt>
                <c:pt idx="101">
                  <c:v>-0.14771999999999999</c:v>
                </c:pt>
                <c:pt idx="102">
                  <c:v>-0.1802532</c:v>
                </c:pt>
                <c:pt idx="103">
                  <c:v>-0.17763700000000002</c:v>
                </c:pt>
                <c:pt idx="104">
                  <c:v>-0.17474700000000001</c:v>
                </c:pt>
                <c:pt idx="105">
                  <c:v>-0.138493</c:v>
                </c:pt>
                <c:pt idx="106">
                  <c:v>-0.10377688999999998</c:v>
                </c:pt>
                <c:pt idx="107">
                  <c:v>-4.3119999999999999E-2</c:v>
                </c:pt>
                <c:pt idx="108">
                  <c:v>-3.6453299999999994E-2</c:v>
                </c:pt>
                <c:pt idx="109">
                  <c:v>-3.8483310999999992E-2</c:v>
                </c:pt>
                <c:pt idx="110">
                  <c:v>-8.3303309999999992E-2</c:v>
                </c:pt>
                <c:pt idx="111">
                  <c:v>-0.10818189</c:v>
                </c:pt>
                <c:pt idx="112">
                  <c:v>-0.1318568</c:v>
                </c:pt>
                <c:pt idx="113">
                  <c:v>-0.1540319</c:v>
                </c:pt>
                <c:pt idx="114">
                  <c:v>-0.1812299</c:v>
                </c:pt>
                <c:pt idx="115">
                  <c:v>-0.127973</c:v>
                </c:pt>
                <c:pt idx="116">
                  <c:v>-9.7353410000000001E-2</c:v>
                </c:pt>
                <c:pt idx="117">
                  <c:v>-0.11119841</c:v>
                </c:pt>
                <c:pt idx="118">
                  <c:v>-9.6398310000000001E-2</c:v>
                </c:pt>
                <c:pt idx="119">
                  <c:v>-5.4018410000000003E-2</c:v>
                </c:pt>
                <c:pt idx="120">
                  <c:v>-9.2900100000000013E-2</c:v>
                </c:pt>
                <c:pt idx="121">
                  <c:v>-0.111568</c:v>
                </c:pt>
                <c:pt idx="122">
                  <c:v>-0.12044299999999999</c:v>
                </c:pt>
                <c:pt idx="123">
                  <c:v>-0.10604311000000001</c:v>
                </c:pt>
                <c:pt idx="124">
                  <c:v>-0.12973989999999999</c:v>
                </c:pt>
                <c:pt idx="125">
                  <c:v>-8.0678300000000008E-2</c:v>
                </c:pt>
                <c:pt idx="126">
                  <c:v>-3.4181690000000001E-2</c:v>
                </c:pt>
                <c:pt idx="127">
                  <c:v>3.7119900000000004E-2</c:v>
                </c:pt>
                <c:pt idx="128">
                  <c:v>3.8566680000000006E-2</c:v>
                </c:pt>
                <c:pt idx="129">
                  <c:v>8.5463210000000012E-2</c:v>
                </c:pt>
                <c:pt idx="130">
                  <c:v>7.264841000000001E-2</c:v>
                </c:pt>
                <c:pt idx="131">
                  <c:v>5.0643310000000004E-2</c:v>
                </c:pt>
                <c:pt idx="132">
                  <c:v>3.2693310000000003E-2</c:v>
                </c:pt>
                <c:pt idx="133">
                  <c:v>6.3486590000000009E-2</c:v>
                </c:pt>
                <c:pt idx="134">
                  <c:v>6.4904900000000015E-2</c:v>
                </c:pt>
                <c:pt idx="135">
                  <c:v>9.1946790000000014E-2</c:v>
                </c:pt>
                <c:pt idx="136">
                  <c:v>0.15404990000000002</c:v>
                </c:pt>
                <c:pt idx="137">
                  <c:v>0.194715</c:v>
                </c:pt>
                <c:pt idx="138">
                  <c:v>0.17483300000000002</c:v>
                </c:pt>
                <c:pt idx="139">
                  <c:v>0.159693</c:v>
                </c:pt>
                <c:pt idx="140">
                  <c:v>0.17398000000000002</c:v>
                </c:pt>
                <c:pt idx="141">
                  <c:v>0.179975</c:v>
                </c:pt>
                <c:pt idx="142">
                  <c:v>0.16456989999999999</c:v>
                </c:pt>
                <c:pt idx="143">
                  <c:v>0.22403010000000001</c:v>
                </c:pt>
                <c:pt idx="144">
                  <c:v>0.31313809999999997</c:v>
                </c:pt>
                <c:pt idx="145">
                  <c:v>0.33789990000000003</c:v>
                </c:pt>
                <c:pt idx="146">
                  <c:v>0.33739820000000004</c:v>
                </c:pt>
                <c:pt idx="147">
                  <c:v>0.39433990000000002</c:v>
                </c:pt>
                <c:pt idx="148">
                  <c:v>0.41917989999999999</c:v>
                </c:pt>
                <c:pt idx="149">
                  <c:v>0.41014679999999998</c:v>
                </c:pt>
                <c:pt idx="150">
                  <c:v>0.44133200000000006</c:v>
                </c:pt>
                <c:pt idx="151">
                  <c:v>0.48674190000000001</c:v>
                </c:pt>
                <c:pt idx="152">
                  <c:v>0.49599320000000002</c:v>
                </c:pt>
                <c:pt idx="153">
                  <c:v>0.49031800000000003</c:v>
                </c:pt>
                <c:pt idx="154">
                  <c:v>0.46517990000000004</c:v>
                </c:pt>
                <c:pt idx="155">
                  <c:v>0.46760999999999997</c:v>
                </c:pt>
                <c:pt idx="156">
                  <c:v>0.4688851</c:v>
                </c:pt>
              </c:numCache>
            </c:numRef>
          </c:yVal>
        </c:ser>
        <c:ser>
          <c:idx val="2"/>
          <c:order val="2"/>
          <c:tx>
            <c:strRef>
              <c:f>'HAD global'!$D$14:$D$15</c:f>
              <c:strCache>
                <c:ptCount val="1"/>
                <c:pt idx="0">
                  <c:v>Composed = 0.7*1/2*Land + 0.3*Land          1/2 heat into ocean</c:v>
                </c:pt>
              </c:strCache>
            </c:strRef>
          </c:tx>
          <c:spPr>
            <a:ln w="25400">
              <a:prstDash val="sysDot"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5"/>
            <c:spPr>
              <a:solidFill>
                <a:srgbClr val="EBF6F9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xVal>
            <c:numRef>
              <c:f>'HAD global'!$A$16:$A$172</c:f>
              <c:numCache>
                <c:formatCode>General</c:formatCode>
                <c:ptCount val="157"/>
                <c:pt idx="0">
                  <c:v>1850.17</c:v>
                </c:pt>
                <c:pt idx="1">
                  <c:v>1851.17</c:v>
                </c:pt>
                <c:pt idx="2">
                  <c:v>1852.17</c:v>
                </c:pt>
                <c:pt idx="3">
                  <c:v>1853.17</c:v>
                </c:pt>
                <c:pt idx="4">
                  <c:v>1854.17</c:v>
                </c:pt>
                <c:pt idx="5">
                  <c:v>1855.17</c:v>
                </c:pt>
                <c:pt idx="6">
                  <c:v>1856.17</c:v>
                </c:pt>
                <c:pt idx="7">
                  <c:v>1857.17</c:v>
                </c:pt>
                <c:pt idx="8">
                  <c:v>1858.17</c:v>
                </c:pt>
                <c:pt idx="9">
                  <c:v>1859.17</c:v>
                </c:pt>
                <c:pt idx="10">
                  <c:v>1860.17</c:v>
                </c:pt>
                <c:pt idx="11">
                  <c:v>1861.17</c:v>
                </c:pt>
                <c:pt idx="12">
                  <c:v>1862.17</c:v>
                </c:pt>
                <c:pt idx="13">
                  <c:v>1863.17</c:v>
                </c:pt>
                <c:pt idx="14">
                  <c:v>1864.17</c:v>
                </c:pt>
                <c:pt idx="15">
                  <c:v>1865.17</c:v>
                </c:pt>
                <c:pt idx="16">
                  <c:v>1866.17</c:v>
                </c:pt>
                <c:pt idx="17">
                  <c:v>1867.17</c:v>
                </c:pt>
                <c:pt idx="18">
                  <c:v>1868.17</c:v>
                </c:pt>
                <c:pt idx="19">
                  <c:v>1869.17</c:v>
                </c:pt>
                <c:pt idx="20">
                  <c:v>1870.17</c:v>
                </c:pt>
                <c:pt idx="21">
                  <c:v>1871.17</c:v>
                </c:pt>
                <c:pt idx="22">
                  <c:v>1872.17</c:v>
                </c:pt>
                <c:pt idx="23">
                  <c:v>1873.17</c:v>
                </c:pt>
                <c:pt idx="24">
                  <c:v>1874.17</c:v>
                </c:pt>
                <c:pt idx="25">
                  <c:v>1875.17</c:v>
                </c:pt>
                <c:pt idx="26">
                  <c:v>1876.17</c:v>
                </c:pt>
                <c:pt idx="27">
                  <c:v>1877.17</c:v>
                </c:pt>
                <c:pt idx="28">
                  <c:v>1878.17</c:v>
                </c:pt>
                <c:pt idx="29">
                  <c:v>1879.17</c:v>
                </c:pt>
                <c:pt idx="30">
                  <c:v>1880.17</c:v>
                </c:pt>
                <c:pt idx="31">
                  <c:v>1881.17</c:v>
                </c:pt>
                <c:pt idx="32">
                  <c:v>1882.17</c:v>
                </c:pt>
                <c:pt idx="33">
                  <c:v>1883.17</c:v>
                </c:pt>
                <c:pt idx="34">
                  <c:v>1884.17</c:v>
                </c:pt>
                <c:pt idx="35">
                  <c:v>1885.17</c:v>
                </c:pt>
                <c:pt idx="36">
                  <c:v>1886.17</c:v>
                </c:pt>
                <c:pt idx="37">
                  <c:v>1887.17</c:v>
                </c:pt>
                <c:pt idx="38">
                  <c:v>1888.17</c:v>
                </c:pt>
                <c:pt idx="39">
                  <c:v>1889.17</c:v>
                </c:pt>
                <c:pt idx="40">
                  <c:v>1890.17</c:v>
                </c:pt>
                <c:pt idx="41">
                  <c:v>1891.17</c:v>
                </c:pt>
                <c:pt idx="42">
                  <c:v>1892.17</c:v>
                </c:pt>
                <c:pt idx="43">
                  <c:v>1893.17</c:v>
                </c:pt>
                <c:pt idx="44">
                  <c:v>1894.17</c:v>
                </c:pt>
                <c:pt idx="45">
                  <c:v>1895.17</c:v>
                </c:pt>
                <c:pt idx="46">
                  <c:v>1896.17</c:v>
                </c:pt>
                <c:pt idx="47">
                  <c:v>1897.17</c:v>
                </c:pt>
                <c:pt idx="48">
                  <c:v>1898.17</c:v>
                </c:pt>
                <c:pt idx="49">
                  <c:v>1899.17</c:v>
                </c:pt>
                <c:pt idx="50">
                  <c:v>1900.17</c:v>
                </c:pt>
                <c:pt idx="51">
                  <c:v>1901.17</c:v>
                </c:pt>
                <c:pt idx="52">
                  <c:v>1902.17</c:v>
                </c:pt>
                <c:pt idx="53">
                  <c:v>1903.17</c:v>
                </c:pt>
                <c:pt idx="54">
                  <c:v>1904.17</c:v>
                </c:pt>
                <c:pt idx="55">
                  <c:v>1905.17</c:v>
                </c:pt>
                <c:pt idx="56">
                  <c:v>1906.17</c:v>
                </c:pt>
                <c:pt idx="57">
                  <c:v>1907.17</c:v>
                </c:pt>
                <c:pt idx="58">
                  <c:v>1908.17</c:v>
                </c:pt>
                <c:pt idx="59">
                  <c:v>1909.17</c:v>
                </c:pt>
                <c:pt idx="60">
                  <c:v>1910.17</c:v>
                </c:pt>
                <c:pt idx="61">
                  <c:v>1911.17</c:v>
                </c:pt>
                <c:pt idx="62">
                  <c:v>1912.17</c:v>
                </c:pt>
                <c:pt idx="63">
                  <c:v>1913.17</c:v>
                </c:pt>
                <c:pt idx="64">
                  <c:v>1914.17</c:v>
                </c:pt>
                <c:pt idx="65">
                  <c:v>1915.17</c:v>
                </c:pt>
                <c:pt idx="66">
                  <c:v>1916.17</c:v>
                </c:pt>
                <c:pt idx="67">
                  <c:v>1917.17</c:v>
                </c:pt>
                <c:pt idx="68">
                  <c:v>1918.17</c:v>
                </c:pt>
                <c:pt idx="69">
                  <c:v>1919.17</c:v>
                </c:pt>
                <c:pt idx="70">
                  <c:v>1920.17</c:v>
                </c:pt>
                <c:pt idx="71">
                  <c:v>1921.17</c:v>
                </c:pt>
                <c:pt idx="72">
                  <c:v>1922.17</c:v>
                </c:pt>
                <c:pt idx="73">
                  <c:v>1923.17</c:v>
                </c:pt>
                <c:pt idx="74">
                  <c:v>1924.17</c:v>
                </c:pt>
                <c:pt idx="75">
                  <c:v>1925.17</c:v>
                </c:pt>
                <c:pt idx="76">
                  <c:v>1926.17</c:v>
                </c:pt>
                <c:pt idx="77">
                  <c:v>1927.17</c:v>
                </c:pt>
                <c:pt idx="78">
                  <c:v>1928.17</c:v>
                </c:pt>
                <c:pt idx="79">
                  <c:v>1929.17</c:v>
                </c:pt>
                <c:pt idx="80">
                  <c:v>1930.17</c:v>
                </c:pt>
                <c:pt idx="81">
                  <c:v>1931.17</c:v>
                </c:pt>
                <c:pt idx="82">
                  <c:v>1932.17</c:v>
                </c:pt>
                <c:pt idx="83">
                  <c:v>1933.17</c:v>
                </c:pt>
                <c:pt idx="84">
                  <c:v>1934.17</c:v>
                </c:pt>
                <c:pt idx="85">
                  <c:v>1935.17</c:v>
                </c:pt>
                <c:pt idx="86">
                  <c:v>1936.17</c:v>
                </c:pt>
                <c:pt idx="87">
                  <c:v>1937.17</c:v>
                </c:pt>
                <c:pt idx="88">
                  <c:v>1938.17</c:v>
                </c:pt>
                <c:pt idx="89">
                  <c:v>1939.17</c:v>
                </c:pt>
                <c:pt idx="90">
                  <c:v>1940.17</c:v>
                </c:pt>
                <c:pt idx="91">
                  <c:v>1941.17</c:v>
                </c:pt>
                <c:pt idx="92">
                  <c:v>1942.17</c:v>
                </c:pt>
                <c:pt idx="93">
                  <c:v>1943.17</c:v>
                </c:pt>
                <c:pt idx="94">
                  <c:v>1944.17</c:v>
                </c:pt>
                <c:pt idx="95">
                  <c:v>1945.17</c:v>
                </c:pt>
                <c:pt idx="96">
                  <c:v>1946.17</c:v>
                </c:pt>
                <c:pt idx="97">
                  <c:v>1947.17</c:v>
                </c:pt>
                <c:pt idx="98">
                  <c:v>1948.17</c:v>
                </c:pt>
                <c:pt idx="99">
                  <c:v>1949.17</c:v>
                </c:pt>
                <c:pt idx="100">
                  <c:v>1950.17</c:v>
                </c:pt>
                <c:pt idx="101">
                  <c:v>1951.17</c:v>
                </c:pt>
                <c:pt idx="102">
                  <c:v>1952.17</c:v>
                </c:pt>
                <c:pt idx="103">
                  <c:v>1953.17</c:v>
                </c:pt>
                <c:pt idx="104">
                  <c:v>1954.17</c:v>
                </c:pt>
                <c:pt idx="105">
                  <c:v>1955.17</c:v>
                </c:pt>
                <c:pt idx="106">
                  <c:v>1956.17</c:v>
                </c:pt>
                <c:pt idx="107">
                  <c:v>1957.17</c:v>
                </c:pt>
                <c:pt idx="108">
                  <c:v>1958.17</c:v>
                </c:pt>
                <c:pt idx="109">
                  <c:v>1959.17</c:v>
                </c:pt>
                <c:pt idx="110">
                  <c:v>1960.17</c:v>
                </c:pt>
                <c:pt idx="111">
                  <c:v>1961.17</c:v>
                </c:pt>
                <c:pt idx="112">
                  <c:v>1962.17</c:v>
                </c:pt>
                <c:pt idx="113">
                  <c:v>1963.17</c:v>
                </c:pt>
                <c:pt idx="114">
                  <c:v>1964.17</c:v>
                </c:pt>
                <c:pt idx="115">
                  <c:v>1965.17</c:v>
                </c:pt>
                <c:pt idx="116">
                  <c:v>1966.17</c:v>
                </c:pt>
                <c:pt idx="117">
                  <c:v>1967.17</c:v>
                </c:pt>
                <c:pt idx="118">
                  <c:v>1968.17</c:v>
                </c:pt>
                <c:pt idx="119">
                  <c:v>1969.17</c:v>
                </c:pt>
                <c:pt idx="120">
                  <c:v>1970.17</c:v>
                </c:pt>
                <c:pt idx="121">
                  <c:v>1971.17</c:v>
                </c:pt>
                <c:pt idx="122">
                  <c:v>1972.17</c:v>
                </c:pt>
                <c:pt idx="123">
                  <c:v>1973.17</c:v>
                </c:pt>
                <c:pt idx="124">
                  <c:v>1974.17</c:v>
                </c:pt>
                <c:pt idx="125">
                  <c:v>1975.17</c:v>
                </c:pt>
                <c:pt idx="126">
                  <c:v>1976.17</c:v>
                </c:pt>
                <c:pt idx="127">
                  <c:v>1977.17</c:v>
                </c:pt>
                <c:pt idx="128">
                  <c:v>1978.17</c:v>
                </c:pt>
                <c:pt idx="129">
                  <c:v>1979.17</c:v>
                </c:pt>
                <c:pt idx="130">
                  <c:v>1980.17</c:v>
                </c:pt>
                <c:pt idx="131">
                  <c:v>1981.17</c:v>
                </c:pt>
                <c:pt idx="132">
                  <c:v>1982.17</c:v>
                </c:pt>
                <c:pt idx="133">
                  <c:v>1983.17</c:v>
                </c:pt>
                <c:pt idx="134">
                  <c:v>1984.17</c:v>
                </c:pt>
                <c:pt idx="135">
                  <c:v>1985.17</c:v>
                </c:pt>
                <c:pt idx="136">
                  <c:v>1986.17</c:v>
                </c:pt>
                <c:pt idx="137">
                  <c:v>1987.17</c:v>
                </c:pt>
                <c:pt idx="138">
                  <c:v>1988.17</c:v>
                </c:pt>
                <c:pt idx="139">
                  <c:v>1989.17</c:v>
                </c:pt>
                <c:pt idx="140">
                  <c:v>1990.17</c:v>
                </c:pt>
                <c:pt idx="141">
                  <c:v>1991.17</c:v>
                </c:pt>
                <c:pt idx="142">
                  <c:v>1992.17</c:v>
                </c:pt>
                <c:pt idx="143">
                  <c:v>1993.17</c:v>
                </c:pt>
                <c:pt idx="144">
                  <c:v>1994.17</c:v>
                </c:pt>
                <c:pt idx="145">
                  <c:v>1995.17</c:v>
                </c:pt>
                <c:pt idx="146">
                  <c:v>1996.17</c:v>
                </c:pt>
                <c:pt idx="147">
                  <c:v>1997.17</c:v>
                </c:pt>
                <c:pt idx="148">
                  <c:v>1998.17</c:v>
                </c:pt>
                <c:pt idx="149">
                  <c:v>1999.17</c:v>
                </c:pt>
                <c:pt idx="150">
                  <c:v>2000.17</c:v>
                </c:pt>
                <c:pt idx="151">
                  <c:v>2001.17</c:v>
                </c:pt>
                <c:pt idx="152">
                  <c:v>2002.17</c:v>
                </c:pt>
                <c:pt idx="153">
                  <c:v>2003.17</c:v>
                </c:pt>
                <c:pt idx="154">
                  <c:v>2004.17</c:v>
                </c:pt>
                <c:pt idx="155">
                  <c:v>2005.17</c:v>
                </c:pt>
                <c:pt idx="156">
                  <c:v>2006.17</c:v>
                </c:pt>
              </c:numCache>
            </c:numRef>
          </c:xVal>
          <c:yVal>
            <c:numRef>
              <c:f>'HAD global'!$D$16:$D$172</c:f>
              <c:numCache>
                <c:formatCode>General</c:formatCode>
                <c:ptCount val="157"/>
                <c:pt idx="0">
                  <c:v>-2.6303355E-2</c:v>
                </c:pt>
                <c:pt idx="1">
                  <c:v>-9.9016450000000006E-3</c:v>
                </c:pt>
                <c:pt idx="2">
                  <c:v>-0.10114000000000001</c:v>
                </c:pt>
                <c:pt idx="3">
                  <c:v>-0.18448105000000001</c:v>
                </c:pt>
                <c:pt idx="4">
                  <c:v>-0.21416395000000005</c:v>
                </c:pt>
                <c:pt idx="5">
                  <c:v>-0.25953395000000001</c:v>
                </c:pt>
                <c:pt idx="6">
                  <c:v>-0.30495854999999999</c:v>
                </c:pt>
                <c:pt idx="7">
                  <c:v>-0.29513250000000002</c:v>
                </c:pt>
                <c:pt idx="8">
                  <c:v>-0.32815250000000007</c:v>
                </c:pt>
                <c:pt idx="9">
                  <c:v>-0.29121105000000003</c:v>
                </c:pt>
                <c:pt idx="10">
                  <c:v>-0.350545</c:v>
                </c:pt>
                <c:pt idx="11">
                  <c:v>-0.32213999999999998</c:v>
                </c:pt>
                <c:pt idx="12">
                  <c:v>-0.30864144999999998</c:v>
                </c:pt>
                <c:pt idx="13">
                  <c:v>-0.28473250000000005</c:v>
                </c:pt>
                <c:pt idx="14">
                  <c:v>-0.29803605</c:v>
                </c:pt>
                <c:pt idx="15">
                  <c:v>-0.24461644999999999</c:v>
                </c:pt>
                <c:pt idx="16">
                  <c:v>-0.25458354999999999</c:v>
                </c:pt>
                <c:pt idx="17">
                  <c:v>-0.28499249999999998</c:v>
                </c:pt>
                <c:pt idx="18">
                  <c:v>-0.25477854999999999</c:v>
                </c:pt>
                <c:pt idx="19">
                  <c:v>-0.25703144999999999</c:v>
                </c:pt>
                <c:pt idx="20">
                  <c:v>-0.27425644999999998</c:v>
                </c:pt>
                <c:pt idx="21">
                  <c:v>-0.31900895000000007</c:v>
                </c:pt>
                <c:pt idx="22">
                  <c:v>-0.30184895</c:v>
                </c:pt>
                <c:pt idx="23">
                  <c:v>-0.30120999999999998</c:v>
                </c:pt>
                <c:pt idx="24">
                  <c:v>-0.26080144999999999</c:v>
                </c:pt>
                <c:pt idx="25">
                  <c:v>-0.26927355000000003</c:v>
                </c:pt>
                <c:pt idx="26">
                  <c:v>-0.20355855</c:v>
                </c:pt>
                <c:pt idx="27">
                  <c:v>-0.20051395</c:v>
                </c:pt>
                <c:pt idx="28">
                  <c:v>-0.20203104999999999</c:v>
                </c:pt>
                <c:pt idx="29">
                  <c:v>-0.26576355000000002</c:v>
                </c:pt>
                <c:pt idx="30">
                  <c:v>-0.28110354999999998</c:v>
                </c:pt>
                <c:pt idx="31">
                  <c:v>-0.32016855</c:v>
                </c:pt>
                <c:pt idx="32">
                  <c:v>-0.32869395000000001</c:v>
                </c:pt>
                <c:pt idx="33">
                  <c:v>-0.35858355000000003</c:v>
                </c:pt>
                <c:pt idx="34">
                  <c:v>-0.36638355</c:v>
                </c:pt>
                <c:pt idx="35">
                  <c:v>-0.32820644999999998</c:v>
                </c:pt>
                <c:pt idx="36">
                  <c:v>-0.30420000000000003</c:v>
                </c:pt>
                <c:pt idx="37">
                  <c:v>-0.31240105000000007</c:v>
                </c:pt>
                <c:pt idx="38">
                  <c:v>-0.32793605000000003</c:v>
                </c:pt>
                <c:pt idx="39">
                  <c:v>-0.34324354999999995</c:v>
                </c:pt>
                <c:pt idx="40">
                  <c:v>-0.36202855</c:v>
                </c:pt>
                <c:pt idx="41">
                  <c:v>-0.38112750000000006</c:v>
                </c:pt>
                <c:pt idx="42">
                  <c:v>-0.36084749999999999</c:v>
                </c:pt>
                <c:pt idx="43">
                  <c:v>-0.31963750000000002</c:v>
                </c:pt>
                <c:pt idx="44">
                  <c:v>-0.27777750000000001</c:v>
                </c:pt>
                <c:pt idx="45">
                  <c:v>-0.26046605</c:v>
                </c:pt>
                <c:pt idx="46">
                  <c:v>-0.21209499999999998</c:v>
                </c:pt>
                <c:pt idx="47">
                  <c:v>-0.18466500000000002</c:v>
                </c:pt>
                <c:pt idx="48">
                  <c:v>-0.19780605000000001</c:v>
                </c:pt>
                <c:pt idx="49">
                  <c:v>-0.20194394999999998</c:v>
                </c:pt>
                <c:pt idx="50">
                  <c:v>-0.22935250000000001</c:v>
                </c:pt>
                <c:pt idx="51">
                  <c:v>-0.2596425</c:v>
                </c:pt>
                <c:pt idx="52">
                  <c:v>-0.26457144999999999</c:v>
                </c:pt>
                <c:pt idx="53">
                  <c:v>-0.29053895000000002</c:v>
                </c:pt>
                <c:pt idx="54">
                  <c:v>-0.30017000000000005</c:v>
                </c:pt>
                <c:pt idx="55">
                  <c:v>-0.29046355000000001</c:v>
                </c:pt>
                <c:pt idx="56">
                  <c:v>-0.27889354999999999</c:v>
                </c:pt>
                <c:pt idx="57">
                  <c:v>-0.30591145000000003</c:v>
                </c:pt>
                <c:pt idx="58">
                  <c:v>-0.28697499999999998</c:v>
                </c:pt>
                <c:pt idx="59">
                  <c:v>-0.26764854999999999</c:v>
                </c:pt>
                <c:pt idx="60">
                  <c:v>-0.21974355000000001</c:v>
                </c:pt>
                <c:pt idx="61">
                  <c:v>-0.19357000000000002</c:v>
                </c:pt>
                <c:pt idx="62">
                  <c:v>-0.18468645000000003</c:v>
                </c:pt>
                <c:pt idx="63">
                  <c:v>-0.21209499999999998</c:v>
                </c:pt>
                <c:pt idx="64">
                  <c:v>-0.22730500000000001</c:v>
                </c:pt>
                <c:pt idx="65">
                  <c:v>-0.25663104999999997</c:v>
                </c:pt>
                <c:pt idx="66">
                  <c:v>-0.27437605000000004</c:v>
                </c:pt>
                <c:pt idx="67">
                  <c:v>-0.23890749999999999</c:v>
                </c:pt>
                <c:pt idx="68">
                  <c:v>-0.18396105000000001</c:v>
                </c:pt>
                <c:pt idx="69">
                  <c:v>-0.15765750000000001</c:v>
                </c:pt>
                <c:pt idx="70">
                  <c:v>-0.16009499999999999</c:v>
                </c:pt>
                <c:pt idx="71">
                  <c:v>-0.15136355000000001</c:v>
                </c:pt>
                <c:pt idx="72">
                  <c:v>-0.14681355000000001</c:v>
                </c:pt>
                <c:pt idx="73">
                  <c:v>-0.14258855000000001</c:v>
                </c:pt>
                <c:pt idx="74">
                  <c:v>-0.13036855</c:v>
                </c:pt>
                <c:pt idx="75">
                  <c:v>-0.14399645</c:v>
                </c:pt>
                <c:pt idx="76">
                  <c:v>-0.12972895000000001</c:v>
                </c:pt>
                <c:pt idx="77">
                  <c:v>-0.13284895000000002</c:v>
                </c:pt>
                <c:pt idx="78">
                  <c:v>-0.11172395000000002</c:v>
                </c:pt>
                <c:pt idx="79">
                  <c:v>-0.13185249999999998</c:v>
                </c:pt>
                <c:pt idx="80">
                  <c:v>-7.4587500000000001E-2</c:v>
                </c:pt>
                <c:pt idx="81">
                  <c:v>-8.0686449999999993E-2</c:v>
                </c:pt>
                <c:pt idx="82">
                  <c:v>-8.2366049999999996E-2</c:v>
                </c:pt>
                <c:pt idx="83">
                  <c:v>-7.7436450000000004E-2</c:v>
                </c:pt>
                <c:pt idx="84">
                  <c:v>-1.5004145E-2</c:v>
                </c:pt>
                <c:pt idx="85">
                  <c:v>-1.2046645E-2</c:v>
                </c:pt>
                <c:pt idx="86">
                  <c:v>3.2933355000000003E-3</c:v>
                </c:pt>
                <c:pt idx="87">
                  <c:v>1.1071645000000001E-2</c:v>
                </c:pt>
                <c:pt idx="88">
                  <c:v>9.555000000000001E-3</c:v>
                </c:pt>
                <c:pt idx="89">
                  <c:v>-9.0783549999999998E-3</c:v>
                </c:pt>
                <c:pt idx="90">
                  <c:v>4.0841645000000001E-3</c:v>
                </c:pt>
                <c:pt idx="91">
                  <c:v>-7.106645E-3</c:v>
                </c:pt>
                <c:pt idx="92">
                  <c:v>-1.0497500000000002E-2</c:v>
                </c:pt>
                <c:pt idx="93">
                  <c:v>-6.1425000000000004E-3</c:v>
                </c:pt>
                <c:pt idx="94">
                  <c:v>-8.6775000000000012E-3</c:v>
                </c:pt>
                <c:pt idx="95">
                  <c:v>-3.7873354999999997E-2</c:v>
                </c:pt>
                <c:pt idx="96">
                  <c:v>-6.1522500000000001E-2</c:v>
                </c:pt>
                <c:pt idx="97">
                  <c:v>-6.5986050000000004E-2</c:v>
                </c:pt>
                <c:pt idx="98">
                  <c:v>-7.3428550000000009E-2</c:v>
                </c:pt>
                <c:pt idx="99">
                  <c:v>-5.8814144999999998E-2</c:v>
                </c:pt>
                <c:pt idx="100">
                  <c:v>-6.4566645000000006E-2</c:v>
                </c:pt>
                <c:pt idx="101">
                  <c:v>-4.9562500000000002E-2</c:v>
                </c:pt>
                <c:pt idx="102">
                  <c:v>-8.9971050000000011E-2</c:v>
                </c:pt>
                <c:pt idx="103">
                  <c:v>-9.0393549999999989E-2</c:v>
                </c:pt>
                <c:pt idx="104">
                  <c:v>-0.10043605</c:v>
                </c:pt>
                <c:pt idx="105">
                  <c:v>-7.8736450000000013E-2</c:v>
                </c:pt>
                <c:pt idx="106">
                  <c:v>-6.4436644999999987E-2</c:v>
                </c:pt>
                <c:pt idx="107">
                  <c:v>-5.2325000000000002E-3</c:v>
                </c:pt>
                <c:pt idx="108">
                  <c:v>7.2908550000000006E-3</c:v>
                </c:pt>
                <c:pt idx="109">
                  <c:v>4.4091644999999999E-3</c:v>
                </c:pt>
                <c:pt idx="110">
                  <c:v>-3.5522499999999999E-2</c:v>
                </c:pt>
                <c:pt idx="111">
                  <c:v>-5.585664500000001E-2</c:v>
                </c:pt>
                <c:pt idx="112">
                  <c:v>-8.1141450000000004E-2</c:v>
                </c:pt>
                <c:pt idx="113">
                  <c:v>-9.7565000000000013E-2</c:v>
                </c:pt>
                <c:pt idx="114">
                  <c:v>-0.12686894999999998</c:v>
                </c:pt>
                <c:pt idx="115">
                  <c:v>-0.10720645000000001</c:v>
                </c:pt>
                <c:pt idx="116">
                  <c:v>-8.6136049999999992E-2</c:v>
                </c:pt>
                <c:pt idx="117">
                  <c:v>-9.1563549999999994E-2</c:v>
                </c:pt>
                <c:pt idx="118">
                  <c:v>-0.10939500000000001</c:v>
                </c:pt>
                <c:pt idx="119">
                  <c:v>-6.6408549999999997E-2</c:v>
                </c:pt>
                <c:pt idx="120">
                  <c:v>-8.4121050000000003E-2</c:v>
                </c:pt>
                <c:pt idx="121">
                  <c:v>-8.2733950000000001E-2</c:v>
                </c:pt>
                <c:pt idx="122">
                  <c:v>-0.10226645000000001</c:v>
                </c:pt>
                <c:pt idx="123">
                  <c:v>-6.1663355000000003E-2</c:v>
                </c:pt>
                <c:pt idx="124">
                  <c:v>-8.4163949999999987E-2</c:v>
                </c:pt>
                <c:pt idx="125">
                  <c:v>-4.2954144999999999E-2</c:v>
                </c:pt>
                <c:pt idx="126">
                  <c:v>-1.8525E-2</c:v>
                </c:pt>
                <c:pt idx="127">
                  <c:v>6.6776450000000001E-2</c:v>
                </c:pt>
                <c:pt idx="128">
                  <c:v>5.7449145E-2</c:v>
                </c:pt>
                <c:pt idx="129">
                  <c:v>0.10587395000000001</c:v>
                </c:pt>
                <c:pt idx="130">
                  <c:v>9.5398550000000013E-2</c:v>
                </c:pt>
                <c:pt idx="131">
                  <c:v>7.5172500000000003E-2</c:v>
                </c:pt>
                <c:pt idx="132">
                  <c:v>5.0537499999999999E-2</c:v>
                </c:pt>
                <c:pt idx="133">
                  <c:v>8.156395000000001E-2</c:v>
                </c:pt>
                <c:pt idx="134">
                  <c:v>8.7543950000000009E-2</c:v>
                </c:pt>
                <c:pt idx="135">
                  <c:v>0.12601355</c:v>
                </c:pt>
                <c:pt idx="136">
                  <c:v>0.19173895000000002</c:v>
                </c:pt>
                <c:pt idx="137">
                  <c:v>0.22645999999999999</c:v>
                </c:pt>
                <c:pt idx="138">
                  <c:v>0.20896395000000001</c:v>
                </c:pt>
                <c:pt idx="139">
                  <c:v>0.18556395000000001</c:v>
                </c:pt>
                <c:pt idx="140">
                  <c:v>0.19708000000000003</c:v>
                </c:pt>
                <c:pt idx="141">
                  <c:v>0.21037250000000002</c:v>
                </c:pt>
                <c:pt idx="142">
                  <c:v>0.18988644999999998</c:v>
                </c:pt>
                <c:pt idx="143">
                  <c:v>0.24379355</c:v>
                </c:pt>
                <c:pt idx="144">
                  <c:v>0.32275750000000003</c:v>
                </c:pt>
                <c:pt idx="145">
                  <c:v>0.35082645000000001</c:v>
                </c:pt>
                <c:pt idx="146">
                  <c:v>0.33823855000000003</c:v>
                </c:pt>
                <c:pt idx="147">
                  <c:v>0.39424645000000003</c:v>
                </c:pt>
                <c:pt idx="148">
                  <c:v>0.42577145</c:v>
                </c:pt>
                <c:pt idx="149">
                  <c:v>0.41982395</c:v>
                </c:pt>
                <c:pt idx="150">
                  <c:v>0.43453605000000006</c:v>
                </c:pt>
                <c:pt idx="151">
                  <c:v>0.48317749999999998</c:v>
                </c:pt>
                <c:pt idx="152">
                  <c:v>0.50168104999999996</c:v>
                </c:pt>
                <c:pt idx="153">
                  <c:v>0.51911145000000003</c:v>
                </c:pt>
                <c:pt idx="154">
                  <c:v>0.5125464500000001</c:v>
                </c:pt>
                <c:pt idx="155">
                  <c:v>0.51970749999999999</c:v>
                </c:pt>
                <c:pt idx="156">
                  <c:v>0.52004355000000002</c:v>
                </c:pt>
              </c:numCache>
            </c:numRef>
          </c:yVal>
        </c:ser>
        <c:axId val="298949248"/>
        <c:axId val="298946944"/>
      </c:scatterChart>
      <c:valAx>
        <c:axId val="298949248"/>
        <c:scaling>
          <c:orientation val="minMax"/>
          <c:max val="2010"/>
          <c:min val="1850"/>
        </c:scaling>
        <c:axPos val="b"/>
        <c:majorGridlines>
          <c:spPr>
            <a:ln>
              <a:solidFill>
                <a:sysClr val="window" lastClr="FFFFFF">
                  <a:lumMod val="85000"/>
                </a:sys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>
            <c:manualLayout>
              <c:xMode val="edge"/>
              <c:yMode val="edge"/>
              <c:x val="0.45469019193836407"/>
              <c:y val="0.94565122049284822"/>
            </c:manualLayout>
          </c:layout>
        </c:title>
        <c:numFmt formatCode="General" sourceLinked="1"/>
        <c:tickLblPos val="nextTo"/>
        <c:crossAx val="298946944"/>
        <c:crossesAt val="-1"/>
        <c:crossBetween val="midCat"/>
      </c:valAx>
      <c:valAx>
        <c:axId val="298946944"/>
        <c:scaling>
          <c:orientation val="minMax"/>
        </c:scaling>
        <c:axPos val="l"/>
        <c:majorGridlines>
          <c:spPr>
            <a:ln>
              <a:solidFill>
                <a:sysClr val="window" lastClr="FFFFFF">
                  <a:lumMod val="85000"/>
                </a:sys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Temperature Anomaly (C)</a:t>
                </a:r>
              </a:p>
            </c:rich>
          </c:tx>
          <c:layout>
            <c:manualLayout>
              <c:xMode val="edge"/>
              <c:yMode val="edge"/>
              <c:x val="7.467581222782382E-3"/>
              <c:y val="0.24343743128365639"/>
            </c:manualLayout>
          </c:layout>
        </c:title>
        <c:numFmt formatCode="General" sourceLinked="1"/>
        <c:tickLblPos val="nextTo"/>
        <c:crossAx val="29894924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42407152356757022"/>
          <c:y val="0.10275220944975461"/>
          <c:w val="0.42138987791513965"/>
          <c:h val="0.24798237118755878"/>
        </c:manualLayout>
      </c:layout>
      <c:txPr>
        <a:bodyPr/>
        <a:lstStyle/>
        <a:p>
          <a:pPr>
            <a:defRPr b="1"/>
          </a:pPr>
          <a:endParaRPr lang="en-US"/>
        </a:p>
      </c:txPr>
    </c:legend>
    <c:plotVisOnly val="1"/>
  </c:chart>
  <c:spPr>
    <a:solidFill>
      <a:srgbClr val="EBF6F9"/>
    </a:solidFill>
  </c:spPr>
  <c:txPr>
    <a:bodyPr/>
    <a:lstStyle/>
    <a:p>
      <a:pPr>
        <a:defRPr sz="16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Land offset +0.1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79757477171640967"/>
          <c:y val="0.28706326723323888"/>
        </c:manualLayout>
      </c:layout>
      <c:overlay val="1"/>
    </c:title>
    <c:plotArea>
      <c:layout/>
      <c:scatterChart>
        <c:scatterStyle val="lineMarker"/>
        <c:ser>
          <c:idx val="0"/>
          <c:order val="0"/>
          <c:tx>
            <c:strRef>
              <c:f>'with offset'!$B$16</c:f>
              <c:strCache>
                <c:ptCount val="1"/>
                <c:pt idx="0">
                  <c:v>Composed Land +Ocean</c:v>
                </c:pt>
              </c:strCache>
            </c:strRef>
          </c:tx>
          <c:marker>
            <c:symbol val="none"/>
          </c:marker>
          <c:xVal>
            <c:numRef>
              <c:f>'with offset'!$A$17:$A$173</c:f>
              <c:numCache>
                <c:formatCode>General</c:formatCode>
                <c:ptCount val="157"/>
                <c:pt idx="0">
                  <c:v>1850.17</c:v>
                </c:pt>
                <c:pt idx="1">
                  <c:v>1851.17</c:v>
                </c:pt>
                <c:pt idx="2">
                  <c:v>1852.17</c:v>
                </c:pt>
                <c:pt idx="3">
                  <c:v>1853.17</c:v>
                </c:pt>
                <c:pt idx="4">
                  <c:v>1854.17</c:v>
                </c:pt>
                <c:pt idx="5">
                  <c:v>1855.17</c:v>
                </c:pt>
                <c:pt idx="6">
                  <c:v>1856.17</c:v>
                </c:pt>
                <c:pt idx="7">
                  <c:v>1857.17</c:v>
                </c:pt>
                <c:pt idx="8">
                  <c:v>1858.17</c:v>
                </c:pt>
                <c:pt idx="9">
                  <c:v>1859.17</c:v>
                </c:pt>
                <c:pt idx="10">
                  <c:v>1860.17</c:v>
                </c:pt>
                <c:pt idx="11">
                  <c:v>1861.17</c:v>
                </c:pt>
                <c:pt idx="12">
                  <c:v>1862.17</c:v>
                </c:pt>
                <c:pt idx="13">
                  <c:v>1863.17</c:v>
                </c:pt>
                <c:pt idx="14">
                  <c:v>1864.17</c:v>
                </c:pt>
                <c:pt idx="15">
                  <c:v>1865.17</c:v>
                </c:pt>
                <c:pt idx="16">
                  <c:v>1866.17</c:v>
                </c:pt>
                <c:pt idx="17">
                  <c:v>1867.17</c:v>
                </c:pt>
                <c:pt idx="18">
                  <c:v>1868.17</c:v>
                </c:pt>
                <c:pt idx="19">
                  <c:v>1869.17</c:v>
                </c:pt>
                <c:pt idx="20">
                  <c:v>1870.17</c:v>
                </c:pt>
                <c:pt idx="21">
                  <c:v>1871.17</c:v>
                </c:pt>
                <c:pt idx="22">
                  <c:v>1872.17</c:v>
                </c:pt>
                <c:pt idx="23">
                  <c:v>1873.17</c:v>
                </c:pt>
                <c:pt idx="24">
                  <c:v>1874.17</c:v>
                </c:pt>
                <c:pt idx="25">
                  <c:v>1875.17</c:v>
                </c:pt>
                <c:pt idx="26">
                  <c:v>1876.17</c:v>
                </c:pt>
                <c:pt idx="27">
                  <c:v>1877.17</c:v>
                </c:pt>
                <c:pt idx="28">
                  <c:v>1878.17</c:v>
                </c:pt>
                <c:pt idx="29">
                  <c:v>1879.17</c:v>
                </c:pt>
                <c:pt idx="30">
                  <c:v>1880.17</c:v>
                </c:pt>
                <c:pt idx="31">
                  <c:v>1881.17</c:v>
                </c:pt>
                <c:pt idx="32">
                  <c:v>1882.17</c:v>
                </c:pt>
                <c:pt idx="33">
                  <c:v>1883.17</c:v>
                </c:pt>
                <c:pt idx="34">
                  <c:v>1884.17</c:v>
                </c:pt>
                <c:pt idx="35">
                  <c:v>1885.17</c:v>
                </c:pt>
                <c:pt idx="36">
                  <c:v>1886.17</c:v>
                </c:pt>
                <c:pt idx="37">
                  <c:v>1887.17</c:v>
                </c:pt>
                <c:pt idx="38">
                  <c:v>1888.17</c:v>
                </c:pt>
                <c:pt idx="39">
                  <c:v>1889.17</c:v>
                </c:pt>
                <c:pt idx="40">
                  <c:v>1890.17</c:v>
                </c:pt>
                <c:pt idx="41">
                  <c:v>1891.17</c:v>
                </c:pt>
                <c:pt idx="42">
                  <c:v>1892.17</c:v>
                </c:pt>
                <c:pt idx="43">
                  <c:v>1893.17</c:v>
                </c:pt>
                <c:pt idx="44">
                  <c:v>1894.17</c:v>
                </c:pt>
                <c:pt idx="45">
                  <c:v>1895.17</c:v>
                </c:pt>
                <c:pt idx="46">
                  <c:v>1896.17</c:v>
                </c:pt>
                <c:pt idx="47">
                  <c:v>1897.17</c:v>
                </c:pt>
                <c:pt idx="48">
                  <c:v>1898.17</c:v>
                </c:pt>
                <c:pt idx="49">
                  <c:v>1899.17</c:v>
                </c:pt>
                <c:pt idx="50">
                  <c:v>1900.17</c:v>
                </c:pt>
                <c:pt idx="51">
                  <c:v>1901.17</c:v>
                </c:pt>
                <c:pt idx="52">
                  <c:v>1902.17</c:v>
                </c:pt>
                <c:pt idx="53">
                  <c:v>1903.17</c:v>
                </c:pt>
                <c:pt idx="54">
                  <c:v>1904.17</c:v>
                </c:pt>
                <c:pt idx="55">
                  <c:v>1905.17</c:v>
                </c:pt>
                <c:pt idx="56">
                  <c:v>1906.17</c:v>
                </c:pt>
                <c:pt idx="57">
                  <c:v>1907.17</c:v>
                </c:pt>
                <c:pt idx="58">
                  <c:v>1908.17</c:v>
                </c:pt>
                <c:pt idx="59">
                  <c:v>1909.17</c:v>
                </c:pt>
                <c:pt idx="60">
                  <c:v>1910.17</c:v>
                </c:pt>
                <c:pt idx="61">
                  <c:v>1911.17</c:v>
                </c:pt>
                <c:pt idx="62">
                  <c:v>1912.17</c:v>
                </c:pt>
                <c:pt idx="63">
                  <c:v>1913.17</c:v>
                </c:pt>
                <c:pt idx="64">
                  <c:v>1914.17</c:v>
                </c:pt>
                <c:pt idx="65">
                  <c:v>1915.17</c:v>
                </c:pt>
                <c:pt idx="66">
                  <c:v>1916.17</c:v>
                </c:pt>
                <c:pt idx="67">
                  <c:v>1917.17</c:v>
                </c:pt>
                <c:pt idx="68">
                  <c:v>1918.17</c:v>
                </c:pt>
                <c:pt idx="69">
                  <c:v>1919.17</c:v>
                </c:pt>
                <c:pt idx="70">
                  <c:v>1920.17</c:v>
                </c:pt>
                <c:pt idx="71">
                  <c:v>1921.17</c:v>
                </c:pt>
                <c:pt idx="72">
                  <c:v>1922.17</c:v>
                </c:pt>
                <c:pt idx="73">
                  <c:v>1923.17</c:v>
                </c:pt>
                <c:pt idx="74">
                  <c:v>1924.17</c:v>
                </c:pt>
                <c:pt idx="75">
                  <c:v>1925.17</c:v>
                </c:pt>
                <c:pt idx="76">
                  <c:v>1926.17</c:v>
                </c:pt>
                <c:pt idx="77">
                  <c:v>1927.17</c:v>
                </c:pt>
                <c:pt idx="78">
                  <c:v>1928.17</c:v>
                </c:pt>
                <c:pt idx="79">
                  <c:v>1929.17</c:v>
                </c:pt>
                <c:pt idx="80">
                  <c:v>1930.17</c:v>
                </c:pt>
                <c:pt idx="81">
                  <c:v>1931.17</c:v>
                </c:pt>
                <c:pt idx="82">
                  <c:v>1932.17</c:v>
                </c:pt>
                <c:pt idx="83">
                  <c:v>1933.17</c:v>
                </c:pt>
                <c:pt idx="84">
                  <c:v>1934.17</c:v>
                </c:pt>
                <c:pt idx="85">
                  <c:v>1935.17</c:v>
                </c:pt>
                <c:pt idx="86">
                  <c:v>1936.17</c:v>
                </c:pt>
                <c:pt idx="87">
                  <c:v>1937.17</c:v>
                </c:pt>
                <c:pt idx="88">
                  <c:v>1938.17</c:v>
                </c:pt>
                <c:pt idx="89">
                  <c:v>1939.17</c:v>
                </c:pt>
                <c:pt idx="90">
                  <c:v>1940.17</c:v>
                </c:pt>
                <c:pt idx="91">
                  <c:v>1941.17</c:v>
                </c:pt>
                <c:pt idx="92">
                  <c:v>1942.17</c:v>
                </c:pt>
                <c:pt idx="93">
                  <c:v>1943.17</c:v>
                </c:pt>
                <c:pt idx="94">
                  <c:v>1944.17</c:v>
                </c:pt>
                <c:pt idx="95">
                  <c:v>1945.17</c:v>
                </c:pt>
                <c:pt idx="96">
                  <c:v>1946.17</c:v>
                </c:pt>
                <c:pt idx="97">
                  <c:v>1947.17</c:v>
                </c:pt>
                <c:pt idx="98">
                  <c:v>1948.17</c:v>
                </c:pt>
                <c:pt idx="99">
                  <c:v>1949.17</c:v>
                </c:pt>
                <c:pt idx="100">
                  <c:v>1950.17</c:v>
                </c:pt>
                <c:pt idx="101">
                  <c:v>1951.17</c:v>
                </c:pt>
                <c:pt idx="102">
                  <c:v>1952.17</c:v>
                </c:pt>
                <c:pt idx="103">
                  <c:v>1953.17</c:v>
                </c:pt>
                <c:pt idx="104">
                  <c:v>1954.17</c:v>
                </c:pt>
                <c:pt idx="105">
                  <c:v>1955.17</c:v>
                </c:pt>
                <c:pt idx="106">
                  <c:v>1956.17</c:v>
                </c:pt>
                <c:pt idx="107">
                  <c:v>1957.17</c:v>
                </c:pt>
                <c:pt idx="108">
                  <c:v>1958.17</c:v>
                </c:pt>
                <c:pt idx="109">
                  <c:v>1959.17</c:v>
                </c:pt>
                <c:pt idx="110">
                  <c:v>1960.17</c:v>
                </c:pt>
                <c:pt idx="111">
                  <c:v>1961.17</c:v>
                </c:pt>
                <c:pt idx="112">
                  <c:v>1962.17</c:v>
                </c:pt>
                <c:pt idx="113">
                  <c:v>1963.17</c:v>
                </c:pt>
                <c:pt idx="114">
                  <c:v>1964.17</c:v>
                </c:pt>
                <c:pt idx="115">
                  <c:v>1965.17</c:v>
                </c:pt>
                <c:pt idx="116">
                  <c:v>1966.17</c:v>
                </c:pt>
                <c:pt idx="117">
                  <c:v>1967.17</c:v>
                </c:pt>
                <c:pt idx="118">
                  <c:v>1968.17</c:v>
                </c:pt>
                <c:pt idx="119">
                  <c:v>1969.17</c:v>
                </c:pt>
                <c:pt idx="120">
                  <c:v>1970.17</c:v>
                </c:pt>
                <c:pt idx="121">
                  <c:v>1971.17</c:v>
                </c:pt>
                <c:pt idx="122">
                  <c:v>1972.17</c:v>
                </c:pt>
                <c:pt idx="123">
                  <c:v>1973.17</c:v>
                </c:pt>
                <c:pt idx="124">
                  <c:v>1974.17</c:v>
                </c:pt>
                <c:pt idx="125">
                  <c:v>1975.17</c:v>
                </c:pt>
                <c:pt idx="126">
                  <c:v>1976.17</c:v>
                </c:pt>
                <c:pt idx="127">
                  <c:v>1977.17</c:v>
                </c:pt>
                <c:pt idx="128">
                  <c:v>1978.17</c:v>
                </c:pt>
                <c:pt idx="129">
                  <c:v>1979.17</c:v>
                </c:pt>
                <c:pt idx="130">
                  <c:v>1980.17</c:v>
                </c:pt>
                <c:pt idx="131">
                  <c:v>1981.17</c:v>
                </c:pt>
                <c:pt idx="132">
                  <c:v>1982.17</c:v>
                </c:pt>
                <c:pt idx="133">
                  <c:v>1983.17</c:v>
                </c:pt>
                <c:pt idx="134">
                  <c:v>1984.17</c:v>
                </c:pt>
                <c:pt idx="135">
                  <c:v>1985.17</c:v>
                </c:pt>
                <c:pt idx="136">
                  <c:v>1986.17</c:v>
                </c:pt>
                <c:pt idx="137">
                  <c:v>1987.17</c:v>
                </c:pt>
                <c:pt idx="138">
                  <c:v>1988.17</c:v>
                </c:pt>
                <c:pt idx="139">
                  <c:v>1989.17</c:v>
                </c:pt>
                <c:pt idx="140">
                  <c:v>1990.17</c:v>
                </c:pt>
                <c:pt idx="141">
                  <c:v>1991.17</c:v>
                </c:pt>
                <c:pt idx="142">
                  <c:v>1992.17</c:v>
                </c:pt>
                <c:pt idx="143">
                  <c:v>1993.17</c:v>
                </c:pt>
                <c:pt idx="144">
                  <c:v>1994.17</c:v>
                </c:pt>
                <c:pt idx="145">
                  <c:v>1995.17</c:v>
                </c:pt>
                <c:pt idx="146">
                  <c:v>1996.17</c:v>
                </c:pt>
                <c:pt idx="147">
                  <c:v>1997.17</c:v>
                </c:pt>
                <c:pt idx="148">
                  <c:v>1998.17</c:v>
                </c:pt>
                <c:pt idx="149">
                  <c:v>1999.17</c:v>
                </c:pt>
                <c:pt idx="150">
                  <c:v>2000.17</c:v>
                </c:pt>
                <c:pt idx="151">
                  <c:v>2001.17</c:v>
                </c:pt>
                <c:pt idx="152">
                  <c:v>2002.17</c:v>
                </c:pt>
                <c:pt idx="153">
                  <c:v>2003.17</c:v>
                </c:pt>
                <c:pt idx="154">
                  <c:v>2004.17</c:v>
                </c:pt>
                <c:pt idx="155">
                  <c:v>2005.17</c:v>
                </c:pt>
                <c:pt idx="156">
                  <c:v>2006.17</c:v>
                </c:pt>
              </c:numCache>
            </c:numRef>
          </c:xVal>
          <c:yVal>
            <c:numRef>
              <c:f>'with offset'!$B$17:$B$173</c:f>
              <c:numCache>
                <c:formatCode>General</c:formatCode>
                <c:ptCount val="157"/>
                <c:pt idx="0">
                  <c:v>-0.21402690999999999</c:v>
                </c:pt>
                <c:pt idx="1">
                  <c:v>-0.18817498999999996</c:v>
                </c:pt>
                <c:pt idx="2">
                  <c:v>-0.24263999999999997</c:v>
                </c:pt>
                <c:pt idx="3">
                  <c:v>-0.3119401</c:v>
                </c:pt>
                <c:pt idx="4">
                  <c:v>-0.35610179999999997</c:v>
                </c:pt>
                <c:pt idx="5">
                  <c:v>-0.38748300000000002</c:v>
                </c:pt>
                <c:pt idx="6">
                  <c:v>-0.41178510000000002</c:v>
                </c:pt>
                <c:pt idx="7">
                  <c:v>-0.411275</c:v>
                </c:pt>
                <c:pt idx="8">
                  <c:v>-0.42464809999999997</c:v>
                </c:pt>
                <c:pt idx="9">
                  <c:v>-0.39620009999999994</c:v>
                </c:pt>
                <c:pt idx="10">
                  <c:v>-0.4233981</c:v>
                </c:pt>
                <c:pt idx="11">
                  <c:v>-0.40191189999999999</c:v>
                </c:pt>
                <c:pt idx="12">
                  <c:v>-0.37440180000000001</c:v>
                </c:pt>
                <c:pt idx="13">
                  <c:v>-0.32631309999999997</c:v>
                </c:pt>
                <c:pt idx="14">
                  <c:v>-0.29669509999999999</c:v>
                </c:pt>
                <c:pt idx="15">
                  <c:v>-0.254388</c:v>
                </c:pt>
                <c:pt idx="16">
                  <c:v>-0.25610699999999997</c:v>
                </c:pt>
                <c:pt idx="17">
                  <c:v>-0.27056189999999997</c:v>
                </c:pt>
                <c:pt idx="18">
                  <c:v>-0.26418819999999998</c:v>
                </c:pt>
                <c:pt idx="19">
                  <c:v>-0.28447800000000001</c:v>
                </c:pt>
                <c:pt idx="20">
                  <c:v>-0.31110680000000002</c:v>
                </c:pt>
                <c:pt idx="21">
                  <c:v>-0.33969489999999997</c:v>
                </c:pt>
                <c:pt idx="22">
                  <c:v>-0.34923989999999999</c:v>
                </c:pt>
                <c:pt idx="23">
                  <c:v>-0.31763189999999997</c:v>
                </c:pt>
                <c:pt idx="24">
                  <c:v>-0.25273489999999998</c:v>
                </c:pt>
                <c:pt idx="25">
                  <c:v>-0.23299700000000001</c:v>
                </c:pt>
                <c:pt idx="26">
                  <c:v>-0.19625009999999998</c:v>
                </c:pt>
                <c:pt idx="27">
                  <c:v>-0.16997180000000001</c:v>
                </c:pt>
                <c:pt idx="28">
                  <c:v>-0.20049199999999998</c:v>
                </c:pt>
                <c:pt idx="29">
                  <c:v>-0.26658700000000002</c:v>
                </c:pt>
                <c:pt idx="30">
                  <c:v>-0.284132</c:v>
                </c:pt>
                <c:pt idx="31">
                  <c:v>-0.30938319999999997</c:v>
                </c:pt>
                <c:pt idx="32">
                  <c:v>-0.31376179999999998</c:v>
                </c:pt>
                <c:pt idx="33">
                  <c:v>-0.33844199999999997</c:v>
                </c:pt>
                <c:pt idx="34">
                  <c:v>-0.34086320000000003</c:v>
                </c:pt>
                <c:pt idx="35">
                  <c:v>-0.30118179999999994</c:v>
                </c:pt>
                <c:pt idx="36">
                  <c:v>-0.3106469</c:v>
                </c:pt>
                <c:pt idx="37">
                  <c:v>-0.32700819999999997</c:v>
                </c:pt>
                <c:pt idx="38">
                  <c:v>-0.34763009999999994</c:v>
                </c:pt>
                <c:pt idx="39">
                  <c:v>-0.37839009999999995</c:v>
                </c:pt>
                <c:pt idx="40">
                  <c:v>-0.42901319999999998</c:v>
                </c:pt>
                <c:pt idx="41">
                  <c:v>-0.42399189999999998</c:v>
                </c:pt>
                <c:pt idx="42">
                  <c:v>-0.39316499999999999</c:v>
                </c:pt>
                <c:pt idx="43">
                  <c:v>-0.34096499999999996</c:v>
                </c:pt>
                <c:pt idx="44">
                  <c:v>-0.32228689999999993</c:v>
                </c:pt>
                <c:pt idx="45">
                  <c:v>-0.29334320000000003</c:v>
                </c:pt>
                <c:pt idx="46">
                  <c:v>-0.25420689999999996</c:v>
                </c:pt>
                <c:pt idx="47">
                  <c:v>-0.2688931</c:v>
                </c:pt>
                <c:pt idx="48">
                  <c:v>-0.30664509999999995</c:v>
                </c:pt>
                <c:pt idx="49">
                  <c:v>-0.32397799999999999</c:v>
                </c:pt>
                <c:pt idx="50">
                  <c:v>-0.37148809999999999</c:v>
                </c:pt>
                <c:pt idx="51">
                  <c:v>-0.4126281</c:v>
                </c:pt>
                <c:pt idx="52">
                  <c:v>-0.41780799999999996</c:v>
                </c:pt>
                <c:pt idx="53">
                  <c:v>-0.43400489999999997</c:v>
                </c:pt>
                <c:pt idx="54">
                  <c:v>-0.44400309999999998</c:v>
                </c:pt>
                <c:pt idx="55">
                  <c:v>-0.44308199999999998</c:v>
                </c:pt>
                <c:pt idx="56">
                  <c:v>-0.46489009999999997</c:v>
                </c:pt>
                <c:pt idx="57">
                  <c:v>-0.50800800000000002</c:v>
                </c:pt>
                <c:pt idx="58">
                  <c:v>-0.50090190000000001</c:v>
                </c:pt>
                <c:pt idx="59">
                  <c:v>-0.48436319999999994</c:v>
                </c:pt>
                <c:pt idx="60">
                  <c:v>-0.42996009999999996</c:v>
                </c:pt>
                <c:pt idx="61">
                  <c:v>-0.36682690000000001</c:v>
                </c:pt>
                <c:pt idx="62">
                  <c:v>-0.34209990000000001</c:v>
                </c:pt>
                <c:pt idx="63">
                  <c:v>-0.35037499999999999</c:v>
                </c:pt>
                <c:pt idx="64">
                  <c:v>-0.33558999999999994</c:v>
                </c:pt>
                <c:pt idx="65">
                  <c:v>-0.34918319999999997</c:v>
                </c:pt>
                <c:pt idx="66">
                  <c:v>-0.36729009999999995</c:v>
                </c:pt>
                <c:pt idx="67">
                  <c:v>-0.33353690000000003</c:v>
                </c:pt>
                <c:pt idx="68">
                  <c:v>-0.3040001</c:v>
                </c:pt>
                <c:pt idx="69">
                  <c:v>-0.29342309999999999</c:v>
                </c:pt>
                <c:pt idx="70">
                  <c:v>-0.29376689999999994</c:v>
                </c:pt>
                <c:pt idx="71">
                  <c:v>-0.28897819999999996</c:v>
                </c:pt>
                <c:pt idx="72">
                  <c:v>-0.26836319999999997</c:v>
                </c:pt>
                <c:pt idx="73">
                  <c:v>-0.24233319999999997</c:v>
                </c:pt>
                <c:pt idx="74">
                  <c:v>-0.2212701</c:v>
                </c:pt>
                <c:pt idx="75">
                  <c:v>-0.22425799999999999</c:v>
                </c:pt>
                <c:pt idx="76">
                  <c:v>-0.19751308999999997</c:v>
                </c:pt>
                <c:pt idx="77">
                  <c:v>-0.1920818</c:v>
                </c:pt>
                <c:pt idx="78">
                  <c:v>-0.17453809000000001</c:v>
                </c:pt>
                <c:pt idx="79">
                  <c:v>-0.18469189999999996</c:v>
                </c:pt>
                <c:pt idx="80">
                  <c:v>-0.14113500000000001</c:v>
                </c:pt>
                <c:pt idx="81">
                  <c:v>-0.14628309</c:v>
                </c:pt>
                <c:pt idx="82">
                  <c:v>-0.14934500999999997</c:v>
                </c:pt>
                <c:pt idx="83">
                  <c:v>-0.12321188999999999</c:v>
                </c:pt>
                <c:pt idx="84">
                  <c:v>-6.3258089999999989E-2</c:v>
                </c:pt>
                <c:pt idx="85">
                  <c:v>-3.3788299999999993E-2</c:v>
                </c:pt>
                <c:pt idx="86">
                  <c:v>2.6100999999999937E-3</c:v>
                </c:pt>
                <c:pt idx="87">
                  <c:v>4.6916589999999994E-2</c:v>
                </c:pt>
                <c:pt idx="88">
                  <c:v>4.6916689999999997E-2</c:v>
                </c:pt>
                <c:pt idx="89">
                  <c:v>4.1874990000000001E-2</c:v>
                </c:pt>
                <c:pt idx="90">
                  <c:v>6.1996589999999997E-2</c:v>
                </c:pt>
                <c:pt idx="91">
                  <c:v>6.198832E-2</c:v>
                </c:pt>
                <c:pt idx="92">
                  <c:v>4.609999999999996E-3</c:v>
                </c:pt>
                <c:pt idx="93">
                  <c:v>-3.2929999999999994E-2</c:v>
                </c:pt>
                <c:pt idx="94">
                  <c:v>-7.2028099999999984E-2</c:v>
                </c:pt>
                <c:pt idx="95">
                  <c:v>-0.13271810999999997</c:v>
                </c:pt>
                <c:pt idx="96">
                  <c:v>-0.19000809999999999</c:v>
                </c:pt>
                <c:pt idx="97">
                  <c:v>-0.17971310100000001</c:v>
                </c:pt>
                <c:pt idx="98">
                  <c:v>-0.15243000999999998</c:v>
                </c:pt>
                <c:pt idx="99">
                  <c:v>-0.11484999899999999</c:v>
                </c:pt>
                <c:pt idx="100">
                  <c:v>-0.11989689989999999</c:v>
                </c:pt>
                <c:pt idx="101">
                  <c:v>-0.11771999999999999</c:v>
                </c:pt>
                <c:pt idx="102">
                  <c:v>-0.15025311</c:v>
                </c:pt>
                <c:pt idx="103">
                  <c:v>-0.14763691000000001</c:v>
                </c:pt>
                <c:pt idx="104">
                  <c:v>-0.14474691000000001</c:v>
                </c:pt>
                <c:pt idx="105">
                  <c:v>-0.10849309</c:v>
                </c:pt>
                <c:pt idx="106">
                  <c:v>-7.3776899899999984E-2</c:v>
                </c:pt>
                <c:pt idx="107">
                  <c:v>-1.3119999999999996E-2</c:v>
                </c:pt>
                <c:pt idx="108">
                  <c:v>-6.4532100000000009E-3</c:v>
                </c:pt>
                <c:pt idx="109">
                  <c:v>-8.4834099999999968E-3</c:v>
                </c:pt>
                <c:pt idx="110">
                  <c:v>-5.330331E-2</c:v>
                </c:pt>
                <c:pt idx="111">
                  <c:v>-7.8181890000000004E-2</c:v>
                </c:pt>
                <c:pt idx="112">
                  <c:v>-0.10185688999999999</c:v>
                </c:pt>
                <c:pt idx="113">
                  <c:v>-0.12403189999999999</c:v>
                </c:pt>
                <c:pt idx="114">
                  <c:v>-0.15122998999999998</c:v>
                </c:pt>
                <c:pt idx="115">
                  <c:v>-9.7973089999999999E-2</c:v>
                </c:pt>
                <c:pt idx="116">
                  <c:v>-6.7353319999999994E-2</c:v>
                </c:pt>
                <c:pt idx="117">
                  <c:v>-8.1198319999999991E-2</c:v>
                </c:pt>
                <c:pt idx="118">
                  <c:v>-6.6398309999999988E-2</c:v>
                </c:pt>
                <c:pt idx="119">
                  <c:v>-2.4018310999999997E-2</c:v>
                </c:pt>
                <c:pt idx="120">
                  <c:v>-6.2900009999999992E-2</c:v>
                </c:pt>
                <c:pt idx="121">
                  <c:v>-8.1568089999999996E-2</c:v>
                </c:pt>
                <c:pt idx="122">
                  <c:v>-9.044308999999999E-2</c:v>
                </c:pt>
                <c:pt idx="123">
                  <c:v>-7.6043101000000002E-2</c:v>
                </c:pt>
                <c:pt idx="124">
                  <c:v>-9.9739989999999987E-2</c:v>
                </c:pt>
                <c:pt idx="125">
                  <c:v>-5.0678300000000003E-2</c:v>
                </c:pt>
                <c:pt idx="126">
                  <c:v>-4.1816900000000018E-3</c:v>
                </c:pt>
                <c:pt idx="127">
                  <c:v>6.7119899999999996E-2</c:v>
                </c:pt>
                <c:pt idx="128">
                  <c:v>6.8566589999999997E-2</c:v>
                </c:pt>
                <c:pt idx="129">
                  <c:v>0.11546320999999998</c:v>
                </c:pt>
                <c:pt idx="130">
                  <c:v>0.10264840999999998</c:v>
                </c:pt>
                <c:pt idx="131">
                  <c:v>8.0643309999999996E-2</c:v>
                </c:pt>
                <c:pt idx="132">
                  <c:v>6.2693310000000002E-2</c:v>
                </c:pt>
                <c:pt idx="133">
                  <c:v>9.3486589999999994E-2</c:v>
                </c:pt>
                <c:pt idx="134">
                  <c:v>9.4904899999999986E-2</c:v>
                </c:pt>
                <c:pt idx="135">
                  <c:v>0.12194679</c:v>
                </c:pt>
                <c:pt idx="136">
                  <c:v>0.18404989999999999</c:v>
                </c:pt>
                <c:pt idx="137">
                  <c:v>0.224715</c:v>
                </c:pt>
                <c:pt idx="138">
                  <c:v>0.20483299999999999</c:v>
                </c:pt>
                <c:pt idx="139">
                  <c:v>0.189693</c:v>
                </c:pt>
                <c:pt idx="140">
                  <c:v>0.20397999999999999</c:v>
                </c:pt>
                <c:pt idx="141">
                  <c:v>0.20997500000000002</c:v>
                </c:pt>
                <c:pt idx="142">
                  <c:v>0.19456989999999999</c:v>
                </c:pt>
                <c:pt idx="143">
                  <c:v>0.25403009999999998</c:v>
                </c:pt>
                <c:pt idx="144">
                  <c:v>0.3431381</c:v>
                </c:pt>
                <c:pt idx="145">
                  <c:v>0.3678999</c:v>
                </c:pt>
                <c:pt idx="146">
                  <c:v>0.36739820000000001</c:v>
                </c:pt>
                <c:pt idx="147">
                  <c:v>0.42433989999999999</c:v>
                </c:pt>
                <c:pt idx="148">
                  <c:v>0.44917989999999997</c:v>
                </c:pt>
                <c:pt idx="149">
                  <c:v>0.44014679999999995</c:v>
                </c:pt>
                <c:pt idx="150">
                  <c:v>0.47133199999999997</c:v>
                </c:pt>
                <c:pt idx="151">
                  <c:v>0.51674189999999998</c:v>
                </c:pt>
                <c:pt idx="152">
                  <c:v>0.52599319999999994</c:v>
                </c:pt>
                <c:pt idx="153">
                  <c:v>0.52031799999999995</c:v>
                </c:pt>
                <c:pt idx="154">
                  <c:v>0.49517990000000001</c:v>
                </c:pt>
                <c:pt idx="155">
                  <c:v>0.49760999999999994</c:v>
                </c:pt>
                <c:pt idx="156">
                  <c:v>0.49888509999999997</c:v>
                </c:pt>
              </c:numCache>
            </c:numRef>
          </c:yVal>
        </c:ser>
        <c:ser>
          <c:idx val="1"/>
          <c:order val="1"/>
          <c:tx>
            <c:strRef>
              <c:f>'with offset'!$C$16</c:f>
              <c:strCache>
                <c:ptCount val="1"/>
                <c:pt idx="0">
                  <c:v>Global</c:v>
                </c:pt>
              </c:strCache>
            </c:strRef>
          </c:tx>
          <c:marker>
            <c:symbol val="none"/>
          </c:marker>
          <c:xVal>
            <c:numRef>
              <c:f>'with offset'!$A$17:$A$173</c:f>
              <c:numCache>
                <c:formatCode>General</c:formatCode>
                <c:ptCount val="157"/>
                <c:pt idx="0">
                  <c:v>1850.17</c:v>
                </c:pt>
                <c:pt idx="1">
                  <c:v>1851.17</c:v>
                </c:pt>
                <c:pt idx="2">
                  <c:v>1852.17</c:v>
                </c:pt>
                <c:pt idx="3">
                  <c:v>1853.17</c:v>
                </c:pt>
                <c:pt idx="4">
                  <c:v>1854.17</c:v>
                </c:pt>
                <c:pt idx="5">
                  <c:v>1855.17</c:v>
                </c:pt>
                <c:pt idx="6">
                  <c:v>1856.17</c:v>
                </c:pt>
                <c:pt idx="7">
                  <c:v>1857.17</c:v>
                </c:pt>
                <c:pt idx="8">
                  <c:v>1858.17</c:v>
                </c:pt>
                <c:pt idx="9">
                  <c:v>1859.17</c:v>
                </c:pt>
                <c:pt idx="10">
                  <c:v>1860.17</c:v>
                </c:pt>
                <c:pt idx="11">
                  <c:v>1861.17</c:v>
                </c:pt>
                <c:pt idx="12">
                  <c:v>1862.17</c:v>
                </c:pt>
                <c:pt idx="13">
                  <c:v>1863.17</c:v>
                </c:pt>
                <c:pt idx="14">
                  <c:v>1864.17</c:v>
                </c:pt>
                <c:pt idx="15">
                  <c:v>1865.17</c:v>
                </c:pt>
                <c:pt idx="16">
                  <c:v>1866.17</c:v>
                </c:pt>
                <c:pt idx="17">
                  <c:v>1867.17</c:v>
                </c:pt>
                <c:pt idx="18">
                  <c:v>1868.17</c:v>
                </c:pt>
                <c:pt idx="19">
                  <c:v>1869.17</c:v>
                </c:pt>
                <c:pt idx="20">
                  <c:v>1870.17</c:v>
                </c:pt>
                <c:pt idx="21">
                  <c:v>1871.17</c:v>
                </c:pt>
                <c:pt idx="22">
                  <c:v>1872.17</c:v>
                </c:pt>
                <c:pt idx="23">
                  <c:v>1873.17</c:v>
                </c:pt>
                <c:pt idx="24">
                  <c:v>1874.17</c:v>
                </c:pt>
                <c:pt idx="25">
                  <c:v>1875.17</c:v>
                </c:pt>
                <c:pt idx="26">
                  <c:v>1876.17</c:v>
                </c:pt>
                <c:pt idx="27">
                  <c:v>1877.17</c:v>
                </c:pt>
                <c:pt idx="28">
                  <c:v>1878.17</c:v>
                </c:pt>
                <c:pt idx="29">
                  <c:v>1879.17</c:v>
                </c:pt>
                <c:pt idx="30">
                  <c:v>1880.17</c:v>
                </c:pt>
                <c:pt idx="31">
                  <c:v>1881.17</c:v>
                </c:pt>
                <c:pt idx="32">
                  <c:v>1882.17</c:v>
                </c:pt>
                <c:pt idx="33">
                  <c:v>1883.17</c:v>
                </c:pt>
                <c:pt idx="34">
                  <c:v>1884.17</c:v>
                </c:pt>
                <c:pt idx="35">
                  <c:v>1885.17</c:v>
                </c:pt>
                <c:pt idx="36">
                  <c:v>1886.17</c:v>
                </c:pt>
                <c:pt idx="37">
                  <c:v>1887.17</c:v>
                </c:pt>
                <c:pt idx="38">
                  <c:v>1888.17</c:v>
                </c:pt>
                <c:pt idx="39">
                  <c:v>1889.17</c:v>
                </c:pt>
                <c:pt idx="40">
                  <c:v>1890.17</c:v>
                </c:pt>
                <c:pt idx="41">
                  <c:v>1891.17</c:v>
                </c:pt>
                <c:pt idx="42">
                  <c:v>1892.17</c:v>
                </c:pt>
                <c:pt idx="43">
                  <c:v>1893.17</c:v>
                </c:pt>
                <c:pt idx="44">
                  <c:v>1894.17</c:v>
                </c:pt>
                <c:pt idx="45">
                  <c:v>1895.17</c:v>
                </c:pt>
                <c:pt idx="46">
                  <c:v>1896.17</c:v>
                </c:pt>
                <c:pt idx="47">
                  <c:v>1897.17</c:v>
                </c:pt>
                <c:pt idx="48">
                  <c:v>1898.17</c:v>
                </c:pt>
                <c:pt idx="49">
                  <c:v>1899.17</c:v>
                </c:pt>
                <c:pt idx="50">
                  <c:v>1900.17</c:v>
                </c:pt>
                <c:pt idx="51">
                  <c:v>1901.17</c:v>
                </c:pt>
                <c:pt idx="52">
                  <c:v>1902.17</c:v>
                </c:pt>
                <c:pt idx="53">
                  <c:v>1903.17</c:v>
                </c:pt>
                <c:pt idx="54">
                  <c:v>1904.17</c:v>
                </c:pt>
                <c:pt idx="55">
                  <c:v>1905.17</c:v>
                </c:pt>
                <c:pt idx="56">
                  <c:v>1906.17</c:v>
                </c:pt>
                <c:pt idx="57">
                  <c:v>1907.17</c:v>
                </c:pt>
                <c:pt idx="58">
                  <c:v>1908.17</c:v>
                </c:pt>
                <c:pt idx="59">
                  <c:v>1909.17</c:v>
                </c:pt>
                <c:pt idx="60">
                  <c:v>1910.17</c:v>
                </c:pt>
                <c:pt idx="61">
                  <c:v>1911.17</c:v>
                </c:pt>
                <c:pt idx="62">
                  <c:v>1912.17</c:v>
                </c:pt>
                <c:pt idx="63">
                  <c:v>1913.17</c:v>
                </c:pt>
                <c:pt idx="64">
                  <c:v>1914.17</c:v>
                </c:pt>
                <c:pt idx="65">
                  <c:v>1915.17</c:v>
                </c:pt>
                <c:pt idx="66">
                  <c:v>1916.17</c:v>
                </c:pt>
                <c:pt idx="67">
                  <c:v>1917.17</c:v>
                </c:pt>
                <c:pt idx="68">
                  <c:v>1918.17</c:v>
                </c:pt>
                <c:pt idx="69">
                  <c:v>1919.17</c:v>
                </c:pt>
                <c:pt idx="70">
                  <c:v>1920.17</c:v>
                </c:pt>
                <c:pt idx="71">
                  <c:v>1921.17</c:v>
                </c:pt>
                <c:pt idx="72">
                  <c:v>1922.17</c:v>
                </c:pt>
                <c:pt idx="73">
                  <c:v>1923.17</c:v>
                </c:pt>
                <c:pt idx="74">
                  <c:v>1924.17</c:v>
                </c:pt>
                <c:pt idx="75">
                  <c:v>1925.17</c:v>
                </c:pt>
                <c:pt idx="76">
                  <c:v>1926.17</c:v>
                </c:pt>
                <c:pt idx="77">
                  <c:v>1927.17</c:v>
                </c:pt>
                <c:pt idx="78">
                  <c:v>1928.17</c:v>
                </c:pt>
                <c:pt idx="79">
                  <c:v>1929.17</c:v>
                </c:pt>
                <c:pt idx="80">
                  <c:v>1930.17</c:v>
                </c:pt>
                <c:pt idx="81">
                  <c:v>1931.17</c:v>
                </c:pt>
                <c:pt idx="82">
                  <c:v>1932.17</c:v>
                </c:pt>
                <c:pt idx="83">
                  <c:v>1933.17</c:v>
                </c:pt>
                <c:pt idx="84">
                  <c:v>1934.17</c:v>
                </c:pt>
                <c:pt idx="85">
                  <c:v>1935.17</c:v>
                </c:pt>
                <c:pt idx="86">
                  <c:v>1936.17</c:v>
                </c:pt>
                <c:pt idx="87">
                  <c:v>1937.17</c:v>
                </c:pt>
                <c:pt idx="88">
                  <c:v>1938.17</c:v>
                </c:pt>
                <c:pt idx="89">
                  <c:v>1939.17</c:v>
                </c:pt>
                <c:pt idx="90">
                  <c:v>1940.17</c:v>
                </c:pt>
                <c:pt idx="91">
                  <c:v>1941.17</c:v>
                </c:pt>
                <c:pt idx="92">
                  <c:v>1942.17</c:v>
                </c:pt>
                <c:pt idx="93">
                  <c:v>1943.17</c:v>
                </c:pt>
                <c:pt idx="94">
                  <c:v>1944.17</c:v>
                </c:pt>
                <c:pt idx="95">
                  <c:v>1945.17</c:v>
                </c:pt>
                <c:pt idx="96">
                  <c:v>1946.17</c:v>
                </c:pt>
                <c:pt idx="97">
                  <c:v>1947.17</c:v>
                </c:pt>
                <c:pt idx="98">
                  <c:v>1948.17</c:v>
                </c:pt>
                <c:pt idx="99">
                  <c:v>1949.17</c:v>
                </c:pt>
                <c:pt idx="100">
                  <c:v>1950.17</c:v>
                </c:pt>
                <c:pt idx="101">
                  <c:v>1951.17</c:v>
                </c:pt>
                <c:pt idx="102">
                  <c:v>1952.17</c:v>
                </c:pt>
                <c:pt idx="103">
                  <c:v>1953.17</c:v>
                </c:pt>
                <c:pt idx="104">
                  <c:v>1954.17</c:v>
                </c:pt>
                <c:pt idx="105">
                  <c:v>1955.17</c:v>
                </c:pt>
                <c:pt idx="106">
                  <c:v>1956.17</c:v>
                </c:pt>
                <c:pt idx="107">
                  <c:v>1957.17</c:v>
                </c:pt>
                <c:pt idx="108">
                  <c:v>1958.17</c:v>
                </c:pt>
                <c:pt idx="109">
                  <c:v>1959.17</c:v>
                </c:pt>
                <c:pt idx="110">
                  <c:v>1960.17</c:v>
                </c:pt>
                <c:pt idx="111">
                  <c:v>1961.17</c:v>
                </c:pt>
                <c:pt idx="112">
                  <c:v>1962.17</c:v>
                </c:pt>
                <c:pt idx="113">
                  <c:v>1963.17</c:v>
                </c:pt>
                <c:pt idx="114">
                  <c:v>1964.17</c:v>
                </c:pt>
                <c:pt idx="115">
                  <c:v>1965.17</c:v>
                </c:pt>
                <c:pt idx="116">
                  <c:v>1966.17</c:v>
                </c:pt>
                <c:pt idx="117">
                  <c:v>1967.17</c:v>
                </c:pt>
                <c:pt idx="118">
                  <c:v>1968.17</c:v>
                </c:pt>
                <c:pt idx="119">
                  <c:v>1969.17</c:v>
                </c:pt>
                <c:pt idx="120">
                  <c:v>1970.17</c:v>
                </c:pt>
                <c:pt idx="121">
                  <c:v>1971.17</c:v>
                </c:pt>
                <c:pt idx="122">
                  <c:v>1972.17</c:v>
                </c:pt>
                <c:pt idx="123">
                  <c:v>1973.17</c:v>
                </c:pt>
                <c:pt idx="124">
                  <c:v>1974.17</c:v>
                </c:pt>
                <c:pt idx="125">
                  <c:v>1975.17</c:v>
                </c:pt>
                <c:pt idx="126">
                  <c:v>1976.17</c:v>
                </c:pt>
                <c:pt idx="127">
                  <c:v>1977.17</c:v>
                </c:pt>
                <c:pt idx="128">
                  <c:v>1978.17</c:v>
                </c:pt>
                <c:pt idx="129">
                  <c:v>1979.17</c:v>
                </c:pt>
                <c:pt idx="130">
                  <c:v>1980.17</c:v>
                </c:pt>
                <c:pt idx="131">
                  <c:v>1981.17</c:v>
                </c:pt>
                <c:pt idx="132">
                  <c:v>1982.17</c:v>
                </c:pt>
                <c:pt idx="133">
                  <c:v>1983.17</c:v>
                </c:pt>
                <c:pt idx="134">
                  <c:v>1984.17</c:v>
                </c:pt>
                <c:pt idx="135">
                  <c:v>1985.17</c:v>
                </c:pt>
                <c:pt idx="136">
                  <c:v>1986.17</c:v>
                </c:pt>
                <c:pt idx="137">
                  <c:v>1987.17</c:v>
                </c:pt>
                <c:pt idx="138">
                  <c:v>1988.17</c:v>
                </c:pt>
                <c:pt idx="139">
                  <c:v>1989.17</c:v>
                </c:pt>
                <c:pt idx="140">
                  <c:v>1990.17</c:v>
                </c:pt>
                <c:pt idx="141">
                  <c:v>1991.17</c:v>
                </c:pt>
                <c:pt idx="142">
                  <c:v>1992.17</c:v>
                </c:pt>
                <c:pt idx="143">
                  <c:v>1993.17</c:v>
                </c:pt>
                <c:pt idx="144">
                  <c:v>1994.17</c:v>
                </c:pt>
                <c:pt idx="145">
                  <c:v>1995.17</c:v>
                </c:pt>
                <c:pt idx="146">
                  <c:v>1996.17</c:v>
                </c:pt>
                <c:pt idx="147">
                  <c:v>1997.17</c:v>
                </c:pt>
                <c:pt idx="148">
                  <c:v>1998.17</c:v>
                </c:pt>
                <c:pt idx="149">
                  <c:v>1999.17</c:v>
                </c:pt>
                <c:pt idx="150">
                  <c:v>2000.17</c:v>
                </c:pt>
                <c:pt idx="151">
                  <c:v>2001.17</c:v>
                </c:pt>
                <c:pt idx="152">
                  <c:v>2002.17</c:v>
                </c:pt>
                <c:pt idx="153">
                  <c:v>2003.17</c:v>
                </c:pt>
                <c:pt idx="154">
                  <c:v>2004.17</c:v>
                </c:pt>
                <c:pt idx="155">
                  <c:v>2005.17</c:v>
                </c:pt>
                <c:pt idx="156">
                  <c:v>2006.17</c:v>
                </c:pt>
              </c:numCache>
            </c:numRef>
          </c:xVal>
          <c:yVal>
            <c:numRef>
              <c:f>'with offset'!$C$17:$C$173</c:f>
              <c:numCache>
                <c:formatCode>General</c:formatCode>
                <c:ptCount val="157"/>
                <c:pt idx="0">
                  <c:v>-0.27318300000000001</c:v>
                </c:pt>
                <c:pt idx="1">
                  <c:v>-0.25173299999999998</c:v>
                </c:pt>
                <c:pt idx="2">
                  <c:v>-0.27898299999999998</c:v>
                </c:pt>
                <c:pt idx="3">
                  <c:v>-0.32541700000000001</c:v>
                </c:pt>
                <c:pt idx="4">
                  <c:v>-0.36413299999999998</c:v>
                </c:pt>
                <c:pt idx="5">
                  <c:v>-0.37238300000000002</c:v>
                </c:pt>
                <c:pt idx="6">
                  <c:v>-0.38746700000000001</c:v>
                </c:pt>
                <c:pt idx="7">
                  <c:v>-0.394233</c:v>
                </c:pt>
                <c:pt idx="8">
                  <c:v>-0.40363300000000002</c:v>
                </c:pt>
                <c:pt idx="9">
                  <c:v>-0.366817</c:v>
                </c:pt>
                <c:pt idx="10">
                  <c:v>-0.40446700000000002</c:v>
                </c:pt>
                <c:pt idx="11">
                  <c:v>-0.39005000000000001</c:v>
                </c:pt>
                <c:pt idx="12">
                  <c:v>-0.35844999999999999</c:v>
                </c:pt>
                <c:pt idx="13">
                  <c:v>-0.31781700000000002</c:v>
                </c:pt>
                <c:pt idx="14">
                  <c:v>-0.30658299999999999</c:v>
                </c:pt>
                <c:pt idx="15">
                  <c:v>-0.26173299999999999</c:v>
                </c:pt>
                <c:pt idx="16">
                  <c:v>-0.26116699999999998</c:v>
                </c:pt>
                <c:pt idx="17">
                  <c:v>-0.27953299999999998</c:v>
                </c:pt>
                <c:pt idx="18">
                  <c:v>-0.26333299999999998</c:v>
                </c:pt>
                <c:pt idx="19">
                  <c:v>-0.27868300000000001</c:v>
                </c:pt>
                <c:pt idx="20">
                  <c:v>-0.301983</c:v>
                </c:pt>
                <c:pt idx="21">
                  <c:v>-0.33011699999999999</c:v>
                </c:pt>
                <c:pt idx="22">
                  <c:v>-0.34115000000000001</c:v>
                </c:pt>
                <c:pt idx="23">
                  <c:v>-0.31085000000000002</c:v>
                </c:pt>
                <c:pt idx="24">
                  <c:v>-0.24313299999999999</c:v>
                </c:pt>
                <c:pt idx="25">
                  <c:v>-0.21460000000000001</c:v>
                </c:pt>
                <c:pt idx="26">
                  <c:v>-0.17715</c:v>
                </c:pt>
                <c:pt idx="27">
                  <c:v>-0.14091699999999999</c:v>
                </c:pt>
                <c:pt idx="28">
                  <c:v>-0.16855000000000001</c:v>
                </c:pt>
                <c:pt idx="29">
                  <c:v>-0.23335</c:v>
                </c:pt>
                <c:pt idx="30">
                  <c:v>-0.26741700000000002</c:v>
                </c:pt>
                <c:pt idx="31">
                  <c:v>-0.29861700000000002</c:v>
                </c:pt>
                <c:pt idx="32">
                  <c:v>-0.33055000000000001</c:v>
                </c:pt>
                <c:pt idx="33">
                  <c:v>-0.37128299999999997</c:v>
                </c:pt>
                <c:pt idx="34">
                  <c:v>-0.37498300000000001</c:v>
                </c:pt>
                <c:pt idx="35">
                  <c:v>-0.32988299999999998</c:v>
                </c:pt>
                <c:pt idx="36">
                  <c:v>-0.33800000000000002</c:v>
                </c:pt>
                <c:pt idx="37">
                  <c:v>-0.33336700000000002</c:v>
                </c:pt>
                <c:pt idx="38">
                  <c:v>-0.34196700000000002</c:v>
                </c:pt>
                <c:pt idx="39">
                  <c:v>-0.37633299999999997</c:v>
                </c:pt>
                <c:pt idx="40">
                  <c:v>-0.423483</c:v>
                </c:pt>
                <c:pt idx="41">
                  <c:v>-0.41791699999999998</c:v>
                </c:pt>
                <c:pt idx="42">
                  <c:v>-0.38778299999999999</c:v>
                </c:pt>
                <c:pt idx="43">
                  <c:v>-0.33776699999999998</c:v>
                </c:pt>
                <c:pt idx="44">
                  <c:v>-0.32353300000000002</c:v>
                </c:pt>
                <c:pt idx="45">
                  <c:v>-0.29930000000000001</c:v>
                </c:pt>
                <c:pt idx="46">
                  <c:v>-0.26019999999999999</c:v>
                </c:pt>
                <c:pt idx="47">
                  <c:v>-0.27625</c:v>
                </c:pt>
                <c:pt idx="48">
                  <c:v>-0.31661699999999998</c:v>
                </c:pt>
                <c:pt idx="49">
                  <c:v>-0.33111699999999999</c:v>
                </c:pt>
                <c:pt idx="50">
                  <c:v>-0.37816699999999998</c:v>
                </c:pt>
                <c:pt idx="51">
                  <c:v>-0.41501700000000002</c:v>
                </c:pt>
                <c:pt idx="52">
                  <c:v>-0.42021700000000001</c:v>
                </c:pt>
                <c:pt idx="53">
                  <c:v>-0.433417</c:v>
                </c:pt>
                <c:pt idx="54">
                  <c:v>-0.44193300000000002</c:v>
                </c:pt>
                <c:pt idx="55">
                  <c:v>-0.443633</c:v>
                </c:pt>
                <c:pt idx="56">
                  <c:v>-0.46639999999999998</c:v>
                </c:pt>
                <c:pt idx="57">
                  <c:v>-0.51870000000000005</c:v>
                </c:pt>
                <c:pt idx="58">
                  <c:v>-0.51406700000000005</c:v>
                </c:pt>
                <c:pt idx="59">
                  <c:v>-0.49711699999999998</c:v>
                </c:pt>
                <c:pt idx="60">
                  <c:v>-0.44224999999999998</c:v>
                </c:pt>
                <c:pt idx="61">
                  <c:v>-0.37636700000000001</c:v>
                </c:pt>
                <c:pt idx="62">
                  <c:v>-0.34410000000000002</c:v>
                </c:pt>
                <c:pt idx="63">
                  <c:v>-0.34916700000000001</c:v>
                </c:pt>
                <c:pt idx="64">
                  <c:v>-0.33133299999999999</c:v>
                </c:pt>
                <c:pt idx="65">
                  <c:v>-0.33701700000000001</c:v>
                </c:pt>
                <c:pt idx="66">
                  <c:v>-0.35408299999999998</c:v>
                </c:pt>
                <c:pt idx="67">
                  <c:v>-0.31331700000000001</c:v>
                </c:pt>
                <c:pt idx="68">
                  <c:v>-0.27934999999999999</c:v>
                </c:pt>
                <c:pt idx="69">
                  <c:v>-0.26486700000000002</c:v>
                </c:pt>
                <c:pt idx="70">
                  <c:v>-0.26761699999999999</c:v>
                </c:pt>
                <c:pt idx="71">
                  <c:v>-0.26055</c:v>
                </c:pt>
                <c:pt idx="72">
                  <c:v>-0.244367</c:v>
                </c:pt>
                <c:pt idx="73">
                  <c:v>-0.22489999999999999</c:v>
                </c:pt>
                <c:pt idx="74">
                  <c:v>-0.21235000000000001</c:v>
                </c:pt>
                <c:pt idx="75">
                  <c:v>-0.22143299999999999</c:v>
                </c:pt>
                <c:pt idx="76">
                  <c:v>-0.20505000000000001</c:v>
                </c:pt>
                <c:pt idx="77">
                  <c:v>-0.19996700000000001</c:v>
                </c:pt>
                <c:pt idx="78">
                  <c:v>-0.184917</c:v>
                </c:pt>
                <c:pt idx="79">
                  <c:v>-0.19705</c:v>
                </c:pt>
                <c:pt idx="80">
                  <c:v>-0.15346699999999999</c:v>
                </c:pt>
                <c:pt idx="81">
                  <c:v>-0.16156699999999999</c:v>
                </c:pt>
                <c:pt idx="82">
                  <c:v>-0.17305000000000001</c:v>
                </c:pt>
                <c:pt idx="83">
                  <c:v>-0.150667</c:v>
                </c:pt>
                <c:pt idx="84">
                  <c:v>-9.71167E-2</c:v>
                </c:pt>
                <c:pt idx="85">
                  <c:v>-8.1966700000000003E-2</c:v>
                </c:pt>
                <c:pt idx="86">
                  <c:v>-4.21833E-2</c:v>
                </c:pt>
                <c:pt idx="87">
                  <c:v>-8.8333300000000003E-3</c:v>
                </c:pt>
                <c:pt idx="88">
                  <c:v>-7.8666699999999992E-3</c:v>
                </c:pt>
                <c:pt idx="89">
                  <c:v>-6.4333300000000001E-3</c:v>
                </c:pt>
                <c:pt idx="90">
                  <c:v>3.5016699999999998E-2</c:v>
                </c:pt>
                <c:pt idx="91">
                  <c:v>3.6650000000000002E-2</c:v>
                </c:pt>
                <c:pt idx="92">
                  <c:v>1.8599999999999998E-2</c:v>
                </c:pt>
                <c:pt idx="93">
                  <c:v>1.45833E-2</c:v>
                </c:pt>
                <c:pt idx="94">
                  <c:v>7.2833300000000002E-3</c:v>
                </c:pt>
                <c:pt idx="95">
                  <c:v>-3.8333300000000001E-2</c:v>
                </c:pt>
                <c:pt idx="96">
                  <c:v>-7.9766699999999996E-2</c:v>
                </c:pt>
                <c:pt idx="97">
                  <c:v>-7.6333300000000007E-2</c:v>
                </c:pt>
                <c:pt idx="98">
                  <c:v>-6.1749999999999999E-2</c:v>
                </c:pt>
                <c:pt idx="99">
                  <c:v>-3.4283300000000003E-2</c:v>
                </c:pt>
                <c:pt idx="100">
                  <c:v>-4.5716699999999999E-2</c:v>
                </c:pt>
                <c:pt idx="101">
                  <c:v>-4.8016700000000002E-2</c:v>
                </c:pt>
                <c:pt idx="102">
                  <c:v>-9.06E-2</c:v>
                </c:pt>
                <c:pt idx="103">
                  <c:v>-9.7733299999999995E-2</c:v>
                </c:pt>
                <c:pt idx="104">
                  <c:v>-0.108083</c:v>
                </c:pt>
                <c:pt idx="105">
                  <c:v>-7.8316700000000003E-2</c:v>
                </c:pt>
                <c:pt idx="106">
                  <c:v>-5.0950000000000002E-2</c:v>
                </c:pt>
                <c:pt idx="107">
                  <c:v>9.7999999999999997E-3</c:v>
                </c:pt>
                <c:pt idx="108">
                  <c:v>1.43833E-2</c:v>
                </c:pt>
                <c:pt idx="109">
                  <c:v>1.49333E-2</c:v>
                </c:pt>
                <c:pt idx="110">
                  <c:v>-3.3099999999999997E-2</c:v>
                </c:pt>
                <c:pt idx="111">
                  <c:v>-5.0983300000000002E-2</c:v>
                </c:pt>
                <c:pt idx="112">
                  <c:v>-7.3183300000000007E-2</c:v>
                </c:pt>
                <c:pt idx="113">
                  <c:v>-9.2100000000000001E-2</c:v>
                </c:pt>
                <c:pt idx="114">
                  <c:v>-0.12438299999999999</c:v>
                </c:pt>
                <c:pt idx="115">
                  <c:v>-7.3916700000000002E-2</c:v>
                </c:pt>
                <c:pt idx="116">
                  <c:v>-5.1216699999999997E-2</c:v>
                </c:pt>
                <c:pt idx="117">
                  <c:v>-7.3999999999999996E-2</c:v>
                </c:pt>
                <c:pt idx="118">
                  <c:v>-7.2083300000000003E-2</c:v>
                </c:pt>
                <c:pt idx="119">
                  <c:v>-3.7483299999999997E-2</c:v>
                </c:pt>
                <c:pt idx="120">
                  <c:v>-8.5866700000000004E-2</c:v>
                </c:pt>
                <c:pt idx="121">
                  <c:v>-0.109967</c:v>
                </c:pt>
                <c:pt idx="122">
                  <c:v>-0.12081699999999999</c:v>
                </c:pt>
                <c:pt idx="123">
                  <c:v>-9.8299999999999998E-2</c:v>
                </c:pt>
                <c:pt idx="124">
                  <c:v>-0.123067</c:v>
                </c:pt>
                <c:pt idx="125">
                  <c:v>-6.8816699999999995E-2</c:v>
                </c:pt>
                <c:pt idx="126">
                  <c:v>-2.06E-2</c:v>
                </c:pt>
                <c:pt idx="127">
                  <c:v>5.5399999999999998E-2</c:v>
                </c:pt>
                <c:pt idx="128">
                  <c:v>4.8616699999999999E-2</c:v>
                </c:pt>
                <c:pt idx="129">
                  <c:v>9.8616700000000002E-2</c:v>
                </c:pt>
                <c:pt idx="130">
                  <c:v>8.4099999999999994E-2</c:v>
                </c:pt>
                <c:pt idx="131">
                  <c:v>5.9900000000000002E-2</c:v>
                </c:pt>
                <c:pt idx="132">
                  <c:v>4.0966700000000002E-2</c:v>
                </c:pt>
                <c:pt idx="133">
                  <c:v>7.5233300000000003E-2</c:v>
                </c:pt>
                <c:pt idx="134">
                  <c:v>7.7633300000000002E-2</c:v>
                </c:pt>
                <c:pt idx="135">
                  <c:v>0.104833</c:v>
                </c:pt>
                <c:pt idx="136">
                  <c:v>0.169017</c:v>
                </c:pt>
                <c:pt idx="137">
                  <c:v>0.21026700000000001</c:v>
                </c:pt>
                <c:pt idx="138">
                  <c:v>0.193883</c:v>
                </c:pt>
                <c:pt idx="139">
                  <c:v>0.18254999999999999</c:v>
                </c:pt>
                <c:pt idx="140">
                  <c:v>0.19873299999999999</c:v>
                </c:pt>
                <c:pt idx="141">
                  <c:v>0.20471700000000001</c:v>
                </c:pt>
                <c:pt idx="142">
                  <c:v>0.18945000000000001</c:v>
                </c:pt>
                <c:pt idx="143">
                  <c:v>0.247</c:v>
                </c:pt>
                <c:pt idx="144">
                  <c:v>0.32291700000000001</c:v>
                </c:pt>
                <c:pt idx="145">
                  <c:v>0.342333</c:v>
                </c:pt>
                <c:pt idx="146">
                  <c:v>0.33603300000000003</c:v>
                </c:pt>
                <c:pt idx="147">
                  <c:v>0.38756699999999999</c:v>
                </c:pt>
                <c:pt idx="148">
                  <c:v>0.40693299999999999</c:v>
                </c:pt>
                <c:pt idx="149">
                  <c:v>0.40191700000000002</c:v>
                </c:pt>
                <c:pt idx="150">
                  <c:v>0.42996699999999999</c:v>
                </c:pt>
                <c:pt idx="151">
                  <c:v>0.47889999999999999</c:v>
                </c:pt>
                <c:pt idx="152">
                  <c:v>0.49041699999999999</c:v>
                </c:pt>
                <c:pt idx="153">
                  <c:v>0.48871700000000001</c:v>
                </c:pt>
                <c:pt idx="154">
                  <c:v>0.46596700000000002</c:v>
                </c:pt>
                <c:pt idx="155">
                  <c:v>0.47598299999999999</c:v>
                </c:pt>
                <c:pt idx="156">
                  <c:v>0.47683300000000001</c:v>
                </c:pt>
              </c:numCache>
            </c:numRef>
          </c:yVal>
        </c:ser>
        <c:axId val="307905664"/>
        <c:axId val="307887488"/>
      </c:scatterChart>
      <c:valAx>
        <c:axId val="307905664"/>
        <c:scaling>
          <c:orientation val="minMax"/>
        </c:scaling>
        <c:axPos val="t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numFmt formatCode="General" sourceLinked="1"/>
        <c:tickLblPos val="nextTo"/>
        <c:crossAx val="307887488"/>
        <c:crosses val="max"/>
        <c:crossBetween val="midCat"/>
      </c:valAx>
      <c:valAx>
        <c:axId val="307887488"/>
        <c:scaling>
          <c:orientation val="minMax"/>
        </c:scaling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numFmt formatCode="General" sourceLinked="1"/>
        <c:tickLblPos val="nextTo"/>
        <c:crossAx val="30790566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514171656686627"/>
          <c:y val="0.1030861085707063"/>
          <c:w val="0.25576846307385226"/>
          <c:h val="0.13660368941134482"/>
        </c:manualLayout>
      </c:layout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463260</xdr:colOff>
      <xdr:row>15</xdr:row>
      <xdr:rowOff>171449</xdr:rowOff>
    </xdr:from>
    <xdr:to>
      <xdr:col>6</xdr:col>
      <xdr:colOff>1952626</xdr:colOff>
      <xdr:row>43</xdr:row>
      <xdr:rowOff>180974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0.35716</cdr:x>
      <cdr:y>0.84492</cdr:y>
    </cdr:from>
    <cdr:to>
      <cdr:x>0.5674</cdr:x>
      <cdr:y>0.85348</cdr:y>
    </cdr:to>
    <cdr:sp macro="" textlink="">
      <cdr:nvSpPr>
        <cdr:cNvPr id="4" name="Rectangle 3"/>
        <cdr:cNvSpPr/>
      </cdr:nvSpPr>
      <cdr:spPr>
        <a:xfrm xmlns:a="http://schemas.openxmlformats.org/drawingml/2006/main">
          <a:off x="3365790" y="4514849"/>
          <a:ext cx="1981200" cy="45720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5">
            <a:lumMod val="40000"/>
            <a:lumOff val="60000"/>
          </a:schemeClr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0.58927</cdr:x>
      <cdr:y>0.84492</cdr:y>
    </cdr:from>
    <cdr:to>
      <cdr:x>0.70385</cdr:x>
      <cdr:y>0.85348</cdr:y>
    </cdr:to>
    <cdr:sp macro="" textlink="">
      <cdr:nvSpPr>
        <cdr:cNvPr id="5" name="Rectangle 4"/>
        <cdr:cNvSpPr/>
      </cdr:nvSpPr>
      <cdr:spPr>
        <a:xfrm xmlns:a="http://schemas.openxmlformats.org/drawingml/2006/main" flipV="1">
          <a:off x="5553075" y="4514849"/>
          <a:ext cx="1079790" cy="45720"/>
        </a:xfrm>
        <a:prstGeom xmlns:a="http://schemas.openxmlformats.org/drawingml/2006/main" prst="rect">
          <a:avLst/>
        </a:prstGeom>
        <a:solidFill xmlns:a="http://schemas.openxmlformats.org/drawingml/2006/main">
          <a:srgbClr val="00B050"/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0.11219</cdr:x>
      <cdr:y>0.84492</cdr:y>
    </cdr:from>
    <cdr:to>
      <cdr:x>0.17017</cdr:x>
      <cdr:y>0.85348</cdr:y>
    </cdr:to>
    <cdr:sp macro="" textlink="">
      <cdr:nvSpPr>
        <cdr:cNvPr id="6" name="Rectangle 5"/>
        <cdr:cNvSpPr/>
      </cdr:nvSpPr>
      <cdr:spPr>
        <a:xfrm xmlns:a="http://schemas.openxmlformats.org/drawingml/2006/main">
          <a:off x="1057275" y="4514849"/>
          <a:ext cx="546390" cy="45720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5">
            <a:lumMod val="40000"/>
            <a:lumOff val="60000"/>
          </a:schemeClr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0.20555</cdr:x>
      <cdr:y>0.79501</cdr:y>
    </cdr:from>
    <cdr:to>
      <cdr:x>0.37333</cdr:x>
      <cdr:y>0.88235</cdr:y>
    </cdr:to>
    <cdr:sp macro="" textlink="">
      <cdr:nvSpPr>
        <cdr:cNvPr id="7" name="TextBox 6"/>
        <cdr:cNvSpPr txBox="1"/>
      </cdr:nvSpPr>
      <cdr:spPr>
        <a:xfrm xmlns:a="http://schemas.openxmlformats.org/drawingml/2006/main">
          <a:off x="1937040" y="4248151"/>
          <a:ext cx="1581150" cy="4667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depressed SST </a:t>
          </a:r>
          <a:endParaRPr lang="en-US" sz="1100" i="1"/>
        </a:p>
        <a:p xmlns:a="http://schemas.openxmlformats.org/drawingml/2006/main">
          <a:r>
            <a:rPr lang="en-US" sz="1100" i="1"/>
            <a:t>wrt </a:t>
          </a:r>
          <a:r>
            <a:rPr lang="en-US" sz="1100"/>
            <a:t> Land periods</a:t>
          </a:r>
        </a:p>
      </cdr:txBody>
    </cdr:sp>
  </cdr:relSizeAnchor>
  <cdr:relSizeAnchor xmlns:cdr="http://schemas.openxmlformats.org/drawingml/2006/chartDrawing">
    <cdr:from>
      <cdr:x>0.89451</cdr:x>
      <cdr:y>0.84492</cdr:y>
    </cdr:from>
    <cdr:to>
      <cdr:x>0.92419</cdr:x>
      <cdr:y>0.85348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8429625" y="4514849"/>
          <a:ext cx="279690" cy="45720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5">
            <a:lumMod val="40000"/>
            <a:lumOff val="60000"/>
          </a:schemeClr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0.58826</cdr:x>
      <cdr:y>0.76292</cdr:y>
    </cdr:from>
    <cdr:to>
      <cdr:x>0.75604</cdr:x>
      <cdr:y>0.84492</cdr:y>
    </cdr:to>
    <cdr:sp macro="" textlink="">
      <cdr:nvSpPr>
        <cdr:cNvPr id="9" name="TextBox 1"/>
        <cdr:cNvSpPr txBox="1"/>
      </cdr:nvSpPr>
      <cdr:spPr>
        <a:xfrm xmlns:a="http://schemas.openxmlformats.org/drawingml/2006/main">
          <a:off x="5543550" y="4076699"/>
          <a:ext cx="1581150" cy="43815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n-US" sz="1100"/>
            <a:t>depressed SST </a:t>
          </a:r>
          <a:br>
            <a:rPr lang="en-US" sz="1100"/>
          </a:br>
          <a:r>
            <a:rPr lang="en-US" sz="1100"/>
            <a:t>elevated Land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3076575</xdr:colOff>
      <xdr:row>10</xdr:row>
      <xdr:rowOff>0</xdr:rowOff>
    </xdr:from>
    <xdr:to>
      <xdr:col>5</xdr:col>
      <xdr:colOff>257175</xdr:colOff>
      <xdr:row>27</xdr:row>
      <xdr:rowOff>123825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name="5" connectionId="1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name="5" connectionId="2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1.xml"/><Relationship Id="rId2" Type="http://schemas.openxmlformats.org/officeDocument/2006/relationships/drawing" Target="../drawings/drawing1.xml"/><Relationship Id="rId1" Type="http://schemas.openxmlformats.org/officeDocument/2006/relationships/hyperlink" Target="http://www.woodfortrees.org/plot/crutem4vgl/compress:12/mean:5/plot/hadsst2gl/compress:12/mean:5/plot/hadcrut4gl/compress:12/mean:5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533"/>
  <sheetViews>
    <sheetView tabSelected="1" zoomScaleNormal="100" workbookViewId="0">
      <selection activeCell="B4" sqref="B4"/>
    </sheetView>
  </sheetViews>
  <sheetFormatPr defaultRowHeight="15"/>
  <cols>
    <col min="2" max="5" width="21.28515625" customWidth="1"/>
    <col min="6" max="6" width="24.7109375" customWidth="1"/>
    <col min="7" max="7" width="42.7109375" customWidth="1"/>
    <col min="10" max="10" width="38.140625" customWidth="1"/>
    <col min="12" max="12" width="20.7109375" customWidth="1"/>
  </cols>
  <sheetData>
    <row r="1" spans="1:13">
      <c r="B1">
        <v>0</v>
      </c>
      <c r="C1">
        <v>0.10610840776600663</v>
      </c>
      <c r="E1">
        <f>+SUM(E16:E172)</f>
        <v>39.750258811277718</v>
      </c>
      <c r="F1" t="s">
        <v>0</v>
      </c>
      <c r="I1" t="s">
        <v>0</v>
      </c>
      <c r="L1" t="s">
        <v>0</v>
      </c>
    </row>
    <row r="2" spans="1:13">
      <c r="B2">
        <v>0.7</v>
      </c>
      <c r="F2" t="s">
        <v>1</v>
      </c>
      <c r="I2" t="s">
        <v>1</v>
      </c>
      <c r="L2" t="s">
        <v>1</v>
      </c>
    </row>
    <row r="3" spans="1:13">
      <c r="B3">
        <f>1-$B$2</f>
        <v>0.30000000000000004</v>
      </c>
      <c r="F3" t="s">
        <v>2</v>
      </c>
      <c r="I3" t="s">
        <v>2</v>
      </c>
      <c r="L3" t="s">
        <v>2</v>
      </c>
    </row>
    <row r="4" spans="1:13">
      <c r="B4">
        <v>0.5</v>
      </c>
      <c r="F4" t="s">
        <v>3</v>
      </c>
      <c r="I4" t="s">
        <v>3</v>
      </c>
      <c r="L4" t="s">
        <v>3</v>
      </c>
    </row>
    <row r="5" spans="1:13">
      <c r="F5" t="s">
        <v>4</v>
      </c>
      <c r="I5" t="s">
        <v>4</v>
      </c>
      <c r="L5" t="s">
        <v>14</v>
      </c>
    </row>
    <row r="6" spans="1:13">
      <c r="A6" s="1" t="s">
        <v>41</v>
      </c>
      <c r="F6" t="s">
        <v>5</v>
      </c>
      <c r="I6" t="s">
        <v>5</v>
      </c>
      <c r="L6" t="s">
        <v>15</v>
      </c>
    </row>
    <row r="7" spans="1:13">
      <c r="F7" t="s">
        <v>6</v>
      </c>
      <c r="I7" t="s">
        <v>6</v>
      </c>
      <c r="L7" t="s">
        <v>6</v>
      </c>
    </row>
    <row r="8" spans="1:13">
      <c r="F8" t="s">
        <v>7</v>
      </c>
      <c r="I8" t="s">
        <v>7</v>
      </c>
      <c r="L8" t="s">
        <v>16</v>
      </c>
    </row>
    <row r="9" spans="1:13">
      <c r="F9" t="s">
        <v>3</v>
      </c>
      <c r="I9" t="s">
        <v>3</v>
      </c>
      <c r="L9" t="s">
        <v>3</v>
      </c>
    </row>
    <row r="10" spans="1:13">
      <c r="F10" t="s">
        <v>2</v>
      </c>
      <c r="I10" t="s">
        <v>2</v>
      </c>
      <c r="L10" t="s">
        <v>2</v>
      </c>
    </row>
    <row r="11" spans="1:13">
      <c r="F11" t="s">
        <v>8</v>
      </c>
      <c r="I11" t="s">
        <v>23</v>
      </c>
      <c r="L11" t="s">
        <v>17</v>
      </c>
    </row>
    <row r="12" spans="1:13">
      <c r="F12" t="s">
        <v>2</v>
      </c>
      <c r="I12" t="s">
        <v>2</v>
      </c>
      <c r="L12" t="s">
        <v>2</v>
      </c>
    </row>
    <row r="13" spans="1:13">
      <c r="F13" t="s">
        <v>9</v>
      </c>
      <c r="I13" t="s">
        <v>24</v>
      </c>
      <c r="L13" t="s">
        <v>18</v>
      </c>
    </row>
    <row r="14" spans="1:13">
      <c r="D14" t="s">
        <v>39</v>
      </c>
      <c r="F14" t="s">
        <v>10</v>
      </c>
      <c r="I14" t="s">
        <v>10</v>
      </c>
      <c r="L14" t="s">
        <v>10</v>
      </c>
    </row>
    <row r="15" spans="1:13">
      <c r="A15" t="s">
        <v>35</v>
      </c>
      <c r="B15" t="s">
        <v>37</v>
      </c>
      <c r="C15" t="s">
        <v>27</v>
      </c>
      <c r="D15" t="s">
        <v>38</v>
      </c>
      <c r="F15" t="s">
        <v>20</v>
      </c>
      <c r="G15" t="s">
        <v>27</v>
      </c>
      <c r="I15" t="s">
        <v>20</v>
      </c>
      <c r="L15" t="s">
        <v>20</v>
      </c>
    </row>
    <row r="16" spans="1:13">
      <c r="A16">
        <f>+$F16</f>
        <v>1850.17</v>
      </c>
      <c r="B16">
        <f>Land*($G16+Offset)+Ocean*$J16</f>
        <v>-0.24402690999999999</v>
      </c>
      <c r="C16">
        <f>+$M16</f>
        <v>-0.27318300000000001</v>
      </c>
      <c r="D16">
        <f>Land*($G16)+Ocean*($G16*Fraction)</f>
        <v>-2.6303355E-2</v>
      </c>
      <c r="E16">
        <f>+(($D16-$C16)/$C16)^2</f>
        <v>0.8167012653837129</v>
      </c>
      <c r="F16">
        <v>1850.17</v>
      </c>
      <c r="G16">
        <v>-4.0466700000000001E-2</v>
      </c>
      <c r="I16">
        <v>1850.17</v>
      </c>
      <c r="J16">
        <v>-0.33126699999999998</v>
      </c>
      <c r="L16">
        <v>1850.17</v>
      </c>
      <c r="M16">
        <v>-0.27318300000000001</v>
      </c>
    </row>
    <row r="17" spans="1:13">
      <c r="A17">
        <f t="shared" ref="A17:A80" si="0">+$F17</f>
        <v>1851.17</v>
      </c>
      <c r="B17">
        <f>Land*($G17+Offset)+Ocean*$J17</f>
        <v>-0.21817498999999996</v>
      </c>
      <c r="C17">
        <f t="shared" ref="C17:C80" si="1">+$M17</f>
        <v>-0.25173299999999998</v>
      </c>
      <c r="D17">
        <f>Land*($G17)+Ocean*($G17*Fraction)</f>
        <v>-9.9016450000000006E-3</v>
      </c>
      <c r="E17">
        <f t="shared" ref="E17:E80" si="2">+(($D17-$C17)/$C17)^2</f>
        <v>0.92287932247825732</v>
      </c>
      <c r="F17">
        <v>1851.17</v>
      </c>
      <c r="G17">
        <v>-1.52333E-2</v>
      </c>
      <c r="I17">
        <v>1851.17</v>
      </c>
      <c r="J17">
        <v>-0.30514999999999998</v>
      </c>
      <c r="L17">
        <v>1851.17</v>
      </c>
      <c r="M17">
        <v>-0.25173299999999998</v>
      </c>
    </row>
    <row r="18" spans="1:13">
      <c r="A18">
        <f t="shared" si="0"/>
        <v>1852.17</v>
      </c>
      <c r="B18">
        <f>Land*($G18+Offset)+Ocean*$J18</f>
        <v>-0.27263999999999999</v>
      </c>
      <c r="C18">
        <f t="shared" si="1"/>
        <v>-0.27898299999999998</v>
      </c>
      <c r="D18">
        <f>Land*($G18)+Ocean*($G18*Fraction)</f>
        <v>-0.10114000000000001</v>
      </c>
      <c r="E18">
        <f t="shared" si="2"/>
        <v>0.40636666185833198</v>
      </c>
      <c r="F18">
        <v>1852.17</v>
      </c>
      <c r="G18">
        <v>-0.15559999999999999</v>
      </c>
      <c r="I18">
        <v>1852.17</v>
      </c>
      <c r="J18">
        <v>-0.32279999999999998</v>
      </c>
      <c r="L18">
        <v>1852.17</v>
      </c>
      <c r="M18">
        <v>-0.27898299999999998</v>
      </c>
    </row>
    <row r="19" spans="1:13">
      <c r="A19">
        <f t="shared" si="0"/>
        <v>1853.17</v>
      </c>
      <c r="B19">
        <f>Land*($G19+Offset)+Ocean*$J19</f>
        <v>-0.34194010000000002</v>
      </c>
      <c r="C19">
        <f t="shared" si="1"/>
        <v>-0.32541700000000001</v>
      </c>
      <c r="D19">
        <f>Land*($G19)+Ocean*($G19*Fraction)</f>
        <v>-0.18448105000000001</v>
      </c>
      <c r="E19">
        <f t="shared" si="2"/>
        <v>0.18756987995363042</v>
      </c>
      <c r="F19">
        <v>1853.17</v>
      </c>
      <c r="G19">
        <v>-0.28381699999999999</v>
      </c>
      <c r="I19">
        <v>1853.17</v>
      </c>
      <c r="J19">
        <v>-0.36685000000000001</v>
      </c>
      <c r="L19">
        <v>1853.17</v>
      </c>
      <c r="M19">
        <v>-0.32541700000000001</v>
      </c>
    </row>
    <row r="20" spans="1:13">
      <c r="A20">
        <f t="shared" si="0"/>
        <v>1854.17</v>
      </c>
      <c r="B20">
        <f>Land*($G20+Offset)+Ocean*$J20</f>
        <v>-0.3861018</v>
      </c>
      <c r="C20">
        <f t="shared" si="1"/>
        <v>-0.36413299999999998</v>
      </c>
      <c r="D20">
        <f>Land*($G20)+Ocean*($G20*Fraction)</f>
        <v>-0.21416395000000005</v>
      </c>
      <c r="E20">
        <f t="shared" si="2"/>
        <v>0.16962239945543253</v>
      </c>
      <c r="F20">
        <v>1854.17</v>
      </c>
      <c r="G20">
        <v>-0.32948300000000003</v>
      </c>
      <c r="I20">
        <v>1854.17</v>
      </c>
      <c r="J20">
        <v>-0.41036699999999998</v>
      </c>
      <c r="L20">
        <v>1854.17</v>
      </c>
      <c r="M20">
        <v>-0.36413299999999998</v>
      </c>
    </row>
    <row r="21" spans="1:13">
      <c r="A21">
        <f t="shared" si="0"/>
        <v>1855.17</v>
      </c>
      <c r="B21">
        <f>Land*($G21+Offset)+Ocean*$J21</f>
        <v>-0.41748300000000005</v>
      </c>
      <c r="C21">
        <f t="shared" si="1"/>
        <v>-0.37238300000000002</v>
      </c>
      <c r="D21">
        <f>Land*($G21)+Ocean*($G21*Fraction)</f>
        <v>-0.25953395000000001</v>
      </c>
      <c r="E21">
        <f t="shared" si="2"/>
        <v>9.1836668776968861E-2</v>
      </c>
      <c r="F21">
        <v>1855.17</v>
      </c>
      <c r="G21">
        <v>-0.399283</v>
      </c>
      <c r="I21">
        <v>1855.17</v>
      </c>
      <c r="J21">
        <v>-0.42528300000000002</v>
      </c>
      <c r="L21">
        <v>1855.17</v>
      </c>
      <c r="M21">
        <v>-0.37238300000000002</v>
      </c>
    </row>
    <row r="22" spans="1:13">
      <c r="A22">
        <f t="shared" si="0"/>
        <v>1856.17</v>
      </c>
      <c r="B22">
        <f>Land*($G22+Offset)+Ocean*$J22</f>
        <v>-0.44178510000000004</v>
      </c>
      <c r="C22">
        <f t="shared" si="1"/>
        <v>-0.38746700000000001</v>
      </c>
      <c r="D22">
        <f>Land*($G22)+Ocean*($G22*Fraction)</f>
        <v>-0.30495854999999999</v>
      </c>
      <c r="E22">
        <f t="shared" si="2"/>
        <v>4.5344792275276345E-2</v>
      </c>
      <c r="F22">
        <v>1856.17</v>
      </c>
      <c r="G22">
        <v>-0.469167</v>
      </c>
      <c r="I22">
        <v>1856.17</v>
      </c>
      <c r="J22">
        <v>-0.43004999999999999</v>
      </c>
      <c r="L22">
        <v>1856.17</v>
      </c>
      <c r="M22">
        <v>-0.38746700000000001</v>
      </c>
    </row>
    <row r="23" spans="1:13">
      <c r="A23">
        <f t="shared" si="0"/>
        <v>1857.17</v>
      </c>
      <c r="B23">
        <f>Land*($G23+Offset)+Ocean*$J23</f>
        <v>-0.44127500000000003</v>
      </c>
      <c r="C23">
        <f t="shared" si="1"/>
        <v>-0.394233</v>
      </c>
      <c r="D23">
        <f>Land*($G23)+Ocean*($G23*Fraction)</f>
        <v>-0.29513250000000002</v>
      </c>
      <c r="E23">
        <f t="shared" si="2"/>
        <v>6.318961969397846E-2</v>
      </c>
      <c r="F23">
        <v>1857.17</v>
      </c>
      <c r="G23">
        <v>-0.45405000000000001</v>
      </c>
      <c r="I23">
        <v>1857.17</v>
      </c>
      <c r="J23">
        <v>-0.43580000000000002</v>
      </c>
      <c r="L23">
        <v>1857.17</v>
      </c>
      <c r="M23">
        <v>-0.394233</v>
      </c>
    </row>
    <row r="24" spans="1:13">
      <c r="A24">
        <f t="shared" si="0"/>
        <v>1858.17</v>
      </c>
      <c r="B24">
        <f>Land*($G24+Offset)+Ocean*$J24</f>
        <v>-0.4546481</v>
      </c>
      <c r="C24">
        <f t="shared" si="1"/>
        <v>-0.40363300000000002</v>
      </c>
      <c r="D24">
        <f>Land*($G24)+Ocean*($G24*Fraction)</f>
        <v>-0.32815250000000007</v>
      </c>
      <c r="E24">
        <f t="shared" si="2"/>
        <v>3.4970046121496262E-2</v>
      </c>
      <c r="F24">
        <v>1858.17</v>
      </c>
      <c r="G24">
        <v>-0.50485000000000002</v>
      </c>
      <c r="I24">
        <v>1858.17</v>
      </c>
      <c r="J24">
        <v>-0.43313299999999999</v>
      </c>
      <c r="L24">
        <v>1858.17</v>
      </c>
      <c r="M24">
        <v>-0.40363300000000002</v>
      </c>
    </row>
    <row r="25" spans="1:13">
      <c r="A25">
        <f t="shared" si="0"/>
        <v>1859.17</v>
      </c>
      <c r="B25">
        <f>Land*($G25+Offset)+Ocean*$J25</f>
        <v>-0.42620009999999997</v>
      </c>
      <c r="C25">
        <f t="shared" si="1"/>
        <v>-0.366817</v>
      </c>
      <c r="D25">
        <f>Land*($G25)+Ocean*($G25*Fraction)</f>
        <v>-0.29121105000000003</v>
      </c>
      <c r="E25">
        <f t="shared" si="2"/>
        <v>4.248279091936373E-2</v>
      </c>
      <c r="F25">
        <v>1859.17</v>
      </c>
      <c r="G25">
        <v>-0.448017</v>
      </c>
      <c r="I25">
        <v>1859.17</v>
      </c>
      <c r="J25">
        <v>-0.41685</v>
      </c>
      <c r="L25">
        <v>1859.17</v>
      </c>
      <c r="M25">
        <v>-0.366817</v>
      </c>
    </row>
    <row r="26" spans="1:13">
      <c r="A26">
        <f t="shared" si="0"/>
        <v>1860.17</v>
      </c>
      <c r="B26">
        <f>Land*($G26+Offset)+Ocean*$J26</f>
        <v>-0.45339810000000003</v>
      </c>
      <c r="C26">
        <f t="shared" si="1"/>
        <v>-0.40446700000000002</v>
      </c>
      <c r="D26">
        <f>Land*($G26)+Ocean*($G26*Fraction)</f>
        <v>-0.350545</v>
      </c>
      <c r="E26">
        <f t="shared" si="2"/>
        <v>1.777320689798198E-2</v>
      </c>
      <c r="F26">
        <v>1860.17</v>
      </c>
      <c r="G26">
        <v>-0.5393</v>
      </c>
      <c r="I26">
        <v>1860.17</v>
      </c>
      <c r="J26">
        <v>-0.41658299999999998</v>
      </c>
      <c r="L26">
        <v>1860.17</v>
      </c>
      <c r="M26">
        <v>-0.40446700000000002</v>
      </c>
    </row>
    <row r="27" spans="1:13">
      <c r="A27">
        <f t="shared" si="0"/>
        <v>1861.17</v>
      </c>
      <c r="B27">
        <f>Land*($G27+Offset)+Ocean*$J27</f>
        <v>-0.43191190000000002</v>
      </c>
      <c r="C27">
        <f t="shared" si="1"/>
        <v>-0.39005000000000001</v>
      </c>
      <c r="D27">
        <f>Land*($G27)+Ocean*($G27*Fraction)</f>
        <v>-0.32213999999999998</v>
      </c>
      <c r="E27">
        <f t="shared" si="2"/>
        <v>3.0312858795035178E-2</v>
      </c>
      <c r="F27">
        <v>1861.17</v>
      </c>
      <c r="G27">
        <v>-0.49559999999999998</v>
      </c>
      <c r="I27">
        <v>1861.17</v>
      </c>
      <c r="J27">
        <v>-0.404617</v>
      </c>
      <c r="L27">
        <v>1861.17</v>
      </c>
      <c r="M27">
        <v>-0.39005000000000001</v>
      </c>
    </row>
    <row r="28" spans="1:13">
      <c r="A28">
        <f t="shared" si="0"/>
        <v>1862.17</v>
      </c>
      <c r="B28">
        <f>Land*($G28+Offset)+Ocean*$J28</f>
        <v>-0.40440180000000003</v>
      </c>
      <c r="C28">
        <f t="shared" si="1"/>
        <v>-0.35844999999999999</v>
      </c>
      <c r="D28">
        <f>Land*($G28)+Ocean*($G28*Fraction)</f>
        <v>-0.30864144999999998</v>
      </c>
      <c r="E28">
        <f t="shared" si="2"/>
        <v>1.9308593009306964E-2</v>
      </c>
      <c r="F28">
        <v>1862.17</v>
      </c>
      <c r="G28">
        <v>-0.47483300000000001</v>
      </c>
      <c r="I28">
        <v>1862.17</v>
      </c>
      <c r="J28">
        <v>-0.37421700000000002</v>
      </c>
      <c r="L28">
        <v>1862.17</v>
      </c>
      <c r="M28">
        <v>-0.35844999999999999</v>
      </c>
    </row>
    <row r="29" spans="1:13">
      <c r="A29">
        <f t="shared" si="0"/>
        <v>1863.17</v>
      </c>
      <c r="B29">
        <f>Land*($G29+Offset)+Ocean*$J29</f>
        <v>-0.35631309999999999</v>
      </c>
      <c r="C29">
        <f t="shared" si="1"/>
        <v>-0.31781700000000002</v>
      </c>
      <c r="D29">
        <f>Land*($G29)+Ocean*($G29*Fraction)</f>
        <v>-0.28473250000000005</v>
      </c>
      <c r="E29">
        <f t="shared" si="2"/>
        <v>1.0836646423653153E-2</v>
      </c>
      <c r="F29">
        <v>1863.17</v>
      </c>
      <c r="G29">
        <v>-0.43804999999999999</v>
      </c>
      <c r="I29">
        <v>1863.17</v>
      </c>
      <c r="J29">
        <v>-0.32128299999999999</v>
      </c>
      <c r="L29">
        <v>1863.17</v>
      </c>
      <c r="M29">
        <v>-0.31781700000000002</v>
      </c>
    </row>
    <row r="30" spans="1:13">
      <c r="A30">
        <f t="shared" si="0"/>
        <v>1864.17</v>
      </c>
      <c r="B30">
        <f>Land*($G30+Offset)+Ocean*$J30</f>
        <v>-0.32669510000000002</v>
      </c>
      <c r="C30">
        <f t="shared" si="1"/>
        <v>-0.30658299999999999</v>
      </c>
      <c r="D30">
        <f>Land*($G30)+Ocean*($G30*Fraction)</f>
        <v>-0.29803605</v>
      </c>
      <c r="E30">
        <f t="shared" si="2"/>
        <v>7.7718818094087041E-4</v>
      </c>
      <c r="F30">
        <v>1864.17</v>
      </c>
      <c r="G30">
        <v>-0.45851700000000001</v>
      </c>
      <c r="I30">
        <v>1864.17</v>
      </c>
      <c r="J30">
        <v>-0.2702</v>
      </c>
      <c r="L30">
        <v>1864.17</v>
      </c>
      <c r="M30">
        <v>-0.30658299999999999</v>
      </c>
    </row>
    <row r="31" spans="1:13">
      <c r="A31">
        <f t="shared" si="0"/>
        <v>1865.17</v>
      </c>
      <c r="B31">
        <f>Land*($G31+Offset)+Ocean*$J31</f>
        <v>-0.28438800000000003</v>
      </c>
      <c r="C31">
        <f t="shared" si="1"/>
        <v>-0.26173299999999999</v>
      </c>
      <c r="D31">
        <f>Land*($G31)+Ocean*($G31*Fraction)</f>
        <v>-0.24461644999999999</v>
      </c>
      <c r="E31">
        <f t="shared" si="2"/>
        <v>4.2767661093314124E-3</v>
      </c>
      <c r="F31">
        <v>1865.17</v>
      </c>
      <c r="G31">
        <v>-0.37633299999999997</v>
      </c>
      <c r="I31">
        <v>1865.17</v>
      </c>
      <c r="J31">
        <v>-0.24498300000000001</v>
      </c>
      <c r="L31">
        <v>1865.17</v>
      </c>
      <c r="M31">
        <v>-0.26173299999999999</v>
      </c>
    </row>
    <row r="32" spans="1:13">
      <c r="A32">
        <f t="shared" si="0"/>
        <v>1866.17</v>
      </c>
      <c r="B32">
        <f>Land*($G32+Offset)+Ocean*$J32</f>
        <v>-0.286107</v>
      </c>
      <c r="C32">
        <f t="shared" si="1"/>
        <v>-0.26116699999999998</v>
      </c>
      <c r="D32">
        <f>Land*($G32)+Ocean*($G32*Fraction)</f>
        <v>-0.25458354999999999</v>
      </c>
      <c r="E32">
        <f t="shared" si="2"/>
        <v>6.3543404901705315E-4</v>
      </c>
      <c r="F32">
        <v>1866.17</v>
      </c>
      <c r="G32">
        <v>-0.39166699999999999</v>
      </c>
      <c r="I32">
        <v>1866.17</v>
      </c>
      <c r="J32">
        <v>-0.240867</v>
      </c>
      <c r="L32">
        <v>1866.17</v>
      </c>
      <c r="M32">
        <v>-0.26116699999999998</v>
      </c>
    </row>
    <row r="33" spans="1:13">
      <c r="A33">
        <f t="shared" si="0"/>
        <v>1867.17</v>
      </c>
      <c r="B33">
        <f>Land*($G33+Offset)+Ocean*$J33</f>
        <v>-0.30056189999999999</v>
      </c>
      <c r="C33">
        <f t="shared" si="1"/>
        <v>-0.27953299999999998</v>
      </c>
      <c r="D33">
        <f>Land*($G33)+Ocean*($G33*Fraction)</f>
        <v>-0.28499249999999998</v>
      </c>
      <c r="E33">
        <f t="shared" si="2"/>
        <v>3.8145171315819563E-4</v>
      </c>
      <c r="F33">
        <v>1867.17</v>
      </c>
      <c r="G33">
        <v>-0.43845000000000001</v>
      </c>
      <c r="I33">
        <v>1867.17</v>
      </c>
      <c r="J33">
        <v>-0.24146699999999999</v>
      </c>
      <c r="L33">
        <v>1867.17</v>
      </c>
      <c r="M33">
        <v>-0.27953299999999998</v>
      </c>
    </row>
    <row r="34" spans="1:13">
      <c r="A34">
        <f t="shared" si="0"/>
        <v>1868.17</v>
      </c>
      <c r="B34">
        <f>Land*($G34+Offset)+Ocean*$J34</f>
        <v>-0.29418820000000001</v>
      </c>
      <c r="C34">
        <f t="shared" si="1"/>
        <v>-0.26333299999999998</v>
      </c>
      <c r="D34">
        <f>Land*($G34)+Ocean*($G34*Fraction)</f>
        <v>-0.25477854999999999</v>
      </c>
      <c r="E34">
        <f t="shared" si="2"/>
        <v>1.0552943447949181E-3</v>
      </c>
      <c r="F34">
        <v>1868.17</v>
      </c>
      <c r="G34">
        <v>-0.39196700000000001</v>
      </c>
      <c r="I34">
        <v>1868.17</v>
      </c>
      <c r="J34">
        <v>-0.25228299999999998</v>
      </c>
      <c r="L34">
        <v>1868.17</v>
      </c>
      <c r="M34">
        <v>-0.26333299999999998</v>
      </c>
    </row>
    <row r="35" spans="1:13">
      <c r="A35">
        <f t="shared" si="0"/>
        <v>1869.17</v>
      </c>
      <c r="B35">
        <f>Land*($G35+Offset)+Ocean*$J35</f>
        <v>-0.31447800000000004</v>
      </c>
      <c r="C35">
        <f t="shared" si="1"/>
        <v>-0.27868300000000001</v>
      </c>
      <c r="D35">
        <f>Land*($G35)+Ocean*($G35*Fraction)</f>
        <v>-0.25703144999999999</v>
      </c>
      <c r="E35">
        <f t="shared" si="2"/>
        <v>6.0361083993052938E-3</v>
      </c>
      <c r="F35">
        <v>1869.17</v>
      </c>
      <c r="G35">
        <v>-0.39543299999999998</v>
      </c>
      <c r="I35">
        <v>1869.17</v>
      </c>
      <c r="J35">
        <v>-0.279783</v>
      </c>
      <c r="L35">
        <v>1869.17</v>
      </c>
      <c r="M35">
        <v>-0.27868300000000001</v>
      </c>
    </row>
    <row r="36" spans="1:13">
      <c r="A36">
        <f t="shared" si="0"/>
        <v>1870.17</v>
      </c>
      <c r="B36">
        <f>Land*($G36+Offset)+Ocean*$J36</f>
        <v>-0.34110680000000004</v>
      </c>
      <c r="C36">
        <f t="shared" si="1"/>
        <v>-0.301983</v>
      </c>
      <c r="D36">
        <f>Land*($G36)+Ocean*($G36*Fraction)</f>
        <v>-0.27425644999999998</v>
      </c>
      <c r="E36">
        <f t="shared" si="2"/>
        <v>8.4299825833011859E-3</v>
      </c>
      <c r="F36">
        <v>1870.17</v>
      </c>
      <c r="G36">
        <v>-0.421933</v>
      </c>
      <c r="I36">
        <v>1870.17</v>
      </c>
      <c r="J36">
        <v>-0.30646699999999999</v>
      </c>
      <c r="L36">
        <v>1870.17</v>
      </c>
      <c r="M36">
        <v>-0.301983</v>
      </c>
    </row>
    <row r="37" spans="1:13">
      <c r="A37">
        <f t="shared" si="0"/>
        <v>1871.17</v>
      </c>
      <c r="B37">
        <f>Land*($G37+Offset)+Ocean*$J37</f>
        <v>-0.36969490000000005</v>
      </c>
      <c r="C37">
        <f t="shared" si="1"/>
        <v>-0.33011699999999999</v>
      </c>
      <c r="D37">
        <f>Land*($G37)+Ocean*($G37*Fraction)</f>
        <v>-0.31900895000000007</v>
      </c>
      <c r="E37">
        <f t="shared" si="2"/>
        <v>1.1322435946082654E-3</v>
      </c>
      <c r="F37">
        <v>1871.17</v>
      </c>
      <c r="G37">
        <v>-0.49078300000000002</v>
      </c>
      <c r="I37">
        <v>1871.17</v>
      </c>
      <c r="J37">
        <v>-0.31780000000000003</v>
      </c>
      <c r="L37">
        <v>1871.17</v>
      </c>
      <c r="M37">
        <v>-0.33011699999999999</v>
      </c>
    </row>
    <row r="38" spans="1:13">
      <c r="A38">
        <f t="shared" si="0"/>
        <v>1872.17</v>
      </c>
      <c r="B38">
        <f>Land*($G38+Offset)+Ocean*$J38</f>
        <v>-0.37923989999999996</v>
      </c>
      <c r="C38">
        <f t="shared" si="1"/>
        <v>-0.34115000000000001</v>
      </c>
      <c r="D38">
        <f>Land*($G38)+Ocean*($G38*Fraction)</f>
        <v>-0.30184895</v>
      </c>
      <c r="E38">
        <f t="shared" si="2"/>
        <v>1.3271424959555526E-2</v>
      </c>
      <c r="F38">
        <v>1872.17</v>
      </c>
      <c r="G38">
        <v>-0.46438299999999999</v>
      </c>
      <c r="I38">
        <v>1872.17</v>
      </c>
      <c r="J38">
        <v>-0.34275</v>
      </c>
      <c r="L38">
        <v>1872.17</v>
      </c>
      <c r="M38">
        <v>-0.34115000000000001</v>
      </c>
    </row>
    <row r="39" spans="1:13">
      <c r="A39">
        <f t="shared" si="0"/>
        <v>1873.17</v>
      </c>
      <c r="B39">
        <f>Land*($G39+Offset)+Ocean*$J39</f>
        <v>-0.34763189999999999</v>
      </c>
      <c r="C39">
        <f t="shared" si="1"/>
        <v>-0.31085000000000002</v>
      </c>
      <c r="D39">
        <f>Land*($G39)+Ocean*($G39*Fraction)</f>
        <v>-0.30120999999999998</v>
      </c>
      <c r="E39">
        <f t="shared" si="2"/>
        <v>9.6172814173490139E-4</v>
      </c>
      <c r="F39">
        <v>1873.17</v>
      </c>
      <c r="G39">
        <v>-0.46339999999999998</v>
      </c>
      <c r="I39">
        <v>1873.17</v>
      </c>
      <c r="J39">
        <v>-0.29801699999999998</v>
      </c>
      <c r="L39">
        <v>1873.17</v>
      </c>
      <c r="M39">
        <v>-0.31085000000000002</v>
      </c>
    </row>
    <row r="40" spans="1:13">
      <c r="A40">
        <f t="shared" si="0"/>
        <v>1874.17</v>
      </c>
      <c r="B40">
        <f>Land*($G40+Offset)+Ocean*$J40</f>
        <v>-0.28273490000000001</v>
      </c>
      <c r="C40">
        <f t="shared" si="1"/>
        <v>-0.24313299999999999</v>
      </c>
      <c r="D40">
        <f>Land*($G40)+Ocean*($G40*Fraction)</f>
        <v>-0.26080144999999999</v>
      </c>
      <c r="E40">
        <f t="shared" si="2"/>
        <v>5.2809138897594891E-3</v>
      </c>
      <c r="F40">
        <v>1874.17</v>
      </c>
      <c r="G40">
        <v>-0.40123300000000001</v>
      </c>
      <c r="I40">
        <v>1874.17</v>
      </c>
      <c r="J40">
        <v>-0.23194999999999999</v>
      </c>
      <c r="L40">
        <v>1874.17</v>
      </c>
      <c r="M40">
        <v>-0.24313299999999999</v>
      </c>
    </row>
    <row r="41" spans="1:13">
      <c r="A41">
        <f t="shared" si="0"/>
        <v>1875.17</v>
      </c>
      <c r="B41">
        <f>Land*($G41+Offset)+Ocean*$J41</f>
        <v>-0.26299700000000004</v>
      </c>
      <c r="C41">
        <f t="shared" si="1"/>
        <v>-0.21460000000000001</v>
      </c>
      <c r="D41">
        <f>Land*($G41)+Ocean*($G41*Fraction)</f>
        <v>-0.26927355000000003</v>
      </c>
      <c r="E41">
        <f t="shared" si="2"/>
        <v>6.4907534458058941E-2</v>
      </c>
      <c r="F41">
        <v>1875.17</v>
      </c>
      <c r="G41">
        <v>-0.414267</v>
      </c>
      <c r="I41">
        <v>1875.17</v>
      </c>
      <c r="J41">
        <v>-0.19816700000000001</v>
      </c>
      <c r="L41">
        <v>1875.17</v>
      </c>
      <c r="M41">
        <v>-0.21460000000000001</v>
      </c>
    </row>
    <row r="42" spans="1:13">
      <c r="A42">
        <f t="shared" si="0"/>
        <v>1876.17</v>
      </c>
      <c r="B42">
        <f>Land*($G42+Offset)+Ocean*$J42</f>
        <v>-0.22625010000000001</v>
      </c>
      <c r="C42">
        <f t="shared" si="1"/>
        <v>-0.17715</v>
      </c>
      <c r="D42">
        <f>Land*($G42)+Ocean*($G42*Fraction)</f>
        <v>-0.20355855</v>
      </c>
      <c r="E42">
        <f t="shared" si="2"/>
        <v>2.2223210463298022E-2</v>
      </c>
      <c r="F42">
        <v>1876.17</v>
      </c>
      <c r="G42">
        <v>-0.31316699999999997</v>
      </c>
      <c r="I42">
        <v>1876.17</v>
      </c>
      <c r="J42">
        <v>-0.189</v>
      </c>
      <c r="L42">
        <v>1876.17</v>
      </c>
      <c r="M42">
        <v>-0.17715</v>
      </c>
    </row>
    <row r="43" spans="1:13">
      <c r="A43">
        <f t="shared" si="0"/>
        <v>1877.17</v>
      </c>
      <c r="B43">
        <f>Land*($G43+Offset)+Ocean*$J43</f>
        <v>-0.19997180000000001</v>
      </c>
      <c r="C43">
        <f t="shared" si="1"/>
        <v>-0.14091699999999999</v>
      </c>
      <c r="D43">
        <f>Land*($G43)+Ocean*($G43*Fraction)</f>
        <v>-0.20051395</v>
      </c>
      <c r="E43">
        <f t="shared" si="2"/>
        <v>0.17886332136275326</v>
      </c>
      <c r="F43">
        <v>1877.17</v>
      </c>
      <c r="G43">
        <v>-0.30848300000000001</v>
      </c>
      <c r="I43">
        <v>1877.17</v>
      </c>
      <c r="J43">
        <v>-0.15346699999999999</v>
      </c>
      <c r="L43">
        <v>1877.17</v>
      </c>
      <c r="M43">
        <v>-0.14091699999999999</v>
      </c>
    </row>
    <row r="44" spans="1:13">
      <c r="A44">
        <f t="shared" si="0"/>
        <v>1878.17</v>
      </c>
      <c r="B44">
        <f>Land*($G44+Offset)+Ocean*$J44</f>
        <v>-0.23049199999999997</v>
      </c>
      <c r="C44">
        <f t="shared" si="1"/>
        <v>-0.16855000000000001</v>
      </c>
      <c r="D44">
        <f>Land*($G44)+Ocean*($G44*Fraction)</f>
        <v>-0.20203104999999999</v>
      </c>
      <c r="E44">
        <f t="shared" si="2"/>
        <v>3.9458504861337979E-2</v>
      </c>
      <c r="F44">
        <v>1878.17</v>
      </c>
      <c r="G44">
        <v>-0.31081700000000001</v>
      </c>
      <c r="I44">
        <v>1878.17</v>
      </c>
      <c r="J44">
        <v>-0.19606699999999999</v>
      </c>
      <c r="L44">
        <v>1878.17</v>
      </c>
      <c r="M44">
        <v>-0.16855000000000001</v>
      </c>
    </row>
    <row r="45" spans="1:13">
      <c r="A45">
        <f t="shared" si="0"/>
        <v>1879.17</v>
      </c>
      <c r="B45">
        <f>Land*($G45+Offset)+Ocean*$J45</f>
        <v>-0.29658699999999999</v>
      </c>
      <c r="C45">
        <f t="shared" si="1"/>
        <v>-0.23335</v>
      </c>
      <c r="D45">
        <f>Land*($G45)+Ocean*($G45*Fraction)</f>
        <v>-0.26576355000000002</v>
      </c>
      <c r="E45">
        <f t="shared" si="2"/>
        <v>1.9294680278706726E-2</v>
      </c>
      <c r="F45">
        <v>1879.17</v>
      </c>
      <c r="G45">
        <v>-0.40886699999999998</v>
      </c>
      <c r="I45">
        <v>1879.17</v>
      </c>
      <c r="J45">
        <v>-0.24846699999999999</v>
      </c>
      <c r="L45">
        <v>1879.17</v>
      </c>
      <c r="M45">
        <v>-0.23335</v>
      </c>
    </row>
    <row r="46" spans="1:13">
      <c r="A46">
        <f t="shared" si="0"/>
        <v>1880.17</v>
      </c>
      <c r="B46">
        <f>Land*($G46+Offset)+Ocean*$J46</f>
        <v>-0.31413200000000002</v>
      </c>
      <c r="C46">
        <f t="shared" si="1"/>
        <v>-0.26741700000000002</v>
      </c>
      <c r="D46">
        <f>Land*($G46)+Ocean*($G46*Fraction)</f>
        <v>-0.28110354999999998</v>
      </c>
      <c r="E46">
        <f t="shared" si="2"/>
        <v>2.6194490277395956E-3</v>
      </c>
      <c r="F46">
        <v>1880.17</v>
      </c>
      <c r="G46">
        <v>-0.43246699999999999</v>
      </c>
      <c r="I46">
        <v>1880.17</v>
      </c>
      <c r="J46">
        <v>-0.26341700000000001</v>
      </c>
      <c r="L46">
        <v>1880.17</v>
      </c>
      <c r="M46">
        <v>-0.26741700000000002</v>
      </c>
    </row>
    <row r="47" spans="1:13">
      <c r="A47">
        <f t="shared" si="0"/>
        <v>1881.17</v>
      </c>
      <c r="B47">
        <f>Land*($G47+Offset)+Ocean*$J47</f>
        <v>-0.3393832</v>
      </c>
      <c r="C47">
        <f t="shared" si="1"/>
        <v>-0.29861700000000002</v>
      </c>
      <c r="D47">
        <f>Land*($G47)+Ocean*($G47*Fraction)</f>
        <v>-0.32016855</v>
      </c>
      <c r="E47">
        <f t="shared" si="2"/>
        <v>5.2086834481807039E-3</v>
      </c>
      <c r="F47">
        <v>1881.17</v>
      </c>
      <c r="G47">
        <v>-0.49256699999999998</v>
      </c>
      <c r="I47">
        <v>1881.17</v>
      </c>
      <c r="J47">
        <v>-0.273733</v>
      </c>
      <c r="L47">
        <v>1881.17</v>
      </c>
      <c r="M47">
        <v>-0.29861700000000002</v>
      </c>
    </row>
    <row r="48" spans="1:13">
      <c r="A48">
        <f t="shared" si="0"/>
        <v>1882.17</v>
      </c>
      <c r="B48">
        <f>Land*($G48+Offset)+Ocean*$J48</f>
        <v>-0.34376180000000001</v>
      </c>
      <c r="C48">
        <f t="shared" si="1"/>
        <v>-0.33055000000000001</v>
      </c>
      <c r="D48">
        <f>Land*($G48)+Ocean*($G48*Fraction)</f>
        <v>-0.32869395000000001</v>
      </c>
      <c r="E48">
        <f t="shared" si="2"/>
        <v>3.1528624192006208E-5</v>
      </c>
      <c r="F48">
        <v>1882.17</v>
      </c>
      <c r="G48">
        <v>-0.50568299999999999</v>
      </c>
      <c r="I48">
        <v>1882.17</v>
      </c>
      <c r="J48">
        <v>-0.27436700000000003</v>
      </c>
      <c r="L48">
        <v>1882.17</v>
      </c>
      <c r="M48">
        <v>-0.33055000000000001</v>
      </c>
    </row>
    <row r="49" spans="1:13">
      <c r="A49">
        <f t="shared" si="0"/>
        <v>1883.17</v>
      </c>
      <c r="B49">
        <f>Land*($G49+Offset)+Ocean*$J49</f>
        <v>-0.36844200000000005</v>
      </c>
      <c r="C49">
        <f t="shared" si="1"/>
        <v>-0.37128299999999997</v>
      </c>
      <c r="D49">
        <f>Land*($G49)+Ocean*($G49*Fraction)</f>
        <v>-0.35858355000000003</v>
      </c>
      <c r="E49">
        <f t="shared" si="2"/>
        <v>1.1699295107255459E-3</v>
      </c>
      <c r="F49">
        <v>1883.17</v>
      </c>
      <c r="G49">
        <v>-0.55166700000000002</v>
      </c>
      <c r="I49">
        <v>1883.17</v>
      </c>
      <c r="J49">
        <v>-0.28991699999999998</v>
      </c>
      <c r="L49">
        <v>1883.17</v>
      </c>
      <c r="M49">
        <v>-0.37128299999999997</v>
      </c>
    </row>
    <row r="50" spans="1:13">
      <c r="A50">
        <f t="shared" si="0"/>
        <v>1884.17</v>
      </c>
      <c r="B50">
        <f>Land*($G50+Offset)+Ocean*$J50</f>
        <v>-0.37086320000000006</v>
      </c>
      <c r="C50">
        <f t="shared" si="1"/>
        <v>-0.37498300000000001</v>
      </c>
      <c r="D50">
        <f>Land*($G50)+Ocean*($G50*Fraction)</f>
        <v>-0.36638355</v>
      </c>
      <c r="E50">
        <f t="shared" si="2"/>
        <v>5.2591819098627454E-4</v>
      </c>
      <c r="F50">
        <v>1884.17</v>
      </c>
      <c r="G50">
        <v>-0.56366700000000003</v>
      </c>
      <c r="I50">
        <v>1884.17</v>
      </c>
      <c r="J50">
        <v>-0.28823300000000002</v>
      </c>
      <c r="L50">
        <v>1884.17</v>
      </c>
      <c r="M50">
        <v>-0.37498300000000001</v>
      </c>
    </row>
    <row r="51" spans="1:13">
      <c r="A51">
        <f t="shared" si="0"/>
        <v>1885.17</v>
      </c>
      <c r="B51">
        <f>Land*($G51+Offset)+Ocean*$J51</f>
        <v>-0.33118179999999997</v>
      </c>
      <c r="C51">
        <f t="shared" si="1"/>
        <v>-0.32988299999999998</v>
      </c>
      <c r="D51">
        <f>Land*($G51)+Ocean*($G51*Fraction)</f>
        <v>-0.32820644999999998</v>
      </c>
      <c r="E51">
        <f t="shared" si="2"/>
        <v>2.5829330485053697E-5</v>
      </c>
      <c r="F51">
        <v>1885.17</v>
      </c>
      <c r="G51">
        <v>-0.50493299999999997</v>
      </c>
      <c r="I51">
        <v>1885.17</v>
      </c>
      <c r="J51">
        <v>-0.25671699999999997</v>
      </c>
      <c r="L51">
        <v>1885.17</v>
      </c>
      <c r="M51">
        <v>-0.32988299999999998</v>
      </c>
    </row>
    <row r="52" spans="1:13">
      <c r="A52">
        <f t="shared" si="0"/>
        <v>1886.17</v>
      </c>
      <c r="B52">
        <f>Land*($G52+Offset)+Ocean*$J52</f>
        <v>-0.34064690000000003</v>
      </c>
      <c r="C52">
        <f t="shared" si="1"/>
        <v>-0.33800000000000002</v>
      </c>
      <c r="D52">
        <f>Land*($G52)+Ocean*($G52*Fraction)</f>
        <v>-0.30420000000000003</v>
      </c>
      <c r="E52">
        <f t="shared" si="2"/>
        <v>9.999999999999995E-3</v>
      </c>
      <c r="F52">
        <v>1886.17</v>
      </c>
      <c r="G52">
        <v>-0.46800000000000003</v>
      </c>
      <c r="I52">
        <v>1886.17</v>
      </c>
      <c r="J52">
        <v>-0.28606700000000002</v>
      </c>
      <c r="L52">
        <v>1886.17</v>
      </c>
      <c r="M52">
        <v>-0.33800000000000002</v>
      </c>
    </row>
    <row r="53" spans="1:13">
      <c r="A53">
        <f t="shared" si="0"/>
        <v>1887.17</v>
      </c>
      <c r="B53">
        <f>Land*($G53+Offset)+Ocean*$J53</f>
        <v>-0.3570082</v>
      </c>
      <c r="C53">
        <f t="shared" si="1"/>
        <v>-0.33336700000000002</v>
      </c>
      <c r="D53">
        <f>Land*($G53)+Ocean*($G53*Fraction)</f>
        <v>-0.31240105000000007</v>
      </c>
      <c r="E53">
        <f t="shared" si="2"/>
        <v>3.9553405154899258E-3</v>
      </c>
      <c r="F53">
        <v>1887.17</v>
      </c>
      <c r="G53">
        <v>-0.48061700000000002</v>
      </c>
      <c r="I53">
        <v>1887.17</v>
      </c>
      <c r="J53">
        <v>-0.304033</v>
      </c>
      <c r="L53">
        <v>1887.17</v>
      </c>
      <c r="M53">
        <v>-0.33336700000000002</v>
      </c>
    </row>
    <row r="54" spans="1:13">
      <c r="A54">
        <f t="shared" si="0"/>
        <v>1888.17</v>
      </c>
      <c r="B54">
        <f>Land*($G54+Offset)+Ocean*$J54</f>
        <v>-0.37763009999999997</v>
      </c>
      <c r="C54">
        <f t="shared" si="1"/>
        <v>-0.34196700000000002</v>
      </c>
      <c r="D54">
        <f>Land*($G54)+Ocean*($G54*Fraction)</f>
        <v>-0.32793605000000003</v>
      </c>
      <c r="E54">
        <f t="shared" si="2"/>
        <v>1.6834714560625956E-3</v>
      </c>
      <c r="F54">
        <v>1888.17</v>
      </c>
      <c r="G54">
        <v>-0.50451699999999999</v>
      </c>
      <c r="I54">
        <v>1888.17</v>
      </c>
      <c r="J54">
        <v>-0.32324999999999998</v>
      </c>
      <c r="L54">
        <v>1888.17</v>
      </c>
      <c r="M54">
        <v>-0.34196700000000002</v>
      </c>
    </row>
    <row r="55" spans="1:13">
      <c r="A55">
        <f t="shared" si="0"/>
        <v>1889.17</v>
      </c>
      <c r="B55">
        <f>Land*($G55+Offset)+Ocean*$J55</f>
        <v>-0.40839009999999998</v>
      </c>
      <c r="C55">
        <f t="shared" si="1"/>
        <v>-0.37633299999999997</v>
      </c>
      <c r="D55">
        <f>Land*($G55)+Ocean*($G55*Fraction)</f>
        <v>-0.34324354999999995</v>
      </c>
      <c r="E55">
        <f t="shared" si="2"/>
        <v>7.7309789723265625E-3</v>
      </c>
      <c r="F55">
        <v>1889.17</v>
      </c>
      <c r="G55">
        <v>-0.52806699999999995</v>
      </c>
      <c r="I55">
        <v>1889.17</v>
      </c>
      <c r="J55">
        <v>-0.35709999999999997</v>
      </c>
      <c r="L55">
        <v>1889.17</v>
      </c>
      <c r="M55">
        <v>-0.37633299999999997</v>
      </c>
    </row>
    <row r="56" spans="1:13">
      <c r="A56">
        <f t="shared" si="0"/>
        <v>1890.17</v>
      </c>
      <c r="B56">
        <f>Land*($G56+Offset)+Ocean*$J56</f>
        <v>-0.45901320000000001</v>
      </c>
      <c r="C56">
        <f t="shared" si="1"/>
        <v>-0.423483</v>
      </c>
      <c r="D56">
        <f>Land*($G56)+Ocean*($G56*Fraction)</f>
        <v>-0.36202855</v>
      </c>
      <c r="E56">
        <f t="shared" si="2"/>
        <v>2.1058852872707229E-2</v>
      </c>
      <c r="F56">
        <v>1890.17</v>
      </c>
      <c r="G56">
        <v>-0.55696699999999999</v>
      </c>
      <c r="I56">
        <v>1890.17</v>
      </c>
      <c r="J56">
        <v>-0.41703299999999999</v>
      </c>
      <c r="L56">
        <v>1890.17</v>
      </c>
      <c r="M56">
        <v>-0.423483</v>
      </c>
    </row>
    <row r="57" spans="1:13">
      <c r="A57">
        <f t="shared" si="0"/>
        <v>1891.17</v>
      </c>
      <c r="B57">
        <f>Land*($G57+Offset)+Ocean*$J57</f>
        <v>-0.4539919</v>
      </c>
      <c r="C57">
        <f t="shared" si="1"/>
        <v>-0.41791699999999998</v>
      </c>
      <c r="D57">
        <f>Land*($G57)+Ocean*($G57*Fraction)</f>
        <v>-0.38112750000000006</v>
      </c>
      <c r="E57">
        <f t="shared" si="2"/>
        <v>7.7493931672667458E-3</v>
      </c>
      <c r="F57">
        <v>1891.17</v>
      </c>
      <c r="G57">
        <v>-0.58635000000000004</v>
      </c>
      <c r="I57">
        <v>1891.17</v>
      </c>
      <c r="J57">
        <v>-0.39726699999999998</v>
      </c>
      <c r="L57">
        <v>1891.17</v>
      </c>
      <c r="M57">
        <v>-0.41791699999999998</v>
      </c>
    </row>
    <row r="58" spans="1:13">
      <c r="A58">
        <f t="shared" si="0"/>
        <v>1892.17</v>
      </c>
      <c r="B58">
        <f>Land*($G58+Offset)+Ocean*$J58</f>
        <v>-0.42316500000000001</v>
      </c>
      <c r="C58">
        <f t="shared" si="1"/>
        <v>-0.38778299999999999</v>
      </c>
      <c r="D58">
        <f>Land*($G58)+Ocean*($G58*Fraction)</f>
        <v>-0.36084749999999999</v>
      </c>
      <c r="E58">
        <f t="shared" si="2"/>
        <v>4.8247248520420383E-3</v>
      </c>
      <c r="F58">
        <v>1892.17</v>
      </c>
      <c r="G58">
        <v>-0.55515000000000003</v>
      </c>
      <c r="I58">
        <v>1892.17</v>
      </c>
      <c r="J58">
        <v>-0.36659999999999998</v>
      </c>
      <c r="L58">
        <v>1892.17</v>
      </c>
      <c r="M58">
        <v>-0.38778299999999999</v>
      </c>
    </row>
    <row r="59" spans="1:13">
      <c r="A59">
        <f t="shared" si="0"/>
        <v>1893.17</v>
      </c>
      <c r="B59">
        <f>Land*($G59+Offset)+Ocean*$J59</f>
        <v>-0.37096499999999999</v>
      </c>
      <c r="C59">
        <f t="shared" si="1"/>
        <v>-0.33776699999999998</v>
      </c>
      <c r="D59">
        <f>Land*($G59)+Ocean*($G59*Fraction)</f>
        <v>-0.31963750000000002</v>
      </c>
      <c r="E59">
        <f t="shared" si="2"/>
        <v>2.880959946121967E-3</v>
      </c>
      <c r="F59">
        <v>1893.17</v>
      </c>
      <c r="G59">
        <v>-0.49175000000000002</v>
      </c>
      <c r="I59">
        <v>1893.17</v>
      </c>
      <c r="J59">
        <v>-0.31919999999999998</v>
      </c>
      <c r="L59">
        <v>1893.17</v>
      </c>
      <c r="M59">
        <v>-0.33776699999999998</v>
      </c>
    </row>
    <row r="60" spans="1:13">
      <c r="A60">
        <f t="shared" si="0"/>
        <v>1894.17</v>
      </c>
      <c r="B60">
        <f>Land*($G60+Offset)+Ocean*$J60</f>
        <v>-0.35228689999999996</v>
      </c>
      <c r="C60">
        <f t="shared" si="1"/>
        <v>-0.32353300000000002</v>
      </c>
      <c r="D60">
        <f>Land*($G60)+Ocean*($G60*Fraction)</f>
        <v>-0.27777750000000001</v>
      </c>
      <c r="E60">
        <f t="shared" si="2"/>
        <v>2.0000895531138027E-2</v>
      </c>
      <c r="F60">
        <v>1894.17</v>
      </c>
      <c r="G60">
        <v>-0.42735000000000001</v>
      </c>
      <c r="I60">
        <v>1894.17</v>
      </c>
      <c r="J60">
        <v>-0.32011699999999998</v>
      </c>
      <c r="L60">
        <v>1894.17</v>
      </c>
      <c r="M60">
        <v>-0.32353300000000002</v>
      </c>
    </row>
    <row r="61" spans="1:13">
      <c r="A61">
        <f t="shared" si="0"/>
        <v>1895.17</v>
      </c>
      <c r="B61">
        <f>Land*($G61+Offset)+Ocean*$J61</f>
        <v>-0.32334320000000005</v>
      </c>
      <c r="C61">
        <f t="shared" si="1"/>
        <v>-0.29930000000000001</v>
      </c>
      <c r="D61">
        <f>Land*($G61)+Ocean*($G61*Fraction)</f>
        <v>-0.26046605</v>
      </c>
      <c r="E61">
        <f t="shared" si="2"/>
        <v>1.6834867420378038E-2</v>
      </c>
      <c r="F61">
        <v>1895.17</v>
      </c>
      <c r="G61">
        <v>-0.40071699999999999</v>
      </c>
      <c r="I61">
        <v>1895.17</v>
      </c>
      <c r="J61">
        <v>-0.29018300000000002</v>
      </c>
      <c r="L61">
        <v>1895.17</v>
      </c>
      <c r="M61">
        <v>-0.29930000000000001</v>
      </c>
    </row>
    <row r="62" spans="1:13">
      <c r="A62">
        <f t="shared" si="0"/>
        <v>1896.17</v>
      </c>
      <c r="B62">
        <f>Land*($G62+Offset)+Ocean*$J62</f>
        <v>-0.28420689999999998</v>
      </c>
      <c r="C62">
        <f t="shared" si="1"/>
        <v>-0.26019999999999999</v>
      </c>
      <c r="D62">
        <f>Land*($G62)+Ocean*($G62*Fraction)</f>
        <v>-0.21209499999999998</v>
      </c>
      <c r="E62">
        <f t="shared" si="2"/>
        <v>3.4179511665773578E-2</v>
      </c>
      <c r="F62">
        <v>1896.17</v>
      </c>
      <c r="G62">
        <v>-0.32629999999999998</v>
      </c>
      <c r="I62">
        <v>1896.17</v>
      </c>
      <c r="J62">
        <v>-0.26616699999999999</v>
      </c>
      <c r="L62">
        <v>1896.17</v>
      </c>
      <c r="M62">
        <v>-0.26019999999999999</v>
      </c>
    </row>
    <row r="63" spans="1:13">
      <c r="A63">
        <f t="shared" si="0"/>
        <v>1897.17</v>
      </c>
      <c r="B63">
        <f>Land*($G63+Offset)+Ocean*$J63</f>
        <v>-0.29889309999999997</v>
      </c>
      <c r="C63">
        <f t="shared" si="1"/>
        <v>-0.27625</v>
      </c>
      <c r="D63">
        <f>Land*($G63)+Ocean*($G63*Fraction)</f>
        <v>-0.18466500000000002</v>
      </c>
      <c r="E63">
        <f t="shared" si="2"/>
        <v>0.10991175086505184</v>
      </c>
      <c r="F63">
        <v>1897.17</v>
      </c>
      <c r="G63">
        <v>-0.28410000000000002</v>
      </c>
      <c r="I63">
        <v>1897.17</v>
      </c>
      <c r="J63">
        <v>-0.30523299999999998</v>
      </c>
      <c r="L63">
        <v>1897.17</v>
      </c>
      <c r="M63">
        <v>-0.27625</v>
      </c>
    </row>
    <row r="64" spans="1:13">
      <c r="A64">
        <f t="shared" si="0"/>
        <v>1898.17</v>
      </c>
      <c r="B64">
        <f>Land*($G64+Offset)+Ocean*$J64</f>
        <v>-0.33664509999999997</v>
      </c>
      <c r="C64">
        <f t="shared" si="1"/>
        <v>-0.31661699999999998</v>
      </c>
      <c r="D64">
        <f>Land*($G64)+Ocean*($G64*Fraction)</f>
        <v>-0.19780605000000001</v>
      </c>
      <c r="E64">
        <f t="shared" si="2"/>
        <v>0.14081355983568986</v>
      </c>
      <c r="F64">
        <v>1898.17</v>
      </c>
      <c r="G64">
        <v>-0.304317</v>
      </c>
      <c r="I64">
        <v>1898.17</v>
      </c>
      <c r="J64">
        <v>-0.35049999999999998</v>
      </c>
      <c r="L64">
        <v>1898.17</v>
      </c>
      <c r="M64">
        <v>-0.31661699999999998</v>
      </c>
    </row>
    <row r="65" spans="1:13">
      <c r="A65">
        <f t="shared" si="0"/>
        <v>1899.17</v>
      </c>
      <c r="B65">
        <f>Land*($G65+Offset)+Ocean*$J65</f>
        <v>-0.35397800000000001</v>
      </c>
      <c r="C65">
        <f t="shared" si="1"/>
        <v>-0.33111699999999999</v>
      </c>
      <c r="D65">
        <f>Land*($G65)+Ocean*($G65*Fraction)</f>
        <v>-0.20194394999999998</v>
      </c>
      <c r="E65">
        <f t="shared" si="2"/>
        <v>0.1521881616736292</v>
      </c>
      <c r="F65">
        <v>1899.17</v>
      </c>
      <c r="G65">
        <v>-0.31068299999999999</v>
      </c>
      <c r="I65">
        <v>1899.17</v>
      </c>
      <c r="J65">
        <v>-0.372533</v>
      </c>
      <c r="L65">
        <v>1899.17</v>
      </c>
      <c r="M65">
        <v>-0.33111699999999999</v>
      </c>
    </row>
    <row r="66" spans="1:13">
      <c r="A66">
        <f t="shared" si="0"/>
        <v>1900.17</v>
      </c>
      <c r="B66">
        <f>Land*($G66+Offset)+Ocean*$J66</f>
        <v>-0.40148810000000001</v>
      </c>
      <c r="C66">
        <f t="shared" si="1"/>
        <v>-0.37816699999999998</v>
      </c>
      <c r="D66">
        <f>Land*($G66)+Ocean*($G66*Fraction)</f>
        <v>-0.22935250000000001</v>
      </c>
      <c r="E66">
        <f t="shared" si="2"/>
        <v>0.15485429038694851</v>
      </c>
      <c r="F66">
        <v>1900.17</v>
      </c>
      <c r="G66">
        <v>-0.35285</v>
      </c>
      <c r="I66">
        <v>1900.17</v>
      </c>
      <c r="J66">
        <v>-0.42233300000000001</v>
      </c>
      <c r="L66">
        <v>1900.17</v>
      </c>
      <c r="M66">
        <v>-0.37816699999999998</v>
      </c>
    </row>
    <row r="67" spans="1:13">
      <c r="A67">
        <f t="shared" si="0"/>
        <v>1901.17</v>
      </c>
      <c r="B67">
        <f>Land*($G67+Offset)+Ocean*$J67</f>
        <v>-0.44262810000000002</v>
      </c>
      <c r="C67">
        <f t="shared" si="1"/>
        <v>-0.41501700000000002</v>
      </c>
      <c r="D67">
        <f>Land*($G67)+Ocean*($G67*Fraction)</f>
        <v>-0.2596425</v>
      </c>
      <c r="E67">
        <f t="shared" si="2"/>
        <v>0.14016117018802191</v>
      </c>
      <c r="F67">
        <v>1901.17</v>
      </c>
      <c r="G67">
        <v>-0.39945000000000003</v>
      </c>
      <c r="I67">
        <v>1901.17</v>
      </c>
      <c r="J67">
        <v>-0.46113300000000002</v>
      </c>
      <c r="L67">
        <v>1901.17</v>
      </c>
      <c r="M67">
        <v>-0.41501700000000002</v>
      </c>
    </row>
    <row r="68" spans="1:13">
      <c r="A68">
        <f t="shared" si="0"/>
        <v>1902.17</v>
      </c>
      <c r="B68">
        <f>Land*($G68+Offset)+Ocean*$J68</f>
        <v>-0.44780799999999998</v>
      </c>
      <c r="C68">
        <f t="shared" si="1"/>
        <v>-0.42021700000000001</v>
      </c>
      <c r="D68">
        <f>Land*($G68)+Ocean*($G68*Fraction)</f>
        <v>-0.26457144999999999</v>
      </c>
      <c r="E68">
        <f t="shared" si="2"/>
        <v>0.13719117668322772</v>
      </c>
      <c r="F68">
        <v>1902.17</v>
      </c>
      <c r="G68">
        <v>-0.40703299999999998</v>
      </c>
      <c r="I68">
        <v>1902.17</v>
      </c>
      <c r="J68">
        <v>-0.465283</v>
      </c>
      <c r="L68">
        <v>1902.17</v>
      </c>
      <c r="M68">
        <v>-0.42021700000000001</v>
      </c>
    </row>
    <row r="69" spans="1:13">
      <c r="A69">
        <f t="shared" si="0"/>
        <v>1903.17</v>
      </c>
      <c r="B69">
        <f>Land*($G69+Offset)+Ocean*$J69</f>
        <v>-0.4640049</v>
      </c>
      <c r="C69">
        <f t="shared" si="1"/>
        <v>-0.433417</v>
      </c>
      <c r="D69">
        <f>Land*($G69)+Ocean*($G69*Fraction)</f>
        <v>-0.29053895000000002</v>
      </c>
      <c r="E69">
        <f t="shared" si="2"/>
        <v>0.10867237166272621</v>
      </c>
      <c r="F69">
        <v>1903.17</v>
      </c>
      <c r="G69">
        <v>-0.44698300000000002</v>
      </c>
      <c r="I69">
        <v>1903.17</v>
      </c>
      <c r="J69">
        <v>-0.4713</v>
      </c>
      <c r="L69">
        <v>1903.17</v>
      </c>
      <c r="M69">
        <v>-0.433417</v>
      </c>
    </row>
    <row r="70" spans="1:13">
      <c r="A70">
        <f t="shared" si="0"/>
        <v>1904.17</v>
      </c>
      <c r="B70">
        <f>Land*($G70+Offset)+Ocean*$J70</f>
        <v>-0.47400310000000001</v>
      </c>
      <c r="C70">
        <f t="shared" si="1"/>
        <v>-0.44193300000000002</v>
      </c>
      <c r="D70">
        <f>Land*($G70)+Ocean*($G70*Fraction)</f>
        <v>-0.30017000000000005</v>
      </c>
      <c r="E70">
        <f t="shared" si="2"/>
        <v>0.10289941971865643</v>
      </c>
      <c r="F70">
        <v>1904.17</v>
      </c>
      <c r="G70">
        <v>-0.46179999999999999</v>
      </c>
      <c r="I70">
        <v>1904.17</v>
      </c>
      <c r="J70">
        <v>-0.47923300000000002</v>
      </c>
      <c r="L70">
        <v>1904.17</v>
      </c>
      <c r="M70">
        <v>-0.44193300000000002</v>
      </c>
    </row>
    <row r="71" spans="1:13">
      <c r="A71">
        <f t="shared" si="0"/>
        <v>1905.17</v>
      </c>
      <c r="B71">
        <f>Land*($G71+Offset)+Ocean*$J71</f>
        <v>-0.473082</v>
      </c>
      <c r="C71">
        <f t="shared" si="1"/>
        <v>-0.443633</v>
      </c>
      <c r="D71">
        <f>Land*($G71)+Ocean*($G71*Fraction)</f>
        <v>-0.29046355000000001</v>
      </c>
      <c r="E71">
        <f t="shared" si="2"/>
        <v>0.11920558894486903</v>
      </c>
      <c r="F71">
        <v>1905.17</v>
      </c>
      <c r="G71">
        <v>-0.44686700000000001</v>
      </c>
      <c r="I71">
        <v>1905.17</v>
      </c>
      <c r="J71">
        <v>-0.484317</v>
      </c>
      <c r="L71">
        <v>1905.17</v>
      </c>
      <c r="M71">
        <v>-0.443633</v>
      </c>
    </row>
    <row r="72" spans="1:13">
      <c r="A72">
        <f t="shared" si="0"/>
        <v>1906.17</v>
      </c>
      <c r="B72">
        <f>Land*($G72+Offset)+Ocean*$J72</f>
        <v>-0.4948901</v>
      </c>
      <c r="C72">
        <f t="shared" si="1"/>
        <v>-0.46639999999999998</v>
      </c>
      <c r="D72">
        <f>Land*($G72)+Ocean*($G72*Fraction)</f>
        <v>-0.27889354999999999</v>
      </c>
      <c r="E72">
        <f t="shared" si="2"/>
        <v>0.16162753130251026</v>
      </c>
      <c r="F72">
        <v>1906.17</v>
      </c>
      <c r="G72">
        <v>-0.42906699999999998</v>
      </c>
      <c r="I72">
        <v>1906.17</v>
      </c>
      <c r="J72">
        <v>-0.52310000000000001</v>
      </c>
      <c r="L72">
        <v>1906.17</v>
      </c>
      <c r="M72">
        <v>-0.46639999999999998</v>
      </c>
    </row>
    <row r="73" spans="1:13">
      <c r="A73">
        <f t="shared" si="0"/>
        <v>1907.17</v>
      </c>
      <c r="B73">
        <f>Land*($G73+Offset)+Ocean*$J73</f>
        <v>-0.53800800000000004</v>
      </c>
      <c r="C73">
        <f t="shared" si="1"/>
        <v>-0.51870000000000005</v>
      </c>
      <c r="D73">
        <f>Land*($G73)+Ocean*($G73*Fraction)</f>
        <v>-0.30591145000000003</v>
      </c>
      <c r="E73">
        <f t="shared" si="2"/>
        <v>0.16829221030175689</v>
      </c>
      <c r="F73">
        <v>1907.17</v>
      </c>
      <c r="G73">
        <v>-0.47063300000000002</v>
      </c>
      <c r="I73">
        <v>1907.17</v>
      </c>
      <c r="J73">
        <v>-0.56688300000000003</v>
      </c>
      <c r="L73">
        <v>1907.17</v>
      </c>
      <c r="M73">
        <v>-0.51870000000000005</v>
      </c>
    </row>
    <row r="74" spans="1:13">
      <c r="A74">
        <f t="shared" si="0"/>
        <v>1908.17</v>
      </c>
      <c r="B74">
        <f>Land*($G74+Offset)+Ocean*$J74</f>
        <v>-0.53090189999999993</v>
      </c>
      <c r="C74">
        <f t="shared" si="1"/>
        <v>-0.51406700000000005</v>
      </c>
      <c r="D74">
        <f>Land*($G74)+Ocean*($G74*Fraction)</f>
        <v>-0.28697499999999998</v>
      </c>
      <c r="E74">
        <f t="shared" si="2"/>
        <v>0.19514805133611635</v>
      </c>
      <c r="F74">
        <v>1908.17</v>
      </c>
      <c r="G74">
        <v>-0.4415</v>
      </c>
      <c r="I74">
        <v>1908.17</v>
      </c>
      <c r="J74">
        <v>-0.56921699999999997</v>
      </c>
      <c r="L74">
        <v>1908.17</v>
      </c>
      <c r="M74">
        <v>-0.51406700000000005</v>
      </c>
    </row>
    <row r="75" spans="1:13">
      <c r="A75">
        <f t="shared" si="0"/>
        <v>1909.17</v>
      </c>
      <c r="B75">
        <f>Land*($G75+Offset)+Ocean*$J75</f>
        <v>-0.51436319999999991</v>
      </c>
      <c r="C75">
        <f t="shared" si="1"/>
        <v>-0.49711699999999998</v>
      </c>
      <c r="D75">
        <f>Land*($G75)+Ocean*($G75*Fraction)</f>
        <v>-0.26764854999999999</v>
      </c>
      <c r="E75">
        <f t="shared" si="2"/>
        <v>0.21307315380007799</v>
      </c>
      <c r="F75">
        <v>1909.17</v>
      </c>
      <c r="G75">
        <v>-0.41176699999999999</v>
      </c>
      <c r="I75">
        <v>1909.17</v>
      </c>
      <c r="J75">
        <v>-0.55833299999999997</v>
      </c>
      <c r="L75">
        <v>1909.17</v>
      </c>
      <c r="M75">
        <v>-0.49711699999999998</v>
      </c>
    </row>
    <row r="76" spans="1:13">
      <c r="A76">
        <f t="shared" si="0"/>
        <v>1910.17</v>
      </c>
      <c r="B76">
        <f>Land*($G76+Offset)+Ocean*$J76</f>
        <v>-0.45996009999999998</v>
      </c>
      <c r="C76">
        <f t="shared" si="1"/>
        <v>-0.44224999999999998</v>
      </c>
      <c r="D76">
        <f>Land*($G76)+Ocean*($G76*Fraction)</f>
        <v>-0.21974355000000001</v>
      </c>
      <c r="E76">
        <f t="shared" si="2"/>
        <v>0.2531334431104752</v>
      </c>
      <c r="F76">
        <v>1910.17</v>
      </c>
      <c r="G76">
        <v>-0.33806700000000001</v>
      </c>
      <c r="I76">
        <v>1910.17</v>
      </c>
      <c r="J76">
        <v>-0.51219999999999999</v>
      </c>
      <c r="L76">
        <v>1910.17</v>
      </c>
      <c r="M76">
        <v>-0.44224999999999998</v>
      </c>
    </row>
    <row r="77" spans="1:13">
      <c r="A77">
        <f t="shared" si="0"/>
        <v>1911.17</v>
      </c>
      <c r="B77">
        <f>Land*($G77+Offset)+Ocean*$J77</f>
        <v>-0.39682690000000004</v>
      </c>
      <c r="C77">
        <f t="shared" si="1"/>
        <v>-0.37636700000000001</v>
      </c>
      <c r="D77">
        <f>Land*($G77)+Ocean*($G77*Fraction)</f>
        <v>-0.19357000000000002</v>
      </c>
      <c r="E77">
        <f t="shared" si="2"/>
        <v>0.23589299982418702</v>
      </c>
      <c r="F77">
        <v>1911.17</v>
      </c>
      <c r="G77">
        <v>-0.29780000000000001</v>
      </c>
      <c r="I77">
        <v>1911.17</v>
      </c>
      <c r="J77">
        <v>-0.43926700000000002</v>
      </c>
      <c r="L77">
        <v>1911.17</v>
      </c>
      <c r="M77">
        <v>-0.37636700000000001</v>
      </c>
    </row>
    <row r="78" spans="1:13">
      <c r="A78">
        <f t="shared" si="0"/>
        <v>1912.17</v>
      </c>
      <c r="B78">
        <f>Land*($G78+Offset)+Ocean*$J78</f>
        <v>-0.37209990000000004</v>
      </c>
      <c r="C78">
        <f t="shared" si="1"/>
        <v>-0.34410000000000002</v>
      </c>
      <c r="D78">
        <f>Land*($G78)+Ocean*($G78*Fraction)</f>
        <v>-0.18468645000000003</v>
      </c>
      <c r="E78">
        <f t="shared" si="2"/>
        <v>0.21462540181942349</v>
      </c>
      <c r="F78">
        <v>1912.17</v>
      </c>
      <c r="G78">
        <v>-0.28413300000000002</v>
      </c>
      <c r="I78">
        <v>1912.17</v>
      </c>
      <c r="J78">
        <v>-0.4098</v>
      </c>
      <c r="L78">
        <v>1912.17</v>
      </c>
      <c r="M78">
        <v>-0.34410000000000002</v>
      </c>
    </row>
    <row r="79" spans="1:13">
      <c r="A79">
        <f t="shared" si="0"/>
        <v>1913.17</v>
      </c>
      <c r="B79">
        <f>Land*($G79+Offset)+Ocean*$J79</f>
        <v>-0.38037500000000002</v>
      </c>
      <c r="C79">
        <f t="shared" si="1"/>
        <v>-0.34916700000000001</v>
      </c>
      <c r="D79">
        <f>Land*($G79)+Ocean*($G79*Fraction)</f>
        <v>-0.21209499999999998</v>
      </c>
      <c r="E79">
        <f t="shared" si="2"/>
        <v>0.15411010490500845</v>
      </c>
      <c r="F79">
        <v>1913.17</v>
      </c>
      <c r="G79">
        <v>-0.32629999999999998</v>
      </c>
      <c r="I79">
        <v>1913.17</v>
      </c>
      <c r="J79">
        <v>-0.40355000000000002</v>
      </c>
      <c r="L79">
        <v>1913.17</v>
      </c>
      <c r="M79">
        <v>-0.34916700000000001</v>
      </c>
    </row>
    <row r="80" spans="1:13">
      <c r="A80">
        <f t="shared" si="0"/>
        <v>1914.17</v>
      </c>
      <c r="B80">
        <f>Land*($G80+Offset)+Ocean*$J80</f>
        <v>-0.36558999999999997</v>
      </c>
      <c r="C80">
        <f t="shared" si="1"/>
        <v>-0.33133299999999999</v>
      </c>
      <c r="D80">
        <f>Land*($G80)+Ocean*($G80*Fraction)</f>
        <v>-0.22730500000000001</v>
      </c>
      <c r="E80">
        <f t="shared" si="2"/>
        <v>9.8575982074493002E-2</v>
      </c>
      <c r="F80">
        <v>1914.17</v>
      </c>
      <c r="G80">
        <v>-0.34970000000000001</v>
      </c>
      <c r="I80">
        <v>1914.17</v>
      </c>
      <c r="J80">
        <v>-0.37240000000000001</v>
      </c>
      <c r="L80">
        <v>1914.17</v>
      </c>
      <c r="M80">
        <v>-0.33133299999999999</v>
      </c>
    </row>
    <row r="81" spans="1:13">
      <c r="A81">
        <f t="shared" ref="A81:A144" si="3">+$F81</f>
        <v>1915.17</v>
      </c>
      <c r="B81">
        <f>Land*($G81+Offset)+Ocean*$J81</f>
        <v>-0.3791832</v>
      </c>
      <c r="C81">
        <f t="shared" ref="C81:C144" si="4">+$M81</f>
        <v>-0.33701700000000001</v>
      </c>
      <c r="D81">
        <f>Land*($G81)+Ocean*($G81*Fraction)</f>
        <v>-0.25663104999999997</v>
      </c>
      <c r="E81">
        <f t="shared" ref="E81:E144" si="5">+(($D81-$C81)/$C81)^2</f>
        <v>5.6892717768055753E-2</v>
      </c>
      <c r="F81">
        <v>1915.17</v>
      </c>
      <c r="G81">
        <v>-0.39481699999999997</v>
      </c>
      <c r="I81">
        <v>1915.17</v>
      </c>
      <c r="J81">
        <v>-0.37248300000000001</v>
      </c>
      <c r="L81">
        <v>1915.17</v>
      </c>
      <c r="M81">
        <v>-0.33701700000000001</v>
      </c>
    </row>
    <row r="82" spans="1:13">
      <c r="A82">
        <f t="shared" si="3"/>
        <v>1916.17</v>
      </c>
      <c r="B82">
        <f>Land*($G82+Offset)+Ocean*$J82</f>
        <v>-0.39729009999999998</v>
      </c>
      <c r="C82">
        <f t="shared" si="4"/>
        <v>-0.35408299999999998</v>
      </c>
      <c r="D82">
        <f>Land*($G82)+Ocean*($G82*Fraction)</f>
        <v>-0.27437605000000004</v>
      </c>
      <c r="E82">
        <f t="shared" si="5"/>
        <v>5.067365494073179E-2</v>
      </c>
      <c r="F82">
        <v>1916.17</v>
      </c>
      <c r="G82">
        <v>-0.42211700000000002</v>
      </c>
      <c r="I82">
        <v>1916.17</v>
      </c>
      <c r="J82">
        <v>-0.38664999999999999</v>
      </c>
      <c r="L82">
        <v>1916.17</v>
      </c>
      <c r="M82">
        <v>-0.35408299999999998</v>
      </c>
    </row>
    <row r="83" spans="1:13">
      <c r="A83">
        <f t="shared" si="3"/>
        <v>1917.17</v>
      </c>
      <c r="B83">
        <f>Land*($G83+Offset)+Ocean*$J83</f>
        <v>-0.3635369</v>
      </c>
      <c r="C83">
        <f t="shared" si="4"/>
        <v>-0.31331700000000001</v>
      </c>
      <c r="D83">
        <f>Land*($G83)+Ocean*($G83*Fraction)</f>
        <v>-0.23890749999999999</v>
      </c>
      <c r="E83">
        <f t="shared" si="5"/>
        <v>5.6401266140184932E-2</v>
      </c>
      <c r="F83">
        <v>1917.17</v>
      </c>
      <c r="G83">
        <v>-0.36754999999999999</v>
      </c>
      <c r="I83">
        <v>1917.17</v>
      </c>
      <c r="J83">
        <v>-0.361817</v>
      </c>
      <c r="L83">
        <v>1917.17</v>
      </c>
      <c r="M83">
        <v>-0.31331700000000001</v>
      </c>
    </row>
    <row r="84" spans="1:13">
      <c r="A84">
        <f t="shared" si="3"/>
        <v>1918.17</v>
      </c>
      <c r="B84">
        <f>Land*($G84+Offset)+Ocean*$J84</f>
        <v>-0.33400010000000002</v>
      </c>
      <c r="C84">
        <f t="shared" si="4"/>
        <v>-0.27934999999999999</v>
      </c>
      <c r="D84">
        <f>Land*($G84)+Ocean*($G84*Fraction)</f>
        <v>-0.18396105000000001</v>
      </c>
      <c r="E84">
        <f t="shared" si="5"/>
        <v>0.11660006302957435</v>
      </c>
      <c r="F84">
        <v>1918.17</v>
      </c>
      <c r="G84">
        <v>-0.28301700000000002</v>
      </c>
      <c r="I84">
        <v>1918.17</v>
      </c>
      <c r="J84">
        <v>-0.35585</v>
      </c>
      <c r="L84">
        <v>1918.17</v>
      </c>
      <c r="M84">
        <v>-0.27934999999999999</v>
      </c>
    </row>
    <row r="85" spans="1:13">
      <c r="A85">
        <f t="shared" si="3"/>
        <v>1919.17</v>
      </c>
      <c r="B85">
        <f>Land*($G85+Offset)+Ocean*$J85</f>
        <v>-0.32342310000000002</v>
      </c>
      <c r="C85">
        <f t="shared" si="4"/>
        <v>-0.26486700000000002</v>
      </c>
      <c r="D85">
        <f>Land*($G85)+Ocean*($G85*Fraction)</f>
        <v>-0.15765750000000001</v>
      </c>
      <c r="E85">
        <f t="shared" si="5"/>
        <v>0.16383656577666908</v>
      </c>
      <c r="F85">
        <v>1919.17</v>
      </c>
      <c r="G85">
        <v>-0.24254999999999999</v>
      </c>
      <c r="I85">
        <v>1919.17</v>
      </c>
      <c r="J85">
        <v>-0.35808299999999998</v>
      </c>
      <c r="L85">
        <v>1919.17</v>
      </c>
      <c r="M85">
        <v>-0.26486700000000002</v>
      </c>
    </row>
    <row r="86" spans="1:13">
      <c r="A86">
        <f t="shared" si="3"/>
        <v>1920.17</v>
      </c>
      <c r="B86">
        <f>Land*($G86+Offset)+Ocean*$J86</f>
        <v>-0.32376689999999997</v>
      </c>
      <c r="C86">
        <f t="shared" si="4"/>
        <v>-0.26761699999999999</v>
      </c>
      <c r="D86">
        <f>Land*($G86)+Ocean*($G86*Fraction)</f>
        <v>-0.16009499999999999</v>
      </c>
      <c r="E86">
        <f t="shared" si="5"/>
        <v>0.16142369057014397</v>
      </c>
      <c r="F86">
        <v>1920.17</v>
      </c>
      <c r="G86">
        <v>-0.24629999999999999</v>
      </c>
      <c r="I86">
        <v>1920.17</v>
      </c>
      <c r="J86">
        <v>-0.35696699999999998</v>
      </c>
      <c r="L86">
        <v>1920.17</v>
      </c>
      <c r="M86">
        <v>-0.26761699999999999</v>
      </c>
    </row>
    <row r="87" spans="1:13">
      <c r="A87">
        <f t="shared" si="3"/>
        <v>1921.17</v>
      </c>
      <c r="B87">
        <f>Land*($G87+Offset)+Ocean*$J87</f>
        <v>-0.31897819999999999</v>
      </c>
      <c r="C87">
        <f t="shared" si="4"/>
        <v>-0.26055</v>
      </c>
      <c r="D87">
        <f>Land*($G87)+Ocean*($G87*Fraction)</f>
        <v>-0.15136355000000001</v>
      </c>
      <c r="E87">
        <f t="shared" si="5"/>
        <v>0.17561246414330045</v>
      </c>
      <c r="F87">
        <v>1921.17</v>
      </c>
      <c r="G87">
        <v>-0.23286699999999999</v>
      </c>
      <c r="I87">
        <v>1921.17</v>
      </c>
      <c r="J87">
        <v>-0.355883</v>
      </c>
      <c r="L87">
        <v>1921.17</v>
      </c>
      <c r="M87">
        <v>-0.26055</v>
      </c>
    </row>
    <row r="88" spans="1:13">
      <c r="A88">
        <f t="shared" si="3"/>
        <v>1922.17</v>
      </c>
      <c r="B88">
        <f>Land*($G88+Offset)+Ocean*$J88</f>
        <v>-0.2983632</v>
      </c>
      <c r="C88">
        <f t="shared" si="4"/>
        <v>-0.244367</v>
      </c>
      <c r="D88">
        <f>Land*($G88)+Ocean*($G88*Fraction)</f>
        <v>-0.14681355000000001</v>
      </c>
      <c r="E88">
        <f t="shared" si="5"/>
        <v>0.15936764368316408</v>
      </c>
      <c r="F88">
        <v>1922.17</v>
      </c>
      <c r="G88">
        <v>-0.22586700000000001</v>
      </c>
      <c r="I88">
        <v>1922.17</v>
      </c>
      <c r="J88">
        <v>-0.32943299999999998</v>
      </c>
      <c r="L88">
        <v>1922.17</v>
      </c>
      <c r="M88">
        <v>-0.244367</v>
      </c>
    </row>
    <row r="89" spans="1:13">
      <c r="A89">
        <f t="shared" si="3"/>
        <v>1923.17</v>
      </c>
      <c r="B89">
        <f>Land*($G89+Offset)+Ocean*$J89</f>
        <v>-0.2723332</v>
      </c>
      <c r="C89">
        <f t="shared" si="4"/>
        <v>-0.22489999999999999</v>
      </c>
      <c r="D89">
        <f>Land*($G89)+Ocean*($G89*Fraction)</f>
        <v>-0.14258855000000001</v>
      </c>
      <c r="E89">
        <f t="shared" si="5"/>
        <v>0.13394965325436861</v>
      </c>
      <c r="F89">
        <v>1923.17</v>
      </c>
      <c r="G89">
        <v>-0.21936700000000001</v>
      </c>
      <c r="I89">
        <v>1923.17</v>
      </c>
      <c r="J89">
        <v>-0.29503299999999999</v>
      </c>
      <c r="L89">
        <v>1923.17</v>
      </c>
      <c r="M89">
        <v>-0.22489999999999999</v>
      </c>
    </row>
    <row r="90" spans="1:13">
      <c r="A90">
        <f t="shared" si="3"/>
        <v>1924.17</v>
      </c>
      <c r="B90">
        <f>Land*($G90+Offset)+Ocean*$J90</f>
        <v>-0.2512701</v>
      </c>
      <c r="C90">
        <f t="shared" si="4"/>
        <v>-0.21235000000000001</v>
      </c>
      <c r="D90">
        <f>Land*($G90)+Ocean*($G90*Fraction)</f>
        <v>-0.13036855</v>
      </c>
      <c r="E90">
        <f t="shared" si="5"/>
        <v>0.14904817409810023</v>
      </c>
      <c r="F90">
        <v>1924.17</v>
      </c>
      <c r="G90">
        <v>-0.200567</v>
      </c>
      <c r="I90">
        <v>1924.17</v>
      </c>
      <c r="J90">
        <v>-0.27300000000000002</v>
      </c>
      <c r="L90">
        <v>1924.17</v>
      </c>
      <c r="M90">
        <v>-0.21235000000000001</v>
      </c>
    </row>
    <row r="91" spans="1:13">
      <c r="A91">
        <f t="shared" si="3"/>
        <v>1925.17</v>
      </c>
      <c r="B91">
        <f>Land*($G91+Offset)+Ocean*$J91</f>
        <v>-0.25425799999999998</v>
      </c>
      <c r="C91">
        <f t="shared" si="4"/>
        <v>-0.22143299999999999</v>
      </c>
      <c r="D91">
        <f>Land*($G91)+Ocean*($G91*Fraction)</f>
        <v>-0.14399645</v>
      </c>
      <c r="E91">
        <f t="shared" si="5"/>
        <v>0.1222946064058363</v>
      </c>
      <c r="F91">
        <v>1925.17</v>
      </c>
      <c r="G91">
        <v>-0.22153300000000001</v>
      </c>
      <c r="I91">
        <v>1925.17</v>
      </c>
      <c r="J91">
        <v>-0.26828299999999999</v>
      </c>
      <c r="L91">
        <v>1925.17</v>
      </c>
      <c r="M91">
        <v>-0.22143299999999999</v>
      </c>
    </row>
    <row r="92" spans="1:13">
      <c r="A92">
        <f t="shared" si="3"/>
        <v>1926.17</v>
      </c>
      <c r="B92">
        <f>Land*($G92+Offset)+Ocean*$J92</f>
        <v>-0.22751299999999999</v>
      </c>
      <c r="C92">
        <f t="shared" si="4"/>
        <v>-0.20505000000000001</v>
      </c>
      <c r="D92">
        <f>Land*($G92)+Ocean*($G92*Fraction)</f>
        <v>-0.12972895000000001</v>
      </c>
      <c r="E92">
        <f t="shared" si="5"/>
        <v>0.13493144892494743</v>
      </c>
      <c r="F92">
        <v>1926.17</v>
      </c>
      <c r="G92">
        <v>-0.19958300000000001</v>
      </c>
      <c r="I92">
        <v>1926.17</v>
      </c>
      <c r="J92">
        <v>-0.239483</v>
      </c>
      <c r="L92">
        <v>1926.17</v>
      </c>
      <c r="M92">
        <v>-0.20505000000000001</v>
      </c>
    </row>
    <row r="93" spans="1:13">
      <c r="A93">
        <f t="shared" si="3"/>
        <v>1927.17</v>
      </c>
      <c r="B93">
        <f>Land*($G93+Offset)+Ocean*$J93</f>
        <v>-0.2220818</v>
      </c>
      <c r="C93">
        <f t="shared" si="4"/>
        <v>-0.19996700000000001</v>
      </c>
      <c r="D93">
        <f>Land*($G93)+Ocean*($G93*Fraction)</f>
        <v>-0.13284895000000002</v>
      </c>
      <c r="E93">
        <f t="shared" si="5"/>
        <v>0.112657989964637</v>
      </c>
      <c r="F93">
        <v>1927.17</v>
      </c>
      <c r="G93">
        <v>-0.20438300000000001</v>
      </c>
      <c r="I93">
        <v>1927.17</v>
      </c>
      <c r="J93">
        <v>-0.22966700000000001</v>
      </c>
      <c r="L93">
        <v>1927.17</v>
      </c>
      <c r="M93">
        <v>-0.19996700000000001</v>
      </c>
    </row>
    <row r="94" spans="1:13">
      <c r="A94">
        <f t="shared" si="3"/>
        <v>1928.17</v>
      </c>
      <c r="B94">
        <f>Land*($G94+Offset)+Ocean*$J94</f>
        <v>-0.204538</v>
      </c>
      <c r="C94">
        <f t="shared" si="4"/>
        <v>-0.184917</v>
      </c>
      <c r="D94">
        <f>Land*($G94)+Ocean*($G94*Fraction)</f>
        <v>-0.11172395000000002</v>
      </c>
      <c r="E94">
        <f t="shared" si="5"/>
        <v>0.15667006067394437</v>
      </c>
      <c r="F94">
        <v>1928.17</v>
      </c>
      <c r="G94">
        <v>-0.17188300000000001</v>
      </c>
      <c r="I94">
        <v>1928.17</v>
      </c>
      <c r="J94">
        <v>-0.21853300000000001</v>
      </c>
      <c r="L94">
        <v>1928.17</v>
      </c>
      <c r="M94">
        <v>-0.184917</v>
      </c>
    </row>
    <row r="95" spans="1:13">
      <c r="A95">
        <f t="shared" si="3"/>
        <v>1929.17</v>
      </c>
      <c r="B95">
        <f>Land*($G95+Offset)+Ocean*$J95</f>
        <v>-0.21469189999999999</v>
      </c>
      <c r="C95">
        <f t="shared" si="4"/>
        <v>-0.19705</v>
      </c>
      <c r="D95">
        <f>Land*($G95)+Ocean*($G95*Fraction)</f>
        <v>-0.13185249999999998</v>
      </c>
      <c r="E95">
        <f t="shared" si="5"/>
        <v>0.10947350111042217</v>
      </c>
      <c r="F95">
        <v>1929.17</v>
      </c>
      <c r="G95">
        <v>-0.20285</v>
      </c>
      <c r="I95">
        <v>1929.17</v>
      </c>
      <c r="J95">
        <v>-0.21976699999999999</v>
      </c>
      <c r="L95">
        <v>1929.17</v>
      </c>
      <c r="M95">
        <v>-0.19705</v>
      </c>
    </row>
    <row r="96" spans="1:13">
      <c r="A96">
        <f t="shared" si="3"/>
        <v>1930.17</v>
      </c>
      <c r="B96">
        <f>Land*($G96+Offset)+Ocean*$J96</f>
        <v>-0.17113500000000001</v>
      </c>
      <c r="C96">
        <f t="shared" si="4"/>
        <v>-0.15346699999999999</v>
      </c>
      <c r="D96">
        <f>Land*($G96)+Ocean*($G96*Fraction)</f>
        <v>-7.4587500000000001E-2</v>
      </c>
      <c r="E96">
        <f t="shared" si="5"/>
        <v>0.26417899945899004</v>
      </c>
      <c r="F96">
        <v>1930.17</v>
      </c>
      <c r="G96">
        <v>-0.11475</v>
      </c>
      <c r="I96">
        <v>1930.17</v>
      </c>
      <c r="J96">
        <v>-0.1953</v>
      </c>
      <c r="L96">
        <v>1930.17</v>
      </c>
      <c r="M96">
        <v>-0.15346699999999999</v>
      </c>
    </row>
    <row r="97" spans="1:13">
      <c r="A97">
        <f t="shared" si="3"/>
        <v>1931.17</v>
      </c>
      <c r="B97">
        <f>Land*($G97+Offset)+Ocean*$J97</f>
        <v>-0.17628300000000002</v>
      </c>
      <c r="C97">
        <f t="shared" si="4"/>
        <v>-0.16156699999999999</v>
      </c>
      <c r="D97">
        <f>Land*($G97)+Ocean*($G97*Fraction)</f>
        <v>-8.0686449999999993E-2</v>
      </c>
      <c r="E97">
        <f t="shared" si="5"/>
        <v>0.25060104041019898</v>
      </c>
      <c r="F97">
        <v>1931.17</v>
      </c>
      <c r="G97">
        <v>-0.12413299999999999</v>
      </c>
      <c r="I97">
        <v>1931.17</v>
      </c>
      <c r="J97">
        <v>-0.198633</v>
      </c>
      <c r="L97">
        <v>1931.17</v>
      </c>
      <c r="M97">
        <v>-0.16156699999999999</v>
      </c>
    </row>
    <row r="98" spans="1:13">
      <c r="A98">
        <f t="shared" si="3"/>
        <v>1932.17</v>
      </c>
      <c r="B98">
        <f>Land*($G98+Offset)+Ocean*$J98</f>
        <v>-0.17934509999999998</v>
      </c>
      <c r="C98">
        <f t="shared" si="4"/>
        <v>-0.17305000000000001</v>
      </c>
      <c r="D98">
        <f>Land*($G98)+Ocean*($G98*Fraction)</f>
        <v>-8.2366049999999996E-2</v>
      </c>
      <c r="E98">
        <f t="shared" si="5"/>
        <v>0.27461082340975151</v>
      </c>
      <c r="F98">
        <v>1932.17</v>
      </c>
      <c r="G98">
        <v>-0.126717</v>
      </c>
      <c r="I98">
        <v>1932.17</v>
      </c>
      <c r="J98">
        <v>-0.2019</v>
      </c>
      <c r="L98">
        <v>1932.17</v>
      </c>
      <c r="M98">
        <v>-0.17305000000000001</v>
      </c>
    </row>
    <row r="99" spans="1:13">
      <c r="A99">
        <f t="shared" si="3"/>
        <v>1933.17</v>
      </c>
      <c r="B99">
        <f>Land*($G99+Offset)+Ocean*$J99</f>
        <v>-0.15321180000000001</v>
      </c>
      <c r="C99">
        <f t="shared" si="4"/>
        <v>-0.150667</v>
      </c>
      <c r="D99">
        <f>Land*($G99)+Ocean*($G99*Fraction)</f>
        <v>-7.7436450000000004E-2</v>
      </c>
      <c r="E99">
        <f t="shared" si="5"/>
        <v>0.23623721278607315</v>
      </c>
      <c r="F99">
        <v>1933.17</v>
      </c>
      <c r="G99">
        <v>-0.119133</v>
      </c>
      <c r="I99">
        <v>1933.17</v>
      </c>
      <c r="J99">
        <v>-0.16781699999999999</v>
      </c>
      <c r="L99">
        <v>1933.17</v>
      </c>
      <c r="M99">
        <v>-0.150667</v>
      </c>
    </row>
    <row r="100" spans="1:13">
      <c r="A100">
        <f t="shared" si="3"/>
        <v>1934.17</v>
      </c>
      <c r="B100">
        <f>Land*($G100+Offset)+Ocean*$J100</f>
        <v>-9.3258090000000002E-2</v>
      </c>
      <c r="C100">
        <f t="shared" si="4"/>
        <v>-9.71167E-2</v>
      </c>
      <c r="D100">
        <f>Land*($G100)+Ocean*($G100*Fraction)</f>
        <v>-1.5004145E-2</v>
      </c>
      <c r="E100">
        <f t="shared" si="5"/>
        <v>0.71487695626346914</v>
      </c>
      <c r="F100">
        <v>1934.17</v>
      </c>
      <c r="G100">
        <v>-2.3083300000000001E-2</v>
      </c>
      <c r="I100">
        <v>1934.17</v>
      </c>
      <c r="J100">
        <v>-0.123333</v>
      </c>
      <c r="L100">
        <v>1934.17</v>
      </c>
      <c r="M100">
        <v>-9.71167E-2</v>
      </c>
    </row>
    <row r="101" spans="1:13">
      <c r="A101">
        <f t="shared" si="3"/>
        <v>1935.17</v>
      </c>
      <c r="B101">
        <f>Land*($G101+Offset)+Ocean*$J101</f>
        <v>-6.3788299999999992E-2</v>
      </c>
      <c r="C101">
        <f t="shared" si="4"/>
        <v>-8.1966700000000003E-2</v>
      </c>
      <c r="D101">
        <f>Land*($G101)+Ocean*($G101*Fraction)</f>
        <v>-1.2046645E-2</v>
      </c>
      <c r="E101">
        <f t="shared" si="5"/>
        <v>0.72766019961184214</v>
      </c>
      <c r="F101">
        <v>1935.17</v>
      </c>
      <c r="G101">
        <v>-1.8533299999999999E-2</v>
      </c>
      <c r="I101">
        <v>1935.17</v>
      </c>
      <c r="J101">
        <v>-8.3183300000000002E-2</v>
      </c>
      <c r="L101">
        <v>1935.17</v>
      </c>
      <c r="M101">
        <v>-8.1966700000000003E-2</v>
      </c>
    </row>
    <row r="102" spans="1:13">
      <c r="A102">
        <f t="shared" si="3"/>
        <v>1936.17</v>
      </c>
      <c r="B102">
        <f>Land*($G102+Offset)+Ocean*$J102</f>
        <v>-2.7389999000000002E-2</v>
      </c>
      <c r="C102">
        <f t="shared" si="4"/>
        <v>-4.21833E-2</v>
      </c>
      <c r="D102">
        <f>Land*($G102)+Ocean*($G102*Fraction)</f>
        <v>3.2933355000000003E-3</v>
      </c>
      <c r="E102">
        <f t="shared" si="5"/>
        <v>1.1622392833089918</v>
      </c>
      <c r="F102">
        <v>1936.17</v>
      </c>
      <c r="G102">
        <v>5.0666699999999997E-3</v>
      </c>
      <c r="I102">
        <v>1936.17</v>
      </c>
      <c r="J102">
        <v>-4.1300000000000003E-2</v>
      </c>
      <c r="L102">
        <v>1936.17</v>
      </c>
      <c r="M102">
        <v>-4.21833E-2</v>
      </c>
    </row>
    <row r="103" spans="1:13">
      <c r="A103">
        <f t="shared" si="3"/>
        <v>1937.17</v>
      </c>
      <c r="B103">
        <f>Land*($G103+Offset)+Ocean*$J103</f>
        <v>1.691668E-2</v>
      </c>
      <c r="C103">
        <f t="shared" si="4"/>
        <v>-8.8333300000000003E-3</v>
      </c>
      <c r="D103">
        <f>Land*($G103)+Ocean*($G103*Fraction)</f>
        <v>1.1071645000000001E-2</v>
      </c>
      <c r="E103">
        <f t="shared" si="5"/>
        <v>5.0777856304471367</v>
      </c>
      <c r="F103">
        <v>1937.17</v>
      </c>
      <c r="G103">
        <v>1.7033300000000001E-2</v>
      </c>
      <c r="I103">
        <v>1937.17</v>
      </c>
      <c r="J103">
        <v>1.6866699999999998E-2</v>
      </c>
      <c r="L103">
        <v>1937.17</v>
      </c>
      <c r="M103">
        <v>-8.8333300000000003E-3</v>
      </c>
    </row>
    <row r="104" spans="1:13">
      <c r="A104">
        <f t="shared" si="3"/>
        <v>1938.17</v>
      </c>
      <c r="B104">
        <f>Land*($G104+Offset)+Ocean*$J104</f>
        <v>1.6916689999999998E-2</v>
      </c>
      <c r="C104">
        <f t="shared" si="4"/>
        <v>-7.8666699999999992E-3</v>
      </c>
      <c r="D104">
        <f>Land*($G104)+Ocean*($G104*Fraction)</f>
        <v>9.555000000000001E-3</v>
      </c>
      <c r="E104">
        <f t="shared" si="5"/>
        <v>4.9045334590631597</v>
      </c>
      <c r="F104">
        <v>1938.17</v>
      </c>
      <c r="G104">
        <v>1.47E-2</v>
      </c>
      <c r="I104">
        <v>1938.17</v>
      </c>
      <c r="J104">
        <v>1.7866699999999999E-2</v>
      </c>
      <c r="L104">
        <v>1938.17</v>
      </c>
      <c r="M104">
        <v>-7.8666699999999992E-3</v>
      </c>
    </row>
    <row r="105" spans="1:13">
      <c r="A105">
        <f t="shared" si="3"/>
        <v>1939.17</v>
      </c>
      <c r="B105">
        <f>Land*($G105+Offset)+Ocean*$J105</f>
        <v>1.1874989999999998E-2</v>
      </c>
      <c r="C105">
        <f t="shared" si="4"/>
        <v>-6.4333300000000001E-3</v>
      </c>
      <c r="D105">
        <f>Land*($G105)+Ocean*($G105*Fraction)</f>
        <v>-9.0783549999999998E-3</v>
      </c>
      <c r="E105">
        <f t="shared" si="5"/>
        <v>0.16903938496284643</v>
      </c>
      <c r="F105">
        <v>1939.17</v>
      </c>
      <c r="G105">
        <v>-1.39667E-2</v>
      </c>
      <c r="I105">
        <v>1939.17</v>
      </c>
      <c r="J105">
        <v>2.2950000000000002E-2</v>
      </c>
      <c r="L105">
        <v>1939.17</v>
      </c>
      <c r="M105">
        <v>-6.4333300000000001E-3</v>
      </c>
    </row>
    <row r="106" spans="1:13">
      <c r="A106">
        <f t="shared" si="3"/>
        <v>1940.17</v>
      </c>
      <c r="B106">
        <f>Land*($G106+Offset)+Ocean*$J106</f>
        <v>3.1996688999999995E-2</v>
      </c>
      <c r="C106">
        <f t="shared" si="4"/>
        <v>3.5016699999999998E-2</v>
      </c>
      <c r="D106">
        <f>Land*($G106)+Ocean*($G106*Fraction)</f>
        <v>4.0841645000000001E-3</v>
      </c>
      <c r="E106">
        <f t="shared" si="5"/>
        <v>0.780334142219687</v>
      </c>
      <c r="F106">
        <v>1940.17</v>
      </c>
      <c r="G106">
        <v>6.2833300000000002E-3</v>
      </c>
      <c r="I106">
        <v>1940.17</v>
      </c>
      <c r="J106">
        <v>4.3016699999999998E-2</v>
      </c>
      <c r="L106">
        <v>1940.17</v>
      </c>
      <c r="M106">
        <v>3.5016699999999998E-2</v>
      </c>
    </row>
    <row r="107" spans="1:13">
      <c r="A107">
        <f t="shared" si="3"/>
        <v>1941.17</v>
      </c>
      <c r="B107">
        <f>Land*($G107+Offset)+Ocean*$J107</f>
        <v>3.1988319999999994E-2</v>
      </c>
      <c r="C107">
        <f t="shared" si="4"/>
        <v>3.6650000000000002E-2</v>
      </c>
      <c r="D107">
        <f>Land*($G107)+Ocean*($G107*Fraction)</f>
        <v>-7.106645E-3</v>
      </c>
      <c r="E107">
        <f t="shared" si="5"/>
        <v>1.4254108918336499</v>
      </c>
      <c r="F107">
        <v>1941.17</v>
      </c>
      <c r="G107">
        <v>-1.09333E-2</v>
      </c>
      <c r="I107">
        <v>1941.17</v>
      </c>
      <c r="J107">
        <v>5.0383299999999999E-2</v>
      </c>
      <c r="L107">
        <v>1941.17</v>
      </c>
      <c r="M107">
        <v>3.6650000000000002E-2</v>
      </c>
    </row>
    <row r="108" spans="1:13">
      <c r="A108">
        <f t="shared" si="3"/>
        <v>1942.17</v>
      </c>
      <c r="B108">
        <f>Land*($G108+Offset)+Ocean*$J108</f>
        <v>-2.5390000000000003E-2</v>
      </c>
      <c r="C108">
        <f t="shared" si="4"/>
        <v>1.8599999999999998E-2</v>
      </c>
      <c r="D108">
        <f>Land*($G108)+Ocean*($G108*Fraction)</f>
        <v>-1.0497500000000002E-2</v>
      </c>
      <c r="E108">
        <f t="shared" si="5"/>
        <v>2.4472901672158631</v>
      </c>
      <c r="F108">
        <v>1942.17</v>
      </c>
      <c r="G108">
        <v>-1.6150000000000001E-2</v>
      </c>
      <c r="I108">
        <v>1942.17</v>
      </c>
      <c r="J108">
        <v>-2.9350000000000001E-2</v>
      </c>
      <c r="L108">
        <v>1942.17</v>
      </c>
      <c r="M108">
        <v>1.8599999999999998E-2</v>
      </c>
    </row>
    <row r="109" spans="1:13">
      <c r="A109">
        <f t="shared" si="3"/>
        <v>1943.17</v>
      </c>
      <c r="B109">
        <f>Land*($G109+Offset)+Ocean*$J109</f>
        <v>-6.293E-2</v>
      </c>
      <c r="C109">
        <f t="shared" si="4"/>
        <v>1.45833E-2</v>
      </c>
      <c r="D109">
        <f>Land*($G109)+Ocean*($G109*Fraction)</f>
        <v>-6.1425000000000004E-3</v>
      </c>
      <c r="E109">
        <f t="shared" si="5"/>
        <v>2.0198121765074797</v>
      </c>
      <c r="F109">
        <v>1943.17</v>
      </c>
      <c r="G109">
        <v>-9.4500000000000001E-3</v>
      </c>
      <c r="I109">
        <v>1943.17</v>
      </c>
      <c r="J109">
        <v>-8.5849999999999996E-2</v>
      </c>
      <c r="L109">
        <v>1943.17</v>
      </c>
      <c r="M109">
        <v>1.45833E-2</v>
      </c>
    </row>
    <row r="110" spans="1:13">
      <c r="A110">
        <f t="shared" si="3"/>
        <v>1944.17</v>
      </c>
      <c r="B110">
        <f>Land*($G110+Offset)+Ocean*$J110</f>
        <v>-0.10202809999999998</v>
      </c>
      <c r="C110">
        <f t="shared" si="4"/>
        <v>7.2833300000000002E-3</v>
      </c>
      <c r="D110">
        <f>Land*($G110)+Ocean*($G110*Fraction)</f>
        <v>-8.6775000000000012E-3</v>
      </c>
      <c r="E110">
        <f t="shared" si="5"/>
        <v>4.8023185903740284</v>
      </c>
      <c r="F110">
        <v>1944.17</v>
      </c>
      <c r="G110">
        <v>-1.3350000000000001E-2</v>
      </c>
      <c r="I110">
        <v>1944.17</v>
      </c>
      <c r="J110">
        <v>-0.14003299999999999</v>
      </c>
      <c r="L110">
        <v>1944.17</v>
      </c>
      <c r="M110">
        <v>7.2833300000000002E-3</v>
      </c>
    </row>
    <row r="111" spans="1:13">
      <c r="A111">
        <f t="shared" si="3"/>
        <v>1945.17</v>
      </c>
      <c r="B111">
        <f>Land*($G111+Offset)+Ocean*$J111</f>
        <v>-0.16271810999999997</v>
      </c>
      <c r="C111">
        <f t="shared" si="4"/>
        <v>-3.8333300000000001E-2</v>
      </c>
      <c r="D111">
        <f>Land*($G111)+Ocean*($G111*Fraction)</f>
        <v>-3.7873354999999997E-2</v>
      </c>
      <c r="E111">
        <f t="shared" si="5"/>
        <v>1.4396581765122065E-4</v>
      </c>
      <c r="F111">
        <v>1945.17</v>
      </c>
      <c r="G111">
        <v>-5.8266699999999998E-2</v>
      </c>
      <c r="I111">
        <v>1945.17</v>
      </c>
      <c r="J111">
        <v>-0.207483</v>
      </c>
      <c r="L111">
        <v>1945.17</v>
      </c>
      <c r="M111">
        <v>-3.8333300000000001E-2</v>
      </c>
    </row>
    <row r="112" spans="1:13">
      <c r="A112">
        <f t="shared" si="3"/>
        <v>1946.17</v>
      </c>
      <c r="B112">
        <f>Land*($G112+Offset)+Ocean*$J112</f>
        <v>-0.22000809999999998</v>
      </c>
      <c r="C112">
        <f t="shared" si="4"/>
        <v>-7.9766699999999996E-2</v>
      </c>
      <c r="D112">
        <f>Land*($G112)+Ocean*($G112*Fraction)</f>
        <v>-6.1522500000000001E-2</v>
      </c>
      <c r="E112">
        <f t="shared" si="5"/>
        <v>5.2312611167547381E-2</v>
      </c>
      <c r="F112">
        <v>1946.17</v>
      </c>
      <c r="G112">
        <v>-9.4649999999999998E-2</v>
      </c>
      <c r="I112">
        <v>1946.17</v>
      </c>
      <c r="J112">
        <v>-0.273733</v>
      </c>
      <c r="L112">
        <v>1946.17</v>
      </c>
      <c r="M112">
        <v>-7.9766699999999996E-2</v>
      </c>
    </row>
    <row r="113" spans="1:13">
      <c r="A113">
        <f t="shared" si="3"/>
        <v>1947.17</v>
      </c>
      <c r="B113">
        <f>Land*($G113+Offset)+Ocean*$J113</f>
        <v>-0.20971320000000002</v>
      </c>
      <c r="C113">
        <f t="shared" si="4"/>
        <v>-7.6333300000000007E-2</v>
      </c>
      <c r="D113">
        <f>Land*($G113)+Ocean*($G113*Fraction)</f>
        <v>-6.5986050000000004E-2</v>
      </c>
      <c r="E113">
        <f t="shared" si="5"/>
        <v>1.8374765634266751E-2</v>
      </c>
      <c r="F113">
        <v>1947.17</v>
      </c>
      <c r="G113">
        <v>-0.101517</v>
      </c>
      <c r="I113">
        <v>1947.17</v>
      </c>
      <c r="J113">
        <v>-0.25608300000000001</v>
      </c>
      <c r="L113">
        <v>1947.17</v>
      </c>
      <c r="M113">
        <v>-7.6333300000000007E-2</v>
      </c>
    </row>
    <row r="114" spans="1:13">
      <c r="A114">
        <f t="shared" si="3"/>
        <v>1948.17</v>
      </c>
      <c r="B114">
        <f>Land*($G114+Offset)+Ocean*$J114</f>
        <v>-0.18243009999999998</v>
      </c>
      <c r="C114">
        <f t="shared" si="4"/>
        <v>-6.1749999999999999E-2</v>
      </c>
      <c r="D114">
        <f>Land*($G114)+Ocean*($G114*Fraction)</f>
        <v>-7.3428550000000009E-2</v>
      </c>
      <c r="E114">
        <f t="shared" si="5"/>
        <v>3.5768763324099784E-2</v>
      </c>
      <c r="F114">
        <v>1948.17</v>
      </c>
      <c r="G114">
        <v>-0.112967</v>
      </c>
      <c r="I114">
        <v>1948.17</v>
      </c>
      <c r="J114">
        <v>-0.2122</v>
      </c>
      <c r="L114">
        <v>1948.17</v>
      </c>
      <c r="M114">
        <v>-6.1749999999999999E-2</v>
      </c>
    </row>
    <row r="115" spans="1:13">
      <c r="A115">
        <f t="shared" si="3"/>
        <v>1949.17</v>
      </c>
      <c r="B115">
        <f>Land*($G115+Offset)+Ocean*$J115</f>
        <v>-0.14484998999999998</v>
      </c>
      <c r="C115">
        <f t="shared" si="4"/>
        <v>-3.4283300000000003E-2</v>
      </c>
      <c r="D115">
        <f>Land*($G115)+Ocean*($G115*Fraction)</f>
        <v>-5.8814144999999998E-2</v>
      </c>
      <c r="E115">
        <f t="shared" si="5"/>
        <v>0.51198799591460376</v>
      </c>
      <c r="F115">
        <v>1949.17</v>
      </c>
      <c r="G115">
        <v>-9.0483300000000003E-2</v>
      </c>
      <c r="I115">
        <v>1949.17</v>
      </c>
      <c r="J115">
        <v>-0.16814999999999999</v>
      </c>
      <c r="L115">
        <v>1949.17</v>
      </c>
      <c r="M115">
        <v>-3.4283300000000003E-2</v>
      </c>
    </row>
    <row r="116" spans="1:13">
      <c r="A116">
        <f t="shared" si="3"/>
        <v>1950.17</v>
      </c>
      <c r="B116">
        <f>Land*($G116+Offset)+Ocean*$J116</f>
        <v>-0.14989689</v>
      </c>
      <c r="C116">
        <f t="shared" si="4"/>
        <v>-4.5716699999999999E-2</v>
      </c>
      <c r="D116">
        <f>Land*($G116)+Ocean*($G116*Fraction)</f>
        <v>-6.4566645000000006E-2</v>
      </c>
      <c r="E116">
        <f t="shared" si="5"/>
        <v>0.17000841834999275</v>
      </c>
      <c r="F116">
        <v>1950.17</v>
      </c>
      <c r="G116">
        <v>-9.9333299999999999E-2</v>
      </c>
      <c r="I116">
        <v>1950.17</v>
      </c>
      <c r="J116">
        <v>-0.171567</v>
      </c>
      <c r="L116">
        <v>1950.17</v>
      </c>
      <c r="M116">
        <v>-4.5716699999999999E-2</v>
      </c>
    </row>
    <row r="117" spans="1:13">
      <c r="A117">
        <f t="shared" si="3"/>
        <v>1951.17</v>
      </c>
      <c r="B117">
        <f>Land*($G117+Offset)+Ocean*$J117</f>
        <v>-0.14771999999999999</v>
      </c>
      <c r="C117">
        <f t="shared" si="4"/>
        <v>-4.8016700000000002E-2</v>
      </c>
      <c r="D117">
        <f>Land*($G117)+Ocean*($G117*Fraction)</f>
        <v>-4.9562500000000002E-2</v>
      </c>
      <c r="E117">
        <f t="shared" si="5"/>
        <v>1.0363870725725957E-3</v>
      </c>
      <c r="F117">
        <v>1951.17</v>
      </c>
      <c r="G117">
        <v>-7.6249999999999998E-2</v>
      </c>
      <c r="I117">
        <v>1951.17</v>
      </c>
      <c r="J117">
        <v>-0.17835000000000001</v>
      </c>
      <c r="L117">
        <v>1951.17</v>
      </c>
      <c r="M117">
        <v>-4.8016700000000002E-2</v>
      </c>
    </row>
    <row r="118" spans="1:13">
      <c r="A118">
        <f t="shared" si="3"/>
        <v>1952.17</v>
      </c>
      <c r="B118">
        <f>Land*($G118+Offset)+Ocean*$J118</f>
        <v>-0.1802532</v>
      </c>
      <c r="C118">
        <f t="shared" si="4"/>
        <v>-9.06E-2</v>
      </c>
      <c r="D118">
        <f>Land*($G118)+Ocean*($G118*Fraction)</f>
        <v>-8.9971050000000011E-2</v>
      </c>
      <c r="E118">
        <f t="shared" si="5"/>
        <v>4.819209957896419E-5</v>
      </c>
      <c r="F118">
        <v>1952.17</v>
      </c>
      <c r="G118">
        <v>-0.13841700000000001</v>
      </c>
      <c r="I118">
        <v>1952.17</v>
      </c>
      <c r="J118">
        <v>-0.198183</v>
      </c>
      <c r="L118">
        <v>1952.17</v>
      </c>
      <c r="M118">
        <v>-9.06E-2</v>
      </c>
    </row>
    <row r="119" spans="1:13">
      <c r="A119">
        <f t="shared" si="3"/>
        <v>1953.17</v>
      </c>
      <c r="B119">
        <f>Land*($G119+Offset)+Ocean*$J119</f>
        <v>-0.17763700000000002</v>
      </c>
      <c r="C119">
        <f t="shared" si="4"/>
        <v>-9.7733299999999995E-2</v>
      </c>
      <c r="D119">
        <f>Land*($G119)+Ocean*($G119*Fraction)</f>
        <v>-9.0393549999999989E-2</v>
      </c>
      <c r="E119">
        <f t="shared" si="5"/>
        <v>5.6399779877630294E-3</v>
      </c>
      <c r="F119">
        <v>1953.17</v>
      </c>
      <c r="G119">
        <v>-0.139067</v>
      </c>
      <c r="I119">
        <v>1953.17</v>
      </c>
      <c r="J119">
        <v>-0.19416700000000001</v>
      </c>
      <c r="L119">
        <v>1953.17</v>
      </c>
      <c r="M119">
        <v>-9.7733299999999995E-2</v>
      </c>
    </row>
    <row r="120" spans="1:13">
      <c r="A120">
        <f t="shared" si="3"/>
        <v>1954.17</v>
      </c>
      <c r="B120">
        <f>Land*($G120+Offset)+Ocean*$J120</f>
        <v>-0.17474700000000001</v>
      </c>
      <c r="C120">
        <f t="shared" si="4"/>
        <v>-0.108083</v>
      </c>
      <c r="D120">
        <f>Land*($G120)+Ocean*($G120*Fraction)</f>
        <v>-0.10043605</v>
      </c>
      <c r="E120">
        <f t="shared" si="5"/>
        <v>5.0056642891891396E-3</v>
      </c>
      <c r="F120">
        <v>1954.17</v>
      </c>
      <c r="G120">
        <v>-0.15451699999999999</v>
      </c>
      <c r="I120">
        <v>1954.17</v>
      </c>
      <c r="J120">
        <v>-0.183417</v>
      </c>
      <c r="L120">
        <v>1954.17</v>
      </c>
      <c r="M120">
        <v>-0.108083</v>
      </c>
    </row>
    <row r="121" spans="1:13">
      <c r="A121">
        <f t="shared" si="3"/>
        <v>1955.17</v>
      </c>
      <c r="B121">
        <f>Land*($G121+Offset)+Ocean*$J121</f>
        <v>-0.138493</v>
      </c>
      <c r="C121">
        <f t="shared" si="4"/>
        <v>-7.8316700000000003E-2</v>
      </c>
      <c r="D121">
        <f>Land*($G121)+Ocean*($G121*Fraction)</f>
        <v>-7.8736450000000013E-2</v>
      </c>
      <c r="E121">
        <f t="shared" si="5"/>
        <v>2.8725834277297765E-5</v>
      </c>
      <c r="F121">
        <v>1955.17</v>
      </c>
      <c r="G121">
        <v>-0.121133</v>
      </c>
      <c r="I121">
        <v>1955.17</v>
      </c>
      <c r="J121">
        <v>-0.14593300000000001</v>
      </c>
      <c r="L121">
        <v>1955.17</v>
      </c>
      <c r="M121">
        <v>-7.8316700000000003E-2</v>
      </c>
    </row>
    <row r="122" spans="1:13">
      <c r="A122">
        <f t="shared" si="3"/>
        <v>1956.17</v>
      </c>
      <c r="B122">
        <f>Land*($G122+Offset)+Ocean*$J122</f>
        <v>-0.10377688999999998</v>
      </c>
      <c r="C122">
        <f t="shared" si="4"/>
        <v>-5.0950000000000002E-2</v>
      </c>
      <c r="D122">
        <f>Land*($G122)+Ocean*($G122*Fraction)</f>
        <v>-6.4436644999999987E-2</v>
      </c>
      <c r="E122">
        <f t="shared" si="5"/>
        <v>7.0067960316700859E-2</v>
      </c>
      <c r="F122">
        <v>1956.17</v>
      </c>
      <c r="G122">
        <v>-9.9133299999999994E-2</v>
      </c>
      <c r="I122">
        <v>1956.17</v>
      </c>
      <c r="J122">
        <v>-0.105767</v>
      </c>
      <c r="L122">
        <v>1956.17</v>
      </c>
      <c r="M122">
        <v>-5.0950000000000002E-2</v>
      </c>
    </row>
    <row r="123" spans="1:13">
      <c r="A123">
        <f t="shared" si="3"/>
        <v>1957.17</v>
      </c>
      <c r="B123">
        <f>Land*($G123+Offset)+Ocean*$J123</f>
        <v>-4.3119999999999999E-2</v>
      </c>
      <c r="C123">
        <f t="shared" si="4"/>
        <v>9.7999999999999997E-3</v>
      </c>
      <c r="D123">
        <f>Land*($G123)+Ocean*($G123*Fraction)</f>
        <v>-5.2325000000000002E-3</v>
      </c>
      <c r="E123">
        <f t="shared" si="5"/>
        <v>2.3529368622448983</v>
      </c>
      <c r="F123">
        <v>1957.17</v>
      </c>
      <c r="G123">
        <v>-8.0499999999999999E-3</v>
      </c>
      <c r="I123">
        <v>1957.17</v>
      </c>
      <c r="J123">
        <v>-5.815E-2</v>
      </c>
      <c r="L123">
        <v>1957.17</v>
      </c>
      <c r="M123">
        <v>9.7999999999999997E-3</v>
      </c>
    </row>
    <row r="124" spans="1:13">
      <c r="A124">
        <f t="shared" si="3"/>
        <v>1958.17</v>
      </c>
      <c r="B124">
        <f>Land*($G124+Offset)+Ocean*$J124</f>
        <v>-3.6453299999999994E-2</v>
      </c>
      <c r="C124">
        <f t="shared" si="4"/>
        <v>1.43833E-2</v>
      </c>
      <c r="D124">
        <f>Land*($G124)+Ocean*($G124*Fraction)</f>
        <v>7.2908550000000006E-3</v>
      </c>
      <c r="E124">
        <f t="shared" si="5"/>
        <v>0.24315033686267853</v>
      </c>
      <c r="F124">
        <v>1958.17</v>
      </c>
      <c r="G124">
        <v>1.12167E-2</v>
      </c>
      <c r="I124">
        <v>1958.17</v>
      </c>
      <c r="J124">
        <v>-5.6883299999999998E-2</v>
      </c>
      <c r="L124">
        <v>1958.17</v>
      </c>
      <c r="M124">
        <v>1.43833E-2</v>
      </c>
    </row>
    <row r="125" spans="1:13">
      <c r="A125">
        <f t="shared" si="3"/>
        <v>1959.17</v>
      </c>
      <c r="B125">
        <f>Land*($G125+Offset)+Ocean*$J125</f>
        <v>-3.8483310999999992E-2</v>
      </c>
      <c r="C125">
        <f t="shared" si="4"/>
        <v>1.49333E-2</v>
      </c>
      <c r="D125">
        <f>Land*($G125)+Ocean*($G125*Fraction)</f>
        <v>4.4091644999999999E-3</v>
      </c>
      <c r="E125">
        <f t="shared" si="5"/>
        <v>0.49666239949944957</v>
      </c>
      <c r="F125">
        <v>1959.17</v>
      </c>
      <c r="G125">
        <v>6.7833299999999997E-3</v>
      </c>
      <c r="I125">
        <v>1959.17</v>
      </c>
      <c r="J125">
        <v>-5.7883299999999999E-2</v>
      </c>
      <c r="L125">
        <v>1959.17</v>
      </c>
      <c r="M125">
        <v>1.49333E-2</v>
      </c>
    </row>
    <row r="126" spans="1:13">
      <c r="A126">
        <f t="shared" si="3"/>
        <v>1960.17</v>
      </c>
      <c r="B126">
        <f>Land*($G126+Offset)+Ocean*$J126</f>
        <v>-8.3303309999999992E-2</v>
      </c>
      <c r="C126">
        <f t="shared" si="4"/>
        <v>-3.3099999999999997E-2</v>
      </c>
      <c r="D126">
        <f>Land*($G126)+Ocean*($G126*Fraction)</f>
        <v>-3.5522499999999999E-2</v>
      </c>
      <c r="E126">
        <f t="shared" si="5"/>
        <v>5.3563825175016707E-3</v>
      </c>
      <c r="F126">
        <v>1960.17</v>
      </c>
      <c r="G126">
        <v>-5.4649999999999997E-2</v>
      </c>
      <c r="I126">
        <v>1960.17</v>
      </c>
      <c r="J126">
        <v>-9.5583299999999996E-2</v>
      </c>
      <c r="L126">
        <v>1960.17</v>
      </c>
      <c r="M126">
        <v>-3.3099999999999997E-2</v>
      </c>
    </row>
    <row r="127" spans="1:13">
      <c r="A127">
        <f t="shared" si="3"/>
        <v>1961.17</v>
      </c>
      <c r="B127">
        <f>Land*($G127+Offset)+Ocean*$J127</f>
        <v>-0.10818189</v>
      </c>
      <c r="C127">
        <f t="shared" si="4"/>
        <v>-5.0983300000000002E-2</v>
      </c>
      <c r="D127">
        <f>Land*($G127)+Ocean*($G127*Fraction)</f>
        <v>-5.585664500000001E-2</v>
      </c>
      <c r="E127">
        <f t="shared" si="5"/>
        <v>9.1368907037533247E-3</v>
      </c>
      <c r="F127">
        <v>1961.17</v>
      </c>
      <c r="G127">
        <v>-8.5933300000000004E-2</v>
      </c>
      <c r="I127">
        <v>1961.17</v>
      </c>
      <c r="J127">
        <v>-0.117717</v>
      </c>
      <c r="L127">
        <v>1961.17</v>
      </c>
      <c r="M127">
        <v>-5.0983300000000002E-2</v>
      </c>
    </row>
    <row r="128" spans="1:13">
      <c r="A128">
        <f t="shared" si="3"/>
        <v>1962.17</v>
      </c>
      <c r="B128">
        <f>Land*($G128+Offset)+Ocean*$J128</f>
        <v>-0.1318568</v>
      </c>
      <c r="C128">
        <f t="shared" si="4"/>
        <v>-7.3183300000000007E-2</v>
      </c>
      <c r="D128">
        <f>Land*($G128)+Ocean*($G128*Fraction)</f>
        <v>-8.1141450000000004E-2</v>
      </c>
      <c r="E128">
        <f t="shared" si="5"/>
        <v>1.1824975882317248E-2</v>
      </c>
      <c r="F128">
        <v>1962.17</v>
      </c>
      <c r="G128">
        <v>-0.124833</v>
      </c>
      <c r="I128">
        <v>1962.17</v>
      </c>
      <c r="J128">
        <v>-0.13486699999999999</v>
      </c>
      <c r="L128">
        <v>1962.17</v>
      </c>
      <c r="M128">
        <v>-7.3183300000000007E-2</v>
      </c>
    </row>
    <row r="129" spans="1:13">
      <c r="A129">
        <f t="shared" si="3"/>
        <v>1963.17</v>
      </c>
      <c r="B129">
        <f>Land*($G129+Offset)+Ocean*$J129</f>
        <v>-0.1540319</v>
      </c>
      <c r="C129">
        <f t="shared" si="4"/>
        <v>-9.2100000000000001E-2</v>
      </c>
      <c r="D129">
        <f>Land*($G129)+Ocean*($G129*Fraction)</f>
        <v>-9.7565000000000013E-2</v>
      </c>
      <c r="E129">
        <f t="shared" si="5"/>
        <v>3.5209598451383653E-3</v>
      </c>
      <c r="F129">
        <v>1963.17</v>
      </c>
      <c r="G129">
        <v>-0.15010000000000001</v>
      </c>
      <c r="I129">
        <v>1963.17</v>
      </c>
      <c r="J129">
        <v>-0.15571699999999999</v>
      </c>
      <c r="L129">
        <v>1963.17</v>
      </c>
      <c r="M129">
        <v>-9.2100000000000001E-2</v>
      </c>
    </row>
    <row r="130" spans="1:13">
      <c r="A130">
        <f t="shared" si="3"/>
        <v>1964.17</v>
      </c>
      <c r="B130">
        <f>Land*($G130+Offset)+Ocean*$J130</f>
        <v>-0.1812299</v>
      </c>
      <c r="C130">
        <f t="shared" si="4"/>
        <v>-0.12438299999999999</v>
      </c>
      <c r="D130">
        <f>Land*($G130)+Ocean*($G130*Fraction)</f>
        <v>-0.12686894999999998</v>
      </c>
      <c r="E130">
        <f t="shared" si="5"/>
        <v>3.9945027462626816E-4</v>
      </c>
      <c r="F130">
        <v>1964.17</v>
      </c>
      <c r="G130">
        <v>-0.195183</v>
      </c>
      <c r="I130">
        <v>1964.17</v>
      </c>
      <c r="J130">
        <v>-0.17524999999999999</v>
      </c>
      <c r="L130">
        <v>1964.17</v>
      </c>
      <c r="M130">
        <v>-0.12438299999999999</v>
      </c>
    </row>
    <row r="131" spans="1:13">
      <c r="A131">
        <f t="shared" si="3"/>
        <v>1965.17</v>
      </c>
      <c r="B131">
        <f>Land*($G131+Offset)+Ocean*$J131</f>
        <v>-0.127973</v>
      </c>
      <c r="C131">
        <f t="shared" si="4"/>
        <v>-7.3916700000000002E-2</v>
      </c>
      <c r="D131">
        <f>Land*($G131)+Ocean*($G131*Fraction)</f>
        <v>-0.10720645000000001</v>
      </c>
      <c r="E131">
        <f t="shared" si="5"/>
        <v>0.20283174553084954</v>
      </c>
      <c r="F131">
        <v>1965.17</v>
      </c>
      <c r="G131">
        <v>-0.164933</v>
      </c>
      <c r="I131">
        <v>1965.17</v>
      </c>
      <c r="J131">
        <v>-0.112133</v>
      </c>
      <c r="L131">
        <v>1965.17</v>
      </c>
      <c r="M131">
        <v>-7.3916700000000002E-2</v>
      </c>
    </row>
    <row r="132" spans="1:13">
      <c r="A132">
        <f t="shared" si="3"/>
        <v>1966.17</v>
      </c>
      <c r="B132">
        <f>Land*($G132+Offset)+Ocean*$J132</f>
        <v>-9.7353410000000001E-2</v>
      </c>
      <c r="C132">
        <f t="shared" si="4"/>
        <v>-5.1216699999999997E-2</v>
      </c>
      <c r="D132">
        <f>Land*($G132)+Ocean*($G132*Fraction)</f>
        <v>-8.6136049999999992E-2</v>
      </c>
      <c r="E132">
        <f t="shared" si="5"/>
        <v>0.46484602008802833</v>
      </c>
      <c r="F132">
        <v>1966.17</v>
      </c>
      <c r="G132">
        <v>-0.132517</v>
      </c>
      <c r="I132">
        <v>1966.17</v>
      </c>
      <c r="J132">
        <v>-8.2283300000000004E-2</v>
      </c>
      <c r="L132">
        <v>1966.17</v>
      </c>
      <c r="M132">
        <v>-5.1216699999999997E-2</v>
      </c>
    </row>
    <row r="133" spans="1:13">
      <c r="A133">
        <f t="shared" si="3"/>
        <v>1967.17</v>
      </c>
      <c r="B133">
        <f>Land*($G133+Offset)+Ocean*$J133</f>
        <v>-0.11119841</v>
      </c>
      <c r="C133">
        <f t="shared" si="4"/>
        <v>-7.3999999999999996E-2</v>
      </c>
      <c r="D133">
        <f>Land*($G133)+Ocean*($G133*Fraction)</f>
        <v>-9.1563549999999994E-2</v>
      </c>
      <c r="E133">
        <f t="shared" si="5"/>
        <v>5.6332777319667633E-2</v>
      </c>
      <c r="F133">
        <v>1967.17</v>
      </c>
      <c r="G133">
        <v>-0.14086699999999999</v>
      </c>
      <c r="I133">
        <v>1967.17</v>
      </c>
      <c r="J133">
        <v>-9.8483299999999996E-2</v>
      </c>
      <c r="L133">
        <v>1967.17</v>
      </c>
      <c r="M133">
        <v>-7.3999999999999996E-2</v>
      </c>
    </row>
    <row r="134" spans="1:13">
      <c r="A134">
        <f t="shared" si="3"/>
        <v>1968.17</v>
      </c>
      <c r="B134">
        <f>Land*($G134+Offset)+Ocean*$J134</f>
        <v>-9.6398310000000001E-2</v>
      </c>
      <c r="C134">
        <f t="shared" si="4"/>
        <v>-7.2083300000000003E-2</v>
      </c>
      <c r="D134">
        <f>Land*($G134)+Ocean*($G134*Fraction)</f>
        <v>-0.10939500000000001</v>
      </c>
      <c r="E134">
        <f t="shared" si="5"/>
        <v>0.26792963506889583</v>
      </c>
      <c r="F134">
        <v>1968.17</v>
      </c>
      <c r="G134">
        <v>-0.16830000000000001</v>
      </c>
      <c r="I134">
        <v>1968.17</v>
      </c>
      <c r="J134">
        <v>-6.5583299999999997E-2</v>
      </c>
      <c r="L134">
        <v>1968.17</v>
      </c>
      <c r="M134">
        <v>-7.2083300000000003E-2</v>
      </c>
    </row>
    <row r="135" spans="1:13">
      <c r="A135">
        <f t="shared" si="3"/>
        <v>1969.17</v>
      </c>
      <c r="B135">
        <f>Land*($G135+Offset)+Ocean*$J135</f>
        <v>-5.4018410000000003E-2</v>
      </c>
      <c r="C135">
        <f t="shared" si="4"/>
        <v>-3.7483299999999997E-2</v>
      </c>
      <c r="D135">
        <f>Land*($G135)+Ocean*($G135*Fraction)</f>
        <v>-6.6408549999999997E-2</v>
      </c>
      <c r="E135">
        <f t="shared" si="5"/>
        <v>0.59549566563977085</v>
      </c>
      <c r="F135">
        <v>1969.17</v>
      </c>
      <c r="G135">
        <v>-0.10216699999999999</v>
      </c>
      <c r="I135">
        <v>1969.17</v>
      </c>
      <c r="J135">
        <v>-3.3383299999999998E-2</v>
      </c>
      <c r="L135">
        <v>1969.17</v>
      </c>
      <c r="M135">
        <v>-3.7483299999999997E-2</v>
      </c>
    </row>
    <row r="136" spans="1:13">
      <c r="A136">
        <f t="shared" si="3"/>
        <v>1970.17</v>
      </c>
      <c r="B136">
        <f>Land*($G136+Offset)+Ocean*$J136</f>
        <v>-9.2900100000000013E-2</v>
      </c>
      <c r="C136">
        <f t="shared" si="4"/>
        <v>-8.5866700000000004E-2</v>
      </c>
      <c r="D136">
        <f>Land*($G136)+Ocean*($G136*Fraction)</f>
        <v>-8.4121050000000003E-2</v>
      </c>
      <c r="E136">
        <f t="shared" si="5"/>
        <v>4.1329942435232233E-4</v>
      </c>
      <c r="F136">
        <v>1970.17</v>
      </c>
      <c r="G136">
        <v>-0.129417</v>
      </c>
      <c r="I136">
        <v>1970.17</v>
      </c>
      <c r="J136">
        <v>-7.7249999999999999E-2</v>
      </c>
      <c r="L136">
        <v>1970.17</v>
      </c>
      <c r="M136">
        <v>-8.5866700000000004E-2</v>
      </c>
    </row>
    <row r="137" spans="1:13">
      <c r="A137">
        <f t="shared" si="3"/>
        <v>1971.17</v>
      </c>
      <c r="B137">
        <f>Land*($G137+Offset)+Ocean*$J137</f>
        <v>-0.111568</v>
      </c>
      <c r="C137">
        <f t="shared" si="4"/>
        <v>-0.109967</v>
      </c>
      <c r="D137">
        <f>Land*($G137)+Ocean*($G137*Fraction)</f>
        <v>-8.2733950000000001E-2</v>
      </c>
      <c r="E137">
        <f t="shared" si="5"/>
        <v>6.1329272399383607E-2</v>
      </c>
      <c r="F137">
        <v>1971.17</v>
      </c>
      <c r="G137">
        <v>-0.12728300000000001</v>
      </c>
      <c r="I137">
        <v>1971.17</v>
      </c>
      <c r="J137">
        <v>-0.104833</v>
      </c>
      <c r="L137">
        <v>1971.17</v>
      </c>
      <c r="M137">
        <v>-0.109967</v>
      </c>
    </row>
    <row r="138" spans="1:13">
      <c r="A138">
        <f t="shared" si="3"/>
        <v>1972.17</v>
      </c>
      <c r="B138">
        <f>Land*($G138+Offset)+Ocean*$J138</f>
        <v>-0.12044299999999999</v>
      </c>
      <c r="C138">
        <f t="shared" si="4"/>
        <v>-0.12081699999999999</v>
      </c>
      <c r="D138">
        <f>Land*($G138)+Ocean*($G138*Fraction)</f>
        <v>-0.10226645000000001</v>
      </c>
      <c r="E138">
        <f t="shared" si="5"/>
        <v>2.35753139911359E-2</v>
      </c>
      <c r="F138">
        <v>1972.17</v>
      </c>
      <c r="G138">
        <v>-0.157333</v>
      </c>
      <c r="I138">
        <v>1972.17</v>
      </c>
      <c r="J138">
        <v>-0.104633</v>
      </c>
      <c r="L138">
        <v>1972.17</v>
      </c>
      <c r="M138">
        <v>-0.12081699999999999</v>
      </c>
    </row>
    <row r="139" spans="1:13">
      <c r="A139">
        <f t="shared" si="3"/>
        <v>1973.17</v>
      </c>
      <c r="B139">
        <f>Land*($G139+Offset)+Ocean*$J139</f>
        <v>-0.10604311000000001</v>
      </c>
      <c r="C139">
        <f t="shared" si="4"/>
        <v>-9.8299999999999998E-2</v>
      </c>
      <c r="D139">
        <f>Land*($G139)+Ocean*($G139*Fraction)</f>
        <v>-6.1663355000000003E-2</v>
      </c>
      <c r="E139">
        <f t="shared" si="5"/>
        <v>0.13890707198943841</v>
      </c>
      <c r="F139">
        <v>1973.17</v>
      </c>
      <c r="G139">
        <v>-9.4866699999999998E-2</v>
      </c>
      <c r="I139">
        <v>1973.17</v>
      </c>
      <c r="J139">
        <v>-0.110833</v>
      </c>
      <c r="L139">
        <v>1973.17</v>
      </c>
      <c r="M139">
        <v>-9.8299999999999998E-2</v>
      </c>
    </row>
    <row r="140" spans="1:13">
      <c r="A140">
        <f t="shared" si="3"/>
        <v>1974.17</v>
      </c>
      <c r="B140">
        <f>Land*($G140+Offset)+Ocean*$J140</f>
        <v>-0.12973989999999999</v>
      </c>
      <c r="C140">
        <f t="shared" si="4"/>
        <v>-0.123067</v>
      </c>
      <c r="D140">
        <f>Land*($G140)+Ocean*($G140*Fraction)</f>
        <v>-8.4163949999999987E-2</v>
      </c>
      <c r="E140">
        <f t="shared" si="5"/>
        <v>9.9927281992671604E-2</v>
      </c>
      <c r="F140">
        <v>1974.17</v>
      </c>
      <c r="G140">
        <v>-0.12948299999999999</v>
      </c>
      <c r="I140">
        <v>1974.17</v>
      </c>
      <c r="J140">
        <v>-0.12984999999999999</v>
      </c>
      <c r="L140">
        <v>1974.17</v>
      </c>
      <c r="M140">
        <v>-0.123067</v>
      </c>
    </row>
    <row r="141" spans="1:13">
      <c r="A141">
        <f t="shared" si="3"/>
        <v>1975.17</v>
      </c>
      <c r="B141">
        <f>Land*($G141+Offset)+Ocean*$J141</f>
        <v>-8.0678300000000008E-2</v>
      </c>
      <c r="C141">
        <f t="shared" si="4"/>
        <v>-6.8816699999999995E-2</v>
      </c>
      <c r="D141">
        <f>Land*($G141)+Ocean*($G141*Fraction)</f>
        <v>-4.2954144999999999E-2</v>
      </c>
      <c r="E141">
        <f t="shared" si="5"/>
        <v>0.14123917392325452</v>
      </c>
      <c r="F141">
        <v>1975.17</v>
      </c>
      <c r="G141">
        <v>-6.6083299999999998E-2</v>
      </c>
      <c r="I141">
        <v>1975.17</v>
      </c>
      <c r="J141">
        <v>-8.6933300000000005E-2</v>
      </c>
      <c r="L141">
        <v>1975.17</v>
      </c>
      <c r="M141">
        <v>-6.8816699999999995E-2</v>
      </c>
    </row>
    <row r="142" spans="1:13">
      <c r="A142">
        <f t="shared" si="3"/>
        <v>1976.17</v>
      </c>
      <c r="B142">
        <f>Land*($G142+Offset)+Ocean*$J142</f>
        <v>-3.4181690000000001E-2</v>
      </c>
      <c r="C142">
        <f t="shared" si="4"/>
        <v>-2.06E-2</v>
      </c>
      <c r="D142">
        <f>Land*($G142)+Ocean*($G142*Fraction)</f>
        <v>-1.8525E-2</v>
      </c>
      <c r="E142">
        <f t="shared" si="5"/>
        <v>1.0146161278160058E-2</v>
      </c>
      <c r="F142">
        <v>1976.17</v>
      </c>
      <c r="G142">
        <v>-2.8500000000000001E-2</v>
      </c>
      <c r="I142">
        <v>1976.17</v>
      </c>
      <c r="J142">
        <v>-3.6616700000000002E-2</v>
      </c>
      <c r="L142">
        <v>1976.17</v>
      </c>
      <c r="M142">
        <v>-2.06E-2</v>
      </c>
    </row>
    <row r="143" spans="1:13">
      <c r="A143">
        <f t="shared" si="3"/>
        <v>1977.17</v>
      </c>
      <c r="B143">
        <f>Land*($G143+Offset)+Ocean*$J143</f>
        <v>3.7119900000000004E-2</v>
      </c>
      <c r="C143">
        <f t="shared" si="4"/>
        <v>5.5399999999999998E-2</v>
      </c>
      <c r="D143">
        <f>Land*($G143)+Ocean*($G143*Fraction)</f>
        <v>6.6776450000000001E-2</v>
      </c>
      <c r="E143">
        <f t="shared" si="5"/>
        <v>4.2169067302617026E-2</v>
      </c>
      <c r="F143">
        <v>1977.17</v>
      </c>
      <c r="G143">
        <v>0.102733</v>
      </c>
      <c r="I143">
        <v>1977.17</v>
      </c>
      <c r="J143">
        <v>8.9999999999999993E-3</v>
      </c>
      <c r="L143">
        <v>1977.17</v>
      </c>
      <c r="M143">
        <v>5.5399999999999998E-2</v>
      </c>
    </row>
    <row r="144" spans="1:13">
      <c r="A144">
        <f t="shared" si="3"/>
        <v>1978.17</v>
      </c>
      <c r="B144">
        <f>Land*($G144+Offset)+Ocean*$J144</f>
        <v>3.8566680000000006E-2</v>
      </c>
      <c r="C144">
        <f t="shared" si="4"/>
        <v>4.8616699999999999E-2</v>
      </c>
      <c r="D144">
        <f>Land*($G144)+Ocean*($G144*Fraction)</f>
        <v>5.7449145E-2</v>
      </c>
      <c r="E144">
        <f t="shared" si="5"/>
        <v>3.3005850673159844E-2</v>
      </c>
      <c r="F144">
        <v>1978.17</v>
      </c>
      <c r="G144">
        <v>8.8383299999999998E-2</v>
      </c>
      <c r="I144">
        <v>1978.17</v>
      </c>
      <c r="J144">
        <v>1.7216700000000001E-2</v>
      </c>
      <c r="L144">
        <v>1978.17</v>
      </c>
      <c r="M144">
        <v>4.8616699999999999E-2</v>
      </c>
    </row>
    <row r="145" spans="1:13">
      <c r="A145">
        <f t="shared" ref="A145:A172" si="6">+$F145</f>
        <v>1979.17</v>
      </c>
      <c r="B145">
        <f>Land*($G145+Offset)+Ocean*$J145</f>
        <v>8.5463210000000012E-2</v>
      </c>
      <c r="C145">
        <f t="shared" ref="C145:C172" si="7">+$M145</f>
        <v>9.8616700000000002E-2</v>
      </c>
      <c r="D145">
        <f>Land*($G145)+Ocean*($G145*Fraction)</f>
        <v>0.10587395000000001</v>
      </c>
      <c r="E145">
        <f t="shared" ref="E145:E172" si="8">+(($D145-$C145)/$C145)^2</f>
        <v>5.4155583152871237E-3</v>
      </c>
      <c r="F145">
        <v>1979.17</v>
      </c>
      <c r="G145">
        <v>0.162883</v>
      </c>
      <c r="I145">
        <v>1979.17</v>
      </c>
      <c r="J145">
        <v>5.2283299999999998E-2</v>
      </c>
      <c r="L145">
        <v>1979.17</v>
      </c>
      <c r="M145">
        <v>9.8616700000000002E-2</v>
      </c>
    </row>
    <row r="146" spans="1:13">
      <c r="A146">
        <f t="shared" si="6"/>
        <v>1980.17</v>
      </c>
      <c r="B146">
        <f>Land*($G146+Offset)+Ocean*$J146</f>
        <v>7.264841000000001E-2</v>
      </c>
      <c r="C146">
        <f t="shared" si="7"/>
        <v>8.4099999999999994E-2</v>
      </c>
      <c r="D146">
        <f>Land*($G146)+Ocean*($G146*Fraction)</f>
        <v>9.5398550000000013E-2</v>
      </c>
      <c r="E146">
        <f t="shared" si="8"/>
        <v>1.8049011934789767E-2</v>
      </c>
      <c r="F146">
        <v>1980.17</v>
      </c>
      <c r="G146">
        <v>0.14676700000000001</v>
      </c>
      <c r="I146">
        <v>1980.17</v>
      </c>
      <c r="J146">
        <v>4.0883299999999997E-2</v>
      </c>
      <c r="L146">
        <v>1980.17</v>
      </c>
      <c r="M146">
        <v>8.4099999999999994E-2</v>
      </c>
    </row>
    <row r="147" spans="1:13">
      <c r="A147">
        <f t="shared" si="6"/>
        <v>1981.17</v>
      </c>
      <c r="B147">
        <f>Land*($G147+Offset)+Ocean*$J147</f>
        <v>5.0643310000000004E-2</v>
      </c>
      <c r="C147">
        <f t="shared" si="7"/>
        <v>5.9900000000000002E-2</v>
      </c>
      <c r="D147">
        <f>Land*($G147)+Ocean*($G147*Fraction)</f>
        <v>7.5172500000000003E-2</v>
      </c>
      <c r="E147">
        <f t="shared" si="8"/>
        <v>6.5007972734189706E-2</v>
      </c>
      <c r="F147">
        <v>1981.17</v>
      </c>
      <c r="G147">
        <v>0.11565</v>
      </c>
      <c r="I147">
        <v>1981.17</v>
      </c>
      <c r="J147">
        <v>2.2783299999999999E-2</v>
      </c>
      <c r="L147">
        <v>1981.17</v>
      </c>
      <c r="M147">
        <v>5.9900000000000002E-2</v>
      </c>
    </row>
    <row r="148" spans="1:13">
      <c r="A148">
        <f t="shared" si="6"/>
        <v>1982.17</v>
      </c>
      <c r="B148">
        <f>Land*($G148+Offset)+Ocean*$J148</f>
        <v>3.2693310000000003E-2</v>
      </c>
      <c r="C148">
        <f t="shared" si="7"/>
        <v>4.0966700000000002E-2</v>
      </c>
      <c r="D148">
        <f>Land*($G148)+Ocean*($G148*Fraction)</f>
        <v>5.0537499999999999E-2</v>
      </c>
      <c r="E148">
        <f t="shared" si="8"/>
        <v>5.4580124094883768E-2</v>
      </c>
      <c r="F148">
        <v>1982.17</v>
      </c>
      <c r="G148">
        <v>7.775E-2</v>
      </c>
      <c r="I148">
        <v>1982.17</v>
      </c>
      <c r="J148">
        <v>1.3383300000000001E-2</v>
      </c>
      <c r="L148">
        <v>1982.17</v>
      </c>
      <c r="M148">
        <v>4.0966700000000002E-2</v>
      </c>
    </row>
    <row r="149" spans="1:13">
      <c r="A149">
        <f t="shared" si="6"/>
        <v>1983.17</v>
      </c>
      <c r="B149">
        <f>Land*($G149+Offset)+Ocean*$J149</f>
        <v>6.3486590000000009E-2</v>
      </c>
      <c r="C149">
        <f t="shared" si="7"/>
        <v>7.5233300000000003E-2</v>
      </c>
      <c r="D149">
        <f>Land*($G149)+Ocean*($G149*Fraction)</f>
        <v>8.156395000000001E-2</v>
      </c>
      <c r="E149">
        <f t="shared" si="8"/>
        <v>7.0807030797184504E-3</v>
      </c>
      <c r="F149">
        <v>1983.17</v>
      </c>
      <c r="G149">
        <v>0.12548300000000001</v>
      </c>
      <c r="I149">
        <v>1983.17</v>
      </c>
      <c r="J149">
        <v>3.6916699999999997E-2</v>
      </c>
      <c r="L149">
        <v>1983.17</v>
      </c>
      <c r="M149">
        <v>7.5233300000000003E-2</v>
      </c>
    </row>
    <row r="150" spans="1:13">
      <c r="A150">
        <f t="shared" si="6"/>
        <v>1984.17</v>
      </c>
      <c r="B150">
        <f>Land*($G150+Offset)+Ocean*$J150</f>
        <v>6.4904900000000015E-2</v>
      </c>
      <c r="C150">
        <f t="shared" si="7"/>
        <v>7.7633300000000002E-2</v>
      </c>
      <c r="D150">
        <f>Land*($G150)+Ocean*($G150*Fraction)</f>
        <v>8.7543950000000009E-2</v>
      </c>
      <c r="E150">
        <f t="shared" si="8"/>
        <v>1.6297019434009359E-2</v>
      </c>
      <c r="F150">
        <v>1984.17</v>
      </c>
      <c r="G150">
        <v>0.134683</v>
      </c>
      <c r="I150">
        <v>1984.17</v>
      </c>
      <c r="J150">
        <v>3.5000000000000003E-2</v>
      </c>
      <c r="L150">
        <v>1984.17</v>
      </c>
      <c r="M150">
        <v>7.7633300000000002E-2</v>
      </c>
    </row>
    <row r="151" spans="1:13">
      <c r="A151">
        <f t="shared" si="6"/>
        <v>1985.17</v>
      </c>
      <c r="B151">
        <f>Land*($G151+Offset)+Ocean*$J151</f>
        <v>9.1946790000000014E-2</v>
      </c>
      <c r="C151">
        <f t="shared" si="7"/>
        <v>0.104833</v>
      </c>
      <c r="D151">
        <f>Land*($G151)+Ocean*($G151*Fraction)</f>
        <v>0.12601355</v>
      </c>
      <c r="E151">
        <f t="shared" si="8"/>
        <v>4.0820511127847528E-2</v>
      </c>
      <c r="F151">
        <v>1985.17</v>
      </c>
      <c r="G151">
        <v>0.19386700000000001</v>
      </c>
      <c r="I151">
        <v>1985.17</v>
      </c>
      <c r="J151">
        <v>4.8266700000000003E-2</v>
      </c>
      <c r="L151">
        <v>1985.17</v>
      </c>
      <c r="M151">
        <v>0.104833</v>
      </c>
    </row>
    <row r="152" spans="1:13">
      <c r="A152">
        <f t="shared" si="6"/>
        <v>1986.17</v>
      </c>
      <c r="B152">
        <f>Land*($G152+Offset)+Ocean*$J152</f>
        <v>0.15404990000000002</v>
      </c>
      <c r="C152">
        <f t="shared" si="7"/>
        <v>0.169017</v>
      </c>
      <c r="D152">
        <f>Land*($G152)+Ocean*($G152*Fraction)</f>
        <v>0.19173895000000002</v>
      </c>
      <c r="E152">
        <f t="shared" si="8"/>
        <v>1.8073007215431598E-2</v>
      </c>
      <c r="F152">
        <v>1986.17</v>
      </c>
      <c r="G152">
        <v>0.294983</v>
      </c>
      <c r="I152">
        <v>1986.17</v>
      </c>
      <c r="J152">
        <v>9.3649999999999997E-2</v>
      </c>
      <c r="L152">
        <v>1986.17</v>
      </c>
      <c r="M152">
        <v>0.169017</v>
      </c>
    </row>
    <row r="153" spans="1:13">
      <c r="A153">
        <f t="shared" si="6"/>
        <v>1987.17</v>
      </c>
      <c r="B153">
        <f>Land*($G153+Offset)+Ocean*$J153</f>
        <v>0.194715</v>
      </c>
      <c r="C153">
        <f t="shared" si="7"/>
        <v>0.21026700000000001</v>
      </c>
      <c r="D153">
        <f>Land*($G153)+Ocean*($G153*Fraction)</f>
        <v>0.22645999999999999</v>
      </c>
      <c r="E153">
        <f t="shared" si="8"/>
        <v>5.9307879283848021E-3</v>
      </c>
      <c r="F153">
        <v>1987.17</v>
      </c>
      <c r="G153">
        <v>0.34839999999999999</v>
      </c>
      <c r="I153">
        <v>1987.17</v>
      </c>
      <c r="J153">
        <v>0.12884999999999999</v>
      </c>
      <c r="L153">
        <v>1987.17</v>
      </c>
      <c r="M153">
        <v>0.21026700000000001</v>
      </c>
    </row>
    <row r="154" spans="1:13">
      <c r="A154">
        <f t="shared" si="6"/>
        <v>1988.17</v>
      </c>
      <c r="B154">
        <f>Land*($G154+Offset)+Ocean*$J154</f>
        <v>0.17483300000000002</v>
      </c>
      <c r="C154">
        <f t="shared" si="7"/>
        <v>0.193883</v>
      </c>
      <c r="D154">
        <f>Land*($G154)+Ocean*($G154*Fraction)</f>
        <v>0.20896395000000001</v>
      </c>
      <c r="E154">
        <f t="shared" si="8"/>
        <v>6.0503143306701711E-3</v>
      </c>
      <c r="F154">
        <v>1988.17</v>
      </c>
      <c r="G154">
        <v>0.32148300000000002</v>
      </c>
      <c r="I154">
        <v>1988.17</v>
      </c>
      <c r="J154">
        <v>0.111983</v>
      </c>
      <c r="L154">
        <v>1988.17</v>
      </c>
      <c r="M154">
        <v>0.193883</v>
      </c>
    </row>
    <row r="155" spans="1:13">
      <c r="A155">
        <f t="shared" si="6"/>
        <v>1989.17</v>
      </c>
      <c r="B155">
        <f>Land*($G155+Offset)+Ocean*$J155</f>
        <v>0.159693</v>
      </c>
      <c r="C155">
        <f t="shared" si="7"/>
        <v>0.18254999999999999</v>
      </c>
      <c r="D155">
        <f>Land*($G155)+Ocean*($G155*Fraction)</f>
        <v>0.18556395000000001</v>
      </c>
      <c r="E155">
        <f t="shared" si="8"/>
        <v>2.7258905373006218E-4</v>
      </c>
      <c r="F155">
        <v>1989.17</v>
      </c>
      <c r="G155">
        <v>0.28548299999999999</v>
      </c>
      <c r="I155">
        <v>1989.17</v>
      </c>
      <c r="J155">
        <v>0.105783</v>
      </c>
      <c r="L155">
        <v>1989.17</v>
      </c>
      <c r="M155">
        <v>0.18254999999999999</v>
      </c>
    </row>
    <row r="156" spans="1:13">
      <c r="A156">
        <f t="shared" si="6"/>
        <v>1990.17</v>
      </c>
      <c r="B156">
        <f>Land*($G156+Offset)+Ocean*$J156</f>
        <v>0.17398000000000002</v>
      </c>
      <c r="C156">
        <f t="shared" si="7"/>
        <v>0.19873299999999999</v>
      </c>
      <c r="D156">
        <f>Land*($G156)+Ocean*($G156*Fraction)</f>
        <v>0.19708000000000003</v>
      </c>
      <c r="E156">
        <f t="shared" si="8"/>
        <v>6.918400989714191E-5</v>
      </c>
      <c r="F156">
        <v>1990.17</v>
      </c>
      <c r="G156">
        <v>0.30320000000000003</v>
      </c>
      <c r="I156">
        <v>1990.17</v>
      </c>
      <c r="J156">
        <v>0.1186</v>
      </c>
      <c r="L156">
        <v>1990.17</v>
      </c>
      <c r="M156">
        <v>0.19873299999999999</v>
      </c>
    </row>
    <row r="157" spans="1:13">
      <c r="A157">
        <f t="shared" si="6"/>
        <v>1991.17</v>
      </c>
      <c r="B157">
        <f>Land*($G157+Offset)+Ocean*$J157</f>
        <v>0.179975</v>
      </c>
      <c r="C157">
        <f t="shared" si="7"/>
        <v>0.20471700000000001</v>
      </c>
      <c r="D157">
        <f>Land*($G157)+Ocean*($G157*Fraction)</f>
        <v>0.21037250000000002</v>
      </c>
      <c r="E157">
        <f t="shared" si="8"/>
        <v>7.6319267991223686E-4</v>
      </c>
      <c r="F157">
        <v>1991.17</v>
      </c>
      <c r="G157">
        <v>0.32364999999999999</v>
      </c>
      <c r="I157">
        <v>1991.17</v>
      </c>
      <c r="J157">
        <v>0.11840000000000001</v>
      </c>
      <c r="L157">
        <v>1991.17</v>
      </c>
      <c r="M157">
        <v>0.20471700000000001</v>
      </c>
    </row>
    <row r="158" spans="1:13">
      <c r="A158">
        <f t="shared" si="6"/>
        <v>1992.17</v>
      </c>
      <c r="B158">
        <f>Land*($G158+Offset)+Ocean*$J158</f>
        <v>0.16456989999999999</v>
      </c>
      <c r="C158">
        <f t="shared" si="7"/>
        <v>0.18945000000000001</v>
      </c>
      <c r="D158">
        <f>Land*($G158)+Ocean*($G158*Fraction)</f>
        <v>0.18988644999999998</v>
      </c>
      <c r="E158">
        <f t="shared" si="8"/>
        <v>5.3073750249097263E-6</v>
      </c>
      <c r="F158">
        <v>1992.17</v>
      </c>
      <c r="G158">
        <v>0.29213299999999998</v>
      </c>
      <c r="I158">
        <v>1992.17</v>
      </c>
      <c r="J158">
        <v>0.1099</v>
      </c>
      <c r="L158">
        <v>1992.17</v>
      </c>
      <c r="M158">
        <v>0.18945000000000001</v>
      </c>
    </row>
    <row r="159" spans="1:13">
      <c r="A159">
        <f t="shared" si="6"/>
        <v>1993.17</v>
      </c>
      <c r="B159">
        <f>Land*($G159+Offset)+Ocean*$J159</f>
        <v>0.22403010000000001</v>
      </c>
      <c r="C159">
        <f t="shared" si="7"/>
        <v>0.247</v>
      </c>
      <c r="D159">
        <f>Land*($G159)+Ocean*($G159*Fraction)</f>
        <v>0.24379355</v>
      </c>
      <c r="E159">
        <f t="shared" si="8"/>
        <v>1.6852139196675894E-4</v>
      </c>
      <c r="F159">
        <v>1993.17</v>
      </c>
      <c r="G159">
        <v>0.37506699999999998</v>
      </c>
      <c r="I159">
        <v>1993.17</v>
      </c>
      <c r="J159">
        <v>0.1593</v>
      </c>
      <c r="L159">
        <v>1993.17</v>
      </c>
      <c r="M159">
        <v>0.247</v>
      </c>
    </row>
    <row r="160" spans="1:13">
      <c r="A160">
        <f t="shared" si="6"/>
        <v>1994.17</v>
      </c>
      <c r="B160">
        <f>Land*($G160+Offset)+Ocean*$J160</f>
        <v>0.31313809999999997</v>
      </c>
      <c r="C160">
        <f t="shared" si="7"/>
        <v>0.32291700000000001</v>
      </c>
      <c r="D160">
        <f>Land*($G160)+Ocean*($G160*Fraction)</f>
        <v>0.32275750000000003</v>
      </c>
      <c r="E160">
        <f t="shared" si="8"/>
        <v>2.4397175854289254E-7</v>
      </c>
      <c r="F160">
        <v>1994.17</v>
      </c>
      <c r="G160">
        <v>0.49654999999999999</v>
      </c>
      <c r="I160">
        <v>1994.17</v>
      </c>
      <c r="J160">
        <v>0.23453299999999999</v>
      </c>
      <c r="L160">
        <v>1994.17</v>
      </c>
      <c r="M160">
        <v>0.32291700000000001</v>
      </c>
    </row>
    <row r="161" spans="1:13">
      <c r="A161">
        <f t="shared" si="6"/>
        <v>1995.17</v>
      </c>
      <c r="B161">
        <f>Land*($G161+Offset)+Ocean*$J161</f>
        <v>0.33789990000000003</v>
      </c>
      <c r="C161">
        <f t="shared" si="7"/>
        <v>0.342333</v>
      </c>
      <c r="D161">
        <f>Land*($G161)+Ocean*($G161*Fraction)</f>
        <v>0.35082645000000001</v>
      </c>
      <c r="E161">
        <f t="shared" si="8"/>
        <v>6.1556049040382304E-4</v>
      </c>
      <c r="F161">
        <v>1995.17</v>
      </c>
      <c r="G161">
        <v>0.53973300000000002</v>
      </c>
      <c r="I161">
        <v>1995.17</v>
      </c>
      <c r="J161">
        <v>0.25140000000000001</v>
      </c>
      <c r="L161">
        <v>1995.17</v>
      </c>
      <c r="M161">
        <v>0.342333</v>
      </c>
    </row>
    <row r="162" spans="1:13">
      <c r="A162">
        <f t="shared" si="6"/>
        <v>1996.17</v>
      </c>
      <c r="B162">
        <f>Land*($G162+Offset)+Ocean*$J162</f>
        <v>0.33739820000000004</v>
      </c>
      <c r="C162">
        <f t="shared" si="7"/>
        <v>0.33603300000000003</v>
      </c>
      <c r="D162">
        <f>Land*($G162)+Ocean*($G162*Fraction)</f>
        <v>0.33823855000000003</v>
      </c>
      <c r="E162">
        <f t="shared" si="8"/>
        <v>4.3079430857849682E-5</v>
      </c>
      <c r="F162">
        <v>1996.17</v>
      </c>
      <c r="G162">
        <v>0.52036700000000002</v>
      </c>
      <c r="I162">
        <v>1996.17</v>
      </c>
      <c r="J162">
        <v>0.25898300000000002</v>
      </c>
      <c r="L162">
        <v>1996.17</v>
      </c>
      <c r="M162">
        <v>0.33603300000000003</v>
      </c>
    </row>
    <row r="163" spans="1:13">
      <c r="A163">
        <f t="shared" si="6"/>
        <v>1997.17</v>
      </c>
      <c r="B163">
        <f>Land*($G163+Offset)+Ocean*$J163</f>
        <v>0.39433990000000002</v>
      </c>
      <c r="C163">
        <f t="shared" si="7"/>
        <v>0.38756699999999999</v>
      </c>
      <c r="D163">
        <f>Land*($G163)+Ocean*($G163*Fraction)</f>
        <v>0.39424645000000003</v>
      </c>
      <c r="E163">
        <f t="shared" si="8"/>
        <v>2.9702145684927669E-4</v>
      </c>
      <c r="F163">
        <v>1997.17</v>
      </c>
      <c r="G163">
        <v>0.60653299999999999</v>
      </c>
      <c r="I163">
        <v>1997.17</v>
      </c>
      <c r="J163">
        <v>0.3034</v>
      </c>
      <c r="L163">
        <v>1997.17</v>
      </c>
      <c r="M163">
        <v>0.38756699999999999</v>
      </c>
    </row>
    <row r="164" spans="1:13">
      <c r="A164">
        <f t="shared" si="6"/>
        <v>1998.17</v>
      </c>
      <c r="B164">
        <f>Land*($G164+Offset)+Ocean*$J164</f>
        <v>0.41917989999999999</v>
      </c>
      <c r="C164">
        <f t="shared" si="7"/>
        <v>0.40693299999999999</v>
      </c>
      <c r="D164">
        <f>Land*($G164)+Ocean*($G164*Fraction)</f>
        <v>0.42577145</v>
      </c>
      <c r="E164">
        <f t="shared" si="8"/>
        <v>2.1431102495570076E-3</v>
      </c>
      <c r="F164">
        <v>1998.17</v>
      </c>
      <c r="G164">
        <v>0.65503299999999998</v>
      </c>
      <c r="I164">
        <v>1998.17</v>
      </c>
      <c r="J164">
        <v>0.31809999999999999</v>
      </c>
      <c r="L164">
        <v>1998.17</v>
      </c>
      <c r="M164">
        <v>0.40693299999999999</v>
      </c>
    </row>
    <row r="165" spans="1:13">
      <c r="A165">
        <f t="shared" si="6"/>
        <v>1999.17</v>
      </c>
      <c r="B165">
        <f>Land*($G165+Offset)+Ocean*$J165</f>
        <v>0.41014679999999998</v>
      </c>
      <c r="C165">
        <f t="shared" si="7"/>
        <v>0.40191700000000002</v>
      </c>
      <c r="D165">
        <f>Land*($G165)+Ocean*($G165*Fraction)</f>
        <v>0.41982395</v>
      </c>
      <c r="E165">
        <f t="shared" si="8"/>
        <v>1.9850456095835416E-3</v>
      </c>
      <c r="F165">
        <v>1999.17</v>
      </c>
      <c r="G165">
        <v>0.64588299999999998</v>
      </c>
      <c r="I165">
        <v>1999.17</v>
      </c>
      <c r="J165">
        <v>0.30911699999999998</v>
      </c>
      <c r="L165">
        <v>1999.17</v>
      </c>
      <c r="M165">
        <v>0.40191700000000002</v>
      </c>
    </row>
    <row r="166" spans="1:13">
      <c r="A166">
        <f t="shared" si="6"/>
        <v>2000.17</v>
      </c>
      <c r="B166">
        <f>Land*($G166+Offset)+Ocean*$J166</f>
        <v>0.44133200000000006</v>
      </c>
      <c r="C166">
        <f t="shared" si="7"/>
        <v>0.42996699999999999</v>
      </c>
      <c r="D166">
        <f>Land*($G166)+Ocean*($G166*Fraction)</f>
        <v>0.43453605000000006</v>
      </c>
      <c r="E166">
        <f t="shared" si="8"/>
        <v>1.1292278273716523E-4</v>
      </c>
      <c r="F166">
        <v>2000.17</v>
      </c>
      <c r="G166">
        <v>0.66851700000000003</v>
      </c>
      <c r="I166">
        <v>2000.17</v>
      </c>
      <c r="J166">
        <v>0.34396700000000002</v>
      </c>
      <c r="L166">
        <v>2000.17</v>
      </c>
      <c r="M166">
        <v>0.42996699999999999</v>
      </c>
    </row>
    <row r="167" spans="1:13">
      <c r="A167">
        <f t="shared" si="6"/>
        <v>2001.17</v>
      </c>
      <c r="B167">
        <f>Land*($G167+Offset)+Ocean*$J167</f>
        <v>0.48674190000000001</v>
      </c>
      <c r="C167">
        <f t="shared" si="7"/>
        <v>0.47889999999999999</v>
      </c>
      <c r="D167">
        <f>Land*($G167)+Ocean*($G167*Fraction)</f>
        <v>0.48317749999999998</v>
      </c>
      <c r="E167">
        <f t="shared" si="8"/>
        <v>7.9779325890433518E-5</v>
      </c>
      <c r="F167">
        <v>2001.17</v>
      </c>
      <c r="G167">
        <v>0.74334999999999996</v>
      </c>
      <c r="I167">
        <v>2001.17</v>
      </c>
      <c r="J167">
        <v>0.37676700000000002</v>
      </c>
      <c r="L167">
        <v>2001.17</v>
      </c>
      <c r="M167">
        <v>0.47889999999999999</v>
      </c>
    </row>
    <row r="168" spans="1:13">
      <c r="A168">
        <f t="shared" si="6"/>
        <v>2002.17</v>
      </c>
      <c r="B168">
        <f>Land*($G168+Offset)+Ocean*$J168</f>
        <v>0.49599320000000002</v>
      </c>
      <c r="C168">
        <f t="shared" si="7"/>
        <v>0.49041699999999999</v>
      </c>
      <c r="D168">
        <f>Land*($G168)+Ocean*($G168*Fraction)</f>
        <v>0.50168104999999996</v>
      </c>
      <c r="E168">
        <f t="shared" si="8"/>
        <v>5.2754329373638157E-4</v>
      </c>
      <c r="F168">
        <v>2002.17</v>
      </c>
      <c r="G168">
        <v>0.77181699999999998</v>
      </c>
      <c r="I168">
        <v>2002.17</v>
      </c>
      <c r="J168">
        <v>0.37778299999999998</v>
      </c>
      <c r="L168">
        <v>2002.17</v>
      </c>
      <c r="M168">
        <v>0.49041699999999999</v>
      </c>
    </row>
    <row r="169" spans="1:13">
      <c r="A169">
        <f t="shared" si="6"/>
        <v>2003.17</v>
      </c>
      <c r="B169">
        <f>Land*($G169+Offset)+Ocean*$J169</f>
        <v>0.49031800000000003</v>
      </c>
      <c r="C169">
        <f t="shared" si="7"/>
        <v>0.48871700000000001</v>
      </c>
      <c r="D169">
        <f>Land*($G169)+Ocean*($G169*Fraction)</f>
        <v>0.51911145000000003</v>
      </c>
      <c r="E169">
        <f t="shared" si="8"/>
        <v>3.8678861804570682E-3</v>
      </c>
      <c r="F169">
        <v>2003.17</v>
      </c>
      <c r="G169">
        <v>0.79863300000000004</v>
      </c>
      <c r="I169">
        <v>2003.17</v>
      </c>
      <c r="J169">
        <v>0.35818299999999997</v>
      </c>
      <c r="L169">
        <v>2003.17</v>
      </c>
      <c r="M169">
        <v>0.48871700000000001</v>
      </c>
    </row>
    <row r="170" spans="1:13">
      <c r="A170">
        <f t="shared" si="6"/>
        <v>2004.17</v>
      </c>
      <c r="B170">
        <f>Land*($G170+Offset)+Ocean*$J170</f>
        <v>0.46517990000000004</v>
      </c>
      <c r="C170">
        <f t="shared" si="7"/>
        <v>0.46596700000000002</v>
      </c>
      <c r="D170">
        <f>Land*($G170)+Ocean*($G170*Fraction)</f>
        <v>0.5125464500000001</v>
      </c>
      <c r="E170">
        <f t="shared" si="8"/>
        <v>9.9925974126738037E-3</v>
      </c>
      <c r="F170">
        <v>2004.17</v>
      </c>
      <c r="G170">
        <v>0.78853300000000004</v>
      </c>
      <c r="I170">
        <v>2004.17</v>
      </c>
      <c r="J170">
        <v>0.3266</v>
      </c>
      <c r="L170">
        <v>2004.17</v>
      </c>
      <c r="M170">
        <v>0.46596700000000002</v>
      </c>
    </row>
    <row r="171" spans="1:13">
      <c r="A171">
        <f t="shared" si="6"/>
        <v>2005.17</v>
      </c>
      <c r="B171">
        <f>Land*($G171+Offset)+Ocean*$J171</f>
        <v>0.46760999999999997</v>
      </c>
      <c r="C171">
        <f t="shared" si="7"/>
        <v>0.47598299999999999</v>
      </c>
      <c r="D171">
        <f>Land*($G171)+Ocean*($G171*Fraction)</f>
        <v>0.51970749999999999</v>
      </c>
      <c r="E171">
        <f t="shared" si="8"/>
        <v>8.4385304135807786E-3</v>
      </c>
      <c r="F171">
        <v>2005.17</v>
      </c>
      <c r="G171">
        <v>0.79954999999999998</v>
      </c>
      <c r="I171">
        <v>2005.17</v>
      </c>
      <c r="J171">
        <v>0.32534999999999997</v>
      </c>
      <c r="L171">
        <v>2005.17</v>
      </c>
      <c r="M171">
        <v>0.47598299999999999</v>
      </c>
    </row>
    <row r="172" spans="1:13">
      <c r="A172">
        <f t="shared" si="6"/>
        <v>2006.17</v>
      </c>
      <c r="B172">
        <f>Land*($G172+Offset)+Ocean*$J172</f>
        <v>0.4688851</v>
      </c>
      <c r="C172">
        <f t="shared" si="7"/>
        <v>0.47683300000000001</v>
      </c>
      <c r="D172">
        <f>Land*($G172)+Ocean*($G172*Fraction)</f>
        <v>0.52004355000000002</v>
      </c>
      <c r="E172">
        <f t="shared" si="8"/>
        <v>8.2119629400680908E-3</v>
      </c>
      <c r="F172">
        <v>2006.17</v>
      </c>
      <c r="G172">
        <v>0.80006699999999997</v>
      </c>
      <c r="I172">
        <v>2006.17</v>
      </c>
      <c r="J172">
        <v>0.32695000000000002</v>
      </c>
      <c r="L172">
        <v>2006.17</v>
      </c>
      <c r="M172">
        <v>0.47683300000000001</v>
      </c>
    </row>
    <row r="173" spans="1:13">
      <c r="A173" t="s">
        <v>35</v>
      </c>
      <c r="B173" t="s">
        <v>37</v>
      </c>
      <c r="C173" t="s">
        <v>27</v>
      </c>
      <c r="D173" t="s">
        <v>38</v>
      </c>
      <c r="E173" t="s">
        <v>40</v>
      </c>
      <c r="F173" t="s">
        <v>11</v>
      </c>
      <c r="G173" t="s">
        <v>29</v>
      </c>
      <c r="J173" t="s">
        <v>28</v>
      </c>
      <c r="M173" t="s">
        <v>27</v>
      </c>
    </row>
    <row r="174" spans="1:13">
      <c r="F174" t="s">
        <v>21</v>
      </c>
    </row>
    <row r="175" spans="1:13">
      <c r="F175" t="s">
        <v>36</v>
      </c>
      <c r="I175" t="s">
        <v>11</v>
      </c>
      <c r="L175" t="s">
        <v>11</v>
      </c>
    </row>
    <row r="176" spans="1:13">
      <c r="F176" t="s">
        <v>13</v>
      </c>
      <c r="I176" t="s">
        <v>12</v>
      </c>
      <c r="L176" t="s">
        <v>12</v>
      </c>
    </row>
    <row r="177" spans="9:12">
      <c r="I177" t="s">
        <v>25</v>
      </c>
      <c r="L177" t="s">
        <v>26</v>
      </c>
    </row>
    <row r="178" spans="9:12">
      <c r="I178" t="s">
        <v>13</v>
      </c>
      <c r="L178" t="s">
        <v>13</v>
      </c>
    </row>
    <row r="533" spans="6:6">
      <c r="F533" t="s">
        <v>19</v>
      </c>
    </row>
  </sheetData>
  <hyperlinks>
    <hyperlink ref="A6" r:id="rId1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34"/>
  <sheetViews>
    <sheetView workbookViewId="0">
      <selection activeCell="B6" sqref="B6"/>
    </sheetView>
  </sheetViews>
  <sheetFormatPr defaultRowHeight="15"/>
  <cols>
    <col min="1" max="1" width="71.7109375" bestFit="1" customWidth="1"/>
    <col min="2" max="2" width="24.140625" customWidth="1"/>
    <col min="3" max="3" width="20.7109375" customWidth="1"/>
    <col min="4" max="4" width="12" bestFit="1" customWidth="1"/>
  </cols>
  <sheetData>
    <row r="1" spans="1:5">
      <c r="A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5" spans="1:5">
      <c r="A5" t="s">
        <v>4</v>
      </c>
    </row>
    <row r="6" spans="1:5">
      <c r="A6" t="s">
        <v>5</v>
      </c>
    </row>
    <row r="7" spans="1:5">
      <c r="A7" t="s">
        <v>6</v>
      </c>
    </row>
    <row r="8" spans="1:5">
      <c r="A8" t="s">
        <v>7</v>
      </c>
    </row>
    <row r="9" spans="1:5">
      <c r="A9" t="s">
        <v>3</v>
      </c>
    </row>
    <row r="10" spans="1:5">
      <c r="A10" t="s">
        <v>2</v>
      </c>
    </row>
    <row r="11" spans="1:5">
      <c r="A11" t="s">
        <v>8</v>
      </c>
    </row>
    <row r="12" spans="1:5">
      <c r="A12" t="s">
        <v>2</v>
      </c>
    </row>
    <row r="13" spans="1:5">
      <c r="A13" t="s">
        <v>9</v>
      </c>
    </row>
    <row r="14" spans="1:5">
      <c r="A14" t="s">
        <v>10</v>
      </c>
    </row>
    <row r="15" spans="1:5">
      <c r="A15" t="s">
        <v>20</v>
      </c>
      <c r="C15" t="s">
        <v>33</v>
      </c>
      <c r="D15" t="s">
        <v>30</v>
      </c>
      <c r="E15" t="s">
        <v>31</v>
      </c>
    </row>
    <row r="16" spans="1:5">
      <c r="A16" t="s">
        <v>35</v>
      </c>
      <c r="B16" t="s">
        <v>34</v>
      </c>
      <c r="C16" t="s">
        <v>27</v>
      </c>
      <c r="D16" t="s">
        <v>29</v>
      </c>
      <c r="E16" t="s">
        <v>32</v>
      </c>
    </row>
    <row r="17" spans="1:5">
      <c r="A17">
        <v>1850.17</v>
      </c>
      <c r="B17">
        <f>0.3*$D17+0.7*$E17</f>
        <v>-0.21402690999999999</v>
      </c>
      <c r="C17">
        <v>-0.27318300000000001</v>
      </c>
      <c r="D17">
        <v>5.9533299999999997E-2</v>
      </c>
      <c r="E17">
        <v>-0.33126699999999998</v>
      </c>
    </row>
    <row r="18" spans="1:5">
      <c r="A18">
        <v>1851.17</v>
      </c>
      <c r="B18">
        <f t="shared" ref="B18:B81" si="0">0.3*$D18+0.7*$E18</f>
        <v>-0.18817498999999996</v>
      </c>
      <c r="C18">
        <v>-0.25173299999999998</v>
      </c>
      <c r="D18">
        <v>8.47667E-2</v>
      </c>
      <c r="E18">
        <v>-0.30514999999999998</v>
      </c>
    </row>
    <row r="19" spans="1:5">
      <c r="A19">
        <v>1852.17</v>
      </c>
      <c r="B19">
        <f t="shared" si="0"/>
        <v>-0.24263999999999997</v>
      </c>
      <c r="C19">
        <v>-0.27898299999999998</v>
      </c>
      <c r="D19">
        <v>-5.5599999999999997E-2</v>
      </c>
      <c r="E19">
        <v>-0.32279999999999998</v>
      </c>
    </row>
    <row r="20" spans="1:5">
      <c r="A20">
        <v>1853.17</v>
      </c>
      <c r="B20">
        <f t="shared" si="0"/>
        <v>-0.3119401</v>
      </c>
      <c r="C20">
        <v>-0.32541700000000001</v>
      </c>
      <c r="D20">
        <v>-0.18381700000000001</v>
      </c>
      <c r="E20">
        <v>-0.36685000000000001</v>
      </c>
    </row>
    <row r="21" spans="1:5">
      <c r="A21">
        <v>1854.17</v>
      </c>
      <c r="B21">
        <f t="shared" si="0"/>
        <v>-0.35610179999999997</v>
      </c>
      <c r="C21">
        <v>-0.36413299999999998</v>
      </c>
      <c r="D21">
        <v>-0.22948299999999999</v>
      </c>
      <c r="E21">
        <v>-0.41036699999999998</v>
      </c>
    </row>
    <row r="22" spans="1:5">
      <c r="A22">
        <v>1855.17</v>
      </c>
      <c r="B22">
        <f t="shared" si="0"/>
        <v>-0.38748300000000002</v>
      </c>
      <c r="C22">
        <v>-0.37238300000000002</v>
      </c>
      <c r="D22">
        <v>-0.29928300000000002</v>
      </c>
      <c r="E22">
        <v>-0.42528300000000002</v>
      </c>
    </row>
    <row r="23" spans="1:5">
      <c r="A23">
        <v>1856.17</v>
      </c>
      <c r="B23">
        <f t="shared" si="0"/>
        <v>-0.41178510000000002</v>
      </c>
      <c r="C23">
        <v>-0.38746700000000001</v>
      </c>
      <c r="D23">
        <v>-0.36916700000000002</v>
      </c>
      <c r="E23">
        <v>-0.43004999999999999</v>
      </c>
    </row>
    <row r="24" spans="1:5">
      <c r="A24">
        <v>1857.17</v>
      </c>
      <c r="B24">
        <f t="shared" si="0"/>
        <v>-0.411275</v>
      </c>
      <c r="C24">
        <v>-0.394233</v>
      </c>
      <c r="D24">
        <v>-0.35404999999999998</v>
      </c>
      <c r="E24">
        <v>-0.43580000000000002</v>
      </c>
    </row>
    <row r="25" spans="1:5">
      <c r="A25">
        <v>1858.17</v>
      </c>
      <c r="B25">
        <f t="shared" si="0"/>
        <v>-0.42464809999999997</v>
      </c>
      <c r="C25">
        <v>-0.40363300000000002</v>
      </c>
      <c r="D25">
        <v>-0.40484999999999999</v>
      </c>
      <c r="E25">
        <v>-0.43313299999999999</v>
      </c>
    </row>
    <row r="26" spans="1:5">
      <c r="A26">
        <v>1859.17</v>
      </c>
      <c r="B26">
        <f t="shared" si="0"/>
        <v>-0.39620009999999994</v>
      </c>
      <c r="C26">
        <v>-0.366817</v>
      </c>
      <c r="D26">
        <v>-0.34801700000000002</v>
      </c>
      <c r="E26">
        <v>-0.41685</v>
      </c>
    </row>
    <row r="27" spans="1:5">
      <c r="A27">
        <v>1860.17</v>
      </c>
      <c r="B27">
        <f t="shared" si="0"/>
        <v>-0.4233981</v>
      </c>
      <c r="C27">
        <v>-0.40446700000000002</v>
      </c>
      <c r="D27">
        <v>-0.43930000000000002</v>
      </c>
      <c r="E27">
        <v>-0.41658299999999998</v>
      </c>
    </row>
    <row r="28" spans="1:5">
      <c r="A28">
        <v>1861.17</v>
      </c>
      <c r="B28">
        <f t="shared" si="0"/>
        <v>-0.40191189999999999</v>
      </c>
      <c r="C28">
        <v>-0.39005000000000001</v>
      </c>
      <c r="D28">
        <v>-0.39560000000000001</v>
      </c>
      <c r="E28">
        <v>-0.404617</v>
      </c>
    </row>
    <row r="29" spans="1:5">
      <c r="A29">
        <v>1862.17</v>
      </c>
      <c r="B29">
        <f t="shared" si="0"/>
        <v>-0.37440180000000001</v>
      </c>
      <c r="C29">
        <v>-0.35844999999999999</v>
      </c>
      <c r="D29">
        <v>-0.37483300000000003</v>
      </c>
      <c r="E29">
        <v>-0.37421700000000002</v>
      </c>
    </row>
    <row r="30" spans="1:5">
      <c r="A30">
        <v>1863.17</v>
      </c>
      <c r="B30">
        <f t="shared" si="0"/>
        <v>-0.32631309999999997</v>
      </c>
      <c r="C30">
        <v>-0.31781700000000002</v>
      </c>
      <c r="D30">
        <v>-0.33805000000000002</v>
      </c>
      <c r="E30">
        <v>-0.32128299999999999</v>
      </c>
    </row>
    <row r="31" spans="1:5">
      <c r="A31">
        <v>1864.17</v>
      </c>
      <c r="B31">
        <f t="shared" si="0"/>
        <v>-0.29669509999999999</v>
      </c>
      <c r="C31">
        <v>-0.30658299999999999</v>
      </c>
      <c r="D31">
        <v>-0.35851699999999997</v>
      </c>
      <c r="E31">
        <v>-0.2702</v>
      </c>
    </row>
    <row r="32" spans="1:5">
      <c r="A32">
        <v>1865.17</v>
      </c>
      <c r="B32">
        <f t="shared" si="0"/>
        <v>-0.254388</v>
      </c>
      <c r="C32">
        <v>-0.26173299999999999</v>
      </c>
      <c r="D32">
        <v>-0.276333</v>
      </c>
      <c r="E32">
        <v>-0.24498300000000001</v>
      </c>
    </row>
    <row r="33" spans="1:5">
      <c r="A33">
        <v>1866.17</v>
      </c>
      <c r="B33">
        <f t="shared" si="0"/>
        <v>-0.25610699999999997</v>
      </c>
      <c r="C33">
        <v>-0.26116699999999998</v>
      </c>
      <c r="D33">
        <v>-0.29166700000000001</v>
      </c>
      <c r="E33">
        <v>-0.240867</v>
      </c>
    </row>
    <row r="34" spans="1:5">
      <c r="A34">
        <v>1867.17</v>
      </c>
      <c r="B34">
        <f t="shared" si="0"/>
        <v>-0.27056189999999997</v>
      </c>
      <c r="C34">
        <v>-0.27953299999999998</v>
      </c>
      <c r="D34">
        <v>-0.33844999999999997</v>
      </c>
      <c r="E34">
        <v>-0.24146699999999999</v>
      </c>
    </row>
    <row r="35" spans="1:5">
      <c r="A35">
        <v>1868.17</v>
      </c>
      <c r="B35">
        <f t="shared" si="0"/>
        <v>-0.26418819999999998</v>
      </c>
      <c r="C35">
        <v>-0.26333299999999998</v>
      </c>
      <c r="D35">
        <v>-0.29196699999999998</v>
      </c>
      <c r="E35">
        <v>-0.25228299999999998</v>
      </c>
    </row>
    <row r="36" spans="1:5">
      <c r="A36">
        <v>1869.17</v>
      </c>
      <c r="B36">
        <f t="shared" si="0"/>
        <v>-0.28447800000000001</v>
      </c>
      <c r="C36">
        <v>-0.27868300000000001</v>
      </c>
      <c r="D36">
        <v>-0.295433</v>
      </c>
      <c r="E36">
        <v>-0.279783</v>
      </c>
    </row>
    <row r="37" spans="1:5">
      <c r="A37">
        <v>1870.17</v>
      </c>
      <c r="B37">
        <f t="shared" si="0"/>
        <v>-0.31110680000000002</v>
      </c>
      <c r="C37">
        <v>-0.301983</v>
      </c>
      <c r="D37">
        <v>-0.32193300000000002</v>
      </c>
      <c r="E37">
        <v>-0.30646699999999999</v>
      </c>
    </row>
    <row r="38" spans="1:5">
      <c r="A38">
        <v>1871.17</v>
      </c>
      <c r="B38">
        <f t="shared" si="0"/>
        <v>-0.33969489999999997</v>
      </c>
      <c r="C38">
        <v>-0.33011699999999999</v>
      </c>
      <c r="D38">
        <v>-0.39078299999999999</v>
      </c>
      <c r="E38">
        <v>-0.31780000000000003</v>
      </c>
    </row>
    <row r="39" spans="1:5">
      <c r="A39">
        <v>1872.17</v>
      </c>
      <c r="B39">
        <f t="shared" si="0"/>
        <v>-0.34923989999999999</v>
      </c>
      <c r="C39">
        <v>-0.34115000000000001</v>
      </c>
      <c r="D39">
        <v>-0.36438300000000001</v>
      </c>
      <c r="E39">
        <v>-0.34275</v>
      </c>
    </row>
    <row r="40" spans="1:5">
      <c r="A40">
        <v>1873.17</v>
      </c>
      <c r="B40">
        <f t="shared" si="0"/>
        <v>-0.31763189999999997</v>
      </c>
      <c r="C40">
        <v>-0.31085000000000002</v>
      </c>
      <c r="D40">
        <v>-0.3634</v>
      </c>
      <c r="E40">
        <v>-0.29801699999999998</v>
      </c>
    </row>
    <row r="41" spans="1:5">
      <c r="A41">
        <v>1874.17</v>
      </c>
      <c r="B41">
        <f t="shared" si="0"/>
        <v>-0.25273489999999998</v>
      </c>
      <c r="C41">
        <v>-0.24313299999999999</v>
      </c>
      <c r="D41">
        <v>-0.30123299999999997</v>
      </c>
      <c r="E41">
        <v>-0.23194999999999999</v>
      </c>
    </row>
    <row r="42" spans="1:5">
      <c r="A42">
        <v>1875.17</v>
      </c>
      <c r="B42">
        <f t="shared" si="0"/>
        <v>-0.23299700000000001</v>
      </c>
      <c r="C42">
        <v>-0.21460000000000001</v>
      </c>
      <c r="D42">
        <v>-0.31426700000000002</v>
      </c>
      <c r="E42">
        <v>-0.19816700000000001</v>
      </c>
    </row>
    <row r="43" spans="1:5">
      <c r="A43">
        <v>1876.17</v>
      </c>
      <c r="B43">
        <f t="shared" si="0"/>
        <v>-0.19625009999999998</v>
      </c>
      <c r="C43">
        <v>-0.17715</v>
      </c>
      <c r="D43">
        <v>-0.213167</v>
      </c>
      <c r="E43">
        <v>-0.189</v>
      </c>
    </row>
    <row r="44" spans="1:5">
      <c r="A44">
        <v>1877.17</v>
      </c>
      <c r="B44">
        <f t="shared" si="0"/>
        <v>-0.16997180000000001</v>
      </c>
      <c r="C44">
        <v>-0.14091699999999999</v>
      </c>
      <c r="D44">
        <v>-0.208483</v>
      </c>
      <c r="E44">
        <v>-0.15346699999999999</v>
      </c>
    </row>
    <row r="45" spans="1:5">
      <c r="A45">
        <v>1878.17</v>
      </c>
      <c r="B45">
        <f t="shared" si="0"/>
        <v>-0.20049199999999998</v>
      </c>
      <c r="C45">
        <v>-0.16855000000000001</v>
      </c>
      <c r="D45">
        <v>-0.210817</v>
      </c>
      <c r="E45">
        <v>-0.19606699999999999</v>
      </c>
    </row>
    <row r="46" spans="1:5">
      <c r="A46">
        <v>1879.17</v>
      </c>
      <c r="B46">
        <f t="shared" si="0"/>
        <v>-0.26658700000000002</v>
      </c>
      <c r="C46">
        <v>-0.23335</v>
      </c>
      <c r="D46">
        <v>-0.308867</v>
      </c>
      <c r="E46">
        <v>-0.24846699999999999</v>
      </c>
    </row>
    <row r="47" spans="1:5">
      <c r="A47">
        <v>1880.17</v>
      </c>
      <c r="B47">
        <f t="shared" si="0"/>
        <v>-0.284132</v>
      </c>
      <c r="C47">
        <v>-0.26741700000000002</v>
      </c>
      <c r="D47">
        <v>-0.33246700000000001</v>
      </c>
      <c r="E47">
        <v>-0.26341700000000001</v>
      </c>
    </row>
    <row r="48" spans="1:5">
      <c r="A48">
        <v>1881.17</v>
      </c>
      <c r="B48">
        <f t="shared" si="0"/>
        <v>-0.30938319999999997</v>
      </c>
      <c r="C48">
        <v>-0.29861700000000002</v>
      </c>
      <c r="D48">
        <v>-0.392567</v>
      </c>
      <c r="E48">
        <v>-0.273733</v>
      </c>
    </row>
    <row r="49" spans="1:5">
      <c r="A49">
        <v>1882.17</v>
      </c>
      <c r="B49">
        <f t="shared" si="0"/>
        <v>-0.31376179999999998</v>
      </c>
      <c r="C49">
        <v>-0.33055000000000001</v>
      </c>
      <c r="D49">
        <v>-0.40568300000000002</v>
      </c>
      <c r="E49">
        <v>-0.27436700000000003</v>
      </c>
    </row>
    <row r="50" spans="1:5">
      <c r="A50">
        <v>1883.17</v>
      </c>
      <c r="B50">
        <f t="shared" si="0"/>
        <v>-0.33844199999999997</v>
      </c>
      <c r="C50">
        <v>-0.37128299999999997</v>
      </c>
      <c r="D50">
        <v>-0.45166699999999999</v>
      </c>
      <c r="E50">
        <v>-0.28991699999999998</v>
      </c>
    </row>
    <row r="51" spans="1:5">
      <c r="A51">
        <v>1884.17</v>
      </c>
      <c r="B51">
        <f t="shared" si="0"/>
        <v>-0.34086320000000003</v>
      </c>
      <c r="C51">
        <v>-0.37498300000000001</v>
      </c>
      <c r="D51">
        <v>-0.463667</v>
      </c>
      <c r="E51">
        <v>-0.28823300000000002</v>
      </c>
    </row>
    <row r="52" spans="1:5">
      <c r="A52">
        <v>1885.17</v>
      </c>
      <c r="B52">
        <f t="shared" si="0"/>
        <v>-0.30118179999999994</v>
      </c>
      <c r="C52">
        <v>-0.32988299999999998</v>
      </c>
      <c r="D52">
        <v>-0.40493299999999999</v>
      </c>
      <c r="E52">
        <v>-0.25671699999999997</v>
      </c>
    </row>
    <row r="53" spans="1:5">
      <c r="A53">
        <v>1886.17</v>
      </c>
      <c r="B53">
        <f t="shared" si="0"/>
        <v>-0.3106469</v>
      </c>
      <c r="C53">
        <v>-0.33800000000000002</v>
      </c>
      <c r="D53">
        <v>-0.36799999999999999</v>
      </c>
      <c r="E53">
        <v>-0.28606700000000002</v>
      </c>
    </row>
    <row r="54" spans="1:5">
      <c r="A54">
        <v>1887.17</v>
      </c>
      <c r="B54">
        <f t="shared" si="0"/>
        <v>-0.32700819999999997</v>
      </c>
      <c r="C54">
        <v>-0.33336700000000002</v>
      </c>
      <c r="D54">
        <v>-0.38061699999999998</v>
      </c>
      <c r="E54">
        <v>-0.304033</v>
      </c>
    </row>
    <row r="55" spans="1:5">
      <c r="A55">
        <v>1888.17</v>
      </c>
      <c r="B55">
        <f t="shared" si="0"/>
        <v>-0.34763009999999994</v>
      </c>
      <c r="C55">
        <v>-0.34196700000000002</v>
      </c>
      <c r="D55">
        <v>-0.40451700000000002</v>
      </c>
      <c r="E55">
        <v>-0.32324999999999998</v>
      </c>
    </row>
    <row r="56" spans="1:5">
      <c r="A56">
        <v>1889.17</v>
      </c>
      <c r="B56">
        <f t="shared" si="0"/>
        <v>-0.37839009999999995</v>
      </c>
      <c r="C56">
        <v>-0.37633299999999997</v>
      </c>
      <c r="D56">
        <v>-0.42806699999999998</v>
      </c>
      <c r="E56">
        <v>-0.35709999999999997</v>
      </c>
    </row>
    <row r="57" spans="1:5">
      <c r="A57">
        <v>1890.17</v>
      </c>
      <c r="B57">
        <f t="shared" si="0"/>
        <v>-0.42901319999999998</v>
      </c>
      <c r="C57">
        <v>-0.423483</v>
      </c>
      <c r="D57">
        <v>-0.45696700000000001</v>
      </c>
      <c r="E57">
        <v>-0.41703299999999999</v>
      </c>
    </row>
    <row r="58" spans="1:5">
      <c r="A58">
        <v>1891.17</v>
      </c>
      <c r="B58">
        <f t="shared" si="0"/>
        <v>-0.42399189999999998</v>
      </c>
      <c r="C58">
        <v>-0.41791699999999998</v>
      </c>
      <c r="D58">
        <v>-0.48635</v>
      </c>
      <c r="E58">
        <v>-0.39726699999999998</v>
      </c>
    </row>
    <row r="59" spans="1:5">
      <c r="A59">
        <v>1892.17</v>
      </c>
      <c r="B59">
        <f t="shared" si="0"/>
        <v>-0.39316499999999999</v>
      </c>
      <c r="C59">
        <v>-0.38778299999999999</v>
      </c>
      <c r="D59">
        <v>-0.45515</v>
      </c>
      <c r="E59">
        <v>-0.36659999999999998</v>
      </c>
    </row>
    <row r="60" spans="1:5">
      <c r="A60">
        <v>1893.17</v>
      </c>
      <c r="B60">
        <f t="shared" si="0"/>
        <v>-0.34096499999999996</v>
      </c>
      <c r="C60">
        <v>-0.33776699999999998</v>
      </c>
      <c r="D60">
        <v>-0.39174999999999999</v>
      </c>
      <c r="E60">
        <v>-0.31919999999999998</v>
      </c>
    </row>
    <row r="61" spans="1:5">
      <c r="A61">
        <v>1894.17</v>
      </c>
      <c r="B61">
        <f t="shared" si="0"/>
        <v>-0.32228689999999993</v>
      </c>
      <c r="C61">
        <v>-0.32353300000000002</v>
      </c>
      <c r="D61">
        <v>-0.32734999999999997</v>
      </c>
      <c r="E61">
        <v>-0.32011699999999998</v>
      </c>
    </row>
    <row r="62" spans="1:5">
      <c r="A62">
        <v>1895.17</v>
      </c>
      <c r="B62">
        <f t="shared" si="0"/>
        <v>-0.29334320000000003</v>
      </c>
      <c r="C62">
        <v>-0.29930000000000001</v>
      </c>
      <c r="D62">
        <v>-0.30071700000000001</v>
      </c>
      <c r="E62">
        <v>-0.29018300000000002</v>
      </c>
    </row>
    <row r="63" spans="1:5">
      <c r="A63">
        <v>1896.17</v>
      </c>
      <c r="B63">
        <f t="shared" si="0"/>
        <v>-0.25420689999999996</v>
      </c>
      <c r="C63">
        <v>-0.26019999999999999</v>
      </c>
      <c r="D63">
        <v>-0.2263</v>
      </c>
      <c r="E63">
        <v>-0.26616699999999999</v>
      </c>
    </row>
    <row r="64" spans="1:5">
      <c r="A64">
        <v>1897.17</v>
      </c>
      <c r="B64">
        <f t="shared" si="0"/>
        <v>-0.2688931</v>
      </c>
      <c r="C64">
        <v>-0.27625</v>
      </c>
      <c r="D64">
        <v>-0.18410000000000001</v>
      </c>
      <c r="E64">
        <v>-0.30523299999999998</v>
      </c>
    </row>
    <row r="65" spans="1:5">
      <c r="A65">
        <v>1898.17</v>
      </c>
      <c r="B65">
        <f t="shared" si="0"/>
        <v>-0.30664509999999995</v>
      </c>
      <c r="C65">
        <v>-0.31661699999999998</v>
      </c>
      <c r="D65">
        <v>-0.204317</v>
      </c>
      <c r="E65">
        <v>-0.35049999999999998</v>
      </c>
    </row>
    <row r="66" spans="1:5">
      <c r="A66">
        <v>1899.17</v>
      </c>
      <c r="B66">
        <f t="shared" si="0"/>
        <v>-0.32397799999999999</v>
      </c>
      <c r="C66">
        <v>-0.33111699999999999</v>
      </c>
      <c r="D66">
        <v>-0.21068300000000001</v>
      </c>
      <c r="E66">
        <v>-0.372533</v>
      </c>
    </row>
    <row r="67" spans="1:5">
      <c r="A67">
        <v>1900.17</v>
      </c>
      <c r="B67">
        <f t="shared" si="0"/>
        <v>-0.37148809999999999</v>
      </c>
      <c r="C67">
        <v>-0.37816699999999998</v>
      </c>
      <c r="D67">
        <v>-0.25285000000000002</v>
      </c>
      <c r="E67">
        <v>-0.42233300000000001</v>
      </c>
    </row>
    <row r="68" spans="1:5">
      <c r="A68">
        <v>1901.17</v>
      </c>
      <c r="B68">
        <f t="shared" si="0"/>
        <v>-0.4126281</v>
      </c>
      <c r="C68">
        <v>-0.41501700000000002</v>
      </c>
      <c r="D68">
        <v>-0.29944999999999999</v>
      </c>
      <c r="E68">
        <v>-0.46113300000000002</v>
      </c>
    </row>
    <row r="69" spans="1:5">
      <c r="A69">
        <v>1902.17</v>
      </c>
      <c r="B69">
        <f t="shared" si="0"/>
        <v>-0.41780799999999996</v>
      </c>
      <c r="C69">
        <v>-0.42021700000000001</v>
      </c>
      <c r="D69">
        <v>-0.307033</v>
      </c>
      <c r="E69">
        <v>-0.465283</v>
      </c>
    </row>
    <row r="70" spans="1:5">
      <c r="A70">
        <v>1903.17</v>
      </c>
      <c r="B70">
        <f t="shared" si="0"/>
        <v>-0.43400489999999997</v>
      </c>
      <c r="C70">
        <v>-0.433417</v>
      </c>
      <c r="D70">
        <v>-0.34698299999999999</v>
      </c>
      <c r="E70">
        <v>-0.4713</v>
      </c>
    </row>
    <row r="71" spans="1:5">
      <c r="A71">
        <v>1904.17</v>
      </c>
      <c r="B71">
        <f t="shared" si="0"/>
        <v>-0.44400309999999998</v>
      </c>
      <c r="C71">
        <v>-0.44193300000000002</v>
      </c>
      <c r="D71">
        <v>-0.36180000000000001</v>
      </c>
      <c r="E71">
        <v>-0.47923300000000002</v>
      </c>
    </row>
    <row r="72" spans="1:5">
      <c r="A72">
        <v>1905.17</v>
      </c>
      <c r="B72">
        <f t="shared" si="0"/>
        <v>-0.44308199999999998</v>
      </c>
      <c r="C72">
        <v>-0.443633</v>
      </c>
      <c r="D72">
        <v>-0.34686699999999998</v>
      </c>
      <c r="E72">
        <v>-0.484317</v>
      </c>
    </row>
    <row r="73" spans="1:5">
      <c r="A73">
        <v>1906.17</v>
      </c>
      <c r="B73">
        <f t="shared" si="0"/>
        <v>-0.46489009999999997</v>
      </c>
      <c r="C73">
        <v>-0.46639999999999998</v>
      </c>
      <c r="D73">
        <v>-0.329067</v>
      </c>
      <c r="E73">
        <v>-0.52310000000000001</v>
      </c>
    </row>
    <row r="74" spans="1:5">
      <c r="A74">
        <v>1907.17</v>
      </c>
      <c r="B74">
        <f t="shared" si="0"/>
        <v>-0.50800800000000002</v>
      </c>
      <c r="C74">
        <v>-0.51870000000000005</v>
      </c>
      <c r="D74">
        <v>-0.37063299999999999</v>
      </c>
      <c r="E74">
        <v>-0.56688300000000003</v>
      </c>
    </row>
    <row r="75" spans="1:5">
      <c r="A75">
        <v>1908.17</v>
      </c>
      <c r="B75">
        <f t="shared" si="0"/>
        <v>-0.50090190000000001</v>
      </c>
      <c r="C75">
        <v>-0.51406700000000005</v>
      </c>
      <c r="D75">
        <v>-0.34150000000000003</v>
      </c>
      <c r="E75">
        <v>-0.56921699999999997</v>
      </c>
    </row>
    <row r="76" spans="1:5">
      <c r="A76">
        <v>1909.17</v>
      </c>
      <c r="B76">
        <f t="shared" si="0"/>
        <v>-0.48436319999999994</v>
      </c>
      <c r="C76">
        <v>-0.49711699999999998</v>
      </c>
      <c r="D76">
        <v>-0.31176700000000002</v>
      </c>
      <c r="E76">
        <v>-0.55833299999999997</v>
      </c>
    </row>
    <row r="77" spans="1:5">
      <c r="A77">
        <v>1910.17</v>
      </c>
      <c r="B77">
        <f t="shared" si="0"/>
        <v>-0.42996009999999996</v>
      </c>
      <c r="C77">
        <v>-0.44224999999999998</v>
      </c>
      <c r="D77">
        <v>-0.238067</v>
      </c>
      <c r="E77">
        <v>-0.51219999999999999</v>
      </c>
    </row>
    <row r="78" spans="1:5">
      <c r="A78">
        <v>1911.17</v>
      </c>
      <c r="B78">
        <f t="shared" si="0"/>
        <v>-0.36682690000000001</v>
      </c>
      <c r="C78">
        <v>-0.37636700000000001</v>
      </c>
      <c r="D78">
        <v>-0.1978</v>
      </c>
      <c r="E78">
        <v>-0.43926700000000002</v>
      </c>
    </row>
    <row r="79" spans="1:5">
      <c r="A79">
        <v>1912.17</v>
      </c>
      <c r="B79">
        <f t="shared" si="0"/>
        <v>-0.34209990000000001</v>
      </c>
      <c r="C79">
        <v>-0.34410000000000002</v>
      </c>
      <c r="D79">
        <v>-0.18413299999999999</v>
      </c>
      <c r="E79">
        <v>-0.4098</v>
      </c>
    </row>
    <row r="80" spans="1:5">
      <c r="A80">
        <v>1913.17</v>
      </c>
      <c r="B80">
        <f t="shared" si="0"/>
        <v>-0.35037499999999999</v>
      </c>
      <c r="C80">
        <v>-0.34916700000000001</v>
      </c>
      <c r="D80">
        <v>-0.2263</v>
      </c>
      <c r="E80">
        <v>-0.40355000000000002</v>
      </c>
    </row>
    <row r="81" spans="1:5">
      <c r="A81">
        <v>1914.17</v>
      </c>
      <c r="B81">
        <f t="shared" si="0"/>
        <v>-0.33558999999999994</v>
      </c>
      <c r="C81">
        <v>-0.33133299999999999</v>
      </c>
      <c r="D81">
        <v>-0.24970000000000001</v>
      </c>
      <c r="E81">
        <v>-0.37240000000000001</v>
      </c>
    </row>
    <row r="82" spans="1:5">
      <c r="A82">
        <v>1915.17</v>
      </c>
      <c r="B82">
        <f t="shared" ref="B82:B145" si="1">0.3*$D82+0.7*$E82</f>
        <v>-0.34918319999999997</v>
      </c>
      <c r="C82">
        <v>-0.33701700000000001</v>
      </c>
      <c r="D82">
        <v>-0.294817</v>
      </c>
      <c r="E82">
        <v>-0.37248300000000001</v>
      </c>
    </row>
    <row r="83" spans="1:5">
      <c r="A83">
        <v>1916.17</v>
      </c>
      <c r="B83">
        <f t="shared" si="1"/>
        <v>-0.36729009999999995</v>
      </c>
      <c r="C83">
        <v>-0.35408299999999998</v>
      </c>
      <c r="D83">
        <v>-0.32211699999999999</v>
      </c>
      <c r="E83">
        <v>-0.38664999999999999</v>
      </c>
    </row>
    <row r="84" spans="1:5">
      <c r="A84">
        <v>1917.17</v>
      </c>
      <c r="B84">
        <f t="shared" si="1"/>
        <v>-0.33353690000000003</v>
      </c>
      <c r="C84">
        <v>-0.31331700000000001</v>
      </c>
      <c r="D84">
        <v>-0.26755000000000001</v>
      </c>
      <c r="E84">
        <v>-0.361817</v>
      </c>
    </row>
    <row r="85" spans="1:5">
      <c r="A85">
        <v>1918.17</v>
      </c>
      <c r="B85">
        <f t="shared" si="1"/>
        <v>-0.3040001</v>
      </c>
      <c r="C85">
        <v>-0.27934999999999999</v>
      </c>
      <c r="D85">
        <v>-0.18301700000000001</v>
      </c>
      <c r="E85">
        <v>-0.35585</v>
      </c>
    </row>
    <row r="86" spans="1:5">
      <c r="A86">
        <v>1919.17</v>
      </c>
      <c r="B86">
        <f t="shared" si="1"/>
        <v>-0.29342309999999999</v>
      </c>
      <c r="C86">
        <v>-0.26486700000000002</v>
      </c>
      <c r="D86">
        <v>-0.14255000000000001</v>
      </c>
      <c r="E86">
        <v>-0.35808299999999998</v>
      </c>
    </row>
    <row r="87" spans="1:5">
      <c r="A87">
        <v>1920.17</v>
      </c>
      <c r="B87">
        <f t="shared" si="1"/>
        <v>-0.29376689999999994</v>
      </c>
      <c r="C87">
        <v>-0.26761699999999999</v>
      </c>
      <c r="D87">
        <v>-0.14630000000000001</v>
      </c>
      <c r="E87">
        <v>-0.35696699999999998</v>
      </c>
    </row>
    <row r="88" spans="1:5">
      <c r="A88">
        <v>1921.17</v>
      </c>
      <c r="B88">
        <f t="shared" si="1"/>
        <v>-0.28897819999999996</v>
      </c>
      <c r="C88">
        <v>-0.26055</v>
      </c>
      <c r="D88">
        <v>-0.13286700000000001</v>
      </c>
      <c r="E88">
        <v>-0.355883</v>
      </c>
    </row>
    <row r="89" spans="1:5">
      <c r="A89">
        <v>1922.17</v>
      </c>
      <c r="B89">
        <f t="shared" si="1"/>
        <v>-0.26836319999999997</v>
      </c>
      <c r="C89">
        <v>-0.244367</v>
      </c>
      <c r="D89">
        <v>-0.12586700000000001</v>
      </c>
      <c r="E89">
        <v>-0.32943299999999998</v>
      </c>
    </row>
    <row r="90" spans="1:5">
      <c r="A90">
        <v>1923.17</v>
      </c>
      <c r="B90">
        <f t="shared" si="1"/>
        <v>-0.24233319999999997</v>
      </c>
      <c r="C90">
        <v>-0.22489999999999999</v>
      </c>
      <c r="D90">
        <v>-0.119367</v>
      </c>
      <c r="E90">
        <v>-0.29503299999999999</v>
      </c>
    </row>
    <row r="91" spans="1:5">
      <c r="A91">
        <v>1924.17</v>
      </c>
      <c r="B91">
        <f t="shared" si="1"/>
        <v>-0.2212701</v>
      </c>
      <c r="C91">
        <v>-0.21235000000000001</v>
      </c>
      <c r="D91">
        <v>-0.100567</v>
      </c>
      <c r="E91">
        <v>-0.27300000000000002</v>
      </c>
    </row>
    <row r="92" spans="1:5">
      <c r="A92">
        <v>1925.17</v>
      </c>
      <c r="B92">
        <f t="shared" si="1"/>
        <v>-0.22425799999999999</v>
      </c>
      <c r="C92">
        <v>-0.22143299999999999</v>
      </c>
      <c r="D92">
        <v>-0.121533</v>
      </c>
      <c r="E92">
        <v>-0.26828299999999999</v>
      </c>
    </row>
    <row r="93" spans="1:5">
      <c r="A93">
        <v>1926.17</v>
      </c>
      <c r="B93">
        <f t="shared" si="1"/>
        <v>-0.19751308999999997</v>
      </c>
      <c r="C93">
        <v>-0.20505000000000001</v>
      </c>
      <c r="D93">
        <v>-9.95833E-2</v>
      </c>
      <c r="E93">
        <v>-0.239483</v>
      </c>
    </row>
    <row r="94" spans="1:5">
      <c r="A94">
        <v>1927.17</v>
      </c>
      <c r="B94">
        <f t="shared" si="1"/>
        <v>-0.1920818</v>
      </c>
      <c r="C94">
        <v>-0.19996700000000001</v>
      </c>
      <c r="D94">
        <v>-0.104383</v>
      </c>
      <c r="E94">
        <v>-0.22966700000000001</v>
      </c>
    </row>
    <row r="95" spans="1:5">
      <c r="A95">
        <v>1928.17</v>
      </c>
      <c r="B95">
        <f t="shared" si="1"/>
        <v>-0.17453809000000001</v>
      </c>
      <c r="C95">
        <v>-0.184917</v>
      </c>
      <c r="D95">
        <v>-7.1883299999999997E-2</v>
      </c>
      <c r="E95">
        <v>-0.21853300000000001</v>
      </c>
    </row>
    <row r="96" spans="1:5">
      <c r="A96">
        <v>1929.17</v>
      </c>
      <c r="B96">
        <f t="shared" si="1"/>
        <v>-0.18469189999999996</v>
      </c>
      <c r="C96">
        <v>-0.19705</v>
      </c>
      <c r="D96">
        <v>-0.10285</v>
      </c>
      <c r="E96">
        <v>-0.21976699999999999</v>
      </c>
    </row>
    <row r="97" spans="1:5">
      <c r="A97">
        <v>1930.17</v>
      </c>
      <c r="B97">
        <f t="shared" si="1"/>
        <v>-0.14113500000000001</v>
      </c>
      <c r="C97">
        <v>-0.15346699999999999</v>
      </c>
      <c r="D97">
        <v>-1.4749999999999999E-2</v>
      </c>
      <c r="E97">
        <v>-0.1953</v>
      </c>
    </row>
    <row r="98" spans="1:5">
      <c r="A98">
        <v>1931.17</v>
      </c>
      <c r="B98">
        <f t="shared" si="1"/>
        <v>-0.14628309</v>
      </c>
      <c r="C98">
        <v>-0.16156699999999999</v>
      </c>
      <c r="D98">
        <v>-2.41333E-2</v>
      </c>
      <c r="E98">
        <v>-0.198633</v>
      </c>
    </row>
    <row r="99" spans="1:5">
      <c r="A99">
        <v>1932.17</v>
      </c>
      <c r="B99">
        <f t="shared" si="1"/>
        <v>-0.14934500999999997</v>
      </c>
      <c r="C99">
        <v>-0.17305000000000001</v>
      </c>
      <c r="D99">
        <v>-2.6716699999999999E-2</v>
      </c>
      <c r="E99">
        <v>-0.2019</v>
      </c>
    </row>
    <row r="100" spans="1:5">
      <c r="A100">
        <v>1933.17</v>
      </c>
      <c r="B100">
        <f t="shared" si="1"/>
        <v>-0.12321188999999999</v>
      </c>
      <c r="C100">
        <v>-0.150667</v>
      </c>
      <c r="D100">
        <v>-1.9133299999999999E-2</v>
      </c>
      <c r="E100">
        <v>-0.16781699999999999</v>
      </c>
    </row>
    <row r="101" spans="1:5">
      <c r="A101">
        <v>1934.17</v>
      </c>
      <c r="B101">
        <f t="shared" si="1"/>
        <v>-6.3258089999999989E-2</v>
      </c>
      <c r="C101">
        <v>-9.71167E-2</v>
      </c>
      <c r="D101">
        <v>7.6916700000000005E-2</v>
      </c>
      <c r="E101">
        <v>-0.123333</v>
      </c>
    </row>
    <row r="102" spans="1:5">
      <c r="A102">
        <v>1935.17</v>
      </c>
      <c r="B102">
        <f t="shared" si="1"/>
        <v>-3.3788299999999993E-2</v>
      </c>
      <c r="C102">
        <v>-8.1966700000000003E-2</v>
      </c>
      <c r="D102">
        <v>8.1466700000000003E-2</v>
      </c>
      <c r="E102">
        <v>-8.3183300000000002E-2</v>
      </c>
    </row>
    <row r="103" spans="1:5">
      <c r="A103">
        <v>1936.17</v>
      </c>
      <c r="B103">
        <f t="shared" si="1"/>
        <v>2.6100999999999937E-3</v>
      </c>
      <c r="C103">
        <v>-4.21833E-2</v>
      </c>
      <c r="D103">
        <v>0.10506699999999999</v>
      </c>
      <c r="E103">
        <v>-4.1300000000000003E-2</v>
      </c>
    </row>
    <row r="104" spans="1:5">
      <c r="A104">
        <v>1937.17</v>
      </c>
      <c r="B104">
        <f t="shared" si="1"/>
        <v>4.6916589999999994E-2</v>
      </c>
      <c r="C104">
        <v>-8.8333300000000003E-3</v>
      </c>
      <c r="D104">
        <v>0.117033</v>
      </c>
      <c r="E104">
        <v>1.6866699999999998E-2</v>
      </c>
    </row>
    <row r="105" spans="1:5">
      <c r="A105">
        <v>1938.17</v>
      </c>
      <c r="B105">
        <f t="shared" si="1"/>
        <v>4.6916689999999997E-2</v>
      </c>
      <c r="C105">
        <v>-7.8666699999999992E-3</v>
      </c>
      <c r="D105">
        <v>0.1147</v>
      </c>
      <c r="E105">
        <v>1.7866699999999999E-2</v>
      </c>
    </row>
    <row r="106" spans="1:5">
      <c r="A106">
        <v>1939.17</v>
      </c>
      <c r="B106">
        <f t="shared" si="1"/>
        <v>4.1874990000000001E-2</v>
      </c>
      <c r="C106">
        <v>-6.4333300000000001E-3</v>
      </c>
      <c r="D106">
        <v>8.6033299999999993E-2</v>
      </c>
      <c r="E106">
        <v>2.2950000000000002E-2</v>
      </c>
    </row>
    <row r="107" spans="1:5">
      <c r="A107">
        <v>1940.17</v>
      </c>
      <c r="B107">
        <f t="shared" si="1"/>
        <v>6.1996589999999997E-2</v>
      </c>
      <c r="C107">
        <v>3.5016699999999998E-2</v>
      </c>
      <c r="D107">
        <v>0.106283</v>
      </c>
      <c r="E107">
        <v>4.3016699999999998E-2</v>
      </c>
    </row>
    <row r="108" spans="1:5">
      <c r="A108">
        <v>1941.17</v>
      </c>
      <c r="B108">
        <f t="shared" si="1"/>
        <v>6.198832E-2</v>
      </c>
      <c r="C108">
        <v>3.6650000000000002E-2</v>
      </c>
      <c r="D108">
        <v>8.9066699999999999E-2</v>
      </c>
      <c r="E108">
        <v>5.0383299999999999E-2</v>
      </c>
    </row>
    <row r="109" spans="1:5">
      <c r="A109">
        <v>1942.17</v>
      </c>
      <c r="B109">
        <f t="shared" si="1"/>
        <v>4.609999999999996E-3</v>
      </c>
      <c r="C109">
        <v>1.8599999999999998E-2</v>
      </c>
      <c r="D109">
        <v>8.3849999999999994E-2</v>
      </c>
      <c r="E109">
        <v>-2.9350000000000001E-2</v>
      </c>
    </row>
    <row r="110" spans="1:5">
      <c r="A110">
        <v>1943.17</v>
      </c>
      <c r="B110">
        <f t="shared" si="1"/>
        <v>-3.2929999999999994E-2</v>
      </c>
      <c r="C110">
        <v>1.45833E-2</v>
      </c>
      <c r="D110">
        <v>9.0550000000000005E-2</v>
      </c>
      <c r="E110">
        <v>-8.5849999999999996E-2</v>
      </c>
    </row>
    <row r="111" spans="1:5">
      <c r="A111">
        <v>1944.17</v>
      </c>
      <c r="B111">
        <f t="shared" si="1"/>
        <v>-7.2028099999999984E-2</v>
      </c>
      <c r="C111">
        <v>7.2833300000000002E-3</v>
      </c>
      <c r="D111">
        <v>8.6650000000000005E-2</v>
      </c>
      <c r="E111">
        <v>-0.14003299999999999</v>
      </c>
    </row>
    <row r="112" spans="1:5">
      <c r="A112">
        <v>1945.17</v>
      </c>
      <c r="B112">
        <f t="shared" si="1"/>
        <v>-0.13271810999999997</v>
      </c>
      <c r="C112">
        <v>-3.8333300000000001E-2</v>
      </c>
      <c r="D112">
        <v>4.1733300000000001E-2</v>
      </c>
      <c r="E112">
        <v>-0.207483</v>
      </c>
    </row>
    <row r="113" spans="1:5">
      <c r="A113">
        <v>1946.17</v>
      </c>
      <c r="B113">
        <f t="shared" si="1"/>
        <v>-0.19000809999999999</v>
      </c>
      <c r="C113">
        <v>-7.9766699999999996E-2</v>
      </c>
      <c r="D113">
        <v>5.3499999999999997E-3</v>
      </c>
      <c r="E113">
        <v>-0.273733</v>
      </c>
    </row>
    <row r="114" spans="1:5">
      <c r="A114">
        <v>1947.17</v>
      </c>
      <c r="B114">
        <f t="shared" si="1"/>
        <v>-0.17971310100000001</v>
      </c>
      <c r="C114">
        <v>-7.6333300000000007E-2</v>
      </c>
      <c r="D114">
        <v>-1.5166699999999999E-3</v>
      </c>
      <c r="E114">
        <v>-0.25608300000000001</v>
      </c>
    </row>
    <row r="115" spans="1:5">
      <c r="A115">
        <v>1948.17</v>
      </c>
      <c r="B115">
        <f t="shared" si="1"/>
        <v>-0.15243000999999998</v>
      </c>
      <c r="C115">
        <v>-6.1749999999999999E-2</v>
      </c>
      <c r="D115">
        <v>-1.2966699999999999E-2</v>
      </c>
      <c r="E115">
        <v>-0.2122</v>
      </c>
    </row>
    <row r="116" spans="1:5">
      <c r="A116">
        <v>1949.17</v>
      </c>
      <c r="B116">
        <f t="shared" si="1"/>
        <v>-0.11484999899999999</v>
      </c>
      <c r="C116">
        <v>-3.4283300000000003E-2</v>
      </c>
      <c r="D116">
        <v>9.5166699999999996E-3</v>
      </c>
      <c r="E116">
        <v>-0.16814999999999999</v>
      </c>
    </row>
    <row r="117" spans="1:5">
      <c r="A117">
        <v>1950.17</v>
      </c>
      <c r="B117">
        <f t="shared" si="1"/>
        <v>-0.11989689989999999</v>
      </c>
      <c r="C117">
        <v>-4.5716699999999999E-2</v>
      </c>
      <c r="D117">
        <v>6.6666700000000002E-4</v>
      </c>
      <c r="E117">
        <v>-0.171567</v>
      </c>
    </row>
    <row r="118" spans="1:5">
      <c r="A118">
        <v>1951.17</v>
      </c>
      <c r="B118">
        <f t="shared" si="1"/>
        <v>-0.11771999999999999</v>
      </c>
      <c r="C118">
        <v>-4.8016700000000002E-2</v>
      </c>
      <c r="D118">
        <v>2.375E-2</v>
      </c>
      <c r="E118">
        <v>-0.17835000000000001</v>
      </c>
    </row>
    <row r="119" spans="1:5">
      <c r="A119">
        <v>1952.17</v>
      </c>
      <c r="B119">
        <f t="shared" si="1"/>
        <v>-0.15025311</v>
      </c>
      <c r="C119">
        <v>-9.06E-2</v>
      </c>
      <c r="D119">
        <v>-3.8416699999999998E-2</v>
      </c>
      <c r="E119">
        <v>-0.198183</v>
      </c>
    </row>
    <row r="120" spans="1:5">
      <c r="A120">
        <v>1953.17</v>
      </c>
      <c r="B120">
        <f t="shared" si="1"/>
        <v>-0.14763691000000001</v>
      </c>
      <c r="C120">
        <v>-9.7733299999999995E-2</v>
      </c>
      <c r="D120">
        <v>-3.9066700000000003E-2</v>
      </c>
      <c r="E120">
        <v>-0.19416700000000001</v>
      </c>
    </row>
    <row r="121" spans="1:5">
      <c r="A121">
        <v>1954.17</v>
      </c>
      <c r="B121">
        <f t="shared" si="1"/>
        <v>-0.14474691000000001</v>
      </c>
      <c r="C121">
        <v>-0.108083</v>
      </c>
      <c r="D121">
        <v>-5.4516700000000001E-2</v>
      </c>
      <c r="E121">
        <v>-0.183417</v>
      </c>
    </row>
    <row r="122" spans="1:5">
      <c r="A122">
        <v>1955.17</v>
      </c>
      <c r="B122">
        <f t="shared" si="1"/>
        <v>-0.10849309</v>
      </c>
      <c r="C122">
        <v>-7.8316700000000003E-2</v>
      </c>
      <c r="D122">
        <v>-2.1133300000000001E-2</v>
      </c>
      <c r="E122">
        <v>-0.14593300000000001</v>
      </c>
    </row>
    <row r="123" spans="1:5">
      <c r="A123">
        <v>1956.17</v>
      </c>
      <c r="B123">
        <f t="shared" si="1"/>
        <v>-7.3776899899999984E-2</v>
      </c>
      <c r="C123">
        <v>-5.0950000000000002E-2</v>
      </c>
      <c r="D123">
        <v>8.66667E-4</v>
      </c>
      <c r="E123">
        <v>-0.105767</v>
      </c>
    </row>
    <row r="124" spans="1:5">
      <c r="A124">
        <v>1957.17</v>
      </c>
      <c r="B124">
        <f t="shared" si="1"/>
        <v>-1.3119999999999996E-2</v>
      </c>
      <c r="C124">
        <v>9.7999999999999997E-3</v>
      </c>
      <c r="D124">
        <v>9.1950000000000004E-2</v>
      </c>
      <c r="E124">
        <v>-5.815E-2</v>
      </c>
    </row>
    <row r="125" spans="1:5">
      <c r="A125">
        <v>1958.17</v>
      </c>
      <c r="B125">
        <f t="shared" si="1"/>
        <v>-6.4532100000000009E-3</v>
      </c>
      <c r="C125">
        <v>1.43833E-2</v>
      </c>
      <c r="D125">
        <v>0.111217</v>
      </c>
      <c r="E125">
        <v>-5.6883299999999998E-2</v>
      </c>
    </row>
    <row r="126" spans="1:5">
      <c r="A126">
        <v>1959.17</v>
      </c>
      <c r="B126">
        <f t="shared" si="1"/>
        <v>-8.4834099999999968E-3</v>
      </c>
      <c r="C126">
        <v>1.49333E-2</v>
      </c>
      <c r="D126">
        <v>0.106783</v>
      </c>
      <c r="E126">
        <v>-5.7883299999999999E-2</v>
      </c>
    </row>
    <row r="127" spans="1:5">
      <c r="A127">
        <v>1960.17</v>
      </c>
      <c r="B127">
        <f t="shared" si="1"/>
        <v>-5.330331E-2</v>
      </c>
      <c r="C127">
        <v>-3.3099999999999997E-2</v>
      </c>
      <c r="D127">
        <v>4.5350000000000001E-2</v>
      </c>
      <c r="E127">
        <v>-9.5583299999999996E-2</v>
      </c>
    </row>
    <row r="128" spans="1:5">
      <c r="A128">
        <v>1961.17</v>
      </c>
      <c r="B128">
        <f t="shared" si="1"/>
        <v>-7.8181890000000004E-2</v>
      </c>
      <c r="C128">
        <v>-5.0983300000000002E-2</v>
      </c>
      <c r="D128">
        <v>1.40667E-2</v>
      </c>
      <c r="E128">
        <v>-0.117717</v>
      </c>
    </row>
    <row r="129" spans="1:5">
      <c r="A129">
        <v>1962.17</v>
      </c>
      <c r="B129">
        <f t="shared" si="1"/>
        <v>-0.10185688999999999</v>
      </c>
      <c r="C129">
        <v>-7.3183300000000007E-2</v>
      </c>
      <c r="D129">
        <v>-2.4833299999999999E-2</v>
      </c>
      <c r="E129">
        <v>-0.13486699999999999</v>
      </c>
    </row>
    <row r="130" spans="1:5">
      <c r="A130">
        <v>1963.17</v>
      </c>
      <c r="B130">
        <f t="shared" si="1"/>
        <v>-0.12403189999999999</v>
      </c>
      <c r="C130">
        <v>-9.2100000000000001E-2</v>
      </c>
      <c r="D130">
        <v>-5.0099999999999999E-2</v>
      </c>
      <c r="E130">
        <v>-0.15571699999999999</v>
      </c>
    </row>
    <row r="131" spans="1:5">
      <c r="A131">
        <v>1964.17</v>
      </c>
      <c r="B131">
        <f t="shared" si="1"/>
        <v>-0.15122998999999998</v>
      </c>
      <c r="C131">
        <v>-0.12438299999999999</v>
      </c>
      <c r="D131">
        <v>-9.5183299999999998E-2</v>
      </c>
      <c r="E131">
        <v>-0.17524999999999999</v>
      </c>
    </row>
    <row r="132" spans="1:5">
      <c r="A132">
        <v>1965.17</v>
      </c>
      <c r="B132">
        <f t="shared" si="1"/>
        <v>-9.7973089999999999E-2</v>
      </c>
      <c r="C132">
        <v>-7.3916700000000002E-2</v>
      </c>
      <c r="D132">
        <v>-6.4933299999999999E-2</v>
      </c>
      <c r="E132">
        <v>-0.112133</v>
      </c>
    </row>
    <row r="133" spans="1:5">
      <c r="A133">
        <v>1966.17</v>
      </c>
      <c r="B133">
        <f t="shared" si="1"/>
        <v>-6.7353319999999994E-2</v>
      </c>
      <c r="C133">
        <v>-5.1216699999999997E-2</v>
      </c>
      <c r="D133">
        <v>-3.2516700000000003E-2</v>
      </c>
      <c r="E133">
        <v>-8.2283300000000004E-2</v>
      </c>
    </row>
    <row r="134" spans="1:5">
      <c r="A134">
        <v>1967.17</v>
      </c>
      <c r="B134">
        <f t="shared" si="1"/>
        <v>-8.1198319999999991E-2</v>
      </c>
      <c r="C134">
        <v>-7.3999999999999996E-2</v>
      </c>
      <c r="D134">
        <v>-4.0866699999999999E-2</v>
      </c>
      <c r="E134">
        <v>-9.8483299999999996E-2</v>
      </c>
    </row>
    <row r="135" spans="1:5">
      <c r="A135">
        <v>1968.17</v>
      </c>
      <c r="B135">
        <f t="shared" si="1"/>
        <v>-6.6398309999999988E-2</v>
      </c>
      <c r="C135">
        <v>-7.2083300000000003E-2</v>
      </c>
      <c r="D135">
        <v>-6.83E-2</v>
      </c>
      <c r="E135">
        <v>-6.5583299999999997E-2</v>
      </c>
    </row>
    <row r="136" spans="1:5">
      <c r="A136">
        <v>1969.17</v>
      </c>
      <c r="B136">
        <f t="shared" si="1"/>
        <v>-2.4018310999999997E-2</v>
      </c>
      <c r="C136">
        <v>-3.7483299999999997E-2</v>
      </c>
      <c r="D136">
        <v>-2.1666699999999999E-3</v>
      </c>
      <c r="E136">
        <v>-3.3383299999999998E-2</v>
      </c>
    </row>
    <row r="137" spans="1:5">
      <c r="A137">
        <v>1970.17</v>
      </c>
      <c r="B137">
        <f t="shared" si="1"/>
        <v>-6.2900009999999992E-2</v>
      </c>
      <c r="C137">
        <v>-8.5866700000000004E-2</v>
      </c>
      <c r="D137">
        <v>-2.94167E-2</v>
      </c>
      <c r="E137">
        <v>-7.7249999999999999E-2</v>
      </c>
    </row>
    <row r="138" spans="1:5">
      <c r="A138">
        <v>1971.17</v>
      </c>
      <c r="B138">
        <f t="shared" si="1"/>
        <v>-8.1568089999999996E-2</v>
      </c>
      <c r="C138">
        <v>-0.109967</v>
      </c>
      <c r="D138">
        <v>-2.72833E-2</v>
      </c>
      <c r="E138">
        <v>-0.104833</v>
      </c>
    </row>
    <row r="139" spans="1:5">
      <c r="A139">
        <v>1972.17</v>
      </c>
      <c r="B139">
        <f t="shared" si="1"/>
        <v>-9.044308999999999E-2</v>
      </c>
      <c r="C139">
        <v>-0.12081699999999999</v>
      </c>
      <c r="D139">
        <v>-5.7333299999999997E-2</v>
      </c>
      <c r="E139">
        <v>-0.104633</v>
      </c>
    </row>
    <row r="140" spans="1:5">
      <c r="A140">
        <v>1973.17</v>
      </c>
      <c r="B140">
        <f t="shared" si="1"/>
        <v>-7.6043101000000002E-2</v>
      </c>
      <c r="C140">
        <v>-9.8299999999999998E-2</v>
      </c>
      <c r="D140">
        <v>5.1333300000000002E-3</v>
      </c>
      <c r="E140">
        <v>-0.110833</v>
      </c>
    </row>
    <row r="141" spans="1:5">
      <c r="A141">
        <v>1974.17</v>
      </c>
      <c r="B141">
        <f t="shared" si="1"/>
        <v>-9.9739989999999987E-2</v>
      </c>
      <c r="C141">
        <v>-0.123067</v>
      </c>
      <c r="D141">
        <v>-2.94833E-2</v>
      </c>
      <c r="E141">
        <v>-0.12984999999999999</v>
      </c>
    </row>
    <row r="142" spans="1:5">
      <c r="A142">
        <v>1975.17</v>
      </c>
      <c r="B142">
        <f t="shared" si="1"/>
        <v>-5.0678300000000003E-2</v>
      </c>
      <c r="C142">
        <v>-6.8816699999999995E-2</v>
      </c>
      <c r="D142">
        <v>3.3916700000000001E-2</v>
      </c>
      <c r="E142">
        <v>-8.6933300000000005E-2</v>
      </c>
    </row>
    <row r="143" spans="1:5">
      <c r="A143">
        <v>1976.17</v>
      </c>
      <c r="B143">
        <f t="shared" si="1"/>
        <v>-4.1816900000000018E-3</v>
      </c>
      <c r="C143">
        <v>-2.06E-2</v>
      </c>
      <c r="D143">
        <v>7.1499999999999994E-2</v>
      </c>
      <c r="E143">
        <v>-3.6616700000000002E-2</v>
      </c>
    </row>
    <row r="144" spans="1:5">
      <c r="A144">
        <v>1977.17</v>
      </c>
      <c r="B144">
        <f t="shared" si="1"/>
        <v>6.7119899999999996E-2</v>
      </c>
      <c r="C144">
        <v>5.5399999999999998E-2</v>
      </c>
      <c r="D144">
        <v>0.202733</v>
      </c>
      <c r="E144">
        <v>8.9999999999999993E-3</v>
      </c>
    </row>
    <row r="145" spans="1:5">
      <c r="A145">
        <v>1978.17</v>
      </c>
      <c r="B145">
        <f t="shared" si="1"/>
        <v>6.8566589999999997E-2</v>
      </c>
      <c r="C145">
        <v>4.8616699999999999E-2</v>
      </c>
      <c r="D145">
        <v>0.18838299999999999</v>
      </c>
      <c r="E145">
        <v>1.7216700000000001E-2</v>
      </c>
    </row>
    <row r="146" spans="1:5">
      <c r="A146">
        <v>1979.17</v>
      </c>
      <c r="B146">
        <f t="shared" ref="B146:B173" si="2">0.3*$D146+0.7*$E146</f>
        <v>0.11546320999999998</v>
      </c>
      <c r="C146">
        <v>9.8616700000000002E-2</v>
      </c>
      <c r="D146">
        <v>0.26288299999999998</v>
      </c>
      <c r="E146">
        <v>5.2283299999999998E-2</v>
      </c>
    </row>
    <row r="147" spans="1:5">
      <c r="A147">
        <v>1980.17</v>
      </c>
      <c r="B147">
        <f t="shared" si="2"/>
        <v>0.10264840999999998</v>
      </c>
      <c r="C147">
        <v>8.4099999999999994E-2</v>
      </c>
      <c r="D147">
        <v>0.24676699999999999</v>
      </c>
      <c r="E147">
        <v>4.0883299999999997E-2</v>
      </c>
    </row>
    <row r="148" spans="1:5">
      <c r="A148">
        <v>1981.17</v>
      </c>
      <c r="B148">
        <f t="shared" si="2"/>
        <v>8.0643309999999996E-2</v>
      </c>
      <c r="C148">
        <v>5.9900000000000002E-2</v>
      </c>
      <c r="D148">
        <v>0.21565000000000001</v>
      </c>
      <c r="E148">
        <v>2.2783299999999999E-2</v>
      </c>
    </row>
    <row r="149" spans="1:5">
      <c r="A149">
        <v>1982.17</v>
      </c>
      <c r="B149">
        <f t="shared" si="2"/>
        <v>6.2693310000000002E-2</v>
      </c>
      <c r="C149">
        <v>4.0966700000000002E-2</v>
      </c>
      <c r="D149">
        <v>0.17774999999999999</v>
      </c>
      <c r="E149">
        <v>1.3383300000000001E-2</v>
      </c>
    </row>
    <row r="150" spans="1:5">
      <c r="A150">
        <v>1983.17</v>
      </c>
      <c r="B150">
        <f t="shared" si="2"/>
        <v>9.3486589999999994E-2</v>
      </c>
      <c r="C150">
        <v>7.5233300000000003E-2</v>
      </c>
      <c r="D150">
        <v>0.22548299999999999</v>
      </c>
      <c r="E150">
        <v>3.6916699999999997E-2</v>
      </c>
    </row>
    <row r="151" spans="1:5">
      <c r="A151">
        <v>1984.17</v>
      </c>
      <c r="B151">
        <f t="shared" si="2"/>
        <v>9.4904899999999986E-2</v>
      </c>
      <c r="C151">
        <v>7.7633300000000002E-2</v>
      </c>
      <c r="D151">
        <v>0.234683</v>
      </c>
      <c r="E151">
        <v>3.5000000000000003E-2</v>
      </c>
    </row>
    <row r="152" spans="1:5">
      <c r="A152">
        <v>1985.17</v>
      </c>
      <c r="B152">
        <f t="shared" si="2"/>
        <v>0.12194679</v>
      </c>
      <c r="C152">
        <v>0.104833</v>
      </c>
      <c r="D152">
        <v>0.29386699999999999</v>
      </c>
      <c r="E152">
        <v>4.8266700000000003E-2</v>
      </c>
    </row>
    <row r="153" spans="1:5">
      <c r="A153">
        <v>1986.17</v>
      </c>
      <c r="B153">
        <f t="shared" si="2"/>
        <v>0.18404989999999999</v>
      </c>
      <c r="C153">
        <v>0.169017</v>
      </c>
      <c r="D153">
        <v>0.39498299999999997</v>
      </c>
      <c r="E153">
        <v>9.3649999999999997E-2</v>
      </c>
    </row>
    <row r="154" spans="1:5">
      <c r="A154">
        <v>1987.17</v>
      </c>
      <c r="B154">
        <f t="shared" si="2"/>
        <v>0.224715</v>
      </c>
      <c r="C154">
        <v>0.21026700000000001</v>
      </c>
      <c r="D154">
        <v>0.44840000000000002</v>
      </c>
      <c r="E154">
        <v>0.12884999999999999</v>
      </c>
    </row>
    <row r="155" spans="1:5">
      <c r="A155">
        <v>1988.17</v>
      </c>
      <c r="B155">
        <f t="shared" si="2"/>
        <v>0.20483299999999999</v>
      </c>
      <c r="C155">
        <v>0.193883</v>
      </c>
      <c r="D155">
        <v>0.421483</v>
      </c>
      <c r="E155">
        <v>0.111983</v>
      </c>
    </row>
    <row r="156" spans="1:5">
      <c r="A156">
        <v>1989.17</v>
      </c>
      <c r="B156">
        <f t="shared" si="2"/>
        <v>0.189693</v>
      </c>
      <c r="C156">
        <v>0.18254999999999999</v>
      </c>
      <c r="D156">
        <v>0.38548300000000002</v>
      </c>
      <c r="E156">
        <v>0.105783</v>
      </c>
    </row>
    <row r="157" spans="1:5">
      <c r="A157">
        <v>1990.17</v>
      </c>
      <c r="B157">
        <f t="shared" si="2"/>
        <v>0.20397999999999999</v>
      </c>
      <c r="C157">
        <v>0.19873299999999999</v>
      </c>
      <c r="D157">
        <v>0.4032</v>
      </c>
      <c r="E157">
        <v>0.1186</v>
      </c>
    </row>
    <row r="158" spans="1:5">
      <c r="A158">
        <v>1991.17</v>
      </c>
      <c r="B158">
        <f t="shared" si="2"/>
        <v>0.20997500000000002</v>
      </c>
      <c r="C158">
        <v>0.20471700000000001</v>
      </c>
      <c r="D158">
        <v>0.42365000000000003</v>
      </c>
      <c r="E158">
        <v>0.11840000000000001</v>
      </c>
    </row>
    <row r="159" spans="1:5">
      <c r="A159">
        <v>1992.17</v>
      </c>
      <c r="B159">
        <f t="shared" si="2"/>
        <v>0.19456989999999999</v>
      </c>
      <c r="C159">
        <v>0.18945000000000001</v>
      </c>
      <c r="D159">
        <v>0.39213300000000001</v>
      </c>
      <c r="E159">
        <v>0.1099</v>
      </c>
    </row>
    <row r="160" spans="1:5">
      <c r="A160">
        <v>1993.17</v>
      </c>
      <c r="B160">
        <f t="shared" si="2"/>
        <v>0.25403009999999998</v>
      </c>
      <c r="C160">
        <v>0.247</v>
      </c>
      <c r="D160">
        <v>0.47506700000000002</v>
      </c>
      <c r="E160">
        <v>0.1593</v>
      </c>
    </row>
    <row r="161" spans="1:5">
      <c r="A161">
        <v>1994.17</v>
      </c>
      <c r="B161">
        <f t="shared" si="2"/>
        <v>0.3431381</v>
      </c>
      <c r="C161">
        <v>0.32291700000000001</v>
      </c>
      <c r="D161">
        <v>0.59655000000000002</v>
      </c>
      <c r="E161">
        <v>0.23453299999999999</v>
      </c>
    </row>
    <row r="162" spans="1:5">
      <c r="A162">
        <v>1995.17</v>
      </c>
      <c r="B162">
        <f t="shared" si="2"/>
        <v>0.3678999</v>
      </c>
      <c r="C162">
        <v>0.342333</v>
      </c>
      <c r="D162">
        <v>0.639733</v>
      </c>
      <c r="E162">
        <v>0.25140000000000001</v>
      </c>
    </row>
    <row r="163" spans="1:5">
      <c r="A163">
        <v>1996.17</v>
      </c>
      <c r="B163">
        <f t="shared" si="2"/>
        <v>0.36739820000000001</v>
      </c>
      <c r="C163">
        <v>0.33603300000000003</v>
      </c>
      <c r="D163">
        <v>0.620367</v>
      </c>
      <c r="E163">
        <v>0.25898300000000002</v>
      </c>
    </row>
    <row r="164" spans="1:5">
      <c r="A164">
        <v>1997.17</v>
      </c>
      <c r="B164">
        <f t="shared" si="2"/>
        <v>0.42433989999999999</v>
      </c>
      <c r="C164">
        <v>0.38756699999999999</v>
      </c>
      <c r="D164">
        <v>0.70653299999999997</v>
      </c>
      <c r="E164">
        <v>0.3034</v>
      </c>
    </row>
    <row r="165" spans="1:5">
      <c r="A165">
        <v>1998.17</v>
      </c>
      <c r="B165">
        <f t="shared" si="2"/>
        <v>0.44917989999999997</v>
      </c>
      <c r="C165">
        <v>0.40693299999999999</v>
      </c>
      <c r="D165">
        <v>0.75503299999999995</v>
      </c>
      <c r="E165">
        <v>0.31809999999999999</v>
      </c>
    </row>
    <row r="166" spans="1:5">
      <c r="A166">
        <v>1999.17</v>
      </c>
      <c r="B166">
        <f t="shared" si="2"/>
        <v>0.44014679999999995</v>
      </c>
      <c r="C166">
        <v>0.40191700000000002</v>
      </c>
      <c r="D166">
        <v>0.74588299999999996</v>
      </c>
      <c r="E166">
        <v>0.30911699999999998</v>
      </c>
    </row>
    <row r="167" spans="1:5">
      <c r="A167">
        <v>2000.17</v>
      </c>
      <c r="B167">
        <f t="shared" si="2"/>
        <v>0.47133199999999997</v>
      </c>
      <c r="C167">
        <v>0.42996699999999999</v>
      </c>
      <c r="D167">
        <v>0.76851700000000001</v>
      </c>
      <c r="E167">
        <v>0.34396700000000002</v>
      </c>
    </row>
    <row r="168" spans="1:5">
      <c r="A168">
        <v>2001.17</v>
      </c>
      <c r="B168">
        <f t="shared" si="2"/>
        <v>0.51674189999999998</v>
      </c>
      <c r="C168">
        <v>0.47889999999999999</v>
      </c>
      <c r="D168">
        <v>0.84335000000000004</v>
      </c>
      <c r="E168">
        <v>0.37676700000000002</v>
      </c>
    </row>
    <row r="169" spans="1:5">
      <c r="A169">
        <v>2002.17</v>
      </c>
      <c r="B169">
        <f t="shared" si="2"/>
        <v>0.52599319999999994</v>
      </c>
      <c r="C169">
        <v>0.49041699999999999</v>
      </c>
      <c r="D169">
        <v>0.87181699999999995</v>
      </c>
      <c r="E169">
        <v>0.37778299999999998</v>
      </c>
    </row>
    <row r="170" spans="1:5">
      <c r="A170">
        <v>2003.17</v>
      </c>
      <c r="B170">
        <f t="shared" si="2"/>
        <v>0.52031799999999995</v>
      </c>
      <c r="C170">
        <v>0.48871700000000001</v>
      </c>
      <c r="D170">
        <v>0.89863300000000002</v>
      </c>
      <c r="E170">
        <v>0.35818299999999997</v>
      </c>
    </row>
    <row r="171" spans="1:5">
      <c r="A171">
        <v>2004.17</v>
      </c>
      <c r="B171">
        <f t="shared" si="2"/>
        <v>0.49517990000000001</v>
      </c>
      <c r="C171">
        <v>0.46596700000000002</v>
      </c>
      <c r="D171">
        <v>0.88853300000000002</v>
      </c>
      <c r="E171">
        <v>0.3266</v>
      </c>
    </row>
    <row r="172" spans="1:5">
      <c r="A172">
        <v>2005.17</v>
      </c>
      <c r="B172">
        <f t="shared" si="2"/>
        <v>0.49760999999999994</v>
      </c>
      <c r="C172">
        <v>0.47598299999999999</v>
      </c>
      <c r="D172">
        <v>0.89954999999999996</v>
      </c>
      <c r="E172">
        <v>0.32534999999999997</v>
      </c>
    </row>
    <row r="173" spans="1:5">
      <c r="A173">
        <v>2006.17</v>
      </c>
      <c r="B173">
        <f t="shared" si="2"/>
        <v>0.49888509999999997</v>
      </c>
      <c r="C173">
        <v>0.47683300000000001</v>
      </c>
      <c r="D173">
        <v>0.90006699999999995</v>
      </c>
      <c r="E173">
        <v>0.32695000000000002</v>
      </c>
    </row>
    <row r="174" spans="1:5">
      <c r="A174" t="s">
        <v>11</v>
      </c>
      <c r="C174">
        <v>0.45853300000000002</v>
      </c>
      <c r="E174">
        <v>0.31348300000000001</v>
      </c>
    </row>
    <row r="175" spans="1:5">
      <c r="A175" t="s">
        <v>21</v>
      </c>
      <c r="C175">
        <v>0.44993300000000003</v>
      </c>
      <c r="E175">
        <v>0.32626699999999997</v>
      </c>
    </row>
    <row r="176" spans="1:5">
      <c r="A176" t="s">
        <v>22</v>
      </c>
    </row>
    <row r="177" spans="1:1">
      <c r="A177" t="s">
        <v>13</v>
      </c>
    </row>
    <row r="178" spans="1:1">
      <c r="A178" t="s">
        <v>0</v>
      </c>
    </row>
    <row r="179" spans="1:1">
      <c r="A179" t="s">
        <v>1</v>
      </c>
    </row>
    <row r="180" spans="1:1">
      <c r="A180" t="s">
        <v>2</v>
      </c>
    </row>
    <row r="181" spans="1:1">
      <c r="A181" t="s">
        <v>3</v>
      </c>
    </row>
    <row r="182" spans="1:1">
      <c r="A182" t="s">
        <v>4</v>
      </c>
    </row>
    <row r="183" spans="1:1">
      <c r="A183" t="s">
        <v>5</v>
      </c>
    </row>
    <row r="184" spans="1:1">
      <c r="A184" t="s">
        <v>6</v>
      </c>
    </row>
    <row r="185" spans="1:1">
      <c r="A185" t="s">
        <v>7</v>
      </c>
    </row>
    <row r="186" spans="1:1">
      <c r="A186" t="s">
        <v>3</v>
      </c>
    </row>
    <row r="187" spans="1:1">
      <c r="A187" t="s">
        <v>2</v>
      </c>
    </row>
    <row r="188" spans="1:1">
      <c r="A188" t="s">
        <v>23</v>
      </c>
    </row>
    <row r="189" spans="1:1">
      <c r="A189" t="s">
        <v>2</v>
      </c>
    </row>
    <row r="190" spans="1:1">
      <c r="A190" t="s">
        <v>24</v>
      </c>
    </row>
    <row r="191" spans="1:1">
      <c r="A191" t="s">
        <v>10</v>
      </c>
    </row>
    <row r="192" spans="1:1">
      <c r="A192" t="s">
        <v>20</v>
      </c>
    </row>
    <row r="193" spans="1:4">
      <c r="A193">
        <v>1850.17</v>
      </c>
      <c r="D193">
        <v>-0.33126699999999998</v>
      </c>
    </row>
    <row r="194" spans="1:4">
      <c r="A194">
        <v>1851.17</v>
      </c>
      <c r="D194">
        <v>-0.30514999999999998</v>
      </c>
    </row>
    <row r="195" spans="1:4">
      <c r="A195">
        <v>1852.17</v>
      </c>
      <c r="D195">
        <v>-0.32279999999999998</v>
      </c>
    </row>
    <row r="196" spans="1:4">
      <c r="A196">
        <v>1853.17</v>
      </c>
      <c r="D196">
        <v>-0.36685000000000001</v>
      </c>
    </row>
    <row r="197" spans="1:4">
      <c r="A197">
        <v>1854.17</v>
      </c>
      <c r="D197">
        <v>-0.41036699999999998</v>
      </c>
    </row>
    <row r="198" spans="1:4">
      <c r="A198">
        <v>1855.17</v>
      </c>
      <c r="D198">
        <v>-0.42528300000000002</v>
      </c>
    </row>
    <row r="199" spans="1:4">
      <c r="A199">
        <v>1856.17</v>
      </c>
      <c r="D199">
        <v>-0.43004999999999999</v>
      </c>
    </row>
    <row r="200" spans="1:4">
      <c r="A200">
        <v>1857.17</v>
      </c>
      <c r="D200">
        <v>-0.43580000000000002</v>
      </c>
    </row>
    <row r="201" spans="1:4">
      <c r="A201">
        <v>1858.17</v>
      </c>
      <c r="D201">
        <v>-0.43313299999999999</v>
      </c>
    </row>
    <row r="202" spans="1:4">
      <c r="A202">
        <v>1859.17</v>
      </c>
      <c r="D202">
        <v>-0.41685</v>
      </c>
    </row>
    <row r="203" spans="1:4">
      <c r="A203">
        <v>1860.17</v>
      </c>
      <c r="D203">
        <v>-0.41658299999999998</v>
      </c>
    </row>
    <row r="204" spans="1:4">
      <c r="A204">
        <v>1861.17</v>
      </c>
      <c r="D204">
        <v>-0.404617</v>
      </c>
    </row>
    <row r="205" spans="1:4">
      <c r="A205">
        <v>1862.17</v>
      </c>
      <c r="D205">
        <v>-0.37421700000000002</v>
      </c>
    </row>
    <row r="206" spans="1:4">
      <c r="A206">
        <v>1863.17</v>
      </c>
      <c r="D206">
        <v>-0.32128299999999999</v>
      </c>
    </row>
    <row r="207" spans="1:4">
      <c r="A207">
        <v>1864.17</v>
      </c>
      <c r="D207">
        <v>-0.2702</v>
      </c>
    </row>
    <row r="208" spans="1:4">
      <c r="A208">
        <v>1865.17</v>
      </c>
      <c r="D208">
        <v>-0.24498300000000001</v>
      </c>
    </row>
    <row r="209" spans="1:4">
      <c r="A209">
        <v>1866.17</v>
      </c>
      <c r="D209">
        <v>-0.240867</v>
      </c>
    </row>
    <row r="210" spans="1:4">
      <c r="A210">
        <v>1867.17</v>
      </c>
      <c r="D210">
        <v>-0.24146699999999999</v>
      </c>
    </row>
    <row r="211" spans="1:4">
      <c r="A211">
        <v>1868.17</v>
      </c>
      <c r="D211">
        <v>-0.25228299999999998</v>
      </c>
    </row>
    <row r="212" spans="1:4">
      <c r="A212">
        <v>1869.17</v>
      </c>
      <c r="D212">
        <v>-0.279783</v>
      </c>
    </row>
    <row r="213" spans="1:4">
      <c r="A213">
        <v>1870.17</v>
      </c>
      <c r="D213">
        <v>-0.30646699999999999</v>
      </c>
    </row>
    <row r="214" spans="1:4">
      <c r="A214">
        <v>1871.17</v>
      </c>
      <c r="D214">
        <v>-0.31780000000000003</v>
      </c>
    </row>
    <row r="215" spans="1:4">
      <c r="A215">
        <v>1872.17</v>
      </c>
      <c r="D215">
        <v>-0.34275</v>
      </c>
    </row>
    <row r="216" spans="1:4">
      <c r="A216">
        <v>1873.17</v>
      </c>
      <c r="D216">
        <v>-0.29801699999999998</v>
      </c>
    </row>
    <row r="217" spans="1:4">
      <c r="A217">
        <v>1874.17</v>
      </c>
      <c r="D217">
        <v>-0.23194999999999999</v>
      </c>
    </row>
    <row r="218" spans="1:4">
      <c r="A218">
        <v>1875.17</v>
      </c>
      <c r="D218">
        <v>-0.19816700000000001</v>
      </c>
    </row>
    <row r="219" spans="1:4">
      <c r="A219">
        <v>1876.17</v>
      </c>
      <c r="D219">
        <v>-0.189</v>
      </c>
    </row>
    <row r="220" spans="1:4">
      <c r="A220">
        <v>1877.17</v>
      </c>
      <c r="D220">
        <v>-0.15346699999999999</v>
      </c>
    </row>
    <row r="221" spans="1:4">
      <c r="A221">
        <v>1878.17</v>
      </c>
      <c r="D221">
        <v>-0.19606699999999999</v>
      </c>
    </row>
    <row r="222" spans="1:4">
      <c r="A222">
        <v>1879.17</v>
      </c>
      <c r="D222">
        <v>-0.24846699999999999</v>
      </c>
    </row>
    <row r="223" spans="1:4">
      <c r="A223">
        <v>1880.17</v>
      </c>
      <c r="D223">
        <v>-0.26341700000000001</v>
      </c>
    </row>
    <row r="224" spans="1:4">
      <c r="A224">
        <v>1881.17</v>
      </c>
      <c r="D224">
        <v>-0.273733</v>
      </c>
    </row>
    <row r="225" spans="1:4">
      <c r="A225">
        <v>1882.17</v>
      </c>
      <c r="D225">
        <v>-0.27436700000000003</v>
      </c>
    </row>
    <row r="226" spans="1:4">
      <c r="A226">
        <v>1883.17</v>
      </c>
      <c r="D226">
        <v>-0.28991699999999998</v>
      </c>
    </row>
    <row r="227" spans="1:4">
      <c r="A227">
        <v>1884.17</v>
      </c>
      <c r="D227">
        <v>-0.28823300000000002</v>
      </c>
    </row>
    <row r="228" spans="1:4">
      <c r="A228">
        <v>1885.17</v>
      </c>
      <c r="D228">
        <v>-0.25671699999999997</v>
      </c>
    </row>
    <row r="229" spans="1:4">
      <c r="A229">
        <v>1886.17</v>
      </c>
      <c r="D229">
        <v>-0.28606700000000002</v>
      </c>
    </row>
    <row r="230" spans="1:4">
      <c r="A230">
        <v>1887.17</v>
      </c>
      <c r="D230">
        <v>-0.304033</v>
      </c>
    </row>
    <row r="231" spans="1:4">
      <c r="A231">
        <v>1888.17</v>
      </c>
      <c r="D231">
        <v>-0.32324999999999998</v>
      </c>
    </row>
    <row r="232" spans="1:4">
      <c r="A232">
        <v>1889.17</v>
      </c>
      <c r="D232">
        <v>-0.35709999999999997</v>
      </c>
    </row>
    <row r="233" spans="1:4">
      <c r="A233">
        <v>1890.17</v>
      </c>
      <c r="D233">
        <v>-0.41703299999999999</v>
      </c>
    </row>
    <row r="234" spans="1:4">
      <c r="A234">
        <v>1891.17</v>
      </c>
      <c r="D234">
        <v>-0.39726699999999998</v>
      </c>
    </row>
    <row r="235" spans="1:4">
      <c r="A235">
        <v>1892.17</v>
      </c>
      <c r="D235">
        <v>-0.36659999999999998</v>
      </c>
    </row>
    <row r="236" spans="1:4">
      <c r="A236">
        <v>1893.17</v>
      </c>
      <c r="D236">
        <v>-0.31919999999999998</v>
      </c>
    </row>
    <row r="237" spans="1:4">
      <c r="A237">
        <v>1894.17</v>
      </c>
      <c r="D237">
        <v>-0.32011699999999998</v>
      </c>
    </row>
    <row r="238" spans="1:4">
      <c r="A238">
        <v>1895.17</v>
      </c>
      <c r="D238">
        <v>-0.29018300000000002</v>
      </c>
    </row>
    <row r="239" spans="1:4">
      <c r="A239">
        <v>1896.17</v>
      </c>
      <c r="D239">
        <v>-0.26616699999999999</v>
      </c>
    </row>
    <row r="240" spans="1:4">
      <c r="A240">
        <v>1897.17</v>
      </c>
      <c r="D240">
        <v>-0.30523299999999998</v>
      </c>
    </row>
    <row r="241" spans="1:4">
      <c r="A241">
        <v>1898.17</v>
      </c>
      <c r="D241">
        <v>-0.35049999999999998</v>
      </c>
    </row>
    <row r="242" spans="1:4">
      <c r="A242">
        <v>1899.17</v>
      </c>
      <c r="D242">
        <v>-0.372533</v>
      </c>
    </row>
    <row r="243" spans="1:4">
      <c r="A243">
        <v>1900.17</v>
      </c>
      <c r="D243">
        <v>-0.42233300000000001</v>
      </c>
    </row>
    <row r="244" spans="1:4">
      <c r="A244">
        <v>1901.17</v>
      </c>
      <c r="D244">
        <v>-0.46113300000000002</v>
      </c>
    </row>
    <row r="245" spans="1:4">
      <c r="A245">
        <v>1902.17</v>
      </c>
      <c r="D245">
        <v>-0.465283</v>
      </c>
    </row>
    <row r="246" spans="1:4">
      <c r="A246">
        <v>1903.17</v>
      </c>
      <c r="D246">
        <v>-0.4713</v>
      </c>
    </row>
    <row r="247" spans="1:4">
      <c r="A247">
        <v>1904.17</v>
      </c>
      <c r="D247">
        <v>-0.47923300000000002</v>
      </c>
    </row>
    <row r="248" spans="1:4">
      <c r="A248">
        <v>1905.17</v>
      </c>
      <c r="D248">
        <v>-0.484317</v>
      </c>
    </row>
    <row r="249" spans="1:4">
      <c r="A249">
        <v>1906.17</v>
      </c>
      <c r="D249">
        <v>-0.52310000000000001</v>
      </c>
    </row>
    <row r="250" spans="1:4">
      <c r="A250">
        <v>1907.17</v>
      </c>
      <c r="D250">
        <v>-0.56688300000000003</v>
      </c>
    </row>
    <row r="251" spans="1:4">
      <c r="A251">
        <v>1908.17</v>
      </c>
      <c r="D251">
        <v>-0.56921699999999997</v>
      </c>
    </row>
    <row r="252" spans="1:4">
      <c r="A252">
        <v>1909.17</v>
      </c>
      <c r="D252">
        <v>-0.55833299999999997</v>
      </c>
    </row>
    <row r="253" spans="1:4">
      <c r="A253">
        <v>1910.17</v>
      </c>
      <c r="D253">
        <v>-0.51219999999999999</v>
      </c>
    </row>
    <row r="254" spans="1:4">
      <c r="A254">
        <v>1911.17</v>
      </c>
      <c r="D254">
        <v>-0.43926700000000002</v>
      </c>
    </row>
    <row r="255" spans="1:4">
      <c r="A255">
        <v>1912.17</v>
      </c>
      <c r="D255">
        <v>-0.4098</v>
      </c>
    </row>
    <row r="256" spans="1:4">
      <c r="A256">
        <v>1913.17</v>
      </c>
      <c r="D256">
        <v>-0.40355000000000002</v>
      </c>
    </row>
    <row r="257" spans="1:4">
      <c r="A257">
        <v>1914.17</v>
      </c>
      <c r="D257">
        <v>-0.37240000000000001</v>
      </c>
    </row>
    <row r="258" spans="1:4">
      <c r="A258">
        <v>1915.17</v>
      </c>
      <c r="D258">
        <v>-0.37248300000000001</v>
      </c>
    </row>
    <row r="259" spans="1:4">
      <c r="A259">
        <v>1916.17</v>
      </c>
      <c r="D259">
        <v>-0.38664999999999999</v>
      </c>
    </row>
    <row r="260" spans="1:4">
      <c r="A260">
        <v>1917.17</v>
      </c>
      <c r="D260">
        <v>-0.361817</v>
      </c>
    </row>
    <row r="261" spans="1:4">
      <c r="A261">
        <v>1918.17</v>
      </c>
      <c r="D261">
        <v>-0.35585</v>
      </c>
    </row>
    <row r="262" spans="1:4">
      <c r="A262">
        <v>1919.17</v>
      </c>
      <c r="D262">
        <v>-0.35808299999999998</v>
      </c>
    </row>
    <row r="263" spans="1:4">
      <c r="A263">
        <v>1920.17</v>
      </c>
      <c r="D263">
        <v>-0.35696699999999998</v>
      </c>
    </row>
    <row r="264" spans="1:4">
      <c r="A264">
        <v>1921.17</v>
      </c>
      <c r="D264">
        <v>-0.355883</v>
      </c>
    </row>
    <row r="265" spans="1:4">
      <c r="A265">
        <v>1922.17</v>
      </c>
      <c r="D265">
        <v>-0.32943299999999998</v>
      </c>
    </row>
    <row r="266" spans="1:4">
      <c r="A266">
        <v>1923.17</v>
      </c>
      <c r="D266">
        <v>-0.29503299999999999</v>
      </c>
    </row>
    <row r="267" spans="1:4">
      <c r="A267">
        <v>1924.17</v>
      </c>
      <c r="D267">
        <v>-0.27300000000000002</v>
      </c>
    </row>
    <row r="268" spans="1:4">
      <c r="A268">
        <v>1925.17</v>
      </c>
      <c r="D268">
        <v>-0.26828299999999999</v>
      </c>
    </row>
    <row r="269" spans="1:4">
      <c r="A269">
        <v>1926.17</v>
      </c>
      <c r="D269">
        <v>-0.239483</v>
      </c>
    </row>
    <row r="270" spans="1:4">
      <c r="A270">
        <v>1927.17</v>
      </c>
      <c r="D270">
        <v>-0.22966700000000001</v>
      </c>
    </row>
    <row r="271" spans="1:4">
      <c r="A271">
        <v>1928.17</v>
      </c>
      <c r="D271">
        <v>-0.21853300000000001</v>
      </c>
    </row>
    <row r="272" spans="1:4">
      <c r="A272">
        <v>1929.17</v>
      </c>
      <c r="D272">
        <v>-0.21976699999999999</v>
      </c>
    </row>
    <row r="273" spans="1:4">
      <c r="A273">
        <v>1930.17</v>
      </c>
      <c r="D273">
        <v>-0.1953</v>
      </c>
    </row>
    <row r="274" spans="1:4">
      <c r="A274">
        <v>1931.17</v>
      </c>
      <c r="D274">
        <v>-0.198633</v>
      </c>
    </row>
    <row r="275" spans="1:4">
      <c r="A275">
        <v>1932.17</v>
      </c>
      <c r="D275">
        <v>-0.2019</v>
      </c>
    </row>
    <row r="276" spans="1:4">
      <c r="A276">
        <v>1933.17</v>
      </c>
      <c r="D276">
        <v>-0.16781699999999999</v>
      </c>
    </row>
    <row r="277" spans="1:4">
      <c r="A277">
        <v>1934.17</v>
      </c>
      <c r="D277">
        <v>-0.123333</v>
      </c>
    </row>
    <row r="278" spans="1:4">
      <c r="A278">
        <v>1935.17</v>
      </c>
      <c r="D278">
        <v>-8.3183300000000002E-2</v>
      </c>
    </row>
    <row r="279" spans="1:4">
      <c r="A279">
        <v>1936.17</v>
      </c>
      <c r="D279">
        <v>-4.1300000000000003E-2</v>
      </c>
    </row>
    <row r="280" spans="1:4">
      <c r="A280">
        <v>1937.17</v>
      </c>
      <c r="D280">
        <v>1.6866699999999998E-2</v>
      </c>
    </row>
    <row r="281" spans="1:4">
      <c r="A281">
        <v>1938.17</v>
      </c>
      <c r="D281">
        <v>1.7866699999999999E-2</v>
      </c>
    </row>
    <row r="282" spans="1:4">
      <c r="A282">
        <v>1939.17</v>
      </c>
      <c r="D282">
        <v>2.2950000000000002E-2</v>
      </c>
    </row>
    <row r="283" spans="1:4">
      <c r="A283">
        <v>1940.17</v>
      </c>
      <c r="D283">
        <v>4.3016699999999998E-2</v>
      </c>
    </row>
    <row r="284" spans="1:4">
      <c r="A284">
        <v>1941.17</v>
      </c>
      <c r="D284">
        <v>5.0383299999999999E-2</v>
      </c>
    </row>
    <row r="285" spans="1:4">
      <c r="A285">
        <v>1942.17</v>
      </c>
      <c r="D285">
        <v>-2.9350000000000001E-2</v>
      </c>
    </row>
    <row r="286" spans="1:4">
      <c r="A286">
        <v>1943.17</v>
      </c>
      <c r="D286">
        <v>-8.5849999999999996E-2</v>
      </c>
    </row>
    <row r="287" spans="1:4">
      <c r="A287">
        <v>1944.17</v>
      </c>
      <c r="D287">
        <v>-0.14003299999999999</v>
      </c>
    </row>
    <row r="288" spans="1:4">
      <c r="A288">
        <v>1945.17</v>
      </c>
      <c r="D288">
        <v>-0.207483</v>
      </c>
    </row>
    <row r="289" spans="1:4">
      <c r="A289">
        <v>1946.17</v>
      </c>
      <c r="D289">
        <v>-0.273733</v>
      </c>
    </row>
    <row r="290" spans="1:4">
      <c r="A290">
        <v>1947.17</v>
      </c>
      <c r="D290">
        <v>-0.25608300000000001</v>
      </c>
    </row>
    <row r="291" spans="1:4">
      <c r="A291">
        <v>1948.17</v>
      </c>
      <c r="D291">
        <v>-0.2122</v>
      </c>
    </row>
    <row r="292" spans="1:4">
      <c r="A292">
        <v>1949.17</v>
      </c>
      <c r="D292">
        <v>-0.16814999999999999</v>
      </c>
    </row>
    <row r="293" spans="1:4">
      <c r="A293">
        <v>1950.17</v>
      </c>
      <c r="D293">
        <v>-0.171567</v>
      </c>
    </row>
    <row r="294" spans="1:4">
      <c r="A294">
        <v>1951.17</v>
      </c>
      <c r="D294">
        <v>-0.17835000000000001</v>
      </c>
    </row>
    <row r="295" spans="1:4">
      <c r="A295">
        <v>1952.17</v>
      </c>
      <c r="D295">
        <v>-0.198183</v>
      </c>
    </row>
    <row r="296" spans="1:4">
      <c r="A296">
        <v>1953.17</v>
      </c>
      <c r="D296">
        <v>-0.19416700000000001</v>
      </c>
    </row>
    <row r="297" spans="1:4">
      <c r="A297">
        <v>1954.17</v>
      </c>
      <c r="D297">
        <v>-0.183417</v>
      </c>
    </row>
    <row r="298" spans="1:4">
      <c r="A298">
        <v>1955.17</v>
      </c>
      <c r="D298">
        <v>-0.14593300000000001</v>
      </c>
    </row>
    <row r="299" spans="1:4">
      <c r="A299">
        <v>1956.17</v>
      </c>
      <c r="D299">
        <v>-0.105767</v>
      </c>
    </row>
    <row r="300" spans="1:4">
      <c r="A300">
        <v>1957.17</v>
      </c>
      <c r="D300">
        <v>-5.815E-2</v>
      </c>
    </row>
    <row r="301" spans="1:4">
      <c r="A301">
        <v>1958.17</v>
      </c>
      <c r="D301">
        <v>-5.6883299999999998E-2</v>
      </c>
    </row>
    <row r="302" spans="1:4">
      <c r="A302">
        <v>1959.17</v>
      </c>
      <c r="D302">
        <v>-5.7883299999999999E-2</v>
      </c>
    </row>
    <row r="303" spans="1:4">
      <c r="A303">
        <v>1960.17</v>
      </c>
      <c r="D303">
        <v>-9.5583299999999996E-2</v>
      </c>
    </row>
    <row r="304" spans="1:4">
      <c r="A304">
        <v>1961.17</v>
      </c>
      <c r="D304">
        <v>-0.117717</v>
      </c>
    </row>
    <row r="305" spans="1:4">
      <c r="A305">
        <v>1962.17</v>
      </c>
      <c r="D305">
        <v>-0.13486699999999999</v>
      </c>
    </row>
    <row r="306" spans="1:4">
      <c r="A306">
        <v>1963.17</v>
      </c>
      <c r="D306">
        <v>-0.15571699999999999</v>
      </c>
    </row>
    <row r="307" spans="1:4">
      <c r="A307">
        <v>1964.17</v>
      </c>
      <c r="D307">
        <v>-0.17524999999999999</v>
      </c>
    </row>
    <row r="308" spans="1:4">
      <c r="A308">
        <v>1965.17</v>
      </c>
      <c r="D308">
        <v>-0.112133</v>
      </c>
    </row>
    <row r="309" spans="1:4">
      <c r="A309">
        <v>1966.17</v>
      </c>
      <c r="D309">
        <v>-8.2283300000000004E-2</v>
      </c>
    </row>
    <row r="310" spans="1:4">
      <c r="A310">
        <v>1967.17</v>
      </c>
      <c r="D310">
        <v>-9.8483299999999996E-2</v>
      </c>
    </row>
    <row r="311" spans="1:4">
      <c r="A311">
        <v>1968.17</v>
      </c>
      <c r="D311">
        <v>-6.5583299999999997E-2</v>
      </c>
    </row>
    <row r="312" spans="1:4">
      <c r="A312">
        <v>1969.17</v>
      </c>
      <c r="D312">
        <v>-3.3383299999999998E-2</v>
      </c>
    </row>
    <row r="313" spans="1:4">
      <c r="A313">
        <v>1970.17</v>
      </c>
      <c r="D313">
        <v>-7.7249999999999999E-2</v>
      </c>
    </row>
    <row r="314" spans="1:4">
      <c r="A314">
        <v>1971.17</v>
      </c>
      <c r="D314">
        <v>-0.104833</v>
      </c>
    </row>
    <row r="315" spans="1:4">
      <c r="A315">
        <v>1972.17</v>
      </c>
      <c r="D315">
        <v>-0.104633</v>
      </c>
    </row>
    <row r="316" spans="1:4">
      <c r="A316">
        <v>1973.17</v>
      </c>
      <c r="D316">
        <v>-0.110833</v>
      </c>
    </row>
    <row r="317" spans="1:4">
      <c r="A317">
        <v>1974.17</v>
      </c>
      <c r="D317">
        <v>-0.12984999999999999</v>
      </c>
    </row>
    <row r="318" spans="1:4">
      <c r="A318">
        <v>1975.17</v>
      </c>
      <c r="D318">
        <v>-8.6933300000000005E-2</v>
      </c>
    </row>
    <row r="319" spans="1:4">
      <c r="A319">
        <v>1976.17</v>
      </c>
      <c r="D319">
        <v>-3.6616700000000002E-2</v>
      </c>
    </row>
    <row r="320" spans="1:4">
      <c r="A320">
        <v>1977.17</v>
      </c>
      <c r="D320">
        <v>8.9999999999999993E-3</v>
      </c>
    </row>
    <row r="321" spans="1:4">
      <c r="A321">
        <v>1978.17</v>
      </c>
      <c r="D321">
        <v>1.7216700000000001E-2</v>
      </c>
    </row>
    <row r="322" spans="1:4">
      <c r="A322">
        <v>1979.17</v>
      </c>
      <c r="D322">
        <v>5.2283299999999998E-2</v>
      </c>
    </row>
    <row r="323" spans="1:4">
      <c r="A323">
        <v>1980.17</v>
      </c>
      <c r="D323">
        <v>4.0883299999999997E-2</v>
      </c>
    </row>
    <row r="324" spans="1:4">
      <c r="A324">
        <v>1981.17</v>
      </c>
      <c r="D324">
        <v>2.2783299999999999E-2</v>
      </c>
    </row>
    <row r="325" spans="1:4">
      <c r="A325">
        <v>1982.17</v>
      </c>
      <c r="D325">
        <v>1.3383300000000001E-2</v>
      </c>
    </row>
    <row r="326" spans="1:4">
      <c r="A326">
        <v>1983.17</v>
      </c>
      <c r="D326">
        <v>3.6916699999999997E-2</v>
      </c>
    </row>
    <row r="327" spans="1:4">
      <c r="A327">
        <v>1984.17</v>
      </c>
      <c r="D327">
        <v>3.5000000000000003E-2</v>
      </c>
    </row>
    <row r="328" spans="1:4">
      <c r="A328">
        <v>1985.17</v>
      </c>
      <c r="D328">
        <v>4.8266700000000003E-2</v>
      </c>
    </row>
    <row r="329" spans="1:4">
      <c r="A329">
        <v>1986.17</v>
      </c>
      <c r="D329">
        <v>9.3649999999999997E-2</v>
      </c>
    </row>
    <row r="330" spans="1:4">
      <c r="A330">
        <v>1987.17</v>
      </c>
      <c r="D330">
        <v>0.12884999999999999</v>
      </c>
    </row>
    <row r="331" spans="1:4">
      <c r="A331">
        <v>1988.17</v>
      </c>
      <c r="D331">
        <v>0.111983</v>
      </c>
    </row>
    <row r="332" spans="1:4">
      <c r="A332">
        <v>1989.17</v>
      </c>
      <c r="D332">
        <v>0.105783</v>
      </c>
    </row>
    <row r="333" spans="1:4">
      <c r="A333">
        <v>1990.17</v>
      </c>
      <c r="D333">
        <v>0.1186</v>
      </c>
    </row>
    <row r="334" spans="1:4">
      <c r="A334">
        <v>1991.17</v>
      </c>
      <c r="D334">
        <v>0.11840000000000001</v>
      </c>
    </row>
    <row r="335" spans="1:4">
      <c r="A335">
        <v>1992.17</v>
      </c>
      <c r="D335">
        <v>0.1099</v>
      </c>
    </row>
    <row r="336" spans="1:4">
      <c r="A336">
        <v>1993.17</v>
      </c>
      <c r="D336">
        <v>0.1593</v>
      </c>
    </row>
    <row r="337" spans="1:4">
      <c r="A337">
        <v>1994.17</v>
      </c>
      <c r="D337">
        <v>0.23453299999999999</v>
      </c>
    </row>
    <row r="338" spans="1:4">
      <c r="A338">
        <v>1995.17</v>
      </c>
      <c r="D338">
        <v>0.25140000000000001</v>
      </c>
    </row>
    <row r="339" spans="1:4">
      <c r="A339">
        <v>1996.17</v>
      </c>
      <c r="D339">
        <v>0.25898300000000002</v>
      </c>
    </row>
    <row r="340" spans="1:4">
      <c r="A340">
        <v>1997.17</v>
      </c>
      <c r="D340">
        <v>0.3034</v>
      </c>
    </row>
    <row r="341" spans="1:4">
      <c r="A341">
        <v>1998.17</v>
      </c>
      <c r="D341">
        <v>0.31809999999999999</v>
      </c>
    </row>
    <row r="342" spans="1:4">
      <c r="A342">
        <v>1999.17</v>
      </c>
      <c r="D342">
        <v>0.30911699999999998</v>
      </c>
    </row>
    <row r="343" spans="1:4">
      <c r="A343">
        <v>2000.17</v>
      </c>
      <c r="D343">
        <v>0.34396700000000002</v>
      </c>
    </row>
    <row r="344" spans="1:4">
      <c r="A344">
        <v>2001.17</v>
      </c>
      <c r="D344">
        <v>0.37676700000000002</v>
      </c>
    </row>
    <row r="345" spans="1:4">
      <c r="A345">
        <v>2002.17</v>
      </c>
      <c r="D345">
        <v>0.37778299999999998</v>
      </c>
    </row>
    <row r="346" spans="1:4">
      <c r="A346">
        <v>2003.17</v>
      </c>
      <c r="D346">
        <v>0.35818299999999997</v>
      </c>
    </row>
    <row r="347" spans="1:4">
      <c r="A347">
        <v>2004.17</v>
      </c>
      <c r="D347">
        <v>0.3266</v>
      </c>
    </row>
    <row r="348" spans="1:4">
      <c r="A348">
        <v>2005.17</v>
      </c>
      <c r="D348">
        <v>0.32534999999999997</v>
      </c>
    </row>
    <row r="349" spans="1:4">
      <c r="A349">
        <v>2006.17</v>
      </c>
      <c r="D349">
        <v>0.32695000000000002</v>
      </c>
    </row>
    <row r="350" spans="1:4">
      <c r="A350">
        <v>2007.17</v>
      </c>
      <c r="D350">
        <v>0.31348300000000001</v>
      </c>
    </row>
    <row r="351" spans="1:4">
      <c r="A351">
        <v>2008.17</v>
      </c>
      <c r="D351">
        <v>0.32626699999999997</v>
      </c>
    </row>
    <row r="352" spans="1:4">
      <c r="A352" t="s">
        <v>11</v>
      </c>
    </row>
    <row r="353" spans="1:1">
      <c r="A353" t="s">
        <v>12</v>
      </c>
    </row>
    <row r="354" spans="1:1">
      <c r="A354" t="s">
        <v>25</v>
      </c>
    </row>
    <row r="355" spans="1:1">
      <c r="A355" t="s">
        <v>13</v>
      </c>
    </row>
    <row r="356" spans="1:1">
      <c r="A356" t="s">
        <v>0</v>
      </c>
    </row>
    <row r="357" spans="1:1">
      <c r="A357" t="s">
        <v>1</v>
      </c>
    </row>
    <row r="358" spans="1:1">
      <c r="A358" t="s">
        <v>2</v>
      </c>
    </row>
    <row r="359" spans="1:1">
      <c r="A359" t="s">
        <v>3</v>
      </c>
    </row>
    <row r="360" spans="1:1">
      <c r="A360" t="s">
        <v>14</v>
      </c>
    </row>
    <row r="361" spans="1:1">
      <c r="A361" t="s">
        <v>15</v>
      </c>
    </row>
    <row r="362" spans="1:1">
      <c r="A362" t="s">
        <v>6</v>
      </c>
    </row>
    <row r="363" spans="1:1">
      <c r="A363" t="s">
        <v>16</v>
      </c>
    </row>
    <row r="364" spans="1:1">
      <c r="A364" t="s">
        <v>3</v>
      </c>
    </row>
    <row r="365" spans="1:1">
      <c r="A365" t="s">
        <v>2</v>
      </c>
    </row>
    <row r="366" spans="1:1">
      <c r="A366" t="s">
        <v>17</v>
      </c>
    </row>
    <row r="367" spans="1:1">
      <c r="A367" t="s">
        <v>2</v>
      </c>
    </row>
    <row r="368" spans="1:1">
      <c r="A368" t="s">
        <v>18</v>
      </c>
    </row>
    <row r="369" spans="1:4">
      <c r="A369" t="s">
        <v>10</v>
      </c>
    </row>
    <row r="370" spans="1:4">
      <c r="A370" t="s">
        <v>20</v>
      </c>
    </row>
    <row r="371" spans="1:4">
      <c r="A371">
        <v>1850.17</v>
      </c>
      <c r="D371">
        <v>-0.27318300000000001</v>
      </c>
    </row>
    <row r="372" spans="1:4">
      <c r="A372">
        <v>1851.17</v>
      </c>
      <c r="D372">
        <v>-0.25173299999999998</v>
      </c>
    </row>
    <row r="373" spans="1:4">
      <c r="A373">
        <v>1852.17</v>
      </c>
      <c r="D373">
        <v>-0.27898299999999998</v>
      </c>
    </row>
    <row r="374" spans="1:4">
      <c r="A374">
        <v>1853.17</v>
      </c>
      <c r="D374">
        <v>-0.32541700000000001</v>
      </c>
    </row>
    <row r="375" spans="1:4">
      <c r="A375">
        <v>1854.17</v>
      </c>
      <c r="D375">
        <v>-0.36413299999999998</v>
      </c>
    </row>
    <row r="376" spans="1:4">
      <c r="A376">
        <v>1855.17</v>
      </c>
      <c r="D376">
        <v>-0.37238300000000002</v>
      </c>
    </row>
    <row r="377" spans="1:4">
      <c r="A377">
        <v>1856.17</v>
      </c>
      <c r="D377">
        <v>-0.38746700000000001</v>
      </c>
    </row>
    <row r="378" spans="1:4">
      <c r="A378">
        <v>1857.17</v>
      </c>
      <c r="D378">
        <v>-0.394233</v>
      </c>
    </row>
    <row r="379" spans="1:4">
      <c r="A379">
        <v>1858.17</v>
      </c>
      <c r="D379">
        <v>-0.40363300000000002</v>
      </c>
    </row>
    <row r="380" spans="1:4">
      <c r="A380">
        <v>1859.17</v>
      </c>
      <c r="D380">
        <v>-0.366817</v>
      </c>
    </row>
    <row r="381" spans="1:4">
      <c r="A381">
        <v>1860.17</v>
      </c>
      <c r="D381">
        <v>-0.40446700000000002</v>
      </c>
    </row>
    <row r="382" spans="1:4">
      <c r="A382">
        <v>1861.17</v>
      </c>
      <c r="D382">
        <v>-0.39005000000000001</v>
      </c>
    </row>
    <row r="383" spans="1:4">
      <c r="A383">
        <v>1862.17</v>
      </c>
      <c r="D383">
        <v>-0.35844999999999999</v>
      </c>
    </row>
    <row r="384" spans="1:4">
      <c r="A384">
        <v>1863.17</v>
      </c>
      <c r="D384">
        <v>-0.31781700000000002</v>
      </c>
    </row>
    <row r="385" spans="1:4">
      <c r="A385">
        <v>1864.17</v>
      </c>
      <c r="D385">
        <v>-0.30658299999999999</v>
      </c>
    </row>
    <row r="386" spans="1:4">
      <c r="A386">
        <v>1865.17</v>
      </c>
      <c r="D386">
        <v>-0.26173299999999999</v>
      </c>
    </row>
    <row r="387" spans="1:4">
      <c r="A387">
        <v>1866.17</v>
      </c>
      <c r="D387">
        <v>-0.26116699999999998</v>
      </c>
    </row>
    <row r="388" spans="1:4">
      <c r="A388">
        <v>1867.17</v>
      </c>
      <c r="D388">
        <v>-0.27953299999999998</v>
      </c>
    </row>
    <row r="389" spans="1:4">
      <c r="A389">
        <v>1868.17</v>
      </c>
      <c r="D389">
        <v>-0.26333299999999998</v>
      </c>
    </row>
    <row r="390" spans="1:4">
      <c r="A390">
        <v>1869.17</v>
      </c>
      <c r="D390">
        <v>-0.27868300000000001</v>
      </c>
    </row>
    <row r="391" spans="1:4">
      <c r="A391">
        <v>1870.17</v>
      </c>
      <c r="D391">
        <v>-0.301983</v>
      </c>
    </row>
    <row r="392" spans="1:4">
      <c r="A392">
        <v>1871.17</v>
      </c>
      <c r="D392">
        <v>-0.33011699999999999</v>
      </c>
    </row>
    <row r="393" spans="1:4">
      <c r="A393">
        <v>1872.17</v>
      </c>
      <c r="D393">
        <v>-0.34115000000000001</v>
      </c>
    </row>
    <row r="394" spans="1:4">
      <c r="A394">
        <v>1873.17</v>
      </c>
      <c r="D394">
        <v>-0.31085000000000002</v>
      </c>
    </row>
    <row r="395" spans="1:4">
      <c r="A395">
        <v>1874.17</v>
      </c>
      <c r="D395">
        <v>-0.24313299999999999</v>
      </c>
    </row>
    <row r="396" spans="1:4">
      <c r="A396">
        <v>1875.17</v>
      </c>
      <c r="D396">
        <v>-0.21460000000000001</v>
      </c>
    </row>
    <row r="397" spans="1:4">
      <c r="A397">
        <v>1876.17</v>
      </c>
      <c r="D397">
        <v>-0.17715</v>
      </c>
    </row>
    <row r="398" spans="1:4">
      <c r="A398">
        <v>1877.17</v>
      </c>
      <c r="D398">
        <v>-0.14091699999999999</v>
      </c>
    </row>
    <row r="399" spans="1:4">
      <c r="A399">
        <v>1878.17</v>
      </c>
      <c r="D399">
        <v>-0.16855000000000001</v>
      </c>
    </row>
    <row r="400" spans="1:4">
      <c r="A400">
        <v>1879.17</v>
      </c>
      <c r="D400">
        <v>-0.23335</v>
      </c>
    </row>
    <row r="401" spans="1:4">
      <c r="A401">
        <v>1880.17</v>
      </c>
      <c r="D401">
        <v>-0.26741700000000002</v>
      </c>
    </row>
    <row r="402" spans="1:4">
      <c r="A402">
        <v>1881.17</v>
      </c>
      <c r="D402">
        <v>-0.29861700000000002</v>
      </c>
    </row>
    <row r="403" spans="1:4">
      <c r="A403">
        <v>1882.17</v>
      </c>
      <c r="D403">
        <v>-0.33055000000000001</v>
      </c>
    </row>
    <row r="404" spans="1:4">
      <c r="A404">
        <v>1883.17</v>
      </c>
      <c r="D404">
        <v>-0.37128299999999997</v>
      </c>
    </row>
    <row r="405" spans="1:4">
      <c r="A405">
        <v>1884.17</v>
      </c>
      <c r="D405">
        <v>-0.37498300000000001</v>
      </c>
    </row>
    <row r="406" spans="1:4">
      <c r="A406">
        <v>1885.17</v>
      </c>
      <c r="D406">
        <v>-0.32988299999999998</v>
      </c>
    </row>
    <row r="407" spans="1:4">
      <c r="A407">
        <v>1886.17</v>
      </c>
      <c r="D407">
        <v>-0.33800000000000002</v>
      </c>
    </row>
    <row r="408" spans="1:4">
      <c r="A408">
        <v>1887.17</v>
      </c>
      <c r="D408">
        <v>-0.33336700000000002</v>
      </c>
    </row>
    <row r="409" spans="1:4">
      <c r="A409">
        <v>1888.17</v>
      </c>
      <c r="D409">
        <v>-0.34196700000000002</v>
      </c>
    </row>
    <row r="410" spans="1:4">
      <c r="A410">
        <v>1889.17</v>
      </c>
      <c r="D410">
        <v>-0.37633299999999997</v>
      </c>
    </row>
    <row r="411" spans="1:4">
      <c r="A411">
        <v>1890.17</v>
      </c>
      <c r="D411">
        <v>-0.423483</v>
      </c>
    </row>
    <row r="412" spans="1:4">
      <c r="A412">
        <v>1891.17</v>
      </c>
      <c r="D412">
        <v>-0.41791699999999998</v>
      </c>
    </row>
    <row r="413" spans="1:4">
      <c r="A413">
        <v>1892.17</v>
      </c>
      <c r="D413">
        <v>-0.38778299999999999</v>
      </c>
    </row>
    <row r="414" spans="1:4">
      <c r="A414">
        <v>1893.17</v>
      </c>
      <c r="D414">
        <v>-0.33776699999999998</v>
      </c>
    </row>
    <row r="415" spans="1:4">
      <c r="A415">
        <v>1894.17</v>
      </c>
      <c r="D415">
        <v>-0.32353300000000002</v>
      </c>
    </row>
    <row r="416" spans="1:4">
      <c r="A416">
        <v>1895.17</v>
      </c>
      <c r="D416">
        <v>-0.29930000000000001</v>
      </c>
    </row>
    <row r="417" spans="1:4">
      <c r="A417">
        <v>1896.17</v>
      </c>
      <c r="D417">
        <v>-0.26019999999999999</v>
      </c>
    </row>
    <row r="418" spans="1:4">
      <c r="A418">
        <v>1897.17</v>
      </c>
      <c r="D418">
        <v>-0.27625</v>
      </c>
    </row>
    <row r="419" spans="1:4">
      <c r="A419">
        <v>1898.17</v>
      </c>
      <c r="D419">
        <v>-0.31661699999999998</v>
      </c>
    </row>
    <row r="420" spans="1:4">
      <c r="A420">
        <v>1899.17</v>
      </c>
      <c r="D420">
        <v>-0.33111699999999999</v>
      </c>
    </row>
    <row r="421" spans="1:4">
      <c r="A421">
        <v>1900.17</v>
      </c>
      <c r="D421">
        <v>-0.37816699999999998</v>
      </c>
    </row>
    <row r="422" spans="1:4">
      <c r="A422">
        <v>1901.17</v>
      </c>
      <c r="D422">
        <v>-0.41501700000000002</v>
      </c>
    </row>
    <row r="423" spans="1:4">
      <c r="A423">
        <v>1902.17</v>
      </c>
      <c r="D423">
        <v>-0.42021700000000001</v>
      </c>
    </row>
    <row r="424" spans="1:4">
      <c r="A424">
        <v>1903.17</v>
      </c>
      <c r="D424">
        <v>-0.433417</v>
      </c>
    </row>
    <row r="425" spans="1:4">
      <c r="A425">
        <v>1904.17</v>
      </c>
      <c r="D425">
        <v>-0.44193300000000002</v>
      </c>
    </row>
    <row r="426" spans="1:4">
      <c r="A426">
        <v>1905.17</v>
      </c>
      <c r="D426">
        <v>-0.443633</v>
      </c>
    </row>
    <row r="427" spans="1:4">
      <c r="A427">
        <v>1906.17</v>
      </c>
      <c r="D427">
        <v>-0.46639999999999998</v>
      </c>
    </row>
    <row r="428" spans="1:4">
      <c r="A428">
        <v>1907.17</v>
      </c>
      <c r="D428">
        <v>-0.51870000000000005</v>
      </c>
    </row>
    <row r="429" spans="1:4">
      <c r="A429">
        <v>1908.17</v>
      </c>
      <c r="D429">
        <v>-0.51406700000000005</v>
      </c>
    </row>
    <row r="430" spans="1:4">
      <c r="A430">
        <v>1909.17</v>
      </c>
      <c r="D430">
        <v>-0.49711699999999998</v>
      </c>
    </row>
    <row r="431" spans="1:4">
      <c r="A431">
        <v>1910.17</v>
      </c>
      <c r="D431">
        <v>-0.44224999999999998</v>
      </c>
    </row>
    <row r="432" spans="1:4">
      <c r="A432">
        <v>1911.17</v>
      </c>
      <c r="D432">
        <v>-0.37636700000000001</v>
      </c>
    </row>
    <row r="433" spans="1:4">
      <c r="A433">
        <v>1912.17</v>
      </c>
      <c r="D433">
        <v>-0.34410000000000002</v>
      </c>
    </row>
    <row r="434" spans="1:4">
      <c r="A434">
        <v>1913.17</v>
      </c>
      <c r="D434">
        <v>-0.34916700000000001</v>
      </c>
    </row>
    <row r="435" spans="1:4">
      <c r="A435">
        <v>1914.17</v>
      </c>
      <c r="D435">
        <v>-0.33133299999999999</v>
      </c>
    </row>
    <row r="436" spans="1:4">
      <c r="A436">
        <v>1915.17</v>
      </c>
      <c r="D436">
        <v>-0.33701700000000001</v>
      </c>
    </row>
    <row r="437" spans="1:4">
      <c r="A437">
        <v>1916.17</v>
      </c>
      <c r="D437">
        <v>-0.35408299999999998</v>
      </c>
    </row>
    <row r="438" spans="1:4">
      <c r="A438">
        <v>1917.17</v>
      </c>
      <c r="D438">
        <v>-0.31331700000000001</v>
      </c>
    </row>
    <row r="439" spans="1:4">
      <c r="A439">
        <v>1918.17</v>
      </c>
      <c r="D439">
        <v>-0.27934999999999999</v>
      </c>
    </row>
    <row r="440" spans="1:4">
      <c r="A440">
        <v>1919.17</v>
      </c>
      <c r="D440">
        <v>-0.26486700000000002</v>
      </c>
    </row>
    <row r="441" spans="1:4">
      <c r="A441">
        <v>1920.17</v>
      </c>
      <c r="D441">
        <v>-0.26761699999999999</v>
      </c>
    </row>
    <row r="442" spans="1:4">
      <c r="A442">
        <v>1921.17</v>
      </c>
      <c r="D442">
        <v>-0.26055</v>
      </c>
    </row>
    <row r="443" spans="1:4">
      <c r="A443">
        <v>1922.17</v>
      </c>
      <c r="D443">
        <v>-0.244367</v>
      </c>
    </row>
    <row r="444" spans="1:4">
      <c r="A444">
        <v>1923.17</v>
      </c>
      <c r="D444">
        <v>-0.22489999999999999</v>
      </c>
    </row>
    <row r="445" spans="1:4">
      <c r="A445">
        <v>1924.17</v>
      </c>
      <c r="D445">
        <v>-0.21235000000000001</v>
      </c>
    </row>
    <row r="446" spans="1:4">
      <c r="A446">
        <v>1925.17</v>
      </c>
      <c r="D446">
        <v>-0.22143299999999999</v>
      </c>
    </row>
    <row r="447" spans="1:4">
      <c r="A447">
        <v>1926.17</v>
      </c>
      <c r="D447">
        <v>-0.20505000000000001</v>
      </c>
    </row>
    <row r="448" spans="1:4">
      <c r="A448">
        <v>1927.17</v>
      </c>
      <c r="D448">
        <v>-0.19996700000000001</v>
      </c>
    </row>
    <row r="449" spans="1:4">
      <c r="A449">
        <v>1928.17</v>
      </c>
      <c r="D449">
        <v>-0.184917</v>
      </c>
    </row>
    <row r="450" spans="1:4">
      <c r="A450">
        <v>1929.17</v>
      </c>
      <c r="D450">
        <v>-0.19705</v>
      </c>
    </row>
    <row r="451" spans="1:4">
      <c r="A451">
        <v>1930.17</v>
      </c>
      <c r="D451">
        <v>-0.15346699999999999</v>
      </c>
    </row>
    <row r="452" spans="1:4">
      <c r="A452">
        <v>1931.17</v>
      </c>
      <c r="D452">
        <v>-0.16156699999999999</v>
      </c>
    </row>
    <row r="453" spans="1:4">
      <c r="A453">
        <v>1932.17</v>
      </c>
      <c r="D453">
        <v>-0.17305000000000001</v>
      </c>
    </row>
    <row r="454" spans="1:4">
      <c r="A454">
        <v>1933.17</v>
      </c>
      <c r="D454">
        <v>-0.150667</v>
      </c>
    </row>
    <row r="455" spans="1:4">
      <c r="A455">
        <v>1934.17</v>
      </c>
      <c r="D455">
        <v>-9.71167E-2</v>
      </c>
    </row>
    <row r="456" spans="1:4">
      <c r="A456">
        <v>1935.17</v>
      </c>
      <c r="D456">
        <v>-8.1966700000000003E-2</v>
      </c>
    </row>
    <row r="457" spans="1:4">
      <c r="A457">
        <v>1936.17</v>
      </c>
      <c r="D457">
        <v>-4.21833E-2</v>
      </c>
    </row>
    <row r="458" spans="1:4">
      <c r="A458">
        <v>1937.17</v>
      </c>
      <c r="D458">
        <v>-8.8333300000000003E-3</v>
      </c>
    </row>
    <row r="459" spans="1:4">
      <c r="A459">
        <v>1938.17</v>
      </c>
      <c r="D459">
        <v>-7.8666699999999992E-3</v>
      </c>
    </row>
    <row r="460" spans="1:4">
      <c r="A460">
        <v>1939.17</v>
      </c>
      <c r="D460">
        <v>-6.4333300000000001E-3</v>
      </c>
    </row>
    <row r="461" spans="1:4">
      <c r="A461">
        <v>1940.17</v>
      </c>
      <c r="D461">
        <v>3.5016699999999998E-2</v>
      </c>
    </row>
    <row r="462" spans="1:4">
      <c r="A462">
        <v>1941.17</v>
      </c>
      <c r="D462">
        <v>3.6650000000000002E-2</v>
      </c>
    </row>
    <row r="463" spans="1:4">
      <c r="A463">
        <v>1942.17</v>
      </c>
      <c r="D463">
        <v>1.8599999999999998E-2</v>
      </c>
    </row>
    <row r="464" spans="1:4">
      <c r="A464">
        <v>1943.17</v>
      </c>
      <c r="D464">
        <v>1.45833E-2</v>
      </c>
    </row>
    <row r="465" spans="1:4">
      <c r="A465">
        <v>1944.17</v>
      </c>
      <c r="D465">
        <v>7.2833300000000002E-3</v>
      </c>
    </row>
    <row r="466" spans="1:4">
      <c r="A466">
        <v>1945.17</v>
      </c>
      <c r="D466">
        <v>-3.8333300000000001E-2</v>
      </c>
    </row>
    <row r="467" spans="1:4">
      <c r="A467">
        <v>1946.17</v>
      </c>
      <c r="D467">
        <v>-7.9766699999999996E-2</v>
      </c>
    </row>
    <row r="468" spans="1:4">
      <c r="A468">
        <v>1947.17</v>
      </c>
      <c r="D468">
        <v>-7.6333300000000007E-2</v>
      </c>
    </row>
    <row r="469" spans="1:4">
      <c r="A469">
        <v>1948.17</v>
      </c>
      <c r="D469">
        <v>-6.1749999999999999E-2</v>
      </c>
    </row>
    <row r="470" spans="1:4">
      <c r="A470">
        <v>1949.17</v>
      </c>
      <c r="D470">
        <v>-3.4283300000000003E-2</v>
      </c>
    </row>
    <row r="471" spans="1:4">
      <c r="A471">
        <v>1950.17</v>
      </c>
      <c r="D471">
        <v>-4.5716699999999999E-2</v>
      </c>
    </row>
    <row r="472" spans="1:4">
      <c r="A472">
        <v>1951.17</v>
      </c>
      <c r="D472">
        <v>-4.8016700000000002E-2</v>
      </c>
    </row>
    <row r="473" spans="1:4">
      <c r="A473">
        <v>1952.17</v>
      </c>
      <c r="D473">
        <v>-9.06E-2</v>
      </c>
    </row>
    <row r="474" spans="1:4">
      <c r="A474">
        <v>1953.17</v>
      </c>
      <c r="D474">
        <v>-9.7733299999999995E-2</v>
      </c>
    </row>
    <row r="475" spans="1:4">
      <c r="A475">
        <v>1954.17</v>
      </c>
      <c r="D475">
        <v>-0.108083</v>
      </c>
    </row>
    <row r="476" spans="1:4">
      <c r="A476">
        <v>1955.17</v>
      </c>
      <c r="D476">
        <v>-7.8316700000000003E-2</v>
      </c>
    </row>
    <row r="477" spans="1:4">
      <c r="A477">
        <v>1956.17</v>
      </c>
      <c r="D477">
        <v>-5.0950000000000002E-2</v>
      </c>
    </row>
    <row r="478" spans="1:4">
      <c r="A478">
        <v>1957.17</v>
      </c>
      <c r="D478">
        <v>9.7999999999999997E-3</v>
      </c>
    </row>
    <row r="479" spans="1:4">
      <c r="A479">
        <v>1958.17</v>
      </c>
      <c r="D479">
        <v>1.43833E-2</v>
      </c>
    </row>
    <row r="480" spans="1:4">
      <c r="A480">
        <v>1959.17</v>
      </c>
      <c r="D480">
        <v>1.49333E-2</v>
      </c>
    </row>
    <row r="481" spans="1:4">
      <c r="A481">
        <v>1960.17</v>
      </c>
      <c r="D481">
        <v>-3.3099999999999997E-2</v>
      </c>
    </row>
    <row r="482" spans="1:4">
      <c r="A482">
        <v>1961.17</v>
      </c>
      <c r="D482">
        <v>-5.0983300000000002E-2</v>
      </c>
    </row>
    <row r="483" spans="1:4">
      <c r="A483">
        <v>1962.17</v>
      </c>
      <c r="D483">
        <v>-7.3183300000000007E-2</v>
      </c>
    </row>
    <row r="484" spans="1:4">
      <c r="A484">
        <v>1963.17</v>
      </c>
      <c r="D484">
        <v>-9.2100000000000001E-2</v>
      </c>
    </row>
    <row r="485" spans="1:4">
      <c r="A485">
        <v>1964.17</v>
      </c>
      <c r="D485">
        <v>-0.12438299999999999</v>
      </c>
    </row>
    <row r="486" spans="1:4">
      <c r="A486">
        <v>1965.17</v>
      </c>
      <c r="D486">
        <v>-7.3916700000000002E-2</v>
      </c>
    </row>
    <row r="487" spans="1:4">
      <c r="A487">
        <v>1966.17</v>
      </c>
      <c r="D487">
        <v>-5.1216699999999997E-2</v>
      </c>
    </row>
    <row r="488" spans="1:4">
      <c r="A488">
        <v>1967.17</v>
      </c>
      <c r="D488">
        <v>-7.3999999999999996E-2</v>
      </c>
    </row>
    <row r="489" spans="1:4">
      <c r="A489">
        <v>1968.17</v>
      </c>
      <c r="D489">
        <v>-7.2083300000000003E-2</v>
      </c>
    </row>
    <row r="490" spans="1:4">
      <c r="A490">
        <v>1969.17</v>
      </c>
      <c r="D490">
        <v>-3.7483299999999997E-2</v>
      </c>
    </row>
    <row r="491" spans="1:4">
      <c r="A491">
        <v>1970.17</v>
      </c>
      <c r="D491">
        <v>-8.5866700000000004E-2</v>
      </c>
    </row>
    <row r="492" spans="1:4">
      <c r="A492">
        <v>1971.17</v>
      </c>
      <c r="D492">
        <v>-0.109967</v>
      </c>
    </row>
    <row r="493" spans="1:4">
      <c r="A493">
        <v>1972.17</v>
      </c>
      <c r="D493">
        <v>-0.12081699999999999</v>
      </c>
    </row>
    <row r="494" spans="1:4">
      <c r="A494">
        <v>1973.17</v>
      </c>
      <c r="D494">
        <v>-9.8299999999999998E-2</v>
      </c>
    </row>
    <row r="495" spans="1:4">
      <c r="A495">
        <v>1974.17</v>
      </c>
      <c r="D495">
        <v>-0.123067</v>
      </c>
    </row>
    <row r="496" spans="1:4">
      <c r="A496">
        <v>1975.17</v>
      </c>
      <c r="D496">
        <v>-6.8816699999999995E-2</v>
      </c>
    </row>
    <row r="497" spans="1:4">
      <c r="A497">
        <v>1976.17</v>
      </c>
      <c r="D497">
        <v>-2.06E-2</v>
      </c>
    </row>
    <row r="498" spans="1:4">
      <c r="A498">
        <v>1977.17</v>
      </c>
      <c r="D498">
        <v>5.5399999999999998E-2</v>
      </c>
    </row>
    <row r="499" spans="1:4">
      <c r="A499">
        <v>1978.17</v>
      </c>
      <c r="D499">
        <v>4.8616699999999999E-2</v>
      </c>
    </row>
    <row r="500" spans="1:4">
      <c r="A500">
        <v>1979.17</v>
      </c>
      <c r="D500">
        <v>9.8616700000000002E-2</v>
      </c>
    </row>
    <row r="501" spans="1:4">
      <c r="A501">
        <v>1980.17</v>
      </c>
      <c r="D501">
        <v>8.4099999999999994E-2</v>
      </c>
    </row>
    <row r="502" spans="1:4">
      <c r="A502">
        <v>1981.17</v>
      </c>
      <c r="D502">
        <v>5.9900000000000002E-2</v>
      </c>
    </row>
    <row r="503" spans="1:4">
      <c r="A503">
        <v>1982.17</v>
      </c>
      <c r="D503">
        <v>4.0966700000000002E-2</v>
      </c>
    </row>
    <row r="504" spans="1:4">
      <c r="A504">
        <v>1983.17</v>
      </c>
      <c r="D504">
        <v>7.5233300000000003E-2</v>
      </c>
    </row>
    <row r="505" spans="1:4">
      <c r="A505">
        <v>1984.17</v>
      </c>
      <c r="D505">
        <v>7.7633300000000002E-2</v>
      </c>
    </row>
    <row r="506" spans="1:4">
      <c r="A506">
        <v>1985.17</v>
      </c>
      <c r="D506">
        <v>0.104833</v>
      </c>
    </row>
    <row r="507" spans="1:4">
      <c r="A507">
        <v>1986.17</v>
      </c>
      <c r="D507">
        <v>0.169017</v>
      </c>
    </row>
    <row r="508" spans="1:4">
      <c r="A508">
        <v>1987.17</v>
      </c>
      <c r="D508">
        <v>0.21026700000000001</v>
      </c>
    </row>
    <row r="509" spans="1:4">
      <c r="A509">
        <v>1988.17</v>
      </c>
      <c r="D509">
        <v>0.193883</v>
      </c>
    </row>
    <row r="510" spans="1:4">
      <c r="A510">
        <v>1989.17</v>
      </c>
      <c r="D510">
        <v>0.18254999999999999</v>
      </c>
    </row>
    <row r="511" spans="1:4">
      <c r="A511">
        <v>1990.17</v>
      </c>
      <c r="D511">
        <v>0.19873299999999999</v>
      </c>
    </row>
    <row r="512" spans="1:4">
      <c r="A512">
        <v>1991.17</v>
      </c>
      <c r="D512">
        <v>0.20471700000000001</v>
      </c>
    </row>
    <row r="513" spans="1:4">
      <c r="A513">
        <v>1992.17</v>
      </c>
      <c r="D513">
        <v>0.18945000000000001</v>
      </c>
    </row>
    <row r="514" spans="1:4">
      <c r="A514">
        <v>1993.17</v>
      </c>
      <c r="D514">
        <v>0.247</v>
      </c>
    </row>
    <row r="515" spans="1:4">
      <c r="A515">
        <v>1994.17</v>
      </c>
      <c r="D515">
        <v>0.32291700000000001</v>
      </c>
    </row>
    <row r="516" spans="1:4">
      <c r="A516">
        <v>1995.17</v>
      </c>
      <c r="D516">
        <v>0.342333</v>
      </c>
    </row>
    <row r="517" spans="1:4">
      <c r="A517">
        <v>1996.17</v>
      </c>
      <c r="D517">
        <v>0.33603300000000003</v>
      </c>
    </row>
    <row r="518" spans="1:4">
      <c r="A518">
        <v>1997.17</v>
      </c>
      <c r="D518">
        <v>0.38756699999999999</v>
      </c>
    </row>
    <row r="519" spans="1:4">
      <c r="A519">
        <v>1998.17</v>
      </c>
      <c r="D519">
        <v>0.40693299999999999</v>
      </c>
    </row>
    <row r="520" spans="1:4">
      <c r="A520">
        <v>1999.17</v>
      </c>
      <c r="D520">
        <v>0.40191700000000002</v>
      </c>
    </row>
    <row r="521" spans="1:4">
      <c r="A521">
        <v>2000.17</v>
      </c>
      <c r="D521">
        <v>0.42996699999999999</v>
      </c>
    </row>
    <row r="522" spans="1:4">
      <c r="A522">
        <v>2001.17</v>
      </c>
      <c r="D522">
        <v>0.47889999999999999</v>
      </c>
    </row>
    <row r="523" spans="1:4">
      <c r="A523">
        <v>2002.17</v>
      </c>
      <c r="D523">
        <v>0.49041699999999999</v>
      </c>
    </row>
    <row r="524" spans="1:4">
      <c r="A524">
        <v>2003.17</v>
      </c>
      <c r="D524">
        <v>0.48871700000000001</v>
      </c>
    </row>
    <row r="525" spans="1:4">
      <c r="A525">
        <v>2004.17</v>
      </c>
      <c r="D525">
        <v>0.46596700000000002</v>
      </c>
    </row>
    <row r="526" spans="1:4">
      <c r="A526">
        <v>2005.17</v>
      </c>
      <c r="D526">
        <v>0.47598299999999999</v>
      </c>
    </row>
    <row r="527" spans="1:4">
      <c r="A527">
        <v>2006.17</v>
      </c>
      <c r="D527">
        <v>0.47683300000000001</v>
      </c>
    </row>
    <row r="528" spans="1:4">
      <c r="A528">
        <v>2007.17</v>
      </c>
      <c r="D528">
        <v>0.45853300000000002</v>
      </c>
    </row>
    <row r="529" spans="1:4">
      <c r="A529">
        <v>2008.17</v>
      </c>
      <c r="D529">
        <v>0.44993300000000003</v>
      </c>
    </row>
    <row r="530" spans="1:4">
      <c r="A530" t="s">
        <v>11</v>
      </c>
    </row>
    <row r="531" spans="1:4">
      <c r="A531" t="s">
        <v>12</v>
      </c>
    </row>
    <row r="532" spans="1:4">
      <c r="A532" t="s">
        <v>26</v>
      </c>
    </row>
    <row r="533" spans="1:4">
      <c r="A533" t="s">
        <v>13</v>
      </c>
    </row>
    <row r="534" spans="1:4">
      <c r="A534" t="s">
        <v>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HAD global</vt:lpstr>
      <vt:lpstr>with offset</vt:lpstr>
      <vt:lpstr>'HAD global'!_5</vt:lpstr>
      <vt:lpstr>'with offset'!_5</vt:lpstr>
      <vt:lpstr>Fraction</vt:lpstr>
      <vt:lpstr>Land</vt:lpstr>
      <vt:lpstr>Ocean</vt:lpstr>
      <vt:lpstr>Offset</vt:lpstr>
    </vt:vector>
  </TitlesOfParts>
  <Company>Customer Solutions BAE Systems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pukitepa</dc:creator>
  <cp:lastModifiedBy>pukitepa</cp:lastModifiedBy>
  <cp:lastPrinted>2013-05-01T23:36:08Z</cp:lastPrinted>
  <dcterms:created xsi:type="dcterms:W3CDTF">2013-05-01T23:30:09Z</dcterms:created>
  <dcterms:modified xsi:type="dcterms:W3CDTF">2013-05-02T22:40:41Z</dcterms:modified>
</cp:coreProperties>
</file>