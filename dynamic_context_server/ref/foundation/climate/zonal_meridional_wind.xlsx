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" yWindow="2490" windowWidth="16815" windowHeight="9975" activeTab="2"/>
  </bookViews>
  <sheets>
    <sheet name="Sheet1" sheetId="1" r:id="rId1"/>
    <sheet name="Sheet3" sheetId="3" r:id="rId2"/>
    <sheet name="Sheet1 (2)" sheetId="4" r:id="rId3"/>
  </sheets>
  <definedNames>
    <definedName name="alpha" localSheetId="2">'Sheet1 (2)'!$G$1</definedName>
    <definedName name="alpha">Sheet1!$F$1</definedName>
    <definedName name="beta" localSheetId="2">'Sheet1 (2)'!$H$1</definedName>
    <definedName name="beta">Sheet1!$G$1</definedName>
    <definedName name="Damp">'Sheet1 (2)'!$F$3</definedName>
    <definedName name="I" localSheetId="2">'Sheet1 (2)'!$G$2</definedName>
    <definedName name="I">Sheet1!$F$2</definedName>
    <definedName name="Int" localSheetId="2">'Sheet1 (2)'!$H$2</definedName>
    <definedName name="Int">Sheet1!$G$2</definedName>
    <definedName name="Intensity">'Sheet1 (2)'!$F$2</definedName>
    <definedName name="L" localSheetId="2">'Sheet1 (2)'!$G$3</definedName>
    <definedName name="L">Sheet1!$F$3</definedName>
    <definedName name="Shift">'Sheet1 (2)'!$F$1</definedName>
  </definedNames>
  <calcPr calcId="125725"/>
</workbook>
</file>

<file path=xl/calcChain.xml><?xml version="1.0" encoding="utf-8"?>
<calcChain xmlns="http://schemas.openxmlformats.org/spreadsheetml/2006/main">
  <c r="F295" i="4"/>
  <c r="F294"/>
  <c r="F286"/>
  <c r="F278"/>
  <c r="F270"/>
  <c r="F262"/>
  <c r="F254"/>
  <c r="F246"/>
  <c r="F238"/>
  <c r="F230"/>
  <c r="F222"/>
  <c r="F214"/>
  <c r="F206"/>
  <c r="F198"/>
  <c r="F190"/>
  <c r="F182"/>
  <c r="F174"/>
  <c r="F166"/>
  <c r="F158"/>
  <c r="F150"/>
  <c r="F142"/>
  <c r="F134"/>
  <c r="F126"/>
  <c r="F118"/>
  <c r="F110"/>
  <c r="F102"/>
  <c r="F94"/>
  <c r="F86"/>
  <c r="F78"/>
  <c r="F70"/>
  <c r="F62"/>
  <c r="F54"/>
  <c r="F46"/>
  <c r="F38"/>
  <c r="F37"/>
  <c r="F30"/>
  <c r="F29"/>
  <c r="F22"/>
  <c r="F21"/>
  <c r="F14"/>
  <c r="F13"/>
  <c r="F6"/>
  <c r="F5"/>
  <c r="F45" l="1"/>
  <c r="F53"/>
  <c r="F61"/>
  <c r="F69"/>
  <c r="F77"/>
  <c r="F85"/>
  <c r="F93"/>
  <c r="F101"/>
  <c r="F109"/>
  <c r="F117"/>
  <c r="F125"/>
  <c r="F133"/>
  <c r="F141"/>
  <c r="F149"/>
  <c r="F157"/>
  <c r="F165"/>
  <c r="F173"/>
  <c r="F181"/>
  <c r="F189"/>
  <c r="F197"/>
  <c r="F205"/>
  <c r="F213"/>
  <c r="F221"/>
  <c r="F229"/>
  <c r="F237"/>
  <c r="F245"/>
  <c r="F253"/>
  <c r="F261"/>
  <c r="F269"/>
  <c r="F277"/>
  <c r="F285"/>
  <c r="F293"/>
  <c r="F301"/>
  <c r="F12"/>
  <c r="F20"/>
  <c r="F28"/>
  <c r="F36"/>
  <c r="F44"/>
  <c r="F52"/>
  <c r="F60"/>
  <c r="F68"/>
  <c r="F76"/>
  <c r="F84"/>
  <c r="F92"/>
  <c r="F100"/>
  <c r="F108"/>
  <c r="F116"/>
  <c r="F124"/>
  <c r="F132"/>
  <c r="F140"/>
  <c r="F148"/>
  <c r="F156"/>
  <c r="F164"/>
  <c r="F172"/>
  <c r="F180"/>
  <c r="F188"/>
  <c r="F196"/>
  <c r="F204"/>
  <c r="F212"/>
  <c r="F220"/>
  <c r="F228"/>
  <c r="F236"/>
  <c r="F244"/>
  <c r="F252"/>
  <c r="F260"/>
  <c r="F268"/>
  <c r="F276"/>
  <c r="F284"/>
  <c r="F292"/>
  <c r="F300"/>
  <c r="F11"/>
  <c r="F19"/>
  <c r="F27"/>
  <c r="F35"/>
  <c r="F43"/>
  <c r="F51"/>
  <c r="F59"/>
  <c r="F67"/>
  <c r="F75"/>
  <c r="F83"/>
  <c r="F91"/>
  <c r="F99"/>
  <c r="F107"/>
  <c r="F115"/>
  <c r="F123"/>
  <c r="F131"/>
  <c r="F139"/>
  <c r="F147"/>
  <c r="F155"/>
  <c r="F163"/>
  <c r="F171"/>
  <c r="F179"/>
  <c r="F187"/>
  <c r="F195"/>
  <c r="F203"/>
  <c r="F211"/>
  <c r="F219"/>
  <c r="F227"/>
  <c r="F235"/>
  <c r="F243"/>
  <c r="F251"/>
  <c r="F259"/>
  <c r="F267"/>
  <c r="F275"/>
  <c r="F283"/>
  <c r="F291"/>
  <c r="F299"/>
  <c r="F10"/>
  <c r="F18"/>
  <c r="F26"/>
  <c r="F34"/>
  <c r="F42"/>
  <c r="F50"/>
  <c r="F58"/>
  <c r="F66"/>
  <c r="F74"/>
  <c r="F82"/>
  <c r="F90"/>
  <c r="F98"/>
  <c r="F106"/>
  <c r="F114"/>
  <c r="F122"/>
  <c r="F130"/>
  <c r="F138"/>
  <c r="F146"/>
  <c r="F154"/>
  <c r="F162"/>
  <c r="F170"/>
  <c r="F178"/>
  <c r="F186"/>
  <c r="F194"/>
  <c r="F202"/>
  <c r="F210"/>
  <c r="F218"/>
  <c r="F226"/>
  <c r="F234"/>
  <c r="F242"/>
  <c r="F250"/>
  <c r="F258"/>
  <c r="F266"/>
  <c r="F274"/>
  <c r="F282"/>
  <c r="F290"/>
  <c r="F298"/>
  <c r="F9"/>
  <c r="F17"/>
  <c r="F25"/>
  <c r="F33"/>
  <c r="F41"/>
  <c r="F49"/>
  <c r="F57"/>
  <c r="F65"/>
  <c r="F73"/>
  <c r="F81"/>
  <c r="F89"/>
  <c r="F97"/>
  <c r="F105"/>
  <c r="F113"/>
  <c r="F121"/>
  <c r="F129"/>
  <c r="F137"/>
  <c r="F145"/>
  <c r="F153"/>
  <c r="F161"/>
  <c r="F169"/>
  <c r="F177"/>
  <c r="F185"/>
  <c r="F193"/>
  <c r="F201"/>
  <c r="F209"/>
  <c r="F217"/>
  <c r="F225"/>
  <c r="F233"/>
  <c r="F241"/>
  <c r="F249"/>
  <c r="F257"/>
  <c r="F265"/>
  <c r="F273"/>
  <c r="F281"/>
  <c r="F289"/>
  <c r="F297"/>
  <c r="F8"/>
  <c r="F16"/>
  <c r="F24"/>
  <c r="F32"/>
  <c r="F40"/>
  <c r="F48"/>
  <c r="F56"/>
  <c r="F64"/>
  <c r="F72"/>
  <c r="F80"/>
  <c r="F88"/>
  <c r="F96"/>
  <c r="F104"/>
  <c r="F112"/>
  <c r="F120"/>
  <c r="F128"/>
  <c r="F136"/>
  <c r="F144"/>
  <c r="F152"/>
  <c r="F160"/>
  <c r="F168"/>
  <c r="F176"/>
  <c r="F184"/>
  <c r="F192"/>
  <c r="F200"/>
  <c r="F208"/>
  <c r="F216"/>
  <c r="F224"/>
  <c r="F232"/>
  <c r="F240"/>
  <c r="F248"/>
  <c r="F256"/>
  <c r="F264"/>
  <c r="F272"/>
  <c r="F280"/>
  <c r="F288"/>
  <c r="F296"/>
  <c r="F7"/>
  <c r="F15"/>
  <c r="F23"/>
  <c r="F31"/>
  <c r="F39"/>
  <c r="F47"/>
  <c r="F55"/>
  <c r="F63"/>
  <c r="F71"/>
  <c r="F79"/>
  <c r="F87"/>
  <c r="F95"/>
  <c r="F103"/>
  <c r="F111"/>
  <c r="F119"/>
  <c r="F127"/>
  <c r="F135"/>
  <c r="F143"/>
  <c r="F151"/>
  <c r="F159"/>
  <c r="F167"/>
  <c r="F175"/>
  <c r="F183"/>
  <c r="F191"/>
  <c r="F199"/>
  <c r="F207"/>
  <c r="F215"/>
  <c r="F223"/>
  <c r="F231"/>
  <c r="F239"/>
  <c r="F247"/>
  <c r="F255"/>
  <c r="F263"/>
  <c r="F271"/>
  <c r="F279"/>
  <c r="F287"/>
  <c r="E301" l="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A6"/>
  <c r="B6" s="1"/>
  <c r="B5"/>
  <c r="C5" s="1"/>
  <c r="E5" i="1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C6" i="4" l="1"/>
  <c r="D6"/>
  <c r="G6"/>
  <c r="H6"/>
  <c r="H5"/>
  <c r="A7"/>
  <c r="G5"/>
  <c r="D5"/>
  <c r="S54" i="1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R54"/>
  <c r="R232"/>
  <c r="R231"/>
  <c r="R230"/>
  <c r="R229"/>
  <c r="R228"/>
  <c r="R227"/>
  <c r="R226"/>
  <c r="R225"/>
  <c r="R224"/>
  <c r="R223"/>
  <c r="R222"/>
  <c r="R221"/>
  <c r="R220"/>
  <c r="R219"/>
  <c r="R218"/>
  <c r="R217"/>
  <c r="R216"/>
  <c r="R215"/>
  <c r="R214"/>
  <c r="R213"/>
  <c r="R212"/>
  <c r="R211"/>
  <c r="R210"/>
  <c r="R209"/>
  <c r="R208"/>
  <c r="R207"/>
  <c r="R206"/>
  <c r="R205"/>
  <c r="R204"/>
  <c r="R203"/>
  <c r="R202"/>
  <c r="R201"/>
  <c r="R200"/>
  <c r="R199"/>
  <c r="R198"/>
  <c r="R197"/>
  <c r="R196"/>
  <c r="R195"/>
  <c r="R194"/>
  <c r="R193"/>
  <c r="R192"/>
  <c r="R191"/>
  <c r="R190"/>
  <c r="R189"/>
  <c r="R188"/>
  <c r="R187"/>
  <c r="R186"/>
  <c r="R185"/>
  <c r="R184"/>
  <c r="R183"/>
  <c r="R182"/>
  <c r="R181"/>
  <c r="R180"/>
  <c r="R179"/>
  <c r="R178"/>
  <c r="R177"/>
  <c r="R176"/>
  <c r="R175"/>
  <c r="R174"/>
  <c r="R173"/>
  <c r="R172"/>
  <c r="R171"/>
  <c r="R170"/>
  <c r="R169"/>
  <c r="R168"/>
  <c r="R167"/>
  <c r="R166"/>
  <c r="R165"/>
  <c r="R164"/>
  <c r="R163"/>
  <c r="R162"/>
  <c r="R161"/>
  <c r="R160"/>
  <c r="R159"/>
  <c r="R158"/>
  <c r="R157"/>
  <c r="R156"/>
  <c r="R155"/>
  <c r="R154"/>
  <c r="R153"/>
  <c r="R152"/>
  <c r="R151"/>
  <c r="R150"/>
  <c r="R149"/>
  <c r="R148"/>
  <c r="R147"/>
  <c r="R146"/>
  <c r="R145"/>
  <c r="R144"/>
  <c r="R143"/>
  <c r="R142"/>
  <c r="R141"/>
  <c r="R140"/>
  <c r="R139"/>
  <c r="R138"/>
  <c r="R137"/>
  <c r="R136"/>
  <c r="R135"/>
  <c r="R134"/>
  <c r="R133"/>
  <c r="R132"/>
  <c r="R131"/>
  <c r="R130"/>
  <c r="R129"/>
  <c r="R128"/>
  <c r="R127"/>
  <c r="R126"/>
  <c r="R125"/>
  <c r="R124"/>
  <c r="R123"/>
  <c r="R122"/>
  <c r="R121"/>
  <c r="R120"/>
  <c r="R119"/>
  <c r="R118"/>
  <c r="R117"/>
  <c r="R116"/>
  <c r="R115"/>
  <c r="R114"/>
  <c r="R113"/>
  <c r="R112"/>
  <c r="R111"/>
  <c r="R110"/>
  <c r="R109"/>
  <c r="R108"/>
  <c r="R107"/>
  <c r="R106"/>
  <c r="R105"/>
  <c r="R104"/>
  <c r="R103"/>
  <c r="R102"/>
  <c r="R101"/>
  <c r="R100"/>
  <c r="R99"/>
  <c r="R98"/>
  <c r="R97"/>
  <c r="R96"/>
  <c r="R95"/>
  <c r="R94"/>
  <c r="R93"/>
  <c r="R92"/>
  <c r="R91"/>
  <c r="R90"/>
  <c r="R89"/>
  <c r="R88"/>
  <c r="R87"/>
  <c r="R86"/>
  <c r="R85"/>
  <c r="R84"/>
  <c r="R83"/>
  <c r="R82"/>
  <c r="R81"/>
  <c r="R80"/>
  <c r="R79"/>
  <c r="R78"/>
  <c r="R77"/>
  <c r="R76"/>
  <c r="R75"/>
  <c r="R74"/>
  <c r="R73"/>
  <c r="R72"/>
  <c r="R71"/>
  <c r="R70"/>
  <c r="R69"/>
  <c r="R68"/>
  <c r="R67"/>
  <c r="R66"/>
  <c r="R65"/>
  <c r="R64"/>
  <c r="R63"/>
  <c r="R62"/>
  <c r="R61"/>
  <c r="R60"/>
  <c r="R59"/>
  <c r="R58"/>
  <c r="R57"/>
  <c r="R56"/>
  <c r="R55"/>
  <c r="Q54"/>
  <c r="Q232"/>
  <c r="Q231"/>
  <c r="Q230"/>
  <c r="Q229"/>
  <c r="Q228"/>
  <c r="Q227"/>
  <c r="Q226"/>
  <c r="Q225"/>
  <c r="Q224"/>
  <c r="Q223"/>
  <c r="Q222"/>
  <c r="Q221"/>
  <c r="Q220"/>
  <c r="Q219"/>
  <c r="Q218"/>
  <c r="Q217"/>
  <c r="Q216"/>
  <c r="Q215"/>
  <c r="Q214"/>
  <c r="Q213"/>
  <c r="Q212"/>
  <c r="Q211"/>
  <c r="Q210"/>
  <c r="Q209"/>
  <c r="Q208"/>
  <c r="Q207"/>
  <c r="Q206"/>
  <c r="Q205"/>
  <c r="Q204"/>
  <c r="Q203"/>
  <c r="Q202"/>
  <c r="Q201"/>
  <c r="Q200"/>
  <c r="Q199"/>
  <c r="Q198"/>
  <c r="Q197"/>
  <c r="Q196"/>
  <c r="Q195"/>
  <c r="Q194"/>
  <c r="Q193"/>
  <c r="Q192"/>
  <c r="Q191"/>
  <c r="Q190"/>
  <c r="Q189"/>
  <c r="Q188"/>
  <c r="Q187"/>
  <c r="Q186"/>
  <c r="Q185"/>
  <c r="Q184"/>
  <c r="Q183"/>
  <c r="Q182"/>
  <c r="Q181"/>
  <c r="Q180"/>
  <c r="Q179"/>
  <c r="Q178"/>
  <c r="Q177"/>
  <c r="Q176"/>
  <c r="Q175"/>
  <c r="Q174"/>
  <c r="Q173"/>
  <c r="Q172"/>
  <c r="Q171"/>
  <c r="Q170"/>
  <c r="Q169"/>
  <c r="Q168"/>
  <c r="Q167"/>
  <c r="Q166"/>
  <c r="Q165"/>
  <c r="Q164"/>
  <c r="Q163"/>
  <c r="Q162"/>
  <c r="Q161"/>
  <c r="Q160"/>
  <c r="Q159"/>
  <c r="Q158"/>
  <c r="Q157"/>
  <c r="Q156"/>
  <c r="Q155"/>
  <c r="Q154"/>
  <c r="Q153"/>
  <c r="Q152"/>
  <c r="Q151"/>
  <c r="Q150"/>
  <c r="Q149"/>
  <c r="Q148"/>
  <c r="Q147"/>
  <c r="Q146"/>
  <c r="Q145"/>
  <c r="Q144"/>
  <c r="Q143"/>
  <c r="Q142"/>
  <c r="Q141"/>
  <c r="Q140"/>
  <c r="Q139"/>
  <c r="Q138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O54"/>
  <c r="O233"/>
  <c r="O232"/>
  <c r="O231"/>
  <c r="O230"/>
  <c r="O229"/>
  <c r="O228"/>
  <c r="O227"/>
  <c r="O226"/>
  <c r="O225"/>
  <c r="O224"/>
  <c r="O223"/>
  <c r="O222"/>
  <c r="O221"/>
  <c r="O220"/>
  <c r="O219"/>
  <c r="O218"/>
  <c r="O217"/>
  <c r="O216"/>
  <c r="O215"/>
  <c r="O214"/>
  <c r="O213"/>
  <c r="O212"/>
  <c r="O211"/>
  <c r="O210"/>
  <c r="O209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86"/>
  <c r="O185"/>
  <c r="O184"/>
  <c r="O183"/>
  <c r="O182"/>
  <c r="O181"/>
  <c r="O180"/>
  <c r="O179"/>
  <c r="O178"/>
  <c r="O177"/>
  <c r="O176"/>
  <c r="O175"/>
  <c r="O174"/>
  <c r="O173"/>
  <c r="O172"/>
  <c r="O171"/>
  <c r="O170"/>
  <c r="O169"/>
  <c r="O168"/>
  <c r="O167"/>
  <c r="O166"/>
  <c r="O165"/>
  <c r="O164"/>
  <c r="O163"/>
  <c r="O162"/>
  <c r="O161"/>
  <c r="O160"/>
  <c r="O159"/>
  <c r="O158"/>
  <c r="O157"/>
  <c r="O156"/>
  <c r="O155"/>
  <c r="O154"/>
  <c r="O153"/>
  <c r="O152"/>
  <c r="O151"/>
  <c r="O150"/>
  <c r="O149"/>
  <c r="O148"/>
  <c r="O147"/>
  <c r="O146"/>
  <c r="O145"/>
  <c r="O144"/>
  <c r="O143"/>
  <c r="O142"/>
  <c r="O141"/>
  <c r="O140"/>
  <c r="O139"/>
  <c r="O138"/>
  <c r="O137"/>
  <c r="O136"/>
  <c r="O135"/>
  <c r="O134"/>
  <c r="O133"/>
  <c r="O132"/>
  <c r="O131"/>
  <c r="O130"/>
  <c r="O129"/>
  <c r="O128"/>
  <c r="O127"/>
  <c r="O126"/>
  <c r="O125"/>
  <c r="O124"/>
  <c r="O123"/>
  <c r="O122"/>
  <c r="O121"/>
  <c r="O120"/>
  <c r="O119"/>
  <c r="O118"/>
  <c r="O117"/>
  <c r="O116"/>
  <c r="O115"/>
  <c r="O114"/>
  <c r="O113"/>
  <c r="O112"/>
  <c r="O111"/>
  <c r="O110"/>
  <c r="O109"/>
  <c r="O108"/>
  <c r="O107"/>
  <c r="O106"/>
  <c r="O105"/>
  <c r="O104"/>
  <c r="O103"/>
  <c r="O102"/>
  <c r="O101"/>
  <c r="O100"/>
  <c r="O99"/>
  <c r="O98"/>
  <c r="O97"/>
  <c r="O96"/>
  <c r="O95"/>
  <c r="O94"/>
  <c r="O93"/>
  <c r="O92"/>
  <c r="O91"/>
  <c r="O90"/>
  <c r="O89"/>
  <c r="O88"/>
  <c r="O87"/>
  <c r="O86"/>
  <c r="O85"/>
  <c r="O84"/>
  <c r="O83"/>
  <c r="O82"/>
  <c r="O81"/>
  <c r="O80"/>
  <c r="O79"/>
  <c r="O78"/>
  <c r="O77"/>
  <c r="O76"/>
  <c r="O75"/>
  <c r="O74"/>
  <c r="O73"/>
  <c r="O72"/>
  <c r="O71"/>
  <c r="O70"/>
  <c r="O69"/>
  <c r="O68"/>
  <c r="O67"/>
  <c r="O66"/>
  <c r="O65"/>
  <c r="O64"/>
  <c r="O63"/>
  <c r="O62"/>
  <c r="O61"/>
  <c r="O60"/>
  <c r="O59"/>
  <c r="O58"/>
  <c r="O57"/>
  <c r="O56"/>
  <c r="O55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N55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C128" i="3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2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3"/>
  <c r="D5" i="1"/>
  <c r="C5"/>
  <c r="B5"/>
  <c r="A6"/>
  <c r="B6" s="1"/>
  <c r="C6" s="1"/>
  <c r="B7" i="4" l="1"/>
  <c r="A8"/>
  <c r="D6" i="1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C7" i="4" l="1"/>
  <c r="D7"/>
  <c r="G7"/>
  <c r="H7"/>
  <c r="A9"/>
  <c r="B8"/>
  <c r="B27" i="1"/>
  <c r="B11"/>
  <c r="B19"/>
  <c r="B20"/>
  <c r="B7"/>
  <c r="B12"/>
  <c r="B67"/>
  <c r="B47"/>
  <c r="B83"/>
  <c r="B35"/>
  <c r="B84"/>
  <c r="B32"/>
  <c r="B52"/>
  <c r="B59"/>
  <c r="B99"/>
  <c r="B63"/>
  <c r="B43"/>
  <c r="B23"/>
  <c r="B36"/>
  <c r="B16"/>
  <c r="B75"/>
  <c r="B51"/>
  <c r="B31"/>
  <c r="B15"/>
  <c r="B68"/>
  <c r="B28"/>
  <c r="B29"/>
  <c r="B162"/>
  <c r="A163"/>
  <c r="C35"/>
  <c r="D35"/>
  <c r="C19"/>
  <c r="D19"/>
  <c r="C84"/>
  <c r="D84"/>
  <c r="K84" s="1"/>
  <c r="C68"/>
  <c r="D68"/>
  <c r="K68" s="1"/>
  <c r="C52"/>
  <c r="D52"/>
  <c r="C36"/>
  <c r="D36"/>
  <c r="C20"/>
  <c r="D20"/>
  <c r="C29"/>
  <c r="D29"/>
  <c r="C23"/>
  <c r="D23"/>
  <c r="C7"/>
  <c r="D7"/>
  <c r="B160"/>
  <c r="B128"/>
  <c r="B104"/>
  <c r="B157"/>
  <c r="B93"/>
  <c r="B134"/>
  <c r="B70"/>
  <c r="B151"/>
  <c r="B135"/>
  <c r="B119"/>
  <c r="B103"/>
  <c r="B87"/>
  <c r="B71"/>
  <c r="B55"/>
  <c r="B39"/>
  <c r="B132"/>
  <c r="B112"/>
  <c r="B88"/>
  <c r="B72"/>
  <c r="B56"/>
  <c r="B40"/>
  <c r="B24"/>
  <c r="B8"/>
  <c r="B109"/>
  <c r="B45"/>
  <c r="B150"/>
  <c r="B86"/>
  <c r="B22"/>
  <c r="C99"/>
  <c r="D99"/>
  <c r="K99" s="1"/>
  <c r="C51"/>
  <c r="D51"/>
  <c r="C75"/>
  <c r="D75"/>
  <c r="K75" s="1"/>
  <c r="C59"/>
  <c r="D59"/>
  <c r="K59" s="1"/>
  <c r="C43"/>
  <c r="D43"/>
  <c r="C27"/>
  <c r="D27"/>
  <c r="C11"/>
  <c r="D11"/>
  <c r="C28"/>
  <c r="D28"/>
  <c r="C12"/>
  <c r="D12"/>
  <c r="B147"/>
  <c r="B155"/>
  <c r="B139"/>
  <c r="B123"/>
  <c r="B107"/>
  <c r="B91"/>
  <c r="B144"/>
  <c r="B116"/>
  <c r="B96"/>
  <c r="B76"/>
  <c r="B60"/>
  <c r="B44"/>
  <c r="B125"/>
  <c r="B61"/>
  <c r="B9"/>
  <c r="B102"/>
  <c r="B38"/>
  <c r="C67"/>
  <c r="D67"/>
  <c r="K67" s="1"/>
  <c r="C63"/>
  <c r="D63"/>
  <c r="K63" s="1"/>
  <c r="C47"/>
  <c r="D47"/>
  <c r="C31"/>
  <c r="D31"/>
  <c r="C15"/>
  <c r="D15"/>
  <c r="C32"/>
  <c r="D32"/>
  <c r="C16"/>
  <c r="D16"/>
  <c r="B131"/>
  <c r="B115"/>
  <c r="B159"/>
  <c r="B143"/>
  <c r="B127"/>
  <c r="B111"/>
  <c r="B95"/>
  <c r="B79"/>
  <c r="B148"/>
  <c r="B120"/>
  <c r="B100"/>
  <c r="B80"/>
  <c r="B64"/>
  <c r="B48"/>
  <c r="B141"/>
  <c r="B77"/>
  <c r="B13"/>
  <c r="B118"/>
  <c r="B54"/>
  <c r="B161"/>
  <c r="B145"/>
  <c r="B129"/>
  <c r="B113"/>
  <c r="B97"/>
  <c r="B81"/>
  <c r="B65"/>
  <c r="B49"/>
  <c r="B33"/>
  <c r="B17"/>
  <c r="B154"/>
  <c r="B138"/>
  <c r="B122"/>
  <c r="B106"/>
  <c r="B90"/>
  <c r="B74"/>
  <c r="B58"/>
  <c r="B42"/>
  <c r="B26"/>
  <c r="B10"/>
  <c r="B152"/>
  <c r="B136"/>
  <c r="B149"/>
  <c r="B133"/>
  <c r="B117"/>
  <c r="B101"/>
  <c r="B85"/>
  <c r="B69"/>
  <c r="B53"/>
  <c r="B37"/>
  <c r="B21"/>
  <c r="B158"/>
  <c r="B142"/>
  <c r="B126"/>
  <c r="B110"/>
  <c r="B94"/>
  <c r="B78"/>
  <c r="B62"/>
  <c r="B46"/>
  <c r="B30"/>
  <c r="B14"/>
  <c r="B156"/>
  <c r="B140"/>
  <c r="B124"/>
  <c r="B108"/>
  <c r="B92"/>
  <c r="B153"/>
  <c r="B137"/>
  <c r="B121"/>
  <c r="B105"/>
  <c r="B89"/>
  <c r="B73"/>
  <c r="B57"/>
  <c r="B41"/>
  <c r="B25"/>
  <c r="B146"/>
  <c r="B130"/>
  <c r="B114"/>
  <c r="B98"/>
  <c r="B82"/>
  <c r="B66"/>
  <c r="B50"/>
  <c r="B34"/>
  <c r="B18"/>
  <c r="A10" i="4" l="1"/>
  <c r="B9"/>
  <c r="C8"/>
  <c r="D8"/>
  <c r="G8"/>
  <c r="H8"/>
  <c r="D83" i="1"/>
  <c r="K83" s="1"/>
  <c r="C83"/>
  <c r="C114"/>
  <c r="D114"/>
  <c r="K114" s="1"/>
  <c r="C105"/>
  <c r="D105"/>
  <c r="K105" s="1"/>
  <c r="C62"/>
  <c r="D62"/>
  <c r="K62" s="1"/>
  <c r="C34"/>
  <c r="D34"/>
  <c r="C98"/>
  <c r="D98"/>
  <c r="K98" s="1"/>
  <c r="C89"/>
  <c r="D89"/>
  <c r="K89" s="1"/>
  <c r="C153"/>
  <c r="D153"/>
  <c r="K153" s="1"/>
  <c r="C46"/>
  <c r="D46"/>
  <c r="C85"/>
  <c r="D85"/>
  <c r="K85" s="1"/>
  <c r="C26"/>
  <c r="D26"/>
  <c r="C154"/>
  <c r="D154"/>
  <c r="K154" s="1"/>
  <c r="C129"/>
  <c r="D129"/>
  <c r="K129" s="1"/>
  <c r="C82"/>
  <c r="D82"/>
  <c r="K82" s="1"/>
  <c r="C73"/>
  <c r="D73"/>
  <c r="K73" s="1"/>
  <c r="C137"/>
  <c r="D137"/>
  <c r="K137" s="1"/>
  <c r="C124"/>
  <c r="D124"/>
  <c r="K124" s="1"/>
  <c r="C30"/>
  <c r="D30"/>
  <c r="C94"/>
  <c r="D94"/>
  <c r="K94" s="1"/>
  <c r="C158"/>
  <c r="D158"/>
  <c r="K158" s="1"/>
  <c r="C69"/>
  <c r="D69"/>
  <c r="K69" s="1"/>
  <c r="C133"/>
  <c r="D133"/>
  <c r="K133" s="1"/>
  <c r="C10"/>
  <c r="D10"/>
  <c r="C74"/>
  <c r="D74"/>
  <c r="K74" s="1"/>
  <c r="C138"/>
  <c r="D138"/>
  <c r="K138" s="1"/>
  <c r="C49"/>
  <c r="D49"/>
  <c r="C113"/>
  <c r="D113"/>
  <c r="K113" s="1"/>
  <c r="C13"/>
  <c r="D13"/>
  <c r="C64"/>
  <c r="D64"/>
  <c r="K64" s="1"/>
  <c r="C148"/>
  <c r="D148"/>
  <c r="K148" s="1"/>
  <c r="C127"/>
  <c r="D127"/>
  <c r="K127" s="1"/>
  <c r="C131"/>
  <c r="D131"/>
  <c r="K131" s="1"/>
  <c r="C9"/>
  <c r="D9"/>
  <c r="C60"/>
  <c r="D60"/>
  <c r="K60" s="1"/>
  <c r="C144"/>
  <c r="D144"/>
  <c r="K144" s="1"/>
  <c r="C139"/>
  <c r="D139"/>
  <c r="K139" s="1"/>
  <c r="C150"/>
  <c r="D150"/>
  <c r="K150" s="1"/>
  <c r="C24"/>
  <c r="D24"/>
  <c r="C88"/>
  <c r="D88"/>
  <c r="K88" s="1"/>
  <c r="C55"/>
  <c r="D55"/>
  <c r="K55" s="1"/>
  <c r="C119"/>
  <c r="D119"/>
  <c r="K119" s="1"/>
  <c r="C134"/>
  <c r="D134"/>
  <c r="K134" s="1"/>
  <c r="C128"/>
  <c r="D128"/>
  <c r="K128" s="1"/>
  <c r="C162"/>
  <c r="D162"/>
  <c r="K162" s="1"/>
  <c r="C41"/>
  <c r="D41"/>
  <c r="C92"/>
  <c r="D92"/>
  <c r="K92" s="1"/>
  <c r="C126"/>
  <c r="D126"/>
  <c r="K126" s="1"/>
  <c r="C25"/>
  <c r="D25"/>
  <c r="C140"/>
  <c r="D140"/>
  <c r="K140" s="1"/>
  <c r="C21"/>
  <c r="D21"/>
  <c r="C149"/>
  <c r="D149"/>
  <c r="K149" s="1"/>
  <c r="C90"/>
  <c r="D90"/>
  <c r="K90" s="1"/>
  <c r="C77"/>
  <c r="D77"/>
  <c r="K77" s="1"/>
  <c r="C18"/>
  <c r="D18"/>
  <c r="C146"/>
  <c r="D146"/>
  <c r="K146" s="1"/>
  <c r="C66"/>
  <c r="D66"/>
  <c r="K66" s="1"/>
  <c r="C130"/>
  <c r="D130"/>
  <c r="K130" s="1"/>
  <c r="C57"/>
  <c r="D57"/>
  <c r="K57" s="1"/>
  <c r="C121"/>
  <c r="D121"/>
  <c r="K121" s="1"/>
  <c r="C108"/>
  <c r="D108"/>
  <c r="K108" s="1"/>
  <c r="C14"/>
  <c r="D14"/>
  <c r="C78"/>
  <c r="D78"/>
  <c r="K78" s="1"/>
  <c r="C142"/>
  <c r="D142"/>
  <c r="K142" s="1"/>
  <c r="C53"/>
  <c r="D53"/>
  <c r="C117"/>
  <c r="D117"/>
  <c r="K117" s="1"/>
  <c r="C152"/>
  <c r="D152"/>
  <c r="K152" s="1"/>
  <c r="C58"/>
  <c r="D58"/>
  <c r="K58" s="1"/>
  <c r="C122"/>
  <c r="D122"/>
  <c r="K122" s="1"/>
  <c r="C33"/>
  <c r="D33"/>
  <c r="C97"/>
  <c r="D97"/>
  <c r="K97" s="1"/>
  <c r="C161"/>
  <c r="D161"/>
  <c r="K161" s="1"/>
  <c r="C118"/>
  <c r="D118"/>
  <c r="K118" s="1"/>
  <c r="C48"/>
  <c r="D48"/>
  <c r="C120"/>
  <c r="D120"/>
  <c r="K120" s="1"/>
  <c r="C111"/>
  <c r="D111"/>
  <c r="K111" s="1"/>
  <c r="C115"/>
  <c r="D115"/>
  <c r="K115" s="1"/>
  <c r="C102"/>
  <c r="D102"/>
  <c r="K102" s="1"/>
  <c r="C44"/>
  <c r="D44"/>
  <c r="C116"/>
  <c r="D116"/>
  <c r="K116" s="1"/>
  <c r="C123"/>
  <c r="D123"/>
  <c r="K123" s="1"/>
  <c r="C86"/>
  <c r="D86"/>
  <c r="K86" s="1"/>
  <c r="C8"/>
  <c r="D8"/>
  <c r="C72"/>
  <c r="D72"/>
  <c r="K72" s="1"/>
  <c r="C39"/>
  <c r="D39"/>
  <c r="C103"/>
  <c r="D103"/>
  <c r="K103" s="1"/>
  <c r="C70"/>
  <c r="D70"/>
  <c r="K70" s="1"/>
  <c r="C104"/>
  <c r="D104"/>
  <c r="K104" s="1"/>
  <c r="B163"/>
  <c r="A164"/>
  <c r="C50"/>
  <c r="D50"/>
  <c r="C156"/>
  <c r="D156"/>
  <c r="K156" s="1"/>
  <c r="C37"/>
  <c r="D37"/>
  <c r="C101"/>
  <c r="D101"/>
  <c r="K101" s="1"/>
  <c r="C136"/>
  <c r="D136"/>
  <c r="K136" s="1"/>
  <c r="C42"/>
  <c r="D42"/>
  <c r="C106"/>
  <c r="D106"/>
  <c r="K106" s="1"/>
  <c r="C17"/>
  <c r="D17"/>
  <c r="C81"/>
  <c r="D81"/>
  <c r="K81" s="1"/>
  <c r="C145"/>
  <c r="D145"/>
  <c r="K145" s="1"/>
  <c r="C54"/>
  <c r="D54"/>
  <c r="C141"/>
  <c r="D141"/>
  <c r="K141" s="1"/>
  <c r="C100"/>
  <c r="D100"/>
  <c r="K100" s="1"/>
  <c r="C95"/>
  <c r="D95"/>
  <c r="K95" s="1"/>
  <c r="C159"/>
  <c r="D159"/>
  <c r="K159" s="1"/>
  <c r="C38"/>
  <c r="D38"/>
  <c r="C125"/>
  <c r="D125"/>
  <c r="K125" s="1"/>
  <c r="C96"/>
  <c r="D96"/>
  <c r="K96" s="1"/>
  <c r="C107"/>
  <c r="D107"/>
  <c r="K107" s="1"/>
  <c r="C147"/>
  <c r="D147"/>
  <c r="K147" s="1"/>
  <c r="C22"/>
  <c r="D22"/>
  <c r="C109"/>
  <c r="D109"/>
  <c r="K109" s="1"/>
  <c r="C56"/>
  <c r="D56"/>
  <c r="K56" s="1"/>
  <c r="C132"/>
  <c r="D132"/>
  <c r="K132" s="1"/>
  <c r="C87"/>
  <c r="D87"/>
  <c r="K87" s="1"/>
  <c r="C151"/>
  <c r="D151"/>
  <c r="K151" s="1"/>
  <c r="C157"/>
  <c r="D157"/>
  <c r="K157" s="1"/>
  <c r="C110"/>
  <c r="D110"/>
  <c r="K110" s="1"/>
  <c r="C65"/>
  <c r="D65"/>
  <c r="K65" s="1"/>
  <c r="C80"/>
  <c r="D80"/>
  <c r="K80" s="1"/>
  <c r="C79"/>
  <c r="D79"/>
  <c r="K79" s="1"/>
  <c r="C143"/>
  <c r="D143"/>
  <c r="K143" s="1"/>
  <c r="C61"/>
  <c r="D61"/>
  <c r="K61" s="1"/>
  <c r="C76"/>
  <c r="D76"/>
  <c r="K76" s="1"/>
  <c r="C91"/>
  <c r="D91"/>
  <c r="K91" s="1"/>
  <c r="C155"/>
  <c r="D155"/>
  <c r="K155" s="1"/>
  <c r="C45"/>
  <c r="D45"/>
  <c r="C40"/>
  <c r="D40"/>
  <c r="C112"/>
  <c r="D112"/>
  <c r="K112" s="1"/>
  <c r="C71"/>
  <c r="D71"/>
  <c r="K71" s="1"/>
  <c r="C135"/>
  <c r="D135"/>
  <c r="K135" s="1"/>
  <c r="C93"/>
  <c r="D93"/>
  <c r="K93" s="1"/>
  <c r="C160"/>
  <c r="D160"/>
  <c r="K160" s="1"/>
  <c r="A11" i="4" l="1"/>
  <c r="B10"/>
  <c r="D9"/>
  <c r="G9"/>
  <c r="H9"/>
  <c r="C9"/>
  <c r="C163" i="1"/>
  <c r="D163"/>
  <c r="K163" s="1"/>
  <c r="A165"/>
  <c r="B164"/>
  <c r="G10" i="4" l="1"/>
  <c r="H10"/>
  <c r="C10"/>
  <c r="D10"/>
  <c r="A12"/>
  <c r="B11"/>
  <c r="C164" i="1"/>
  <c r="D164"/>
  <c r="K164" s="1"/>
  <c r="B165"/>
  <c r="A166"/>
  <c r="A13" i="4" l="1"/>
  <c r="B12"/>
  <c r="G11"/>
  <c r="H11"/>
  <c r="C11"/>
  <c r="D11"/>
  <c r="A167" i="1"/>
  <c r="B166"/>
  <c r="C165"/>
  <c r="D165"/>
  <c r="K165" s="1"/>
  <c r="H12" i="4" l="1"/>
  <c r="C12"/>
  <c r="D12"/>
  <c r="G12"/>
  <c r="A14"/>
  <c r="B13"/>
  <c r="A168" i="1"/>
  <c r="B167"/>
  <c r="C166"/>
  <c r="D166"/>
  <c r="K166" s="1"/>
  <c r="B14" i="4" l="1"/>
  <c r="A15"/>
  <c r="C13"/>
  <c r="D13"/>
  <c r="G13"/>
  <c r="H13"/>
  <c r="B168" i="1"/>
  <c r="A169"/>
  <c r="C167"/>
  <c r="D167"/>
  <c r="K167" s="1"/>
  <c r="C14" i="4" l="1"/>
  <c r="D14"/>
  <c r="G14"/>
  <c r="H14"/>
  <c r="B15"/>
  <c r="A16"/>
  <c r="C168" i="1"/>
  <c r="D168"/>
  <c r="K168" s="1"/>
  <c r="B169"/>
  <c r="A170"/>
  <c r="C15" i="4" l="1"/>
  <c r="D15"/>
  <c r="G15"/>
  <c r="H15"/>
  <c r="A17"/>
  <c r="B16"/>
  <c r="B170" i="1"/>
  <c r="A171"/>
  <c r="C169"/>
  <c r="D169"/>
  <c r="K169" s="1"/>
  <c r="A18" i="4" l="1"/>
  <c r="B17"/>
  <c r="C16"/>
  <c r="D16"/>
  <c r="G16"/>
  <c r="H16"/>
  <c r="C170" i="1"/>
  <c r="D170"/>
  <c r="K170" s="1"/>
  <c r="A172"/>
  <c r="B171"/>
  <c r="A19" i="4" l="1"/>
  <c r="B18"/>
  <c r="D17"/>
  <c r="G17"/>
  <c r="H17"/>
  <c r="C17"/>
  <c r="C171" i="1"/>
  <c r="D171"/>
  <c r="K171" s="1"/>
  <c r="A173"/>
  <c r="B172"/>
  <c r="A20" i="4" l="1"/>
  <c r="B19"/>
  <c r="G18"/>
  <c r="H18"/>
  <c r="C18"/>
  <c r="D18"/>
  <c r="C172" i="1"/>
  <c r="D172"/>
  <c r="K172" s="1"/>
  <c r="B173"/>
  <c r="A174"/>
  <c r="A21" i="4" l="1"/>
  <c r="B20"/>
  <c r="G19"/>
  <c r="H19"/>
  <c r="C19"/>
  <c r="D19"/>
  <c r="A175" i="1"/>
  <c r="B174"/>
  <c r="C173"/>
  <c r="D173"/>
  <c r="K173" s="1"/>
  <c r="A22" i="4" l="1"/>
  <c r="B21"/>
  <c r="H20"/>
  <c r="C20"/>
  <c r="D20"/>
  <c r="G20"/>
  <c r="B175" i="1"/>
  <c r="A176"/>
  <c r="C174"/>
  <c r="D174"/>
  <c r="K174" s="1"/>
  <c r="C21" i="4" l="1"/>
  <c r="D21"/>
  <c r="G21"/>
  <c r="H21"/>
  <c r="B22"/>
  <c r="A23"/>
  <c r="C175" i="1"/>
  <c r="D175"/>
  <c r="K175" s="1"/>
  <c r="B176"/>
  <c r="A177"/>
  <c r="C22" i="4" l="1"/>
  <c r="D22"/>
  <c r="G22"/>
  <c r="H22"/>
  <c r="B23"/>
  <c r="A24"/>
  <c r="B177" i="1"/>
  <c r="A178"/>
  <c r="C176"/>
  <c r="D176"/>
  <c r="K176" s="1"/>
  <c r="C23" i="4" l="1"/>
  <c r="D23"/>
  <c r="G23"/>
  <c r="H23"/>
  <c r="A25"/>
  <c r="B24"/>
  <c r="C177" i="1"/>
  <c r="D177"/>
  <c r="K177" s="1"/>
  <c r="A179"/>
  <c r="B178"/>
  <c r="A26" i="4" l="1"/>
  <c r="B25"/>
  <c r="C24"/>
  <c r="D24"/>
  <c r="G24"/>
  <c r="H24"/>
  <c r="C178" i="1"/>
  <c r="D178"/>
  <c r="K178" s="1"/>
  <c r="B179"/>
  <c r="A180"/>
  <c r="A27" i="4" l="1"/>
  <c r="B26"/>
  <c r="D25"/>
  <c r="G25"/>
  <c r="H25"/>
  <c r="C25"/>
  <c r="B180" i="1"/>
  <c r="A181"/>
  <c r="C179"/>
  <c r="D179"/>
  <c r="K179" s="1"/>
  <c r="A28" i="4" l="1"/>
  <c r="B27"/>
  <c r="G26"/>
  <c r="H26"/>
  <c r="C26"/>
  <c r="D26"/>
  <c r="C180" i="1"/>
  <c r="D180"/>
  <c r="K180" s="1"/>
  <c r="B181"/>
  <c r="A182"/>
  <c r="A29" i="4" l="1"/>
  <c r="B28"/>
  <c r="G27"/>
  <c r="H27"/>
  <c r="C27"/>
  <c r="D27"/>
  <c r="C181" i="1"/>
  <c r="D181"/>
  <c r="K181" s="1"/>
  <c r="B182"/>
  <c r="A183"/>
  <c r="H28" i="4" l="1"/>
  <c r="C28"/>
  <c r="D28"/>
  <c r="G28"/>
  <c r="A30"/>
  <c r="B29"/>
  <c r="B183" i="1"/>
  <c r="A184"/>
  <c r="C182"/>
  <c r="D182"/>
  <c r="K182" s="1"/>
  <c r="B30" i="4" l="1"/>
  <c r="A31"/>
  <c r="C29"/>
  <c r="D29"/>
  <c r="G29"/>
  <c r="H29"/>
  <c r="C183" i="1"/>
  <c r="D183"/>
  <c r="K183" s="1"/>
  <c r="B184"/>
  <c r="A185"/>
  <c r="C30" i="4" l="1"/>
  <c r="D30"/>
  <c r="G30"/>
  <c r="H30"/>
  <c r="B31"/>
  <c r="A32"/>
  <c r="B185" i="1"/>
  <c r="A186"/>
  <c r="C184"/>
  <c r="D184"/>
  <c r="K184" s="1"/>
  <c r="C31" i="4" l="1"/>
  <c r="D31"/>
  <c r="G31"/>
  <c r="H31"/>
  <c r="A33"/>
  <c r="B32"/>
  <c r="C185" i="1"/>
  <c r="D185"/>
  <c r="K185" s="1"/>
  <c r="A187"/>
  <c r="B186"/>
  <c r="A34" i="4" l="1"/>
  <c r="B33"/>
  <c r="C32"/>
  <c r="D32"/>
  <c r="G32"/>
  <c r="H32"/>
  <c r="C186" i="1"/>
  <c r="D186"/>
  <c r="K186" s="1"/>
  <c r="A188"/>
  <c r="B187"/>
  <c r="A35" i="4" l="1"/>
  <c r="B34"/>
  <c r="D33"/>
  <c r="G33"/>
  <c r="H33"/>
  <c r="C33"/>
  <c r="C187" i="1"/>
  <c r="D187"/>
  <c r="K187" s="1"/>
  <c r="B188"/>
  <c r="A189"/>
  <c r="A36" i="4" l="1"/>
  <c r="B35"/>
  <c r="G34"/>
  <c r="H34"/>
  <c r="C34"/>
  <c r="D34"/>
  <c r="C188" i="1"/>
  <c r="D188"/>
  <c r="K188" s="1"/>
  <c r="B189"/>
  <c r="A190"/>
  <c r="G35" i="4" l="1"/>
  <c r="H35"/>
  <c r="C35"/>
  <c r="D35"/>
  <c r="A37"/>
  <c r="B36"/>
  <c r="A191" i="1"/>
  <c r="B190"/>
  <c r="C189"/>
  <c r="D189"/>
  <c r="K189" s="1"/>
  <c r="A38" i="4" l="1"/>
  <c r="B37"/>
  <c r="H36"/>
  <c r="C36"/>
  <c r="D36"/>
  <c r="G36"/>
  <c r="A192" i="1"/>
  <c r="B191"/>
  <c r="C190"/>
  <c r="D190"/>
  <c r="K190" s="1"/>
  <c r="C37" i="4" l="1"/>
  <c r="D37"/>
  <c r="G37"/>
  <c r="H37"/>
  <c r="B38"/>
  <c r="A39"/>
  <c r="B192" i="1"/>
  <c r="A193"/>
  <c r="C191"/>
  <c r="D191"/>
  <c r="K191" s="1"/>
  <c r="C38" i="4" l="1"/>
  <c r="D38"/>
  <c r="G38"/>
  <c r="H38"/>
  <c r="B39"/>
  <c r="A40"/>
  <c r="C192" i="1"/>
  <c r="D192"/>
  <c r="K192" s="1"/>
  <c r="B193"/>
  <c r="A194"/>
  <c r="C39" i="4" l="1"/>
  <c r="D39"/>
  <c r="G39"/>
  <c r="H39"/>
  <c r="A41"/>
  <c r="B40"/>
  <c r="B194" i="1"/>
  <c r="A195"/>
  <c r="C193"/>
  <c r="D193"/>
  <c r="K193" s="1"/>
  <c r="A42" i="4" l="1"/>
  <c r="B41"/>
  <c r="C40"/>
  <c r="D40"/>
  <c r="G40"/>
  <c r="H40"/>
  <c r="C194" i="1"/>
  <c r="D194"/>
  <c r="K194" s="1"/>
  <c r="B195"/>
  <c r="A196"/>
  <c r="A43" i="4" l="1"/>
  <c r="B42"/>
  <c r="D41"/>
  <c r="G41"/>
  <c r="H41"/>
  <c r="C41"/>
  <c r="A197" i="1"/>
  <c r="B196"/>
  <c r="C195"/>
  <c r="D195"/>
  <c r="K195" s="1"/>
  <c r="G42" i="4" l="1"/>
  <c r="H42"/>
  <c r="C42"/>
  <c r="D42"/>
  <c r="A44"/>
  <c r="B43"/>
  <c r="A198" i="1"/>
  <c r="B197"/>
  <c r="C196"/>
  <c r="D196"/>
  <c r="K196" s="1"/>
  <c r="A45" i="4" l="1"/>
  <c r="B44"/>
  <c r="G43"/>
  <c r="H43"/>
  <c r="C43"/>
  <c r="D43"/>
  <c r="B198" i="1"/>
  <c r="A199"/>
  <c r="C197"/>
  <c r="D197"/>
  <c r="K197" s="1"/>
  <c r="A46" i="4" l="1"/>
  <c r="B45"/>
  <c r="H44"/>
  <c r="C44"/>
  <c r="D44"/>
  <c r="G44"/>
  <c r="C198" i="1"/>
  <c r="D198"/>
  <c r="K198" s="1"/>
  <c r="B199"/>
  <c r="A200"/>
  <c r="C45" i="4" l="1"/>
  <c r="D45"/>
  <c r="G45"/>
  <c r="H45"/>
  <c r="B46"/>
  <c r="A47"/>
  <c r="A201" i="1"/>
  <c r="B200"/>
  <c r="C199"/>
  <c r="D199"/>
  <c r="K199" s="1"/>
  <c r="C46" i="4" l="1"/>
  <c r="D46"/>
  <c r="G46"/>
  <c r="H46"/>
  <c r="B47"/>
  <c r="A48"/>
  <c r="B201" i="1"/>
  <c r="A202"/>
  <c r="C200"/>
  <c r="D200"/>
  <c r="K200" s="1"/>
  <c r="C47" i="4" l="1"/>
  <c r="D47"/>
  <c r="G47"/>
  <c r="H47"/>
  <c r="A49"/>
  <c r="B48"/>
  <c r="C201" i="1"/>
  <c r="D201"/>
  <c r="K201" s="1"/>
  <c r="B202"/>
  <c r="A203"/>
  <c r="A50" i="4" l="1"/>
  <c r="B49"/>
  <c r="C48"/>
  <c r="D48"/>
  <c r="G48"/>
  <c r="H48"/>
  <c r="A204" i="1"/>
  <c r="B203"/>
  <c r="C202"/>
  <c r="D202"/>
  <c r="K202" s="1"/>
  <c r="A51" i="4" l="1"/>
  <c r="B50"/>
  <c r="D49"/>
  <c r="G49"/>
  <c r="H49"/>
  <c r="C49"/>
  <c r="A205" i="1"/>
  <c r="B204"/>
  <c r="C203"/>
  <c r="D203"/>
  <c r="K203" s="1"/>
  <c r="A52" i="4" l="1"/>
  <c r="B51"/>
  <c r="G50"/>
  <c r="H50"/>
  <c r="C50"/>
  <c r="D50"/>
  <c r="A206" i="1"/>
  <c r="B205"/>
  <c r="C204"/>
  <c r="D204"/>
  <c r="K204" s="1"/>
  <c r="A53" i="4" l="1"/>
  <c r="B52"/>
  <c r="G51"/>
  <c r="H51"/>
  <c r="C51"/>
  <c r="D51"/>
  <c r="B206" i="1"/>
  <c r="A207"/>
  <c r="C205"/>
  <c r="D205"/>
  <c r="K205" s="1"/>
  <c r="A54" i="4" l="1"/>
  <c r="B53"/>
  <c r="H52"/>
  <c r="C52"/>
  <c r="D52"/>
  <c r="G52"/>
  <c r="C206" i="1"/>
  <c r="D206"/>
  <c r="K206" s="1"/>
  <c r="B207"/>
  <c r="A208"/>
  <c r="C53" i="4" l="1"/>
  <c r="D53"/>
  <c r="G53"/>
  <c r="H53"/>
  <c r="B54"/>
  <c r="A55"/>
  <c r="C207" i="1"/>
  <c r="D207"/>
  <c r="K207" s="1"/>
  <c r="B208"/>
  <c r="A209"/>
  <c r="C54" i="4" l="1"/>
  <c r="D54"/>
  <c r="G54"/>
  <c r="H54"/>
  <c r="A56"/>
  <c r="B55"/>
  <c r="B209" i="1"/>
  <c r="A210"/>
  <c r="C208"/>
  <c r="D208"/>
  <c r="K208" s="1"/>
  <c r="A57" i="4" l="1"/>
  <c r="B56"/>
  <c r="G55"/>
  <c r="H55"/>
  <c r="J55"/>
  <c r="K55"/>
  <c r="C55"/>
  <c r="D55"/>
  <c r="L55" s="1"/>
  <c r="C209" i="1"/>
  <c r="D209"/>
  <c r="K209" s="1"/>
  <c r="A211"/>
  <c r="B210"/>
  <c r="A58" i="4" l="1"/>
  <c r="B57"/>
  <c r="P55"/>
  <c r="G56"/>
  <c r="H56"/>
  <c r="J56"/>
  <c r="K56"/>
  <c r="C56"/>
  <c r="D56"/>
  <c r="L56" s="1"/>
  <c r="M55"/>
  <c r="N55"/>
  <c r="S55" s="1"/>
  <c r="O55"/>
  <c r="R55"/>
  <c r="T55"/>
  <c r="C210" i="1"/>
  <c r="D210"/>
  <c r="K210" s="1"/>
  <c r="A212"/>
  <c r="B211"/>
  <c r="A59" i="4" l="1"/>
  <c r="B58"/>
  <c r="P56"/>
  <c r="G57"/>
  <c r="H57"/>
  <c r="J57"/>
  <c r="K57"/>
  <c r="C57"/>
  <c r="D57"/>
  <c r="L57" s="1"/>
  <c r="M56"/>
  <c r="N56"/>
  <c r="C211" i="1"/>
  <c r="D211"/>
  <c r="K211" s="1"/>
  <c r="A213"/>
  <c r="B212"/>
  <c r="R57" i="4" l="1"/>
  <c r="T57"/>
  <c r="A60"/>
  <c r="B59"/>
  <c r="S56"/>
  <c r="M57"/>
  <c r="N57"/>
  <c r="P57"/>
  <c r="G58"/>
  <c r="H58"/>
  <c r="J58"/>
  <c r="K58"/>
  <c r="C58"/>
  <c r="D58"/>
  <c r="L58" s="1"/>
  <c r="R56"/>
  <c r="T56"/>
  <c r="C212" i="1"/>
  <c r="D212"/>
  <c r="K212" s="1"/>
  <c r="A214"/>
  <c r="B213"/>
  <c r="M58" i="4" l="1"/>
  <c r="N58"/>
  <c r="P58"/>
  <c r="G59"/>
  <c r="H59"/>
  <c r="J59"/>
  <c r="T58" s="1"/>
  <c r="K59"/>
  <c r="C59"/>
  <c r="D59"/>
  <c r="L59" s="1"/>
  <c r="A61"/>
  <c r="B60"/>
  <c r="R58"/>
  <c r="S57"/>
  <c r="C213" i="1"/>
  <c r="D213"/>
  <c r="K213" s="1"/>
  <c r="B214"/>
  <c r="A215"/>
  <c r="R59" i="4" l="1"/>
  <c r="A62"/>
  <c r="B61"/>
  <c r="M59"/>
  <c r="N59"/>
  <c r="S59" s="1"/>
  <c r="P59"/>
  <c r="G60"/>
  <c r="H60"/>
  <c r="J60"/>
  <c r="K60"/>
  <c r="C60"/>
  <c r="D60"/>
  <c r="L60" s="1"/>
  <c r="S58"/>
  <c r="T59"/>
  <c r="B215" i="1"/>
  <c r="A216"/>
  <c r="C214"/>
  <c r="D214"/>
  <c r="K214" s="1"/>
  <c r="M60" i="4" l="1"/>
  <c r="N60"/>
  <c r="S60" s="1"/>
  <c r="A63"/>
  <c r="B62"/>
  <c r="P60"/>
  <c r="G61"/>
  <c r="H61"/>
  <c r="J61"/>
  <c r="K61"/>
  <c r="C61"/>
  <c r="D61"/>
  <c r="L61" s="1"/>
  <c r="C215" i="1"/>
  <c r="D215"/>
  <c r="K215" s="1"/>
  <c r="A217"/>
  <c r="B216"/>
  <c r="M61" i="4" l="1"/>
  <c r="N61"/>
  <c r="S61" s="1"/>
  <c r="R61"/>
  <c r="T60"/>
  <c r="A64"/>
  <c r="B63"/>
  <c r="P61"/>
  <c r="G62"/>
  <c r="H62"/>
  <c r="J62"/>
  <c r="T61" s="1"/>
  <c r="K62"/>
  <c r="C62"/>
  <c r="D62"/>
  <c r="L62" s="1"/>
  <c r="R60"/>
  <c r="C216" i="1"/>
  <c r="D216"/>
  <c r="K216" s="1"/>
  <c r="A218"/>
  <c r="B217"/>
  <c r="R62" i="4" l="1"/>
  <c r="A65"/>
  <c r="B64"/>
  <c r="M62"/>
  <c r="N62"/>
  <c r="P62"/>
  <c r="G63"/>
  <c r="H63"/>
  <c r="J63"/>
  <c r="K63"/>
  <c r="C63"/>
  <c r="D63"/>
  <c r="L63" s="1"/>
  <c r="C217" i="1"/>
  <c r="D217"/>
  <c r="K217" s="1"/>
  <c r="B218"/>
  <c r="A219"/>
  <c r="M63" i="4" l="1"/>
  <c r="N63"/>
  <c r="S63" s="1"/>
  <c r="A66"/>
  <c r="B65"/>
  <c r="P63"/>
  <c r="G64"/>
  <c r="H64"/>
  <c r="J64"/>
  <c r="T63" s="1"/>
  <c r="K64"/>
  <c r="C64"/>
  <c r="D64"/>
  <c r="L64" s="1"/>
  <c r="S62"/>
  <c r="T62"/>
  <c r="A220" i="1"/>
  <c r="B219"/>
  <c r="C218"/>
  <c r="D218"/>
  <c r="K218" s="1"/>
  <c r="P64" i="4" l="1"/>
  <c r="G65"/>
  <c r="H65"/>
  <c r="J65"/>
  <c r="K65"/>
  <c r="C65"/>
  <c r="D65"/>
  <c r="L65" s="1"/>
  <c r="A67"/>
  <c r="B66"/>
  <c r="R64"/>
  <c r="M64"/>
  <c r="N64"/>
  <c r="S64" s="1"/>
  <c r="R63"/>
  <c r="A221" i="1"/>
  <c r="B220"/>
  <c r="C219"/>
  <c r="D219"/>
  <c r="K219" s="1"/>
  <c r="M65" i="4" l="1"/>
  <c r="N65"/>
  <c r="S65" s="1"/>
  <c r="A68"/>
  <c r="B67"/>
  <c r="P65"/>
  <c r="G66"/>
  <c r="H66"/>
  <c r="J66"/>
  <c r="K66"/>
  <c r="C66"/>
  <c r="D66"/>
  <c r="L66" s="1"/>
  <c r="T64"/>
  <c r="B221" i="1"/>
  <c r="A222"/>
  <c r="C220"/>
  <c r="D220"/>
  <c r="K220" s="1"/>
  <c r="M66" i="4" l="1"/>
  <c r="N66"/>
  <c r="S66" s="1"/>
  <c r="A69"/>
  <c r="B68"/>
  <c r="P66"/>
  <c r="G67"/>
  <c r="H67"/>
  <c r="J67"/>
  <c r="T66" s="1"/>
  <c r="K67"/>
  <c r="C67"/>
  <c r="D67"/>
  <c r="L67" s="1"/>
  <c r="T65"/>
  <c r="R65"/>
  <c r="R66"/>
  <c r="C221" i="1"/>
  <c r="D221"/>
  <c r="K221" s="1"/>
  <c r="B222"/>
  <c r="A223"/>
  <c r="A70" i="4" l="1"/>
  <c r="B69"/>
  <c r="P67"/>
  <c r="G68"/>
  <c r="H68"/>
  <c r="J68"/>
  <c r="K68"/>
  <c r="C68"/>
  <c r="D68"/>
  <c r="L68" s="1"/>
  <c r="M67"/>
  <c r="N67"/>
  <c r="S67" s="1"/>
  <c r="R67"/>
  <c r="T67"/>
  <c r="B223" i="1"/>
  <c r="A224"/>
  <c r="C222"/>
  <c r="D222"/>
  <c r="K222" s="1"/>
  <c r="R68" i="4" l="1"/>
  <c r="T68"/>
  <c r="P68"/>
  <c r="G69"/>
  <c r="H69"/>
  <c r="J69"/>
  <c r="K69"/>
  <c r="C69"/>
  <c r="D69"/>
  <c r="L69" s="1"/>
  <c r="A71"/>
  <c r="B70"/>
  <c r="M68"/>
  <c r="N68"/>
  <c r="S68" s="1"/>
  <c r="C223" i="1"/>
  <c r="D223"/>
  <c r="K223" s="1"/>
  <c r="A225"/>
  <c r="B224"/>
  <c r="T69" i="4" l="1"/>
  <c r="A72"/>
  <c r="B71"/>
  <c r="P69"/>
  <c r="G70"/>
  <c r="H70"/>
  <c r="J70"/>
  <c r="K70"/>
  <c r="C70"/>
  <c r="D70"/>
  <c r="L70" s="1"/>
  <c r="M69"/>
  <c r="N69"/>
  <c r="C224" i="1"/>
  <c r="D224"/>
  <c r="K224" s="1"/>
  <c r="A226"/>
  <c r="B225"/>
  <c r="R70" i="4" l="1"/>
  <c r="S69"/>
  <c r="M70"/>
  <c r="N70"/>
  <c r="P70"/>
  <c r="G71"/>
  <c r="H71"/>
  <c r="J71"/>
  <c r="K71"/>
  <c r="C71"/>
  <c r="D71"/>
  <c r="L71" s="1"/>
  <c r="A73"/>
  <c r="B72"/>
  <c r="R69"/>
  <c r="C225" i="1"/>
  <c r="D225"/>
  <c r="K225" s="1"/>
  <c r="B226"/>
  <c r="A227"/>
  <c r="M71" i="4" l="1"/>
  <c r="N71"/>
  <c r="S71" s="1"/>
  <c r="A74"/>
  <c r="B73"/>
  <c r="S70"/>
  <c r="T70"/>
  <c r="P71"/>
  <c r="G72"/>
  <c r="H72"/>
  <c r="J72"/>
  <c r="K72"/>
  <c r="C72"/>
  <c r="D72"/>
  <c r="L72" s="1"/>
  <c r="T71"/>
  <c r="B227" i="1"/>
  <c r="A228"/>
  <c r="C226"/>
  <c r="D226"/>
  <c r="K226" s="1"/>
  <c r="R72" i="4" l="1"/>
  <c r="A75"/>
  <c r="B74"/>
  <c r="M72"/>
  <c r="N72"/>
  <c r="P72"/>
  <c r="G73"/>
  <c r="H73"/>
  <c r="J73"/>
  <c r="T72" s="1"/>
  <c r="K73"/>
  <c r="C73"/>
  <c r="D73"/>
  <c r="L73" s="1"/>
  <c r="R71"/>
  <c r="C227" i="1"/>
  <c r="D227"/>
  <c r="K227" s="1"/>
  <c r="A229"/>
  <c r="B228"/>
  <c r="R73" i="4" l="1"/>
  <c r="A76"/>
  <c r="B75"/>
  <c r="M73"/>
  <c r="N73"/>
  <c r="S72"/>
  <c r="P73"/>
  <c r="G74"/>
  <c r="H74"/>
  <c r="J74"/>
  <c r="T73" s="1"/>
  <c r="K74"/>
  <c r="C74"/>
  <c r="D74"/>
  <c r="L74" s="1"/>
  <c r="C228" i="1"/>
  <c r="D228"/>
  <c r="K228" s="1"/>
  <c r="A230"/>
  <c r="B229"/>
  <c r="P74" i="4" l="1"/>
  <c r="G75"/>
  <c r="H75"/>
  <c r="J75"/>
  <c r="K75"/>
  <c r="C75"/>
  <c r="D75"/>
  <c r="L75" s="1"/>
  <c r="S73"/>
  <c r="A77"/>
  <c r="B76"/>
  <c r="M74"/>
  <c r="N74"/>
  <c r="S74" s="1"/>
  <c r="R74"/>
  <c r="C229" i="1"/>
  <c r="D229"/>
  <c r="K229" s="1"/>
  <c r="A231"/>
  <c r="B230"/>
  <c r="A78" i="4" l="1"/>
  <c r="B77"/>
  <c r="P75"/>
  <c r="G76"/>
  <c r="H76"/>
  <c r="J76"/>
  <c r="K76"/>
  <c r="C76"/>
  <c r="D76"/>
  <c r="L76" s="1"/>
  <c r="M75"/>
  <c r="N75"/>
  <c r="S75" s="1"/>
  <c r="T75"/>
  <c r="R75"/>
  <c r="T74"/>
  <c r="C230" i="1"/>
  <c r="D230"/>
  <c r="K230" s="1"/>
  <c r="B231"/>
  <c r="A232"/>
  <c r="P76" i="4" l="1"/>
  <c r="G77"/>
  <c r="H77"/>
  <c r="J77"/>
  <c r="K77"/>
  <c r="C77"/>
  <c r="D77"/>
  <c r="L77" s="1"/>
  <c r="R76"/>
  <c r="A79"/>
  <c r="B78"/>
  <c r="M76"/>
  <c r="N76"/>
  <c r="S76" s="1"/>
  <c r="A233" i="1"/>
  <c r="B232"/>
  <c r="C231"/>
  <c r="D231"/>
  <c r="K231" s="1"/>
  <c r="A80" i="4" l="1"/>
  <c r="B79"/>
  <c r="P77"/>
  <c r="G78"/>
  <c r="H78"/>
  <c r="J78"/>
  <c r="K78"/>
  <c r="C78"/>
  <c r="D78"/>
  <c r="L78" s="1"/>
  <c r="M77"/>
  <c r="N77"/>
  <c r="T76"/>
  <c r="B233" i="1"/>
  <c r="A234"/>
  <c r="C232"/>
  <c r="D232"/>
  <c r="K232" s="1"/>
  <c r="M78" i="4" l="1"/>
  <c r="N78"/>
  <c r="S78" s="1"/>
  <c r="T77"/>
  <c r="A81"/>
  <c r="B80"/>
  <c r="S77"/>
  <c r="P78"/>
  <c r="G79"/>
  <c r="H79"/>
  <c r="J79"/>
  <c r="K79"/>
  <c r="C79"/>
  <c r="D79"/>
  <c r="L79" s="1"/>
  <c r="T78"/>
  <c r="R77"/>
  <c r="C233" i="1"/>
  <c r="D233"/>
  <c r="K233" s="1"/>
  <c r="B234"/>
  <c r="A235"/>
  <c r="P79" i="4" l="1"/>
  <c r="G80"/>
  <c r="H80"/>
  <c r="J80"/>
  <c r="K80"/>
  <c r="C80"/>
  <c r="D80"/>
  <c r="L80" s="1"/>
  <c r="M79"/>
  <c r="N79"/>
  <c r="S79" s="1"/>
  <c r="R79"/>
  <c r="T79"/>
  <c r="A82"/>
  <c r="B81"/>
  <c r="R78"/>
  <c r="A236" i="1"/>
  <c r="B235"/>
  <c r="C234"/>
  <c r="D234"/>
  <c r="A83" i="4" l="1"/>
  <c r="B82"/>
  <c r="M80"/>
  <c r="N80"/>
  <c r="P80"/>
  <c r="G81"/>
  <c r="H81"/>
  <c r="J81"/>
  <c r="K81"/>
  <c r="C81"/>
  <c r="D81"/>
  <c r="L81" s="1"/>
  <c r="B236" i="1"/>
  <c r="A237"/>
  <c r="C235"/>
  <c r="D235"/>
  <c r="M81" i="4" l="1"/>
  <c r="N81"/>
  <c r="S81" s="1"/>
  <c r="A84"/>
  <c r="B83"/>
  <c r="S80"/>
  <c r="T80"/>
  <c r="R80"/>
  <c r="P81"/>
  <c r="G82"/>
  <c r="H82"/>
  <c r="J82"/>
  <c r="K82"/>
  <c r="C82"/>
  <c r="D82"/>
  <c r="L82" s="1"/>
  <c r="R81"/>
  <c r="T81"/>
  <c r="C236" i="1"/>
  <c r="D236"/>
  <c r="B237"/>
  <c r="A238"/>
  <c r="A85" i="4" l="1"/>
  <c r="B84"/>
  <c r="M82"/>
  <c r="N82"/>
  <c r="P82"/>
  <c r="G83"/>
  <c r="H83"/>
  <c r="J83"/>
  <c r="K83"/>
  <c r="C83"/>
  <c r="D83"/>
  <c r="L83" s="1"/>
  <c r="A239" i="1"/>
  <c r="B238"/>
  <c r="C237"/>
  <c r="D237"/>
  <c r="A86" i="4" l="1"/>
  <c r="B85"/>
  <c r="R83"/>
  <c r="M83"/>
  <c r="N83"/>
  <c r="P83"/>
  <c r="G84"/>
  <c r="H84"/>
  <c r="J84"/>
  <c r="K84"/>
  <c r="C84"/>
  <c r="D84"/>
  <c r="L84" s="1"/>
  <c r="R82"/>
  <c r="S82"/>
  <c r="T82"/>
  <c r="A240" i="1"/>
  <c r="B239"/>
  <c r="C238"/>
  <c r="D238"/>
  <c r="P84" i="4" l="1"/>
  <c r="G85"/>
  <c r="H85"/>
  <c r="J85"/>
  <c r="K85"/>
  <c r="C85"/>
  <c r="D85"/>
  <c r="L85" s="1"/>
  <c r="M84"/>
  <c r="N84"/>
  <c r="S84" s="1"/>
  <c r="T83"/>
  <c r="T84"/>
  <c r="S83"/>
  <c r="A87"/>
  <c r="B86"/>
  <c r="R84"/>
  <c r="A241" i="1"/>
  <c r="B240"/>
  <c r="C239"/>
  <c r="D239"/>
  <c r="M85" i="4" l="1"/>
  <c r="N85"/>
  <c r="S85" s="1"/>
  <c r="A88"/>
  <c r="B87"/>
  <c r="P85"/>
  <c r="G86"/>
  <c r="H86"/>
  <c r="J86"/>
  <c r="K86"/>
  <c r="C86"/>
  <c r="D86"/>
  <c r="L86" s="1"/>
  <c r="A242" i="1"/>
  <c r="B241"/>
  <c r="C240"/>
  <c r="D240"/>
  <c r="M86" i="4" l="1"/>
  <c r="N86"/>
  <c r="A89"/>
  <c r="B88"/>
  <c r="P86"/>
  <c r="G87"/>
  <c r="H87"/>
  <c r="J87"/>
  <c r="R86" s="1"/>
  <c r="K87"/>
  <c r="C87"/>
  <c r="D87"/>
  <c r="L87" s="1"/>
  <c r="R85"/>
  <c r="T85"/>
  <c r="B242" i="1"/>
  <c r="A243"/>
  <c r="C241"/>
  <c r="D241"/>
  <c r="S86" i="4" l="1"/>
  <c r="P87"/>
  <c r="G88"/>
  <c r="H88"/>
  <c r="J88"/>
  <c r="K88"/>
  <c r="C88"/>
  <c r="D88"/>
  <c r="L88" s="1"/>
  <c r="T87"/>
  <c r="M87"/>
  <c r="N87"/>
  <c r="S87" s="1"/>
  <c r="A90"/>
  <c r="B89"/>
  <c r="R87"/>
  <c r="T86"/>
  <c r="C242" i="1"/>
  <c r="D242"/>
  <c r="B243"/>
  <c r="A244"/>
  <c r="P88" i="4" l="1"/>
  <c r="G89"/>
  <c r="H89"/>
  <c r="J89"/>
  <c r="K89"/>
  <c r="C89"/>
  <c r="D89"/>
  <c r="L89" s="1"/>
  <c r="M88"/>
  <c r="N88"/>
  <c r="S88" s="1"/>
  <c r="T88"/>
  <c r="A91"/>
  <c r="B90"/>
  <c r="B244" i="1"/>
  <c r="A245"/>
  <c r="C243"/>
  <c r="D243"/>
  <c r="A92" i="4" l="1"/>
  <c r="B91"/>
  <c r="M89"/>
  <c r="N89"/>
  <c r="R88"/>
  <c r="P89"/>
  <c r="G90"/>
  <c r="H90"/>
  <c r="J90"/>
  <c r="R89" s="1"/>
  <c r="K90"/>
  <c r="C90"/>
  <c r="D90"/>
  <c r="L90" s="1"/>
  <c r="C244" i="1"/>
  <c r="D244"/>
  <c r="A246"/>
  <c r="B245"/>
  <c r="A93" i="4" l="1"/>
  <c r="B92"/>
  <c r="P90"/>
  <c r="G91"/>
  <c r="H91"/>
  <c r="J91"/>
  <c r="K91"/>
  <c r="C91"/>
  <c r="D91"/>
  <c r="L91" s="1"/>
  <c r="M90"/>
  <c r="N90"/>
  <c r="S89"/>
  <c r="T89"/>
  <c r="C245" i="1"/>
  <c r="D245"/>
  <c r="A247"/>
  <c r="B246"/>
  <c r="A94" i="4" l="1"/>
  <c r="B93"/>
  <c r="P91"/>
  <c r="G92"/>
  <c r="H92"/>
  <c r="J92"/>
  <c r="K92"/>
  <c r="C92"/>
  <c r="D92"/>
  <c r="L92" s="1"/>
  <c r="S90"/>
  <c r="M91"/>
  <c r="N91"/>
  <c r="R90"/>
  <c r="T90"/>
  <c r="C246" i="1"/>
  <c r="D246"/>
  <c r="A248"/>
  <c r="B247"/>
  <c r="M92" i="4" l="1"/>
  <c r="N92"/>
  <c r="S92" s="1"/>
  <c r="P92"/>
  <c r="G93"/>
  <c r="H93"/>
  <c r="J93"/>
  <c r="K93"/>
  <c r="C93"/>
  <c r="D93"/>
  <c r="L93" s="1"/>
  <c r="T91"/>
  <c r="R92"/>
  <c r="T92"/>
  <c r="S91"/>
  <c r="A95"/>
  <c r="B94"/>
  <c r="R91"/>
  <c r="C247" i="1"/>
  <c r="D247"/>
  <c r="B248"/>
  <c r="A249"/>
  <c r="P93" i="4" l="1"/>
  <c r="G94"/>
  <c r="H94"/>
  <c r="J94"/>
  <c r="K94"/>
  <c r="C94"/>
  <c r="D94"/>
  <c r="L94" s="1"/>
  <c r="T93"/>
  <c r="A96"/>
  <c r="B95"/>
  <c r="M93"/>
  <c r="N93"/>
  <c r="S93" s="1"/>
  <c r="B249" i="1"/>
  <c r="A250"/>
  <c r="C248"/>
  <c r="D248"/>
  <c r="M94" i="4" l="1"/>
  <c r="N94"/>
  <c r="S94" s="1"/>
  <c r="A97"/>
  <c r="B96"/>
  <c r="R93"/>
  <c r="P94"/>
  <c r="G95"/>
  <c r="H95"/>
  <c r="J95"/>
  <c r="T94" s="1"/>
  <c r="K95"/>
  <c r="C95"/>
  <c r="D95"/>
  <c r="L95" s="1"/>
  <c r="C249" i="1"/>
  <c r="D249"/>
  <c r="B250"/>
  <c r="A251"/>
  <c r="A98" i="4" l="1"/>
  <c r="B97"/>
  <c r="P95"/>
  <c r="G96"/>
  <c r="H96"/>
  <c r="J96"/>
  <c r="K96"/>
  <c r="C96"/>
  <c r="D96"/>
  <c r="L96" s="1"/>
  <c r="M95"/>
  <c r="N95"/>
  <c r="R94"/>
  <c r="A252" i="1"/>
  <c r="B251"/>
  <c r="C250"/>
  <c r="D250"/>
  <c r="M96" i="4" l="1"/>
  <c r="N96"/>
  <c r="S96" s="1"/>
  <c r="A99"/>
  <c r="B98"/>
  <c r="S95"/>
  <c r="R95"/>
  <c r="P96"/>
  <c r="G97"/>
  <c r="H97"/>
  <c r="J97"/>
  <c r="K97"/>
  <c r="C97"/>
  <c r="D97"/>
  <c r="L97" s="1"/>
  <c r="R96"/>
  <c r="T95"/>
  <c r="A253" i="1"/>
  <c r="B252"/>
  <c r="C251"/>
  <c r="D251"/>
  <c r="P97" i="4" l="1"/>
  <c r="G98"/>
  <c r="H98"/>
  <c r="J98"/>
  <c r="K98"/>
  <c r="C98"/>
  <c r="D98"/>
  <c r="L98" s="1"/>
  <c r="R97"/>
  <c r="M97"/>
  <c r="N97"/>
  <c r="S97" s="1"/>
  <c r="T96"/>
  <c r="A100"/>
  <c r="B99"/>
  <c r="A254" i="1"/>
  <c r="B253"/>
  <c r="C252"/>
  <c r="D252"/>
  <c r="A101" i="4" l="1"/>
  <c r="B100"/>
  <c r="M98"/>
  <c r="N98"/>
  <c r="P98"/>
  <c r="G99"/>
  <c r="H99"/>
  <c r="J99"/>
  <c r="K99"/>
  <c r="C99"/>
  <c r="D99"/>
  <c r="L99" s="1"/>
  <c r="T97"/>
  <c r="B254" i="1"/>
  <c r="A255"/>
  <c r="C253"/>
  <c r="D253"/>
  <c r="A102" i="4" l="1"/>
  <c r="B101"/>
  <c r="M99"/>
  <c r="N99"/>
  <c r="S99" s="1"/>
  <c r="S98"/>
  <c r="T98"/>
  <c r="P99"/>
  <c r="G100"/>
  <c r="H100"/>
  <c r="J100"/>
  <c r="R99" s="1"/>
  <c r="K100"/>
  <c r="C100"/>
  <c r="D100"/>
  <c r="L100" s="1"/>
  <c r="T99"/>
  <c r="R98"/>
  <c r="C254" i="1"/>
  <c r="D254"/>
  <c r="A256"/>
  <c r="B255"/>
  <c r="A103" i="4" l="1"/>
  <c r="B102"/>
  <c r="M100"/>
  <c r="N100"/>
  <c r="P100"/>
  <c r="G101"/>
  <c r="H101"/>
  <c r="J101"/>
  <c r="R100" s="1"/>
  <c r="K101"/>
  <c r="C101"/>
  <c r="D101"/>
  <c r="L101" s="1"/>
  <c r="C255" i="1"/>
  <c r="D255"/>
  <c r="A257"/>
  <c r="B256"/>
  <c r="P101" i="4" l="1"/>
  <c r="G102"/>
  <c r="H102"/>
  <c r="J102"/>
  <c r="K102"/>
  <c r="C102"/>
  <c r="D102"/>
  <c r="L102" s="1"/>
  <c r="T101"/>
  <c r="A104"/>
  <c r="B103"/>
  <c r="M101"/>
  <c r="N101"/>
  <c r="S101" s="1"/>
  <c r="R101"/>
  <c r="S100"/>
  <c r="T100"/>
  <c r="C256" i="1"/>
  <c r="D256"/>
  <c r="A258"/>
  <c r="B257"/>
  <c r="P102" i="4" l="1"/>
  <c r="G103"/>
  <c r="H103"/>
  <c r="J103"/>
  <c r="K103"/>
  <c r="C103"/>
  <c r="D103"/>
  <c r="L103" s="1"/>
  <c r="M102"/>
  <c r="N102"/>
  <c r="S102" s="1"/>
  <c r="A105"/>
  <c r="B104"/>
  <c r="R102"/>
  <c r="C257" i="1"/>
  <c r="D257"/>
  <c r="A259"/>
  <c r="B258"/>
  <c r="A106" i="4" l="1"/>
  <c r="B105"/>
  <c r="P103"/>
  <c r="G104"/>
  <c r="H104"/>
  <c r="J104"/>
  <c r="K104"/>
  <c r="C104"/>
  <c r="D104"/>
  <c r="L104" s="1"/>
  <c r="M103"/>
  <c r="N103"/>
  <c r="S103" s="1"/>
  <c r="T103"/>
  <c r="R103"/>
  <c r="T102"/>
  <c r="C258" i="1"/>
  <c r="D258"/>
  <c r="B259"/>
  <c r="A260"/>
  <c r="A107" i="4" l="1"/>
  <c r="B106"/>
  <c r="P104"/>
  <c r="G105"/>
  <c r="H105"/>
  <c r="J105"/>
  <c r="K105"/>
  <c r="C105"/>
  <c r="D105"/>
  <c r="L105" s="1"/>
  <c r="M104"/>
  <c r="N104"/>
  <c r="S104" s="1"/>
  <c r="R104"/>
  <c r="T104"/>
  <c r="B260" i="1"/>
  <c r="A261"/>
  <c r="C259"/>
  <c r="D259"/>
  <c r="A108" i="4" l="1"/>
  <c r="B107"/>
  <c r="P105"/>
  <c r="G106"/>
  <c r="H106"/>
  <c r="J106"/>
  <c r="T105" s="1"/>
  <c r="K106"/>
  <c r="C106"/>
  <c r="D106"/>
  <c r="L106" s="1"/>
  <c r="M105"/>
  <c r="N105"/>
  <c r="C260" i="1"/>
  <c r="D260"/>
  <c r="A262"/>
  <c r="B261"/>
  <c r="S105" i="4" l="1"/>
  <c r="P106"/>
  <c r="G107"/>
  <c r="H107"/>
  <c r="J107"/>
  <c r="K107"/>
  <c r="C107"/>
  <c r="D107"/>
  <c r="L107" s="1"/>
  <c r="R106"/>
  <c r="T106"/>
  <c r="M106"/>
  <c r="N106"/>
  <c r="S106" s="1"/>
  <c r="A109"/>
  <c r="B108"/>
  <c r="R105"/>
  <c r="C261" i="1"/>
  <c r="D261"/>
  <c r="B262"/>
  <c r="A263"/>
  <c r="T107" i="4" l="1"/>
  <c r="A110"/>
  <c r="B109"/>
  <c r="M107"/>
  <c r="N107"/>
  <c r="P107"/>
  <c r="G108"/>
  <c r="H108"/>
  <c r="J108"/>
  <c r="K108"/>
  <c r="C108"/>
  <c r="D108"/>
  <c r="L108" s="1"/>
  <c r="A264" i="1"/>
  <c r="B263"/>
  <c r="C262"/>
  <c r="D262"/>
  <c r="M108" i="4" l="1"/>
  <c r="N108"/>
  <c r="S108" s="1"/>
  <c r="A111"/>
  <c r="B110"/>
  <c r="P108"/>
  <c r="G109"/>
  <c r="H109"/>
  <c r="J109"/>
  <c r="R108" s="1"/>
  <c r="K109"/>
  <c r="C109"/>
  <c r="D109"/>
  <c r="L109" s="1"/>
  <c r="S107"/>
  <c r="R107"/>
  <c r="B264" i="1"/>
  <c r="A265"/>
  <c r="C263"/>
  <c r="D263"/>
  <c r="A112" i="4" l="1"/>
  <c r="B111"/>
  <c r="M109"/>
  <c r="N109"/>
  <c r="P109"/>
  <c r="G110"/>
  <c r="H110"/>
  <c r="J110"/>
  <c r="K110"/>
  <c r="C110"/>
  <c r="D110"/>
  <c r="L110" s="1"/>
  <c r="T108"/>
  <c r="C264" i="1"/>
  <c r="D264"/>
  <c r="B265"/>
  <c r="A266"/>
  <c r="M110" i="4" l="1"/>
  <c r="N110"/>
  <c r="S110" s="1"/>
  <c r="P110"/>
  <c r="G111"/>
  <c r="H111"/>
  <c r="J111"/>
  <c r="K111"/>
  <c r="C111"/>
  <c r="D111"/>
  <c r="L111" s="1"/>
  <c r="S109"/>
  <c r="T109"/>
  <c r="R109"/>
  <c r="A113"/>
  <c r="B112"/>
  <c r="R110"/>
  <c r="T110"/>
  <c r="A267" i="1"/>
  <c r="B266"/>
  <c r="C265"/>
  <c r="D265"/>
  <c r="A114" i="4" l="1"/>
  <c r="B113"/>
  <c r="P111"/>
  <c r="G112"/>
  <c r="H112"/>
  <c r="J112"/>
  <c r="K112"/>
  <c r="C112"/>
  <c r="D112"/>
  <c r="L112" s="1"/>
  <c r="M111"/>
  <c r="N111"/>
  <c r="A268" i="1"/>
  <c r="B267"/>
  <c r="C266"/>
  <c r="D266"/>
  <c r="M112" i="4" l="1"/>
  <c r="N112"/>
  <c r="S112" s="1"/>
  <c r="A115"/>
  <c r="B114"/>
  <c r="S111"/>
  <c r="P112"/>
  <c r="G113"/>
  <c r="H113"/>
  <c r="J113"/>
  <c r="K113"/>
  <c r="C113"/>
  <c r="D113"/>
  <c r="L113" s="1"/>
  <c r="T111"/>
  <c r="R112"/>
  <c r="R111"/>
  <c r="B268" i="1"/>
  <c r="A269"/>
  <c r="C267"/>
  <c r="D267"/>
  <c r="P113" i="4" l="1"/>
  <c r="G114"/>
  <c r="H114"/>
  <c r="J114"/>
  <c r="K114"/>
  <c r="C114"/>
  <c r="D114"/>
  <c r="L114" s="1"/>
  <c r="M113"/>
  <c r="N113"/>
  <c r="S113" s="1"/>
  <c r="A116"/>
  <c r="B115"/>
  <c r="R113"/>
  <c r="T113"/>
  <c r="T112"/>
  <c r="C268" i="1"/>
  <c r="D268"/>
  <c r="B269"/>
  <c r="A270"/>
  <c r="M114" i="4" l="1"/>
  <c r="N114"/>
  <c r="A117"/>
  <c r="B116"/>
  <c r="P114"/>
  <c r="G115"/>
  <c r="H115"/>
  <c r="J115"/>
  <c r="R114" s="1"/>
  <c r="K115"/>
  <c r="C115"/>
  <c r="D115"/>
  <c r="L115" s="1"/>
  <c r="B270" i="1"/>
  <c r="A271"/>
  <c r="C269"/>
  <c r="D269"/>
  <c r="S114" i="4" l="1"/>
  <c r="A118"/>
  <c r="B117"/>
  <c r="P115"/>
  <c r="G116"/>
  <c r="H116"/>
  <c r="J116"/>
  <c r="K116"/>
  <c r="C116"/>
  <c r="D116"/>
  <c r="L116" s="1"/>
  <c r="T114"/>
  <c r="M115"/>
  <c r="N115"/>
  <c r="T115"/>
  <c r="C270" i="1"/>
  <c r="D270"/>
  <c r="A272"/>
  <c r="B271"/>
  <c r="M116" i="4" l="1"/>
  <c r="N116"/>
  <c r="A119"/>
  <c r="B118"/>
  <c r="P116"/>
  <c r="G117"/>
  <c r="H117"/>
  <c r="J117"/>
  <c r="T116" s="1"/>
  <c r="K117"/>
  <c r="C117"/>
  <c r="D117"/>
  <c r="L117" s="1"/>
  <c r="S115"/>
  <c r="R115"/>
  <c r="C271" i="1"/>
  <c r="D271"/>
  <c r="B272"/>
  <c r="A273"/>
  <c r="S116" i="4" l="1"/>
  <c r="P117"/>
  <c r="G118"/>
  <c r="H118"/>
  <c r="J118"/>
  <c r="K118"/>
  <c r="C118"/>
  <c r="D118"/>
  <c r="L118" s="1"/>
  <c r="T117"/>
  <c r="R116"/>
  <c r="M117"/>
  <c r="N117"/>
  <c r="S117" s="1"/>
  <c r="A120"/>
  <c r="B119"/>
  <c r="R117"/>
  <c r="B273" i="1"/>
  <c r="A274"/>
  <c r="C272"/>
  <c r="D272"/>
  <c r="T118" i="4" l="1"/>
  <c r="A121"/>
  <c r="B120"/>
  <c r="M118"/>
  <c r="N118"/>
  <c r="P118"/>
  <c r="G119"/>
  <c r="H119"/>
  <c r="J119"/>
  <c r="K119"/>
  <c r="C119"/>
  <c r="D119"/>
  <c r="L119" s="1"/>
  <c r="C273" i="1"/>
  <c r="D273"/>
  <c r="B274"/>
  <c r="A275"/>
  <c r="M119" i="4" l="1"/>
  <c r="N119"/>
  <c r="S119" s="1"/>
  <c r="A122"/>
  <c r="B121"/>
  <c r="P119"/>
  <c r="G120"/>
  <c r="H120"/>
  <c r="J120"/>
  <c r="R119" s="1"/>
  <c r="K120"/>
  <c r="C120"/>
  <c r="D120"/>
  <c r="L120" s="1"/>
  <c r="S118"/>
  <c r="R118"/>
  <c r="A276" i="1"/>
  <c r="B275"/>
  <c r="C274"/>
  <c r="D274"/>
  <c r="A123" i="4" l="1"/>
  <c r="B122"/>
  <c r="P120"/>
  <c r="G121"/>
  <c r="H121"/>
  <c r="J121"/>
  <c r="T120" s="1"/>
  <c r="K121"/>
  <c r="C121"/>
  <c r="D121"/>
  <c r="L121" s="1"/>
  <c r="M120"/>
  <c r="N120"/>
  <c r="T119"/>
  <c r="C275" i="1"/>
  <c r="D275"/>
  <c r="A277"/>
  <c r="B276"/>
  <c r="P121" i="4" l="1"/>
  <c r="G122"/>
  <c r="H122"/>
  <c r="J122"/>
  <c r="K122"/>
  <c r="C122"/>
  <c r="D122"/>
  <c r="L122" s="1"/>
  <c r="M121"/>
  <c r="N121"/>
  <c r="S121" s="1"/>
  <c r="A124"/>
  <c r="B123"/>
  <c r="R121"/>
  <c r="R120"/>
  <c r="S120"/>
  <c r="C276" i="1"/>
  <c r="D276"/>
  <c r="A278"/>
  <c r="B277"/>
  <c r="M122" i="4" l="1"/>
  <c r="N122"/>
  <c r="S122" s="1"/>
  <c r="A125"/>
  <c r="B124"/>
  <c r="P122"/>
  <c r="G123"/>
  <c r="H123"/>
  <c r="J123"/>
  <c r="K123"/>
  <c r="C123"/>
  <c r="D123"/>
  <c r="L123" s="1"/>
  <c r="T121"/>
  <c r="C277" i="1"/>
  <c r="D277"/>
  <c r="A279"/>
  <c r="B278"/>
  <c r="M123" i="4" l="1"/>
  <c r="N123"/>
  <c r="A126"/>
  <c r="B125"/>
  <c r="P123"/>
  <c r="G124"/>
  <c r="H124"/>
  <c r="J124"/>
  <c r="K124"/>
  <c r="C124"/>
  <c r="D124"/>
  <c r="L124" s="1"/>
  <c r="T122"/>
  <c r="R122"/>
  <c r="C278" i="1"/>
  <c r="D278"/>
  <c r="B279"/>
  <c r="A280"/>
  <c r="M124" i="4" l="1"/>
  <c r="N124"/>
  <c r="S124" s="1"/>
  <c r="P124"/>
  <c r="G125"/>
  <c r="H125"/>
  <c r="J125"/>
  <c r="K125"/>
  <c r="C125"/>
  <c r="D125"/>
  <c r="L125" s="1"/>
  <c r="R124"/>
  <c r="T124"/>
  <c r="R123"/>
  <c r="A127"/>
  <c r="B126"/>
  <c r="S123"/>
  <c r="T123"/>
  <c r="B280" i="1"/>
  <c r="A281"/>
  <c r="C279"/>
  <c r="D279"/>
  <c r="R125" i="4" l="1"/>
  <c r="A128"/>
  <c r="B127"/>
  <c r="P125"/>
  <c r="G126"/>
  <c r="H126"/>
  <c r="J126"/>
  <c r="K126"/>
  <c r="C126"/>
  <c r="D126"/>
  <c r="L126" s="1"/>
  <c r="M125"/>
  <c r="N125"/>
  <c r="C280" i="1"/>
  <c r="D280"/>
  <c r="A282"/>
  <c r="B281"/>
  <c r="M126" i="4" l="1"/>
  <c r="N126"/>
  <c r="S126" s="1"/>
  <c r="S125"/>
  <c r="A129"/>
  <c r="B128"/>
  <c r="P126"/>
  <c r="G127"/>
  <c r="H127"/>
  <c r="J127"/>
  <c r="K127"/>
  <c r="C127"/>
  <c r="D127"/>
  <c r="L127" s="1"/>
  <c r="T125"/>
  <c r="C281" i="1"/>
  <c r="D281"/>
  <c r="A283"/>
  <c r="B282"/>
  <c r="M127" i="4" l="1"/>
  <c r="N127"/>
  <c r="A130"/>
  <c r="B129"/>
  <c r="P127"/>
  <c r="G128"/>
  <c r="H128"/>
  <c r="J128"/>
  <c r="K128"/>
  <c r="C128"/>
  <c r="D128"/>
  <c r="L128" s="1"/>
  <c r="T126"/>
  <c r="R126"/>
  <c r="C282" i="1"/>
  <c r="D282"/>
  <c r="B283"/>
  <c r="A284"/>
  <c r="M128" i="4" l="1"/>
  <c r="N128"/>
  <c r="S128" s="1"/>
  <c r="P128"/>
  <c r="G129"/>
  <c r="H129"/>
  <c r="J129"/>
  <c r="K129"/>
  <c r="C129"/>
  <c r="D129"/>
  <c r="L129" s="1"/>
  <c r="R128"/>
  <c r="T128"/>
  <c r="T127"/>
  <c r="A131"/>
  <c r="B130"/>
  <c r="S127"/>
  <c r="R127"/>
  <c r="B284" i="1"/>
  <c r="A285"/>
  <c r="C283"/>
  <c r="D283"/>
  <c r="R129" i="4" l="1"/>
  <c r="A132"/>
  <c r="B131"/>
  <c r="P129"/>
  <c r="G130"/>
  <c r="H130"/>
  <c r="J130"/>
  <c r="T129" s="1"/>
  <c r="K130"/>
  <c r="C130"/>
  <c r="D130"/>
  <c r="L130" s="1"/>
  <c r="M129"/>
  <c r="N129"/>
  <c r="C284" i="1"/>
  <c r="D284"/>
  <c r="B285"/>
  <c r="A286"/>
  <c r="R130" i="4" l="1"/>
  <c r="A133"/>
  <c r="B132"/>
  <c r="S129"/>
  <c r="M130"/>
  <c r="N130"/>
  <c r="P130"/>
  <c r="G131"/>
  <c r="H131"/>
  <c r="J131"/>
  <c r="K131"/>
  <c r="C131"/>
  <c r="D131"/>
  <c r="L131" s="1"/>
  <c r="A287" i="1"/>
  <c r="B286"/>
  <c r="C285"/>
  <c r="D285"/>
  <c r="A134" i="4" l="1"/>
  <c r="B133"/>
  <c r="P131"/>
  <c r="G132"/>
  <c r="H132"/>
  <c r="J132"/>
  <c r="K132"/>
  <c r="C132"/>
  <c r="D132"/>
  <c r="L132" s="1"/>
  <c r="S130"/>
  <c r="M131"/>
  <c r="N131"/>
  <c r="T130"/>
  <c r="A288" i="1"/>
  <c r="B287"/>
  <c r="C286"/>
  <c r="D286"/>
  <c r="A135" i="4" l="1"/>
  <c r="B134"/>
  <c r="P132"/>
  <c r="G133"/>
  <c r="H133"/>
  <c r="J133"/>
  <c r="K133"/>
  <c r="C133"/>
  <c r="D133"/>
  <c r="L133" s="1"/>
  <c r="R132"/>
  <c r="M132"/>
  <c r="N132"/>
  <c r="S132" s="1"/>
  <c r="T132"/>
  <c r="R131"/>
  <c r="T131"/>
  <c r="S131"/>
  <c r="B288" i="1"/>
  <c r="A289"/>
  <c r="C287"/>
  <c r="D287"/>
  <c r="A136" i="4" l="1"/>
  <c r="B135"/>
  <c r="P133"/>
  <c r="G134"/>
  <c r="H134"/>
  <c r="J134"/>
  <c r="K134"/>
  <c r="C134"/>
  <c r="D134"/>
  <c r="L134" s="1"/>
  <c r="M133"/>
  <c r="N133"/>
  <c r="C288" i="1"/>
  <c r="D288"/>
  <c r="B289"/>
  <c r="A290"/>
  <c r="M134" i="4" l="1"/>
  <c r="N134"/>
  <c r="S134" s="1"/>
  <c r="P134"/>
  <c r="G135"/>
  <c r="H135"/>
  <c r="J135"/>
  <c r="K135"/>
  <c r="C135"/>
  <c r="D135"/>
  <c r="L135" s="1"/>
  <c r="R134"/>
  <c r="R133"/>
  <c r="S133"/>
  <c r="B136"/>
  <c r="A137"/>
  <c r="T134"/>
  <c r="T133"/>
  <c r="A291" i="1"/>
  <c r="B290"/>
  <c r="C289"/>
  <c r="D289"/>
  <c r="T135" i="4" l="1"/>
  <c r="H136"/>
  <c r="J136"/>
  <c r="K136"/>
  <c r="C136"/>
  <c r="D136"/>
  <c r="L136" s="1"/>
  <c r="G136"/>
  <c r="P135"/>
  <c r="B137"/>
  <c r="A138"/>
  <c r="M135"/>
  <c r="N135"/>
  <c r="C290" i="1"/>
  <c r="D290"/>
  <c r="A292"/>
  <c r="B291"/>
  <c r="K137" i="4" l="1"/>
  <c r="C137"/>
  <c r="D137"/>
  <c r="L137" s="1"/>
  <c r="G137"/>
  <c r="P136"/>
  <c r="H137"/>
  <c r="J137"/>
  <c r="M136"/>
  <c r="N136"/>
  <c r="R135"/>
  <c r="B138"/>
  <c r="A139"/>
  <c r="S135"/>
  <c r="C291" i="1"/>
  <c r="D291"/>
  <c r="B292"/>
  <c r="A293"/>
  <c r="M137" i="4" l="1"/>
  <c r="N137"/>
  <c r="C138"/>
  <c r="D138"/>
  <c r="L138" s="1"/>
  <c r="G138"/>
  <c r="P137"/>
  <c r="H138"/>
  <c r="J138"/>
  <c r="K138"/>
  <c r="S136"/>
  <c r="R136"/>
  <c r="T136"/>
  <c r="B139"/>
  <c r="A140"/>
  <c r="R137"/>
  <c r="T137"/>
  <c r="B293" i="1"/>
  <c r="A294"/>
  <c r="C292"/>
  <c r="D292"/>
  <c r="N138" i="4" l="1"/>
  <c r="M138"/>
  <c r="G139"/>
  <c r="P138"/>
  <c r="H139"/>
  <c r="J139"/>
  <c r="R138" s="1"/>
  <c r="K139"/>
  <c r="C139"/>
  <c r="D139"/>
  <c r="L139" s="1"/>
  <c r="B140"/>
  <c r="A141"/>
  <c r="S137"/>
  <c r="C293" i="1"/>
  <c r="D293"/>
  <c r="A295"/>
  <c r="B294"/>
  <c r="S138" i="4" l="1"/>
  <c r="B141"/>
  <c r="A142"/>
  <c r="M139"/>
  <c r="N139"/>
  <c r="H140"/>
  <c r="J140"/>
  <c r="T139" s="1"/>
  <c r="K140"/>
  <c r="C140"/>
  <c r="D140"/>
  <c r="L140" s="1"/>
  <c r="G140"/>
  <c r="P139"/>
  <c r="T138"/>
  <c r="C294" i="1"/>
  <c r="D294"/>
  <c r="A296"/>
  <c r="B295"/>
  <c r="K141" i="4" l="1"/>
  <c r="C141"/>
  <c r="D141"/>
  <c r="L141" s="1"/>
  <c r="G141"/>
  <c r="P140"/>
  <c r="H141"/>
  <c r="J141"/>
  <c r="M140"/>
  <c r="N140"/>
  <c r="R139"/>
  <c r="B142"/>
  <c r="A143"/>
  <c r="S139"/>
  <c r="C295" i="1"/>
  <c r="D295"/>
  <c r="B296"/>
  <c r="A297"/>
  <c r="M141" i="4" l="1"/>
  <c r="N141"/>
  <c r="S141" s="1"/>
  <c r="S140"/>
  <c r="R140"/>
  <c r="C142"/>
  <c r="D142"/>
  <c r="L142" s="1"/>
  <c r="G142"/>
  <c r="P141"/>
  <c r="H142"/>
  <c r="J142"/>
  <c r="K142"/>
  <c r="T140"/>
  <c r="B143"/>
  <c r="A144"/>
  <c r="R141"/>
  <c r="B297" i="1"/>
  <c r="A298"/>
  <c r="C296"/>
  <c r="D296"/>
  <c r="B144" i="4" l="1"/>
  <c r="A145"/>
  <c r="N142"/>
  <c r="S142" s="1"/>
  <c r="M142"/>
  <c r="T141"/>
  <c r="G143"/>
  <c r="P142"/>
  <c r="H143"/>
  <c r="J143"/>
  <c r="K143"/>
  <c r="C143"/>
  <c r="D143"/>
  <c r="L143" s="1"/>
  <c r="C297" i="1"/>
  <c r="D297"/>
  <c r="B298"/>
  <c r="A299"/>
  <c r="M143" i="4" l="1"/>
  <c r="N143"/>
  <c r="S143" s="1"/>
  <c r="R143"/>
  <c r="H144"/>
  <c r="J144"/>
  <c r="K144"/>
  <c r="C144"/>
  <c r="D144"/>
  <c r="L144" s="1"/>
  <c r="G144"/>
  <c r="P143"/>
  <c r="R142"/>
  <c r="B145"/>
  <c r="A146"/>
  <c r="T142"/>
  <c r="B299" i="1"/>
  <c r="A300"/>
  <c r="C298"/>
  <c r="D298"/>
  <c r="M144" i="4" l="1"/>
  <c r="N144"/>
  <c r="S144" s="1"/>
  <c r="B146"/>
  <c r="A147"/>
  <c r="K145"/>
  <c r="C145"/>
  <c r="D145"/>
  <c r="L145" s="1"/>
  <c r="G145"/>
  <c r="P144"/>
  <c r="H145"/>
  <c r="J145"/>
  <c r="R144" s="1"/>
  <c r="T143"/>
  <c r="C299" i="1"/>
  <c r="D299"/>
  <c r="A301"/>
  <c r="B301" s="1"/>
  <c r="B300"/>
  <c r="B147" i="4" l="1"/>
  <c r="A148"/>
  <c r="C146"/>
  <c r="D146"/>
  <c r="L146" s="1"/>
  <c r="G146"/>
  <c r="P145"/>
  <c r="H146"/>
  <c r="J146"/>
  <c r="K146"/>
  <c r="M145"/>
  <c r="N145"/>
  <c r="T144"/>
  <c r="C300" i="1"/>
  <c r="D300"/>
  <c r="C301"/>
  <c r="D301"/>
  <c r="G147" i="4" l="1"/>
  <c r="P146"/>
  <c r="H147"/>
  <c r="J147"/>
  <c r="K147"/>
  <c r="C147"/>
  <c r="D147"/>
  <c r="L147" s="1"/>
  <c r="B148"/>
  <c r="A149"/>
  <c r="N146"/>
  <c r="S146" s="1"/>
  <c r="M146"/>
  <c r="T145"/>
  <c r="R146"/>
  <c r="R145"/>
  <c r="S145"/>
  <c r="T146"/>
  <c r="H148" l="1"/>
  <c r="J148"/>
  <c r="K148"/>
  <c r="C148"/>
  <c r="D148"/>
  <c r="L148" s="1"/>
  <c r="G148"/>
  <c r="P147"/>
  <c r="B149"/>
  <c r="A150"/>
  <c r="M147"/>
  <c r="N147"/>
  <c r="K149" l="1"/>
  <c r="C149"/>
  <c r="D149"/>
  <c r="L149" s="1"/>
  <c r="G149"/>
  <c r="P148"/>
  <c r="H149"/>
  <c r="J149"/>
  <c r="B150"/>
  <c r="A151"/>
  <c r="M148"/>
  <c r="N148"/>
  <c r="S147"/>
  <c r="R147"/>
  <c r="T147"/>
  <c r="C150" l="1"/>
  <c r="D150"/>
  <c r="L150" s="1"/>
  <c r="G150"/>
  <c r="P149"/>
  <c r="H150"/>
  <c r="J150"/>
  <c r="K150"/>
  <c r="M149"/>
  <c r="N149"/>
  <c r="S149" s="1"/>
  <c r="B151"/>
  <c r="A152"/>
  <c r="R148"/>
  <c r="T148"/>
  <c r="R149"/>
  <c r="T149"/>
  <c r="S148"/>
  <c r="B152" l="1"/>
  <c r="A153"/>
  <c r="G151"/>
  <c r="P150"/>
  <c r="H151"/>
  <c r="J151"/>
  <c r="K151"/>
  <c r="C151"/>
  <c r="D151"/>
  <c r="L151" s="1"/>
  <c r="R150"/>
  <c r="T150"/>
  <c r="N150"/>
  <c r="S150" s="1"/>
  <c r="M150"/>
  <c r="R151" l="1"/>
  <c r="B153"/>
  <c r="A154"/>
  <c r="C152"/>
  <c r="D152"/>
  <c r="L152" s="1"/>
  <c r="G152"/>
  <c r="H152"/>
  <c r="J152"/>
  <c r="T151" s="1"/>
  <c r="K152"/>
  <c r="P151"/>
  <c r="M151"/>
  <c r="N151"/>
  <c r="C153" l="1"/>
  <c r="D153"/>
  <c r="L153" s="1"/>
  <c r="P152"/>
  <c r="G153"/>
  <c r="H153"/>
  <c r="J153"/>
  <c r="R152" s="1"/>
  <c r="K153"/>
  <c r="B154"/>
  <c r="A155"/>
  <c r="M152"/>
  <c r="N152"/>
  <c r="S151"/>
  <c r="R153" l="1"/>
  <c r="M153"/>
  <c r="N153"/>
  <c r="C154"/>
  <c r="D154"/>
  <c r="L154" s="1"/>
  <c r="P153"/>
  <c r="G154"/>
  <c r="H154"/>
  <c r="J154"/>
  <c r="K154"/>
  <c r="B155"/>
  <c r="A156"/>
  <c r="T152"/>
  <c r="S152"/>
  <c r="M154" l="1"/>
  <c r="N154"/>
  <c r="S154" s="1"/>
  <c r="R154"/>
  <c r="S153"/>
  <c r="C155"/>
  <c r="D155"/>
  <c r="L155" s="1"/>
  <c r="P154"/>
  <c r="G155"/>
  <c r="H155"/>
  <c r="J155"/>
  <c r="T154" s="1"/>
  <c r="K155"/>
  <c r="B156"/>
  <c r="A157"/>
  <c r="T153"/>
  <c r="C156" l="1"/>
  <c r="D156"/>
  <c r="L156" s="1"/>
  <c r="P155"/>
  <c r="G156"/>
  <c r="H156"/>
  <c r="J156"/>
  <c r="K156"/>
  <c r="M155"/>
  <c r="N155"/>
  <c r="B157"/>
  <c r="A158"/>
  <c r="M156" l="1"/>
  <c r="N156"/>
  <c r="S156" s="1"/>
  <c r="B158"/>
  <c r="A159"/>
  <c r="R155"/>
  <c r="C157"/>
  <c r="D157"/>
  <c r="L157" s="1"/>
  <c r="P156"/>
  <c r="G157"/>
  <c r="H157"/>
  <c r="J157"/>
  <c r="K157"/>
  <c r="S155"/>
  <c r="T155"/>
  <c r="C158" l="1"/>
  <c r="D158"/>
  <c r="L158" s="1"/>
  <c r="P157"/>
  <c r="G158"/>
  <c r="H158"/>
  <c r="J158"/>
  <c r="K158"/>
  <c r="M157"/>
  <c r="N157"/>
  <c r="S157" s="1"/>
  <c r="B159"/>
  <c r="A160"/>
  <c r="R157"/>
  <c r="T156"/>
  <c r="T157"/>
  <c r="R156"/>
  <c r="C159" l="1"/>
  <c r="D159"/>
  <c r="L159" s="1"/>
  <c r="P158"/>
  <c r="G159"/>
  <c r="H159"/>
  <c r="J159"/>
  <c r="K159"/>
  <c r="R158"/>
  <c r="T158"/>
  <c r="B160"/>
  <c r="A161"/>
  <c r="M158"/>
  <c r="N158"/>
  <c r="S158" s="1"/>
  <c r="C160" l="1"/>
  <c r="D160"/>
  <c r="L160" s="1"/>
  <c r="P159"/>
  <c r="G160"/>
  <c r="H160"/>
  <c r="J160"/>
  <c r="T159" s="1"/>
  <c r="K160"/>
  <c r="B161"/>
  <c r="A162"/>
  <c r="M159"/>
  <c r="N159"/>
  <c r="R160" l="1"/>
  <c r="T160"/>
  <c r="S159"/>
  <c r="M160"/>
  <c r="N160"/>
  <c r="S160" s="1"/>
  <c r="B162"/>
  <c r="A163"/>
  <c r="C161"/>
  <c r="D161"/>
  <c r="L161" s="1"/>
  <c r="P160"/>
  <c r="G161"/>
  <c r="H161"/>
  <c r="J161"/>
  <c r="K161"/>
  <c r="R159"/>
  <c r="C162" l="1"/>
  <c r="D162"/>
  <c r="L162" s="1"/>
  <c r="P161"/>
  <c r="G162"/>
  <c r="H162"/>
  <c r="J162"/>
  <c r="K162"/>
  <c r="T161"/>
  <c r="M161"/>
  <c r="N161"/>
  <c r="S161" s="1"/>
  <c r="B163"/>
  <c r="A164"/>
  <c r="R161"/>
  <c r="R162" l="1"/>
  <c r="C163"/>
  <c r="D163"/>
  <c r="L163" s="1"/>
  <c r="P162"/>
  <c r="G163"/>
  <c r="H163"/>
  <c r="J163"/>
  <c r="T162" s="1"/>
  <c r="K163"/>
  <c r="B164"/>
  <c r="A165"/>
  <c r="M162"/>
  <c r="N162"/>
  <c r="C164" l="1"/>
  <c r="D164"/>
  <c r="L164" s="1"/>
  <c r="P163"/>
  <c r="G164"/>
  <c r="H164"/>
  <c r="J164"/>
  <c r="K164"/>
  <c r="R163"/>
  <c r="B165"/>
  <c r="A166"/>
  <c r="S162"/>
  <c r="M163"/>
  <c r="N163"/>
  <c r="S163" s="1"/>
  <c r="T163"/>
  <c r="C165" l="1"/>
  <c r="D165"/>
  <c r="L165" s="1"/>
  <c r="P164"/>
  <c r="G165"/>
  <c r="H165"/>
  <c r="J165"/>
  <c r="T164" s="1"/>
  <c r="K165"/>
  <c r="B166"/>
  <c r="A167"/>
  <c r="M164"/>
  <c r="N164"/>
  <c r="B167" l="1"/>
  <c r="A168"/>
  <c r="R165"/>
  <c r="M165"/>
  <c r="N165"/>
  <c r="C166"/>
  <c r="D166"/>
  <c r="L166" s="1"/>
  <c r="P165"/>
  <c r="G166"/>
  <c r="H166"/>
  <c r="J166"/>
  <c r="K166"/>
  <c r="R164"/>
  <c r="S164"/>
  <c r="S165" l="1"/>
  <c r="C167"/>
  <c r="D167"/>
  <c r="L167" s="1"/>
  <c r="P166"/>
  <c r="G167"/>
  <c r="H167"/>
  <c r="J167"/>
  <c r="K167"/>
  <c r="B168"/>
  <c r="A169"/>
  <c r="M166"/>
  <c r="N166"/>
  <c r="T165"/>
  <c r="T166"/>
  <c r="M167" l="1"/>
  <c r="N167"/>
  <c r="C168"/>
  <c r="D168"/>
  <c r="L168" s="1"/>
  <c r="P167"/>
  <c r="G168"/>
  <c r="H168"/>
  <c r="J168"/>
  <c r="K168"/>
  <c r="B169"/>
  <c r="A170"/>
  <c r="R166"/>
  <c r="S166"/>
  <c r="T167"/>
  <c r="C169" l="1"/>
  <c r="D169"/>
  <c r="L169" s="1"/>
  <c r="P168"/>
  <c r="G169"/>
  <c r="H169"/>
  <c r="J169"/>
  <c r="K169"/>
  <c r="S167"/>
  <c r="T168"/>
  <c r="M168"/>
  <c r="N168"/>
  <c r="S168" s="1"/>
  <c r="B170"/>
  <c r="A171"/>
  <c r="R168"/>
  <c r="R167"/>
  <c r="C170" l="1"/>
  <c r="D170"/>
  <c r="L170" s="1"/>
  <c r="P169"/>
  <c r="G170"/>
  <c r="H170"/>
  <c r="J170"/>
  <c r="K170"/>
  <c r="B171"/>
  <c r="A172"/>
  <c r="M169"/>
  <c r="N169"/>
  <c r="M170" l="1"/>
  <c r="N170"/>
  <c r="C171"/>
  <c r="D171"/>
  <c r="L171" s="1"/>
  <c r="P170"/>
  <c r="G171"/>
  <c r="H171"/>
  <c r="J171"/>
  <c r="K171"/>
  <c r="B172"/>
  <c r="A173"/>
  <c r="R169"/>
  <c r="S169"/>
  <c r="T169"/>
  <c r="M171" l="1"/>
  <c r="N171"/>
  <c r="C172"/>
  <c r="D172"/>
  <c r="L172" s="1"/>
  <c r="P171"/>
  <c r="G172"/>
  <c r="H172"/>
  <c r="J172"/>
  <c r="T171" s="1"/>
  <c r="K172"/>
  <c r="T170"/>
  <c r="S170"/>
  <c r="R170"/>
  <c r="B173"/>
  <c r="A174"/>
  <c r="C173" l="1"/>
  <c r="D173"/>
  <c r="L173" s="1"/>
  <c r="P172"/>
  <c r="G173"/>
  <c r="H173"/>
  <c r="J173"/>
  <c r="K173"/>
  <c r="B174"/>
  <c r="A175"/>
  <c r="R172"/>
  <c r="R171"/>
  <c r="S171"/>
  <c r="T172"/>
  <c r="M172"/>
  <c r="N172"/>
  <c r="S172" s="1"/>
  <c r="C174" l="1"/>
  <c r="D174"/>
  <c r="L174" s="1"/>
  <c r="P173"/>
  <c r="G174"/>
  <c r="H174"/>
  <c r="J174"/>
  <c r="K174"/>
  <c r="B175"/>
  <c r="A176"/>
  <c r="R173"/>
  <c r="T173"/>
  <c r="M173"/>
  <c r="N173"/>
  <c r="S173" s="1"/>
  <c r="C175" l="1"/>
  <c r="D175"/>
  <c r="L175" s="1"/>
  <c r="P174"/>
  <c r="G175"/>
  <c r="H175"/>
  <c r="J175"/>
  <c r="K175"/>
  <c r="B176"/>
  <c r="A177"/>
  <c r="T174"/>
  <c r="M174"/>
  <c r="N174"/>
  <c r="S174" s="1"/>
  <c r="R174"/>
  <c r="R175" l="1"/>
  <c r="B177"/>
  <c r="A178"/>
  <c r="C176"/>
  <c r="D176"/>
  <c r="L176" s="1"/>
  <c r="P175"/>
  <c r="G176"/>
  <c r="H176"/>
  <c r="J176"/>
  <c r="K176"/>
  <c r="M175"/>
  <c r="N175"/>
  <c r="B178" l="1"/>
  <c r="A179"/>
  <c r="R176"/>
  <c r="S175"/>
  <c r="M176"/>
  <c r="N176"/>
  <c r="C177"/>
  <c r="D177"/>
  <c r="L177" s="1"/>
  <c r="P176"/>
  <c r="G177"/>
  <c r="H177"/>
  <c r="J177"/>
  <c r="K177"/>
  <c r="T175"/>
  <c r="C178" l="1"/>
  <c r="D178"/>
  <c r="L178" s="1"/>
  <c r="P177"/>
  <c r="G178"/>
  <c r="H178"/>
  <c r="J178"/>
  <c r="K178"/>
  <c r="B179"/>
  <c r="A180"/>
  <c r="S176"/>
  <c r="M177"/>
  <c r="N177"/>
  <c r="T176"/>
  <c r="C179" l="1"/>
  <c r="D179"/>
  <c r="L179" s="1"/>
  <c r="P178"/>
  <c r="G179"/>
  <c r="H179"/>
  <c r="J179"/>
  <c r="K179"/>
  <c r="M178"/>
  <c r="N178"/>
  <c r="S178" s="1"/>
  <c r="B180"/>
  <c r="A181"/>
  <c r="R178"/>
  <c r="T177"/>
  <c r="T178"/>
  <c r="R177"/>
  <c r="S177"/>
  <c r="C180" l="1"/>
  <c r="D180"/>
  <c r="L180" s="1"/>
  <c r="P179"/>
  <c r="G180"/>
  <c r="H180"/>
  <c r="J180"/>
  <c r="K180"/>
  <c r="B181"/>
  <c r="A182"/>
  <c r="R179"/>
  <c r="M179"/>
  <c r="N179"/>
  <c r="S179" s="1"/>
  <c r="T179"/>
  <c r="R180" l="1"/>
  <c r="B182"/>
  <c r="A183"/>
  <c r="C181"/>
  <c r="D181"/>
  <c r="L181" s="1"/>
  <c r="P180"/>
  <c r="G181"/>
  <c r="H181"/>
  <c r="J181"/>
  <c r="K181"/>
  <c r="M180"/>
  <c r="N180"/>
  <c r="M181" l="1"/>
  <c r="N181"/>
  <c r="S181" s="1"/>
  <c r="C182"/>
  <c r="D182"/>
  <c r="L182" s="1"/>
  <c r="P181"/>
  <c r="G182"/>
  <c r="H182"/>
  <c r="J182"/>
  <c r="K182"/>
  <c r="B183"/>
  <c r="A184"/>
  <c r="T180"/>
  <c r="S180"/>
  <c r="T182" l="1"/>
  <c r="M182"/>
  <c r="N182"/>
  <c r="S182" s="1"/>
  <c r="R181"/>
  <c r="T181"/>
  <c r="C183"/>
  <c r="D183"/>
  <c r="L183" s="1"/>
  <c r="P182"/>
  <c r="G183"/>
  <c r="H183"/>
  <c r="J183"/>
  <c r="K183"/>
  <c r="B184"/>
  <c r="A185"/>
  <c r="R182"/>
  <c r="M183" l="1"/>
  <c r="N183"/>
  <c r="S183" s="1"/>
  <c r="C184"/>
  <c r="D184"/>
  <c r="L184" s="1"/>
  <c r="P183"/>
  <c r="G184"/>
  <c r="H184"/>
  <c r="J184"/>
  <c r="R183" s="1"/>
  <c r="K184"/>
  <c r="B185"/>
  <c r="A186"/>
  <c r="B186" l="1"/>
  <c r="A187"/>
  <c r="R184"/>
  <c r="M184"/>
  <c r="N184"/>
  <c r="C185"/>
  <c r="D185"/>
  <c r="L185" s="1"/>
  <c r="P184"/>
  <c r="G185"/>
  <c r="H185"/>
  <c r="J185"/>
  <c r="K185"/>
  <c r="T183"/>
  <c r="C186" l="1"/>
  <c r="D186"/>
  <c r="L186" s="1"/>
  <c r="P185"/>
  <c r="G186"/>
  <c r="H186"/>
  <c r="J186"/>
  <c r="K186"/>
  <c r="B187"/>
  <c r="A188"/>
  <c r="M185"/>
  <c r="N185"/>
  <c r="S185" s="1"/>
  <c r="S184"/>
  <c r="R185"/>
  <c r="T184"/>
  <c r="T185"/>
  <c r="R186" l="1"/>
  <c r="B188"/>
  <c r="A189"/>
  <c r="C187"/>
  <c r="D187"/>
  <c r="L187" s="1"/>
  <c r="P186"/>
  <c r="G187"/>
  <c r="H187"/>
  <c r="J187"/>
  <c r="K187"/>
  <c r="M186"/>
  <c r="N186"/>
  <c r="C188" l="1"/>
  <c r="D188"/>
  <c r="L188" s="1"/>
  <c r="P187"/>
  <c r="G188"/>
  <c r="H188"/>
  <c r="J188"/>
  <c r="T187" s="1"/>
  <c r="K188"/>
  <c r="M187"/>
  <c r="N187"/>
  <c r="B189"/>
  <c r="A190"/>
  <c r="S186"/>
  <c r="T186"/>
  <c r="C189" l="1"/>
  <c r="D189"/>
  <c r="L189" s="1"/>
  <c r="P188"/>
  <c r="G189"/>
  <c r="H189"/>
  <c r="J189"/>
  <c r="K189"/>
  <c r="B190"/>
  <c r="A191"/>
  <c r="R188"/>
  <c r="T188"/>
  <c r="M188"/>
  <c r="N188"/>
  <c r="S188" s="1"/>
  <c r="R187"/>
  <c r="S187"/>
  <c r="C190" l="1"/>
  <c r="D190"/>
  <c r="L190" s="1"/>
  <c r="P189"/>
  <c r="G190"/>
  <c r="H190"/>
  <c r="J190"/>
  <c r="K190"/>
  <c r="B191"/>
  <c r="A192"/>
  <c r="M189"/>
  <c r="N189"/>
  <c r="M190" l="1"/>
  <c r="N190"/>
  <c r="S190" s="1"/>
  <c r="T189"/>
  <c r="S189"/>
  <c r="C191"/>
  <c r="D191"/>
  <c r="L191" s="1"/>
  <c r="P190"/>
  <c r="G191"/>
  <c r="H191"/>
  <c r="J191"/>
  <c r="K191"/>
  <c r="B192"/>
  <c r="A193"/>
  <c r="R190"/>
  <c r="R189"/>
  <c r="M191" l="1"/>
  <c r="N191"/>
  <c r="S191" s="1"/>
  <c r="C192"/>
  <c r="D192"/>
  <c r="L192" s="1"/>
  <c r="P191"/>
  <c r="G192"/>
  <c r="H192"/>
  <c r="J192"/>
  <c r="K192"/>
  <c r="B193"/>
  <c r="A194"/>
  <c r="T190"/>
  <c r="C193" l="1"/>
  <c r="D193"/>
  <c r="L193" s="1"/>
  <c r="P192"/>
  <c r="G193"/>
  <c r="H193"/>
  <c r="J193"/>
  <c r="K193"/>
  <c r="M192"/>
  <c r="N192"/>
  <c r="B194"/>
  <c r="A195"/>
  <c r="R191"/>
  <c r="T191"/>
  <c r="M193" l="1"/>
  <c r="N193"/>
  <c r="S193" s="1"/>
  <c r="C194"/>
  <c r="D194"/>
  <c r="L194" s="1"/>
  <c r="P193"/>
  <c r="G194"/>
  <c r="H194"/>
  <c r="J194"/>
  <c r="K194"/>
  <c r="T192"/>
  <c r="R192"/>
  <c r="B195"/>
  <c r="A196"/>
  <c r="S192"/>
  <c r="B196" l="1"/>
  <c r="A197"/>
  <c r="R194"/>
  <c r="T194"/>
  <c r="M194"/>
  <c r="N194"/>
  <c r="R193"/>
  <c r="C195"/>
  <c r="D195"/>
  <c r="L195" s="1"/>
  <c r="P194"/>
  <c r="G195"/>
  <c r="H195"/>
  <c r="J195"/>
  <c r="K195"/>
  <c r="T193"/>
  <c r="B197" l="1"/>
  <c r="A198"/>
  <c r="C196"/>
  <c r="D196"/>
  <c r="L196" s="1"/>
  <c r="P195"/>
  <c r="G196"/>
  <c r="H196"/>
  <c r="J196"/>
  <c r="T195" s="1"/>
  <c r="K196"/>
  <c r="S194"/>
  <c r="M195"/>
  <c r="N195"/>
  <c r="B198" l="1"/>
  <c r="A199"/>
  <c r="R196"/>
  <c r="M196"/>
  <c r="N196"/>
  <c r="S196" s="1"/>
  <c r="S195"/>
  <c r="C197"/>
  <c r="D197"/>
  <c r="L197" s="1"/>
  <c r="P196"/>
  <c r="G197"/>
  <c r="H197"/>
  <c r="J197"/>
  <c r="K197"/>
  <c r="R195"/>
  <c r="C198" l="1"/>
  <c r="D198"/>
  <c r="L198" s="1"/>
  <c r="P197"/>
  <c r="G198"/>
  <c r="H198"/>
  <c r="J198"/>
  <c r="T197" s="1"/>
  <c r="K198"/>
  <c r="B199"/>
  <c r="A200"/>
  <c r="M197"/>
  <c r="N197"/>
  <c r="T196"/>
  <c r="R198" l="1"/>
  <c r="T198"/>
  <c r="R197"/>
  <c r="M198"/>
  <c r="N198"/>
  <c r="C199"/>
  <c r="D199"/>
  <c r="L199" s="1"/>
  <c r="P198"/>
  <c r="G199"/>
  <c r="H199"/>
  <c r="J199"/>
  <c r="K199"/>
  <c r="B200"/>
  <c r="A201"/>
  <c r="S197"/>
  <c r="S198" l="1"/>
  <c r="M199"/>
  <c r="N199"/>
  <c r="C200"/>
  <c r="D200"/>
  <c r="L200" s="1"/>
  <c r="P199"/>
  <c r="G200"/>
  <c r="H200"/>
  <c r="J200"/>
  <c r="K200"/>
  <c r="B201"/>
  <c r="A202"/>
  <c r="T200" l="1"/>
  <c r="M200"/>
  <c r="N200"/>
  <c r="C201"/>
  <c r="D201"/>
  <c r="L201" s="1"/>
  <c r="P200"/>
  <c r="G201"/>
  <c r="H201"/>
  <c r="J201"/>
  <c r="K201"/>
  <c r="B202"/>
  <c r="A203"/>
  <c r="S199"/>
  <c r="R199"/>
  <c r="T199"/>
  <c r="S200" l="1"/>
  <c r="T201"/>
  <c r="M201"/>
  <c r="N201"/>
  <c r="S201" s="1"/>
  <c r="R200"/>
  <c r="C202"/>
  <c r="D202"/>
  <c r="L202" s="1"/>
  <c r="P201"/>
  <c r="G202"/>
  <c r="H202"/>
  <c r="J202"/>
  <c r="K202"/>
  <c r="B203"/>
  <c r="A204"/>
  <c r="B204" l="1"/>
  <c r="A205"/>
  <c r="M202"/>
  <c r="N202"/>
  <c r="S202" s="1"/>
  <c r="R201"/>
  <c r="C203"/>
  <c r="D203"/>
  <c r="L203" s="1"/>
  <c r="P202"/>
  <c r="G203"/>
  <c r="H203"/>
  <c r="J203"/>
  <c r="K203"/>
  <c r="M203" l="1"/>
  <c r="N203"/>
  <c r="S203" s="1"/>
  <c r="B205"/>
  <c r="A206"/>
  <c r="T203"/>
  <c r="R202"/>
  <c r="C204"/>
  <c r="D204"/>
  <c r="L204" s="1"/>
  <c r="P203"/>
  <c r="G204"/>
  <c r="H204"/>
  <c r="J204"/>
  <c r="K204"/>
  <c r="T202"/>
  <c r="C205" l="1"/>
  <c r="D205"/>
  <c r="L205" s="1"/>
  <c r="P204"/>
  <c r="G205"/>
  <c r="H205"/>
  <c r="J205"/>
  <c r="K205"/>
  <c r="B206"/>
  <c r="A207"/>
  <c r="M204"/>
  <c r="N204"/>
  <c r="S204" s="1"/>
  <c r="R203"/>
  <c r="T204"/>
  <c r="R204"/>
  <c r="C206" l="1"/>
  <c r="D206"/>
  <c r="L206" s="1"/>
  <c r="P205"/>
  <c r="G206"/>
  <c r="H206"/>
  <c r="J206"/>
  <c r="K206"/>
  <c r="B207"/>
  <c r="A208"/>
  <c r="R205"/>
  <c r="M205"/>
  <c r="N205"/>
  <c r="S205" s="1"/>
  <c r="T205"/>
  <c r="C207" l="1"/>
  <c r="D207"/>
  <c r="L207" s="1"/>
  <c r="P206"/>
  <c r="G207"/>
  <c r="H207"/>
  <c r="J207"/>
  <c r="T206" s="1"/>
  <c r="K207"/>
  <c r="B208"/>
  <c r="A209"/>
  <c r="M206"/>
  <c r="N206"/>
  <c r="C208" l="1"/>
  <c r="D208"/>
  <c r="L208" s="1"/>
  <c r="P207"/>
  <c r="G208"/>
  <c r="H208"/>
  <c r="J208"/>
  <c r="K208"/>
  <c r="B209"/>
  <c r="A210"/>
  <c r="S206"/>
  <c r="M207"/>
  <c r="N207"/>
  <c r="S207" s="1"/>
  <c r="T207"/>
  <c r="R207"/>
  <c r="R206"/>
  <c r="C209" l="1"/>
  <c r="D209"/>
  <c r="L209" s="1"/>
  <c r="P208"/>
  <c r="G209"/>
  <c r="H209"/>
  <c r="J209"/>
  <c r="K209"/>
  <c r="B210"/>
  <c r="A211"/>
  <c r="M208"/>
  <c r="N208"/>
  <c r="C210" l="1"/>
  <c r="D210"/>
  <c r="L210" s="1"/>
  <c r="P209"/>
  <c r="G210"/>
  <c r="H210"/>
  <c r="J210"/>
  <c r="K210"/>
  <c r="B211"/>
  <c r="A212"/>
  <c r="R209"/>
  <c r="M209"/>
  <c r="N209"/>
  <c r="S209" s="1"/>
  <c r="S208"/>
  <c r="R208"/>
  <c r="T208"/>
  <c r="T209"/>
  <c r="R210" l="1"/>
  <c r="B212"/>
  <c r="A213"/>
  <c r="C211"/>
  <c r="D211"/>
  <c r="L211" s="1"/>
  <c r="P210"/>
  <c r="G211"/>
  <c r="H211"/>
  <c r="J211"/>
  <c r="K211"/>
  <c r="M210"/>
  <c r="N210"/>
  <c r="B213" l="1"/>
  <c r="A214"/>
  <c r="R211"/>
  <c r="T211"/>
  <c r="M211"/>
  <c r="N211"/>
  <c r="C212"/>
  <c r="D212"/>
  <c r="L212" s="1"/>
  <c r="P211"/>
  <c r="G212"/>
  <c r="H212"/>
  <c r="J212"/>
  <c r="K212"/>
  <c r="S210"/>
  <c r="T210"/>
  <c r="C213" l="1"/>
  <c r="D213"/>
  <c r="L213" s="1"/>
  <c r="P212"/>
  <c r="G213"/>
  <c r="H213"/>
  <c r="J213"/>
  <c r="K213"/>
  <c r="B214"/>
  <c r="A215"/>
  <c r="R212"/>
  <c r="S211"/>
  <c r="M212"/>
  <c r="N212"/>
  <c r="S212" s="1"/>
  <c r="T212"/>
  <c r="C214" l="1"/>
  <c r="D214"/>
  <c r="L214" s="1"/>
  <c r="P213"/>
  <c r="G214"/>
  <c r="H214"/>
  <c r="J214"/>
  <c r="K214"/>
  <c r="R213"/>
  <c r="T213"/>
  <c r="B215"/>
  <c r="A216"/>
  <c r="M213"/>
  <c r="N213"/>
  <c r="S213" s="1"/>
  <c r="C215" l="1"/>
  <c r="D215"/>
  <c r="L215" s="1"/>
  <c r="P214"/>
  <c r="G215"/>
  <c r="H215"/>
  <c r="J215"/>
  <c r="K215"/>
  <c r="B216"/>
  <c r="A217"/>
  <c r="M214"/>
  <c r="N214"/>
  <c r="C216" l="1"/>
  <c r="D216"/>
  <c r="L216" s="1"/>
  <c r="P215"/>
  <c r="G216"/>
  <c r="H216"/>
  <c r="J216"/>
  <c r="K216"/>
  <c r="B217"/>
  <c r="A218"/>
  <c r="R215"/>
  <c r="M215"/>
  <c r="N215"/>
  <c r="S215" s="1"/>
  <c r="R214"/>
  <c r="S214"/>
  <c r="T214"/>
  <c r="T215"/>
  <c r="C217" l="1"/>
  <c r="D217"/>
  <c r="L217" s="1"/>
  <c r="P216"/>
  <c r="G217"/>
  <c r="H217"/>
  <c r="J217"/>
  <c r="T216" s="1"/>
  <c r="K217"/>
  <c r="B218"/>
  <c r="A219"/>
  <c r="M216"/>
  <c r="N216"/>
  <c r="B219" l="1"/>
  <c r="A220"/>
  <c r="R217"/>
  <c r="S216"/>
  <c r="M217"/>
  <c r="N217"/>
  <c r="C218"/>
  <c r="D218"/>
  <c r="L218" s="1"/>
  <c r="P217"/>
  <c r="G218"/>
  <c r="H218"/>
  <c r="J218"/>
  <c r="K218"/>
  <c r="R216"/>
  <c r="T217"/>
  <c r="M218" l="1"/>
  <c r="N218"/>
  <c r="S218" s="1"/>
  <c r="S217"/>
  <c r="C219"/>
  <c r="D219"/>
  <c r="L219" s="1"/>
  <c r="P218"/>
  <c r="G219"/>
  <c r="H219"/>
  <c r="J219"/>
  <c r="K219"/>
  <c r="B220"/>
  <c r="A221"/>
  <c r="R219" l="1"/>
  <c r="T219"/>
  <c r="M219"/>
  <c r="N219"/>
  <c r="C220"/>
  <c r="D220"/>
  <c r="L220" s="1"/>
  <c r="P219"/>
  <c r="G220"/>
  <c r="H220"/>
  <c r="J220"/>
  <c r="K220"/>
  <c r="B221"/>
  <c r="A222"/>
  <c r="T218"/>
  <c r="R218"/>
  <c r="C221" l="1"/>
  <c r="D221"/>
  <c r="L221" s="1"/>
  <c r="P220"/>
  <c r="G221"/>
  <c r="H221"/>
  <c r="J221"/>
  <c r="K221"/>
  <c r="M220"/>
  <c r="N220"/>
  <c r="S220" s="1"/>
  <c r="B222"/>
  <c r="A223"/>
  <c r="R220"/>
  <c r="T220"/>
  <c r="S219"/>
  <c r="C222" l="1"/>
  <c r="D222"/>
  <c r="L222" s="1"/>
  <c r="P221"/>
  <c r="G222"/>
  <c r="H222"/>
  <c r="J222"/>
  <c r="T221" s="1"/>
  <c r="K222"/>
  <c r="B223"/>
  <c r="A224"/>
  <c r="M221"/>
  <c r="N221"/>
  <c r="R221" l="1"/>
  <c r="C223"/>
  <c r="D223"/>
  <c r="L223" s="1"/>
  <c r="P222"/>
  <c r="G223"/>
  <c r="H223"/>
  <c r="J223"/>
  <c r="K223"/>
  <c r="B224"/>
  <c r="A225"/>
  <c r="M222"/>
  <c r="N222"/>
  <c r="S221"/>
  <c r="M223" l="1"/>
  <c r="N223"/>
  <c r="S223" s="1"/>
  <c r="R223"/>
  <c r="T223"/>
  <c r="R222"/>
  <c r="B225"/>
  <c r="A226"/>
  <c r="S222"/>
  <c r="C224"/>
  <c r="D224"/>
  <c r="L224" s="1"/>
  <c r="P223"/>
  <c r="G224"/>
  <c r="H224"/>
  <c r="J224"/>
  <c r="K224"/>
  <c r="T222"/>
  <c r="R224" l="1"/>
  <c r="C225"/>
  <c r="D225"/>
  <c r="L225" s="1"/>
  <c r="P224"/>
  <c r="G225"/>
  <c r="H225"/>
  <c r="J225"/>
  <c r="K225"/>
  <c r="M224"/>
  <c r="N224"/>
  <c r="B226"/>
  <c r="A227"/>
  <c r="M225" l="1"/>
  <c r="N225"/>
  <c r="C226"/>
  <c r="D226"/>
  <c r="L226" s="1"/>
  <c r="P225"/>
  <c r="G226"/>
  <c r="H226"/>
  <c r="J226"/>
  <c r="T225" s="1"/>
  <c r="K226"/>
  <c r="B227"/>
  <c r="A228"/>
  <c r="T224"/>
  <c r="S224"/>
  <c r="R226" l="1"/>
  <c r="T226"/>
  <c r="M226"/>
  <c r="N226"/>
  <c r="C227"/>
  <c r="D227"/>
  <c r="L227" s="1"/>
  <c r="P226"/>
  <c r="G227"/>
  <c r="H227"/>
  <c r="J227"/>
  <c r="K227"/>
  <c r="B228"/>
  <c r="A229"/>
  <c r="S225"/>
  <c r="R225"/>
  <c r="M227" l="1"/>
  <c r="N227"/>
  <c r="S227" s="1"/>
  <c r="R227"/>
  <c r="B229"/>
  <c r="A230"/>
  <c r="S226"/>
  <c r="C228"/>
  <c r="D228"/>
  <c r="L228" s="1"/>
  <c r="P227"/>
  <c r="G228"/>
  <c r="H228"/>
  <c r="J228"/>
  <c r="K228"/>
  <c r="B230" l="1"/>
  <c r="A231"/>
  <c r="C229"/>
  <c r="D229"/>
  <c r="L229" s="1"/>
  <c r="P228"/>
  <c r="G229"/>
  <c r="H229"/>
  <c r="J229"/>
  <c r="K229"/>
  <c r="M228"/>
  <c r="N228"/>
  <c r="T227"/>
  <c r="M229" l="1"/>
  <c r="N229"/>
  <c r="C230"/>
  <c r="D230"/>
  <c r="L230" s="1"/>
  <c r="P229"/>
  <c r="G230"/>
  <c r="H230"/>
  <c r="J230"/>
  <c r="K230"/>
  <c r="T228"/>
  <c r="R228"/>
  <c r="B231"/>
  <c r="A232"/>
  <c r="R229"/>
  <c r="S228"/>
  <c r="M230" l="1"/>
  <c r="N230"/>
  <c r="C231"/>
  <c r="D231"/>
  <c r="L231" s="1"/>
  <c r="P230"/>
  <c r="G231"/>
  <c r="H231"/>
  <c r="J231"/>
  <c r="R230" s="1"/>
  <c r="K231"/>
  <c r="B232"/>
  <c r="A233"/>
  <c r="S229"/>
  <c r="T229"/>
  <c r="R231" l="1"/>
  <c r="T230"/>
  <c r="B233"/>
  <c r="A234"/>
  <c r="S230"/>
  <c r="M231"/>
  <c r="N231"/>
  <c r="S231" s="1"/>
  <c r="C232"/>
  <c r="D232"/>
  <c r="L232" s="1"/>
  <c r="P231"/>
  <c r="G232"/>
  <c r="H232"/>
  <c r="J232"/>
  <c r="T231" s="1"/>
  <c r="K232"/>
  <c r="C233" l="1"/>
  <c r="D233"/>
  <c r="L233" s="1"/>
  <c r="P232"/>
  <c r="G233"/>
  <c r="H233"/>
  <c r="J233"/>
  <c r="R232" s="1"/>
  <c r="R54" s="1"/>
  <c r="K233"/>
  <c r="A235"/>
  <c r="B234"/>
  <c r="M232"/>
  <c r="N232"/>
  <c r="A236" l="1"/>
  <c r="B235"/>
  <c r="G234"/>
  <c r="H234"/>
  <c r="P233"/>
  <c r="P54" s="1"/>
  <c r="C234"/>
  <c r="D234"/>
  <c r="S232"/>
  <c r="S54" s="1"/>
  <c r="M233"/>
  <c r="N233"/>
  <c r="T232"/>
  <c r="T54" s="1"/>
  <c r="G235" l="1"/>
  <c r="H235"/>
  <c r="C235"/>
  <c r="D235"/>
  <c r="A237"/>
  <c r="B236"/>
  <c r="A238" l="1"/>
  <c r="B237"/>
  <c r="H236"/>
  <c r="C236"/>
  <c r="D236"/>
  <c r="G236"/>
  <c r="C237" l="1"/>
  <c r="D237"/>
  <c r="G237"/>
  <c r="H237"/>
  <c r="B238"/>
  <c r="A239"/>
  <c r="C238" l="1"/>
  <c r="D238"/>
  <c r="G238"/>
  <c r="H238"/>
  <c r="B239"/>
  <c r="A240"/>
  <c r="C239" l="1"/>
  <c r="D239"/>
  <c r="G239"/>
  <c r="H239"/>
  <c r="A241"/>
  <c r="B240"/>
  <c r="A242" l="1"/>
  <c r="B241"/>
  <c r="C240"/>
  <c r="D240"/>
  <c r="G240"/>
  <c r="H240"/>
  <c r="D241" l="1"/>
  <c r="G241"/>
  <c r="H241"/>
  <c r="C241"/>
  <c r="A243"/>
  <c r="B242"/>
  <c r="A244" l="1"/>
  <c r="B243"/>
  <c r="G242"/>
  <c r="H242"/>
  <c r="C242"/>
  <c r="D242"/>
  <c r="A245" l="1"/>
  <c r="B244"/>
  <c r="G243"/>
  <c r="H243"/>
  <c r="C243"/>
  <c r="D243"/>
  <c r="A246" l="1"/>
  <c r="B245"/>
  <c r="H244"/>
  <c r="C244"/>
  <c r="D244"/>
  <c r="G244"/>
  <c r="B246" l="1"/>
  <c r="A247"/>
  <c r="C245"/>
  <c r="D245"/>
  <c r="G245"/>
  <c r="H245"/>
  <c r="B247" l="1"/>
  <c r="A248"/>
  <c r="C246"/>
  <c r="D246"/>
  <c r="G246"/>
  <c r="H246"/>
  <c r="C247" l="1"/>
  <c r="D247"/>
  <c r="G247"/>
  <c r="H247"/>
  <c r="A249"/>
  <c r="B248"/>
  <c r="A250" l="1"/>
  <c r="B249"/>
  <c r="C248"/>
  <c r="D248"/>
  <c r="G248"/>
  <c r="H248"/>
  <c r="D249" l="1"/>
  <c r="G249"/>
  <c r="H249"/>
  <c r="C249"/>
  <c r="A251"/>
  <c r="B250"/>
  <c r="A252" l="1"/>
  <c r="B251"/>
  <c r="G250"/>
  <c r="H250"/>
  <c r="C250"/>
  <c r="D250"/>
  <c r="G251" l="1"/>
  <c r="H251"/>
  <c r="C251"/>
  <c r="D251"/>
  <c r="A253"/>
  <c r="B252"/>
  <c r="A254" l="1"/>
  <c r="B253"/>
  <c r="H252"/>
  <c r="C252"/>
  <c r="D252"/>
  <c r="G252"/>
  <c r="C253" l="1"/>
  <c r="D253"/>
  <c r="G253"/>
  <c r="H253"/>
  <c r="B254"/>
  <c r="A255"/>
  <c r="C254" l="1"/>
  <c r="D254"/>
  <c r="G254"/>
  <c r="H254"/>
  <c r="B255"/>
  <c r="A256"/>
  <c r="C255" l="1"/>
  <c r="D255"/>
  <c r="G255"/>
  <c r="H255"/>
  <c r="A257"/>
  <c r="B256"/>
  <c r="A258" l="1"/>
  <c r="B257"/>
  <c r="C256"/>
  <c r="D256"/>
  <c r="G256"/>
  <c r="H256"/>
  <c r="A259" l="1"/>
  <c r="B258"/>
  <c r="D257"/>
  <c r="G257"/>
  <c r="H257"/>
  <c r="C257"/>
  <c r="A260" l="1"/>
  <c r="B259"/>
  <c r="G258"/>
  <c r="H258"/>
  <c r="C258"/>
  <c r="D258"/>
  <c r="G259" l="1"/>
  <c r="H259"/>
  <c r="C259"/>
  <c r="D259"/>
  <c r="A261"/>
  <c r="B260"/>
  <c r="A262" l="1"/>
  <c r="B261"/>
  <c r="H260"/>
  <c r="C260"/>
  <c r="D260"/>
  <c r="G260"/>
  <c r="C261" l="1"/>
  <c r="D261"/>
  <c r="G261"/>
  <c r="H261"/>
  <c r="B262"/>
  <c r="A263"/>
  <c r="C262" l="1"/>
  <c r="D262"/>
  <c r="G262"/>
  <c r="H262"/>
  <c r="B263"/>
  <c r="A264"/>
  <c r="C263" l="1"/>
  <c r="D263"/>
  <c r="G263"/>
  <c r="H263"/>
  <c r="A265"/>
  <c r="B264"/>
  <c r="A266" l="1"/>
  <c r="B265"/>
  <c r="C264"/>
  <c r="D264"/>
  <c r="G264"/>
  <c r="H264"/>
  <c r="A267" l="1"/>
  <c r="B266"/>
  <c r="D265"/>
  <c r="G265"/>
  <c r="H265"/>
  <c r="C265"/>
  <c r="A268" l="1"/>
  <c r="B267"/>
  <c r="G266"/>
  <c r="H266"/>
  <c r="C266"/>
  <c r="D266"/>
  <c r="A269" l="1"/>
  <c r="B268"/>
  <c r="G267"/>
  <c r="H267"/>
  <c r="C267"/>
  <c r="D267"/>
  <c r="A270" l="1"/>
  <c r="B269"/>
  <c r="H268"/>
  <c r="C268"/>
  <c r="D268"/>
  <c r="G268"/>
  <c r="B270" l="1"/>
  <c r="A271"/>
  <c r="C269"/>
  <c r="D269"/>
  <c r="G269"/>
  <c r="H269"/>
  <c r="C270" l="1"/>
  <c r="D270"/>
  <c r="G270"/>
  <c r="H270"/>
  <c r="B271"/>
  <c r="A272"/>
  <c r="C271" l="1"/>
  <c r="D271"/>
  <c r="G271"/>
  <c r="H271"/>
  <c r="A273"/>
  <c r="B272"/>
  <c r="A274" l="1"/>
  <c r="B273"/>
  <c r="C272"/>
  <c r="D272"/>
  <c r="G272"/>
  <c r="H272"/>
  <c r="A275" l="1"/>
  <c r="B274"/>
  <c r="D273"/>
  <c r="G273"/>
  <c r="H273"/>
  <c r="C273"/>
  <c r="A276" l="1"/>
  <c r="B275"/>
  <c r="G274"/>
  <c r="H274"/>
  <c r="C274"/>
  <c r="D274"/>
  <c r="A277" l="1"/>
  <c r="B276"/>
  <c r="G275"/>
  <c r="H275"/>
  <c r="C275"/>
  <c r="D275"/>
  <c r="A278" l="1"/>
  <c r="B277"/>
  <c r="H276"/>
  <c r="C276"/>
  <c r="D276"/>
  <c r="G276"/>
  <c r="C277" l="1"/>
  <c r="D277"/>
  <c r="G277"/>
  <c r="H277"/>
  <c r="B278"/>
  <c r="A279"/>
  <c r="C278" l="1"/>
  <c r="D278"/>
  <c r="G278"/>
  <c r="H278"/>
  <c r="B279"/>
  <c r="A280"/>
  <c r="C279" l="1"/>
  <c r="D279"/>
  <c r="G279"/>
  <c r="H279"/>
  <c r="A281"/>
  <c r="B280"/>
  <c r="A282" l="1"/>
  <c r="B281"/>
  <c r="C280"/>
  <c r="D280"/>
  <c r="G280"/>
  <c r="H280"/>
  <c r="D281" l="1"/>
  <c r="G281"/>
  <c r="H281"/>
  <c r="C281"/>
  <c r="A283"/>
  <c r="B282"/>
  <c r="A284" l="1"/>
  <c r="B283"/>
  <c r="G282"/>
  <c r="H282"/>
  <c r="C282"/>
  <c r="D282"/>
  <c r="G283" l="1"/>
  <c r="H283"/>
  <c r="C283"/>
  <c r="D283"/>
  <c r="A285"/>
  <c r="B284"/>
  <c r="A286" l="1"/>
  <c r="B285"/>
  <c r="H284"/>
  <c r="C284"/>
  <c r="D284"/>
  <c r="G284"/>
  <c r="C285" l="1"/>
  <c r="D285"/>
  <c r="G285"/>
  <c r="H285"/>
  <c r="B286"/>
  <c r="A287"/>
  <c r="C286" l="1"/>
  <c r="D286"/>
  <c r="G286"/>
  <c r="H286"/>
  <c r="B287"/>
  <c r="A288"/>
  <c r="C287" l="1"/>
  <c r="D287"/>
  <c r="G287"/>
  <c r="H287"/>
  <c r="A289"/>
  <c r="B288"/>
  <c r="A290" l="1"/>
  <c r="B289"/>
  <c r="C288"/>
  <c r="D288"/>
  <c r="G288"/>
  <c r="H288"/>
  <c r="D289" l="1"/>
  <c r="G289"/>
  <c r="H289"/>
  <c r="C289"/>
  <c r="A291"/>
  <c r="B290"/>
  <c r="A292" l="1"/>
  <c r="B291"/>
  <c r="G290"/>
  <c r="H290"/>
  <c r="C290"/>
  <c r="D290"/>
  <c r="G291" l="1"/>
  <c r="H291"/>
  <c r="C291"/>
  <c r="D291"/>
  <c r="A293"/>
  <c r="B292"/>
  <c r="A294" l="1"/>
  <c r="B293"/>
  <c r="H292"/>
  <c r="C292"/>
  <c r="D292"/>
  <c r="G292"/>
  <c r="C293" l="1"/>
  <c r="D293"/>
  <c r="G293"/>
  <c r="H293"/>
  <c r="B294"/>
  <c r="A295"/>
  <c r="C294" l="1"/>
  <c r="D294"/>
  <c r="G294"/>
  <c r="H294"/>
  <c r="B295"/>
  <c r="A296"/>
  <c r="C295" l="1"/>
  <c r="D295"/>
  <c r="G295"/>
  <c r="H295"/>
  <c r="A297"/>
  <c r="B296"/>
  <c r="A298" l="1"/>
  <c r="B297"/>
  <c r="C296"/>
  <c r="D296"/>
  <c r="G296"/>
  <c r="H296"/>
  <c r="A299" l="1"/>
  <c r="B298"/>
  <c r="D297"/>
  <c r="G297"/>
  <c r="H297"/>
  <c r="C297"/>
  <c r="A300" l="1"/>
  <c r="B299"/>
  <c r="G298"/>
  <c r="H298"/>
  <c r="C298"/>
  <c r="D298"/>
  <c r="A301" l="1"/>
  <c r="B301" s="1"/>
  <c r="B300"/>
  <c r="G299"/>
  <c r="H299"/>
  <c r="C299"/>
  <c r="D299"/>
  <c r="C301" l="1"/>
  <c r="D301"/>
  <c r="G301"/>
  <c r="H301"/>
  <c r="H300"/>
  <c r="C300"/>
  <c r="D300"/>
  <c r="G300"/>
</calcChain>
</file>

<file path=xl/sharedStrings.xml><?xml version="1.0" encoding="utf-8"?>
<sst xmlns="http://schemas.openxmlformats.org/spreadsheetml/2006/main" count="26" uniqueCount="14">
  <si>
    <t>Meridonal</t>
  </si>
  <si>
    <t>Zonal</t>
  </si>
  <si>
    <t>Cauchy</t>
  </si>
  <si>
    <t>Fat-tail</t>
  </si>
  <si>
    <t>Thin-tail</t>
  </si>
  <si>
    <t>wavelength</t>
  </si>
  <si>
    <t>k data</t>
  </si>
  <si>
    <t>wavelength data</t>
  </si>
  <si>
    <t>exp</t>
  </si>
  <si>
    <t>logistic</t>
  </si>
  <si>
    <t>cauchy</t>
  </si>
  <si>
    <t>delayedExp</t>
  </si>
  <si>
    <t>Gamma</t>
  </si>
  <si>
    <t>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</si>
</sst>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9F73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057174103237099"/>
          <c:y val="5.1400554097404488E-2"/>
          <c:w val="0.78044203849518878"/>
          <c:h val="0.8326195683872849"/>
        </c:manualLayout>
      </c:layout>
      <c:scatterChart>
        <c:scatterStyle val="lineMarker"/>
        <c:ser>
          <c:idx val="0"/>
          <c:order val="0"/>
          <c:tx>
            <c:strRef>
              <c:f>Sheet1!$F$4</c:f>
              <c:strCache>
                <c:ptCount val="1"/>
                <c:pt idx="0">
                  <c:v>delayedExp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Sheet1!$B$5:$B$301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Sheet1!$F$5:$F$301</c:f>
              <c:numCache>
                <c:formatCode>General</c:formatCode>
                <c:ptCount val="297"/>
                <c:pt idx="0">
                  <c:v>41105897.568878599</c:v>
                </c:pt>
                <c:pt idx="1">
                  <c:v>41133943.331391379</c:v>
                </c:pt>
                <c:pt idx="2">
                  <c:v>41164716.856145129</c:v>
                </c:pt>
                <c:pt idx="3">
                  <c:v>41198485.759472884</c:v>
                </c:pt>
                <c:pt idx="4">
                  <c:v>41235544.377940245</c:v>
                </c:pt>
                <c:pt idx="5">
                  <c:v>41276216.52902063</c:v>
                </c:pt>
                <c:pt idx="6">
                  <c:v>41320858.575222395</c:v>
                </c:pt>
                <c:pt idx="7">
                  <c:v>41369862.828488</c:v>
                </c:pt>
                <c:pt idx="8">
                  <c:v>41423661.336771294</c:v>
                </c:pt>
                <c:pt idx="9">
                  <c:v>41482730.100589246</c:v>
                </c:pt>
                <c:pt idx="10">
                  <c:v>41547593.77417504</c:v>
                </c:pt>
                <c:pt idx="11">
                  <c:v>41618830.91380015</c:v>
                </c:pt>
                <c:pt idx="12">
                  <c:v>41697079.845076963</c:v>
                </c:pt>
                <c:pt idx="13">
                  <c:v>41783045.231834933</c:v>
                </c:pt>
                <c:pt idx="14">
                  <c:v>41877505.441754445</c:v>
                </c:pt>
                <c:pt idx="15">
                  <c:v>41981320.818667188</c:v>
                </c:pt>
                <c:pt idx="16">
                  <c:v>42095442.988667533</c:v>
                </c:pt>
                <c:pt idx="17">
                  <c:v>42220925.347368389</c:v>
                </c:pt>
                <c:pt idx="18">
                  <c:v>42358934.899290748</c:v>
                </c:pt>
                <c:pt idx="19">
                  <c:v>42510765.648086548</c:v>
                </c:pt>
                <c:pt idx="20">
                  <c:v>42677853.768729649</c:v>
                </c:pt>
                <c:pt idx="21">
                  <c:v>42861794.830711611</c:v>
                </c:pt>
                <c:pt idx="22">
                  <c:v>43064363.385452278</c:v>
                </c:pt>
                <c:pt idx="23">
                  <c:v>43287535.282408945</c:v>
                </c:pt>
                <c:pt idx="24">
                  <c:v>43533513.137531124</c:v>
                </c:pt>
                <c:pt idx="25">
                  <c:v>43804755.445392154</c:v>
                </c:pt>
                <c:pt idx="26">
                  <c:v>44104009.902805477</c:v>
                </c:pt>
                <c:pt idx="27">
                  <c:v>44434351.596581325</c:v>
                </c:pt>
                <c:pt idx="28">
                  <c:v>44799226.799637705</c:v>
                </c:pt>
                <c:pt idx="29">
                  <c:v>45202503.214169763</c:v>
                </c:pt>
                <c:pt idx="30">
                  <c:v>45648527.590695664</c:v>
                </c:pt>
                <c:pt idx="31">
                  <c:v>46142191.724456176</c:v>
                </c:pt>
                <c:pt idx="32">
                  <c:v>46689007.863437966</c:v>
                </c:pt>
                <c:pt idx="33">
                  <c:v>47295194.51782158</c:v>
                </c:pt>
                <c:pt idx="34">
                  <c:v>47967773.477641344</c:v>
                </c:pt>
                <c:pt idx="35">
                  <c:v>48714678.424592875</c:v>
                </c:pt>
                <c:pt idx="36">
                  <c:v>49544874.705761686</c:v>
                </c:pt>
                <c:pt idx="37">
                  <c:v>50468488.366979264</c:v>
                </c:pt>
                <c:pt idx="38">
                  <c:v>51496940.017292187</c:v>
                </c:pt>
                <c:pt idx="39">
                  <c:v>52643074.875084557</c:v>
                </c:pt>
                <c:pt idx="40">
                  <c:v>53921273.428300299</c:v>
                </c:pt>
                <c:pt idx="41">
                  <c:v>55347515.965744399</c:v>
                </c:pt>
                <c:pt idx="42">
                  <c:v>56939356.405685656</c:v>
                </c:pt>
                <c:pt idx="43">
                  <c:v>58715732.748533219</c:v>
                </c:pt>
                <c:pt idx="44">
                  <c:v>60696497.838312596</c:v>
                </c:pt>
                <c:pt idx="45">
                  <c:v>62901487.646172322</c:v>
                </c:pt>
                <c:pt idx="46">
                  <c:v>65348845.917254142</c:v>
                </c:pt>
                <c:pt idx="47">
                  <c:v>68052184.955036372</c:v>
                </c:pt>
                <c:pt idx="48">
                  <c:v>71015980.772299647</c:v>
                </c:pt>
                <c:pt idx="49">
                  <c:v>74228399.238480508</c:v>
                </c:pt>
                <c:pt idx="50">
                  <c:v>77650612.462490797</c:v>
                </c:pt>
                <c:pt idx="51">
                  <c:v>81201807.790432379</c:v>
                </c:pt>
                <c:pt idx="52">
                  <c:v>84739964.996403843</c:v>
                </c:pt>
                <c:pt idx="53">
                  <c:v>88040826.092303321</c:v>
                </c:pt>
                <c:pt idx="54">
                  <c:v>90782120.34195219</c:v>
                </c:pt>
                <c:pt idx="55">
                  <c:v>92546862.774700135</c:v>
                </c:pt>
                <c:pt idx="56">
                  <c:v>92864950.215992779</c:v>
                </c:pt>
                <c:pt idx="57">
                  <c:v>91307473.563137412</c:v>
                </c:pt>
                <c:pt idx="58">
                  <c:v>87622873.274767801</c:v>
                </c:pt>
                <c:pt idx="59">
                  <c:v>81862608.41706568</c:v>
                </c:pt>
                <c:pt idx="60">
                  <c:v>74420312.435052335</c:v>
                </c:pt>
                <c:pt idx="61">
                  <c:v>65942905.938976869</c:v>
                </c:pt>
                <c:pt idx="62">
                  <c:v>57152496.882494397</c:v>
                </c:pt>
                <c:pt idx="63">
                  <c:v>48671909.318123229</c:v>
                </c:pt>
                <c:pt idx="64">
                  <c:v>40926601.966428451</c:v>
                </c:pt>
                <c:pt idx="65">
                  <c:v>34133999.967904724</c:v>
                </c:pt>
                <c:pt idx="66">
                  <c:v>28347347.32327015</c:v>
                </c:pt>
                <c:pt idx="67">
                  <c:v>23515189.802200846</c:v>
                </c:pt>
                <c:pt idx="68">
                  <c:v>19532648.307606816</c:v>
                </c:pt>
                <c:pt idx="69">
                  <c:v>16276655.758972418</c:v>
                </c:pt>
                <c:pt idx="70">
                  <c:v>13626424.769170003</c:v>
                </c:pt>
                <c:pt idx="71">
                  <c:v>11473397.141184388</c:v>
                </c:pt>
                <c:pt idx="72">
                  <c:v>9724775.4135227483</c:v>
                </c:pt>
                <c:pt idx="73">
                  <c:v>8303605.6223237542</c:v>
                </c:pt>
                <c:pt idx="74">
                  <c:v>7147263.3173372131</c:v>
                </c:pt>
                <c:pt idx="75">
                  <c:v>6205382.2943394557</c:v>
                </c:pt>
                <c:pt idx="76">
                  <c:v>5437753.9694370143</c:v>
                </c:pt>
                <c:pt idx="77">
                  <c:v>4812431.5785265388</c:v>
                </c:pt>
                <c:pt idx="78">
                  <c:v>4304116.4641851606</c:v>
                </c:pt>
                <c:pt idx="79">
                  <c:v>3892825.2376214303</c:v>
                </c:pt>
                <c:pt idx="80">
                  <c:v>3562799.2546560043</c:v>
                </c:pt>
                <c:pt idx="81">
                  <c:v>3301598.7651305958</c:v>
                </c:pt>
                <c:pt idx="82">
                  <c:v>3099308.8791269967</c:v>
                </c:pt>
                <c:pt idx="83">
                  <c:v>2947763.3250871431</c:v>
                </c:pt>
                <c:pt idx="84">
                  <c:v>2839659.3158750846</c:v>
                </c:pt>
                <c:pt idx="85">
                  <c:v>2767398.9867786542</c:v>
                </c:pt>
                <c:pt idx="86">
                  <c:v>2721493.8083696365</c:v>
                </c:pt>
                <c:pt idx="87">
                  <c:v>2688545.9086704366</c:v>
                </c:pt>
                <c:pt idx="88">
                  <c:v>2649455.0895814048</c:v>
                </c:pt>
                <c:pt idx="89">
                  <c:v>2579802.4386056219</c:v>
                </c:pt>
                <c:pt idx="90">
                  <c:v>2455447.6813134598</c:v>
                </c:pt>
                <c:pt idx="91">
                  <c:v>2264067.4654433401</c:v>
                </c:pt>
                <c:pt idx="92">
                  <c:v>2015688.7818835797</c:v>
                </c:pt>
                <c:pt idx="93">
                  <c:v>1740782.4193441614</c:v>
                </c:pt>
                <c:pt idx="94">
                  <c:v>1475062.8918627854</c:v>
                </c:pt>
                <c:pt idx="95">
                  <c:v>1244346.6031669676</c:v>
                </c:pt>
                <c:pt idx="96">
                  <c:v>1059873.1819164823</c:v>
                </c:pt>
                <c:pt idx="97">
                  <c:v>922043.8616997872</c:v>
                </c:pt>
                <c:pt idx="98">
                  <c:v>825957.83966904262</c:v>
                </c:pt>
                <c:pt idx="99">
                  <c:v>765006.80917198933</c:v>
                </c:pt>
                <c:pt idx="100">
                  <c:v>731803.26988038816</c:v>
                </c:pt>
                <c:pt idx="101">
                  <c:v>716717.70290805062</c:v>
                </c:pt>
                <c:pt idx="102">
                  <c:v>705081.55220271926</c:v>
                </c:pt>
                <c:pt idx="103">
                  <c:v>677376.50793404412</c:v>
                </c:pt>
                <c:pt idx="104">
                  <c:v>619603.1943928299</c:v>
                </c:pt>
                <c:pt idx="105">
                  <c:v>538007.95895998715</c:v>
                </c:pt>
                <c:pt idx="106">
                  <c:v>454978.07025416865</c:v>
                </c:pt>
                <c:pt idx="107">
                  <c:v>389318.18924257753</c:v>
                </c:pt>
                <c:pt idx="108">
                  <c:v>347574.99094292772</c:v>
                </c:pt>
                <c:pt idx="109">
                  <c:v>327518.94988753251</c:v>
                </c:pt>
                <c:pt idx="110">
                  <c:v>320771.043551429</c:v>
                </c:pt>
                <c:pt idx="111">
                  <c:v>311834.00055571616</c:v>
                </c:pt>
                <c:pt idx="112">
                  <c:v>285222.80999097129</c:v>
                </c:pt>
                <c:pt idx="113">
                  <c:v>244486.47833767408</c:v>
                </c:pt>
                <c:pt idx="114">
                  <c:v>208390.78048772502</c:v>
                </c:pt>
                <c:pt idx="115">
                  <c:v>188067.00786416265</c:v>
                </c:pt>
                <c:pt idx="116">
                  <c:v>181709.72190854032</c:v>
                </c:pt>
                <c:pt idx="117">
                  <c:v>176810.22328448624</c:v>
                </c:pt>
                <c:pt idx="118">
                  <c:v>159220.28508392771</c:v>
                </c:pt>
                <c:pt idx="119">
                  <c:v>135133.10626972627</c:v>
                </c:pt>
                <c:pt idx="120">
                  <c:v>120147.86992183901</c:v>
                </c:pt>
                <c:pt idx="121">
                  <c:v>116215.52247306261</c:v>
                </c:pt>
                <c:pt idx="122">
                  <c:v>110954.74653140467</c:v>
                </c:pt>
                <c:pt idx="123">
                  <c:v>95944.23885134155</c:v>
                </c:pt>
                <c:pt idx="124">
                  <c:v>83759.272306477302</c:v>
                </c:pt>
                <c:pt idx="125">
                  <c:v>80722.197926502136</c:v>
                </c:pt>
                <c:pt idx="126">
                  <c:v>75786.346403595177</c:v>
                </c:pt>
                <c:pt idx="127">
                  <c:v>64711.709725650224</c:v>
                </c:pt>
                <c:pt idx="128">
                  <c:v>59677.773694951342</c:v>
                </c:pt>
                <c:pt idx="129">
                  <c:v>57419.534728337007</c:v>
                </c:pt>
                <c:pt idx="130">
                  <c:v>49420.031295287037</c:v>
                </c:pt>
                <c:pt idx="131">
                  <c:v>45618.597429556256</c:v>
                </c:pt>
                <c:pt idx="132">
                  <c:v>43157.089776324792</c:v>
                </c:pt>
                <c:pt idx="133">
                  <c:v>37146.647928539183</c:v>
                </c:pt>
                <c:pt idx="134">
                  <c:v>35705.904813763445</c:v>
                </c:pt>
                <c:pt idx="135">
                  <c:v>31463.308627433755</c:v>
                </c:pt>
                <c:pt idx="136">
                  <c:v>29137.96372924139</c:v>
                </c:pt>
                <c:pt idx="137">
                  <c:v>26509.758887661668</c:v>
                </c:pt>
                <c:pt idx="138">
                  <c:v>24108.870539154042</c:v>
                </c:pt>
                <c:pt idx="139">
                  <c:v>22008.000565787308</c:v>
                </c:pt>
                <c:pt idx="140">
                  <c:v>20225.123524734026</c:v>
                </c:pt>
                <c:pt idx="141">
                  <c:v>18066.772907059152</c:v>
                </c:pt>
                <c:pt idx="142">
                  <c:v>17045.734673699812</c:v>
                </c:pt>
                <c:pt idx="143">
                  <c:v>14990.750334650105</c:v>
                </c:pt>
                <c:pt idx="144">
                  <c:v>13922.13329138012</c:v>
                </c:pt>
                <c:pt idx="145">
                  <c:v>12875.425465717155</c:v>
                </c:pt>
                <c:pt idx="146">
                  <c:v>11433.879972549485</c:v>
                </c:pt>
                <c:pt idx="147">
                  <c:v>10420.5315436744</c:v>
                </c:pt>
                <c:pt idx="148">
                  <c:v>9691.1679694477825</c:v>
                </c:pt>
                <c:pt idx="149">
                  <c:v>8900.9790278067067</c:v>
                </c:pt>
                <c:pt idx="150">
                  <c:v>8064.115905365913</c:v>
                </c:pt>
                <c:pt idx="151">
                  <c:v>7293.9754183534251</c:v>
                </c:pt>
                <c:pt idx="152">
                  <c:v>6622.5284807534154</c:v>
                </c:pt>
                <c:pt idx="153">
                  <c:v>6035.647865092712</c:v>
                </c:pt>
                <c:pt idx="154">
                  <c:v>5518.5396665813942</c:v>
                </c:pt>
                <c:pt idx="155">
                  <c:v>5062.3098560805256</c:v>
                </c:pt>
                <c:pt idx="156">
                  <c:v>4647.3746082229172</c:v>
                </c:pt>
                <c:pt idx="157">
                  <c:v>4230.8555155612212</c:v>
                </c:pt>
                <c:pt idx="158">
                  <c:v>3806.2490938070778</c:v>
                </c:pt>
                <c:pt idx="159">
                  <c:v>3474.1088455667164</c:v>
                </c:pt>
                <c:pt idx="160">
                  <c:v>3212.9212307351804</c:v>
                </c:pt>
                <c:pt idx="161">
                  <c:v>2881.6443908247143</c:v>
                </c:pt>
                <c:pt idx="162">
                  <c:v>2668.8990414300642</c:v>
                </c:pt>
                <c:pt idx="163">
                  <c:v>2397.4488708641975</c:v>
                </c:pt>
                <c:pt idx="164">
                  <c:v>2213.6087196940675</c:v>
                </c:pt>
                <c:pt idx="165">
                  <c:v>2018.2192079507586</c:v>
                </c:pt>
                <c:pt idx="166">
                  <c:v>1825.5929120117532</c:v>
                </c:pt>
                <c:pt idx="167">
                  <c:v>1660.9967492194676</c:v>
                </c:pt>
                <c:pt idx="168">
                  <c:v>1515.0818724284943</c:v>
                </c:pt>
                <c:pt idx="169">
                  <c:v>1382.7880520910389</c:v>
                </c:pt>
                <c:pt idx="170">
                  <c:v>1266.7052540580037</c:v>
                </c:pt>
                <c:pt idx="171">
                  <c:v>1162.4916480363006</c:v>
                </c:pt>
                <c:pt idx="172">
                  <c:v>1051.4101156895758</c:v>
                </c:pt>
                <c:pt idx="173">
                  <c:v>964.06911901298133</c:v>
                </c:pt>
                <c:pt idx="174">
                  <c:v>873.54819959639735</c:v>
                </c:pt>
                <c:pt idx="175">
                  <c:v>802.17405385923553</c:v>
                </c:pt>
                <c:pt idx="176">
                  <c:v>732.69501723058443</c:v>
                </c:pt>
                <c:pt idx="177">
                  <c:v>668.05995088089139</c:v>
                </c:pt>
                <c:pt idx="178">
                  <c:v>608.81969650348572</c:v>
                </c:pt>
                <c:pt idx="179">
                  <c:v>552.15974281260333</c:v>
                </c:pt>
                <c:pt idx="180">
                  <c:v>505.12394498324579</c:v>
                </c:pt>
                <c:pt idx="181">
                  <c:v>459.32256198698883</c:v>
                </c:pt>
                <c:pt idx="182">
                  <c:v>420.83850915469878</c:v>
                </c:pt>
                <c:pt idx="183">
                  <c:v>384.02721518836825</c:v>
                </c:pt>
                <c:pt idx="184">
                  <c:v>349.75181909036149</c:v>
                </c:pt>
                <c:pt idx="185">
                  <c:v>317.61353894171481</c:v>
                </c:pt>
                <c:pt idx="186">
                  <c:v>291.23256631094068</c:v>
                </c:pt>
                <c:pt idx="187">
                  <c:v>264.71334285888463</c:v>
                </c:pt>
                <c:pt idx="188">
                  <c:v>241.25263211460819</c:v>
                </c:pt>
                <c:pt idx="189">
                  <c:v>220.58522376238611</c:v>
                </c:pt>
                <c:pt idx="190">
                  <c:v>200.93977633795831</c:v>
                </c:pt>
                <c:pt idx="191">
                  <c:v>183.62411075033415</c:v>
                </c:pt>
                <c:pt idx="192">
                  <c:v>167.39001346190932</c:v>
                </c:pt>
                <c:pt idx="193">
                  <c:v>152.66749455975759</c:v>
                </c:pt>
                <c:pt idx="194">
                  <c:v>138.84550153852038</c:v>
                </c:pt>
                <c:pt idx="195">
                  <c:v>126.57687853768124</c:v>
                </c:pt>
                <c:pt idx="196">
                  <c:v>115.48146524576428</c:v>
                </c:pt>
                <c:pt idx="197">
                  <c:v>105.60276600117929</c:v>
                </c:pt>
                <c:pt idx="198">
                  <c:v>96.315259364526383</c:v>
                </c:pt>
                <c:pt idx="199">
                  <c:v>87.800186281247505</c:v>
                </c:pt>
                <c:pt idx="200">
                  <c:v>79.989957562955183</c:v>
                </c:pt>
                <c:pt idx="201">
                  <c:v>72.952669763439474</c:v>
                </c:pt>
                <c:pt idx="202">
                  <c:v>66.58578369973948</c:v>
                </c:pt>
                <c:pt idx="203">
                  <c:v>60.758837833352828</c:v>
                </c:pt>
                <c:pt idx="204">
                  <c:v>55.303700329851452</c:v>
                </c:pt>
                <c:pt idx="205">
                  <c:v>50.498224489173175</c:v>
                </c:pt>
                <c:pt idx="206">
                  <c:v>45.986657084732734</c:v>
                </c:pt>
                <c:pt idx="207">
                  <c:v>41.952855022489501</c:v>
                </c:pt>
                <c:pt idx="208">
                  <c:v>38.303739320538682</c:v>
                </c:pt>
                <c:pt idx="209">
                  <c:v>34.934795115841773</c:v>
                </c:pt>
                <c:pt idx="210">
                  <c:v>31.822282707275917</c:v>
                </c:pt>
                <c:pt idx="211">
                  <c:v>29.039797237805264</c:v>
                </c:pt>
                <c:pt idx="212">
                  <c:v>26.477454728340909</c:v>
                </c:pt>
                <c:pt idx="213">
                  <c:v>24.155302016401702</c:v>
                </c:pt>
                <c:pt idx="214">
                  <c:v>22.025685182409596</c:v>
                </c:pt>
                <c:pt idx="215">
                  <c:v>20.100848183129557</c:v>
                </c:pt>
                <c:pt idx="216">
                  <c:v>18.328943344401953</c:v>
                </c:pt>
                <c:pt idx="217">
                  <c:v>16.705051549973195</c:v>
                </c:pt>
                <c:pt idx="218">
                  <c:v>15.242315712403718</c:v>
                </c:pt>
                <c:pt idx="219">
                  <c:v>13.908764551054405</c:v>
                </c:pt>
                <c:pt idx="220">
                  <c:v>12.67211242310718</c:v>
                </c:pt>
                <c:pt idx="221">
                  <c:v>11.56862795218262</c:v>
                </c:pt>
                <c:pt idx="222">
                  <c:v>10.546687498181141</c:v>
                </c:pt>
                <c:pt idx="223">
                  <c:v>9.6137688465200455</c:v>
                </c:pt>
                <c:pt idx="224">
                  <c:v>8.7677867360059736</c:v>
                </c:pt>
                <c:pt idx="225">
                  <c:v>7.9989157016110708</c:v>
                </c:pt>
                <c:pt idx="226">
                  <c:v>7.2976762451133368</c:v>
                </c:pt>
                <c:pt idx="227">
                  <c:v>6.6567451514209752</c:v>
                </c:pt>
                <c:pt idx="228">
                  <c:v>6.069643507361028</c:v>
                </c:pt>
                <c:pt idx="229">
                  <c:v>5.5359292711646564</c:v>
                </c:pt>
                <c:pt idx="230">
                  <c:v>5.0492215821933266</c:v>
                </c:pt>
                <c:pt idx="231">
                  <c:v>4.6048345086200779</c:v>
                </c:pt>
                <c:pt idx="232">
                  <c:v>4.1972280920295848</c:v>
                </c:pt>
                <c:pt idx="233">
                  <c:v>3.8288506539712079</c:v>
                </c:pt>
                <c:pt idx="234">
                  <c:v>3.4928075051940866</c:v>
                </c:pt>
                <c:pt idx="235">
                  <c:v>3.1856983914887298</c:v>
                </c:pt>
                <c:pt idx="236">
                  <c:v>2.905347790230409</c:v>
                </c:pt>
                <c:pt idx="237">
                  <c:v>2.6488576156845616</c:v>
                </c:pt>
                <c:pt idx="238">
                  <c:v>2.4159956557141844</c:v>
                </c:pt>
                <c:pt idx="239">
                  <c:v>2.2029002781165676</c:v>
                </c:pt>
                <c:pt idx="240">
                  <c:v>2.0096192966075743</c:v>
                </c:pt>
                <c:pt idx="241">
                  <c:v>1.8323556369664644</c:v>
                </c:pt>
                <c:pt idx="242">
                  <c:v>1.6717587374636371</c:v>
                </c:pt>
                <c:pt idx="243">
                  <c:v>1.5242418670364752</c:v>
                </c:pt>
                <c:pt idx="244">
                  <c:v>1.3899876392127408</c:v>
                </c:pt>
                <c:pt idx="245">
                  <c:v>1.2679904555005634</c:v>
                </c:pt>
                <c:pt idx="246">
                  <c:v>1.1562895983963946</c:v>
                </c:pt>
                <c:pt idx="247">
                  <c:v>1.0546889898034579</c:v>
                </c:pt>
                <c:pt idx="248">
                  <c:v>0.96167510953797142</c:v>
                </c:pt>
                <c:pt idx="249">
                  <c:v>0.87710793703028611</c:v>
                </c:pt>
                <c:pt idx="250">
                  <c:v>0.7999133935531878</c:v>
                </c:pt>
                <c:pt idx="251">
                  <c:v>0.72953681327835129</c:v>
                </c:pt>
                <c:pt idx="252">
                  <c:v>0.66546882051420397</c:v>
                </c:pt>
                <c:pt idx="253">
                  <c:v>0.60679358882768253</c:v>
                </c:pt>
                <c:pt idx="254">
                  <c:v>0.55351829204535252</c:v>
                </c:pt>
                <c:pt idx="255">
                  <c:v>0.50480669377929432</c:v>
                </c:pt>
                <c:pt idx="256">
                  <c:v>0.4603070943030676</c:v>
                </c:pt>
                <c:pt idx="257">
                  <c:v>0.41988195873406187</c:v>
                </c:pt>
                <c:pt idx="258">
                  <c:v>0.3828848732609883</c:v>
                </c:pt>
                <c:pt idx="259">
                  <c:v>0.34918270590927991</c:v>
                </c:pt>
                <c:pt idx="260">
                  <c:v>0.31847265321413332</c:v>
                </c:pt>
                <c:pt idx="261">
                  <c:v>0.29045097608743203</c:v>
                </c:pt>
                <c:pt idx="262">
                  <c:v>0.26489895504038197</c:v>
                </c:pt>
                <c:pt idx="263">
                  <c:v>0.24160947491820914</c:v>
                </c:pt>
                <c:pt idx="264">
                  <c:v>0.22035206786006376</c:v>
                </c:pt>
                <c:pt idx="265">
                  <c:v>0.20093854540112011</c:v>
                </c:pt>
                <c:pt idx="266">
                  <c:v>0.18328166014974159</c:v>
                </c:pt>
                <c:pt idx="267">
                  <c:v>0.16715345507532006</c:v>
                </c:pt>
                <c:pt idx="268">
                  <c:v>0.15244613171875235</c:v>
                </c:pt>
                <c:pt idx="269">
                  <c:v>0.13902736335854504</c:v>
                </c:pt>
                <c:pt idx="270">
                  <c:v>0.12679718036881049</c:v>
                </c:pt>
                <c:pt idx="271">
                  <c:v>0.11563738146759478</c:v>
                </c:pt>
                <c:pt idx="272">
                  <c:v>0.10546551525054455</c:v>
                </c:pt>
                <c:pt idx="273">
                  <c:v>9.6183765289972245E-2</c:v>
                </c:pt>
                <c:pt idx="274">
                  <c:v>8.7714545082892226E-2</c:v>
                </c:pt>
                <c:pt idx="275">
                  <c:v>7.9999878685956385E-2</c:v>
                </c:pt>
                <c:pt idx="276">
                  <c:v>7.2963226253110483E-2</c:v>
                </c:pt>
                <c:pt idx="277">
                  <c:v>6.6543574376892678E-2</c:v>
                </c:pt>
                <c:pt idx="278">
                  <c:v>6.0688504458140391E-2</c:v>
                </c:pt>
                <c:pt idx="279">
                  <c:v>5.5347488602856397E-2</c:v>
                </c:pt>
                <c:pt idx="280">
                  <c:v>5.0478315206719471E-2</c:v>
                </c:pt>
                <c:pt idx="281">
                  <c:v>4.6034145483566498E-2</c:v>
                </c:pt>
                <c:pt idx="282">
                  <c:v>4.1983452225710267E-2</c:v>
                </c:pt>
                <c:pt idx="283">
                  <c:v>3.8289236341688071E-2</c:v>
                </c:pt>
                <c:pt idx="284">
                  <c:v>3.492213384255323E-2</c:v>
                </c:pt>
                <c:pt idx="285">
                  <c:v>3.1848412837557454E-2</c:v>
                </c:pt>
                <c:pt idx="286">
                  <c:v>2.9046635342231286E-2</c:v>
                </c:pt>
                <c:pt idx="287">
                  <c:v>2.6490667468734401E-2</c:v>
                </c:pt>
                <c:pt idx="288">
                  <c:v>2.4159938796265774E-2</c:v>
                </c:pt>
                <c:pt idx="289">
                  <c:v>2.2033958162290805E-2</c:v>
                </c:pt>
                <c:pt idx="290">
                  <c:v>2.0095358877587823E-2</c:v>
                </c:pt>
                <c:pt idx="291">
                  <c:v>1.8327297268596748E-2</c:v>
                </c:pt>
                <c:pt idx="292">
                  <c:v>1.6714365335213612E-2</c:v>
                </c:pt>
                <c:pt idx="293">
                  <c:v>1.5243401510224196E-2</c:v>
                </c:pt>
                <c:pt idx="294">
                  <c:v>1.3902151118177304E-2</c:v>
                </c:pt>
                <c:pt idx="295">
                  <c:v>1.2679074085928914E-2</c:v>
                </c:pt>
                <c:pt idx="296">
                  <c:v>1.1563496347758728E-2</c:v>
                </c:pt>
              </c:numCache>
            </c:numRef>
          </c:yVal>
        </c:ser>
        <c:ser>
          <c:idx val="2"/>
          <c:order val="1"/>
          <c:tx>
            <c:strRef>
              <c:f>Sheet1!$E$4</c:f>
              <c:strCache>
                <c:ptCount val="1"/>
                <c:pt idx="0">
                  <c:v>Cauchy</c:v>
                </c:pt>
              </c:strCache>
            </c:strRef>
          </c:tx>
          <c:spPr>
            <a:ln w="38100">
              <a:solidFill>
                <a:srgbClr val="29F733"/>
              </a:solidFill>
              <a:prstDash val="sysDash"/>
            </a:ln>
          </c:spPr>
          <c:marker>
            <c:symbol val="none"/>
          </c:marker>
          <c:xVal>
            <c:numRef>
              <c:f>Sheet1!$B$5:$B$301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Sheet1!$E$5:$E$301</c:f>
              <c:numCache>
                <c:formatCode>General</c:formatCode>
                <c:ptCount val="297"/>
                <c:pt idx="0">
                  <c:v>32886816.622045521</c:v>
                </c:pt>
                <c:pt idx="1">
                  <c:v>32920985.127852224</c:v>
                </c:pt>
                <c:pt idx="2">
                  <c:v>32958481.162692398</c:v>
                </c:pt>
                <c:pt idx="3">
                  <c:v>32999632.042597286</c:v>
                </c:pt>
                <c:pt idx="4">
                  <c:v>33044797.935885325</c:v>
                </c:pt>
                <c:pt idx="5">
                  <c:v>33094375.291096047</c:v>
                </c:pt>
                <c:pt idx="6">
                  <c:v>33148800.64815221</c:v>
                </c:pt>
                <c:pt idx="7">
                  <c:v>33208554.880409472</c:v>
                </c:pt>
                <c:pt idx="8">
                  <c:v>33274167.922027968</c:v>
                </c:pt>
                <c:pt idx="9">
                  <c:v>33346224.042972222</c:v>
                </c:pt>
                <c:pt idx="10">
                  <c:v>33425367.743109424</c:v>
                </c:pt>
                <c:pt idx="11">
                  <c:v>33512310.347563267</c:v>
                </c:pt>
                <c:pt idx="12">
                  <c:v>33607837.397965044</c:v>
                </c:pt>
                <c:pt idx="13">
                  <c:v>33712816.948850453</c:v>
                </c:pt>
                <c:pt idx="14">
                  <c:v>33828208.895564079</c:v>
                </c:pt>
                <c:pt idx="15">
                  <c:v>33955075.480104662</c:v>
                </c:pt>
                <c:pt idx="16">
                  <c:v>34094593.144906454</c:v>
                </c:pt>
                <c:pt idx="17">
                  <c:v>34248065.932223871</c:v>
                </c:pt>
                <c:pt idx="18">
                  <c:v>34416940.659289688</c:v>
                </c:pt>
                <c:pt idx="19">
                  <c:v>34602824.137576379</c:v>
                </c:pt>
                <c:pt idx="20">
                  <c:v>34807502.749242693</c:v>
                </c:pt>
                <c:pt idx="21">
                  <c:v>35032964.746227674</c:v>
                </c:pt>
                <c:pt idx="22">
                  <c:v>35281425.698577568</c:v>
                </c:pt>
                <c:pt idx="23">
                  <c:v>35555357.589591816</c:v>
                </c:pt>
                <c:pt idx="24">
                  <c:v>35857522.137310371</c:v>
                </c:pt>
                <c:pt idx="25">
                  <c:v>36191009.015534855</c:v>
                </c:pt>
                <c:pt idx="26">
                  <c:v>36559279.753215201</c:v>
                </c:pt>
                <c:pt idx="27">
                  <c:v>36966218.207814686</c:v>
                </c:pt>
                <c:pt idx="28">
                  <c:v>37416188.633478299</c:v>
                </c:pt>
                <c:pt idx="29">
                  <c:v>37914102.492579147</c:v>
                </c:pt>
                <c:pt idx="30">
                  <c:v>38465495.278337821</c:v>
                </c:pt>
                <c:pt idx="31">
                  <c:v>39076614.706978492</c:v>
                </c:pt>
                <c:pt idx="32">
                  <c:v>39754521.666832224</c:v>
                </c:pt>
                <c:pt idx="33">
                  <c:v>40507205.223572373</c:v>
                </c:pt>
                <c:pt idx="34">
                  <c:v>41343712.685418695</c:v>
                </c:pt>
                <c:pt idx="35">
                  <c:v>42274295.085303634</c:v>
                </c:pt>
                <c:pt idx="36">
                  <c:v>43310567.209180109</c:v>
                </c:pt>
                <c:pt idx="37">
                  <c:v>44465679.129057422</c:v>
                </c:pt>
                <c:pt idx="38">
                  <c:v>45754492.520045154</c:v>
                </c:pt>
                <c:pt idx="39">
                  <c:v>47193748.975174703</c:v>
                </c:pt>
                <c:pt idx="40">
                  <c:v>48802207.734501205</c:v>
                </c:pt>
                <c:pt idx="41">
                  <c:v>50600714.684077546</c:v>
                </c:pt>
                <c:pt idx="42">
                  <c:v>52612140.155869924</c:v>
                </c:pt>
                <c:pt idx="43">
                  <c:v>54861085.695098117</c:v>
                </c:pt>
                <c:pt idx="44">
                  <c:v>57373203.807217121</c:v>
                </c:pt>
                <c:pt idx="45">
                  <c:v>60173892.823934622</c:v>
                </c:pt>
                <c:pt idx="46">
                  <c:v>63286015.005027652</c:v>
                </c:pt>
                <c:pt idx="47">
                  <c:v>66726138.836903408</c:v>
                </c:pt>
                <c:pt idx="48">
                  <c:v>70498642.453751639</c:v>
                </c:pt>
                <c:pt idx="49">
                  <c:v>74586891.968368605</c:v>
                </c:pt>
                <c:pt idx="50">
                  <c:v>78940768.342654467</c:v>
                </c:pt>
                <c:pt idx="51">
                  <c:v>83460344.161904946</c:v>
                </c:pt>
                <c:pt idx="52">
                  <c:v>87976970.987168655</c:v>
                </c:pt>
                <c:pt idx="53">
                  <c:v>92235958.952622578</c:v>
                </c:pt>
                <c:pt idx="54">
                  <c:v>95889495.278448254</c:v>
                </c:pt>
                <c:pt idx="55">
                  <c:v>98512946.623745441</c:v>
                </c:pt>
                <c:pt idx="56">
                  <c:v>99657828.5405498</c:v>
                </c:pt>
                <c:pt idx="57">
                  <c:v>98944095.329145297</c:v>
                </c:pt>
                <c:pt idx="58">
                  <c:v>96170889.582762048</c:v>
                </c:pt>
                <c:pt idx="59">
                  <c:v>91400212.459103316</c:v>
                </c:pt>
                <c:pt idx="60">
                  <c:v>84966293.933432177</c:v>
                </c:pt>
                <c:pt idx="61">
                  <c:v>77397664.295022592</c:v>
                </c:pt>
                <c:pt idx="62">
                  <c:v>69287406.440351903</c:v>
                </c:pt>
                <c:pt idx="63">
                  <c:v>61170176.093312472</c:v>
                </c:pt>
                <c:pt idx="64">
                  <c:v>53447817.246855915</c:v>
                </c:pt>
                <c:pt idx="65">
                  <c:v>46370735.810624078</c:v>
                </c:pt>
                <c:pt idx="66">
                  <c:v>40057780.011928916</c:v>
                </c:pt>
                <c:pt idx="67">
                  <c:v>34532088.925001264</c:v>
                </c:pt>
                <c:pt idx="68">
                  <c:v>29756843.493550725</c:v>
                </c:pt>
                <c:pt idx="69">
                  <c:v>25663484.42758964</c:v>
                </c:pt>
                <c:pt idx="70">
                  <c:v>22170967.419159163</c:v>
                </c:pt>
                <c:pt idx="71">
                  <c:v>19197459.757868081</c:v>
                </c:pt>
                <c:pt idx="72">
                  <c:v>16666631.120543864</c:v>
                </c:pt>
                <c:pt idx="73">
                  <c:v>14510471.999492751</c:v>
                </c:pt>
                <c:pt idx="74">
                  <c:v>12670068.594299283</c:v>
                </c:pt>
                <c:pt idx="75">
                  <c:v>11095280.445982346</c:v>
                </c:pt>
                <c:pt idx="76">
                  <c:v>9743901.2615172789</c:v>
                </c:pt>
                <c:pt idx="77">
                  <c:v>8580636.3539429754</c:v>
                </c:pt>
                <c:pt idx="78">
                  <c:v>7576075.0773185613</c:v>
                </c:pt>
                <c:pt idx="79">
                  <c:v>6705744.5274326652</c:v>
                </c:pt>
                <c:pt idx="80">
                  <c:v>5949278.7332384298</c:v>
                </c:pt>
                <c:pt idx="81">
                  <c:v>5289709.7782278713</c:v>
                </c:pt>
                <c:pt idx="82">
                  <c:v>4712873.6150689609</c:v>
                </c:pt>
                <c:pt idx="83">
                  <c:v>4206917.5517299408</c:v>
                </c:pt>
                <c:pt idx="84">
                  <c:v>3761894.8142155083</c:v>
                </c:pt>
                <c:pt idx="85">
                  <c:v>3369432.119186555</c:v>
                </c:pt>
                <c:pt idx="86">
                  <c:v>3022457.645714852</c:v>
                </c:pt>
                <c:pt idx="87">
                  <c:v>2714978.5520022749</c:v>
                </c:pt>
                <c:pt idx="88">
                  <c:v>2441898.9235894578</c:v>
                </c:pt>
                <c:pt idx="89">
                  <c:v>2198870.6201724415</c:v>
                </c:pt>
                <c:pt idx="90">
                  <c:v>1982170.8567222029</c:v>
                </c:pt>
                <c:pt idx="91">
                  <c:v>1788601.5062952661</c:v>
                </c:pt>
                <c:pt idx="92">
                  <c:v>1615406.0638384745</c:v>
                </c:pt>
                <c:pt idx="93">
                  <c:v>1460200.9880295144</c:v>
                </c:pt>
                <c:pt idx="94">
                  <c:v>1320918.7689244268</c:v>
                </c:pt>
                <c:pt idx="95">
                  <c:v>1195760.5783292335</c:v>
                </c:pt>
                <c:pt idx="96">
                  <c:v>1083156.7697181909</c:v>
                </c:pt>
                <c:pt idx="97">
                  <c:v>981733.82410918677</c:v>
                </c:pt>
                <c:pt idx="98">
                  <c:v>890286.60324844625</c:v>
                </c:pt>
                <c:pt idx="99">
                  <c:v>807754.98453572823</c:v>
                </c:pt>
                <c:pt idx="100">
                  <c:v>733204.12366821954</c:v>
                </c:pt>
                <c:pt idx="101">
                  <c:v>665807.72929174756</c:v>
                </c:pt>
                <c:pt idx="102">
                  <c:v>604833.84565549879</c:v>
                </c:pt>
                <c:pt idx="103">
                  <c:v>549632.72966594645</c:v>
                </c:pt>
                <c:pt idx="104">
                  <c:v>499626.48204670893</c:v>
                </c:pt>
                <c:pt idx="105">
                  <c:v>454300.15189702832</c:v>
                </c:pt>
                <c:pt idx="106">
                  <c:v>413194.0824841148</c:v>
                </c:pt>
                <c:pt idx="107">
                  <c:v>375897.30574402033</c:v>
                </c:pt>
                <c:pt idx="108">
                  <c:v>342041.82541251043</c:v>
                </c:pt>
                <c:pt idx="109">
                  <c:v>311297.6553309827</c:v>
                </c:pt>
                <c:pt idx="110">
                  <c:v>283368.50137076003</c:v>
                </c:pt>
                <c:pt idx="111">
                  <c:v>257987.99347463791</c:v>
                </c:pt>
                <c:pt idx="112">
                  <c:v>234916.38923775207</c:v>
                </c:pt>
                <c:pt idx="113">
                  <c:v>213937.68281403769</c:v>
                </c:pt>
                <c:pt idx="114">
                  <c:v>194857.06320339051</c:v>
                </c:pt>
                <c:pt idx="115">
                  <c:v>177498.67452388696</c:v>
                </c:pt>
                <c:pt idx="116">
                  <c:v>161703.63800825481</c:v>
                </c:pt>
                <c:pt idx="117">
                  <c:v>147328.30143270674</c:v>
                </c:pt>
                <c:pt idx="118">
                  <c:v>134242.68669185563</c:v>
                </c:pt>
                <c:pt idx="119">
                  <c:v>122329.11044148391</c:v>
                </c:pt>
                <c:pt idx="120">
                  <c:v>111480.95627714971</c:v>
                </c:pt>
                <c:pt idx="121">
                  <c:v>101601.5799124265</c:v>
                </c:pt>
                <c:pt idx="122">
                  <c:v>92603.331357678035</c:v>
                </c:pt>
                <c:pt idx="123">
                  <c:v>84406.680254219798</c:v>
                </c:pt>
                <c:pt idx="124">
                  <c:v>76939.432351970419</c:v>
                </c:pt>
                <c:pt idx="125">
                  <c:v>70136.026682861615</c:v>
                </c:pt>
                <c:pt idx="126">
                  <c:v>63936.904320241025</c:v>
                </c:pt>
                <c:pt idx="127">
                  <c:v>58287.940761834674</c:v>
                </c:pt>
                <c:pt idx="128">
                  <c:v>53139.934960180712</c:v>
                </c:pt>
                <c:pt idx="129">
                  <c:v>48448.148874512684</c:v>
                </c:pt>
                <c:pt idx="130">
                  <c:v>44171.892152529603</c:v>
                </c:pt>
                <c:pt idx="131">
                  <c:v>40274.147186624527</c:v>
                </c:pt>
                <c:pt idx="132">
                  <c:v>36721.230341484959</c:v>
                </c:pt>
                <c:pt idx="133">
                  <c:v>33482.485630717812</c:v>
                </c:pt>
                <c:pt idx="134">
                  <c:v>30530.007539582937</c:v>
                </c:pt>
                <c:pt idx="135">
                  <c:v>27838.390057709163</c:v>
                </c:pt>
                <c:pt idx="136">
                  <c:v>25384.499307167309</c:v>
                </c:pt>
                <c:pt idx="137">
                  <c:v>23147.267433709811</c:v>
                </c:pt>
                <c:pt idx="138">
                  <c:v>21107.50567763664</c:v>
                </c:pt>
                <c:pt idx="139">
                  <c:v>19247.734760126154</c:v>
                </c:pt>
                <c:pt idx="140">
                  <c:v>17552.030914809671</c:v>
                </c:pt>
                <c:pt idx="141">
                  <c:v>16005.886066163392</c:v>
                </c:pt>
                <c:pt idx="142">
                  <c:v>14596.080808750161</c:v>
                </c:pt>
                <c:pt idx="143">
                  <c:v>13310.568976893541</c:v>
                </c:pt>
                <c:pt idx="144">
                  <c:v>12138.372715084575</c:v>
                </c:pt>
                <c:pt idx="145">
                  <c:v>11069.487067111695</c:v>
                </c:pt>
                <c:pt idx="146">
                  <c:v>10094.793198117548</c:v>
                </c:pt>
                <c:pt idx="147">
                  <c:v>9205.979449875711</c:v>
                </c:pt>
                <c:pt idx="148">
                  <c:v>8395.469506715197</c:v>
                </c:pt>
                <c:pt idx="149">
                  <c:v>7656.357018725419</c:v>
                </c:pt>
                <c:pt idx="150">
                  <c:v>6982.3460910376034</c:v>
                </c:pt>
                <c:pt idx="151">
                  <c:v>6367.6971038834872</c:v>
                </c:pt>
                <c:pt idx="152">
                  <c:v>5807.1773784619936</c:v>
                </c:pt>
                <c:pt idx="153">
                  <c:v>5296.0162490001867</c:v>
                </c:pt>
                <c:pt idx="154">
                  <c:v>4829.864142307315</c:v>
                </c:pt>
                <c:pt idx="155">
                  <c:v>4404.7553030564995</c:v>
                </c:pt>
                <c:pt idx="156">
                  <c:v>4017.0738364022195</c:v>
                </c:pt>
                <c:pt idx="157">
                  <c:v>3663.522769718069</c:v>
                </c:pt>
                <c:pt idx="158">
                  <c:v>3341.0958625449539</c:v>
                </c:pt>
                <c:pt idx="159">
                  <c:v>3047.0519185628614</c:v>
                </c:pt>
                <c:pt idx="160">
                  <c:v>2778.8913757980386</c:v>
                </c:pt>
                <c:pt idx="161">
                  <c:v>2534.3349715807253</c:v>
                </c:pt>
                <c:pt idx="162">
                  <c:v>2311.3042971825371</c:v>
                </c:pt>
                <c:pt idx="163">
                  <c:v>2107.9040737702371</c:v>
                </c:pt>
                <c:pt idx="164">
                  <c:v>1922.4059964791695</c:v>
                </c:pt>
                <c:pt idx="165">
                  <c:v>1753.2340071820004</c:v>
                </c:pt>
                <c:pt idx="166">
                  <c:v>1598.9508690398347</c:v>
                </c:pt>
                <c:pt idx="167">
                  <c:v>1458.245927292372</c:v>
                </c:pt>
                <c:pt idx="168">
                  <c:v>1329.9239510786606</c:v>
                </c:pt>
                <c:pt idx="169">
                  <c:v>1212.8949604773366</c:v>
                </c:pt>
                <c:pt idx="170">
                  <c:v>1106.1649515020667</c:v>
                </c:pt>
                <c:pt idx="171">
                  <c:v>1008.8274395631278</c:v>
                </c:pt>
                <c:pt idx="172">
                  <c:v>920.05574898075679</c:v>
                </c:pt>
                <c:pt idx="173">
                  <c:v>839.09598257466473</c:v>
                </c:pt>
                <c:pt idx="174">
                  <c:v>765.26061121490329</c:v>
                </c:pt>
                <c:pt idx="175">
                  <c:v>697.92262855515628</c:v>
                </c:pt>
                <c:pt idx="176">
                  <c:v>636.51022102796128</c:v>
                </c:pt>
                <c:pt idx="177">
                  <c:v>580.50190760594774</c:v>
                </c:pt>
                <c:pt idx="178">
                  <c:v>529.4221078629364</c:v>
                </c:pt>
                <c:pt idx="179">
                  <c:v>482.83710053955997</c:v>
                </c:pt>
                <c:pt idx="180">
                  <c:v>440.35133816203381</c:v>
                </c:pt>
                <c:pt idx="181">
                  <c:v>401.60408630943573</c:v>
                </c:pt>
                <c:pt idx="182">
                  <c:v>366.26635890085066</c:v>
                </c:pt>
                <c:pt idx="183">
                  <c:v>334.03812340339493</c:v>
                </c:pt>
                <c:pt idx="184">
                  <c:v>304.64575216736051</c:v>
                </c:pt>
                <c:pt idx="185">
                  <c:v>277.83969819566232</c:v>
                </c:pt>
                <c:pt idx="186">
                  <c:v>253.39237556962567</c:v>
                </c:pt>
                <c:pt idx="187">
                  <c:v>231.09622649845755</c:v>
                </c:pt>
                <c:pt idx="188">
                  <c:v>210.76195855065808</c:v>
                </c:pt>
                <c:pt idx="189">
                  <c:v>192.21693707583398</c:v>
                </c:pt>
                <c:pt idx="190">
                  <c:v>175.30371914739757</c:v>
                </c:pt>
                <c:pt idx="191">
                  <c:v>159.87871656182398</c:v>
                </c:pt>
                <c:pt idx="192">
                  <c:v>145.81097652889963</c:v>
                </c:pt>
                <c:pt idx="193">
                  <c:v>132.98106968910926</c:v>
                </c:pt>
                <c:pt idx="194">
                  <c:v>121.28007600762911</c:v>
                </c:pt>
                <c:pt idx="195">
                  <c:v>110.60865992708999</c:v>
                </c:pt>
                <c:pt idx="196">
                  <c:v>100.87622692052348</c:v>
                </c:pt>
                <c:pt idx="197">
                  <c:v>92.000154278176922</c:v>
                </c:pt>
                <c:pt idx="198">
                  <c:v>83.905089593115093</c:v>
                </c:pt>
                <c:pt idx="199">
                  <c:v>76.522310986093345</c:v>
                </c:pt>
                <c:pt idx="200">
                  <c:v>69.789143635026505</c:v>
                </c:pt>
                <c:pt idx="201">
                  <c:v>63.648427652956229</c:v>
                </c:pt>
                <c:pt idx="202">
                  <c:v>58.048032794820358</c:v>
                </c:pt>
                <c:pt idx="203">
                  <c:v>52.940415871280486</c:v>
                </c:pt>
                <c:pt idx="204">
                  <c:v>48.282217110752299</c:v>
                </c:pt>
                <c:pt idx="205">
                  <c:v>44.033892041709464</c:v>
                </c:pt>
                <c:pt idx="206">
                  <c:v>40.159375769102454</c:v>
                </c:pt>
                <c:pt idx="207">
                  <c:v>36.625776793931472</c:v>
                </c:pt>
                <c:pt idx="208">
                  <c:v>33.403097775970672</c:v>
                </c:pt>
                <c:pt idx="209">
                  <c:v>30.463980868503519</c:v>
                </c:pt>
                <c:pt idx="210">
                  <c:v>27.783475462634605</c:v>
                </c:pt>
                <c:pt idx="211">
                  <c:v>25.338826369076987</c:v>
                </c:pt>
                <c:pt idx="212">
                  <c:v>23.109280638887114</c:v>
                </c:pt>
                <c:pt idx="213">
                  <c:v>21.075911382913766</c:v>
                </c:pt>
                <c:pt idx="214">
                  <c:v>19.221457094084457</c:v>
                </c:pt>
                <c:pt idx="215">
                  <c:v>17.530175108302963</c:v>
                </c:pt>
                <c:pt idx="216">
                  <c:v>15.987707959793761</c:v>
                </c:pt>
                <c:pt idx="217">
                  <c:v>14.580961496221615</c:v>
                </c:pt>
                <c:pt idx="218">
                  <c:v>13.297993718770366</c:v>
                </c:pt>
                <c:pt idx="219">
                  <c:v>12.12791340343183</c:v>
                </c:pt>
                <c:pt idx="220">
                  <c:v>11.060787642806645</c:v>
                </c:pt>
                <c:pt idx="221">
                  <c:v>10.087557523461033</c:v>
                </c:pt>
                <c:pt idx="222">
                  <c:v>9.1999612229587768</c:v>
                </c:pt>
                <c:pt idx="223">
                  <c:v>8.390463873684558</c:v>
                </c:pt>
                <c:pt idx="224">
                  <c:v>7.6521935980264999</c:v>
                </c:pt>
                <c:pt idx="225">
                  <c:v>6.9788831718827193</c:v>
                </c:pt>
                <c:pt idx="226">
                  <c:v>6.3648168212409519</c:v>
                </c:pt>
                <c:pt idx="227">
                  <c:v>5.8047817001608983</c:v>
                </c:pt>
                <c:pt idx="228">
                  <c:v>5.2940236382332602</c:v>
                </c:pt>
                <c:pt idx="229">
                  <c:v>4.828206781836883</c:v>
                </c:pt>
                <c:pt idx="230">
                  <c:v>4.4033767865729336</c:v>
                </c:pt>
                <c:pt idx="231">
                  <c:v>4.0159272484032913</c:v>
                </c:pt>
                <c:pt idx="232">
                  <c:v>3.6625690885161593</c:v>
                </c:pt>
                <c:pt idx="233">
                  <c:v>3.3403026320175107</c:v>
                </c:pt>
                <c:pt idx="234">
                  <c:v>3.0463921434166745</c:v>
                </c:pt>
                <c:pt idx="235">
                  <c:v>2.7783426027310472</c:v>
                </c:pt>
                <c:pt idx="236">
                  <c:v>2.5338785250568368</c:v>
                </c:pt>
                <c:pt idx="237">
                  <c:v>2.310924643800357</c:v>
                </c:pt>
                <c:pt idx="238">
                  <c:v>2.1075882935859656</c:v>
                </c:pt>
                <c:pt idx="239">
                  <c:v>1.9221433432856749</c:v>
                </c:pt>
                <c:pt idx="240">
                  <c:v>1.7530155427751968</c:v>
                </c:pt>
                <c:pt idx="241">
                  <c:v>1.598769159022519</c:v>
                </c:pt>
                <c:pt idx="242">
                  <c:v>1.4580947880608093</c:v>
                </c:pt>
                <c:pt idx="243">
                  <c:v>1.3297982393796759</c:v>
                </c:pt>
                <c:pt idx="244">
                  <c:v>1.2127903983729396</c:v>
                </c:pt>
                <c:pt idx="245">
                  <c:v>1.1060779807839674</c:v>
                </c:pt>
                <c:pt idx="246">
                  <c:v>1.0087551006619537</c:v>
                </c:pt>
                <c:pt idx="247">
                  <c:v>0.91999558024862771</c:v>
                </c:pt>
                <c:pt idx="248">
                  <c:v>0.83904593651320047</c:v>
                </c:pt>
                <c:pt idx="249">
                  <c:v>0.76521898479759143</c:v>
                </c:pt>
                <c:pt idx="250">
                  <c:v>0.69788800527265593</c:v>
                </c:pt>
                <c:pt idx="251">
                  <c:v>0.6364814226839911</c:v>
                </c:pt>
                <c:pt idx="252">
                  <c:v>0.5804779542232138</c:v>
                </c:pt>
                <c:pt idx="253">
                  <c:v>0.52940218433463238</c:v>
                </c:pt>
                <c:pt idx="254">
                  <c:v>0.48282052889149762</c:v>
                </c:pt>
                <c:pt idx="255">
                  <c:v>0.44033755448145956</c:v>
                </c:pt>
                <c:pt idx="256">
                  <c:v>0.40159262155537034</c:v>
                </c:pt>
                <c:pt idx="257">
                  <c:v>0.36625682294292972</c:v>
                </c:pt>
                <c:pt idx="258">
                  <c:v>0.334030191746019</c:v>
                </c:pt>
                <c:pt idx="259">
                  <c:v>0.30463915490737858</c:v>
                </c:pt>
                <c:pt idx="260">
                  <c:v>0.27783421083781712</c:v>
                </c:pt>
                <c:pt idx="261">
                  <c:v>0.25338781138720246</c:v>
                </c:pt>
                <c:pt idx="262">
                  <c:v>0.23109243017917308</c:v>
                </c:pt>
                <c:pt idx="263">
                  <c:v>0.21075880091155808</c:v>
                </c:pt>
                <c:pt idx="264">
                  <c:v>0.19221431066735173</c:v>
                </c:pt>
                <c:pt idx="265">
                  <c:v>0.17530153459697745</c:v>
                </c:pt>
                <c:pt idx="266">
                  <c:v>0.15987689953269005</c:v>
                </c:pt>
                <c:pt idx="267">
                  <c:v>0.1458094651904725</c:v>
                </c:pt>
                <c:pt idx="268">
                  <c:v>0.13297981261299774</c:v>
                </c:pt>
                <c:pt idx="269">
                  <c:v>0.12127903041759436</c:v>
                </c:pt>
                <c:pt idx="270">
                  <c:v>0.11060779024343184</c:v>
                </c:pt>
                <c:pt idx="271">
                  <c:v>0.10087550354935552</c:v>
                </c:pt>
                <c:pt idx="272">
                  <c:v>9.199955260439141E-2</c:v>
                </c:pt>
                <c:pt idx="273">
                  <c:v>8.3904589142768382E-2</c:v>
                </c:pt>
                <c:pt idx="274">
                  <c:v>7.6521894729709133E-2</c:v>
                </c:pt>
                <c:pt idx="275">
                  <c:v>6.9788797408109907E-2</c:v>
                </c:pt>
                <c:pt idx="276">
                  <c:v>6.3648139673998405E-2</c:v>
                </c:pt>
                <c:pt idx="277">
                  <c:v>5.8047793264392883E-2</c:v>
                </c:pt>
                <c:pt idx="278">
                  <c:v>5.2940216638576454E-2</c:v>
                </c:pt>
                <c:pt idx="279">
                  <c:v>4.8282051396227973E-2</c:v>
                </c:pt>
                <c:pt idx="280">
                  <c:v>4.4033754206387651E-2</c:v>
                </c:pt>
                <c:pt idx="281">
                  <c:v>4.015926112268748E-2</c:v>
                </c:pt>
                <c:pt idx="282">
                  <c:v>3.6625681435206107E-2</c:v>
                </c:pt>
                <c:pt idx="283">
                  <c:v>3.3403018460044578E-2</c:v>
                </c:pt>
                <c:pt idx="284">
                  <c:v>3.046391489639497E-2</c:v>
                </c:pt>
                <c:pt idx="285">
                  <c:v>2.7783420589428807E-2</c:v>
                </c:pt>
                <c:pt idx="286">
                  <c:v>2.5338780727535412E-2</c:v>
                </c:pt>
                <c:pt idx="287">
                  <c:v>2.3109242675908651E-2</c:v>
                </c:pt>
                <c:pt idx="288">
                  <c:v>2.1075879806685398E-2</c:v>
                </c:pt>
                <c:pt idx="289">
                  <c:v>1.9221430830122982E-2</c:v>
                </c:pt>
                <c:pt idx="290">
                  <c:v>1.7530153262892308E-2</c:v>
                </c:pt>
                <c:pt idx="291">
                  <c:v>1.5987689789573378E-2</c:v>
                </c:pt>
                <c:pt idx="292">
                  <c:v>1.4580946382891157E-2</c:v>
                </c:pt>
                <c:pt idx="293">
                  <c:v>1.329798114805006E-2</c:v>
                </c:pt>
                <c:pt idx="294">
                  <c:v>1.2127902947562431E-2</c:v>
                </c:pt>
                <c:pt idx="295">
                  <c:v>1.106077894599353E-2</c:v>
                </c:pt>
                <c:pt idx="296">
                  <c:v>1.008755028976714E-2</c:v>
                </c:pt>
              </c:numCache>
            </c:numRef>
          </c:yVal>
        </c:ser>
        <c:ser>
          <c:idx val="1"/>
          <c:order val="2"/>
          <c:tx>
            <c:v>Gamma</c:v>
          </c:tx>
          <c:marker>
            <c:symbol val="none"/>
          </c:marker>
          <c:xVal>
            <c:numRef>
              <c:f>Sheet1!$B$5:$B$301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Sheet1!$G$5:$G$301</c:f>
              <c:numCache>
                <c:formatCode>General</c:formatCode>
                <c:ptCount val="297"/>
                <c:pt idx="0">
                  <c:v>5024874.3781405455</c:v>
                </c:pt>
                <c:pt idx="1">
                  <c:v>5027260.8524804171</c:v>
                </c:pt>
                <c:pt idx="2">
                  <c:v>5029874.8513366356</c:v>
                </c:pt>
                <c:pt idx="3">
                  <c:v>5032737.7710671742</c:v>
                </c:pt>
                <c:pt idx="4">
                  <c:v>5035872.9585214555</c:v>
                </c:pt>
                <c:pt idx="5">
                  <c:v>5039305.8757101921</c:v>
                </c:pt>
                <c:pt idx="6">
                  <c:v>5043064.2754528644</c:v>
                </c:pt>
                <c:pt idx="7">
                  <c:v>5047178.3880212782</c:v>
                </c:pt>
                <c:pt idx="8">
                  <c:v>5051681.1185744274</c:v>
                </c:pt>
                <c:pt idx="9">
                  <c:v>5056608.2548852619</c:v>
                </c:pt>
                <c:pt idx="10">
                  <c:v>5061998.6844758084</c:v>
                </c:pt>
                <c:pt idx="11">
                  <c:v>5067894.6197806587</c:v>
                </c:pt>
                <c:pt idx="12">
                  <c:v>5074341.8293223139</c:v>
                </c:pt>
                <c:pt idx="13">
                  <c:v>5081389.8720704373</c:v>
                </c:pt>
                <c:pt idx="14">
                  <c:v>5089092.3311278597</c:v>
                </c:pt>
                <c:pt idx="15">
                  <c:v>5097507.0415861867</c:v>
                </c:pt>
                <c:pt idx="16">
                  <c:v>5106696.3057577405</c:v>
                </c:pt>
                <c:pt idx="17">
                  <c:v>5116727.0869377786</c:v>
                </c:pt>
                <c:pt idx="18">
                  <c:v>5127671.1702828184</c:v>
                </c:pt>
                <c:pt idx="19">
                  <c:v>5139605.2761865798</c:v>
                </c:pt>
                <c:pt idx="20">
                  <c:v>5152611.107547571</c:v>
                </c:pt>
                <c:pt idx="21">
                  <c:v>5166775.3073737808</c:v>
                </c:pt>
                <c:pt idx="22">
                  <c:v>5182189.2970463829</c:v>
                </c:pt>
                <c:pt idx="23">
                  <c:v>5198948.9580122074</c:v>
                </c:pt>
                <c:pt idx="24">
                  <c:v>5217154.1103957491</c:v>
                </c:pt>
                <c:pt idx="25">
                  <c:v>5236907.7306733048</c:v>
                </c:pt>
                <c:pt idx="26">
                  <c:v>5258314.8367501684</c:v>
                </c:pt>
                <c:pt idx="27">
                  <c:v>5281480.9521127855</c:v>
                </c:pt>
                <c:pt idx="28">
                  <c:v>5306510.0407725303</c:v>
                </c:pt>
                <c:pt idx="29">
                  <c:v>5333501.7810985819</c:v>
                </c:pt>
                <c:pt idx="30">
                  <c:v>5362548.0190965394</c:v>
                </c:pt>
                <c:pt idx="31">
                  <c:v>5393728.2102177497</c:v>
                </c:pt>
                <c:pt idx="32">
                  <c:v>5427103.6238214644</c:v>
                </c:pt>
                <c:pt idx="33">
                  <c:v>5462710.0471505169</c:v>
                </c:pt>
                <c:pt idx="34">
                  <c:v>5500548.6885119583</c:v>
                </c:pt>
                <c:pt idx="35">
                  <c:v>5540574.9464989519</c:v>
                </c:pt>
                <c:pt idx="36">
                  <c:v>5582684.6904683067</c:v>
                </c:pt>
                <c:pt idx="37">
                  <c:v>5626697.6978451256</c:v>
                </c:pt>
                <c:pt idx="38">
                  <c:v>5672337.932113477</c:v>
                </c:pt>
                <c:pt idx="39">
                  <c:v>5719210.4442416169</c:v>
                </c:pt>
                <c:pt idx="40">
                  <c:v>5766774.8705153093</c:v>
                </c:pt>
                <c:pt idx="41">
                  <c:v>5814315.8206484243</c:v>
                </c:pt>
                <c:pt idx="42">
                  <c:v>5860910.9481356377</c:v>
                </c:pt>
                <c:pt idx="43">
                  <c:v>5905398.2186623402</c:v>
                </c:pt>
                <c:pt idx="44">
                  <c:v>5946344.8810470123</c:v>
                </c:pt>
                <c:pt idx="45">
                  <c:v>5982021.9072767049</c:v>
                </c:pt>
                <c:pt idx="46">
                  <c:v>6010389.1489795474</c:v>
                </c:pt>
                <c:pt idx="47">
                  <c:v>6029097.9945299653</c:v>
                </c:pt>
                <c:pt idx="48">
                  <c:v>6035519.5842616735</c:v>
                </c:pt>
                <c:pt idx="49">
                  <c:v>6026807.1398104792</c:v>
                </c:pt>
                <c:pt idx="50">
                  <c:v>6000000.00000004</c:v>
                </c:pt>
                <c:pt idx="51">
                  <c:v>5952173.7794379191</c:v>
                </c:pt>
                <c:pt idx="52">
                  <c:v>5880635.1175174452</c:v>
                </c:pt>
                <c:pt idx="53">
                  <c:v>5783150.7882432612</c:v>
                </c:pt>
                <c:pt idx="54">
                  <c:v>5658190.5309026157</c:v>
                </c:pt>
                <c:pt idx="55">
                  <c:v>5505153.1229333729</c:v>
                </c:pt>
                <c:pt idx="56">
                  <c:v>5324539.2242319975</c:v>
                </c:pt>
                <c:pt idx="57">
                  <c:v>5118035.6892062379</c:v>
                </c:pt>
                <c:pt idx="58">
                  <c:v>4888486.2345082862</c:v>
                </c:pt>
                <c:pt idx="59">
                  <c:v>4639741.6080631483</c:v>
                </c:pt>
                <c:pt idx="60">
                  <c:v>4376404.5677222759</c:v>
                </c:pt>
                <c:pt idx="61">
                  <c:v>4103504.8544063456</c:v>
                </c:pt>
                <c:pt idx="62">
                  <c:v>3826151.1031927806</c:v>
                </c:pt>
                <c:pt idx="63">
                  <c:v>3549207.2176628509</c:v>
                </c:pt>
                <c:pt idx="64">
                  <c:v>3277030.9706059098</c:v>
                </c:pt>
                <c:pt idx="65">
                  <c:v>3013296.4978934885</c:v>
                </c:pt>
                <c:pt idx="66">
                  <c:v>2760905.1296374924</c:v>
                </c:pt>
                <c:pt idx="67">
                  <c:v>2521974.9905748963</c:v>
                </c:pt>
                <c:pt idx="68">
                  <c:v>2297891.2704801597</c:v>
                </c:pt>
                <c:pt idx="69">
                  <c:v>2089396.1526038272</c:v>
                </c:pt>
                <c:pt idx="70">
                  <c:v>1896698.7995893753</c:v>
                </c:pt>
                <c:pt idx="71">
                  <c:v>1719589.7116672979</c:v>
                </c:pt>
                <c:pt idx="72">
                  <c:v>1557548.5386548678</c:v>
                </c:pt>
                <c:pt idx="73">
                  <c:v>1409838.9001045963</c:v>
                </c:pt>
                <c:pt idx="74">
                  <c:v>1275587.3508594371</c:v>
                </c:pt>
                <c:pt idx="75">
                  <c:v>1153846.1538463407</c:v>
                </c:pt>
                <c:pt idx="76">
                  <c:v>1043641.0799627248</c:v>
                </c:pt>
                <c:pt idx="77">
                  <c:v>944006.25473591941</c:v>
                </c:pt>
                <c:pt idx="78">
                  <c:v>854008.34221947682</c:v>
                </c:pt>
                <c:pt idx="79">
                  <c:v>772762.29778628203</c:v>
                </c:pt>
                <c:pt idx="80">
                  <c:v>699440.68451571139</c:v>
                </c:pt>
                <c:pt idx="81">
                  <c:v>633278.23632953421</c:v>
                </c:pt>
                <c:pt idx="82">
                  <c:v>573573.02911563311</c:v>
                </c:pt>
                <c:pt idx="83">
                  <c:v>519685.32418293157</c:v>
                </c:pt>
                <c:pt idx="84">
                  <c:v>471034.89266049652</c:v>
                </c:pt>
                <c:pt idx="85">
                  <c:v>427097.41923375195</c:v>
                </c:pt>
                <c:pt idx="86">
                  <c:v>387400.41670195205</c:v>
                </c:pt>
                <c:pt idx="87">
                  <c:v>351518.95393145207</c:v>
                </c:pt>
                <c:pt idx="88">
                  <c:v>319071.4025168831</c:v>
                </c:pt>
                <c:pt idx="89">
                  <c:v>289715.33560751792</c:v>
                </c:pt>
                <c:pt idx="90">
                  <c:v>263143.66034003143</c:v>
                </c:pt>
                <c:pt idx="91">
                  <c:v>239081.02845247329</c:v>
                </c:pt>
                <c:pt idx="92">
                  <c:v>217280.5441400292</c:v>
                </c:pt>
                <c:pt idx="93">
                  <c:v>197520.77106242819</c:v>
                </c:pt>
                <c:pt idx="94">
                  <c:v>179603.02932481683</c:v>
                </c:pt>
                <c:pt idx="95">
                  <c:v>163348.96648815306</c:v>
                </c:pt>
                <c:pt idx="96">
                  <c:v>148598.38292573046</c:v>
                </c:pt>
                <c:pt idx="97">
                  <c:v>135207.29017679725</c:v>
                </c:pt>
                <c:pt idx="98">
                  <c:v>123046.18066598821</c:v>
                </c:pt>
                <c:pt idx="99">
                  <c:v>111998.48776414793</c:v>
                </c:pt>
                <c:pt idx="100">
                  <c:v>101959.2163134951</c:v>
                </c:pt>
                <c:pt idx="101">
                  <c:v>92833.725186076466</c:v>
                </c:pt>
                <c:pt idx="102">
                  <c:v>84536.645024439786</c:v>
                </c:pt>
                <c:pt idx="103">
                  <c:v>76990.915918475526</c:v>
                </c:pt>
                <c:pt idx="104">
                  <c:v>70126.931332705833</c:v>
                </c:pt>
                <c:pt idx="105">
                  <c:v>63881.776071890425</c:v>
                </c:pt>
                <c:pt idx="106">
                  <c:v>58198.547436579844</c:v>
                </c:pt>
                <c:pt idx="107">
                  <c:v>53025.749963952723</c:v>
                </c:pt>
                <c:pt idx="108">
                  <c:v>48316.755271157475</c:v>
                </c:pt>
                <c:pt idx="109">
                  <c:v>44029.319522066471</c:v>
                </c:pt>
                <c:pt idx="110">
                  <c:v>40125.151930644279</c:v>
                </c:pt>
                <c:pt idx="111">
                  <c:v>36569.528503633672</c:v>
                </c:pt>
                <c:pt idx="112">
                  <c:v>33330.945921276019</c:v>
                </c:pt>
                <c:pt idx="113">
                  <c:v>30380.811066737362</c:v>
                </c:pt>
                <c:pt idx="114">
                  <c:v>27693.162251918311</c:v>
                </c:pt>
                <c:pt idx="115">
                  <c:v>25244.418657942435</c:v>
                </c:pt>
                <c:pt idx="116">
                  <c:v>23013.154920716774</c:v>
                </c:pt>
                <c:pt idx="117">
                  <c:v>20979.89815268448</c:v>
                </c:pt>
                <c:pt idx="118">
                  <c:v>19126.945007630795</c:v>
                </c:pt>
                <c:pt idx="119">
                  <c:v>17438.196671857087</c:v>
                </c:pt>
                <c:pt idx="120">
                  <c:v>15899.009907215439</c:v>
                </c:pt>
                <c:pt idx="121">
                  <c:v>14496.062483810145</c:v>
                </c:pt>
                <c:pt idx="122">
                  <c:v>13217.231526478037</c:v>
                </c:pt>
                <c:pt idx="123">
                  <c:v>12051.48346281743</c:v>
                </c:pt>
                <c:pt idx="124">
                  <c:v>10988.774404475767</c:v>
                </c:pt>
                <c:pt idx="125">
                  <c:v>10019.959920162288</c:v>
                </c:pt>
                <c:pt idx="126">
                  <c:v>9136.7132706346074</c:v>
                </c:pt>
                <c:pt idx="127">
                  <c:v>8331.4512746226137</c:v>
                </c:pt>
                <c:pt idx="128">
                  <c:v>7597.267061956537</c:v>
                </c:pt>
                <c:pt idx="129">
                  <c:v>6927.8690474907689</c:v>
                </c:pt>
                <c:pt idx="130">
                  <c:v>6317.5255280053907</c:v>
                </c:pt>
                <c:pt idx="131">
                  <c:v>5761.0143651977532</c:v>
                </c:pt>
                <c:pt idx="132">
                  <c:v>5253.5772720841014</c:v>
                </c:pt>
                <c:pt idx="133">
                  <c:v>4790.8782684256348</c:v>
                </c:pt>
                <c:pt idx="134">
                  <c:v>4368.9659138812631</c:v>
                </c:pt>
                <c:pt idx="135">
                  <c:v>3984.2389660833855</c:v>
                </c:pt>
                <c:pt idx="136">
                  <c:v>3633.4151452692363</c:v>
                </c:pt>
                <c:pt idx="137">
                  <c:v>3313.5027179454523</c:v>
                </c:pt>
                <c:pt idx="138">
                  <c:v>3021.7746397248247</c:v>
                </c:pt>
                <c:pt idx="139">
                  <c:v>2755.7450223102105</c:v>
                </c:pt>
                <c:pt idx="140">
                  <c:v>2513.1477119234278</c:v>
                </c:pt>
                <c:pt idx="141">
                  <c:v>2291.9167865627096</c:v>
                </c:pt>
                <c:pt idx="142">
                  <c:v>2090.1687975622167</c:v>
                </c:pt>
                <c:pt idx="143">
                  <c:v>1906.1865972353487</c:v>
                </c:pt>
                <c:pt idx="144">
                  <c:v>1738.4046090978745</c:v>
                </c:pt>
                <c:pt idx="145">
                  <c:v>1585.3954104543955</c:v>
                </c:pt>
                <c:pt idx="146">
                  <c:v>1445.857509139398</c:v>
                </c:pt>
                <c:pt idx="147">
                  <c:v>1318.6042070635531</c:v>
                </c:pt>
                <c:pt idx="148">
                  <c:v>1202.5534530430523</c:v>
                </c:pt>
                <c:pt idx="149">
                  <c:v>1096.7185962884896</c:v>
                </c:pt>
                <c:pt idx="150">
                  <c:v>1000.1999599921946</c:v>
                </c:pt>
                <c:pt idx="151">
                  <c:v>912.1771617616705</c:v>
                </c:pt>
                <c:pt idx="152">
                  <c:v>831.90211427559018</c:v>
                </c:pt>
                <c:pt idx="153">
                  <c:v>758.69264555351526</c:v>
                </c:pt>
                <c:pt idx="154">
                  <c:v>691.92668369045714</c:v>
                </c:pt>
                <c:pt idx="155">
                  <c:v>631.03695586561241</c:v>
                </c:pt>
                <c:pt idx="156">
                  <c:v>575.50615593884515</c:v>
                </c:pt>
                <c:pt idx="157">
                  <c:v>524.86253904157445</c:v>
                </c:pt>
                <c:pt idx="158">
                  <c:v>478.67590528945328</c:v>
                </c:pt>
                <c:pt idx="159">
                  <c:v>436.55393812726396</c:v>
                </c:pt>
                <c:pt idx="160">
                  <c:v>398.13886589339324</c:v>
                </c:pt>
                <c:pt idx="161">
                  <c:v>363.10441799028285</c:v>
                </c:pt>
                <c:pt idx="162">
                  <c:v>331.15304959416932</c:v>
                </c:pt>
                <c:pt idx="163">
                  <c:v>302.01341115528896</c:v>
                </c:pt>
                <c:pt idx="164">
                  <c:v>275.43804104960549</c:v>
                </c:pt>
                <c:pt idx="165">
                  <c:v>251.20126166390648</c:v>
                </c:pt>
                <c:pt idx="166">
                  <c:v>229.09726094509847</c:v>
                </c:pt>
                <c:pt idx="167">
                  <c:v>208.93834303726928</c:v>
                </c:pt>
                <c:pt idx="168">
                  <c:v>190.55333308071363</c:v>
                </c:pt>
                <c:pt idx="169">
                  <c:v>173.78612256848137</c:v>
                </c:pt>
                <c:pt idx="170">
                  <c:v>158.49434285975681</c:v>
                </c:pt>
                <c:pt idx="171">
                  <c:v>144.54815554608064</c:v>
                </c:pt>
                <c:pt idx="172">
                  <c:v>131.82914936568622</c:v>
                </c:pt>
                <c:pt idx="173">
                  <c:v>120.22933427179211</c:v>
                </c:pt>
                <c:pt idx="174">
                  <c:v>109.65022409047734</c:v>
                </c:pt>
                <c:pt idx="175">
                  <c:v>100.00199996001844</c:v>
                </c:pt>
                <c:pt idx="176">
                  <c:v>91.20274743280693</c:v>
                </c:pt>
                <c:pt idx="177">
                  <c:v>83.17776074920684</c:v>
                </c:pt>
                <c:pt idx="178">
                  <c:v>75.858908365346664</c:v>
                </c:pt>
                <c:pt idx="179">
                  <c:v>69.184054338846138</c:v>
                </c:pt>
                <c:pt idx="180">
                  <c:v>63.09653065232478</c:v>
                </c:pt>
                <c:pt idx="181">
                  <c:v>57.544655988347714</c:v>
                </c:pt>
                <c:pt idx="182">
                  <c:v>52.481296864946167</c:v>
                </c:pt>
                <c:pt idx="183">
                  <c:v>47.863467401417516</c:v>
                </c:pt>
                <c:pt idx="184">
                  <c:v>43.651964312841407</c:v>
                </c:pt>
                <c:pt idx="185">
                  <c:v>39.811034031471962</c:v>
                </c:pt>
                <c:pt idx="186">
                  <c:v>36.308069126450249</c:v>
                </c:pt>
                <c:pt idx="187">
                  <c:v>33.113331442452285</c:v>
                </c:pt>
                <c:pt idx="188">
                  <c:v>30.199699605092068</c:v>
                </c:pt>
                <c:pt idx="189">
                  <c:v>27.542438748066186</c:v>
                </c:pt>
                <c:pt idx="190">
                  <c:v>25.118990505935532</c:v>
                </c:pt>
                <c:pt idx="191">
                  <c:v>22.908781488693212</c:v>
                </c:pt>
                <c:pt idx="192">
                  <c:v>20.893048611346003</c:v>
                </c:pt>
                <c:pt idx="193">
                  <c:v>19.054679794970315</c:v>
                </c:pt>
                <c:pt idx="194">
                  <c:v>17.378068686321551</c:v>
                </c:pt>
                <c:pt idx="195">
                  <c:v>15.848982162183519</c:v>
                </c:pt>
                <c:pt idx="196">
                  <c:v>14.454439493263834</c:v>
                </c:pt>
                <c:pt idx="197">
                  <c:v>13.182602141491513</c:v>
                </c:pt>
                <c:pt idx="198">
                  <c:v>12.022673254902298</c:v>
                </c:pt>
                <c:pt idx="199">
                  <c:v>10.964806006669882</c:v>
                </c:pt>
                <c:pt idx="200">
                  <c:v>10.000019999961896</c:v>
                </c:pt>
                <c:pt idx="201">
                  <c:v>9.1201250288059068</c:v>
                </c:pt>
                <c:pt idx="202">
                  <c:v>8.3176515476246777</c:v>
                </c:pt>
                <c:pt idx="203">
                  <c:v>7.5857872590745528</c:v>
                </c:pt>
                <c:pt idx="204">
                  <c:v>6.9183192817792696</c:v>
                </c:pt>
                <c:pt idx="205">
                  <c:v>6.3095814069364895</c:v>
                </c:pt>
                <c:pt idx="206">
                  <c:v>5.7544059959874581</c:v>
                </c:pt>
                <c:pt idx="207">
                  <c:v>5.2480801109503386</c:v>
                </c:pt>
                <c:pt idx="208">
                  <c:v>4.7863055049582055</c:v>
                </c:pt>
                <c:pt idx="209">
                  <c:v>4.3651621333205934</c:v>
                </c:pt>
                <c:pt idx="210">
                  <c:v>3.9810748753195835</c:v>
                </c:pt>
                <c:pt idx="211">
                  <c:v>3.6307831842132599</c:v>
                </c:pt>
                <c:pt idx="212">
                  <c:v>3.311313407781475</c:v>
                </c:pt>
                <c:pt idx="213">
                  <c:v>3.0199535444231587</c:v>
                </c:pt>
                <c:pt idx="214">
                  <c:v>2.7542302204929974</c:v>
                </c:pt>
                <c:pt idx="215">
                  <c:v>2.5118876934241077</c:v>
                </c:pt>
                <c:pt idx="216">
                  <c:v>2.2908687023826428</c:v>
                </c:pt>
                <c:pt idx="217">
                  <c:v>2.0892970038857315</c:v>
                </c:pt>
                <c:pt idx="218">
                  <c:v>1.9054614441194364</c:v>
                </c:pt>
                <c:pt idx="219">
                  <c:v>1.737801432739835</c:v>
                </c:pt>
                <c:pt idx="220">
                  <c:v>1.584893694838537</c:v>
                </c:pt>
                <c:pt idx="221">
                  <c:v>1.4454401886053041</c:v>
                </c:pt>
                <c:pt idx="222">
                  <c:v>1.3182570861167271</c:v>
                </c:pt>
                <c:pt idx="223">
                  <c:v>1.2022647237055226</c:v>
                </c:pt>
                <c:pt idx="224">
                  <c:v>1.0964784365962239</c:v>
                </c:pt>
                <c:pt idx="225">
                  <c:v>1.0000002000001476</c:v>
                </c:pt>
                <c:pt idx="226">
                  <c:v>0.91201100570880422</c:v>
                </c:pt>
                <c:pt idx="227">
                  <c:v>0.83176390946899703</c:v>
                </c:pt>
                <c:pt idx="228">
                  <c:v>0.75857769011729559</c:v>
                </c:pt>
                <c:pt idx="229">
                  <c:v>0.69183106664507044</c:v>
                </c:pt>
                <c:pt idx="230">
                  <c:v>0.63095742410173494</c:v>
                </c:pt>
                <c:pt idx="231">
                  <c:v>0.5754400035634808</c:v>
                </c:pt>
                <c:pt idx="232">
                  <c:v>0.52480751533443881</c:v>
                </c:pt>
                <c:pt idx="233">
                  <c:v>0.4786301381400761</c:v>
                </c:pt>
                <c:pt idx="234">
                  <c:v>0.43651587034945827</c:v>
                </c:pt>
                <c:pt idx="235">
                  <c:v>0.39810720225143248</c:v>
                </c:pt>
                <c:pt idx="236">
                  <c:v>0.36307808113530188</c:v>
                </c:pt>
                <c:pt idx="237">
                  <c:v>0.331131143412215</c:v>
                </c:pt>
                <c:pt idx="238">
                  <c:v>0.30199519028047345</c:v>
                </c:pt>
                <c:pt idx="239">
                  <c:v>0.27542288550541838</c:v>
                </c:pt>
                <c:pt idx="240">
                  <c:v>0.25118865577015098</c:v>
                </c:pt>
                <c:pt idx="241">
                  <c:v>0.22908677577296849</c:v>
                </c:pt>
                <c:pt idx="242">
                  <c:v>0.20892962181575883</c:v>
                </c:pt>
                <c:pt idx="243">
                  <c:v>0.19054607905792081</c:v>
                </c:pt>
                <c:pt idx="244">
                  <c:v>0.17378008891487293</c:v>
                </c:pt>
                <c:pt idx="245">
                  <c:v>0.15848932426991333</c:v>
                </c:pt>
                <c:pt idx="246">
                  <c:v>0.14454398125321152</c:v>
                </c:pt>
                <c:pt idx="247">
                  <c:v>0.13182567733126668</c:v>
                </c:pt>
                <c:pt idx="248">
                  <c:v>0.12022644635264286</c:v>
                </c:pt>
                <c:pt idx="249">
                  <c:v>0.10964782201886755</c:v>
                </c:pt>
                <c:pt idx="250">
                  <c:v>0.10000000200001838</c:v>
                </c:pt>
                <c:pt idx="251">
                  <c:v>9.1201085599135298E-2</c:v>
                </c:pt>
                <c:pt idx="252">
                  <c:v>8.3176378493944284E-2</c:v>
                </c:pt>
                <c:pt idx="253">
                  <c:v>7.585775865381221E-2</c:v>
                </c:pt>
                <c:pt idx="254">
                  <c:v>6.918309804916653E-2</c:v>
                </c:pt>
                <c:pt idx="255">
                  <c:v>6.3095735244245305E-2</c:v>
                </c:pt>
                <c:pt idx="256">
                  <c:v>5.7543994395988507E-2</c:v>
                </c:pt>
                <c:pt idx="257">
                  <c:v>5.248074657583264E-2</c:v>
                </c:pt>
                <c:pt idx="258">
                  <c:v>4.7863009690446157E-2</c:v>
                </c:pt>
                <c:pt idx="259">
                  <c:v>4.3651583605116742E-2</c:v>
                </c:pt>
                <c:pt idx="260">
                  <c:v>3.9810717372335672E-2</c:v>
                </c:pt>
                <c:pt idx="261">
                  <c:v>3.6307805740668136E-2</c:v>
                </c:pt>
                <c:pt idx="262">
                  <c:v>3.3113112367560815E-2</c:v>
                </c:pt>
                <c:pt idx="263">
                  <c:v>3.0199517386427871E-2</c:v>
                </c:pt>
                <c:pt idx="264">
                  <c:v>2.7542287185102241E-2</c:v>
                </c:pt>
                <c:pt idx="265">
                  <c:v>2.5118864441291876E-2</c:v>
                </c:pt>
                <c:pt idx="266">
                  <c:v>2.2908676632643413E-2</c:v>
                </c:pt>
                <c:pt idx="267">
                  <c:v>2.0892961395847388E-2</c:v>
                </c:pt>
                <c:pt idx="268">
                  <c:v>1.9054607252251568E-2</c:v>
                </c:pt>
                <c:pt idx="269">
                  <c:v>1.7378008347895966E-2</c:v>
                </c:pt>
                <c:pt idx="270">
                  <c:v>1.5848931974851755E-2</c:v>
                </c:pt>
                <c:pt idx="271">
                  <c:v>1.4454397749247842E-2</c:v>
                </c:pt>
                <c:pt idx="272">
                  <c:v>1.3182567420322498E-2</c:v>
                </c:pt>
                <c:pt idx="273">
                  <c:v>1.2022644375085123E-2</c:v>
                </c:pt>
                <c:pt idx="274">
                  <c:v>1.0964781985479137E-2</c:v>
                </c:pt>
                <c:pt idx="275">
                  <c:v>1.0000000020001827E-2</c:v>
                </c:pt>
                <c:pt idx="276">
                  <c:v>9.1201084101960352E-3</c:v>
                </c:pt>
                <c:pt idx="277">
                  <c:v>8.317637724864848E-3</c:v>
                </c:pt>
                <c:pt idx="278">
                  <c:v>7.5857757618020176E-3</c:v>
                </c:pt>
                <c:pt idx="279">
                  <c:v>6.9183097187632235E-3</c:v>
                </c:pt>
                <c:pt idx="280">
                  <c:v>6.3095734527652226E-3</c:v>
                </c:pt>
                <c:pt idx="281">
                  <c:v>5.7543993799952379E-3</c:v>
                </c:pt>
                <c:pt idx="282">
                  <c:v>5.2480746080071361E-3</c:v>
                </c:pt>
                <c:pt idx="283">
                  <c:v>4.786300927808987E-3</c:v>
                </c:pt>
                <c:pt idx="284">
                  <c:v>4.3651583262133741E-3</c:v>
                </c:pt>
                <c:pt idx="285">
                  <c:v>3.9810717087054815E-3</c:v>
                </c:pt>
                <c:pt idx="286">
                  <c:v>3.6307805503381862E-3</c:v>
                </c:pt>
                <c:pt idx="287">
                  <c:v>3.3113112170194679E-3</c:v>
                </c:pt>
                <c:pt idx="288">
                  <c:v>3.0199517222265861E-3</c:v>
                </c:pt>
                <c:pt idx="289">
                  <c:v>2.7542287048558209E-3</c:v>
                </c:pt>
                <c:pt idx="290">
                  <c:v>2.5118864327719503E-3</c:v>
                </c:pt>
                <c:pt idx="291">
                  <c:v>2.2908676538178044E-3</c:v>
                </c:pt>
                <c:pt idx="292">
                  <c:v>2.0892961317274506E-3</c:v>
                </c:pt>
                <c:pt idx="293">
                  <c:v>1.9054607186897489E-3</c:v>
                </c:pt>
                <c:pt idx="294">
                  <c:v>1.7378008293536815E-3</c:v>
                </c:pt>
                <c:pt idx="295">
                  <c:v>1.5848931929637782E-3</c:v>
                </c:pt>
                <c:pt idx="296">
                  <c:v>1.4454397711640486E-3</c:v>
                </c:pt>
              </c:numCache>
            </c:numRef>
          </c:yVal>
        </c:ser>
        <c:axId val="135258880"/>
        <c:axId val="135260800"/>
      </c:scatterChart>
      <c:valAx>
        <c:axId val="135258880"/>
        <c:scaling>
          <c:logBase val="10"/>
          <c:orientation val="minMax"/>
          <c:max val="0.1"/>
          <c:min val="1.0000000000000023E-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Wavenumber</a:t>
                </a:r>
              </a:p>
            </c:rich>
          </c:tx>
          <c:layout/>
        </c:title>
        <c:numFmt formatCode="0E+00" sourceLinked="0"/>
        <c:tickLblPos val="nextTo"/>
        <c:crossAx val="135260800"/>
        <c:crosses val="autoZero"/>
        <c:crossBetween val="midCat"/>
      </c:valAx>
      <c:valAx>
        <c:axId val="135260800"/>
        <c:scaling>
          <c:logBase val="10"/>
          <c:orientation val="minMax"/>
          <c:max val="100000000"/>
          <c:min val="1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Density</a:t>
                </a:r>
              </a:p>
            </c:rich>
          </c:tx>
          <c:layout/>
        </c:title>
        <c:numFmt formatCode="General" sourceLinked="1"/>
        <c:tickLblPos val="nextTo"/>
        <c:crossAx val="135258880"/>
        <c:crossesAt val="1.0000000000000023E-6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0440744270023559"/>
          <c:y val="0.15012286986139331"/>
          <c:w val="0.20981042178644874"/>
          <c:h val="0.13621780328306421"/>
        </c:manualLayout>
      </c:layout>
    </c:legend>
    <c:plotVisOnly val="1"/>
  </c:chart>
  <c:txPr>
    <a:bodyPr/>
    <a:lstStyle/>
    <a:p>
      <a:pPr>
        <a:defRPr sz="1400"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13527256461362"/>
          <c:y val="5.1400554097404488E-2"/>
          <c:w val="0.76778692137167071"/>
          <c:h val="0.76374961045436762"/>
        </c:manualLayout>
      </c:layout>
      <c:scatterChart>
        <c:scatterStyle val="lineMarker"/>
        <c:ser>
          <c:idx val="0"/>
          <c:order val="0"/>
          <c:tx>
            <c:strRef>
              <c:f>Sheet1!$J$54</c:f>
              <c:strCache>
                <c:ptCount val="1"/>
                <c:pt idx="0">
                  <c:v>wavelength data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</c:spPr>
          </c:marker>
          <c:xVal>
            <c:numRef>
              <c:f>Sheet1!$I$55:$I$233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Sheet1!$J$55:$J$233</c:f>
              <c:numCache>
                <c:formatCode>General</c:formatCode>
                <c:ptCount val="179"/>
                <c:pt idx="0">
                  <c:v>5.8999999999994109E-3</c:v>
                </c:pt>
                <c:pt idx="1">
                  <c:v>6.6336930866655805E-3</c:v>
                </c:pt>
                <c:pt idx="2">
                  <c:v>7.4540394946271838E-3</c:v>
                </c:pt>
                <c:pt idx="3">
                  <c:v>8.5686688006157488E-3</c:v>
                </c:pt>
                <c:pt idx="4">
                  <c:v>9.8289904410712396E-3</c:v>
                </c:pt>
                <c:pt idx="5">
                  <c:v>1.1252741666472681E-2</c:v>
                </c:pt>
                <c:pt idx="6">
                  <c:v>1.2859726132743927E-2</c:v>
                </c:pt>
                <c:pt idx="7">
                  <c:v>1.4672047528315343E-2</c:v>
                </c:pt>
                <c:pt idx="8">
                  <c:v>1.6714369046830359E-2</c:v>
                </c:pt>
                <c:pt idx="9">
                  <c:v>1.9014201517970276E-2</c:v>
                </c:pt>
                <c:pt idx="10">
                  <c:v>2.1602223310979763E-2</c:v>
                </c:pt>
                <c:pt idx="11">
                  <c:v>2.4512635459706694E-2</c:v>
                </c:pt>
                <c:pt idx="12">
                  <c:v>2.7783555827695157E-2</c:v>
                </c:pt>
                <c:pt idx="13">
                  <c:v>3.112632541935963E-2</c:v>
                </c:pt>
                <c:pt idx="14">
                  <c:v>3.4492415203155255E-2</c:v>
                </c:pt>
                <c:pt idx="15">
                  <c:v>3.8218288373130752E-2</c:v>
                </c:pt>
                <c:pt idx="16">
                  <c:v>4.1469004062810337E-2</c:v>
                </c:pt>
                <c:pt idx="17">
                  <c:v>4.4991228678321935E-2</c:v>
                </c:pt>
                <c:pt idx="18">
                  <c:v>4.7232671422473151E-2</c:v>
                </c:pt>
                <c:pt idx="19">
                  <c:v>4.8912394673651542E-2</c:v>
                </c:pt>
                <c:pt idx="20">
                  <c:v>5.1738502247368631E-2</c:v>
                </c:pt>
                <c:pt idx="21">
                  <c:v>5.39628157316695E-2</c:v>
                </c:pt>
                <c:pt idx="22">
                  <c:v>5.6134740552151542E-2</c:v>
                </c:pt>
                <c:pt idx="23">
                  <c:v>5.8223463977178591E-2</c:v>
                </c:pt>
                <c:pt idx="24">
                  <c:v>5.9280704558125355E-2</c:v>
                </c:pt>
                <c:pt idx="25">
                  <c:v>5.9999999999991088E-2</c:v>
                </c:pt>
                <c:pt idx="26">
                  <c:v>5.8113344395579934E-2</c:v>
                </c:pt>
                <c:pt idx="27">
                  <c:v>5.5304163992392553E-2</c:v>
                </c:pt>
                <c:pt idx="28">
                  <c:v>5.404852628080422E-2</c:v>
                </c:pt>
                <c:pt idx="29">
                  <c:v>5.2035831746845222E-2</c:v>
                </c:pt>
                <c:pt idx="30">
                  <c:v>5.071658215874765E-2</c:v>
                </c:pt>
                <c:pt idx="31">
                  <c:v>4.8658423204974662E-2</c:v>
                </c:pt>
                <c:pt idx="32">
                  <c:v>4.7636517949073469E-2</c:v>
                </c:pt>
                <c:pt idx="33">
                  <c:v>4.3875218747927554E-2</c:v>
                </c:pt>
                <c:pt idx="34">
                  <c:v>4.1235617749813068E-2</c:v>
                </c:pt>
                <c:pt idx="35">
                  <c:v>4.019018290414645E-2</c:v>
                </c:pt>
                <c:pt idx="36">
                  <c:v>3.8559201846727759E-2</c:v>
                </c:pt>
                <c:pt idx="37">
                  <c:v>3.9259372365219369E-2</c:v>
                </c:pt>
                <c:pt idx="38">
                  <c:v>3.6424423363078641E-2</c:v>
                </c:pt>
                <c:pt idx="39">
                  <c:v>3.267702492930339E-2</c:v>
                </c:pt>
                <c:pt idx="40">
                  <c:v>2.7867501938739814E-2</c:v>
                </c:pt>
                <c:pt idx="41">
                  <c:v>2.6190949934405256E-2</c:v>
                </c:pt>
                <c:pt idx="42">
                  <c:v>2.6324655077740275E-2</c:v>
                </c:pt>
                <c:pt idx="43">
                  <c:v>2.624037301248381E-2</c:v>
                </c:pt>
                <c:pt idx="44">
                  <c:v>2.3017597493481957E-2</c:v>
                </c:pt>
                <c:pt idx="45">
                  <c:v>2.2083507056802613E-2</c:v>
                </c:pt>
                <c:pt idx="46">
                  <c:v>2.075492912756418E-2</c:v>
                </c:pt>
                <c:pt idx="47">
                  <c:v>1.9723016950754981E-2</c:v>
                </c:pt>
                <c:pt idx="48">
                  <c:v>1.8298802964255234E-2</c:v>
                </c:pt>
                <c:pt idx="49">
                  <c:v>1.8240216787114606E-2</c:v>
                </c:pt>
                <c:pt idx="50">
                  <c:v>1.8499999999996349E-2</c:v>
                </c:pt>
                <c:pt idx="51">
                  <c:v>1.8640129334430468E-2</c:v>
                </c:pt>
                <c:pt idx="52">
                  <c:v>1.8875551623489646E-2</c:v>
                </c:pt>
                <c:pt idx="53">
                  <c:v>1.911472270906411E-2</c:v>
                </c:pt>
                <c:pt idx="54">
                  <c:v>1.7345277248947681E-2</c:v>
                </c:pt>
                <c:pt idx="55">
                  <c:v>1.5848931924607981E-2</c:v>
                </c:pt>
                <c:pt idx="56">
                  <c:v>1.4771307044366799E-2</c:v>
                </c:pt>
                <c:pt idx="57">
                  <c:v>1.4290955384721549E-2</c:v>
                </c:pt>
                <c:pt idx="58">
                  <c:v>1.3998284076719313E-2</c:v>
                </c:pt>
                <c:pt idx="59">
                  <c:v>1.4203379447157391E-2</c:v>
                </c:pt>
                <c:pt idx="60">
                  <c:v>1.3815375373299962E-2</c:v>
                </c:pt>
                <c:pt idx="61">
                  <c:v>1.3771143516688109E-2</c:v>
                </c:pt>
                <c:pt idx="62">
                  <c:v>1.3891777913846522E-2</c:v>
                </c:pt>
                <c:pt idx="63">
                  <c:v>1.3907507102266068E-2</c:v>
                </c:pt>
                <c:pt idx="64">
                  <c:v>1.4160044136031185E-2</c:v>
                </c:pt>
                <c:pt idx="65">
                  <c:v>1.4331858139923097E-2</c:v>
                </c:pt>
                <c:pt idx="66">
                  <c:v>1.4841538296162728E-2</c:v>
                </c:pt>
                <c:pt idx="67">
                  <c:v>1.5316162954321417E-2</c:v>
                </c:pt>
                <c:pt idx="68">
                  <c:v>1.5219416347240406E-2</c:v>
                </c:pt>
                <c:pt idx="69">
                  <c:v>1.4961438370763131E-2</c:v>
                </c:pt>
                <c:pt idx="70">
                  <c:v>1.5142976267521644E-2</c:v>
                </c:pt>
                <c:pt idx="71">
                  <c:v>1.5220281360213642E-2</c:v>
                </c:pt>
                <c:pt idx="72">
                  <c:v>1.5171551500580721E-2</c:v>
                </c:pt>
                <c:pt idx="73">
                  <c:v>1.4971747879845157E-2</c:v>
                </c:pt>
                <c:pt idx="74">
                  <c:v>1.4592173429691702E-2</c:v>
                </c:pt>
                <c:pt idx="75">
                  <c:v>1.3999999999997254E-2</c:v>
                </c:pt>
                <c:pt idx="76">
                  <c:v>1.3705977451787121E-2</c:v>
                </c:pt>
                <c:pt idx="77">
                  <c:v>1.3224908780788967E-2</c:v>
                </c:pt>
                <c:pt idx="78">
                  <c:v>1.3578044407128342E-2</c:v>
                </c:pt>
                <c:pt idx="79">
                  <c:v>1.3587133845009054E-2</c:v>
                </c:pt>
                <c:pt idx="80">
                  <c:v>1.394706009365506E-2</c:v>
                </c:pt>
                <c:pt idx="81">
                  <c:v>1.4597526961491912E-2</c:v>
                </c:pt>
                <c:pt idx="82">
                  <c:v>1.5243685743703002E-2</c:v>
                </c:pt>
                <c:pt idx="83">
                  <c:v>1.4625072915975415E-2</c:v>
                </c:pt>
                <c:pt idx="84">
                  <c:v>1.4890639742987636E-2</c:v>
                </c:pt>
                <c:pt idx="85">
                  <c:v>1.6076073161658183E-2</c:v>
                </c:pt>
                <c:pt idx="86">
                  <c:v>1.680079509035954E-2</c:v>
                </c:pt>
                <c:pt idx="87">
                  <c:v>1.7515719978328272E-2</c:v>
                </c:pt>
                <c:pt idx="88">
                  <c:v>1.6887687195608871E-2</c:v>
                </c:pt>
                <c:pt idx="89">
                  <c:v>1.6338512464651383E-2</c:v>
                </c:pt>
                <c:pt idx="90">
                  <c:v>1.5128072481029951E-2</c:v>
                </c:pt>
                <c:pt idx="91">
                  <c:v>1.3968506631682583E-2</c:v>
                </c:pt>
                <c:pt idx="92">
                  <c:v>1.3401642585031277E-2</c:v>
                </c:pt>
                <c:pt idx="93">
                  <c:v>1.312018650624177E-2</c:v>
                </c:pt>
                <c:pt idx="94">
                  <c:v>1.3235118558752037E-2</c:v>
                </c:pt>
                <c:pt idx="95">
                  <c:v>1.3250104234081477E-2</c:v>
                </c:pt>
                <c:pt idx="96">
                  <c:v>1.3490703932916655E-2</c:v>
                </c:pt>
                <c:pt idx="97">
                  <c:v>1.4033685138037181E-2</c:v>
                </c:pt>
                <c:pt idx="98">
                  <c:v>1.4555865994293919E-2</c:v>
                </c:pt>
                <c:pt idx="99">
                  <c:v>1.5048178849369608E-2</c:v>
                </c:pt>
                <c:pt idx="100">
                  <c:v>1.4999999999997106E-2</c:v>
                </c:pt>
                <c:pt idx="101">
                  <c:v>1.5350694746001616E-2</c:v>
                </c:pt>
                <c:pt idx="102">
                  <c:v>1.5629437650023337E-2</c:v>
                </c:pt>
                <c:pt idx="103">
                  <c:v>1.5819080862673841E-2</c:v>
                </c:pt>
                <c:pt idx="104">
                  <c:v>1.5899837478202138E-2</c:v>
                </c:pt>
                <c:pt idx="105">
                  <c:v>1.5848931924608074E-2</c:v>
                </c:pt>
                <c:pt idx="106">
                  <c:v>1.5640207458741347E-2</c:v>
                </c:pt>
                <c:pt idx="107">
                  <c:v>1.5243685743703047E-2</c:v>
                </c:pt>
                <c:pt idx="108">
                  <c:v>1.462507291597546E-2</c:v>
                </c:pt>
                <c:pt idx="109">
                  <c:v>1.3745205916603985E-2</c:v>
                </c:pt>
                <c:pt idx="110">
                  <c:v>1.255943215754547E-2</c:v>
                </c:pt>
                <c:pt idx="111">
                  <c:v>1.2944874905686896E-2</c:v>
                </c:pt>
                <c:pt idx="112">
                  <c:v>1.3589782741806456E-2</c:v>
                </c:pt>
                <c:pt idx="113">
                  <c:v>1.4238638223748672E-2</c:v>
                </c:pt>
                <c:pt idx="114">
                  <c:v>1.4886200245571305E-2</c:v>
                </c:pt>
                <c:pt idx="115">
                  <c:v>1.5526179651583418E-2</c:v>
                </c:pt>
                <c:pt idx="116">
                  <c:v>1.6151085792883036E-2</c:v>
                </c:pt>
                <c:pt idx="117">
                  <c:v>1.6752053231289119E-2</c:v>
                </c:pt>
                <c:pt idx="118">
                  <c:v>1.7318646188239181E-2</c:v>
                </c:pt>
                <c:pt idx="119">
                  <c:v>1.7838638057448446E-2</c:v>
                </c:pt>
                <c:pt idx="120">
                  <c:v>1.7035848300961949E-2</c:v>
                </c:pt>
                <c:pt idx="121">
                  <c:v>1.7295774272970091E-2</c:v>
                </c:pt>
                <c:pt idx="122">
                  <c:v>1.7447284225667898E-2</c:v>
                </c:pt>
                <c:pt idx="123">
                  <c:v>1.7467039193152751E-2</c:v>
                </c:pt>
                <c:pt idx="124">
                  <c:v>1.7328205947758964E-2</c:v>
                </c:pt>
                <c:pt idx="125">
                  <c:v>1.7299999999996672E-2</c:v>
                </c:pt>
                <c:pt idx="126">
                  <c:v>1.7543651138287621E-2</c:v>
                </c:pt>
                <c:pt idx="127">
                  <c:v>1.803396651925775E-2</c:v>
                </c:pt>
                <c:pt idx="128">
                  <c:v>1.845559433978617E-2</c:v>
                </c:pt>
                <c:pt idx="129">
                  <c:v>1.8790717019693457E-2</c:v>
                </c:pt>
                <c:pt idx="130">
                  <c:v>1.9018718309529739E-2</c:v>
                </c:pt>
                <c:pt idx="131">
                  <c:v>1.9115809116239481E-2</c:v>
                </c:pt>
                <c:pt idx="132">
                  <c:v>1.9054607179628823E-2</c:v>
                </c:pt>
                <c:pt idx="133">
                  <c:v>1.8803665177682789E-2</c:v>
                </c:pt>
                <c:pt idx="134">
                  <c:v>1.9014201517968902E-2</c:v>
                </c:pt>
                <c:pt idx="135">
                  <c:v>1.8839148236318257E-2</c:v>
                </c:pt>
                <c:pt idx="136">
                  <c:v>1.9279600923363484E-2</c:v>
                </c:pt>
                <c:pt idx="137">
                  <c:v>1.9629686182609386E-2</c:v>
                </c:pt>
                <c:pt idx="138">
                  <c:v>2.0198998410434221E-2</c:v>
                </c:pt>
                <c:pt idx="139">
                  <c:v>2.0695449121891842E-2</c:v>
                </c:pt>
                <c:pt idx="140">
                  <c:v>2.1497787209884753E-2</c:v>
                </c:pt>
                <c:pt idx="141">
                  <c:v>2.2262307444244248E-2</c:v>
                </c:pt>
                <c:pt idx="142">
                  <c:v>2.2974244431482282E-2</c:v>
                </c:pt>
                <c:pt idx="143">
                  <c:v>2.4141143171484952E-2</c:v>
                </c:pt>
                <c:pt idx="144">
                  <c:v>2.531935724283008E-2</c:v>
                </c:pt>
                <c:pt idx="145">
                  <c:v>2.6500208468163106E-2</c:v>
                </c:pt>
                <c:pt idx="146">
                  <c:v>2.7673238836752212E-2</c:v>
                </c:pt>
                <c:pt idx="147">
                  <c:v>2.8825947851103515E-2</c:v>
                </c:pt>
                <c:pt idx="148">
                  <c:v>2.9943495759690516E-2</c:v>
                </c:pt>
                <c:pt idx="149">
                  <c:v>2.9184346859383602E-2</c:v>
                </c:pt>
                <c:pt idx="150">
                  <c:v>2.7999999999994696E-2</c:v>
                </c:pt>
                <c:pt idx="151">
                  <c:v>2.8508433099717401E-2</c:v>
                </c:pt>
                <c:pt idx="152">
                  <c:v>2.9455478648121074E-2</c:v>
                </c:pt>
                <c:pt idx="153">
                  <c:v>3.0319904986791647E-2</c:v>
                </c:pt>
                <c:pt idx="154">
                  <c:v>3.1076955071031573E-2</c:v>
                </c:pt>
                <c:pt idx="155">
                  <c:v>3.1697863849216266E-2</c:v>
                </c:pt>
                <c:pt idx="156">
                  <c:v>3.21493153318574E-2</c:v>
                </c:pt>
                <c:pt idx="157">
                  <c:v>3.2392832205369093E-2</c:v>
                </c:pt>
                <c:pt idx="158">
                  <c:v>3.2384090028231498E-2</c:v>
                </c:pt>
                <c:pt idx="159">
                  <c:v>3.2072147138742756E-2</c:v>
                </c:pt>
                <c:pt idx="160">
                  <c:v>3.1398580393863854E-2</c:v>
                </c:pt>
                <c:pt idx="161">
                  <c:v>3.0296515736714127E-2</c:v>
                </c:pt>
                <c:pt idx="162">
                  <c:v>3.0199517204014471E-2</c:v>
                </c:pt>
                <c:pt idx="163">
                  <c:v>2.9801800933427623E-2</c:v>
                </c:pt>
                <c:pt idx="164">
                  <c:v>2.9046244381602665E-2</c:v>
                </c:pt>
                <c:pt idx="165">
                  <c:v>2.7867501938739575E-2</c:v>
                </c:pt>
                <c:pt idx="166">
                  <c:v>2.6190949934405044E-2</c:v>
                </c:pt>
                <c:pt idx="167">
                  <c:v>2.3931504616127426E-2</c:v>
                </c:pt>
                <c:pt idx="168">
                  <c:v>2.3616335711235347E-2</c:v>
                </c:pt>
                <c:pt idx="169">
                  <c:v>2.359303743081901E-2</c:v>
                </c:pt>
                <c:pt idx="170">
                  <c:v>2.334542174576278E-2</c:v>
                </c:pt>
                <c:pt idx="171">
                  <c:v>2.2830422040320618E-2</c:v>
                </c:pt>
                <c:pt idx="172">
                  <c:v>2.3515904825900304E-2</c:v>
                </c:pt>
                <c:pt idx="173">
                  <c:v>2.4121149361972943E-2</c:v>
                </c:pt>
                <c:pt idx="174">
                  <c:v>2.3712281823249224E-2</c:v>
                </c:pt>
                <c:pt idx="175">
                  <c:v>2.4999999999995321E-2</c:v>
                </c:pt>
                <c:pt idx="176">
                  <c:v>2.6315476707431527E-2</c:v>
                </c:pt>
                <c:pt idx="177">
                  <c:v>2.7652081996195354E-2</c:v>
                </c:pt>
                <c:pt idx="178">
                  <c:v>2.9001648248235541E-2</c:v>
                </c:pt>
              </c:numCache>
            </c:numRef>
          </c:yVal>
        </c:ser>
        <c:ser>
          <c:idx val="1"/>
          <c:order val="1"/>
          <c:tx>
            <c:strRef>
              <c:f>Sheet1!$K$54</c:f>
              <c:strCache>
                <c:ptCount val="1"/>
                <c:pt idx="0">
                  <c:v>exp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Sheet1!$I$55:$I$233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Sheet1!$K$55:$K$233</c:f>
              <c:numCache>
                <c:formatCode>General</c:formatCode>
                <c:ptCount val="179"/>
                <c:pt idx="0">
                  <c:v>5.3502023629599842E-3</c:v>
                </c:pt>
                <c:pt idx="1">
                  <c:v>6.3196372968032837E-3</c:v>
                </c:pt>
                <c:pt idx="2">
                  <c:v>7.4089911239753814E-3</c:v>
                </c:pt>
                <c:pt idx="3">
                  <c:v>8.6241732410037453E-3</c:v>
                </c:pt>
                <c:pt idx="4">
                  <c:v>9.9702776483391667E-3</c:v>
                </c:pt>
                <c:pt idx="5">
                  <c:v>1.1451490733202051E-2</c:v>
                </c:pt>
                <c:pt idx="6">
                  <c:v>1.30710172750834E-2</c:v>
                </c:pt>
                <c:pt idx="7">
                  <c:v>1.4831025924724133E-2</c:v>
                </c:pt>
                <c:pt idx="8">
                  <c:v>1.6732614729326543E-2</c:v>
                </c:pt>
                <c:pt idx="9">
                  <c:v>1.877579663576916E-2</c:v>
                </c:pt>
                <c:pt idx="10">
                  <c:v>2.0959504323143793E-2</c:v>
                </c:pt>
                <c:pt idx="11">
                  <c:v>2.3281613213381652E-2</c:v>
                </c:pt>
                <c:pt idx="12">
                  <c:v>2.5738981095304283E-2</c:v>
                </c:pt>
                <c:pt idx="13">
                  <c:v>2.8327502478632787E-2</c:v>
                </c:pt>
                <c:pt idx="14">
                  <c:v>3.1042175570690292E-2</c:v>
                </c:pt>
                <c:pt idx="15">
                  <c:v>3.3877179635864403E-2</c:v>
                </c:pt>
                <c:pt idx="16">
                  <c:v>3.6825960449125027E-2</c:v>
                </c:pt>
                <c:pt idx="17">
                  <c:v>3.9881321580344332E-2</c:v>
                </c:pt>
                <c:pt idx="18">
                  <c:v>4.303551933466352E-2</c:v>
                </c:pt>
                <c:pt idx="19">
                  <c:v>4.6280359313727329E-2</c:v>
                </c:pt>
                <c:pt idx="20">
                  <c:v>4.9607292741279146E-2</c:v>
                </c:pt>
                <c:pt idx="21">
                  <c:v>5.300751090281422E-2</c:v>
                </c:pt>
                <c:pt idx="22">
                  <c:v>5.6472036272115556E-2</c:v>
                </c:pt>
                <c:pt idx="23">
                  <c:v>5.9991809128049314E-2</c:v>
                </c:pt>
                <c:pt idx="24">
                  <c:v>6.048041142624546E-2</c:v>
                </c:pt>
                <c:pt idx="25">
                  <c:v>5.7235659347394247E-2</c:v>
                </c:pt>
                <c:pt idx="26">
                  <c:v>5.4299581601325947E-2</c:v>
                </c:pt>
                <c:pt idx="27">
                  <c:v>5.1636358228964487E-2</c:v>
                </c:pt>
                <c:pt idx="28">
                  <c:v>4.9215027078057062E-2</c:v>
                </c:pt>
                <c:pt idx="29">
                  <c:v>4.7008740008345692E-2</c:v>
                </c:pt>
                <c:pt idx="30">
                  <c:v>4.4994144752967993E-2</c:v>
                </c:pt>
                <c:pt idx="31">
                  <c:v>4.3150869375667124E-2</c:v>
                </c:pt>
                <c:pt idx="32">
                  <c:v>4.1461090808773325E-2</c:v>
                </c:pt>
                <c:pt idx="33">
                  <c:v>3.9909172548395766E-2</c:v>
                </c:pt>
                <c:pt idx="34">
                  <c:v>3.8481359432509694E-2</c:v>
                </c:pt>
                <c:pt idx="35">
                  <c:v>3.7165519696931777E-2</c:v>
                </c:pt>
                <c:pt idx="36">
                  <c:v>3.5950926318489632E-2</c:v>
                </c:pt>
                <c:pt idx="37">
                  <c:v>3.4828071110645724E-2</c:v>
                </c:pt>
                <c:pt idx="38">
                  <c:v>3.3788506209430379E-2</c:v>
                </c:pt>
                <c:pt idx="39">
                  <c:v>3.2824708535257624E-2</c:v>
                </c:pt>
                <c:pt idx="40">
                  <c:v>3.1929963584783824E-2</c:v>
                </c:pt>
                <c:pt idx="41">
                  <c:v>3.1098265532368004E-2</c:v>
                </c:pt>
                <c:pt idx="42">
                  <c:v>3.0324231131229906E-2</c:v>
                </c:pt>
                <c:pt idx="43">
                  <c:v>2.9603025322492246E-2</c:v>
                </c:pt>
                <c:pt idx="44">
                  <c:v>2.8930296803735857E-2</c:v>
                </c:pt>
                <c:pt idx="45">
                  <c:v>2.8302122091661067E-2</c:v>
                </c:pt>
                <c:pt idx="46">
                  <c:v>2.7714956847274409E-2</c:v>
                </c:pt>
                <c:pt idx="47">
                  <c:v>2.7165593425784226E-2</c:v>
                </c:pt>
                <c:pt idx="48">
                  <c:v>2.6651123774409643E-2</c:v>
                </c:pt>
                <c:pt idx="49">
                  <c:v>2.616890693547564E-2</c:v>
                </c:pt>
                <c:pt idx="50">
                  <c:v>2.5716540524258986E-2</c:v>
                </c:pt>
                <c:pt idx="51">
                  <c:v>2.5291835644940877E-2</c:v>
                </c:pt>
                <c:pt idx="52">
                  <c:v>2.4892794786863088E-2</c:v>
                </c:pt>
                <c:pt idx="53">
                  <c:v>2.4517592309653162E-2</c:v>
                </c:pt>
                <c:pt idx="54">
                  <c:v>2.4164557181787085E-2</c:v>
                </c:pt>
                <c:pt idx="55">
                  <c:v>2.3832157684523635E-2</c:v>
                </c:pt>
                <c:pt idx="56">
                  <c:v>2.3518987833299112E-2</c:v>
                </c:pt>
                <c:pt idx="57">
                  <c:v>2.3223755302786753E-2</c:v>
                </c:pt>
                <c:pt idx="58">
                  <c:v>2.2945270670873874E-2</c:v>
                </c:pt>
                <c:pt idx="59">
                  <c:v>2.2682437821597699E-2</c:v>
                </c:pt>
                <c:pt idx="60">
                  <c:v>2.2434245368275839E-2</c:v>
                </c:pt>
                <c:pt idx="61">
                  <c:v>2.2199758976227904E-2</c:v>
                </c:pt>
                <c:pt idx="62">
                  <c:v>2.1978114480076607E-2</c:v>
                </c:pt>
                <c:pt idx="63">
                  <c:v>2.1768511704028166E-2</c:v>
                </c:pt>
                <c:pt idx="64">
                  <c:v>2.1570208905091082E-2</c:v>
                </c:pt>
                <c:pt idx="65">
                  <c:v>2.1382517769172802E-2</c:v>
                </c:pt>
                <c:pt idx="66">
                  <c:v>2.1204798898627124E-2</c:v>
                </c:pt>
                <c:pt idx="67">
                  <c:v>2.103645773730696E-2</c:v>
                </c:pt>
                <c:pt idx="68">
                  <c:v>2.0876940885671255E-2</c:v>
                </c:pt>
                <c:pt idx="69">
                  <c:v>2.0725732764142274E-2</c:v>
                </c:pt>
                <c:pt idx="70">
                  <c:v>2.0582352587828388E-2</c:v>
                </c:pt>
                <c:pt idx="71">
                  <c:v>2.0446351620018875E-2</c:v>
                </c:pt>
                <c:pt idx="72">
                  <c:v>2.0317310675607055E-2</c:v>
                </c:pt>
                <c:pt idx="73">
                  <c:v>2.019483784888022E-2</c:v>
                </c:pt>
                <c:pt idx="74">
                  <c:v>2.0078566442991174E-2</c:v>
                </c:pt>
                <c:pt idx="75">
                  <c:v>1.9968153080952001E-2</c:v>
                </c:pt>
                <c:pt idx="76">
                  <c:v>1.9863275980210197E-2</c:v>
                </c:pt>
                <c:pt idx="77">
                  <c:v>1.9763633374822336E-2</c:v>
                </c:pt>
                <c:pt idx="78">
                  <c:v>1.9668942070963383E-2</c:v>
                </c:pt>
                <c:pt idx="79">
                  <c:v>1.9578936123031177E-2</c:v>
                </c:pt>
                <c:pt idx="80">
                  <c:v>1.9493365618950549E-2</c:v>
                </c:pt>
                <c:pt idx="81">
                  <c:v>1.9411995564472095E-2</c:v>
                </c:pt>
                <c:pt idx="82">
                  <c:v>1.9334604857315758E-2</c:v>
                </c:pt>
                <c:pt idx="83">
                  <c:v>1.9260985342945989E-2</c:v>
                </c:pt>
                <c:pt idx="84">
                  <c:v>1.91909409445974E-2</c:v>
                </c:pt>
                <c:pt idx="85">
                  <c:v>1.9124286860910108E-2</c:v>
                </c:pt>
                <c:pt idx="86">
                  <c:v>1.9060848825193374E-2</c:v>
                </c:pt>
                <c:pt idx="87">
                  <c:v>1.9000462420924409E-2</c:v>
                </c:pt>
                <c:pt idx="88">
                  <c:v>1.894297244861394E-2</c:v>
                </c:pt>
                <c:pt idx="89">
                  <c:v>1.8888232339639665E-2</c:v>
                </c:pt>
                <c:pt idx="90">
                  <c:v>1.8836103613068415E-2</c:v>
                </c:pt>
                <c:pt idx="91">
                  <c:v>1.8786455371864068E-2</c:v>
                </c:pt>
                <c:pt idx="92">
                  <c:v>1.8739163835215428E-2</c:v>
                </c:pt>
                <c:pt idx="93">
                  <c:v>1.8694111904021198E-2</c:v>
                </c:pt>
                <c:pt idx="94">
                  <c:v>1.8651188756840926E-2</c:v>
                </c:pt>
                <c:pt idx="95">
                  <c:v>1.8610289473865761E-2</c:v>
                </c:pt>
                <c:pt idx="96">
                  <c:v>1.8571314686683073E-2</c:v>
                </c:pt>
                <c:pt idx="97">
                  <c:v>1.853417025180738E-2</c:v>
                </c:pt>
                <c:pt idx="98">
                  <c:v>1.8498766946129421E-2</c:v>
                </c:pt>
                <c:pt idx="99">
                  <c:v>1.8465020182596749E-2</c:v>
                </c:pt>
                <c:pt idx="100">
                  <c:v>1.8432849744585401E-2</c:v>
                </c:pt>
                <c:pt idx="101">
                  <c:v>1.8402179537554578E-2</c:v>
                </c:pt>
                <c:pt idx="102">
                  <c:v>1.8372937356695724E-2</c:v>
                </c:pt>
                <c:pt idx="103">
                  <c:v>1.8345054669396343E-2</c:v>
                </c:pt>
                <c:pt idx="104">
                  <c:v>1.8318466411436762E-2</c:v>
                </c:pt>
                <c:pt idx="105">
                  <c:v>1.8293110795927874E-2</c:v>
                </c:pt>
                <c:pt idx="106">
                  <c:v>1.8268929134078845E-2</c:v>
                </c:pt>
                <c:pt idx="107">
                  <c:v>1.8245865666957625E-2</c:v>
                </c:pt>
                <c:pt idx="108">
                  <c:v>1.8223867407474382E-2</c:v>
                </c:pt>
                <c:pt idx="109">
                  <c:v>1.8202883991879099E-2</c:v>
                </c:pt>
                <c:pt idx="110">
                  <c:v>1.8182867540120443E-2</c:v>
                </c:pt>
                <c:pt idx="111">
                  <c:v>1.8163772524463963E-2</c:v>
                </c:pt>
                <c:pt idx="112">
                  <c:v>1.8145555645814014E-2</c:v>
                </c:pt>
                <c:pt idx="113">
                  <c:v>1.8128175717226573E-2</c:v>
                </c:pt>
                <c:pt idx="114">
                  <c:v>1.8111593554138657E-2</c:v>
                </c:pt>
                <c:pt idx="115">
                  <c:v>1.8095771870875948E-2</c:v>
                </c:pt>
                <c:pt idx="116">
                  <c:v>1.8080675183032538E-2</c:v>
                </c:pt>
                <c:pt idx="117">
                  <c:v>1.8066269715346774E-2</c:v>
                </c:pt>
                <c:pt idx="118">
                  <c:v>1.8052523314724563E-2</c:v>
                </c:pt>
                <c:pt idx="119">
                  <c:v>1.8039405368086583E-2</c:v>
                </c:pt>
                <c:pt idx="120">
                  <c:v>1.8026886724739049E-2</c:v>
                </c:pt>
                <c:pt idx="121">
                  <c:v>1.8014939622988956E-2</c:v>
                </c:pt>
                <c:pt idx="122">
                  <c:v>1.8003537620744289E-2</c:v>
                </c:pt>
                <c:pt idx="123">
                  <c:v>1.7992655529857623E-2</c:v>
                </c:pt>
                <c:pt idx="124">
                  <c:v>1.7982269353988341E-2</c:v>
                </c:pt>
                <c:pt idx="125">
                  <c:v>1.7972356229773841E-2</c:v>
                </c:pt>
                <c:pt idx="126">
                  <c:v>1.7962894371114355E-2</c:v>
                </c:pt>
                <c:pt idx="127">
                  <c:v>1.7953863016389016E-2</c:v>
                </c:pt>
                <c:pt idx="128">
                  <c:v>1.7945242378432941E-2</c:v>
                </c:pt>
                <c:pt idx="129">
                  <c:v>1.7937013597116223E-2</c:v>
                </c:pt>
                <c:pt idx="130">
                  <c:v>1.7929158694376075E-2</c:v>
                </c:pt>
                <c:pt idx="131">
                  <c:v>1.7921660531563008E-2</c:v>
                </c:pt>
                <c:pt idx="132">
                  <c:v>1.791450276897065E-2</c:v>
                </c:pt>
                <c:pt idx="133">
                  <c:v>1.7907669827427419E-2</c:v>
                </c:pt>
                <c:pt idx="134">
                  <c:v>1.790114685183531E-2</c:v>
                </c:pt>
                <c:pt idx="135">
                  <c:v>1.789491967654884E-2</c:v>
                </c:pt>
                <c:pt idx="136">
                  <c:v>1.7888974792493292E-2</c:v>
                </c:pt>
                <c:pt idx="137">
                  <c:v>1.7883299315927789E-2</c:v>
                </c:pt>
                <c:pt idx="138">
                  <c:v>1.7877880958764407E-2</c:v>
                </c:pt>
                <c:pt idx="139">
                  <c:v>1.7872708000359862E-2</c:v>
                </c:pt>
                <c:pt idx="140">
                  <c:v>1.7867769260701227E-2</c:v>
                </c:pt>
                <c:pt idx="141">
                  <c:v>1.7863054074911833E-2</c:v>
                </c:pt>
                <c:pt idx="142">
                  <c:v>1.7858552269007875E-2</c:v>
                </c:pt>
                <c:pt idx="143">
                  <c:v>1.7854254136840064E-2</c:v>
                </c:pt>
                <c:pt idx="144">
                  <c:v>1.7850150418158801E-2</c:v>
                </c:pt>
                <c:pt idx="145">
                  <c:v>1.7846232277744511E-2</c:v>
                </c:pt>
                <c:pt idx="146">
                  <c:v>1.7842491285548327E-2</c:v>
                </c:pt>
                <c:pt idx="147">
                  <c:v>1.7838919397791336E-2</c:v>
                </c:pt>
                <c:pt idx="148">
                  <c:v>1.7835508938973402E-2</c:v>
                </c:pt>
                <c:pt idx="149">
                  <c:v>1.7832252584745495E-2</c:v>
                </c:pt>
                <c:pt idx="150">
                  <c:v>1.7829143345601792E-2</c:v>
                </c:pt>
                <c:pt idx="151">
                  <c:v>1.7826174551350372E-2</c:v>
                </c:pt>
                <c:pt idx="152">
                  <c:v>1.7823339836323449E-2</c:v>
                </c:pt>
                <c:pt idx="153">
                  <c:v>1.7820633125290301E-2</c:v>
                </c:pt>
                <c:pt idx="154">
                  <c:v>1.7818048620037941E-2</c:v>
                </c:pt>
                <c:pt idx="155">
                  <c:v>1.7815580786586488E-2</c:v>
                </c:pt>
                <c:pt idx="156">
                  <c:v>1.7813224343007989E-2</c:v>
                </c:pt>
                <c:pt idx="157">
                  <c:v>1.7810974247819005E-2</c:v>
                </c:pt>
                <c:pt idx="158">
                  <c:v>1.7808825688918853E-2</c:v>
                </c:pt>
                <c:pt idx="159">
                  <c:v>1.7806774073046983E-2</c:v>
                </c:pt>
                <c:pt idx="160">
                  <c:v>1.7804815015734107E-2</c:v>
                </c:pt>
                <c:pt idx="161">
                  <c:v>1.7802944331723282E-2</c:v>
                </c:pt>
                <c:pt idx="162">
                  <c:v>1.7801158025838131E-2</c:v>
                </c:pt>
                <c:pt idx="163">
                  <c:v>1.7799452284276724E-2</c:v>
                </c:pt>
                <c:pt idx="164">
                  <c:v>1.7797823466310623E-2</c:v>
                </c:pt>
                <c:pt idx="165">
                  <c:v>1.7796268096369711E-2</c:v>
                </c:pt>
                <c:pt idx="166">
                  <c:v>1.7794782856494357E-2</c:v>
                </c:pt>
                <c:pt idx="167">
                  <c:v>1.7793364579137334E-2</c:v>
                </c:pt>
                <c:pt idx="168">
                  <c:v>1.779201024029901E-2</c:v>
                </c:pt>
                <c:pt idx="169">
                  <c:v>1.7790716952979825E-2</c:v>
                </c:pt>
                <c:pt idx="170">
                  <c:v>1.7789481960935175E-2</c:v>
                </c:pt>
                <c:pt idx="171">
                  <c:v>1.77883026327183E-2</c:v>
                </c:pt>
                <c:pt idx="172">
                  <c:v>1.7787176455997686E-2</c:v>
                </c:pt>
                <c:pt idx="173">
                  <c:v>1.7786101032136008E-2</c:v>
                </c:pt>
                <c:pt idx="174">
                  <c:v>1.7785074071018359E-2</c:v>
                </c:pt>
                <c:pt idx="175">
                  <c:v>1.7784093386118072E-2</c:v>
                </c:pt>
                <c:pt idx="176">
                  <c:v>1.7783156889789011E-2</c:v>
                </c:pt>
                <c:pt idx="177">
                  <c:v>1.7782262588773745E-2</c:v>
                </c:pt>
                <c:pt idx="178">
                  <c:v>1.7781408579917543E-2</c:v>
                </c:pt>
              </c:numCache>
            </c:numRef>
          </c:yVal>
        </c:ser>
        <c:ser>
          <c:idx val="2"/>
          <c:order val="2"/>
          <c:tx>
            <c:strRef>
              <c:f>Sheet1!$L$54</c:f>
              <c:strCache>
                <c:ptCount val="1"/>
                <c:pt idx="0">
                  <c:v>logistic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Sheet1!$I$55:$I$233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Sheet1!$L$55:$L$233</c:f>
              <c:numCache>
                <c:formatCode>General</c:formatCode>
                <c:ptCount val="179"/>
                <c:pt idx="0">
                  <c:v>1.5783257497374653E-3</c:v>
                </c:pt>
                <c:pt idx="1">
                  <c:v>2.1143957488366761E-3</c:v>
                </c:pt>
                <c:pt idx="2">
                  <c:v>2.7952109004247116E-3</c:v>
                </c:pt>
                <c:pt idx="3">
                  <c:v>3.6484951353340693E-3</c:v>
                </c:pt>
                <c:pt idx="4">
                  <c:v>4.7042729350256331E-3</c:v>
                </c:pt>
                <c:pt idx="5">
                  <c:v>5.9942126991837045E-3</c:v>
                </c:pt>
                <c:pt idx="6">
                  <c:v>7.5506102769092387E-3</c:v>
                </c:pt>
                <c:pt idx="7">
                  <c:v>9.4048989621139233E-3</c:v>
                </c:pt>
                <c:pt idx="8">
                  <c:v>1.1585554170036752E-2</c:v>
                </c:pt>
                <c:pt idx="9">
                  <c:v>1.4115262595714738E-2</c:v>
                </c:pt>
                <c:pt idx="10">
                  <c:v>1.7007269070855303E-2</c:v>
                </c:pt>
                <c:pt idx="11">
                  <c:v>2.0260928950096933E-2</c:v>
                </c:pt>
                <c:pt idx="12">
                  <c:v>2.3856709217906134E-2</c:v>
                </c:pt>
                <c:pt idx="13">
                  <c:v>2.7751209993634573E-2</c:v>
                </c:pt>
                <c:pt idx="14">
                  <c:v>3.1873185551030414E-2</c:v>
                </c:pt>
                <c:pt idx="15">
                  <c:v>3.6121916110268437E-2</c:v>
                </c:pt>
                <c:pt idx="16">
                  <c:v>4.0369412041179206E-2</c:v>
                </c:pt>
                <c:pt idx="17">
                  <c:v>4.4467572200445067E-2</c:v>
                </c:pt>
                <c:pt idx="18">
                  <c:v>4.8260417005005073E-2</c:v>
                </c:pt>
                <c:pt idx="19">
                  <c:v>5.1600008874017188E-2</c:v>
                </c:pt>
                <c:pt idx="20">
                  <c:v>5.4363171478119962E-2</c:v>
                </c:pt>
                <c:pt idx="21">
                  <c:v>5.6465354143016545E-2</c:v>
                </c:pt>
                <c:pt idx="22">
                  <c:v>5.7868483357483638E-2</c:v>
                </c:pt>
                <c:pt idx="23">
                  <c:v>5.8581316329708075E-2</c:v>
                </c:pt>
                <c:pt idx="24">
                  <c:v>5.8652945401928461E-2</c:v>
                </c:pt>
                <c:pt idx="25">
                  <c:v>5.8161774997142424E-2</c:v>
                </c:pt>
                <c:pt idx="26">
                  <c:v>5.7202925793499504E-2</c:v>
                </c:pt>
                <c:pt idx="27">
                  <c:v>5.5876626913730978E-2</c:v>
                </c:pt>
                <c:pt idx="28">
                  <c:v>5.4279177282294241E-2</c:v>
                </c:pt>
                <c:pt idx="29">
                  <c:v>5.2497010962180506E-2</c:v>
                </c:pt>
                <c:pt idx="30">
                  <c:v>5.0603627152584187E-2</c:v>
                </c:pt>
                <c:pt idx="31">
                  <c:v>4.8658742892316434E-2</c:v>
                </c:pt>
                <c:pt idx="32">
                  <c:v>4.6708931111103504E-2</c:v>
                </c:pt>
                <c:pt idx="33">
                  <c:v>4.4789095803959282E-2</c:v>
                </c:pt>
                <c:pt idx="34">
                  <c:v>4.2924299568562946E-2</c:v>
                </c:pt>
                <c:pt idx="35">
                  <c:v>4.113162546282851E-2</c:v>
                </c:pt>
                <c:pt idx="36">
                  <c:v>3.9421891353157393E-2</c:v>
                </c:pt>
                <c:pt idx="37">
                  <c:v>3.7801131871352617E-2</c:v>
                </c:pt>
                <c:pt idx="38">
                  <c:v>3.6271824817845938E-2</c:v>
                </c:pt>
                <c:pt idx="39">
                  <c:v>3.4833873874037427E-2</c:v>
                </c:pt>
                <c:pt idx="40">
                  <c:v>3.3485376428837352E-2</c:v>
                </c:pt>
                <c:pt idx="41">
                  <c:v>3.222321111013067E-2</c:v>
                </c:pt>
                <c:pt idx="42">
                  <c:v>3.104347915406766E-2</c:v>
                </c:pt>
                <c:pt idx="43">
                  <c:v>2.9941830230235715E-2</c:v>
                </c:pt>
                <c:pt idx="44">
                  <c:v>2.8913698680017693E-2</c:v>
                </c:pt>
                <c:pt idx="45">
                  <c:v>2.7954471372559887E-2</c:v>
                </c:pt>
                <c:pt idx="46">
                  <c:v>2.7059604055189885E-2</c:v>
                </c:pt>
                <c:pt idx="47">
                  <c:v>2.6224699376149962E-2</c:v>
                </c:pt>
                <c:pt idx="48">
                  <c:v>2.544555671960836E-2</c:v>
                </c:pt>
                <c:pt idx="49">
                  <c:v>2.4718201564723232E-2</c:v>
                </c:pt>
                <c:pt idx="50">
                  <c:v>2.4038900176904514E-2</c:v>
                </c:pt>
                <c:pt idx="51">
                  <c:v>2.3404163968269862E-2</c:v>
                </c:pt>
                <c:pt idx="52">
                  <c:v>2.2810746739757162E-2</c:v>
                </c:pt>
                <c:pt idx="53">
                  <c:v>2.2255637165198645E-2</c:v>
                </c:pt>
                <c:pt idx="54">
                  <c:v>2.1736048236492479E-2</c:v>
                </c:pt>
                <c:pt idx="55">
                  <c:v>2.1249404909547739E-2</c:v>
                </c:pt>
                <c:pt idx="56">
                  <c:v>2.0793330834152891E-2</c:v>
                </c:pt>
                <c:pt idx="57">
                  <c:v>2.0365634787252916E-2</c:v>
                </c:pt>
                <c:pt idx="58">
                  <c:v>1.9964297235237793E-2</c:v>
                </c:pt>
                <c:pt idx="59">
                  <c:v>1.9587457309173859E-2</c:v>
                </c:pt>
                <c:pt idx="60">
                  <c:v>1.9233400374147839E-2</c:v>
                </c:pt>
                <c:pt idx="61">
                  <c:v>1.8900546300023448E-2</c:v>
                </c:pt>
                <c:pt idx="62">
                  <c:v>1.8587438488411361E-2</c:v>
                </c:pt>
                <c:pt idx="63">
                  <c:v>1.8292733673897672E-2</c:v>
                </c:pt>
                <c:pt idx="64">
                  <c:v>1.8015192492365321E-2</c:v>
                </c:pt>
                <c:pt idx="65">
                  <c:v>1.7753670792450403E-2</c:v>
                </c:pt>
                <c:pt idx="66">
                  <c:v>1.7507111655480159E-2</c:v>
                </c:pt>
                <c:pt idx="67">
                  <c:v>1.7274538082922484E-2</c:v>
                </c:pt>
                <c:pt idx="68">
                  <c:v>1.7055046307167719E-2</c:v>
                </c:pt>
                <c:pt idx="69">
                  <c:v>1.6847799680429029E-2</c:v>
                </c:pt>
                <c:pt idx="70">
                  <c:v>1.665202309700237E-2</c:v>
                </c:pt>
                <c:pt idx="71">
                  <c:v>1.6466997905572187E-2</c:v>
                </c:pt>
                <c:pt idx="72">
                  <c:v>1.6292057270323474E-2</c:v>
                </c:pt>
                <c:pt idx="73">
                  <c:v>1.6126581942064389E-2</c:v>
                </c:pt>
                <c:pt idx="74">
                  <c:v>1.5969996403193621E-2</c:v>
                </c:pt>
                <c:pt idx="75">
                  <c:v>1.5821765353032775E-2</c:v>
                </c:pt>
                <c:pt idx="76">
                  <c:v>1.5681390502699528E-2</c:v>
                </c:pt>
                <c:pt idx="77">
                  <c:v>1.5548407651263011E-2</c:v>
                </c:pt>
                <c:pt idx="78">
                  <c:v>1.5422384017361996E-2</c:v>
                </c:pt>
                <c:pt idx="79">
                  <c:v>1.5302915802757638E-2</c:v>
                </c:pt>
                <c:pt idx="80">
                  <c:v>1.5189625966424586E-2</c:v>
                </c:pt>
                <c:pt idx="81">
                  <c:v>1.5082162189755133E-2</c:v>
                </c:pt>
                <c:pt idx="82">
                  <c:v>1.4980195015261573E-2</c:v>
                </c:pt>
                <c:pt idx="83">
                  <c:v>1.4883416142819328E-2</c:v>
                </c:pt>
                <c:pt idx="84">
                  <c:v>1.4791536869004085E-2</c:v>
                </c:pt>
                <c:pt idx="85">
                  <c:v>1.4704286656450242E-2</c:v>
                </c:pt>
                <c:pt idx="86">
                  <c:v>1.4621411821404497E-2</c:v>
                </c:pt>
                <c:pt idx="87">
                  <c:v>1.4542674328777736E-2</c:v>
                </c:pt>
                <c:pt idx="88">
                  <c:v>1.4467850685019637E-2</c:v>
                </c:pt>
                <c:pt idx="89">
                  <c:v>1.4396730920063546E-2</c:v>
                </c:pt>
                <c:pt idx="90">
                  <c:v>1.4329117650422517E-2</c:v>
                </c:pt>
                <c:pt idx="91">
                  <c:v>1.4264825216269487E-2</c:v>
                </c:pt>
                <c:pt idx="92">
                  <c:v>1.4203678886013095E-2</c:v>
                </c:pt>
                <c:pt idx="93">
                  <c:v>1.414551412249249E-2</c:v>
                </c:pt>
                <c:pt idx="94">
                  <c:v>1.4090175905466155E-2</c:v>
                </c:pt>
                <c:pt idx="95">
                  <c:v>1.4037518105567704E-2</c:v>
                </c:pt>
                <c:pt idx="96">
                  <c:v>1.3987402905350093E-2</c:v>
                </c:pt>
                <c:pt idx="97">
                  <c:v>1.3939700263444699E-2</c:v>
                </c:pt>
                <c:pt idx="98">
                  <c:v>1.3894287418227076E-2</c:v>
                </c:pt>
                <c:pt idx="99">
                  <c:v>1.385104842771083E-2</c:v>
                </c:pt>
                <c:pt idx="100">
                  <c:v>1.3809873742688822E-2</c:v>
                </c:pt>
                <c:pt idx="101">
                  <c:v>1.3770659810409869E-2</c:v>
                </c:pt>
                <c:pt idx="102">
                  <c:v>1.3733308706322118E-2</c:v>
                </c:pt>
                <c:pt idx="103">
                  <c:v>1.3697727791634032E-2</c:v>
                </c:pt>
                <c:pt idx="104">
                  <c:v>1.3663829394642694E-2</c:v>
                </c:pt>
                <c:pt idx="105">
                  <c:v>1.3631530513959071E-2</c:v>
                </c:pt>
                <c:pt idx="106">
                  <c:v>1.3600752541922806E-2</c:v>
                </c:pt>
                <c:pt idx="107">
                  <c:v>1.3571421006646711E-2</c:v>
                </c:pt>
                <c:pt idx="108">
                  <c:v>1.3543465331265013E-2</c:v>
                </c:pt>
                <c:pt idx="109">
                  <c:v>1.3516818609080855E-2</c:v>
                </c:pt>
                <c:pt idx="110">
                  <c:v>1.3491417393418676E-2</c:v>
                </c:pt>
                <c:pt idx="111">
                  <c:v>1.3467201501087359E-2</c:v>
                </c:pt>
                <c:pt idx="112">
                  <c:v>1.3444113828450871E-2</c:v>
                </c:pt>
                <c:pt idx="113">
                  <c:v>1.3422100179186021E-2</c:v>
                </c:pt>
                <c:pt idx="114">
                  <c:v>1.3401109102882162E-2</c:v>
                </c:pt>
                <c:pt idx="115">
                  <c:v>1.3381091743706287E-2</c:v>
                </c:pt>
                <c:pt idx="116">
                  <c:v>1.336200169841944E-2</c:v>
                </c:pt>
                <c:pt idx="117">
                  <c:v>1.3343794883087432E-2</c:v>
                </c:pt>
                <c:pt idx="118">
                  <c:v>1.3326429407880631E-2</c:v>
                </c:pt>
                <c:pt idx="119">
                  <c:v>1.330986545940536E-2</c:v>
                </c:pt>
                <c:pt idx="120">
                  <c:v>1.3294065190052497E-2</c:v>
                </c:pt>
                <c:pt idx="121">
                  <c:v>1.3278992613888803E-2</c:v>
                </c:pt>
                <c:pt idx="122">
                  <c:v>1.326461350865254E-2</c:v>
                </c:pt>
                <c:pt idx="123">
                  <c:v>1.3250895323448319E-2</c:v>
                </c:pt>
                <c:pt idx="124">
                  <c:v>1.3237807091766458E-2</c:v>
                </c:pt>
                <c:pt idx="125">
                  <c:v>1.3225319349480041E-2</c:v>
                </c:pt>
                <c:pt idx="126">
                  <c:v>1.321340405749841E-2</c:v>
                </c:pt>
                <c:pt idx="127">
                  <c:v>1.3202034528779423E-2</c:v>
                </c:pt>
                <c:pt idx="128">
                  <c:v>1.3191185359424219E-2</c:v>
                </c:pt>
                <c:pt idx="129">
                  <c:v>1.318083236359819E-2</c:v>
                </c:pt>
                <c:pt idx="130">
                  <c:v>1.3170952512040056E-2</c:v>
                </c:pt>
                <c:pt idx="131">
                  <c:v>1.3161523873937674E-2</c:v>
                </c:pt>
                <c:pt idx="132">
                  <c:v>1.3152525561964775E-2</c:v>
                </c:pt>
                <c:pt idx="133">
                  <c:v>1.3143937680287024E-2</c:v>
                </c:pt>
                <c:pt idx="134">
                  <c:v>1.3135741275358891E-2</c:v>
                </c:pt>
                <c:pt idx="135">
                  <c:v>1.3127918289345062E-2</c:v>
                </c:pt>
                <c:pt idx="136">
                  <c:v>1.3120451516011234E-2</c:v>
                </c:pt>
                <c:pt idx="137">
                  <c:v>1.3113324558939553E-2</c:v>
                </c:pt>
                <c:pt idx="138">
                  <c:v>1.3106521791933492E-2</c:v>
                </c:pt>
                <c:pt idx="139">
                  <c:v>1.3100028321485839E-2</c:v>
                </c:pt>
                <c:pt idx="140">
                  <c:v>1.3093829951191694E-2</c:v>
                </c:pt>
                <c:pt idx="141">
                  <c:v>1.3087913147995955E-2</c:v>
                </c:pt>
                <c:pt idx="142">
                  <c:v>1.3082265010171882E-2</c:v>
                </c:pt>
                <c:pt idx="143">
                  <c:v>1.3076873236933732E-2</c:v>
                </c:pt>
                <c:pt idx="144">
                  <c:v>1.3071726099592756E-2</c:v>
                </c:pt>
                <c:pt idx="145">
                  <c:v>1.3066812414171307E-2</c:v>
                </c:pt>
                <c:pt idx="146">
                  <c:v>1.3062121515395092E-2</c:v>
                </c:pt>
                <c:pt idx="147">
                  <c:v>1.3057643231988677E-2</c:v>
                </c:pt>
                <c:pt idx="148">
                  <c:v>1.3053367863203536E-2</c:v>
                </c:pt>
                <c:pt idx="149">
                  <c:v>1.304928615651257E-2</c:v>
                </c:pt>
                <c:pt idx="150">
                  <c:v>1.3045389286408695E-2</c:v>
                </c:pt>
                <c:pt idx="151">
                  <c:v>1.3041668834248874E-2</c:v>
                </c:pt>
                <c:pt idx="152">
                  <c:v>1.3038116769088488E-2</c:v>
                </c:pt>
                <c:pt idx="153">
                  <c:v>1.3034725429453959E-2</c:v>
                </c:pt>
                <c:pt idx="154">
                  <c:v>1.3031487506004741E-2</c:v>
                </c:pt>
                <c:pt idx="155">
                  <c:v>1.3028396025038512E-2</c:v>
                </c:pt>
                <c:pt idx="156">
                  <c:v>1.302544433279597E-2</c:v>
                </c:pt>
                <c:pt idx="157">
                  <c:v>1.3022626080524216E-2</c:v>
                </c:pt>
                <c:pt idx="158">
                  <c:v>1.3019935210259931E-2</c:v>
                </c:pt>
                <c:pt idx="159">
                  <c:v>1.3017365941295704E-2</c:v>
                </c:pt>
                <c:pt idx="160">
                  <c:v>1.301491275729497E-2</c:v>
                </c:pt>
                <c:pt idx="161">
                  <c:v>1.3012570394022807E-2</c:v>
                </c:pt>
                <c:pt idx="162">
                  <c:v>1.3010333827661742E-2</c:v>
                </c:pt>
                <c:pt idx="163">
                  <c:v>1.3008198263683267E-2</c:v>
                </c:pt>
                <c:pt idx="164">
                  <c:v>1.3006159126247478E-2</c:v>
                </c:pt>
                <c:pt idx="165">
                  <c:v>1.3004212048104591E-2</c:v>
                </c:pt>
                <c:pt idx="166">
                  <c:v>1.3002352860973589E-2</c:v>
                </c:pt>
                <c:pt idx="167">
                  <c:v>1.3000577586374499E-2</c:v>
                </c:pt>
                <c:pt idx="168">
                  <c:v>1.2998882426892084E-2</c:v>
                </c:pt>
                <c:pt idx="169">
                  <c:v>1.2997263757849863E-2</c:v>
                </c:pt>
                <c:pt idx="170">
                  <c:v>1.299571811937442E-2</c:v>
                </c:pt>
                <c:pt idx="171">
                  <c:v>1.299424220883119E-2</c:v>
                </c:pt>
                <c:pt idx="172">
                  <c:v>1.2992832873613568E-2</c:v>
                </c:pt>
                <c:pt idx="173">
                  <c:v>1.2991487104268451E-2</c:v>
                </c:pt>
                <c:pt idx="174">
                  <c:v>1.2990202027941924E-2</c:v>
                </c:pt>
                <c:pt idx="175">
                  <c:v>1.2988974902129786E-2</c:v>
                </c:pt>
                <c:pt idx="176">
                  <c:v>1.2987803108718277E-2</c:v>
                </c:pt>
                <c:pt idx="177">
                  <c:v>1.2986684148301205E-2</c:v>
                </c:pt>
                <c:pt idx="178">
                  <c:v>1.2985615634760287E-2</c:v>
                </c:pt>
              </c:numCache>
            </c:numRef>
          </c:yVal>
        </c:ser>
        <c:ser>
          <c:idx val="3"/>
          <c:order val="3"/>
          <c:tx>
            <c:strRef>
              <c:f>Sheet1!$M$54</c:f>
              <c:strCache>
                <c:ptCount val="1"/>
                <c:pt idx="0">
                  <c:v>cauchy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Sheet1!$I$55:$I$233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Sheet1!$M$55:$M$233</c:f>
              <c:numCache>
                <c:formatCode>General</c:formatCode>
                <c:ptCount val="179"/>
                <c:pt idx="0">
                  <c:v>6.3492063492054766E-3</c:v>
                </c:pt>
                <c:pt idx="1">
                  <c:v>7.2112606002098728E-3</c:v>
                </c:pt>
                <c:pt idx="2">
                  <c:v>8.1999434063428477E-3</c:v>
                </c:pt>
                <c:pt idx="3">
                  <c:v>9.3340741086038268E-3</c:v>
                </c:pt>
                <c:pt idx="4">
                  <c:v>1.0634665072746128E-2</c:v>
                </c:pt>
                <c:pt idx="5">
                  <c:v>1.2124759890953027E-2</c:v>
                </c:pt>
                <c:pt idx="6">
                  <c:v>1.3828986660185994E-2</c:v>
                </c:pt>
                <c:pt idx="7">
                  <c:v>1.5772680909537158E-2</c:v>
                </c:pt>
                <c:pt idx="8">
                  <c:v>1.7980392811793332E-2</c:v>
                </c:pt>
                <c:pt idx="9">
                  <c:v>2.0473564656055841E-2</c:v>
                </c:pt>
                <c:pt idx="10">
                  <c:v>2.3267171684936732E-2</c:v>
                </c:pt>
                <c:pt idx="11">
                  <c:v>2.636520236858118E-2</c:v>
                </c:pt>
                <c:pt idx="12">
                  <c:v>2.9755066602868301E-2</c:v>
                </c:pt>
                <c:pt idx="13">
                  <c:v>3.3401412708832151E-2</c:v>
                </c:pt>
                <c:pt idx="14">
                  <c:v>3.7240411910725607E-2</c:v>
                </c:pt>
                <c:pt idx="15">
                  <c:v>4.1176223750245718E-2</c:v>
                </c:pt>
                <c:pt idx="16">
                  <c:v>4.5081800486801091E-2</c:v>
                </c:pt>
                <c:pt idx="17">
                  <c:v>4.8805977734614793E-2</c:v>
                </c:pt>
                <c:pt idx="18">
                  <c:v>5.2187536960128698E-2</c:v>
                </c:pt>
                <c:pt idx="19">
                  <c:v>5.5074657470560832E-2</c:v>
                </c:pt>
                <c:pt idx="20">
                  <c:v>5.734569722054772E-2</c:v>
                </c:pt>
                <c:pt idx="21">
                  <c:v>5.8925899123029223E-2</c:v>
                </c:pt>
                <c:pt idx="22">
                  <c:v>5.9795457062255815E-2</c:v>
                </c:pt>
                <c:pt idx="23">
                  <c:v>5.9987224946649619E-2</c:v>
                </c:pt>
                <c:pt idx="24">
                  <c:v>5.9575779253273529E-2</c:v>
                </c:pt>
                <c:pt idx="25">
                  <c:v>5.8661848399323167E-2</c:v>
                </c:pt>
                <c:pt idx="26">
                  <c:v>5.7356481623653977E-2</c:v>
                </c:pt>
                <c:pt idx="27">
                  <c:v>5.5768123098098948E-2</c:v>
                </c:pt>
                <c:pt idx="28">
                  <c:v>5.3993981353186928E-2</c:v>
                </c:pt>
                <c:pt idx="29">
                  <c:v>5.2115600074481912E-2</c:v>
                </c:pt>
                <c:pt idx="30">
                  <c:v>5.0197708491913677E-2</c:v>
                </c:pt>
                <c:pt idx="31">
                  <c:v>4.8289202564352721E-2</c:v>
                </c:pt>
                <c:pt idx="32">
                  <c:v>4.6425247916591583E-2</c:v>
                </c:pt>
                <c:pt idx="33">
                  <c:v>4.4629776662854524E-2</c:v>
                </c:pt>
                <c:pt idx="34">
                  <c:v>4.291793054836536E-2</c:v>
                </c:pt>
                <c:pt idx="35">
                  <c:v>4.1298220572410012E-2</c:v>
                </c:pt>
                <c:pt idx="36">
                  <c:v>3.9774317753000936E-2</c:v>
                </c:pt>
                <c:pt idx="37">
                  <c:v>3.8346473454463646E-2</c:v>
                </c:pt>
                <c:pt idx="38">
                  <c:v>3.7012609084455222E-2</c:v>
                </c:pt>
                <c:pt idx="39">
                  <c:v>3.5769130218145116E-2</c:v>
                </c:pt>
                <c:pt idx="40">
                  <c:v>3.461152110055616E-2</c:v>
                </c:pt>
                <c:pt idx="41">
                  <c:v>3.3534769563439745E-2</c:v>
                </c:pt>
                <c:pt idx="42">
                  <c:v>3.2533664056186462E-2</c:v>
                </c:pt>
                <c:pt idx="43">
                  <c:v>3.1602996031710733E-2</c:v>
                </c:pt>
                <c:pt idx="44">
                  <c:v>3.0737693395006965E-2</c:v>
                </c:pt>
                <c:pt idx="45">
                  <c:v>2.9932904467012252E-2</c:v>
                </c:pt>
                <c:pt idx="46">
                  <c:v>2.9184046942509163E-2</c:v>
                </c:pt>
                <c:pt idx="47">
                  <c:v>2.848683247822778E-2</c:v>
                </c:pt>
                <c:pt idx="48">
                  <c:v>2.7837274638453386E-2</c:v>
                </c:pt>
                <c:pt idx="49">
                  <c:v>2.723168575599522E-2</c:v>
                </c:pt>
                <c:pt idx="50">
                  <c:v>2.6666666666667834E-2</c:v>
                </c:pt>
                <c:pt idx="51">
                  <c:v>2.6139092106509554E-2</c:v>
                </c:pt>
                <c:pt idx="52">
                  <c:v>2.5646093713319613E-2</c:v>
                </c:pt>
                <c:pt idx="53">
                  <c:v>2.5185041963670236E-2</c:v>
                </c:pt>
                <c:pt idx="54">
                  <c:v>2.4753527939909221E-2</c:v>
                </c:pt>
                <c:pt idx="55">
                  <c:v>2.4349345511561562E-2</c:v>
                </c:pt>
                <c:pt idx="56">
                  <c:v>2.3970474297077951E-2</c:v>
                </c:pt>
                <c:pt idx="57">
                  <c:v>2.3615063619485743E-2</c:v>
                </c:pt>
                <c:pt idx="58">
                  <c:v>2.3281417564515978E-2</c:v>
                </c:pt>
                <c:pt idx="59">
                  <c:v>2.2967981178657042E-2</c:v>
                </c:pt>
                <c:pt idx="60">
                  <c:v>2.2673327797508708E-2</c:v>
                </c:pt>
                <c:pt idx="61">
                  <c:v>2.239614746470257E-2</c:v>
                </c:pt>
                <c:pt idx="62">
                  <c:v>2.2135236383421235E-2</c:v>
                </c:pt>
                <c:pt idx="63">
                  <c:v>2.1889487332537511E-2</c:v>
                </c:pt>
                <c:pt idx="64">
                  <c:v>2.165788097499605E-2</c:v>
                </c:pt>
                <c:pt idx="65">
                  <c:v>2.1439477985417638E-2</c:v>
                </c:pt>
                <c:pt idx="66">
                  <c:v>2.1233411925706363E-2</c:v>
                </c:pt>
                <c:pt idx="67">
                  <c:v>2.1038882800761136E-2</c:v>
                </c:pt>
                <c:pt idx="68">
                  <c:v>2.0855151230592041E-2</c:v>
                </c:pt>
                <c:pt idx="69">
                  <c:v>2.0681533179777969E-2</c:v>
                </c:pt>
                <c:pt idx="70">
                  <c:v>2.0517395189977451E-2</c:v>
                </c:pt>
                <c:pt idx="71">
                  <c:v>2.0362150065921528E-2</c:v>
                </c:pt>
                <c:pt idx="72">
                  <c:v>2.0215252969852007E-2</c:v>
                </c:pt>
                <c:pt idx="73">
                  <c:v>2.0076197883645078E-2</c:v>
                </c:pt>
                <c:pt idx="74">
                  <c:v>1.9944514401838982E-2</c:v>
                </c:pt>
                <c:pt idx="75">
                  <c:v>1.9819764822448262E-2</c:v>
                </c:pt>
                <c:pt idx="76">
                  <c:v>1.9701541505795499E-2</c:v>
                </c:pt>
                <c:pt idx="77">
                  <c:v>1.9589464474633569E-2</c:v>
                </c:pt>
                <c:pt idx="78">
                  <c:v>1.9483179231582794E-2</c:v>
                </c:pt>
                <c:pt idx="79">
                  <c:v>1.9382354772386937E-2</c:v>
                </c:pt>
                <c:pt idx="80">
                  <c:v>1.9286681775721331E-2</c:v>
                </c:pt>
                <c:pt idx="81">
                  <c:v>1.9195870952285581E-2</c:v>
                </c:pt>
                <c:pt idx="82">
                  <c:v>1.9109651537704365E-2</c:v>
                </c:pt>
                <c:pt idx="83">
                  <c:v>1.902776991536196E-2</c:v>
                </c:pt>
                <c:pt idx="84">
                  <c:v>1.8949988356728335E-2</c:v>
                </c:pt>
                <c:pt idx="85">
                  <c:v>1.8876083868014416E-2</c:v>
                </c:pt>
                <c:pt idx="86">
                  <c:v>1.8805847133136919E-2</c:v>
                </c:pt>
                <c:pt idx="87">
                  <c:v>1.8739081543994118E-2</c:v>
                </c:pt>
                <c:pt idx="88">
                  <c:v>1.867560230996539E-2</c:v>
                </c:pt>
                <c:pt idx="89">
                  <c:v>1.8615235639361953E-2</c:v>
                </c:pt>
                <c:pt idx="90">
                  <c:v>1.8557817986283812E-2</c:v>
                </c:pt>
                <c:pt idx="91">
                  <c:v>1.8503195356988276E-2</c:v>
                </c:pt>
                <c:pt idx="92">
                  <c:v>1.8451222670457401E-2</c:v>
                </c:pt>
                <c:pt idx="93">
                  <c:v>1.8401763168371839E-2</c:v>
                </c:pt>
                <c:pt idx="94">
                  <c:v>1.8354687870164657E-2</c:v>
                </c:pt>
                <c:pt idx="95">
                  <c:v>1.8309875069246157E-2</c:v>
                </c:pt>
                <c:pt idx="96">
                  <c:v>1.8267209866864739E-2</c:v>
                </c:pt>
                <c:pt idx="97">
                  <c:v>1.822658374040452E-2</c:v>
                </c:pt>
                <c:pt idx="98">
                  <c:v>1.8187894143221649E-2</c:v>
                </c:pt>
                <c:pt idx="99">
                  <c:v>1.8151044133391928E-2</c:v>
                </c:pt>
                <c:pt idx="100">
                  <c:v>1.8115942028985574E-2</c:v>
                </c:pt>
                <c:pt idx="101">
                  <c:v>1.8082501087703876E-2</c:v>
                </c:pt>
                <c:pt idx="102">
                  <c:v>1.8050639208909487E-2</c:v>
                </c:pt>
                <c:pt idx="103">
                  <c:v>1.8020278656259846E-2</c:v>
                </c:pt>
                <c:pt idx="104">
                  <c:v>1.7991345799313063E-2</c:v>
                </c:pt>
                <c:pt idx="105">
                  <c:v>1.7963770872620438E-2</c:v>
                </c:pt>
                <c:pt idx="106">
                  <c:v>1.7937487750950085E-2</c:v>
                </c:pt>
                <c:pt idx="107">
                  <c:v>1.7912433739404269E-2</c:v>
                </c:pt>
                <c:pt idx="108">
                  <c:v>1.7888549377299771E-2</c:v>
                </c:pt>
                <c:pt idx="109">
                  <c:v>1.7865778254777233E-2</c:v>
                </c:pt>
                <c:pt idx="110">
                  <c:v>1.7844066841193038E-2</c:v>
                </c:pt>
                <c:pt idx="111">
                  <c:v>1.7823364324426799E-2</c:v>
                </c:pt>
                <c:pt idx="112">
                  <c:v>1.7803622460309435E-2</c:v>
                </c:pt>
                <c:pt idx="113">
                  <c:v>1.778479543144245E-2</c:v>
                </c:pt>
                <c:pt idx="114">
                  <c:v>1.7766839714738573E-2</c:v>
                </c:pt>
                <c:pt idx="115">
                  <c:v>1.7749713957067911E-2</c:v>
                </c:pt>
                <c:pt idx="116">
                  <c:v>1.7733378858443231E-2</c:v>
                </c:pt>
                <c:pt idx="117">
                  <c:v>1.7717797062222949E-2</c:v>
                </c:pt>
                <c:pt idx="118">
                  <c:v>1.7702933051851128E-2</c:v>
                </c:pt>
                <c:pt idx="119">
                  <c:v>1.7688753053691605E-2</c:v>
                </c:pt>
                <c:pt idx="120">
                  <c:v>1.7675224945547064E-2</c:v>
                </c:pt>
                <c:pt idx="121">
                  <c:v>1.7662318170485459E-2</c:v>
                </c:pt>
                <c:pt idx="122">
                  <c:v>1.7650003655624604E-2</c:v>
                </c:pt>
                <c:pt idx="123">
                  <c:v>1.7638253735551817E-2</c:v>
                </c:pt>
                <c:pt idx="124">
                  <c:v>1.762704208007973E-2</c:v>
                </c:pt>
                <c:pt idx="125">
                  <c:v>1.7616343626061001E-2</c:v>
                </c:pt>
                <c:pt idx="126">
                  <c:v>1.7606134513005092E-2</c:v>
                </c:pt>
                <c:pt idx="127">
                  <c:v>1.7596392022258742E-2</c:v>
                </c:pt>
                <c:pt idx="128">
                  <c:v>1.7587094519528602E-2</c:v>
                </c:pt>
                <c:pt idx="129">
                  <c:v>1.7578221400540411E-2</c:v>
                </c:pt>
                <c:pt idx="130">
                  <c:v>1.7569753039643306E-2</c:v>
                </c:pt>
                <c:pt idx="131">
                  <c:v>1.7561670741181118E-2</c:v>
                </c:pt>
                <c:pt idx="132">
                  <c:v>1.7553956693464972E-2</c:v>
                </c:pt>
                <c:pt idx="133">
                  <c:v>1.7546593925192418E-2</c:v>
                </c:pt>
                <c:pt idx="134">
                  <c:v>1.7539566264169065E-2</c:v>
                </c:pt>
                <c:pt idx="135">
                  <c:v>1.7532858298198103E-2</c:v>
                </c:pt>
                <c:pt idx="136">
                  <c:v>1.7526455338012142E-2</c:v>
                </c:pt>
                <c:pt idx="137">
                  <c:v>1.7520343382129829E-2</c:v>
                </c:pt>
                <c:pt idx="138">
                  <c:v>1.7514509083527582E-2</c:v>
                </c:pt>
                <c:pt idx="139">
                  <c:v>1.7508939718023579E-2</c:v>
                </c:pt>
                <c:pt idx="140">
                  <c:v>1.7503623154277864E-2</c:v>
                </c:pt>
                <c:pt idx="141">
                  <c:v>1.7498547825318466E-2</c:v>
                </c:pt>
                <c:pt idx="142">
                  <c:v>1.7493702701508927E-2</c:v>
                </c:pt>
                <c:pt idx="143">
                  <c:v>1.748907726487816E-2</c:v>
                </c:pt>
                <c:pt idx="144">
                  <c:v>1.7484661484738123E-2</c:v>
                </c:pt>
                <c:pt idx="145">
                  <c:v>1.7480445794519465E-2</c:v>
                </c:pt>
                <c:pt idx="146">
                  <c:v>1.7476421069759631E-2</c:v>
                </c:pt>
                <c:pt idx="147">
                  <c:v>1.7472578607181558E-2</c:v>
                </c:pt>
                <c:pt idx="148">
                  <c:v>1.746891010480512E-2</c:v>
                </c:pt>
                <c:pt idx="149">
                  <c:v>1.7465407643036477E-2</c:v>
                </c:pt>
                <c:pt idx="150">
                  <c:v>1.7462063666684131E-2</c:v>
                </c:pt>
                <c:pt idx="151">
                  <c:v>1.7458870967853094E-2</c:v>
                </c:pt>
                <c:pt idx="152">
                  <c:v>1.7455822669671536E-2</c:v>
                </c:pt>
                <c:pt idx="153">
                  <c:v>1.7452912210806942E-2</c:v>
                </c:pt>
                <c:pt idx="154">
                  <c:v>1.7450133330731046E-2</c:v>
                </c:pt>
                <c:pt idx="155">
                  <c:v>1.7447480055695283E-2</c:v>
                </c:pt>
                <c:pt idx="156">
                  <c:v>1.7444946685380582E-2</c:v>
                </c:pt>
                <c:pt idx="157">
                  <c:v>1.7442527780187237E-2</c:v>
                </c:pt>
                <c:pt idx="158">
                  <c:v>1.7440218149132665E-2</c:v>
                </c:pt>
                <c:pt idx="159">
                  <c:v>1.743801283832639E-2</c:v>
                </c:pt>
                <c:pt idx="160">
                  <c:v>1.7435907119993481E-2</c:v>
                </c:pt>
                <c:pt idx="161">
                  <c:v>1.7433896482019054E-2</c:v>
                </c:pt>
                <c:pt idx="162">
                  <c:v>1.7431976617988034E-2</c:v>
                </c:pt>
                <c:pt idx="163">
                  <c:v>1.7430143417695637E-2</c:v>
                </c:pt>
                <c:pt idx="164">
                  <c:v>1.7428392958105457E-2</c:v>
                </c:pt>
                <c:pt idx="165">
                  <c:v>1.7426721494733163E-2</c:v>
                </c:pt>
                <c:pt idx="166">
                  <c:v>1.742512545343498E-2</c:v>
                </c:pt>
                <c:pt idx="167">
                  <c:v>1.7423601422581276E-2</c:v>
                </c:pt>
                <c:pt idx="168">
                  <c:v>1.742214614559651E-2</c:v>
                </c:pt>
                <c:pt idx="169">
                  <c:v>1.7420756513847828E-2</c:v>
                </c:pt>
                <c:pt idx="170">
                  <c:v>1.7419429559865401E-2</c:v>
                </c:pt>
                <c:pt idx="171">
                  <c:v>1.7418162450878693E-2</c:v>
                </c:pt>
                <c:pt idx="172">
                  <c:v>1.7416952482653333E-2</c:v>
                </c:pt>
                <c:pt idx="173">
                  <c:v>1.7415797073614236E-2</c:v>
                </c:pt>
                <c:pt idx="174">
                  <c:v>1.7414693759241401E-2</c:v>
                </c:pt>
                <c:pt idx="175">
                  <c:v>1.7413640186725275E-2</c:v>
                </c:pt>
                <c:pt idx="176">
                  <c:v>1.7412634109869415E-2</c:v>
                </c:pt>
                <c:pt idx="177">
                  <c:v>1.7411673384228679E-2</c:v>
                </c:pt>
                <c:pt idx="178">
                  <c:v>1.7410755962471897E-2</c:v>
                </c:pt>
              </c:numCache>
            </c:numRef>
          </c:yVal>
        </c:ser>
        <c:axId val="135282048"/>
        <c:axId val="135292416"/>
      </c:scatterChart>
      <c:valAx>
        <c:axId val="135282048"/>
        <c:scaling>
          <c:orientation val="minMax"/>
          <c:max val="100000"/>
          <c:min val="1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135292416"/>
        <c:crosses val="autoZero"/>
        <c:crossBetween val="midCat"/>
      </c:valAx>
      <c:valAx>
        <c:axId val="135292416"/>
        <c:scaling>
          <c:orientation val="minMax"/>
          <c:max val="6.0000000000000032E-2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5.2430288319223299E-3"/>
              <c:y val="0.33568515017417044"/>
            </c:manualLayout>
          </c:layout>
        </c:title>
        <c:numFmt formatCode="General" sourceLinked="1"/>
        <c:tickLblPos val="nextTo"/>
        <c:crossAx val="1352820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283273801301151"/>
          <c:y val="0.11782661154283819"/>
          <c:w val="0.32651629072681754"/>
          <c:h val="0.21011373578302728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>
        <c:manualLayout>
          <c:layoutTarget val="inner"/>
          <c:xMode val="edge"/>
          <c:yMode val="edge"/>
          <c:x val="0.17057174103237099"/>
          <c:y val="5.1400554097404488E-2"/>
          <c:w val="0.78044203849518901"/>
          <c:h val="0.8326195683872849"/>
        </c:manualLayout>
      </c:layout>
      <c:scatterChart>
        <c:scatterStyle val="lineMarker"/>
        <c:ser>
          <c:idx val="2"/>
          <c:order val="0"/>
          <c:tx>
            <c:strRef>
              <c:f>Sheet1!$E$4</c:f>
              <c:strCache>
                <c:ptCount val="1"/>
                <c:pt idx="0">
                  <c:v>Cauchy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rgbClr val="29F733"/>
                </a:solidFill>
              </a:ln>
            </c:spPr>
          </c:marker>
          <c:xVal>
            <c:numRef>
              <c:f>Sheet1!$B$5:$B$301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Sheet1!$E$5:$E$301</c:f>
              <c:numCache>
                <c:formatCode>General</c:formatCode>
                <c:ptCount val="297"/>
                <c:pt idx="0">
                  <c:v>32886816.622045521</c:v>
                </c:pt>
                <c:pt idx="1">
                  <c:v>32920985.127852224</c:v>
                </c:pt>
                <c:pt idx="2">
                  <c:v>32958481.162692398</c:v>
                </c:pt>
                <c:pt idx="3">
                  <c:v>32999632.042597286</c:v>
                </c:pt>
                <c:pt idx="4">
                  <c:v>33044797.935885325</c:v>
                </c:pt>
                <c:pt idx="5">
                  <c:v>33094375.291096047</c:v>
                </c:pt>
                <c:pt idx="6">
                  <c:v>33148800.64815221</c:v>
                </c:pt>
                <c:pt idx="7">
                  <c:v>33208554.880409472</c:v>
                </c:pt>
                <c:pt idx="8">
                  <c:v>33274167.922027968</c:v>
                </c:pt>
                <c:pt idx="9">
                  <c:v>33346224.042972222</c:v>
                </c:pt>
                <c:pt idx="10">
                  <c:v>33425367.743109424</c:v>
                </c:pt>
                <c:pt idx="11">
                  <c:v>33512310.347563267</c:v>
                </c:pt>
                <c:pt idx="12">
                  <c:v>33607837.397965044</c:v>
                </c:pt>
                <c:pt idx="13">
                  <c:v>33712816.948850453</c:v>
                </c:pt>
                <c:pt idx="14">
                  <c:v>33828208.895564079</c:v>
                </c:pt>
                <c:pt idx="15">
                  <c:v>33955075.480104662</c:v>
                </c:pt>
                <c:pt idx="16">
                  <c:v>34094593.144906454</c:v>
                </c:pt>
                <c:pt idx="17">
                  <c:v>34248065.932223871</c:v>
                </c:pt>
                <c:pt idx="18">
                  <c:v>34416940.659289688</c:v>
                </c:pt>
                <c:pt idx="19">
                  <c:v>34602824.137576379</c:v>
                </c:pt>
                <c:pt idx="20">
                  <c:v>34807502.749242693</c:v>
                </c:pt>
                <c:pt idx="21">
                  <c:v>35032964.746227674</c:v>
                </c:pt>
                <c:pt idx="22">
                  <c:v>35281425.698577568</c:v>
                </c:pt>
                <c:pt idx="23">
                  <c:v>35555357.589591816</c:v>
                </c:pt>
                <c:pt idx="24">
                  <c:v>35857522.137310371</c:v>
                </c:pt>
                <c:pt idx="25">
                  <c:v>36191009.015534855</c:v>
                </c:pt>
                <c:pt idx="26">
                  <c:v>36559279.753215201</c:v>
                </c:pt>
                <c:pt idx="27">
                  <c:v>36966218.207814686</c:v>
                </c:pt>
                <c:pt idx="28">
                  <c:v>37416188.633478299</c:v>
                </c:pt>
                <c:pt idx="29">
                  <c:v>37914102.492579147</c:v>
                </c:pt>
                <c:pt idx="30">
                  <c:v>38465495.278337821</c:v>
                </c:pt>
                <c:pt idx="31">
                  <c:v>39076614.706978492</c:v>
                </c:pt>
                <c:pt idx="32">
                  <c:v>39754521.666832224</c:v>
                </c:pt>
                <c:pt idx="33">
                  <c:v>40507205.223572373</c:v>
                </c:pt>
                <c:pt idx="34">
                  <c:v>41343712.685418695</c:v>
                </c:pt>
                <c:pt idx="35">
                  <c:v>42274295.085303634</c:v>
                </c:pt>
                <c:pt idx="36">
                  <c:v>43310567.209180109</c:v>
                </c:pt>
                <c:pt idx="37">
                  <c:v>44465679.129057422</c:v>
                </c:pt>
                <c:pt idx="38">
                  <c:v>45754492.520045154</c:v>
                </c:pt>
                <c:pt idx="39">
                  <c:v>47193748.975174703</c:v>
                </c:pt>
                <c:pt idx="40">
                  <c:v>48802207.734501205</c:v>
                </c:pt>
                <c:pt idx="41">
                  <c:v>50600714.684077546</c:v>
                </c:pt>
                <c:pt idx="42">
                  <c:v>52612140.155869924</c:v>
                </c:pt>
                <c:pt idx="43">
                  <c:v>54861085.695098117</c:v>
                </c:pt>
                <c:pt idx="44">
                  <c:v>57373203.807217121</c:v>
                </c:pt>
                <c:pt idx="45">
                  <c:v>60173892.823934622</c:v>
                </c:pt>
                <c:pt idx="46">
                  <c:v>63286015.005027652</c:v>
                </c:pt>
                <c:pt idx="47">
                  <c:v>66726138.836903408</c:v>
                </c:pt>
                <c:pt idx="48">
                  <c:v>70498642.453751639</c:v>
                </c:pt>
                <c:pt idx="49">
                  <c:v>74586891.968368605</c:v>
                </c:pt>
                <c:pt idx="50">
                  <c:v>78940768.342654467</c:v>
                </c:pt>
                <c:pt idx="51">
                  <c:v>83460344.161904946</c:v>
                </c:pt>
                <c:pt idx="52">
                  <c:v>87976970.987168655</c:v>
                </c:pt>
                <c:pt idx="53">
                  <c:v>92235958.952622578</c:v>
                </c:pt>
                <c:pt idx="54">
                  <c:v>95889495.278448254</c:v>
                </c:pt>
                <c:pt idx="55">
                  <c:v>98512946.623745441</c:v>
                </c:pt>
                <c:pt idx="56">
                  <c:v>99657828.5405498</c:v>
                </c:pt>
                <c:pt idx="57">
                  <c:v>98944095.329145297</c:v>
                </c:pt>
                <c:pt idx="58">
                  <c:v>96170889.582762048</c:v>
                </c:pt>
                <c:pt idx="59">
                  <c:v>91400212.459103316</c:v>
                </c:pt>
                <c:pt idx="60">
                  <c:v>84966293.933432177</c:v>
                </c:pt>
                <c:pt idx="61">
                  <c:v>77397664.295022592</c:v>
                </c:pt>
                <c:pt idx="62">
                  <c:v>69287406.440351903</c:v>
                </c:pt>
                <c:pt idx="63">
                  <c:v>61170176.093312472</c:v>
                </c:pt>
                <c:pt idx="64">
                  <c:v>53447817.246855915</c:v>
                </c:pt>
                <c:pt idx="65">
                  <c:v>46370735.810624078</c:v>
                </c:pt>
                <c:pt idx="66">
                  <c:v>40057780.011928916</c:v>
                </c:pt>
                <c:pt idx="67">
                  <c:v>34532088.925001264</c:v>
                </c:pt>
                <c:pt idx="68">
                  <c:v>29756843.493550725</c:v>
                </c:pt>
                <c:pt idx="69">
                  <c:v>25663484.42758964</c:v>
                </c:pt>
                <c:pt idx="70">
                  <c:v>22170967.419159163</c:v>
                </c:pt>
                <c:pt idx="71">
                  <c:v>19197459.757868081</c:v>
                </c:pt>
                <c:pt idx="72">
                  <c:v>16666631.120543864</c:v>
                </c:pt>
                <c:pt idx="73">
                  <c:v>14510471.999492751</c:v>
                </c:pt>
                <c:pt idx="74">
                  <c:v>12670068.594299283</c:v>
                </c:pt>
                <c:pt idx="75">
                  <c:v>11095280.445982346</c:v>
                </c:pt>
                <c:pt idx="76">
                  <c:v>9743901.2615172789</c:v>
                </c:pt>
                <c:pt idx="77">
                  <c:v>8580636.3539429754</c:v>
                </c:pt>
                <c:pt idx="78">
                  <c:v>7576075.0773185613</c:v>
                </c:pt>
                <c:pt idx="79">
                  <c:v>6705744.5274326652</c:v>
                </c:pt>
                <c:pt idx="80">
                  <c:v>5949278.7332384298</c:v>
                </c:pt>
                <c:pt idx="81">
                  <c:v>5289709.7782278713</c:v>
                </c:pt>
                <c:pt idx="82">
                  <c:v>4712873.6150689609</c:v>
                </c:pt>
                <c:pt idx="83">
                  <c:v>4206917.5517299408</c:v>
                </c:pt>
                <c:pt idx="84">
                  <c:v>3761894.8142155083</c:v>
                </c:pt>
                <c:pt idx="85">
                  <c:v>3369432.119186555</c:v>
                </c:pt>
                <c:pt idx="86">
                  <c:v>3022457.645714852</c:v>
                </c:pt>
                <c:pt idx="87">
                  <c:v>2714978.5520022749</c:v>
                </c:pt>
                <c:pt idx="88">
                  <c:v>2441898.9235894578</c:v>
                </c:pt>
                <c:pt idx="89">
                  <c:v>2198870.6201724415</c:v>
                </c:pt>
                <c:pt idx="90">
                  <c:v>1982170.8567222029</c:v>
                </c:pt>
                <c:pt idx="91">
                  <c:v>1788601.5062952661</c:v>
                </c:pt>
                <c:pt idx="92">
                  <c:v>1615406.0638384745</c:v>
                </c:pt>
                <c:pt idx="93">
                  <c:v>1460200.9880295144</c:v>
                </c:pt>
                <c:pt idx="94">
                  <c:v>1320918.7689244268</c:v>
                </c:pt>
                <c:pt idx="95">
                  <c:v>1195760.5783292335</c:v>
                </c:pt>
                <c:pt idx="96">
                  <c:v>1083156.7697181909</c:v>
                </c:pt>
                <c:pt idx="97">
                  <c:v>981733.82410918677</c:v>
                </c:pt>
                <c:pt idx="98">
                  <c:v>890286.60324844625</c:v>
                </c:pt>
                <c:pt idx="99">
                  <c:v>807754.98453572823</c:v>
                </c:pt>
                <c:pt idx="100">
                  <c:v>733204.12366821954</c:v>
                </c:pt>
                <c:pt idx="101">
                  <c:v>665807.72929174756</c:v>
                </c:pt>
                <c:pt idx="102">
                  <c:v>604833.84565549879</c:v>
                </c:pt>
                <c:pt idx="103">
                  <c:v>549632.72966594645</c:v>
                </c:pt>
                <c:pt idx="104">
                  <c:v>499626.48204670893</c:v>
                </c:pt>
                <c:pt idx="105">
                  <c:v>454300.15189702832</c:v>
                </c:pt>
                <c:pt idx="106">
                  <c:v>413194.0824841148</c:v>
                </c:pt>
                <c:pt idx="107">
                  <c:v>375897.30574402033</c:v>
                </c:pt>
                <c:pt idx="108">
                  <c:v>342041.82541251043</c:v>
                </c:pt>
                <c:pt idx="109">
                  <c:v>311297.6553309827</c:v>
                </c:pt>
                <c:pt idx="110">
                  <c:v>283368.50137076003</c:v>
                </c:pt>
                <c:pt idx="111">
                  <c:v>257987.99347463791</c:v>
                </c:pt>
                <c:pt idx="112">
                  <c:v>234916.38923775207</c:v>
                </c:pt>
                <c:pt idx="113">
                  <c:v>213937.68281403769</c:v>
                </c:pt>
                <c:pt idx="114">
                  <c:v>194857.06320339051</c:v>
                </c:pt>
                <c:pt idx="115">
                  <c:v>177498.67452388696</c:v>
                </c:pt>
                <c:pt idx="116">
                  <c:v>161703.63800825481</c:v>
                </c:pt>
                <c:pt idx="117">
                  <c:v>147328.30143270674</c:v>
                </c:pt>
                <c:pt idx="118">
                  <c:v>134242.68669185563</c:v>
                </c:pt>
                <c:pt idx="119">
                  <c:v>122329.11044148391</c:v>
                </c:pt>
                <c:pt idx="120">
                  <c:v>111480.95627714971</c:v>
                </c:pt>
                <c:pt idx="121">
                  <c:v>101601.5799124265</c:v>
                </c:pt>
                <c:pt idx="122">
                  <c:v>92603.331357678035</c:v>
                </c:pt>
                <c:pt idx="123">
                  <c:v>84406.680254219798</c:v>
                </c:pt>
                <c:pt idx="124">
                  <c:v>76939.432351970419</c:v>
                </c:pt>
                <c:pt idx="125">
                  <c:v>70136.026682861615</c:v>
                </c:pt>
                <c:pt idx="126">
                  <c:v>63936.904320241025</c:v>
                </c:pt>
                <c:pt idx="127">
                  <c:v>58287.940761834674</c:v>
                </c:pt>
                <c:pt idx="128">
                  <c:v>53139.934960180712</c:v>
                </c:pt>
                <c:pt idx="129">
                  <c:v>48448.148874512684</c:v>
                </c:pt>
                <c:pt idx="130">
                  <c:v>44171.892152529603</c:v>
                </c:pt>
                <c:pt idx="131">
                  <c:v>40274.147186624527</c:v>
                </c:pt>
                <c:pt idx="132">
                  <c:v>36721.230341484959</c:v>
                </c:pt>
                <c:pt idx="133">
                  <c:v>33482.485630717812</c:v>
                </c:pt>
                <c:pt idx="134">
                  <c:v>30530.007539582937</c:v>
                </c:pt>
                <c:pt idx="135">
                  <c:v>27838.390057709163</c:v>
                </c:pt>
                <c:pt idx="136">
                  <c:v>25384.499307167309</c:v>
                </c:pt>
                <c:pt idx="137">
                  <c:v>23147.267433709811</c:v>
                </c:pt>
                <c:pt idx="138">
                  <c:v>21107.50567763664</c:v>
                </c:pt>
                <c:pt idx="139">
                  <c:v>19247.734760126154</c:v>
                </c:pt>
                <c:pt idx="140">
                  <c:v>17552.030914809671</c:v>
                </c:pt>
                <c:pt idx="141">
                  <c:v>16005.886066163392</c:v>
                </c:pt>
                <c:pt idx="142">
                  <c:v>14596.080808750161</c:v>
                </c:pt>
                <c:pt idx="143">
                  <c:v>13310.568976893541</c:v>
                </c:pt>
                <c:pt idx="144">
                  <c:v>12138.372715084575</c:v>
                </c:pt>
                <c:pt idx="145">
                  <c:v>11069.487067111695</c:v>
                </c:pt>
                <c:pt idx="146">
                  <c:v>10094.793198117548</c:v>
                </c:pt>
                <c:pt idx="147">
                  <c:v>9205.979449875711</c:v>
                </c:pt>
                <c:pt idx="148">
                  <c:v>8395.469506715197</c:v>
                </c:pt>
                <c:pt idx="149">
                  <c:v>7656.357018725419</c:v>
                </c:pt>
                <c:pt idx="150">
                  <c:v>6982.3460910376034</c:v>
                </c:pt>
                <c:pt idx="151">
                  <c:v>6367.6971038834872</c:v>
                </c:pt>
                <c:pt idx="152">
                  <c:v>5807.1773784619936</c:v>
                </c:pt>
                <c:pt idx="153">
                  <c:v>5296.0162490001867</c:v>
                </c:pt>
                <c:pt idx="154">
                  <c:v>4829.864142307315</c:v>
                </c:pt>
                <c:pt idx="155">
                  <c:v>4404.7553030564995</c:v>
                </c:pt>
                <c:pt idx="156">
                  <c:v>4017.0738364022195</c:v>
                </c:pt>
                <c:pt idx="157">
                  <c:v>3663.522769718069</c:v>
                </c:pt>
                <c:pt idx="158">
                  <c:v>3341.0958625449539</c:v>
                </c:pt>
                <c:pt idx="159">
                  <c:v>3047.0519185628614</c:v>
                </c:pt>
                <c:pt idx="160">
                  <c:v>2778.8913757980386</c:v>
                </c:pt>
                <c:pt idx="161">
                  <c:v>2534.3349715807253</c:v>
                </c:pt>
                <c:pt idx="162">
                  <c:v>2311.3042971825371</c:v>
                </c:pt>
                <c:pt idx="163">
                  <c:v>2107.9040737702371</c:v>
                </c:pt>
                <c:pt idx="164">
                  <c:v>1922.4059964791695</c:v>
                </c:pt>
                <c:pt idx="165">
                  <c:v>1753.2340071820004</c:v>
                </c:pt>
                <c:pt idx="166">
                  <c:v>1598.9508690398347</c:v>
                </c:pt>
                <c:pt idx="167">
                  <c:v>1458.245927292372</c:v>
                </c:pt>
                <c:pt idx="168">
                  <c:v>1329.9239510786606</c:v>
                </c:pt>
                <c:pt idx="169">
                  <c:v>1212.8949604773366</c:v>
                </c:pt>
                <c:pt idx="170">
                  <c:v>1106.1649515020667</c:v>
                </c:pt>
                <c:pt idx="171">
                  <c:v>1008.8274395631278</c:v>
                </c:pt>
                <c:pt idx="172">
                  <c:v>920.05574898075679</c:v>
                </c:pt>
                <c:pt idx="173">
                  <c:v>839.09598257466473</c:v>
                </c:pt>
                <c:pt idx="174">
                  <c:v>765.26061121490329</c:v>
                </c:pt>
                <c:pt idx="175">
                  <c:v>697.92262855515628</c:v>
                </c:pt>
                <c:pt idx="176">
                  <c:v>636.51022102796128</c:v>
                </c:pt>
                <c:pt idx="177">
                  <c:v>580.50190760594774</c:v>
                </c:pt>
                <c:pt idx="178">
                  <c:v>529.4221078629364</c:v>
                </c:pt>
                <c:pt idx="179">
                  <c:v>482.83710053955997</c:v>
                </c:pt>
                <c:pt idx="180">
                  <c:v>440.35133816203381</c:v>
                </c:pt>
                <c:pt idx="181">
                  <c:v>401.60408630943573</c:v>
                </c:pt>
                <c:pt idx="182">
                  <c:v>366.26635890085066</c:v>
                </c:pt>
                <c:pt idx="183">
                  <c:v>334.03812340339493</c:v>
                </c:pt>
                <c:pt idx="184">
                  <c:v>304.64575216736051</c:v>
                </c:pt>
                <c:pt idx="185">
                  <c:v>277.83969819566232</c:v>
                </c:pt>
                <c:pt idx="186">
                  <c:v>253.39237556962567</c:v>
                </c:pt>
                <c:pt idx="187">
                  <c:v>231.09622649845755</c:v>
                </c:pt>
                <c:pt idx="188">
                  <c:v>210.76195855065808</c:v>
                </c:pt>
                <c:pt idx="189">
                  <c:v>192.21693707583398</c:v>
                </c:pt>
                <c:pt idx="190">
                  <c:v>175.30371914739757</c:v>
                </c:pt>
                <c:pt idx="191">
                  <c:v>159.87871656182398</c:v>
                </c:pt>
                <c:pt idx="192">
                  <c:v>145.81097652889963</c:v>
                </c:pt>
                <c:pt idx="193">
                  <c:v>132.98106968910926</c:v>
                </c:pt>
                <c:pt idx="194">
                  <c:v>121.28007600762911</c:v>
                </c:pt>
                <c:pt idx="195">
                  <c:v>110.60865992708999</c:v>
                </c:pt>
                <c:pt idx="196">
                  <c:v>100.87622692052348</c:v>
                </c:pt>
                <c:pt idx="197">
                  <c:v>92.000154278176922</c:v>
                </c:pt>
                <c:pt idx="198">
                  <c:v>83.905089593115093</c:v>
                </c:pt>
                <c:pt idx="199">
                  <c:v>76.522310986093345</c:v>
                </c:pt>
                <c:pt idx="200">
                  <c:v>69.789143635026505</c:v>
                </c:pt>
                <c:pt idx="201">
                  <c:v>63.648427652956229</c:v>
                </c:pt>
                <c:pt idx="202">
                  <c:v>58.048032794820358</c:v>
                </c:pt>
                <c:pt idx="203">
                  <c:v>52.940415871280486</c:v>
                </c:pt>
                <c:pt idx="204">
                  <c:v>48.282217110752299</c:v>
                </c:pt>
                <c:pt idx="205">
                  <c:v>44.033892041709464</c:v>
                </c:pt>
                <c:pt idx="206">
                  <c:v>40.159375769102454</c:v>
                </c:pt>
                <c:pt idx="207">
                  <c:v>36.625776793931472</c:v>
                </c:pt>
                <c:pt idx="208">
                  <c:v>33.403097775970672</c:v>
                </c:pt>
                <c:pt idx="209">
                  <c:v>30.463980868503519</c:v>
                </c:pt>
                <c:pt idx="210">
                  <c:v>27.783475462634605</c:v>
                </c:pt>
                <c:pt idx="211">
                  <c:v>25.338826369076987</c:v>
                </c:pt>
                <c:pt idx="212">
                  <c:v>23.109280638887114</c:v>
                </c:pt>
                <c:pt idx="213">
                  <c:v>21.075911382913766</c:v>
                </c:pt>
                <c:pt idx="214">
                  <c:v>19.221457094084457</c:v>
                </c:pt>
                <c:pt idx="215">
                  <c:v>17.530175108302963</c:v>
                </c:pt>
                <c:pt idx="216">
                  <c:v>15.987707959793761</c:v>
                </c:pt>
                <c:pt idx="217">
                  <c:v>14.580961496221615</c:v>
                </c:pt>
                <c:pt idx="218">
                  <c:v>13.297993718770366</c:v>
                </c:pt>
                <c:pt idx="219">
                  <c:v>12.12791340343183</c:v>
                </c:pt>
                <c:pt idx="220">
                  <c:v>11.060787642806645</c:v>
                </c:pt>
                <c:pt idx="221">
                  <c:v>10.087557523461033</c:v>
                </c:pt>
                <c:pt idx="222">
                  <c:v>9.1999612229587768</c:v>
                </c:pt>
                <c:pt idx="223">
                  <c:v>8.390463873684558</c:v>
                </c:pt>
                <c:pt idx="224">
                  <c:v>7.6521935980264999</c:v>
                </c:pt>
                <c:pt idx="225">
                  <c:v>6.9788831718827193</c:v>
                </c:pt>
                <c:pt idx="226">
                  <c:v>6.3648168212409519</c:v>
                </c:pt>
                <c:pt idx="227">
                  <c:v>5.8047817001608983</c:v>
                </c:pt>
                <c:pt idx="228">
                  <c:v>5.2940236382332602</c:v>
                </c:pt>
                <c:pt idx="229">
                  <c:v>4.828206781836883</c:v>
                </c:pt>
                <c:pt idx="230">
                  <c:v>4.4033767865729336</c:v>
                </c:pt>
                <c:pt idx="231">
                  <c:v>4.0159272484032913</c:v>
                </c:pt>
                <c:pt idx="232">
                  <c:v>3.6625690885161593</c:v>
                </c:pt>
                <c:pt idx="233">
                  <c:v>3.3403026320175107</c:v>
                </c:pt>
                <c:pt idx="234">
                  <c:v>3.0463921434166745</c:v>
                </c:pt>
                <c:pt idx="235">
                  <c:v>2.7783426027310472</c:v>
                </c:pt>
                <c:pt idx="236">
                  <c:v>2.5338785250568368</c:v>
                </c:pt>
                <c:pt idx="237">
                  <c:v>2.310924643800357</c:v>
                </c:pt>
                <c:pt idx="238">
                  <c:v>2.1075882935859656</c:v>
                </c:pt>
                <c:pt idx="239">
                  <c:v>1.9221433432856749</c:v>
                </c:pt>
                <c:pt idx="240">
                  <c:v>1.7530155427751968</c:v>
                </c:pt>
                <c:pt idx="241">
                  <c:v>1.598769159022519</c:v>
                </c:pt>
                <c:pt idx="242">
                  <c:v>1.4580947880608093</c:v>
                </c:pt>
                <c:pt idx="243">
                  <c:v>1.3297982393796759</c:v>
                </c:pt>
                <c:pt idx="244">
                  <c:v>1.2127903983729396</c:v>
                </c:pt>
                <c:pt idx="245">
                  <c:v>1.1060779807839674</c:v>
                </c:pt>
                <c:pt idx="246">
                  <c:v>1.0087551006619537</c:v>
                </c:pt>
                <c:pt idx="247">
                  <c:v>0.91999558024862771</c:v>
                </c:pt>
                <c:pt idx="248">
                  <c:v>0.83904593651320047</c:v>
                </c:pt>
                <c:pt idx="249">
                  <c:v>0.76521898479759143</c:v>
                </c:pt>
                <c:pt idx="250">
                  <c:v>0.69788800527265593</c:v>
                </c:pt>
                <c:pt idx="251">
                  <c:v>0.6364814226839911</c:v>
                </c:pt>
                <c:pt idx="252">
                  <c:v>0.5804779542232138</c:v>
                </c:pt>
                <c:pt idx="253">
                  <c:v>0.52940218433463238</c:v>
                </c:pt>
                <c:pt idx="254">
                  <c:v>0.48282052889149762</c:v>
                </c:pt>
                <c:pt idx="255">
                  <c:v>0.44033755448145956</c:v>
                </c:pt>
                <c:pt idx="256">
                  <c:v>0.40159262155537034</c:v>
                </c:pt>
                <c:pt idx="257">
                  <c:v>0.36625682294292972</c:v>
                </c:pt>
                <c:pt idx="258">
                  <c:v>0.334030191746019</c:v>
                </c:pt>
                <c:pt idx="259">
                  <c:v>0.30463915490737858</c:v>
                </c:pt>
                <c:pt idx="260">
                  <c:v>0.27783421083781712</c:v>
                </c:pt>
                <c:pt idx="261">
                  <c:v>0.25338781138720246</c:v>
                </c:pt>
                <c:pt idx="262">
                  <c:v>0.23109243017917308</c:v>
                </c:pt>
                <c:pt idx="263">
                  <c:v>0.21075880091155808</c:v>
                </c:pt>
                <c:pt idx="264">
                  <c:v>0.19221431066735173</c:v>
                </c:pt>
                <c:pt idx="265">
                  <c:v>0.17530153459697745</c:v>
                </c:pt>
                <c:pt idx="266">
                  <c:v>0.15987689953269005</c:v>
                </c:pt>
                <c:pt idx="267">
                  <c:v>0.1458094651904725</c:v>
                </c:pt>
                <c:pt idx="268">
                  <c:v>0.13297981261299774</c:v>
                </c:pt>
                <c:pt idx="269">
                  <c:v>0.12127903041759436</c:v>
                </c:pt>
                <c:pt idx="270">
                  <c:v>0.11060779024343184</c:v>
                </c:pt>
                <c:pt idx="271">
                  <c:v>0.10087550354935552</c:v>
                </c:pt>
                <c:pt idx="272">
                  <c:v>9.199955260439141E-2</c:v>
                </c:pt>
                <c:pt idx="273">
                  <c:v>8.3904589142768382E-2</c:v>
                </c:pt>
                <c:pt idx="274">
                  <c:v>7.6521894729709133E-2</c:v>
                </c:pt>
                <c:pt idx="275">
                  <c:v>6.9788797408109907E-2</c:v>
                </c:pt>
                <c:pt idx="276">
                  <c:v>6.3648139673998405E-2</c:v>
                </c:pt>
                <c:pt idx="277">
                  <c:v>5.8047793264392883E-2</c:v>
                </c:pt>
                <c:pt idx="278">
                  <c:v>5.2940216638576454E-2</c:v>
                </c:pt>
                <c:pt idx="279">
                  <c:v>4.8282051396227973E-2</c:v>
                </c:pt>
                <c:pt idx="280">
                  <c:v>4.4033754206387651E-2</c:v>
                </c:pt>
                <c:pt idx="281">
                  <c:v>4.015926112268748E-2</c:v>
                </c:pt>
                <c:pt idx="282">
                  <c:v>3.6625681435206107E-2</c:v>
                </c:pt>
                <c:pt idx="283">
                  <c:v>3.3403018460044578E-2</c:v>
                </c:pt>
                <c:pt idx="284">
                  <c:v>3.046391489639497E-2</c:v>
                </c:pt>
                <c:pt idx="285">
                  <c:v>2.7783420589428807E-2</c:v>
                </c:pt>
                <c:pt idx="286">
                  <c:v>2.5338780727535412E-2</c:v>
                </c:pt>
                <c:pt idx="287">
                  <c:v>2.3109242675908651E-2</c:v>
                </c:pt>
                <c:pt idx="288">
                  <c:v>2.1075879806685398E-2</c:v>
                </c:pt>
                <c:pt idx="289">
                  <c:v>1.9221430830122982E-2</c:v>
                </c:pt>
                <c:pt idx="290">
                  <c:v>1.7530153262892308E-2</c:v>
                </c:pt>
                <c:pt idx="291">
                  <c:v>1.5987689789573378E-2</c:v>
                </c:pt>
                <c:pt idx="292">
                  <c:v>1.4580946382891157E-2</c:v>
                </c:pt>
                <c:pt idx="293">
                  <c:v>1.329798114805006E-2</c:v>
                </c:pt>
                <c:pt idx="294">
                  <c:v>1.2127902947562431E-2</c:v>
                </c:pt>
                <c:pt idx="295">
                  <c:v>1.106077894599353E-2</c:v>
                </c:pt>
                <c:pt idx="296">
                  <c:v>1.008755028976714E-2</c:v>
                </c:pt>
              </c:numCache>
            </c:numRef>
          </c:yVal>
        </c:ser>
        <c:axId val="135545600"/>
        <c:axId val="135547904"/>
      </c:scatterChart>
      <c:valAx>
        <c:axId val="135545600"/>
        <c:scaling>
          <c:logBase val="10"/>
          <c:orientation val="minMax"/>
          <c:max val="1.0000000000000004E-2"/>
          <c:min val="1.0000000000000027E-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Wavenumber</a:t>
                </a:r>
              </a:p>
            </c:rich>
          </c:tx>
          <c:layout/>
        </c:title>
        <c:numFmt formatCode="0E+00" sourceLinked="0"/>
        <c:tickLblPos val="nextTo"/>
        <c:crossAx val="135547904"/>
        <c:crosses val="autoZero"/>
        <c:crossBetween val="midCat"/>
      </c:valAx>
      <c:valAx>
        <c:axId val="135547904"/>
        <c:scaling>
          <c:logBase val="10"/>
          <c:orientation val="minMax"/>
          <c:max val="80000000"/>
          <c:min val="1000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Density</a:t>
                </a:r>
              </a:p>
            </c:rich>
          </c:tx>
          <c:layout/>
        </c:title>
        <c:numFmt formatCode="General" sourceLinked="1"/>
        <c:tickLblPos val="nextTo"/>
        <c:crossAx val="135545600"/>
        <c:crossesAt val="1.0000000000000027E-6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5748600174978142"/>
          <c:y val="0.15012286986139337"/>
          <c:w val="0.15673189874067067"/>
          <c:h val="0.13621780328306421"/>
        </c:manualLayout>
      </c:layout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6076653068968786"/>
          <c:y val="5.1400554097404488E-2"/>
          <c:w val="0.68460487619770494"/>
          <c:h val="0.89719889180519163"/>
        </c:manualLayout>
      </c:layout>
      <c:scatterChart>
        <c:scatterStyle val="lineMarker"/>
        <c:ser>
          <c:idx val="0"/>
          <c:order val="0"/>
          <c:tx>
            <c:strRef>
              <c:f>Sheet3!$B$1</c:f>
              <c:strCache>
                <c:ptCount val="1"/>
                <c:pt idx="0">
                  <c:v>Fat-tail</c:v>
                </c:pt>
              </c:strCache>
            </c:strRef>
          </c:tx>
          <c:marker>
            <c:symbol val="none"/>
          </c:marker>
          <c:xVal>
            <c:numRef>
              <c:f>Sheet3!$A$2:$A$102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Sheet3!$B$2:$B$102</c:f>
              <c:numCache>
                <c:formatCode>General</c:formatCode>
                <c:ptCount val="101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  <c:pt idx="4">
                  <c:v>5.8823529411764705E-2</c:v>
                </c:pt>
                <c:pt idx="5">
                  <c:v>3.8461538461538464E-2</c:v>
                </c:pt>
                <c:pt idx="6">
                  <c:v>2.7027027027027029E-2</c:v>
                </c:pt>
                <c:pt idx="7">
                  <c:v>0.02</c:v>
                </c:pt>
                <c:pt idx="8">
                  <c:v>1.5384615384615385E-2</c:v>
                </c:pt>
                <c:pt idx="9">
                  <c:v>1.2195121951219513E-2</c:v>
                </c:pt>
                <c:pt idx="10">
                  <c:v>9.9009900990099011E-3</c:v>
                </c:pt>
                <c:pt idx="11">
                  <c:v>8.1967213114754103E-3</c:v>
                </c:pt>
                <c:pt idx="12">
                  <c:v>6.8965517241379309E-3</c:v>
                </c:pt>
                <c:pt idx="13">
                  <c:v>5.8823529411764705E-3</c:v>
                </c:pt>
                <c:pt idx="14">
                  <c:v>5.076142131979695E-3</c:v>
                </c:pt>
                <c:pt idx="15">
                  <c:v>4.4247787610619468E-3</c:v>
                </c:pt>
                <c:pt idx="16">
                  <c:v>3.8910505836575876E-3</c:v>
                </c:pt>
                <c:pt idx="17">
                  <c:v>3.4482758620689655E-3</c:v>
                </c:pt>
                <c:pt idx="18">
                  <c:v>3.0769230769230769E-3</c:v>
                </c:pt>
                <c:pt idx="19">
                  <c:v>2.7624309392265192E-3</c:v>
                </c:pt>
                <c:pt idx="20">
                  <c:v>2.4937655860349127E-3</c:v>
                </c:pt>
                <c:pt idx="21">
                  <c:v>2.2624434389140274E-3</c:v>
                </c:pt>
                <c:pt idx="22">
                  <c:v>2.0618556701030928E-3</c:v>
                </c:pt>
                <c:pt idx="23">
                  <c:v>1.8867924528301887E-3</c:v>
                </c:pt>
                <c:pt idx="24">
                  <c:v>1.7331022530329288E-3</c:v>
                </c:pt>
                <c:pt idx="25">
                  <c:v>1.5974440894568689E-3</c:v>
                </c:pt>
                <c:pt idx="26">
                  <c:v>1.4771048744460858E-3</c:v>
                </c:pt>
                <c:pt idx="27">
                  <c:v>1.3698630136986301E-3</c:v>
                </c:pt>
                <c:pt idx="28">
                  <c:v>1.2738853503184713E-3</c:v>
                </c:pt>
                <c:pt idx="29">
                  <c:v>1.1876484560570072E-3</c:v>
                </c:pt>
                <c:pt idx="30">
                  <c:v>1.1098779134295228E-3</c:v>
                </c:pt>
                <c:pt idx="31">
                  <c:v>1.0395010395010396E-3</c:v>
                </c:pt>
                <c:pt idx="32">
                  <c:v>9.7560975609756097E-4</c:v>
                </c:pt>
                <c:pt idx="33">
                  <c:v>9.1743119266055051E-4</c:v>
                </c:pt>
                <c:pt idx="34">
                  <c:v>8.6430423509075197E-4</c:v>
                </c:pt>
                <c:pt idx="35">
                  <c:v>8.1566068515497557E-4</c:v>
                </c:pt>
                <c:pt idx="36">
                  <c:v>7.7101002313030066E-4</c:v>
                </c:pt>
                <c:pt idx="37">
                  <c:v>7.2992700729927003E-4</c:v>
                </c:pt>
                <c:pt idx="38">
                  <c:v>6.9204152249134946E-4</c:v>
                </c:pt>
                <c:pt idx="39">
                  <c:v>6.5703022339027597E-4</c:v>
                </c:pt>
                <c:pt idx="40">
                  <c:v>6.2460961898813238E-4</c:v>
                </c:pt>
                <c:pt idx="41">
                  <c:v>5.9453032104637331E-4</c:v>
                </c:pt>
                <c:pt idx="42">
                  <c:v>5.6657223796033991E-4</c:v>
                </c:pt>
                <c:pt idx="43">
                  <c:v>5.4054054054054055E-4</c:v>
                </c:pt>
                <c:pt idx="44">
                  <c:v>5.1626226122870422E-4</c:v>
                </c:pt>
                <c:pt idx="45">
                  <c:v>4.935834155972359E-4</c:v>
                </c:pt>
                <c:pt idx="46">
                  <c:v>4.7236655644780352E-4</c:v>
                </c:pt>
                <c:pt idx="47">
                  <c:v>4.5248868778280545E-4</c:v>
                </c:pt>
                <c:pt idx="48">
                  <c:v>4.3383947939262471E-4</c:v>
                </c:pt>
                <c:pt idx="49">
                  <c:v>4.1631973355537054E-4</c:v>
                </c:pt>
                <c:pt idx="50">
                  <c:v>3.9984006397441024E-4</c:v>
                </c:pt>
                <c:pt idx="51">
                  <c:v>3.8431975403535742E-4</c:v>
                </c:pt>
                <c:pt idx="52">
                  <c:v>3.6968576709796671E-4</c:v>
                </c:pt>
                <c:pt idx="53">
                  <c:v>3.5587188612099647E-4</c:v>
                </c:pt>
                <c:pt idx="54">
                  <c:v>3.4281796366129587E-4</c:v>
                </c:pt>
                <c:pt idx="55">
                  <c:v>3.3046926635822867E-4</c:v>
                </c:pt>
                <c:pt idx="56">
                  <c:v>3.1877590054191901E-4</c:v>
                </c:pt>
                <c:pt idx="57">
                  <c:v>3.076923076923077E-4</c:v>
                </c:pt>
                <c:pt idx="58">
                  <c:v>2.9717682020802375E-4</c:v>
                </c:pt>
                <c:pt idx="59">
                  <c:v>2.8719126938541069E-4</c:v>
                </c:pt>
                <c:pt idx="60">
                  <c:v>2.7770063871146905E-4</c:v>
                </c:pt>
                <c:pt idx="61">
                  <c:v>2.6867275658248256E-4</c:v>
                </c:pt>
                <c:pt idx="62">
                  <c:v>2.600780234070221E-4</c:v>
                </c:pt>
                <c:pt idx="63">
                  <c:v>2.5188916876574307E-4</c:v>
                </c:pt>
                <c:pt idx="64">
                  <c:v>2.4408103490358799E-4</c:v>
                </c:pt>
                <c:pt idx="65">
                  <c:v>2.3663038334122101E-4</c:v>
                </c:pt>
                <c:pt idx="66">
                  <c:v>2.2951572182694515E-4</c:v>
                </c:pt>
                <c:pt idx="67">
                  <c:v>2.2271714922048998E-4</c:v>
                </c:pt>
                <c:pt idx="68">
                  <c:v>2.1621621621621621E-4</c:v>
                </c:pt>
                <c:pt idx="69">
                  <c:v>2.0999580008399833E-4</c:v>
                </c:pt>
                <c:pt idx="70">
                  <c:v>2.0403999183840033E-4</c:v>
                </c:pt>
                <c:pt idx="71">
                  <c:v>1.9833399444664816E-4</c:v>
                </c:pt>
                <c:pt idx="72">
                  <c:v>1.9286403085824494E-4</c:v>
                </c:pt>
                <c:pt idx="73">
                  <c:v>1.876172607879925E-4</c:v>
                </c:pt>
                <c:pt idx="74">
                  <c:v>1.8258170531312764E-4</c:v>
                </c:pt>
                <c:pt idx="75">
                  <c:v>1.7774617845716317E-4</c:v>
                </c:pt>
                <c:pt idx="76">
                  <c:v>1.7310022503029253E-4</c:v>
                </c:pt>
                <c:pt idx="77">
                  <c:v>1.6863406408094435E-4</c:v>
                </c:pt>
                <c:pt idx="78">
                  <c:v>1.6433853738701725E-4</c:v>
                </c:pt>
                <c:pt idx="79">
                  <c:v>1.6020506247997436E-4</c:v>
                </c:pt>
                <c:pt idx="80">
                  <c:v>1.562255897516013E-4</c:v>
                </c:pt>
                <c:pt idx="81">
                  <c:v>1.5239256324291374E-4</c:v>
                </c:pt>
                <c:pt idx="82">
                  <c:v>1.4869888475836432E-4</c:v>
                </c:pt>
                <c:pt idx="83">
                  <c:v>1.4513788098693758E-4</c:v>
                </c:pt>
                <c:pt idx="84">
                  <c:v>1.4170327334561429E-4</c:v>
                </c:pt>
                <c:pt idx="85">
                  <c:v>1.3838915029061721E-4</c:v>
                </c:pt>
                <c:pt idx="86">
                  <c:v>1.35189941868325E-4</c:v>
                </c:pt>
                <c:pt idx="87">
                  <c:v>1.321003963011889E-4</c:v>
                </c:pt>
                <c:pt idx="88">
                  <c:v>1.291155584247902E-4</c:v>
                </c:pt>
                <c:pt idx="89">
                  <c:v>1.2623074981065388E-4</c:v>
                </c:pt>
                <c:pt idx="90">
                  <c:v>1.2344155042587335E-4</c:v>
                </c:pt>
                <c:pt idx="91">
                  <c:v>1.2074378169524269E-4</c:v>
                </c:pt>
                <c:pt idx="92">
                  <c:v>1.1813349084465446E-4</c:v>
                </c:pt>
                <c:pt idx="93">
                  <c:v>1.1560693641618497E-4</c:v>
                </c:pt>
                <c:pt idx="94">
                  <c:v>1.1316057485572027E-4</c:v>
                </c:pt>
                <c:pt idx="95">
                  <c:v>1.1079104808331487E-4</c:v>
                </c:pt>
                <c:pt idx="96">
                  <c:v>1.0849517196484756E-4</c:v>
                </c:pt>
                <c:pt idx="97">
                  <c:v>1.0626992561105207E-4</c:v>
                </c:pt>
                <c:pt idx="98">
                  <c:v>1.0411244143675169E-4</c:v>
                </c:pt>
                <c:pt idx="99">
                  <c:v>1.0201999591920016E-4</c:v>
                </c:pt>
                <c:pt idx="100">
                  <c:v>9.9990000999900015E-5</c:v>
                </c:pt>
              </c:numCache>
            </c:numRef>
          </c:yVal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Thin-tail</c:v>
                </c:pt>
              </c:strCache>
            </c:strRef>
          </c:tx>
          <c:marker>
            <c:symbol val="none"/>
          </c:marker>
          <c:xVal>
            <c:numRef>
              <c:f>Sheet3!$A$2:$A$102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Sheet3!$C$2:$C$102</c:f>
              <c:numCache>
                <c:formatCode>General</c:formatCode>
                <c:ptCount val="101"/>
                <c:pt idx="0">
                  <c:v>1</c:v>
                </c:pt>
                <c:pt idx="1">
                  <c:v>0.99800199866733308</c:v>
                </c:pt>
                <c:pt idx="2">
                  <c:v>0.99203191483706066</c:v>
                </c:pt>
                <c:pt idx="3">
                  <c:v>0.98216103235830077</c:v>
                </c:pt>
                <c:pt idx="4">
                  <c:v>0.9685065820791976</c:v>
                </c:pt>
                <c:pt idx="5">
                  <c:v>0.95122942450071402</c:v>
                </c:pt>
                <c:pt idx="6">
                  <c:v>0.93053089581120574</c:v>
                </c:pt>
                <c:pt idx="7">
                  <c:v>0.90664890375392093</c:v>
                </c:pt>
                <c:pt idx="8">
                  <c:v>0.87985337914464379</c:v>
                </c:pt>
                <c:pt idx="9">
                  <c:v>0.85044120454023298</c:v>
                </c:pt>
                <c:pt idx="10">
                  <c:v>0.81873075307798182</c:v>
                </c:pt>
                <c:pt idx="11">
                  <c:v>0.78505617755182955</c:v>
                </c:pt>
                <c:pt idx="12">
                  <c:v>0.74976159223904126</c:v>
                </c:pt>
                <c:pt idx="13">
                  <c:v>0.71319528789828224</c:v>
                </c:pt>
                <c:pt idx="14">
                  <c:v>0.67570411396062602</c:v>
                </c:pt>
                <c:pt idx="15">
                  <c:v>0.63762815162177333</c:v>
                </c:pt>
                <c:pt idx="16">
                  <c:v>0.59929578784553839</c:v>
                </c:pt>
                <c:pt idx="17">
                  <c:v>0.56101928384217059</c:v>
                </c:pt>
                <c:pt idx="18">
                  <c:v>0.52309091310250078</c:v>
                </c:pt>
                <c:pt idx="19">
                  <c:v>0.485779724303885</c:v>
                </c:pt>
                <c:pt idx="20">
                  <c:v>0.44932896411722156</c:v>
                </c:pt>
                <c:pt idx="21">
                  <c:v>0.41395417487127412</c:v>
                </c:pt>
                <c:pt idx="22">
                  <c:v>0.37984196285137872</c:v>
                </c:pt>
                <c:pt idx="23">
                  <c:v>0.34714941532451032</c:v>
                </c:pt>
                <c:pt idx="24">
                  <c:v>0.31600412869186256</c:v>
                </c:pt>
                <c:pt idx="25">
                  <c:v>0.28650479686019009</c:v>
                </c:pt>
                <c:pt idx="26">
                  <c:v>0.25872229825964005</c:v>
                </c:pt>
                <c:pt idx="27">
                  <c:v>0.23270121206157107</c:v>
                </c:pt>
                <c:pt idx="28">
                  <c:v>0.20846168908963153</c:v>
                </c:pt>
                <c:pt idx="29">
                  <c:v>0.18600160058690879</c:v>
                </c:pt>
                <c:pt idx="30">
                  <c:v>0.16529888822158653</c:v>
                </c:pt>
                <c:pt idx="31">
                  <c:v>0.14631404122463545</c:v>
                </c:pt>
                <c:pt idx="32">
                  <c:v>0.1289926310365194</c:v>
                </c:pt>
                <c:pt idx="33">
                  <c:v>0.11326783993558948</c:v>
                </c:pt>
                <c:pt idx="34">
                  <c:v>9.9062927446747315E-2</c:v>
                </c:pt>
                <c:pt idx="35">
                  <c:v>8.6293586499370495E-2</c:v>
                </c:pt>
                <c:pt idx="36">
                  <c:v>7.4870149945259742E-2</c:v>
                </c:pt>
                <c:pt idx="37">
                  <c:v>6.4699616813785471E-2</c:v>
                </c:pt>
                <c:pt idx="38">
                  <c:v>5.5687476263269947E-2</c:v>
                </c:pt>
                <c:pt idx="39">
                  <c:v>4.7739315321240997E-2</c:v>
                </c:pt>
                <c:pt idx="40">
                  <c:v>4.0762203978366211E-2</c:v>
                </c:pt>
                <c:pt idx="41">
                  <c:v>3.466585785107644E-2</c:v>
                </c:pt>
                <c:pt idx="42">
                  <c:v>2.9363584347699333E-2</c:v>
                </c:pt>
                <c:pt idx="43">
                  <c:v>2.4773023003314201E-2</c:v>
                </c:pt>
                <c:pt idx="44">
                  <c:v>2.0816694375305884E-2</c:v>
                </c:pt>
                <c:pt idx="45">
                  <c:v>1.7422374639493515E-2</c:v>
                </c:pt>
                <c:pt idx="46">
                  <c:v>1.4523314852706901E-2</c:v>
                </c:pt>
                <c:pt idx="47">
                  <c:v>1.2058324833811458E-2</c:v>
                </c:pt>
                <c:pt idx="48">
                  <c:v>9.9717418613764659E-3</c:v>
                </c:pt>
                <c:pt idx="49">
                  <c:v>8.2133040034485776E-3</c:v>
                </c:pt>
                <c:pt idx="50">
                  <c:v>6.737946999085467E-3</c:v>
                </c:pt>
                <c:pt idx="51">
                  <c:v>5.5055423176963497E-3</c:v>
                </c:pt>
                <c:pt idx="52">
                  <c:v>4.4805924410166193E-3</c:v>
                </c:pt>
                <c:pt idx="53">
                  <c:v>3.6318976453011769E-3</c:v>
                </c:pt>
                <c:pt idx="54">
                  <c:v>2.9322066985015861E-3</c:v>
                </c:pt>
                <c:pt idx="55">
                  <c:v>2.3578620064902329E-3</c:v>
                </c:pt>
                <c:pt idx="56">
                  <c:v>1.8884479079789745E-3</c:v>
                </c:pt>
                <c:pt idx="57">
                  <c:v>1.5064490802475016E-3</c:v>
                </c:pt>
                <c:pt idx="58">
                  <c:v>1.196924414716882E-3</c:v>
                </c:pt>
                <c:pt idx="59">
                  <c:v>9.472002783201107E-4</c:v>
                </c:pt>
                <c:pt idx="60">
                  <c:v>7.465858083766792E-4</c:v>
                </c:pt>
                <c:pt idx="61">
                  <c:v>5.8611180093863849E-4</c:v>
                </c:pt>
                <c:pt idx="62">
                  <c:v>4.5829384344501882E-4</c:v>
                </c:pt>
                <c:pt idx="63">
                  <c:v>3.5691960415178451E-4</c:v>
                </c:pt>
                <c:pt idx="64">
                  <c:v>2.7685961093021247E-4</c:v>
                </c:pt>
                <c:pt idx="65">
                  <c:v>2.1390041536766149E-4</c:v>
                </c:pt>
                <c:pt idx="66">
                  <c:v>1.645987276010448E-4</c:v>
                </c:pt>
                <c:pt idx="67">
                  <c:v>1.2615490517032269E-4</c:v>
                </c:pt>
                <c:pt idx="68">
                  <c:v>9.6304067717034635E-5</c:v>
                </c:pt>
                <c:pt idx="69">
                  <c:v>7.3223071663357404E-5</c:v>
                </c:pt>
                <c:pt idx="70">
                  <c:v>5.5451599432176945E-5</c:v>
                </c:pt>
                <c:pt idx="71">
                  <c:v>4.1825682216961044E-5</c:v>
                </c:pt>
                <c:pt idx="72">
                  <c:v>3.1422071436077321E-5</c:v>
                </c:pt>
                <c:pt idx="73">
                  <c:v>2.3511991273467765E-5</c:v>
                </c:pt>
                <c:pt idx="74">
                  <c:v>1.7522934363135267E-5</c:v>
                </c:pt>
                <c:pt idx="75">
                  <c:v>1.300729765406762E-5</c:v>
                </c:pt>
                <c:pt idx="76">
                  <c:v>9.6167902770005059E-6</c:v>
                </c:pt>
                <c:pt idx="77">
                  <c:v>7.0816756820986886E-6</c:v>
                </c:pt>
                <c:pt idx="78">
                  <c:v>5.1940334740028569E-6</c:v>
                </c:pt>
                <c:pt idx="79">
                  <c:v>3.7943402856560886E-6</c:v>
                </c:pt>
                <c:pt idx="80">
                  <c:v>2.7607725720371986E-6</c:v>
                </c:pt>
                <c:pt idx="81">
                  <c:v>2.0007268868677913E-6</c:v>
                </c:pt>
                <c:pt idx="82">
                  <c:v>1.4441350455752786E-6</c:v>
                </c:pt>
                <c:pt idx="83">
                  <c:v>1.038222958544864E-6</c:v>
                </c:pt>
                <c:pt idx="84">
                  <c:v>7.4342347626117242E-7</c:v>
                </c:pt>
                <c:pt idx="85">
                  <c:v>5.3020612018242907E-7</c:v>
                </c:pt>
                <c:pt idx="86">
                  <c:v>3.7663096559740658E-7</c:v>
                </c:pt>
                <c:pt idx="87">
                  <c:v>2.664711111911444E-7</c:v>
                </c:pt>
                <c:pt idx="88">
                  <c:v>1.8777901831051049E-7</c:v>
                </c:pt>
                <c:pt idx="89">
                  <c:v>1.3179739234671736E-7</c:v>
                </c:pt>
                <c:pt idx="90">
                  <c:v>9.2136008345661349E-8</c:v>
                </c:pt>
                <c:pt idx="91">
                  <c:v>6.4152678054406133E-8</c:v>
                </c:pt>
                <c:pt idx="92">
                  <c:v>4.449006193583829E-8</c:v>
                </c:pt>
                <c:pt idx="93">
                  <c:v>3.0730813151265793E-8</c:v>
                </c:pt>
                <c:pt idx="94">
                  <c:v>2.1142089929801179E-8</c:v>
                </c:pt>
                <c:pt idx="95">
                  <c:v>1.4487204867720514E-8</c:v>
                </c:pt>
                <c:pt idx="96">
                  <c:v>9.8874456569923199E-9</c:v>
                </c:pt>
                <c:pt idx="97">
                  <c:v>6.7211941318892578E-9</c:v>
                </c:pt>
                <c:pt idx="98">
                  <c:v>4.5506306918323602E-9</c:v>
                </c:pt>
                <c:pt idx="99">
                  <c:v>3.0687362654894048E-9</c:v>
                </c:pt>
                <c:pt idx="100">
                  <c:v>2.0611536224385579E-9</c:v>
                </c:pt>
              </c:numCache>
            </c:numRef>
          </c:yVal>
        </c:ser>
        <c:axId val="135656576"/>
        <c:axId val="135658112"/>
      </c:scatterChart>
      <c:valAx>
        <c:axId val="135656576"/>
        <c:scaling>
          <c:orientation val="minMax"/>
          <c:max val="100"/>
        </c:scaling>
        <c:axPos val="b"/>
        <c:numFmt formatCode="General" sourceLinked="1"/>
        <c:tickLblPos val="nextTo"/>
        <c:crossAx val="135658112"/>
        <c:crossesAt val="1.000000000000003E-9"/>
        <c:crossBetween val="midCat"/>
      </c:valAx>
      <c:valAx>
        <c:axId val="135658112"/>
        <c:scaling>
          <c:logBase val="10"/>
          <c:orientation val="minMax"/>
        </c:scaling>
        <c:axPos val="l"/>
        <c:majorGridlines>
          <c:spPr>
            <a:ln w="0">
              <a:solidFill>
                <a:schemeClr val="bg1"/>
              </a:solidFill>
            </a:ln>
          </c:spPr>
        </c:majorGridlines>
        <c:numFmt formatCode="General" sourceLinked="1"/>
        <c:majorTickMark val="in"/>
        <c:tickLblPos val="nextTo"/>
        <c:crossAx val="1356565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2217816146475723"/>
          <c:y val="0.53202354913969052"/>
          <c:w val="0.23817284887581822"/>
          <c:h val="0.16743438320210008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7057174103237099"/>
          <c:y val="5.1400554097404488E-2"/>
          <c:w val="0.78044203849518901"/>
          <c:h val="0.8326195683872849"/>
        </c:manualLayout>
      </c:layout>
      <c:scatterChart>
        <c:scatterStyle val="lineMarker"/>
        <c:ser>
          <c:idx val="0"/>
          <c:order val="0"/>
          <c:tx>
            <c:strRef>
              <c:f>'Sheet1 (2)'!$G$4</c:f>
              <c:strCache>
                <c:ptCount val="1"/>
                <c:pt idx="0">
                  <c:v>delayedExp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'Sheet1 (2)'!$B$5:$B$301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'Sheet1 (2)'!$G$5:$G$301</c:f>
              <c:numCache>
                <c:formatCode>General</c:formatCode>
                <c:ptCount val="297"/>
                <c:pt idx="0">
                  <c:v>4110589.7568878601</c:v>
                </c:pt>
                <c:pt idx="1">
                  <c:v>4113394.3331391383</c:v>
                </c:pt>
                <c:pt idx="2">
                  <c:v>4116471.6856145132</c:v>
                </c:pt>
                <c:pt idx="3">
                  <c:v>4119848.5759472884</c:v>
                </c:pt>
                <c:pt idx="4">
                  <c:v>4123554.4377940251</c:v>
                </c:pt>
                <c:pt idx="5">
                  <c:v>4127621.652902063</c:v>
                </c:pt>
                <c:pt idx="6">
                  <c:v>4132085.8575222399</c:v>
                </c:pt>
                <c:pt idx="7">
                  <c:v>4136986.2828487996</c:v>
                </c:pt>
                <c:pt idx="8">
                  <c:v>4142366.1336771296</c:v>
                </c:pt>
                <c:pt idx="9">
                  <c:v>4148273.010058925</c:v>
                </c:pt>
                <c:pt idx="10">
                  <c:v>4154759.3774175039</c:v>
                </c:pt>
                <c:pt idx="11">
                  <c:v>4161883.091380015</c:v>
                </c:pt>
                <c:pt idx="12">
                  <c:v>4169707.9845076967</c:v>
                </c:pt>
                <c:pt idx="13">
                  <c:v>4178304.5231834934</c:v>
                </c:pt>
                <c:pt idx="14">
                  <c:v>4187750.5441754446</c:v>
                </c:pt>
                <c:pt idx="15">
                  <c:v>4198132.0818667188</c:v>
                </c:pt>
                <c:pt idx="16">
                  <c:v>4209544.2988667535</c:v>
                </c:pt>
                <c:pt idx="17">
                  <c:v>4222092.5347368391</c:v>
                </c:pt>
                <c:pt idx="18">
                  <c:v>4235893.4899290744</c:v>
                </c:pt>
                <c:pt idx="19">
                  <c:v>4251076.5648086555</c:v>
                </c:pt>
                <c:pt idx="20">
                  <c:v>4267785.3768729651</c:v>
                </c:pt>
                <c:pt idx="21">
                  <c:v>4286179.4830711614</c:v>
                </c:pt>
                <c:pt idx="22">
                  <c:v>4306436.3385452284</c:v>
                </c:pt>
                <c:pt idx="23">
                  <c:v>4328753.5282408949</c:v>
                </c:pt>
                <c:pt idx="24">
                  <c:v>4353351.3137531132</c:v>
                </c:pt>
                <c:pt idx="25">
                  <c:v>4380475.544539216</c:v>
                </c:pt>
                <c:pt idx="26">
                  <c:v>4410400.9902805481</c:v>
                </c:pt>
                <c:pt idx="27">
                  <c:v>4443435.1596581331</c:v>
                </c:pt>
                <c:pt idx="28">
                  <c:v>4479922.6799637713</c:v>
                </c:pt>
                <c:pt idx="29">
                  <c:v>4520250.3214169759</c:v>
                </c:pt>
                <c:pt idx="30">
                  <c:v>4564852.7590695666</c:v>
                </c:pt>
                <c:pt idx="31">
                  <c:v>4614219.1724456176</c:v>
                </c:pt>
                <c:pt idx="32">
                  <c:v>4668900.7863437962</c:v>
                </c:pt>
                <c:pt idx="33">
                  <c:v>4729519.4517821586</c:v>
                </c:pt>
                <c:pt idx="34">
                  <c:v>4796777.3477641344</c:v>
                </c:pt>
                <c:pt idx="35">
                  <c:v>4871467.8424592875</c:v>
                </c:pt>
                <c:pt idx="36">
                  <c:v>4954487.470576168</c:v>
                </c:pt>
                <c:pt idx="37">
                  <c:v>5046848.8366979267</c:v>
                </c:pt>
                <c:pt idx="38">
                  <c:v>5149694.0017292183</c:v>
                </c:pt>
                <c:pt idx="39">
                  <c:v>5264307.4875084562</c:v>
                </c:pt>
                <c:pt idx="40">
                  <c:v>5392127.3428300302</c:v>
                </c:pt>
                <c:pt idx="41">
                  <c:v>5534751.5965744406</c:v>
                </c:pt>
                <c:pt idx="42">
                  <c:v>5693935.6405685656</c:v>
                </c:pt>
                <c:pt idx="43">
                  <c:v>5871573.2748533227</c:v>
                </c:pt>
                <c:pt idx="44">
                  <c:v>6069649.7838312592</c:v>
                </c:pt>
                <c:pt idx="45">
                  <c:v>6290148.7646172317</c:v>
                </c:pt>
                <c:pt idx="46">
                  <c:v>6534884.5917254146</c:v>
                </c:pt>
                <c:pt idx="47">
                  <c:v>6805218.495503637</c:v>
                </c:pt>
                <c:pt idx="48">
                  <c:v>7101598.0772299645</c:v>
                </c:pt>
                <c:pt idx="49">
                  <c:v>7422839.9238480516</c:v>
                </c:pt>
                <c:pt idx="50">
                  <c:v>7765061.2462490806</c:v>
                </c:pt>
                <c:pt idx="51">
                  <c:v>8120180.7790432377</c:v>
                </c:pt>
                <c:pt idx="52">
                  <c:v>8473996.4996403847</c:v>
                </c:pt>
                <c:pt idx="53">
                  <c:v>8804082.6092303321</c:v>
                </c:pt>
                <c:pt idx="54">
                  <c:v>9078212.0341952201</c:v>
                </c:pt>
                <c:pt idx="55">
                  <c:v>9254686.2774700131</c:v>
                </c:pt>
                <c:pt idx="56">
                  <c:v>9286495.0215992779</c:v>
                </c:pt>
                <c:pt idx="57">
                  <c:v>9130747.3563137408</c:v>
                </c:pt>
                <c:pt idx="58">
                  <c:v>8762287.3274767809</c:v>
                </c:pt>
                <c:pt idx="59">
                  <c:v>8186260.8417065684</c:v>
                </c:pt>
                <c:pt idx="60">
                  <c:v>7442031.2435052339</c:v>
                </c:pt>
                <c:pt idx="61">
                  <c:v>6594290.5938976863</c:v>
                </c:pt>
                <c:pt idx="62">
                  <c:v>5715249.6882494399</c:v>
                </c:pt>
                <c:pt idx="63">
                  <c:v>4867190.9318123236</c:v>
                </c:pt>
                <c:pt idx="64">
                  <c:v>4092660.1966428454</c:v>
                </c:pt>
                <c:pt idx="65">
                  <c:v>3413399.9967904724</c:v>
                </c:pt>
                <c:pt idx="66">
                  <c:v>2834734.7323270147</c:v>
                </c:pt>
                <c:pt idx="67">
                  <c:v>2351518.980220085</c:v>
                </c:pt>
                <c:pt idx="68">
                  <c:v>1953264.8307606815</c:v>
                </c:pt>
                <c:pt idx="69">
                  <c:v>1627665.5758972417</c:v>
                </c:pt>
                <c:pt idx="70">
                  <c:v>1362642.4769170003</c:v>
                </c:pt>
                <c:pt idx="71">
                  <c:v>1147339.7141184388</c:v>
                </c:pt>
                <c:pt idx="72">
                  <c:v>972477.54135227483</c:v>
                </c:pt>
                <c:pt idx="73">
                  <c:v>830360.56223237538</c:v>
                </c:pt>
                <c:pt idx="74">
                  <c:v>714726.33173372131</c:v>
                </c:pt>
                <c:pt idx="75">
                  <c:v>620538.22943394561</c:v>
                </c:pt>
                <c:pt idx="76">
                  <c:v>543775.39694370143</c:v>
                </c:pt>
                <c:pt idx="77">
                  <c:v>481243.15785265388</c:v>
                </c:pt>
                <c:pt idx="78">
                  <c:v>430411.64641851606</c:v>
                </c:pt>
                <c:pt idx="79">
                  <c:v>389282.52376214304</c:v>
                </c:pt>
                <c:pt idx="80">
                  <c:v>356279.92546560045</c:v>
                </c:pt>
                <c:pt idx="81">
                  <c:v>330159.8765130596</c:v>
                </c:pt>
                <c:pt idx="82">
                  <c:v>309930.88791269966</c:v>
                </c:pt>
                <c:pt idx="83">
                  <c:v>294776.33250871429</c:v>
                </c:pt>
                <c:pt idx="84">
                  <c:v>283965.93158750847</c:v>
                </c:pt>
                <c:pt idx="85">
                  <c:v>276739.89867786539</c:v>
                </c:pt>
                <c:pt idx="86">
                  <c:v>272149.38083696365</c:v>
                </c:pt>
                <c:pt idx="87">
                  <c:v>268854.59086704365</c:v>
                </c:pt>
                <c:pt idx="88">
                  <c:v>264945.5089581405</c:v>
                </c:pt>
                <c:pt idx="89">
                  <c:v>257980.24386056222</c:v>
                </c:pt>
                <c:pt idx="90">
                  <c:v>245544.76813134598</c:v>
                </c:pt>
                <c:pt idx="91">
                  <c:v>226406.74654433399</c:v>
                </c:pt>
                <c:pt idx="92">
                  <c:v>201568.87818835798</c:v>
                </c:pt>
                <c:pt idx="93">
                  <c:v>174078.24193441615</c:v>
                </c:pt>
                <c:pt idx="94">
                  <c:v>147506.28918627856</c:v>
                </c:pt>
                <c:pt idx="95">
                  <c:v>124434.66031669677</c:v>
                </c:pt>
                <c:pt idx="96">
                  <c:v>105987.31819164823</c:v>
                </c:pt>
                <c:pt idx="97">
                  <c:v>92204.386169978723</c:v>
                </c:pt>
                <c:pt idx="98">
                  <c:v>82595.783966904273</c:v>
                </c:pt>
                <c:pt idx="99">
                  <c:v>76500.68091719893</c:v>
                </c:pt>
                <c:pt idx="100">
                  <c:v>73180.326988038811</c:v>
                </c:pt>
                <c:pt idx="101">
                  <c:v>71671.770290805071</c:v>
                </c:pt>
                <c:pt idx="102">
                  <c:v>70508.155220271932</c:v>
                </c:pt>
                <c:pt idx="103">
                  <c:v>67737.65079340442</c:v>
                </c:pt>
                <c:pt idx="104">
                  <c:v>61960.319439282997</c:v>
                </c:pt>
                <c:pt idx="105">
                  <c:v>53800.795895998715</c:v>
                </c:pt>
                <c:pt idx="106">
                  <c:v>45497.807025416871</c:v>
                </c:pt>
                <c:pt idx="107">
                  <c:v>38931.81892425775</c:v>
                </c:pt>
                <c:pt idx="108">
                  <c:v>34757.499094292776</c:v>
                </c:pt>
                <c:pt idx="109">
                  <c:v>32751.894988753251</c:v>
                </c:pt>
                <c:pt idx="110">
                  <c:v>32077.104355142899</c:v>
                </c:pt>
                <c:pt idx="111">
                  <c:v>31183.400055571619</c:v>
                </c:pt>
                <c:pt idx="112">
                  <c:v>28522.280999097133</c:v>
                </c:pt>
                <c:pt idx="113">
                  <c:v>24448.647833767409</c:v>
                </c:pt>
                <c:pt idx="114">
                  <c:v>20839.078048772502</c:v>
                </c:pt>
                <c:pt idx="115">
                  <c:v>18806.700786416266</c:v>
                </c:pt>
                <c:pt idx="116">
                  <c:v>18170.97219085403</c:v>
                </c:pt>
                <c:pt idx="117">
                  <c:v>17681.022328448624</c:v>
                </c:pt>
                <c:pt idx="118">
                  <c:v>15922.028508392772</c:v>
                </c:pt>
                <c:pt idx="119">
                  <c:v>13513.310626972627</c:v>
                </c:pt>
                <c:pt idx="120">
                  <c:v>12014.786992183901</c:v>
                </c:pt>
                <c:pt idx="121">
                  <c:v>11621.552247306261</c:v>
                </c:pt>
                <c:pt idx="122">
                  <c:v>11095.474653140467</c:v>
                </c:pt>
                <c:pt idx="123">
                  <c:v>9594.4238851341543</c:v>
                </c:pt>
                <c:pt idx="124">
                  <c:v>8375.9272306477305</c:v>
                </c:pt>
                <c:pt idx="125">
                  <c:v>8072.219792650214</c:v>
                </c:pt>
                <c:pt idx="126">
                  <c:v>7578.6346403595171</c:v>
                </c:pt>
                <c:pt idx="127">
                  <c:v>6471.1709725650226</c:v>
                </c:pt>
                <c:pt idx="128">
                  <c:v>5967.7773694951347</c:v>
                </c:pt>
                <c:pt idx="129">
                  <c:v>5741.9534728337012</c:v>
                </c:pt>
                <c:pt idx="130">
                  <c:v>4942.0031295287044</c:v>
                </c:pt>
                <c:pt idx="131">
                  <c:v>4561.8597429556257</c:v>
                </c:pt>
                <c:pt idx="132">
                  <c:v>4315.7089776324792</c:v>
                </c:pt>
                <c:pt idx="133">
                  <c:v>3714.6647928539182</c:v>
                </c:pt>
                <c:pt idx="134">
                  <c:v>3570.5904813763445</c:v>
                </c:pt>
                <c:pt idx="135">
                  <c:v>3146.3308627433753</c:v>
                </c:pt>
                <c:pt idx="136">
                  <c:v>2913.7963729241392</c:v>
                </c:pt>
                <c:pt idx="137">
                  <c:v>2650.9758887661669</c:v>
                </c:pt>
                <c:pt idx="138">
                  <c:v>2410.8870539154045</c:v>
                </c:pt>
                <c:pt idx="139">
                  <c:v>2200.8000565787311</c:v>
                </c:pt>
                <c:pt idx="140">
                  <c:v>2022.5123524734026</c:v>
                </c:pt>
                <c:pt idx="141">
                  <c:v>1806.6772907059153</c:v>
                </c:pt>
                <c:pt idx="142">
                  <c:v>1704.5734673699812</c:v>
                </c:pt>
                <c:pt idx="143">
                  <c:v>1499.0750334650106</c:v>
                </c:pt>
                <c:pt idx="144">
                  <c:v>1392.2133291380121</c:v>
                </c:pt>
                <c:pt idx="145">
                  <c:v>1287.5425465717155</c:v>
                </c:pt>
                <c:pt idx="146">
                  <c:v>1143.3879972549485</c:v>
                </c:pt>
                <c:pt idx="147">
                  <c:v>1042.0531543674401</c:v>
                </c:pt>
                <c:pt idx="148">
                  <c:v>969.11679694477834</c:v>
                </c:pt>
                <c:pt idx="149">
                  <c:v>890.09790278067067</c:v>
                </c:pt>
                <c:pt idx="150">
                  <c:v>806.41159053659135</c:v>
                </c:pt>
                <c:pt idx="151">
                  <c:v>729.39754183534251</c:v>
                </c:pt>
                <c:pt idx="152">
                  <c:v>662.2528480753416</c:v>
                </c:pt>
                <c:pt idx="153">
                  <c:v>603.56478650927124</c:v>
                </c:pt>
                <c:pt idx="154">
                  <c:v>551.85396665813948</c:v>
                </c:pt>
                <c:pt idx="155">
                  <c:v>506.23098560805255</c:v>
                </c:pt>
                <c:pt idx="156">
                  <c:v>464.73746082229172</c:v>
                </c:pt>
                <c:pt idx="157">
                  <c:v>423.08555155612214</c:v>
                </c:pt>
                <c:pt idx="158">
                  <c:v>380.62490938070783</c:v>
                </c:pt>
                <c:pt idx="159">
                  <c:v>347.41088455667165</c:v>
                </c:pt>
                <c:pt idx="160">
                  <c:v>321.29212307351804</c:v>
                </c:pt>
                <c:pt idx="161">
                  <c:v>288.1644390824714</c:v>
                </c:pt>
                <c:pt idx="162">
                  <c:v>266.88990414300645</c:v>
                </c:pt>
                <c:pt idx="163">
                  <c:v>239.74488708641977</c:v>
                </c:pt>
                <c:pt idx="164">
                  <c:v>221.36087196940676</c:v>
                </c:pt>
                <c:pt idx="165">
                  <c:v>201.82192079507587</c:v>
                </c:pt>
                <c:pt idx="166">
                  <c:v>182.55929120117534</c:v>
                </c:pt>
                <c:pt idx="167">
                  <c:v>166.09967492194676</c:v>
                </c:pt>
                <c:pt idx="168">
                  <c:v>151.50818724284943</c:v>
                </c:pt>
                <c:pt idx="169">
                  <c:v>138.27880520910389</c:v>
                </c:pt>
                <c:pt idx="170">
                  <c:v>126.67052540580036</c:v>
                </c:pt>
                <c:pt idx="171">
                  <c:v>116.24916480363008</c:v>
                </c:pt>
                <c:pt idx="172">
                  <c:v>105.14101156895759</c:v>
                </c:pt>
                <c:pt idx="173">
                  <c:v>96.40691190129813</c:v>
                </c:pt>
                <c:pt idx="174">
                  <c:v>87.354819959639727</c:v>
                </c:pt>
                <c:pt idx="175">
                  <c:v>80.217405385923556</c:v>
                </c:pt>
                <c:pt idx="176">
                  <c:v>73.26950172305844</c:v>
                </c:pt>
                <c:pt idx="177">
                  <c:v>66.805995088089134</c:v>
                </c:pt>
                <c:pt idx="178">
                  <c:v>60.881969650348573</c:v>
                </c:pt>
                <c:pt idx="179">
                  <c:v>55.21597428126033</c:v>
                </c:pt>
                <c:pt idx="180">
                  <c:v>50.512394498324582</c:v>
                </c:pt>
                <c:pt idx="181">
                  <c:v>45.932256198698887</c:v>
                </c:pt>
                <c:pt idx="182">
                  <c:v>42.083850915469881</c:v>
                </c:pt>
                <c:pt idx="183">
                  <c:v>38.40272151883682</c:v>
                </c:pt>
                <c:pt idx="184">
                  <c:v>34.975181909036152</c:v>
                </c:pt>
                <c:pt idx="185">
                  <c:v>31.761353894171481</c:v>
                </c:pt>
                <c:pt idx="186">
                  <c:v>29.123256631094069</c:v>
                </c:pt>
                <c:pt idx="187">
                  <c:v>26.471334285888467</c:v>
                </c:pt>
                <c:pt idx="188">
                  <c:v>24.125263211460819</c:v>
                </c:pt>
                <c:pt idx="189">
                  <c:v>22.058522376238614</c:v>
                </c:pt>
                <c:pt idx="190">
                  <c:v>20.093977633795831</c:v>
                </c:pt>
                <c:pt idx="191">
                  <c:v>18.362411075033414</c:v>
                </c:pt>
                <c:pt idx="192">
                  <c:v>16.739001346190932</c:v>
                </c:pt>
                <c:pt idx="193">
                  <c:v>15.266749455975757</c:v>
                </c:pt>
                <c:pt idx="194">
                  <c:v>13.88455015385204</c:v>
                </c:pt>
                <c:pt idx="195">
                  <c:v>12.657687853768124</c:v>
                </c:pt>
                <c:pt idx="196">
                  <c:v>11.548146524576428</c:v>
                </c:pt>
                <c:pt idx="197">
                  <c:v>10.560276600117929</c:v>
                </c:pt>
                <c:pt idx="198">
                  <c:v>9.631525936452638</c:v>
                </c:pt>
                <c:pt idx="199">
                  <c:v>8.7800186281247505</c:v>
                </c:pt>
                <c:pt idx="200">
                  <c:v>7.9989957562955185</c:v>
                </c:pt>
                <c:pt idx="201">
                  <c:v>7.2952669763439468</c:v>
                </c:pt>
                <c:pt idx="202">
                  <c:v>6.6585783699739487</c:v>
                </c:pt>
                <c:pt idx="203">
                  <c:v>6.075883783335283</c:v>
                </c:pt>
                <c:pt idx="204">
                  <c:v>5.5303700329851448</c:v>
                </c:pt>
                <c:pt idx="205">
                  <c:v>5.0498224489173174</c:v>
                </c:pt>
                <c:pt idx="206">
                  <c:v>4.5986657084732734</c:v>
                </c:pt>
                <c:pt idx="207">
                  <c:v>4.1952855022489501</c:v>
                </c:pt>
                <c:pt idx="208">
                  <c:v>3.8303739320538681</c:v>
                </c:pt>
                <c:pt idx="209">
                  <c:v>3.493479511584177</c:v>
                </c:pt>
                <c:pt idx="210">
                  <c:v>3.1822282707275917</c:v>
                </c:pt>
                <c:pt idx="211">
                  <c:v>2.9039797237805263</c:v>
                </c:pt>
                <c:pt idx="212">
                  <c:v>2.647745472834091</c:v>
                </c:pt>
                <c:pt idx="213">
                  <c:v>2.4155302016401703</c:v>
                </c:pt>
                <c:pt idx="214">
                  <c:v>2.2025685182409598</c:v>
                </c:pt>
                <c:pt idx="215">
                  <c:v>2.0100848183129556</c:v>
                </c:pt>
                <c:pt idx="216">
                  <c:v>1.8328943344401953</c:v>
                </c:pt>
                <c:pt idx="217">
                  <c:v>1.6705051549973196</c:v>
                </c:pt>
                <c:pt idx="218">
                  <c:v>1.5242315712403718</c:v>
                </c:pt>
                <c:pt idx="219">
                  <c:v>1.3908764551054404</c:v>
                </c:pt>
                <c:pt idx="220">
                  <c:v>1.267211242310718</c:v>
                </c:pt>
                <c:pt idx="221">
                  <c:v>1.156862795218262</c:v>
                </c:pt>
                <c:pt idx="222">
                  <c:v>1.0546687498181142</c:v>
                </c:pt>
                <c:pt idx="223">
                  <c:v>0.96137688465200466</c:v>
                </c:pt>
                <c:pt idx="224">
                  <c:v>0.87677867360059736</c:v>
                </c:pt>
                <c:pt idx="225">
                  <c:v>0.79989157016110701</c:v>
                </c:pt>
                <c:pt idx="226">
                  <c:v>0.7297676245113337</c:v>
                </c:pt>
                <c:pt idx="227">
                  <c:v>0.66567451514209752</c:v>
                </c:pt>
                <c:pt idx="228">
                  <c:v>0.60696435073610289</c:v>
                </c:pt>
                <c:pt idx="229">
                  <c:v>0.55359292711646568</c:v>
                </c:pt>
                <c:pt idx="230">
                  <c:v>0.50492215821933262</c:v>
                </c:pt>
                <c:pt idx="231">
                  <c:v>0.46048345086200776</c:v>
                </c:pt>
                <c:pt idx="232">
                  <c:v>0.41972280920295851</c:v>
                </c:pt>
                <c:pt idx="233">
                  <c:v>0.38288506539712081</c:v>
                </c:pt>
                <c:pt idx="234">
                  <c:v>0.34928075051940866</c:v>
                </c:pt>
                <c:pt idx="235">
                  <c:v>0.31856983914887299</c:v>
                </c:pt>
                <c:pt idx="236">
                  <c:v>0.29053477902304087</c:v>
                </c:pt>
                <c:pt idx="237">
                  <c:v>0.26488576156845617</c:v>
                </c:pt>
                <c:pt idx="238">
                  <c:v>0.24159956557141843</c:v>
                </c:pt>
                <c:pt idx="239">
                  <c:v>0.22029002781165677</c:v>
                </c:pt>
                <c:pt idx="240">
                  <c:v>0.20096192966075743</c:v>
                </c:pt>
                <c:pt idx="241">
                  <c:v>0.18323556369664645</c:v>
                </c:pt>
                <c:pt idx="242">
                  <c:v>0.16717587374636372</c:v>
                </c:pt>
                <c:pt idx="243">
                  <c:v>0.15242418670364752</c:v>
                </c:pt>
                <c:pt idx="244">
                  <c:v>0.13899876392127408</c:v>
                </c:pt>
                <c:pt idx="245">
                  <c:v>0.12679904555005636</c:v>
                </c:pt>
                <c:pt idx="246">
                  <c:v>0.11562895983963946</c:v>
                </c:pt>
                <c:pt idx="247">
                  <c:v>0.10546889898034578</c:v>
                </c:pt>
                <c:pt idx="248">
                  <c:v>9.616751095379715E-2</c:v>
                </c:pt>
                <c:pt idx="249">
                  <c:v>8.7710793703028617E-2</c:v>
                </c:pt>
                <c:pt idx="250">
                  <c:v>7.9991339355318783E-2</c:v>
                </c:pt>
                <c:pt idx="251">
                  <c:v>7.2953681327835126E-2</c:v>
                </c:pt>
                <c:pt idx="252">
                  <c:v>6.6546882051420397E-2</c:v>
                </c:pt>
                <c:pt idx="253">
                  <c:v>6.0679358882768257E-2</c:v>
                </c:pt>
                <c:pt idx="254">
                  <c:v>5.5351829204535262E-2</c:v>
                </c:pt>
                <c:pt idx="255">
                  <c:v>5.048066937792943E-2</c:v>
                </c:pt>
                <c:pt idx="256">
                  <c:v>4.6030709430306758E-2</c:v>
                </c:pt>
                <c:pt idx="257">
                  <c:v>4.1988195873406187E-2</c:v>
                </c:pt>
                <c:pt idx="258">
                  <c:v>3.8288487326098831E-2</c:v>
                </c:pt>
                <c:pt idx="259">
                  <c:v>3.4918270590927988E-2</c:v>
                </c:pt>
                <c:pt idx="260">
                  <c:v>3.1847265321413333E-2</c:v>
                </c:pt>
                <c:pt idx="261">
                  <c:v>2.9045097608743204E-2</c:v>
                </c:pt>
                <c:pt idx="262">
                  <c:v>2.6489895504038199E-2</c:v>
                </c:pt>
                <c:pt idx="263">
                  <c:v>2.4160947491820916E-2</c:v>
                </c:pt>
                <c:pt idx="264">
                  <c:v>2.2035206786006376E-2</c:v>
                </c:pt>
                <c:pt idx="265">
                  <c:v>2.0093854540112012E-2</c:v>
                </c:pt>
                <c:pt idx="266">
                  <c:v>1.8328166014974157E-2</c:v>
                </c:pt>
                <c:pt idx="267">
                  <c:v>1.6715345507532006E-2</c:v>
                </c:pt>
                <c:pt idx="268">
                  <c:v>1.5244613171875235E-2</c:v>
                </c:pt>
                <c:pt idx="269">
                  <c:v>1.3902736335854505E-2</c:v>
                </c:pt>
                <c:pt idx="270">
                  <c:v>1.2679718036881048E-2</c:v>
                </c:pt>
                <c:pt idx="271">
                  <c:v>1.1563738146759478E-2</c:v>
                </c:pt>
                <c:pt idx="272">
                  <c:v>1.0546551525054456E-2</c:v>
                </c:pt>
                <c:pt idx="273">
                  <c:v>9.6183765289972259E-3</c:v>
                </c:pt>
                <c:pt idx="274">
                  <c:v>8.7714545082892229E-3</c:v>
                </c:pt>
                <c:pt idx="275">
                  <c:v>7.9999878685956382E-3</c:v>
                </c:pt>
                <c:pt idx="276">
                  <c:v>7.2963226253110487E-3</c:v>
                </c:pt>
                <c:pt idx="277">
                  <c:v>6.6543574376892681E-3</c:v>
                </c:pt>
                <c:pt idx="278">
                  <c:v>6.0688504458140391E-3</c:v>
                </c:pt>
                <c:pt idx="279">
                  <c:v>5.5347488602856395E-3</c:v>
                </c:pt>
                <c:pt idx="280">
                  <c:v>5.0478315206719474E-3</c:v>
                </c:pt>
                <c:pt idx="281">
                  <c:v>4.6034145483566501E-3</c:v>
                </c:pt>
                <c:pt idx="282">
                  <c:v>4.1983452225710267E-3</c:v>
                </c:pt>
                <c:pt idx="283">
                  <c:v>3.828923634168807E-3</c:v>
                </c:pt>
                <c:pt idx="284">
                  <c:v>3.492213384255323E-3</c:v>
                </c:pt>
                <c:pt idx="285">
                  <c:v>3.1848412837557458E-3</c:v>
                </c:pt>
                <c:pt idx="286">
                  <c:v>2.9046635342231289E-3</c:v>
                </c:pt>
                <c:pt idx="287">
                  <c:v>2.6490667468734401E-3</c:v>
                </c:pt>
                <c:pt idx="288">
                  <c:v>2.4159938796265777E-3</c:v>
                </c:pt>
                <c:pt idx="289">
                  <c:v>2.2033958162290808E-3</c:v>
                </c:pt>
                <c:pt idx="290">
                  <c:v>2.0095358877587825E-3</c:v>
                </c:pt>
                <c:pt idx="291">
                  <c:v>1.8327297268596748E-3</c:v>
                </c:pt>
                <c:pt idx="292">
                  <c:v>1.6714365335213613E-3</c:v>
                </c:pt>
                <c:pt idx="293">
                  <c:v>1.5243401510224195E-3</c:v>
                </c:pt>
                <c:pt idx="294">
                  <c:v>1.3902151118177304E-3</c:v>
                </c:pt>
                <c:pt idx="295">
                  <c:v>1.2679074085928913E-3</c:v>
                </c:pt>
                <c:pt idx="296">
                  <c:v>1.1563496347758728E-3</c:v>
                </c:pt>
              </c:numCache>
            </c:numRef>
          </c:yVal>
        </c:ser>
        <c:ser>
          <c:idx val="2"/>
          <c:order val="1"/>
          <c:tx>
            <c:strRef>
              <c:f>'Sheet1 (2)'!$E$4</c:f>
              <c:strCache>
                <c:ptCount val="1"/>
                <c:pt idx="0">
                  <c:v>Cauchy</c:v>
                </c:pt>
              </c:strCache>
            </c:strRef>
          </c:tx>
          <c:spPr>
            <a:ln w="38100">
              <a:solidFill>
                <a:srgbClr val="29F733"/>
              </a:solidFill>
              <a:prstDash val="sysDash"/>
            </a:ln>
          </c:spPr>
          <c:marker>
            <c:symbol val="none"/>
          </c:marker>
          <c:xVal>
            <c:numRef>
              <c:f>'Sheet1 (2)'!$B$5:$B$301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'Sheet1 (2)'!$E$5:$E$301</c:f>
              <c:numCache>
                <c:formatCode>General</c:formatCode>
                <c:ptCount val="297"/>
                <c:pt idx="0">
                  <c:v>27442680.185027219</c:v>
                </c:pt>
                <c:pt idx="1">
                  <c:v>27596820.04636823</c:v>
                </c:pt>
                <c:pt idx="2">
                  <c:v>27759428.378414139</c:v>
                </c:pt>
                <c:pt idx="3">
                  <c:v>27931031.091401398</c:v>
                </c:pt>
                <c:pt idx="4">
                  <c:v>28112192.755840376</c:v>
                </c:pt>
                <c:pt idx="5">
                  <c:v>28303520.018018361</c:v>
                </c:pt>
                <c:pt idx="6">
                  <c:v>28505665.369844977</c:v>
                </c:pt>
                <c:pt idx="7">
                  <c:v>28719331.314477481</c:v>
                </c:pt>
                <c:pt idx="8">
                  <c:v>28945274.974386066</c:v>
                </c:pt>
                <c:pt idx="9">
                  <c:v>29184313.194410592</c:v>
                </c:pt>
                <c:pt idx="10">
                  <c:v>29437328.198993448</c:v>
                </c:pt>
                <c:pt idx="11">
                  <c:v>29705273.87022749</c:v>
                </c:pt>
                <c:pt idx="12">
                  <c:v>29989182.721710186</c:v>
                </c:pt>
                <c:pt idx="13">
                  <c:v>30290173.652516864</c:v>
                </c:pt>
                <c:pt idx="14">
                  <c:v>30609460.575959269</c:v>
                </c:pt>
                <c:pt idx="15">
                  <c:v>30948362.029214393</c:v>
                </c:pt>
                <c:pt idx="16">
                  <c:v>31308311.882393014</c:v>
                </c:pt>
                <c:pt idx="17">
                  <c:v>31690871.279097371</c:v>
                </c:pt>
                <c:pt idx="18">
                  <c:v>32097741.954831555</c:v>
                </c:pt>
                <c:pt idx="19">
                  <c:v>32530781.094458956</c:v>
                </c:pt>
                <c:pt idx="20">
                  <c:v>32992017.904717315</c:v>
                </c:pt>
                <c:pt idx="21">
                  <c:v>33483672.091741856</c:v>
                </c:pt>
                <c:pt idx="22">
                  <c:v>34008174.44528158</c:v>
                </c:pt>
                <c:pt idx="23">
                  <c:v>34568189.738811508</c:v>
                </c:pt>
                <c:pt idx="24">
                  <c:v>35166642.155048795</c:v>
                </c:pt>
                <c:pt idx="25">
                  <c:v>35806743.435081042</c:v>
                </c:pt>
                <c:pt idx="26">
                  <c:v>36492023.92000144</c:v>
                </c:pt>
                <c:pt idx="27">
                  <c:v>37226366.597365953</c:v>
                </c:pt>
                <c:pt idx="28">
                  <c:v>38014044.167616494</c:v>
                </c:pt>
                <c:pt idx="29">
                  <c:v>38859758.988791063</c:v>
                </c:pt>
                <c:pt idx="30">
                  <c:v>39768685.514165699</c:v>
                </c:pt>
                <c:pt idx="31">
                  <c:v>40746514.468317121</c:v>
                </c:pt>
                <c:pt idx="32">
                  <c:v>41799497.457796931</c:v>
                </c:pt>
                <c:pt idx="33">
                  <c:v>42934489.90619316</c:v>
                </c:pt>
                <c:pt idx="34">
                  <c:v>44158989.032065101</c:v>
                </c:pt>
                <c:pt idx="35">
                  <c:v>45481161.902346402</c:v>
                </c:pt>
                <c:pt idx="36">
                  <c:v>46909856.187464051</c:v>
                </c:pt>
                <c:pt idx="37">
                  <c:v>48454582.838614158</c:v>
                </c:pt>
                <c:pt idx="38">
                  <c:v>50125455.132053718</c:v>
                </c:pt>
                <c:pt idx="39">
                  <c:v>51933061.903420031</c:v>
                </c:pt>
                <c:pt idx="40">
                  <c:v>53888243.743247613</c:v>
                </c:pt>
                <c:pt idx="41">
                  <c:v>56001728.786473095</c:v>
                </c:pt>
                <c:pt idx="42">
                  <c:v>58283568.885905527</c:v>
                </c:pt>
                <c:pt idx="43">
                  <c:v>60742297.097364791</c:v>
                </c:pt>
                <c:pt idx="44">
                  <c:v>63383704.055139005</c:v>
                </c:pt>
                <c:pt idx="45">
                  <c:v>66209106.386053264</c:v>
                </c:pt>
                <c:pt idx="46">
                  <c:v>69212960.85181208</c:v>
                </c:pt>
                <c:pt idx="47">
                  <c:v>72379675.915418223</c:v>
                </c:pt>
                <c:pt idx="48">
                  <c:v>75679510.64660801</c:v>
                </c:pt>
                <c:pt idx="49">
                  <c:v>79063566.242502242</c:v>
                </c:pt>
                <c:pt idx="50">
                  <c:v>82458119.954861417</c:v>
                </c:pt>
                <c:pt idx="51">
                  <c:v>85758982.570003599</c:v>
                </c:pt>
                <c:pt idx="52">
                  <c:v>88827209.715892226</c:v>
                </c:pt>
                <c:pt idx="53">
                  <c:v>91488298.609631941</c:v>
                </c:pt>
                <c:pt idx="54">
                  <c:v>93537688.021162972</c:v>
                </c:pt>
                <c:pt idx="55">
                  <c:v>94755396.198116496</c:v>
                </c:pt>
                <c:pt idx="56">
                  <c:v>94931223.402643442</c:v>
                </c:pt>
                <c:pt idx="57">
                  <c:v>93898604.714318395</c:v>
                </c:pt>
                <c:pt idx="58">
                  <c:v>91570470.571460932</c:v>
                </c:pt>
                <c:pt idx="59">
                  <c:v>87966532.255521759</c:v>
                </c:pt>
                <c:pt idx="60">
                  <c:v>83221347.629819319</c:v>
                </c:pt>
                <c:pt idx="61">
                  <c:v>77568003.553912535</c:v>
                </c:pt>
                <c:pt idx="62">
                  <c:v>71301287.579506278</c:v>
                </c:pt>
                <c:pt idx="63">
                  <c:v>64731818.903140508</c:v>
                </c:pt>
                <c:pt idx="64">
                  <c:v>58144500.292343453</c:v>
                </c:pt>
                <c:pt idx="65">
                  <c:v>51770586.680011414</c:v>
                </c:pt>
                <c:pt idx="66">
                  <c:v>45776001.836876042</c:v>
                </c:pt>
                <c:pt idx="67">
                  <c:v>40263096.171144195</c:v>
                </c:pt>
                <c:pt idx="68">
                  <c:v>35280621.881824329</c:v>
                </c:pt>
                <c:pt idx="69">
                  <c:v>30836917.74545886</c:v>
                </c:pt>
                <c:pt idx="70">
                  <c:v>26912815.44925138</c:v>
                </c:pt>
                <c:pt idx="71">
                  <c:v>23472452.009625949</c:v>
                </c:pt>
                <c:pt idx="72">
                  <c:v>20471424.053730935</c:v>
                </c:pt>
                <c:pt idx="73">
                  <c:v>17862441.955477145</c:v>
                </c:pt>
                <c:pt idx="74">
                  <c:v>15598951.158767624</c:v>
                </c:pt>
                <c:pt idx="75">
                  <c:v>13637247.183282442</c:v>
                </c:pt>
                <c:pt idx="76">
                  <c:v>11937549.516666554</c:v>
                </c:pt>
                <c:pt idx="77">
                  <c:v>10464398.271515932</c:v>
                </c:pt>
                <c:pt idx="78">
                  <c:v>9186637.0747450814</c:v>
                </c:pt>
                <c:pt idx="79">
                  <c:v>8077162.446520973</c:v>
                </c:pt>
                <c:pt idx="80">
                  <c:v>7112557.2748582987</c:v>
                </c:pt>
                <c:pt idx="81">
                  <c:v>6272681.6527121896</c:v>
                </c:pt>
                <c:pt idx="82">
                  <c:v>5540264.3569244817</c:v>
                </c:pt>
                <c:pt idx="83">
                  <c:v>4900518.7128354218</c:v>
                </c:pt>
                <c:pt idx="84">
                  <c:v>4340794.3027319713</c:v>
                </c:pt>
                <c:pt idx="85">
                  <c:v>3850268.5415721424</c:v>
                </c:pt>
                <c:pt idx="86">
                  <c:v>3419677.8596964208</c:v>
                </c:pt>
                <c:pt idx="87">
                  <c:v>3041085.9399484009</c:v>
                </c:pt>
                <c:pt idx="88">
                  <c:v>2707685.3869985938</c:v>
                </c:pt>
                <c:pt idx="89">
                  <c:v>2413628.8618533872</c:v>
                </c:pt>
                <c:pt idx="90">
                  <c:v>2153885.779005284</c:v>
                </c:pt>
                <c:pt idx="91">
                  <c:v>1924120.9418896954</c:v>
                </c:pt>
                <c:pt idx="92">
                  <c:v>1720591.8661815424</c:v>
                </c:pt>
                <c:pt idx="93">
                  <c:v>1540061.9411091683</c:v>
                </c:pt>
                <c:pt idx="94">
                  <c:v>1379726.9681922449</c:v>
                </c:pt>
                <c:pt idx="95">
                  <c:v>1237152.9751965341</c:v>
                </c:pt>
                <c:pt idx="96">
                  <c:v>1110223.5224066351</c:v>
                </c:pt>
                <c:pt idx="97">
                  <c:v>997094.99674559291</c:v>
                </c:pt>
                <c:pt idx="98">
                  <c:v>896158.6285228529</c:v>
                </c:pt>
                <c:pt idx="99">
                  <c:v>806008.16910049191</c:v>
                </c:pt>
                <c:pt idx="100">
                  <c:v>725412.33964585641</c:v>
                </c:pt>
                <c:pt idx="101">
                  <c:v>653291.3055874859</c:v>
                </c:pt>
                <c:pt idx="102">
                  <c:v>588696.55237993645</c:v>
                </c:pt>
                <c:pt idx="103">
                  <c:v>530793.63930189912</c:v>
                </c:pt>
                <c:pt idx="104">
                  <c:v>478847.39241487248</c:v>
                </c:pt>
                <c:pt idx="105">
                  <c:v>432209.16821796237</c:v>
                </c:pt>
                <c:pt idx="106">
                  <c:v>390305.87826456898</c:v>
                </c:pt>
                <c:pt idx="107">
                  <c:v>352630.51401295402</c:v>
                </c:pt>
                <c:pt idx="108">
                  <c:v>318733.95210271445</c:v>
                </c:pt>
                <c:pt idx="109">
                  <c:v>288217.85444937722</c:v>
                </c:pt>
                <c:pt idx="110">
                  <c:v>260728.50616565367</c:v>
                </c:pt>
                <c:pt idx="111">
                  <c:v>235951.45829335426</c:v>
                </c:pt>
                <c:pt idx="112">
                  <c:v>213606.86244570583</c:v>
                </c:pt>
                <c:pt idx="113">
                  <c:v>193445.40136297455</c:v>
                </c:pt>
                <c:pt idx="114">
                  <c:v>175244.7336105881</c:v>
                </c:pt>
                <c:pt idx="115">
                  <c:v>158806.38264210595</c:v>
                </c:pt>
                <c:pt idx="116">
                  <c:v>143953.0105770306</c:v>
                </c:pt>
                <c:pt idx="117">
                  <c:v>130526.02561052493</c:v>
                </c:pt>
                <c:pt idx="118">
                  <c:v>118383.47923160064</c:v>
                </c:pt>
                <c:pt idx="119">
                  <c:v>107398.21558864671</c:v>
                </c:pt>
                <c:pt idx="120">
                  <c:v>97456.240581216131</c:v>
                </c:pt>
                <c:pt idx="121">
                  <c:v>88455.282720590694</c:v>
                </c:pt>
                <c:pt idx="122">
                  <c:v>80303.521610458614</c:v>
                </c:pt>
                <c:pt idx="123">
                  <c:v>72918.463154698722</c:v>
                </c:pt>
                <c:pt idx="124">
                  <c:v>66225.943386887782</c:v>
                </c:pt>
                <c:pt idx="125">
                  <c:v>60159.245207008811</c:v>
                </c:pt>
                <c:pt idx="126">
                  <c:v>54658.314364862053</c:v>
                </c:pt>
                <c:pt idx="127">
                  <c:v>49669.06279720326</c:v>
                </c:pt>
                <c:pt idx="128">
                  <c:v>45142.748949091423</c:v>
                </c:pt>
                <c:pt idx="129">
                  <c:v>41035.426025108929</c:v>
                </c:pt>
                <c:pt idx="130">
                  <c:v>37307.450253285519</c:v>
                </c:pt>
                <c:pt idx="131">
                  <c:v>33923.042229309176</c:v>
                </c:pt>
                <c:pt idx="132">
                  <c:v>30849.895262675338</c:v>
                </c:pt>
                <c:pt idx="133">
                  <c:v>28058.825388241101</c:v>
                </c:pt>
                <c:pt idx="134">
                  <c:v>25523.458351915171</c:v>
                </c:pt>
                <c:pt idx="135">
                  <c:v>23219.949441286499</c:v>
                </c:pt>
                <c:pt idx="136">
                  <c:v>21126.732522290367</c:v>
                </c:pt>
                <c:pt idx="137">
                  <c:v>19224.295071281842</c:v>
                </c:pt>
                <c:pt idx="138">
                  <c:v>17494.976366475392</c:v>
                </c:pt>
                <c:pt idx="139">
                  <c:v>15922.786330781115</c:v>
                </c:pt>
                <c:pt idx="140">
                  <c:v>14493.242805761965</c:v>
                </c:pt>
                <c:pt idx="141">
                  <c:v>13193.22528904243</c:v>
                </c:pt>
                <c:pt idx="142">
                  <c:v>12010.843389563908</c:v>
                </c:pt>
                <c:pt idx="143">
                  <c:v>10935.318450535837</c:v>
                </c:pt>
                <c:pt idx="144">
                  <c:v>9956.8769621603988</c:v>
                </c:pt>
                <c:pt idx="145">
                  <c:v>9066.6545381476608</c:v>
                </c:pt>
                <c:pt idx="146">
                  <c:v>8256.6093642244141</c:v>
                </c:pt>
                <c:pt idx="147">
                  <c:v>7519.4441454776361</c:v>
                </c:pt>
                <c:pt idx="148">
                  <c:v>6848.5356843738073</c:v>
                </c:pt>
                <c:pt idx="149">
                  <c:v>6237.8713143225095</c:v>
                </c:pt>
                <c:pt idx="150">
                  <c:v>5681.9914961532077</c:v>
                </c:pt>
                <c:pt idx="151">
                  <c:v>5175.937958111268</c:v>
                </c:pt>
                <c:pt idx="152">
                  <c:v>4715.2068250549655</c:v>
                </c:pt>
                <c:pt idx="153">
                  <c:v>4295.7062404111357</c:v>
                </c:pt>
                <c:pt idx="154">
                  <c:v>3913.7180359672539</c:v>
                </c:pt>
                <c:pt idx="155">
                  <c:v>3565.8630504789103</c:v>
                </c:pt>
                <c:pt idx="156">
                  <c:v>3249.0697390021483</c:v>
                </c:pt>
                <c:pt idx="157">
                  <c:v>2960.5457513872716</c:v>
                </c:pt>
                <c:pt idx="158">
                  <c:v>2697.7521909951106</c:v>
                </c:pt>
                <c:pt idx="159">
                  <c:v>2458.3802938570102</c:v>
                </c:pt>
                <c:pt idx="160">
                  <c:v>2240.3302945841933</c:v>
                </c:pt>
                <c:pt idx="161">
                  <c:v>2041.6922686810467</c:v>
                </c:pt>
                <c:pt idx="162">
                  <c:v>1860.7287618328621</c:v>
                </c:pt>
                <c:pt idx="163">
                  <c:v>1695.8590354870321</c:v>
                </c:pt>
                <c:pt idx="164">
                  <c:v>1545.6447748640603</c:v>
                </c:pt>
                <c:pt idx="165">
                  <c:v>1408.7771206289567</c:v>
                </c:pt>
                <c:pt idx="166">
                  <c:v>1284.0648990099066</c:v>
                </c:pt>
                <c:pt idx="167">
                  <c:v>1170.4239373334515</c:v>
                </c:pt>
                <c:pt idx="168">
                  <c:v>1066.8673628991719</c:v>
                </c:pt>
                <c:pt idx="169">
                  <c:v>972.49679297161401</c:v>
                </c:pt>
                <c:pt idx="170">
                  <c:v>886.49433253789266</c:v>
                </c:pt>
                <c:pt idx="171">
                  <c:v>808.11530446846689</c:v>
                </c:pt>
                <c:pt idx="172">
                  <c:v>736.6816439171937</c:v>
                </c:pt>
                <c:pt idx="173">
                  <c:v>671.57589528637914</c:v>
                </c:pt>
                <c:pt idx="174">
                  <c:v>612.23575593556927</c:v>
                </c:pt>
                <c:pt idx="175">
                  <c:v>558.14911609425542</c:v>
                </c:pt>
                <c:pt idx="176">
                  <c:v>508.84954920617895</c:v>
                </c:pt>
                <c:pt idx="177">
                  <c:v>463.91221123853768</c:v>
                </c:pt>
                <c:pt idx="178">
                  <c:v>422.95011137921705</c:v>
                </c:pt>
                <c:pt idx="179">
                  <c:v>385.61072006092434</c:v>
                </c:pt>
                <c:pt idx="180">
                  <c:v>351.57288342972396</c:v>
                </c:pt>
                <c:pt idx="181">
                  <c:v>320.54401625051463</c:v>
                </c:pt>
                <c:pt idx="182">
                  <c:v>292.25754784320122</c:v>
                </c:pt>
                <c:pt idx="183">
                  <c:v>266.47059799765498</c:v>
                </c:pt>
                <c:pt idx="184">
                  <c:v>242.96186194705314</c:v>
                </c:pt>
                <c:pt idx="185">
                  <c:v>221.52968540958682</c:v>
                </c:pt>
                <c:pt idx="186">
                  <c:v>201.99031245729586</c:v>
                </c:pt>
                <c:pt idx="187">
                  <c:v>184.1762905554383</c:v>
                </c:pt>
                <c:pt idx="188">
                  <c:v>167.93501855217269</c:v>
                </c:pt>
                <c:pt idx="189">
                  <c:v>153.12742470059175</c:v>
                </c:pt>
                <c:pt idx="190">
                  <c:v>139.62676297615494</c:v>
                </c:pt>
                <c:pt idx="191">
                  <c:v>127.31751702382857</c:v>
                </c:pt>
                <c:pt idx="192">
                  <c:v>116.09440204121951</c:v>
                </c:pt>
                <c:pt idx="193">
                  <c:v>105.86145578604554</c:v>
                </c:pt>
                <c:pt idx="194">
                  <c:v>96.53121069694032</c:v>
                </c:pt>
                <c:pt idx="195">
                  <c:v>88.023939843472604</c:v>
                </c:pt>
                <c:pt idx="196">
                  <c:v>80.266970081325027</c:v>
                </c:pt>
                <c:pt idx="197">
                  <c:v>73.194056388055785</c:v>
                </c:pt>
                <c:pt idx="198">
                  <c:v>66.744811899439782</c:v>
                </c:pt>
                <c:pt idx="199">
                  <c:v>60.864188661141469</c:v>
                </c:pt>
                <c:pt idx="200">
                  <c:v>55.502004560066915</c:v>
                </c:pt>
                <c:pt idx="201">
                  <c:v>50.61251230834813</c:v>
                </c:pt>
                <c:pt idx="202">
                  <c:v>46.154006724324688</c:v>
                </c:pt>
                <c:pt idx="203">
                  <c:v>42.088466892545796</c:v>
                </c:pt>
                <c:pt idx="204">
                  <c:v>38.381230091823483</c:v>
                </c:pt>
                <c:pt idx="205">
                  <c:v>35.000694659551215</c:v>
                </c:pt>
                <c:pt idx="206">
                  <c:v>31.918049214407439</c:v>
                </c:pt>
                <c:pt idx="207">
                  <c:v>29.107025890515761</c:v>
                </c:pt>
                <c:pt idx="208">
                  <c:v>26.543675446225798</c:v>
                </c:pt>
                <c:pt idx="209">
                  <c:v>24.206162301821543</c:v>
                </c:pt>
                <c:pt idx="210">
                  <c:v>22.074577734379925</c:v>
                </c:pt>
                <c:pt idx="211">
                  <c:v>20.130769616265585</c:v>
                </c:pt>
                <c:pt idx="212">
                  <c:v>18.358187227776291</c:v>
                </c:pt>
                <c:pt idx="213">
                  <c:v>16.741739805544473</c:v>
                </c:pt>
                <c:pt idx="214">
                  <c:v>15.267667607622279</c:v>
                </c:pt>
                <c:pt idx="215">
                  <c:v>13.923424384799086</c:v>
                </c:pt>
                <c:pt idx="216">
                  <c:v>12.697570246589903</c:v>
                </c:pt>
                <c:pt idx="217">
                  <c:v>11.579674000365813</c:v>
                </c:pt>
                <c:pt idx="218">
                  <c:v>10.560224124077314</c:v>
                </c:pt>
                <c:pt idx="219">
                  <c:v>9.6305476076712484</c:v>
                </c:pt>
                <c:pt idx="220">
                  <c:v>8.7827359662821216</c:v>
                </c:pt>
                <c:pt idx="221">
                  <c:v>8.0095777901903471</c:v>
                </c:pt>
                <c:pt idx="222">
                  <c:v>7.304497252926855</c:v>
                </c:pt>
                <c:pt idx="223">
                  <c:v>6.6614980502632362</c:v>
                </c:pt>
                <c:pt idx="224">
                  <c:v>6.0751122896085956</c:v>
                </c:pt>
                <c:pt idx="225">
                  <c:v>5.5403538919504784</c:v>
                </c:pt>
                <c:pt idx="226">
                  <c:v>5.0526761072988746</c:v>
                </c:pt>
                <c:pt idx="227">
                  <c:v>4.6079327799607421</c:v>
                </c:pt>
                <c:pt idx="228">
                  <c:v>4.2023430321950439</c:v>
                </c:pt>
                <c:pt idx="229">
                  <c:v>3.8324590641570224</c:v>
                </c:pt>
                <c:pt idx="230">
                  <c:v>3.4951367947907372</c:v>
                </c:pt>
                <c:pt idx="231">
                  <c:v>3.1875090927032046</c:v>
                </c:pt>
                <c:pt idx="232">
                  <c:v>2.9069613682645921</c:v>
                </c:pt>
                <c:pt idx="233">
                  <c:v>2.6511093184184897</c:v>
                </c:pt>
                <c:pt idx="234">
                  <c:v>2.417778634131031</c:v>
                </c:pt>
                <c:pt idx="235">
                  <c:v>2.2049864972164572</c:v>
                </c:pt>
                <c:pt idx="236">
                  <c:v>2.0109247085959314</c:v>
                </c:pt>
                <c:pt idx="237">
                  <c:v>1.8339443040078078</c:v>
                </c:pt>
                <c:pt idx="238">
                  <c:v>1.6725415259125691</c:v>
                </c:pt>
                <c:pt idx="239">
                  <c:v>1.5253450319333519</c:v>
                </c:pt>
                <c:pt idx="240">
                  <c:v>1.3911042307443333</c:v>
                </c:pt>
                <c:pt idx="241">
                  <c:v>1.2686786459545594</c:v>
                </c:pt>
                <c:pt idx="242">
                  <c:v>1.1570282173178728</c:v>
                </c:pt>
                <c:pt idx="243">
                  <c:v>1.0552044566054126</c:v>
                </c:pt>
                <c:pt idx="244">
                  <c:v>0.96234238277513617</c:v>
                </c:pt>
                <c:pt idx="245">
                  <c:v>0.87765316772539381</c:v>
                </c:pt>
                <c:pt idx="246">
                  <c:v>0.80041742998406817</c:v>
                </c:pt>
                <c:pt idx="247">
                  <c:v>0.72997911921331948</c:v>
                </c:pt>
                <c:pt idx="248">
                  <c:v>0.66573993944992715</c:v>
                </c:pt>
                <c:pt idx="249">
                  <c:v>0.60715426359594171</c:v>
                </c:pt>
                <c:pt idx="250">
                  <c:v>0.55372449586314887</c:v>
                </c:pt>
                <c:pt idx="251">
                  <c:v>0.50499684269379019</c:v>
                </c:pt>
                <c:pt idx="252">
                  <c:v>0.46055745616160809</c:v>
                </c:pt>
                <c:pt idx="253">
                  <c:v>0.42002891703159034</c:v>
                </c:pt>
                <c:pt idx="254">
                  <c:v>0.38306702755084032</c:v>
                </c:pt>
                <c:pt idx="255">
                  <c:v>0.34935788668164625</c:v>
                </c:pt>
                <c:pt idx="256">
                  <c:v>0.31861522289357741</c:v>
                </c:pt>
                <c:pt idx="257">
                  <c:v>0.29057796182494489</c:v>
                </c:pt>
                <c:pt idx="258">
                  <c:v>0.26500800812391268</c:v>
                </c:pt>
                <c:pt idx="259">
                  <c:v>0.2416882226030943</c:v>
                </c:pt>
                <c:pt idx="260">
                  <c:v>0.22042057750415012</c:v>
                </c:pt>
                <c:pt idx="261">
                  <c:v>0.20102447418495004</c:v>
                </c:pt>
                <c:pt idx="262">
                  <c:v>0.18333520892421412</c:v>
                </c:pt>
                <c:pt idx="263">
                  <c:v>0.16720257379899919</c:v>
                </c:pt>
                <c:pt idx="264">
                  <c:v>0.15248958073972391</c:v>
                </c:pt>
                <c:pt idx="265">
                  <c:v>0.13907129791541806</c:v>
                </c:pt>
                <c:pt idx="266">
                  <c:v>0.12683378855749472</c:v>
                </c:pt>
                <c:pt idx="267">
                  <c:v>0.11567314320171986</c:v>
                </c:pt>
                <c:pt idx="268">
                  <c:v>0.10549459712262832</c:v>
                </c:pt>
                <c:pt idx="269">
                  <c:v>9.6211725459183342E-2</c:v>
                </c:pt>
                <c:pt idx="270">
                  <c:v>8.774570919116903E-2</c:v>
                </c:pt>
                <c:pt idx="271">
                  <c:v>8.0024665728280958E-2</c:v>
                </c:pt>
                <c:pt idx="272">
                  <c:v>7.2983038423268323E-2</c:v>
                </c:pt>
                <c:pt idx="273">
                  <c:v>6.6561039821462123E-2</c:v>
                </c:pt>
                <c:pt idx="274">
                  <c:v>6.0704143915867627E-2</c:v>
                </c:pt>
                <c:pt idx="275">
                  <c:v>5.5362623093597602E-2</c:v>
                </c:pt>
                <c:pt idx="276">
                  <c:v>5.0491125839317932E-2</c:v>
                </c:pt>
                <c:pt idx="277">
                  <c:v>4.6048291607813069E-2</c:v>
                </c:pt>
                <c:pt idx="278">
                  <c:v>4.1996399593693064E-2</c:v>
                </c:pt>
                <c:pt idx="279">
                  <c:v>3.8301048414358614E-2</c:v>
                </c:pt>
                <c:pt idx="280">
                  <c:v>3.4930863985056126E-2</c:v>
                </c:pt>
                <c:pt idx="281">
                  <c:v>3.1857233104436042E-2</c:v>
                </c:pt>
                <c:pt idx="282">
                  <c:v>2.9054060487507152E-2</c:v>
                </c:pt>
                <c:pt idx="283">
                  <c:v>2.6497547182120242E-2</c:v>
                </c:pt>
                <c:pt idx="284">
                  <c:v>2.4165988486808711E-2</c:v>
                </c:pt>
                <c:pt idx="285">
                  <c:v>2.2039589653509252E-2</c:v>
                </c:pt>
                <c:pt idx="286">
                  <c:v>2.0100297809790363E-2</c:v>
                </c:pt>
                <c:pt idx="287">
                  <c:v>1.8331648673015833E-2</c:v>
                </c:pt>
                <c:pt idx="288">
                  <c:v>1.6718626754537801E-2</c:v>
                </c:pt>
                <c:pt idx="289">
                  <c:v>1.5247537866615167E-2</c:v>
                </c:pt>
                <c:pt idx="290">
                  <c:v>1.3905892849265973E-2</c:v>
                </c:pt>
                <c:pt idx="291">
                  <c:v>1.268230152957267E-2</c:v>
                </c:pt>
                <c:pt idx="292">
                  <c:v>1.1566376012879071E-2</c:v>
                </c:pt>
                <c:pt idx="293">
                  <c:v>1.0548642484585291E-2</c:v>
                </c:pt>
                <c:pt idx="294">
                  <c:v>9.6204607735361474E-3</c:v>
                </c:pt>
                <c:pt idx="295">
                  <c:v>8.7739509939240637E-3</c:v>
                </c:pt>
                <c:pt idx="296">
                  <c:v>8.0019266427494747E-3</c:v>
                </c:pt>
              </c:numCache>
            </c:numRef>
          </c:yVal>
        </c:ser>
        <c:ser>
          <c:idx val="1"/>
          <c:order val="2"/>
          <c:tx>
            <c:v>Gamma</c:v>
          </c:tx>
          <c:marker>
            <c:symbol val="none"/>
          </c:marker>
          <c:xVal>
            <c:numRef>
              <c:f>'Sheet1 (2)'!$B$5:$B$301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'Sheet1 (2)'!$H$5:$H$301</c:f>
              <c:numCache>
                <c:formatCode>General</c:formatCode>
                <c:ptCount val="297"/>
                <c:pt idx="0">
                  <c:v>86416009.702850237</c:v>
                </c:pt>
                <c:pt idx="1">
                  <c:v>83659237.155312121</c:v>
                </c:pt>
                <c:pt idx="2">
                  <c:v>80492652.639245391</c:v>
                </c:pt>
                <c:pt idx="3">
                  <c:v>76958003.103117347</c:v>
                </c:pt>
                <c:pt idx="4">
                  <c:v>73113249.446154013</c:v>
                </c:pt>
                <c:pt idx="5">
                  <c:v>69028806.559240058</c:v>
                </c:pt>
                <c:pt idx="6">
                  <c:v>64782588.560937874</c:v>
                </c:pt>
                <c:pt idx="7">
                  <c:v>60454575.225233644</c:v>
                </c:pt>
                <c:pt idx="8">
                  <c:v>56121652.358767204</c:v>
                </c:pt>
                <c:pt idx="9">
                  <c:v>51853348.177203506</c:v>
                </c:pt>
                <c:pt idx="10">
                  <c:v>47708846.259288788</c:v>
                </c:pt>
                <c:pt idx="11">
                  <c:v>43735384.196367092</c:v>
                </c:pt>
                <c:pt idx="12">
                  <c:v>39967917.141528808</c:v>
                </c:pt>
                <c:pt idx="13">
                  <c:v>36429778.04237324</c:v>
                </c:pt>
                <c:pt idx="14">
                  <c:v>33134008.19223424</c:v>
                </c:pt>
                <c:pt idx="15">
                  <c:v>30085045.15277648</c:v>
                </c:pt>
                <c:pt idx="16">
                  <c:v>27280512.075394388</c:v>
                </c:pt>
                <c:pt idx="17">
                  <c:v>24712926.267967802</c:v>
                </c:pt>
                <c:pt idx="18">
                  <c:v>22371216.260364633</c:v>
                </c:pt>
                <c:pt idx="19">
                  <c:v>20241995.063009802</c:v>
                </c:pt>
                <c:pt idx="20">
                  <c:v>18310579.293323487</c:v>
                </c:pt>
                <c:pt idx="21">
                  <c:v>16561770.334098453</c:v>
                </c:pt>
                <c:pt idx="22">
                  <c:v>14980427.777529264</c:v>
                </c:pt>
                <c:pt idx="23">
                  <c:v>13551870.696229268</c:v>
                </c:pt>
                <c:pt idx="24">
                  <c:v>12262141.985044142</c:v>
                </c:pt>
                <c:pt idx="25">
                  <c:v>11098167.621686906</c:v>
                </c:pt>
                <c:pt idx="26">
                  <c:v>10047837.927331971</c:v>
                </c:pt>
                <c:pt idx="27">
                  <c:v>9100032.8578505442</c:v>
                </c:pt>
                <c:pt idx="28">
                  <c:v>8244608.6344708884</c:v>
                </c:pt>
                <c:pt idx="29">
                  <c:v>7472358.9195280997</c:v>
                </c:pt>
                <c:pt idx="30">
                  <c:v>6774960.3488361351</c:v>
                </c:pt>
                <c:pt idx="31">
                  <c:v>6144909.5243738974</c:v>
                </c:pt>
                <c:pt idx="32">
                  <c:v>5575456.4713708218</c:v>
                </c:pt>
                <c:pt idx="33">
                  <c:v>5060537.9743058821</c:v>
                </c:pt>
                <c:pt idx="34">
                  <c:v>4594713.0282690683</c:v>
                </c:pt>
                <c:pt idx="35">
                  <c:v>4173101.7866378133</c:v>
                </c:pt>
                <c:pt idx="36">
                  <c:v>3791328.7776249917</c:v>
                </c:pt>
                <c:pt idx="37">
                  <c:v>3445470.7395383492</c:v>
                </c:pt>
                <c:pt idx="38">
                  <c:v>3132009.1390165375</c:v>
                </c:pt>
                <c:pt idx="39">
                  <c:v>2847787.2505935295</c:v>
                </c:pt>
                <c:pt idx="40">
                  <c:v>2589971.5612729178</c:v>
                </c:pt>
                <c:pt idx="41">
                  <c:v>2356017.1991483402</c:v>
                </c:pt>
                <c:pt idx="42">
                  <c:v>2143637.0548700262</c:v>
                </c:pt>
                <c:pt idx="43">
                  <c:v>1950774.2575780207</c:v>
                </c:pt>
                <c:pt idx="44">
                  <c:v>1775577.6746641521</c:v>
                </c:pt>
                <c:pt idx="45">
                  <c:v>1616380.1216302202</c:v>
                </c:pt>
                <c:pt idx="46">
                  <c:v>1471678.9903765568</c:v>
                </c:pt>
                <c:pt idx="47">
                  <c:v>1340119.0287488818</c:v>
                </c:pt>
                <c:pt idx="48">
                  <c:v>1220477.0292731125</c:v>
                </c:pt>
                <c:pt idx="49">
                  <c:v>1111648.2095482089</c:v>
                </c:pt>
                <c:pt idx="50">
                  <c:v>1012634.0900307915</c:v>
                </c:pt>
                <c:pt idx="51">
                  <c:v>922531.69653404062</c:v>
                </c:pt>
                <c:pt idx="52">
                  <c:v>840523.93449029257</c:v>
                </c:pt>
                <c:pt idx="53">
                  <c:v>765870.99984855554</c:v>
                </c:pt>
                <c:pt idx="54">
                  <c:v>697902.70743978454</c:v>
                </c:pt>
                <c:pt idx="55">
                  <c:v>636011.6318457186</c:v>
                </c:pt>
                <c:pt idx="56">
                  <c:v>579646.96838174865</c:v>
                </c:pt>
                <c:pt idx="57">
                  <c:v>528309.03289544489</c:v>
                </c:pt>
                <c:pt idx="58">
                  <c:v>481544.32883775549</c:v>
                </c:pt>
                <c:pt idx="59">
                  <c:v>438941.11862640356</c:v>
                </c:pt>
                <c:pt idx="60">
                  <c:v>400125.44382648432</c:v>
                </c:pt>
                <c:pt idx="61">
                  <c:v>364757.54524589563</c:v>
                </c:pt>
                <c:pt idx="62">
                  <c:v>332528.63979685039</c:v>
                </c:pt>
                <c:pt idx="63">
                  <c:v>303158.01601064514</c:v>
                </c:pt>
                <c:pt idx="64">
                  <c:v>276390.41450195189</c:v>
                </c:pt>
                <c:pt idx="65">
                  <c:v>251993.66354093622</c:v>
                </c:pt>
                <c:pt idx="66">
                  <c:v>229756.54327682799</c:v>
                </c:pt>
                <c:pt idx="67">
                  <c:v>209486.85512681495</c:v>
                </c:pt>
                <c:pt idx="68">
                  <c:v>191009.67545276802</c:v>
                </c:pt>
                <c:pt idx="69">
                  <c:v>174165.77494226894</c:v>
                </c:pt>
                <c:pt idx="70">
                  <c:v>158810.1871300549</c:v>
                </c:pt>
                <c:pt idx="71">
                  <c:v>144810.91127672928</c:v>
                </c:pt>
                <c:pt idx="72">
                  <c:v>132047.73639372407</c:v>
                </c:pt>
                <c:pt idx="73">
                  <c:v>120411.17459364454</c:v>
                </c:pt>
                <c:pt idx="74">
                  <c:v>109801.49317607713</c:v>
                </c:pt>
                <c:pt idx="75">
                  <c:v>100127.83595056849</c:v>
                </c:pt>
                <c:pt idx="76">
                  <c:v>91307.425268038307</c:v>
                </c:pt>
                <c:pt idx="77">
                  <c:v>83264.837094209099</c:v>
                </c:pt>
                <c:pt idx="78">
                  <c:v>75931.342226779758</c:v>
                </c:pt>
                <c:pt idx="79">
                  <c:v>69244.307443198501</c:v>
                </c:pt>
                <c:pt idx="80">
                  <c:v>63146.650977902078</c:v>
                </c:pt>
                <c:pt idx="81">
                  <c:v>57586.347275228502</c:v>
                </c:pt>
                <c:pt idx="82">
                  <c:v>52515.976454405441</c:v>
                </c:pt>
                <c:pt idx="83">
                  <c:v>47892.314362529163</c:v>
                </c:pt>
                <c:pt idx="84">
                  <c:v>43675.959485986103</c:v>
                </c:pt>
                <c:pt idx="85">
                  <c:v>39830.993345349743</c:v>
                </c:pt>
                <c:pt idx="86">
                  <c:v>36324.671317751672</c:v>
                </c:pt>
                <c:pt idx="87">
                  <c:v>33127.141117984393</c:v>
                </c:pt>
                <c:pt idx="88">
                  <c:v>30211.18642849724</c:v>
                </c:pt>
                <c:pt idx="89">
                  <c:v>27551.993402037726</c:v>
                </c:pt>
                <c:pt idx="90">
                  <c:v>25126.93797158603</c:v>
                </c:pt>
                <c:pt idx="91">
                  <c:v>22915.392092805563</c:v>
                </c:pt>
                <c:pt idx="92">
                  <c:v>20898.547216558858</c:v>
                </c:pt>
                <c:pt idx="93">
                  <c:v>19059.253444964779</c:v>
                </c:pt>
                <c:pt idx="94">
                  <c:v>17381.87296566337</c:v>
                </c:pt>
                <c:pt idx="95">
                  <c:v>15852.146486855367</c:v>
                </c:pt>
                <c:pt idx="96">
                  <c:v>14457.071511629081</c:v>
                </c:pt>
                <c:pt idx="97">
                  <c:v>13184.791395228329</c:v>
                </c:pt>
                <c:pt idx="98">
                  <c:v>12024.494224317907</c:v>
                </c:pt>
                <c:pt idx="99">
                  <c:v>10966.320643896823</c:v>
                </c:pt>
                <c:pt idx="100">
                  <c:v>10001.279836141002</c:v>
                </c:pt>
                <c:pt idx="101">
                  <c:v>9121.1729268880517</c:v>
                </c:pt>
                <c:pt idx="102">
                  <c:v>8318.5231603810171</c:v>
                </c:pt>
                <c:pt idx="103">
                  <c:v>7586.5122418874371</c:v>
                </c:pt>
                <c:pt idx="104">
                  <c:v>6918.9223014515874</c:v>
                </c:pt>
                <c:pt idx="105">
                  <c:v>6310.0829808234275</c:v>
                </c:pt>
                <c:pt idx="106">
                  <c:v>5754.8231899868269</c:v>
                </c:pt>
                <c:pt idx="107">
                  <c:v>5248.427120089108</c:v>
                </c:pt>
                <c:pt idx="108">
                  <c:v>4786.5941363210804</c:v>
                </c:pt>
                <c:pt idx="109">
                  <c:v>4365.4022077460422</c:v>
                </c:pt>
                <c:pt idx="110">
                  <c:v>3981.2745615262625</c:v>
                </c:pt>
                <c:pt idx="111">
                  <c:v>3630.9492767220281</c:v>
                </c:pt>
                <c:pt idx="112">
                  <c:v>3311.4515580867501</c:v>
                </c:pt>
                <c:pt idx="113">
                  <c:v>3020.0684532773498</c:v>
                </c:pt>
                <c:pt idx="114">
                  <c:v>2754.3257978450847</c:v>
                </c:pt>
                <c:pt idx="115">
                  <c:v>2511.9671914533924</c:v>
                </c:pt>
                <c:pt idx="116">
                  <c:v>2290.9348261532868</c:v>
                </c:pt>
                <c:pt idx="117">
                  <c:v>2089.3520033866985</c:v>
                </c:pt>
                <c:pt idx="118">
                  <c:v>1905.5071908211094</c:v>
                </c:pt>
                <c:pt idx="119">
                  <c:v>1737.8394832718755</c:v>
                </c:pt>
                <c:pt idx="120">
                  <c:v>1584.925343955478</c:v>
                </c:pt>
                <c:pt idx="121">
                  <c:v>1445.4665132418857</c:v>
                </c:pt>
                <c:pt idx="122">
                  <c:v>1318.2789820319294</c:v>
                </c:pt>
                <c:pt idx="123">
                  <c:v>1202.2829359619873</c:v>
                </c:pt>
                <c:pt idx="124">
                  <c:v>1096.4935849121764</c:v>
                </c:pt>
                <c:pt idx="125">
                  <c:v>1000.0127998363539</c:v>
                </c:pt>
                <c:pt idx="126">
                  <c:v>912.02148580807216</c:v>
                </c:pt>
                <c:pt idx="127">
                  <c:v>831.77262644498012</c:v>
                </c:pt>
                <c:pt idx="128">
                  <c:v>758.58494058901056</c:v>
                </c:pt>
                <c:pt idx="129">
                  <c:v>691.83709733000103</c:v>
                </c:pt>
                <c:pt idx="130">
                  <c:v>630.96244021094537</c:v>
                </c:pt>
                <c:pt idx="131">
                  <c:v>575.44417578440482</c:v>
                </c:pt>
                <c:pt idx="132">
                  <c:v>524.81098563893318</c:v>
                </c:pt>
                <c:pt idx="133">
                  <c:v>478.63302461536279</c:v>
                </c:pt>
                <c:pt idx="134">
                  <c:v>436.5182712163421</c:v>
                </c:pt>
                <c:pt idx="135">
                  <c:v>398.10919920652333</c:v>
                </c:pt>
                <c:pt idx="136">
                  <c:v>363.07974213095554</c:v>
                </c:pt>
                <c:pt idx="137">
                  <c:v>331.13252496879812</c:v>
                </c:pt>
                <c:pt idx="138">
                  <c:v>301.99633940962201</c:v>
                </c:pt>
                <c:pt idx="139">
                  <c:v>275.42384130974312</c:v>
                </c:pt>
                <c:pt idx="140">
                  <c:v>251.18945077381113</c:v>
                </c:pt>
                <c:pt idx="141">
                  <c:v>229.08743702840133</c:v>
                </c:pt>
                <c:pt idx="142">
                  <c:v>208.93017182421548</c:v>
                </c:pt>
                <c:pt idx="143">
                  <c:v>190.54653653513827</c:v>
                </c:pt>
                <c:pt idx="144">
                  <c:v>173.78046942793171</c:v>
                </c:pt>
                <c:pt idx="145">
                  <c:v>158.48964076695319</c:v>
                </c:pt>
                <c:pt idx="146">
                  <c:v>144.54424450403064</c:v>
                </c:pt>
                <c:pt idx="147">
                  <c:v>131.82589629379697</c:v>
                </c:pt>
                <c:pt idx="148">
                  <c:v>120.22662847777055</c:v>
                </c:pt>
                <c:pt idx="149">
                  <c:v>109.6479735039713</c:v>
                </c:pt>
                <c:pt idx="150">
                  <c:v>100.00012799985545</c:v>
                </c:pt>
                <c:pt idx="151">
                  <c:v>91.201190401247047</c:v>
                </c:pt>
                <c:pt idx="152">
                  <c:v>83.17646566455322</c:v>
                </c:pt>
                <c:pt idx="153">
                  <c:v>75.857831159173443</c:v>
                </c:pt>
                <c:pt idx="154">
                  <c:v>69.183158356504549</c:v>
                </c:pt>
                <c:pt idx="155">
                  <c:v>63.095785405708185</c:v>
                </c:pt>
                <c:pt idx="156">
                  <c:v>57.544036118479184</c:v>
                </c:pt>
                <c:pt idx="157">
                  <c:v>52.480781279091069</c:v>
                </c:pt>
                <c:pt idx="158">
                  <c:v>47.863038555361044</c:v>
                </c:pt>
                <c:pt idx="159">
                  <c:v>43.651607613908588</c:v>
                </c:pt>
                <c:pt idx="160">
                  <c:v>39.810737341979959</c:v>
                </c:pt>
                <c:pt idx="161">
                  <c:v>36.307822350695524</c:v>
                </c:pt>
                <c:pt idx="162">
                  <c:v>33.113126183180441</c:v>
                </c:pt>
                <c:pt idx="163">
                  <c:v>30.199528877760216</c:v>
                </c:pt>
                <c:pt idx="164">
                  <c:v>27.542296743176475</c:v>
                </c:pt>
                <c:pt idx="165">
                  <c:v>25.118872391352031</c:v>
                </c:pt>
                <c:pt idx="166">
                  <c:v>22.908683245215663</c:v>
                </c:pt>
                <c:pt idx="167">
                  <c:v>20.892966895945577</c:v>
                </c:pt>
                <c:pt idx="168">
                  <c:v>19.054611827034094</c:v>
                </c:pt>
                <c:pt idx="169">
                  <c:v>17.378012153034433</c:v>
                </c:pt>
                <c:pt idx="170">
                  <c:v>15.848935139828159</c:v>
                </c:pt>
                <c:pt idx="171">
                  <c:v>14.454400381760607</c:v>
                </c:pt>
                <c:pt idx="172">
                  <c:v>13.182569609951274</c:v>
                </c:pt>
                <c:pt idx="173">
                  <c:v>12.02264619633905</c:v>
                </c:pt>
                <c:pt idx="174">
                  <c:v>10.96478350033221</c:v>
                </c:pt>
                <c:pt idx="175">
                  <c:v>10.000001280001758</c:v>
                </c:pt>
                <c:pt idx="176">
                  <c:v>9.1201094582183355</c:v>
                </c:pt>
                <c:pt idx="177">
                  <c:v>8.3176385965718467</c:v>
                </c:pt>
                <c:pt idx="178">
                  <c:v>7.5857764868563349</c:v>
                </c:pt>
                <c:pt idx="179">
                  <c:v>6.918310321837156</c:v>
                </c:pt>
                <c:pt idx="180">
                  <c:v>6.3095739543802738</c:v>
                </c:pt>
                <c:pt idx="181">
                  <c:v>5.754399797220473</c:v>
                </c:pt>
                <c:pt idx="182">
                  <c:v>5.2480749550399821</c:v>
                </c:pt>
                <c:pt idx="183">
                  <c:v>4.7863012164583338</c:v>
                </c:pt>
                <c:pt idx="184">
                  <c:v>4.3651585663014494</c:v>
                </c:pt>
                <c:pt idx="185">
                  <c:v>3.9810719084020505</c:v>
                </c:pt>
                <c:pt idx="186">
                  <c:v>3.6307807164385619</c:v>
                </c:pt>
                <c:pt idx="187">
                  <c:v>3.311311355175742</c:v>
                </c:pt>
                <c:pt idx="188">
                  <c:v>3.0199518371399718</c:v>
                </c:pt>
                <c:pt idx="189">
                  <c:v>2.7542288004366164</c:v>
                </c:pt>
                <c:pt idx="190">
                  <c:v>2.5118865122725964</c:v>
                </c:pt>
                <c:pt idx="191">
                  <c:v>2.2908677199435594</c:v>
                </c:pt>
                <c:pt idx="192">
                  <c:v>2.0892961867284603</c:v>
                </c:pt>
                <c:pt idx="193">
                  <c:v>1.9054607644375992</c:v>
                </c:pt>
                <c:pt idx="194">
                  <c:v>1.7378008674050875</c:v>
                </c:pt>
                <c:pt idx="195">
                  <c:v>1.5848932246135594</c:v>
                </c:pt>
                <c:pt idx="196">
                  <c:v>1.4454397974891919</c:v>
                </c:pt>
                <c:pt idx="197">
                  <c:v>1.3182567608005076</c:v>
                </c:pt>
                <c:pt idx="198">
                  <c:v>1.2022644531192686</c:v>
                </c:pt>
                <c:pt idx="199">
                  <c:v>1.0964782115323766</c:v>
                </c:pt>
                <c:pt idx="200">
                  <c:v>1.0000000128001896</c:v>
                </c:pt>
                <c:pt idx="201">
                  <c:v>0.91201085000265913</c:v>
                </c:pt>
                <c:pt idx="202">
                  <c:v>0.83176377995826412</c:v>
                </c:pt>
                <c:pt idx="203">
                  <c:v>0.75857758239495809</c:v>
                </c:pt>
                <c:pt idx="204">
                  <c:v>0.69183097704553242</c:v>
                </c:pt>
                <c:pt idx="205">
                  <c:v>0.63095734957608463</c:v>
                </c:pt>
                <c:pt idx="206">
                  <c:v>0.57543994157574363</c:v>
                </c:pt>
                <c:pt idx="207">
                  <c:v>0.52480746377528431</c:v>
                </c:pt>
                <c:pt idx="208">
                  <c:v>0.4786300952550393</c:v>
                </c:pt>
                <c:pt idx="209">
                  <c:v>0.43651583467923827</c:v>
                </c:pt>
                <c:pt idx="210">
                  <c:v>0.39810717258223527</c:v>
                </c:pt>
                <c:pt idx="211">
                  <c:v>0.36307805645753827</c:v>
                </c:pt>
                <c:pt idx="212">
                  <c:v>0.33113112288614549</c:v>
                </c:pt>
                <c:pt idx="213">
                  <c:v>0.30199517320763197</c:v>
                </c:pt>
                <c:pt idx="214">
                  <c:v>0.27542287130484749</c:v>
                </c:pt>
                <c:pt idx="215">
                  <c:v>0.25118864395863061</c:v>
                </c:pt>
                <c:pt idx="216">
                  <c:v>0.2290867659485738</c:v>
                </c:pt>
                <c:pt idx="217">
                  <c:v>0.20892961364418342</c:v>
                </c:pt>
                <c:pt idx="218">
                  <c:v>0.19054607226110024</c:v>
                </c:pt>
                <c:pt idx="219">
                  <c:v>0.17378008326152392</c:v>
                </c:pt>
                <c:pt idx="220">
                  <c:v>0.15848931956766246</c:v>
                </c:pt>
                <c:pt idx="221">
                  <c:v>0.1445439773420498</c:v>
                </c:pt>
                <c:pt idx="222">
                  <c:v>0.13182567407810383</c:v>
                </c:pt>
                <c:pt idx="223">
                  <c:v>0.12022644364678009</c:v>
                </c:pt>
                <c:pt idx="224">
                  <c:v>0.10964781976822885</c:v>
                </c:pt>
                <c:pt idx="225">
                  <c:v>0.10000000012801871</c:v>
                </c:pt>
                <c:pt idx="226">
                  <c:v>9.1201084042073763E-2</c:v>
                </c:pt>
                <c:pt idx="227">
                  <c:v>8.3176377198836943E-2</c:v>
                </c:pt>
                <c:pt idx="228">
                  <c:v>7.5857757576588858E-2</c:v>
                </c:pt>
                <c:pt idx="229">
                  <c:v>6.9183097153171169E-2</c:v>
                </c:pt>
                <c:pt idx="230">
                  <c:v>6.3095734498988795E-2</c:v>
                </c:pt>
                <c:pt idx="231">
                  <c:v>5.7543993776111184E-2</c:v>
                </c:pt>
                <c:pt idx="232">
                  <c:v>5.2480746060241175E-2</c:v>
                </c:pt>
                <c:pt idx="233">
                  <c:v>4.7863009261595847E-2</c:v>
                </c:pt>
                <c:pt idx="234">
                  <c:v>4.3651583248414616E-2</c:v>
                </c:pt>
                <c:pt idx="235">
                  <c:v>3.9810717075643737E-2</c:v>
                </c:pt>
                <c:pt idx="236">
                  <c:v>3.6307805493890587E-2</c:v>
                </c:pt>
                <c:pt idx="237">
                  <c:v>3.3113112162300173E-2</c:v>
                </c:pt>
                <c:pt idx="238">
                  <c:v>3.0199517215699516E-2</c:v>
                </c:pt>
                <c:pt idx="239">
                  <c:v>2.754228704309657E-2</c:v>
                </c:pt>
                <c:pt idx="240">
                  <c:v>2.511886432317673E-2</c:v>
                </c:pt>
                <c:pt idx="241">
                  <c:v>2.2908676534399521E-2</c:v>
                </c:pt>
                <c:pt idx="242">
                  <c:v>2.089296131413166E-2</c:v>
                </c:pt>
                <c:pt idx="243">
                  <c:v>1.9054607184283406E-2</c:v>
                </c:pt>
                <c:pt idx="244">
                  <c:v>1.7378008291362511E-2</c:v>
                </c:pt>
                <c:pt idx="245">
                  <c:v>1.5848931927829286E-2</c:v>
                </c:pt>
                <c:pt idx="246">
                  <c:v>1.4454397710136241E-2</c:v>
                </c:pt>
                <c:pt idx="247">
                  <c:v>1.3182567387790899E-2</c:v>
                </c:pt>
                <c:pt idx="248">
                  <c:v>1.2022644348026511E-2</c:v>
                </c:pt>
                <c:pt idx="249">
                  <c:v>1.0964781962972774E-2</c:v>
                </c:pt>
                <c:pt idx="250">
                  <c:v>1.0000000001281846E-2</c:v>
                </c:pt>
                <c:pt idx="251">
                  <c:v>9.12010839462544E-3</c:v>
                </c:pt>
                <c:pt idx="252">
                  <c:v>8.3176377119137841E-3</c:v>
                </c:pt>
                <c:pt idx="253">
                  <c:v>7.5857757510298003E-3</c:v>
                </c:pt>
                <c:pt idx="254">
                  <c:v>6.9183097098032848E-3</c:v>
                </c:pt>
                <c:pt idx="255">
                  <c:v>6.3095734453126736E-3</c:v>
                </c:pt>
                <c:pt idx="256">
                  <c:v>5.7543993737964776E-3</c:v>
                </c:pt>
                <c:pt idx="257">
                  <c:v>5.2480746028512344E-3</c:v>
                </c:pt>
                <c:pt idx="258">
                  <c:v>4.7863009235204947E-3</c:v>
                </c:pt>
                <c:pt idx="259">
                  <c:v>4.3651583226463602E-3</c:v>
                </c:pt>
                <c:pt idx="260">
                  <c:v>3.9810717057385701E-3</c:v>
                </c:pt>
                <c:pt idx="261">
                  <c:v>3.6307805478704167E-3</c:v>
                </c:pt>
                <c:pt idx="262">
                  <c:v>3.311311214966868E-3</c:v>
                </c:pt>
                <c:pt idx="263">
                  <c:v>3.0199517205193069E-3</c:v>
                </c:pt>
                <c:pt idx="264">
                  <c:v>2.7542287034357689E-3</c:v>
                </c:pt>
                <c:pt idx="265">
                  <c:v>2.5118864315908022E-3</c:v>
                </c:pt>
                <c:pt idx="266">
                  <c:v>2.2908676528353667E-3</c:v>
                </c:pt>
                <c:pt idx="267">
                  <c:v>2.0892961309102952E-3</c:v>
                </c:pt>
                <c:pt idx="268">
                  <c:v>1.905460718010069E-3</c:v>
                </c:pt>
                <c:pt idx="269">
                  <c:v>1.7378008287883481E-3</c:v>
                </c:pt>
                <c:pt idx="270">
                  <c:v>1.5848931924935551E-3</c:v>
                </c:pt>
                <c:pt idx="271">
                  <c:v>1.4454397707729352E-3</c:v>
                </c:pt>
                <c:pt idx="272">
                  <c:v>1.3182567385788919E-3</c:v>
                </c:pt>
                <c:pt idx="273">
                  <c:v>1.2022644346361344E-3</c:v>
                </c:pt>
                <c:pt idx="274">
                  <c:v>1.096478196158774E-3</c:v>
                </c:pt>
                <c:pt idx="275">
                  <c:v>1.0000000000129827E-3</c:v>
                </c:pt>
                <c:pt idx="276">
                  <c:v>9.1201083936672271E-4</c:v>
                </c:pt>
                <c:pt idx="277">
                  <c:v>8.3176377111167832E-4</c:v>
                </c:pt>
                <c:pt idx="278">
                  <c:v>7.5857757503668783E-4</c:v>
                </c:pt>
                <c:pt idx="279">
                  <c:v>6.9183097092518893E-4</c:v>
                </c:pt>
                <c:pt idx="280">
                  <c:v>6.3095734448540388E-4</c:v>
                </c:pt>
                <c:pt idx="281">
                  <c:v>5.7543993734150006E-4</c:v>
                </c:pt>
                <c:pt idx="282">
                  <c:v>5.2480746025339341E-4</c:v>
                </c:pt>
                <c:pt idx="283">
                  <c:v>4.7863009232565761E-4</c:v>
                </c:pt>
                <c:pt idx="284">
                  <c:v>4.3651583224268439E-4</c:v>
                </c:pt>
                <c:pt idx="285">
                  <c:v>3.9810717055559799E-4</c:v>
                </c:pt>
                <c:pt idx="286">
                  <c:v>3.6307805477185445E-4</c:v>
                </c:pt>
                <c:pt idx="287">
                  <c:v>3.311311214840545E-4</c:v>
                </c:pt>
                <c:pt idx="288">
                  <c:v>3.0199517204142369E-4</c:v>
                </c:pt>
                <c:pt idx="289">
                  <c:v>2.754228703348375E-4</c:v>
                </c:pt>
                <c:pt idx="290">
                  <c:v>2.5118864315181111E-4</c:v>
                </c:pt>
                <c:pt idx="291">
                  <c:v>2.2908676527749061E-4</c:v>
                </c:pt>
                <c:pt idx="292">
                  <c:v>2.0892961308600059E-4</c:v>
                </c:pt>
                <c:pt idx="293">
                  <c:v>1.9054607179682403E-4</c:v>
                </c:pt>
                <c:pt idx="294">
                  <c:v>1.7378008287535565E-4</c:v>
                </c:pt>
                <c:pt idx="295">
                  <c:v>1.5848931924646162E-4</c:v>
                </c:pt>
                <c:pt idx="296">
                  <c:v>1.4454397707488637E-4</c:v>
                </c:pt>
              </c:numCache>
            </c:numRef>
          </c:yVal>
        </c:ser>
        <c:axId val="148729856"/>
        <c:axId val="148731776"/>
      </c:scatterChart>
      <c:valAx>
        <c:axId val="148729856"/>
        <c:scaling>
          <c:logBase val="10"/>
          <c:orientation val="minMax"/>
          <c:max val="0.1"/>
          <c:min val="1.0000000000000027E-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Wavenumber</a:t>
                </a:r>
              </a:p>
            </c:rich>
          </c:tx>
          <c:layout/>
        </c:title>
        <c:numFmt formatCode="0E+00" sourceLinked="0"/>
        <c:tickLblPos val="nextTo"/>
        <c:crossAx val="148731776"/>
        <c:crosses val="autoZero"/>
        <c:crossBetween val="midCat"/>
      </c:valAx>
      <c:valAx>
        <c:axId val="148731776"/>
        <c:scaling>
          <c:logBase val="10"/>
          <c:orientation val="minMax"/>
          <c:max val="100000000"/>
          <c:min val="1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Density</a:t>
                </a:r>
              </a:p>
            </c:rich>
          </c:tx>
          <c:layout/>
        </c:title>
        <c:numFmt formatCode="General" sourceLinked="1"/>
        <c:tickLblPos val="nextTo"/>
        <c:crossAx val="148729856"/>
        <c:crossesAt val="1.0000000000000027E-6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0440744270023559"/>
          <c:y val="0.15012286986139337"/>
          <c:w val="0.20981042178644879"/>
          <c:h val="0.13621780328306421"/>
        </c:manualLayout>
      </c:layout>
    </c:legend>
    <c:plotVisOnly val="1"/>
  </c:chart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135272564613617"/>
          <c:y val="5.1400554097404488E-2"/>
          <c:w val="0.76778692137167071"/>
          <c:h val="0.76374961045436807"/>
        </c:manualLayout>
      </c:layout>
      <c:scatterChart>
        <c:scatterStyle val="lineMarker"/>
        <c:ser>
          <c:idx val="0"/>
          <c:order val="0"/>
          <c:tx>
            <c:strRef>
              <c:f>'Sheet1 (2)'!$K$54</c:f>
              <c:strCache>
                <c:ptCount val="1"/>
                <c:pt idx="0">
                  <c:v>wavelength data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ysClr val="window" lastClr="FFFFFF"/>
              </a:solidFill>
            </c:spPr>
          </c:marker>
          <c:xVal>
            <c:numRef>
              <c:f>'Sheet1 (2)'!$J$55:$J$233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'Sheet1 (2)'!$K$55:$K$233</c:f>
              <c:numCache>
                <c:formatCode>General</c:formatCode>
                <c:ptCount val="179"/>
                <c:pt idx="0">
                  <c:v>5.8999999999994109E-3</c:v>
                </c:pt>
                <c:pt idx="1">
                  <c:v>6.6336930866655805E-3</c:v>
                </c:pt>
                <c:pt idx="2">
                  <c:v>7.4540394946271838E-3</c:v>
                </c:pt>
                <c:pt idx="3">
                  <c:v>8.5686688006157488E-3</c:v>
                </c:pt>
                <c:pt idx="4">
                  <c:v>9.8289904410712396E-3</c:v>
                </c:pt>
                <c:pt idx="5">
                  <c:v>1.1252741666472681E-2</c:v>
                </c:pt>
                <c:pt idx="6">
                  <c:v>1.2859726132743927E-2</c:v>
                </c:pt>
                <c:pt idx="7">
                  <c:v>1.4672047528315343E-2</c:v>
                </c:pt>
                <c:pt idx="8">
                  <c:v>1.6714369046830359E-2</c:v>
                </c:pt>
                <c:pt idx="9">
                  <c:v>1.9014201517970276E-2</c:v>
                </c:pt>
                <c:pt idx="10">
                  <c:v>2.1602223310979763E-2</c:v>
                </c:pt>
                <c:pt idx="11">
                  <c:v>2.4512635459706694E-2</c:v>
                </c:pt>
                <c:pt idx="12">
                  <c:v>2.7783555827695157E-2</c:v>
                </c:pt>
                <c:pt idx="13">
                  <c:v>3.112632541935963E-2</c:v>
                </c:pt>
                <c:pt idx="14">
                  <c:v>3.4492415203155255E-2</c:v>
                </c:pt>
                <c:pt idx="15">
                  <c:v>3.8218288373130752E-2</c:v>
                </c:pt>
                <c:pt idx="16">
                  <c:v>4.1469004062810337E-2</c:v>
                </c:pt>
                <c:pt idx="17">
                  <c:v>4.4991228678321935E-2</c:v>
                </c:pt>
                <c:pt idx="18">
                  <c:v>4.7232671422473151E-2</c:v>
                </c:pt>
                <c:pt idx="19">
                  <c:v>4.8912394673651542E-2</c:v>
                </c:pt>
                <c:pt idx="20">
                  <c:v>5.1738502247368631E-2</c:v>
                </c:pt>
                <c:pt idx="21">
                  <c:v>5.39628157316695E-2</c:v>
                </c:pt>
                <c:pt idx="22">
                  <c:v>5.6134740552151542E-2</c:v>
                </c:pt>
                <c:pt idx="23">
                  <c:v>5.8223463977178591E-2</c:v>
                </c:pt>
                <c:pt idx="24">
                  <c:v>5.9280704558125355E-2</c:v>
                </c:pt>
                <c:pt idx="25">
                  <c:v>5.9999999999991088E-2</c:v>
                </c:pt>
                <c:pt idx="26">
                  <c:v>5.8113344395579934E-2</c:v>
                </c:pt>
                <c:pt idx="27">
                  <c:v>5.5304163992392553E-2</c:v>
                </c:pt>
                <c:pt idx="28">
                  <c:v>5.404852628080422E-2</c:v>
                </c:pt>
                <c:pt idx="29">
                  <c:v>5.2035831746845222E-2</c:v>
                </c:pt>
                <c:pt idx="30">
                  <c:v>5.071658215874765E-2</c:v>
                </c:pt>
                <c:pt idx="31">
                  <c:v>4.8658423204974662E-2</c:v>
                </c:pt>
                <c:pt idx="32">
                  <c:v>4.7636517949073469E-2</c:v>
                </c:pt>
                <c:pt idx="33">
                  <c:v>4.3875218747927554E-2</c:v>
                </c:pt>
                <c:pt idx="34">
                  <c:v>4.1235617749813068E-2</c:v>
                </c:pt>
                <c:pt idx="35">
                  <c:v>4.019018290414645E-2</c:v>
                </c:pt>
                <c:pt idx="36">
                  <c:v>3.8559201846727759E-2</c:v>
                </c:pt>
                <c:pt idx="37">
                  <c:v>3.9259372365219369E-2</c:v>
                </c:pt>
                <c:pt idx="38">
                  <c:v>3.6424423363078641E-2</c:v>
                </c:pt>
                <c:pt idx="39">
                  <c:v>3.267702492930339E-2</c:v>
                </c:pt>
                <c:pt idx="40">
                  <c:v>2.7867501938739814E-2</c:v>
                </c:pt>
                <c:pt idx="41">
                  <c:v>2.6190949934405256E-2</c:v>
                </c:pt>
                <c:pt idx="42">
                  <c:v>2.6324655077740275E-2</c:v>
                </c:pt>
                <c:pt idx="43">
                  <c:v>2.624037301248381E-2</c:v>
                </c:pt>
                <c:pt idx="44">
                  <c:v>2.3017597493481957E-2</c:v>
                </c:pt>
                <c:pt idx="45">
                  <c:v>2.2083507056802613E-2</c:v>
                </c:pt>
                <c:pt idx="46">
                  <c:v>2.075492912756418E-2</c:v>
                </c:pt>
                <c:pt idx="47">
                  <c:v>1.9723016950754981E-2</c:v>
                </c:pt>
                <c:pt idx="48">
                  <c:v>1.8298802964255234E-2</c:v>
                </c:pt>
                <c:pt idx="49">
                  <c:v>1.8240216787114606E-2</c:v>
                </c:pt>
                <c:pt idx="50">
                  <c:v>1.8499999999996349E-2</c:v>
                </c:pt>
                <c:pt idx="51">
                  <c:v>1.8640129334430468E-2</c:v>
                </c:pt>
                <c:pt idx="52">
                  <c:v>1.8875551623489646E-2</c:v>
                </c:pt>
                <c:pt idx="53">
                  <c:v>1.911472270906411E-2</c:v>
                </c:pt>
                <c:pt idx="54">
                  <c:v>1.7345277248947681E-2</c:v>
                </c:pt>
                <c:pt idx="55">
                  <c:v>1.5848931924607981E-2</c:v>
                </c:pt>
                <c:pt idx="56">
                  <c:v>1.4771307044366799E-2</c:v>
                </c:pt>
                <c:pt idx="57">
                  <c:v>1.4290955384721549E-2</c:v>
                </c:pt>
                <c:pt idx="58">
                  <c:v>1.3998284076719313E-2</c:v>
                </c:pt>
                <c:pt idx="59">
                  <c:v>1.4203379447157391E-2</c:v>
                </c:pt>
                <c:pt idx="60">
                  <c:v>1.3815375373299962E-2</c:v>
                </c:pt>
                <c:pt idx="61">
                  <c:v>1.3771143516688109E-2</c:v>
                </c:pt>
                <c:pt idx="62">
                  <c:v>1.3891777913846522E-2</c:v>
                </c:pt>
                <c:pt idx="63">
                  <c:v>1.3907507102266068E-2</c:v>
                </c:pt>
                <c:pt idx="64">
                  <c:v>1.4160044136031185E-2</c:v>
                </c:pt>
                <c:pt idx="65">
                  <c:v>1.4331858139923097E-2</c:v>
                </c:pt>
                <c:pt idx="66">
                  <c:v>1.4841538296162728E-2</c:v>
                </c:pt>
                <c:pt idx="67">
                  <c:v>1.5316162954321417E-2</c:v>
                </c:pt>
                <c:pt idx="68">
                  <c:v>1.5219416347240406E-2</c:v>
                </c:pt>
                <c:pt idx="69">
                  <c:v>1.4961438370763131E-2</c:v>
                </c:pt>
                <c:pt idx="70">
                  <c:v>1.5142976267521644E-2</c:v>
                </c:pt>
                <c:pt idx="71">
                  <c:v>1.5220281360213642E-2</c:v>
                </c:pt>
                <c:pt idx="72">
                  <c:v>1.5171551500580721E-2</c:v>
                </c:pt>
                <c:pt idx="73">
                  <c:v>1.4971747879845157E-2</c:v>
                </c:pt>
                <c:pt idx="74">
                  <c:v>1.4592173429691702E-2</c:v>
                </c:pt>
                <c:pt idx="75">
                  <c:v>1.3999999999997254E-2</c:v>
                </c:pt>
                <c:pt idx="76">
                  <c:v>1.3705977451787121E-2</c:v>
                </c:pt>
                <c:pt idx="77">
                  <c:v>1.3224908780788967E-2</c:v>
                </c:pt>
                <c:pt idx="78">
                  <c:v>1.3578044407128342E-2</c:v>
                </c:pt>
                <c:pt idx="79">
                  <c:v>1.3587133845009054E-2</c:v>
                </c:pt>
                <c:pt idx="80">
                  <c:v>1.394706009365506E-2</c:v>
                </c:pt>
                <c:pt idx="81">
                  <c:v>1.4597526961491912E-2</c:v>
                </c:pt>
                <c:pt idx="82">
                  <c:v>1.5243685743703002E-2</c:v>
                </c:pt>
                <c:pt idx="83">
                  <c:v>1.4625072915975415E-2</c:v>
                </c:pt>
                <c:pt idx="84">
                  <c:v>1.4890639742987636E-2</c:v>
                </c:pt>
                <c:pt idx="85">
                  <c:v>1.6076073161658183E-2</c:v>
                </c:pt>
                <c:pt idx="86">
                  <c:v>1.680079509035954E-2</c:v>
                </c:pt>
                <c:pt idx="87">
                  <c:v>1.7515719978328272E-2</c:v>
                </c:pt>
                <c:pt idx="88">
                  <c:v>1.6887687195608871E-2</c:v>
                </c:pt>
                <c:pt idx="89">
                  <c:v>1.6338512464651383E-2</c:v>
                </c:pt>
                <c:pt idx="90">
                  <c:v>1.5128072481029951E-2</c:v>
                </c:pt>
                <c:pt idx="91">
                  <c:v>1.3968506631682583E-2</c:v>
                </c:pt>
                <c:pt idx="92">
                  <c:v>1.3401642585031277E-2</c:v>
                </c:pt>
                <c:pt idx="93">
                  <c:v>1.312018650624177E-2</c:v>
                </c:pt>
                <c:pt idx="94">
                  <c:v>1.3235118558752037E-2</c:v>
                </c:pt>
                <c:pt idx="95">
                  <c:v>1.3250104234081477E-2</c:v>
                </c:pt>
                <c:pt idx="96">
                  <c:v>1.3490703932916655E-2</c:v>
                </c:pt>
                <c:pt idx="97">
                  <c:v>1.4033685138037181E-2</c:v>
                </c:pt>
                <c:pt idx="98">
                  <c:v>1.4555865994293919E-2</c:v>
                </c:pt>
                <c:pt idx="99">
                  <c:v>1.5048178849369608E-2</c:v>
                </c:pt>
                <c:pt idx="100">
                  <c:v>1.4999999999997106E-2</c:v>
                </c:pt>
                <c:pt idx="101">
                  <c:v>1.5350694746001616E-2</c:v>
                </c:pt>
                <c:pt idx="102">
                  <c:v>1.5629437650023337E-2</c:v>
                </c:pt>
                <c:pt idx="103">
                  <c:v>1.5819080862673841E-2</c:v>
                </c:pt>
                <c:pt idx="104">
                  <c:v>1.5899837478202138E-2</c:v>
                </c:pt>
                <c:pt idx="105">
                  <c:v>1.5848931924608074E-2</c:v>
                </c:pt>
                <c:pt idx="106">
                  <c:v>1.5640207458741347E-2</c:v>
                </c:pt>
                <c:pt idx="107">
                  <c:v>1.5243685743703047E-2</c:v>
                </c:pt>
                <c:pt idx="108">
                  <c:v>1.462507291597546E-2</c:v>
                </c:pt>
                <c:pt idx="109">
                  <c:v>1.3745205916603985E-2</c:v>
                </c:pt>
                <c:pt idx="110">
                  <c:v>1.255943215754547E-2</c:v>
                </c:pt>
                <c:pt idx="111">
                  <c:v>1.2944874905686896E-2</c:v>
                </c:pt>
                <c:pt idx="112">
                  <c:v>1.3589782741806456E-2</c:v>
                </c:pt>
                <c:pt idx="113">
                  <c:v>1.4238638223748672E-2</c:v>
                </c:pt>
                <c:pt idx="114">
                  <c:v>1.4886200245571305E-2</c:v>
                </c:pt>
                <c:pt idx="115">
                  <c:v>1.5526179651583418E-2</c:v>
                </c:pt>
                <c:pt idx="116">
                  <c:v>1.6151085792883036E-2</c:v>
                </c:pt>
                <c:pt idx="117">
                  <c:v>1.6752053231289119E-2</c:v>
                </c:pt>
                <c:pt idx="118">
                  <c:v>1.7318646188239181E-2</c:v>
                </c:pt>
                <c:pt idx="119">
                  <c:v>1.7838638057448446E-2</c:v>
                </c:pt>
                <c:pt idx="120">
                  <c:v>1.7035848300961949E-2</c:v>
                </c:pt>
                <c:pt idx="121">
                  <c:v>1.7295774272970091E-2</c:v>
                </c:pt>
                <c:pt idx="122">
                  <c:v>1.7447284225667898E-2</c:v>
                </c:pt>
                <c:pt idx="123">
                  <c:v>1.7467039193152751E-2</c:v>
                </c:pt>
                <c:pt idx="124">
                  <c:v>1.7328205947758964E-2</c:v>
                </c:pt>
                <c:pt idx="125">
                  <c:v>1.7299999999996672E-2</c:v>
                </c:pt>
                <c:pt idx="126">
                  <c:v>1.7543651138287621E-2</c:v>
                </c:pt>
                <c:pt idx="127">
                  <c:v>1.803396651925775E-2</c:v>
                </c:pt>
                <c:pt idx="128">
                  <c:v>1.845559433978617E-2</c:v>
                </c:pt>
                <c:pt idx="129">
                  <c:v>1.8790717019693457E-2</c:v>
                </c:pt>
                <c:pt idx="130">
                  <c:v>1.9018718309529739E-2</c:v>
                </c:pt>
                <c:pt idx="131">
                  <c:v>1.9115809116239481E-2</c:v>
                </c:pt>
                <c:pt idx="132">
                  <c:v>1.9054607179628823E-2</c:v>
                </c:pt>
                <c:pt idx="133">
                  <c:v>1.8803665177682789E-2</c:v>
                </c:pt>
                <c:pt idx="134">
                  <c:v>1.9014201517968902E-2</c:v>
                </c:pt>
                <c:pt idx="135">
                  <c:v>1.8839148236318257E-2</c:v>
                </c:pt>
                <c:pt idx="136">
                  <c:v>1.9279600923363484E-2</c:v>
                </c:pt>
                <c:pt idx="137">
                  <c:v>1.9629686182609386E-2</c:v>
                </c:pt>
                <c:pt idx="138">
                  <c:v>2.0198998410434221E-2</c:v>
                </c:pt>
                <c:pt idx="139">
                  <c:v>2.0695449121891842E-2</c:v>
                </c:pt>
                <c:pt idx="140">
                  <c:v>2.1497787209884753E-2</c:v>
                </c:pt>
                <c:pt idx="141">
                  <c:v>2.2262307444244248E-2</c:v>
                </c:pt>
                <c:pt idx="142">
                  <c:v>2.2974244431482282E-2</c:v>
                </c:pt>
                <c:pt idx="143">
                  <c:v>2.4141143171484952E-2</c:v>
                </c:pt>
                <c:pt idx="144">
                  <c:v>2.531935724283008E-2</c:v>
                </c:pt>
                <c:pt idx="145">
                  <c:v>2.6500208468163106E-2</c:v>
                </c:pt>
                <c:pt idx="146">
                  <c:v>2.7673238836752212E-2</c:v>
                </c:pt>
                <c:pt idx="147">
                  <c:v>2.8825947851103515E-2</c:v>
                </c:pt>
                <c:pt idx="148">
                  <c:v>2.9943495759690516E-2</c:v>
                </c:pt>
                <c:pt idx="149">
                  <c:v>2.9184346859383602E-2</c:v>
                </c:pt>
                <c:pt idx="150">
                  <c:v>2.7999999999994696E-2</c:v>
                </c:pt>
                <c:pt idx="151">
                  <c:v>2.8508433099717401E-2</c:v>
                </c:pt>
                <c:pt idx="152">
                  <c:v>2.9455478648121074E-2</c:v>
                </c:pt>
                <c:pt idx="153">
                  <c:v>3.0319904986791647E-2</c:v>
                </c:pt>
                <c:pt idx="154">
                  <c:v>3.1076955071031573E-2</c:v>
                </c:pt>
                <c:pt idx="155">
                  <c:v>3.1697863849216266E-2</c:v>
                </c:pt>
                <c:pt idx="156">
                  <c:v>3.21493153318574E-2</c:v>
                </c:pt>
                <c:pt idx="157">
                  <c:v>3.2392832205369093E-2</c:v>
                </c:pt>
                <c:pt idx="158">
                  <c:v>3.2384090028231498E-2</c:v>
                </c:pt>
                <c:pt idx="159">
                  <c:v>3.2072147138742756E-2</c:v>
                </c:pt>
                <c:pt idx="160">
                  <c:v>3.1398580393863854E-2</c:v>
                </c:pt>
                <c:pt idx="161">
                  <c:v>3.0296515736714127E-2</c:v>
                </c:pt>
                <c:pt idx="162">
                  <c:v>3.0199517204014471E-2</c:v>
                </c:pt>
                <c:pt idx="163">
                  <c:v>2.9801800933427623E-2</c:v>
                </c:pt>
                <c:pt idx="164">
                  <c:v>2.9046244381602665E-2</c:v>
                </c:pt>
                <c:pt idx="165">
                  <c:v>2.7867501938739575E-2</c:v>
                </c:pt>
                <c:pt idx="166">
                  <c:v>2.6190949934405044E-2</c:v>
                </c:pt>
                <c:pt idx="167">
                  <c:v>2.3931504616127426E-2</c:v>
                </c:pt>
                <c:pt idx="168">
                  <c:v>2.3616335711235347E-2</c:v>
                </c:pt>
                <c:pt idx="169">
                  <c:v>2.359303743081901E-2</c:v>
                </c:pt>
                <c:pt idx="170">
                  <c:v>2.334542174576278E-2</c:v>
                </c:pt>
                <c:pt idx="171">
                  <c:v>2.2830422040320618E-2</c:v>
                </c:pt>
                <c:pt idx="172">
                  <c:v>2.3515904825900304E-2</c:v>
                </c:pt>
                <c:pt idx="173">
                  <c:v>2.4121149361972943E-2</c:v>
                </c:pt>
                <c:pt idx="174">
                  <c:v>2.3712281823249224E-2</c:v>
                </c:pt>
                <c:pt idx="175">
                  <c:v>2.4999999999995321E-2</c:v>
                </c:pt>
                <c:pt idx="176">
                  <c:v>2.6315476707431527E-2</c:v>
                </c:pt>
                <c:pt idx="177">
                  <c:v>2.7652081996195354E-2</c:v>
                </c:pt>
                <c:pt idx="178">
                  <c:v>2.9001648248235541E-2</c:v>
                </c:pt>
              </c:numCache>
            </c:numRef>
          </c:yVal>
        </c:ser>
        <c:ser>
          <c:idx val="1"/>
          <c:order val="1"/>
          <c:tx>
            <c:strRef>
              <c:f>'Sheet1 (2)'!$L$54</c:f>
              <c:strCache>
                <c:ptCount val="1"/>
                <c:pt idx="0">
                  <c:v>exp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'Sheet1 (2)'!$J$55:$J$233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'Sheet1 (2)'!$L$55:$L$233</c:f>
              <c:numCache>
                <c:formatCode>General</c:formatCode>
                <c:ptCount val="179"/>
                <c:pt idx="0">
                  <c:v>5.3502023629599842E-3</c:v>
                </c:pt>
                <c:pt idx="1">
                  <c:v>6.3196372968032837E-3</c:v>
                </c:pt>
                <c:pt idx="2">
                  <c:v>7.4089911239753814E-3</c:v>
                </c:pt>
                <c:pt idx="3">
                  <c:v>8.6241732410037453E-3</c:v>
                </c:pt>
                <c:pt idx="4">
                  <c:v>9.9702776483391667E-3</c:v>
                </c:pt>
                <c:pt idx="5">
                  <c:v>1.1451490733202051E-2</c:v>
                </c:pt>
                <c:pt idx="6">
                  <c:v>1.30710172750834E-2</c:v>
                </c:pt>
                <c:pt idx="7">
                  <c:v>1.4831025924724133E-2</c:v>
                </c:pt>
                <c:pt idx="8">
                  <c:v>1.6732614729326543E-2</c:v>
                </c:pt>
                <c:pt idx="9">
                  <c:v>1.877579663576916E-2</c:v>
                </c:pt>
                <c:pt idx="10">
                  <c:v>2.0959504323143793E-2</c:v>
                </c:pt>
                <c:pt idx="11">
                  <c:v>2.3281613213381652E-2</c:v>
                </c:pt>
                <c:pt idx="12">
                  <c:v>2.5738981095304283E-2</c:v>
                </c:pt>
                <c:pt idx="13">
                  <c:v>2.8327502478632787E-2</c:v>
                </c:pt>
                <c:pt idx="14">
                  <c:v>3.1042175570690292E-2</c:v>
                </c:pt>
                <c:pt idx="15">
                  <c:v>3.3877179635864403E-2</c:v>
                </c:pt>
                <c:pt idx="16">
                  <c:v>3.6825960449125027E-2</c:v>
                </c:pt>
                <c:pt idx="17">
                  <c:v>3.9881321580344332E-2</c:v>
                </c:pt>
                <c:pt idx="18">
                  <c:v>4.303551933466352E-2</c:v>
                </c:pt>
                <c:pt idx="19">
                  <c:v>4.6280359313727329E-2</c:v>
                </c:pt>
                <c:pt idx="20">
                  <c:v>4.9607292741279146E-2</c:v>
                </c:pt>
                <c:pt idx="21">
                  <c:v>5.300751090281422E-2</c:v>
                </c:pt>
                <c:pt idx="22">
                  <c:v>5.6472036272115556E-2</c:v>
                </c:pt>
                <c:pt idx="23">
                  <c:v>5.9991809128049314E-2</c:v>
                </c:pt>
                <c:pt idx="24">
                  <c:v>6.048041142624546E-2</c:v>
                </c:pt>
                <c:pt idx="25">
                  <c:v>5.7235659347394247E-2</c:v>
                </c:pt>
                <c:pt idx="26">
                  <c:v>5.4299581601325947E-2</c:v>
                </c:pt>
                <c:pt idx="27">
                  <c:v>5.1636358228964487E-2</c:v>
                </c:pt>
                <c:pt idx="28">
                  <c:v>4.9215027078057062E-2</c:v>
                </c:pt>
                <c:pt idx="29">
                  <c:v>4.7008740008345692E-2</c:v>
                </c:pt>
                <c:pt idx="30">
                  <c:v>4.4994144752967993E-2</c:v>
                </c:pt>
                <c:pt idx="31">
                  <c:v>4.3150869375667124E-2</c:v>
                </c:pt>
                <c:pt idx="32">
                  <c:v>4.1461090808773325E-2</c:v>
                </c:pt>
                <c:pt idx="33">
                  <c:v>3.9909172548395766E-2</c:v>
                </c:pt>
                <c:pt idx="34">
                  <c:v>3.8481359432509694E-2</c:v>
                </c:pt>
                <c:pt idx="35">
                  <c:v>3.7165519696931777E-2</c:v>
                </c:pt>
                <c:pt idx="36">
                  <c:v>3.5950926318489632E-2</c:v>
                </c:pt>
                <c:pt idx="37">
                  <c:v>3.4828071110645724E-2</c:v>
                </c:pt>
                <c:pt idx="38">
                  <c:v>3.3788506209430379E-2</c:v>
                </c:pt>
                <c:pt idx="39">
                  <c:v>3.2824708535257624E-2</c:v>
                </c:pt>
                <c:pt idx="40">
                  <c:v>3.1929963584783824E-2</c:v>
                </c:pt>
                <c:pt idx="41">
                  <c:v>3.1098265532368004E-2</c:v>
                </c:pt>
                <c:pt idx="42">
                  <c:v>3.0324231131229906E-2</c:v>
                </c:pt>
                <c:pt idx="43">
                  <c:v>2.9603025322492246E-2</c:v>
                </c:pt>
                <c:pt idx="44">
                  <c:v>2.8930296803735857E-2</c:v>
                </c:pt>
                <c:pt idx="45">
                  <c:v>2.8302122091661067E-2</c:v>
                </c:pt>
                <c:pt idx="46">
                  <c:v>2.7714956847274409E-2</c:v>
                </c:pt>
                <c:pt idx="47">
                  <c:v>2.7165593425784226E-2</c:v>
                </c:pt>
                <c:pt idx="48">
                  <c:v>2.6651123774409643E-2</c:v>
                </c:pt>
                <c:pt idx="49">
                  <c:v>2.616890693547564E-2</c:v>
                </c:pt>
                <c:pt idx="50">
                  <c:v>2.5716540524258986E-2</c:v>
                </c:pt>
                <c:pt idx="51">
                  <c:v>2.5291835644940877E-2</c:v>
                </c:pt>
                <c:pt idx="52">
                  <c:v>2.4892794786863088E-2</c:v>
                </c:pt>
                <c:pt idx="53">
                  <c:v>2.4517592309653162E-2</c:v>
                </c:pt>
                <c:pt idx="54">
                  <c:v>2.4164557181787085E-2</c:v>
                </c:pt>
                <c:pt idx="55">
                  <c:v>2.3832157684523635E-2</c:v>
                </c:pt>
                <c:pt idx="56">
                  <c:v>2.3518987833299112E-2</c:v>
                </c:pt>
                <c:pt idx="57">
                  <c:v>2.3223755302786753E-2</c:v>
                </c:pt>
                <c:pt idx="58">
                  <c:v>2.2945270670873874E-2</c:v>
                </c:pt>
                <c:pt idx="59">
                  <c:v>2.2682437821597699E-2</c:v>
                </c:pt>
                <c:pt idx="60">
                  <c:v>2.2434245368275839E-2</c:v>
                </c:pt>
                <c:pt idx="61">
                  <c:v>2.2199758976227904E-2</c:v>
                </c:pt>
                <c:pt idx="62">
                  <c:v>2.1978114480076607E-2</c:v>
                </c:pt>
                <c:pt idx="63">
                  <c:v>2.1768511704028166E-2</c:v>
                </c:pt>
                <c:pt idx="64">
                  <c:v>2.1570208905091082E-2</c:v>
                </c:pt>
                <c:pt idx="65">
                  <c:v>2.1382517769172802E-2</c:v>
                </c:pt>
                <c:pt idx="66">
                  <c:v>2.1204798898627124E-2</c:v>
                </c:pt>
                <c:pt idx="67">
                  <c:v>2.103645773730696E-2</c:v>
                </c:pt>
                <c:pt idx="68">
                  <c:v>2.0876940885671255E-2</c:v>
                </c:pt>
                <c:pt idx="69">
                  <c:v>2.0725732764142274E-2</c:v>
                </c:pt>
                <c:pt idx="70">
                  <c:v>2.0582352587828388E-2</c:v>
                </c:pt>
                <c:pt idx="71">
                  <c:v>2.0446351620018875E-2</c:v>
                </c:pt>
                <c:pt idx="72">
                  <c:v>2.0317310675607055E-2</c:v>
                </c:pt>
                <c:pt idx="73">
                  <c:v>2.019483784888022E-2</c:v>
                </c:pt>
                <c:pt idx="74">
                  <c:v>2.0078566442991174E-2</c:v>
                </c:pt>
                <c:pt idx="75">
                  <c:v>1.9968153080952001E-2</c:v>
                </c:pt>
                <c:pt idx="76">
                  <c:v>1.9863275980210197E-2</c:v>
                </c:pt>
                <c:pt idx="77">
                  <c:v>1.9763633374822336E-2</c:v>
                </c:pt>
                <c:pt idx="78">
                  <c:v>1.9668942070963383E-2</c:v>
                </c:pt>
                <c:pt idx="79">
                  <c:v>1.9578936123031177E-2</c:v>
                </c:pt>
                <c:pt idx="80">
                  <c:v>1.9493365618950549E-2</c:v>
                </c:pt>
                <c:pt idx="81">
                  <c:v>1.9411995564472095E-2</c:v>
                </c:pt>
                <c:pt idx="82">
                  <c:v>1.9334604857315758E-2</c:v>
                </c:pt>
                <c:pt idx="83">
                  <c:v>1.9260985342945989E-2</c:v>
                </c:pt>
                <c:pt idx="84">
                  <c:v>1.91909409445974E-2</c:v>
                </c:pt>
                <c:pt idx="85">
                  <c:v>1.9124286860910108E-2</c:v>
                </c:pt>
                <c:pt idx="86">
                  <c:v>1.9060848825193374E-2</c:v>
                </c:pt>
                <c:pt idx="87">
                  <c:v>1.9000462420924409E-2</c:v>
                </c:pt>
                <c:pt idx="88">
                  <c:v>1.894297244861394E-2</c:v>
                </c:pt>
                <c:pt idx="89">
                  <c:v>1.8888232339639665E-2</c:v>
                </c:pt>
                <c:pt idx="90">
                  <c:v>1.8836103613068415E-2</c:v>
                </c:pt>
                <c:pt idx="91">
                  <c:v>1.8786455371864068E-2</c:v>
                </c:pt>
                <c:pt idx="92">
                  <c:v>1.8739163835215428E-2</c:v>
                </c:pt>
                <c:pt idx="93">
                  <c:v>1.8694111904021198E-2</c:v>
                </c:pt>
                <c:pt idx="94">
                  <c:v>1.8651188756840926E-2</c:v>
                </c:pt>
                <c:pt idx="95">
                  <c:v>1.8610289473865761E-2</c:v>
                </c:pt>
                <c:pt idx="96">
                  <c:v>1.8571314686683073E-2</c:v>
                </c:pt>
                <c:pt idx="97">
                  <c:v>1.853417025180738E-2</c:v>
                </c:pt>
                <c:pt idx="98">
                  <c:v>1.8498766946129421E-2</c:v>
                </c:pt>
                <c:pt idx="99">
                  <c:v>1.8465020182596749E-2</c:v>
                </c:pt>
                <c:pt idx="100">
                  <c:v>1.8432849744585401E-2</c:v>
                </c:pt>
                <c:pt idx="101">
                  <c:v>1.8402179537554578E-2</c:v>
                </c:pt>
                <c:pt idx="102">
                  <c:v>1.8372937356695724E-2</c:v>
                </c:pt>
                <c:pt idx="103">
                  <c:v>1.8345054669396343E-2</c:v>
                </c:pt>
                <c:pt idx="104">
                  <c:v>1.8318466411436762E-2</c:v>
                </c:pt>
                <c:pt idx="105">
                  <c:v>1.8293110795927874E-2</c:v>
                </c:pt>
                <c:pt idx="106">
                  <c:v>1.8268929134078845E-2</c:v>
                </c:pt>
                <c:pt idx="107">
                  <c:v>1.8245865666957625E-2</c:v>
                </c:pt>
                <c:pt idx="108">
                  <c:v>1.8223867407474382E-2</c:v>
                </c:pt>
                <c:pt idx="109">
                  <c:v>1.8202883991879099E-2</c:v>
                </c:pt>
                <c:pt idx="110">
                  <c:v>1.8182867540120443E-2</c:v>
                </c:pt>
                <c:pt idx="111">
                  <c:v>1.8163772524463963E-2</c:v>
                </c:pt>
                <c:pt idx="112">
                  <c:v>1.8145555645814014E-2</c:v>
                </c:pt>
                <c:pt idx="113">
                  <c:v>1.8128175717226573E-2</c:v>
                </c:pt>
                <c:pt idx="114">
                  <c:v>1.8111593554138657E-2</c:v>
                </c:pt>
                <c:pt idx="115">
                  <c:v>1.8095771870875948E-2</c:v>
                </c:pt>
                <c:pt idx="116">
                  <c:v>1.8080675183032538E-2</c:v>
                </c:pt>
                <c:pt idx="117">
                  <c:v>1.8066269715346774E-2</c:v>
                </c:pt>
                <c:pt idx="118">
                  <c:v>1.8052523314724563E-2</c:v>
                </c:pt>
                <c:pt idx="119">
                  <c:v>1.8039405368086583E-2</c:v>
                </c:pt>
                <c:pt idx="120">
                  <c:v>1.8026886724739049E-2</c:v>
                </c:pt>
                <c:pt idx="121">
                  <c:v>1.8014939622988956E-2</c:v>
                </c:pt>
                <c:pt idx="122">
                  <c:v>1.8003537620744289E-2</c:v>
                </c:pt>
                <c:pt idx="123">
                  <c:v>1.7992655529857623E-2</c:v>
                </c:pt>
                <c:pt idx="124">
                  <c:v>1.7982269353988341E-2</c:v>
                </c:pt>
                <c:pt idx="125">
                  <c:v>1.7972356229773841E-2</c:v>
                </c:pt>
                <c:pt idx="126">
                  <c:v>1.7962894371114355E-2</c:v>
                </c:pt>
                <c:pt idx="127">
                  <c:v>1.7953863016389016E-2</c:v>
                </c:pt>
                <c:pt idx="128">
                  <c:v>1.7945242378432941E-2</c:v>
                </c:pt>
                <c:pt idx="129">
                  <c:v>1.7937013597116223E-2</c:v>
                </c:pt>
                <c:pt idx="130">
                  <c:v>1.7929158694376075E-2</c:v>
                </c:pt>
                <c:pt idx="131">
                  <c:v>1.7921660531563008E-2</c:v>
                </c:pt>
                <c:pt idx="132">
                  <c:v>1.791450276897065E-2</c:v>
                </c:pt>
                <c:pt idx="133">
                  <c:v>1.7907669827427419E-2</c:v>
                </c:pt>
                <c:pt idx="134">
                  <c:v>1.790114685183531E-2</c:v>
                </c:pt>
                <c:pt idx="135">
                  <c:v>1.789491967654884E-2</c:v>
                </c:pt>
                <c:pt idx="136">
                  <c:v>1.7888974792493292E-2</c:v>
                </c:pt>
                <c:pt idx="137">
                  <c:v>1.7883299315927789E-2</c:v>
                </c:pt>
                <c:pt idx="138">
                  <c:v>1.7877880958764407E-2</c:v>
                </c:pt>
                <c:pt idx="139">
                  <c:v>1.7872708000359862E-2</c:v>
                </c:pt>
                <c:pt idx="140">
                  <c:v>1.7867769260701227E-2</c:v>
                </c:pt>
                <c:pt idx="141">
                  <c:v>1.7863054074911833E-2</c:v>
                </c:pt>
                <c:pt idx="142">
                  <c:v>1.7858552269007875E-2</c:v>
                </c:pt>
                <c:pt idx="143">
                  <c:v>1.7854254136840064E-2</c:v>
                </c:pt>
                <c:pt idx="144">
                  <c:v>1.7850150418158801E-2</c:v>
                </c:pt>
                <c:pt idx="145">
                  <c:v>1.7846232277744511E-2</c:v>
                </c:pt>
                <c:pt idx="146">
                  <c:v>1.7842491285548327E-2</c:v>
                </c:pt>
                <c:pt idx="147">
                  <c:v>1.7838919397791336E-2</c:v>
                </c:pt>
                <c:pt idx="148">
                  <c:v>1.7835508938973402E-2</c:v>
                </c:pt>
                <c:pt idx="149">
                  <c:v>1.7832252584745495E-2</c:v>
                </c:pt>
                <c:pt idx="150">
                  <c:v>1.7829143345601792E-2</c:v>
                </c:pt>
                <c:pt idx="151">
                  <c:v>1.7826174551350372E-2</c:v>
                </c:pt>
                <c:pt idx="152">
                  <c:v>1.7823339836323449E-2</c:v>
                </c:pt>
                <c:pt idx="153">
                  <c:v>1.7820633125290301E-2</c:v>
                </c:pt>
                <c:pt idx="154">
                  <c:v>1.7818048620037941E-2</c:v>
                </c:pt>
                <c:pt idx="155">
                  <c:v>1.7815580786586488E-2</c:v>
                </c:pt>
                <c:pt idx="156">
                  <c:v>1.7813224343007989E-2</c:v>
                </c:pt>
                <c:pt idx="157">
                  <c:v>1.7810974247819005E-2</c:v>
                </c:pt>
                <c:pt idx="158">
                  <c:v>1.7808825688918853E-2</c:v>
                </c:pt>
                <c:pt idx="159">
                  <c:v>1.7806774073046983E-2</c:v>
                </c:pt>
                <c:pt idx="160">
                  <c:v>1.7804815015734107E-2</c:v>
                </c:pt>
                <c:pt idx="161">
                  <c:v>1.7802944331723282E-2</c:v>
                </c:pt>
                <c:pt idx="162">
                  <c:v>1.7801158025838131E-2</c:v>
                </c:pt>
                <c:pt idx="163">
                  <c:v>1.7799452284276724E-2</c:v>
                </c:pt>
                <c:pt idx="164">
                  <c:v>1.7797823466310623E-2</c:v>
                </c:pt>
                <c:pt idx="165">
                  <c:v>1.7796268096369711E-2</c:v>
                </c:pt>
                <c:pt idx="166">
                  <c:v>1.7794782856494357E-2</c:v>
                </c:pt>
                <c:pt idx="167">
                  <c:v>1.7793364579137334E-2</c:v>
                </c:pt>
                <c:pt idx="168">
                  <c:v>1.779201024029901E-2</c:v>
                </c:pt>
                <c:pt idx="169">
                  <c:v>1.7790716952979825E-2</c:v>
                </c:pt>
                <c:pt idx="170">
                  <c:v>1.7789481960935175E-2</c:v>
                </c:pt>
                <c:pt idx="171">
                  <c:v>1.77883026327183E-2</c:v>
                </c:pt>
                <c:pt idx="172">
                  <c:v>1.7787176455997686E-2</c:v>
                </c:pt>
                <c:pt idx="173">
                  <c:v>1.7786101032136008E-2</c:v>
                </c:pt>
                <c:pt idx="174">
                  <c:v>1.7785074071018359E-2</c:v>
                </c:pt>
                <c:pt idx="175">
                  <c:v>1.7784093386118072E-2</c:v>
                </c:pt>
                <c:pt idx="176">
                  <c:v>1.7783156889789011E-2</c:v>
                </c:pt>
                <c:pt idx="177">
                  <c:v>1.7782262588773745E-2</c:v>
                </c:pt>
                <c:pt idx="178">
                  <c:v>1.7781408579917543E-2</c:v>
                </c:pt>
              </c:numCache>
            </c:numRef>
          </c:yVal>
        </c:ser>
        <c:ser>
          <c:idx val="2"/>
          <c:order val="2"/>
          <c:tx>
            <c:strRef>
              <c:f>'Sheet1 (2)'!$M$54</c:f>
              <c:strCache>
                <c:ptCount val="1"/>
                <c:pt idx="0">
                  <c:v>logistic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'Sheet1 (2)'!$J$55:$J$233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'Sheet1 (2)'!$M$55:$M$233</c:f>
              <c:numCache>
                <c:formatCode>General</c:formatCode>
                <c:ptCount val="179"/>
                <c:pt idx="0">
                  <c:v>1.5783257497374653E-3</c:v>
                </c:pt>
                <c:pt idx="1">
                  <c:v>2.1143957488366761E-3</c:v>
                </c:pt>
                <c:pt idx="2">
                  <c:v>2.7952109004247116E-3</c:v>
                </c:pt>
                <c:pt idx="3">
                  <c:v>3.6484951353340693E-3</c:v>
                </c:pt>
                <c:pt idx="4">
                  <c:v>4.7042729350256331E-3</c:v>
                </c:pt>
                <c:pt idx="5">
                  <c:v>5.9942126991837045E-3</c:v>
                </c:pt>
                <c:pt idx="6">
                  <c:v>7.5506102769092387E-3</c:v>
                </c:pt>
                <c:pt idx="7">
                  <c:v>9.4048989621139233E-3</c:v>
                </c:pt>
                <c:pt idx="8">
                  <c:v>1.1585554170036752E-2</c:v>
                </c:pt>
                <c:pt idx="9">
                  <c:v>1.4115262595714738E-2</c:v>
                </c:pt>
                <c:pt idx="10">
                  <c:v>1.7007269070855303E-2</c:v>
                </c:pt>
                <c:pt idx="11">
                  <c:v>2.0260928950096933E-2</c:v>
                </c:pt>
                <c:pt idx="12">
                  <c:v>2.3856709217906134E-2</c:v>
                </c:pt>
                <c:pt idx="13">
                  <c:v>2.7751209993634573E-2</c:v>
                </c:pt>
                <c:pt idx="14">
                  <c:v>3.1873185551030414E-2</c:v>
                </c:pt>
                <c:pt idx="15">
                  <c:v>3.6121916110268437E-2</c:v>
                </c:pt>
                <c:pt idx="16">
                  <c:v>4.0369412041179206E-2</c:v>
                </c:pt>
                <c:pt idx="17">
                  <c:v>4.4467572200445067E-2</c:v>
                </c:pt>
                <c:pt idx="18">
                  <c:v>4.8260417005005073E-2</c:v>
                </c:pt>
                <c:pt idx="19">
                  <c:v>5.1600008874017188E-2</c:v>
                </c:pt>
                <c:pt idx="20">
                  <c:v>5.4363171478119962E-2</c:v>
                </c:pt>
                <c:pt idx="21">
                  <c:v>5.6465354143016545E-2</c:v>
                </c:pt>
                <c:pt idx="22">
                  <c:v>5.7868483357483638E-2</c:v>
                </c:pt>
                <c:pt idx="23">
                  <c:v>5.8581316329708075E-2</c:v>
                </c:pt>
                <c:pt idx="24">
                  <c:v>5.8652945401928461E-2</c:v>
                </c:pt>
                <c:pt idx="25">
                  <c:v>5.8161774997142424E-2</c:v>
                </c:pt>
                <c:pt idx="26">
                  <c:v>5.7202925793499504E-2</c:v>
                </c:pt>
                <c:pt idx="27">
                  <c:v>5.5876626913730978E-2</c:v>
                </c:pt>
                <c:pt idx="28">
                  <c:v>5.4279177282294241E-2</c:v>
                </c:pt>
                <c:pt idx="29">
                  <c:v>5.2497010962180506E-2</c:v>
                </c:pt>
                <c:pt idx="30">
                  <c:v>5.0603627152584187E-2</c:v>
                </c:pt>
                <c:pt idx="31">
                  <c:v>4.8658742892316434E-2</c:v>
                </c:pt>
                <c:pt idx="32">
                  <c:v>4.6708931111103504E-2</c:v>
                </c:pt>
                <c:pt idx="33">
                  <c:v>4.4789095803959282E-2</c:v>
                </c:pt>
                <c:pt idx="34">
                  <c:v>4.2924299568562946E-2</c:v>
                </c:pt>
                <c:pt idx="35">
                  <c:v>4.113162546282851E-2</c:v>
                </c:pt>
                <c:pt idx="36">
                  <c:v>3.9421891353157393E-2</c:v>
                </c:pt>
                <c:pt idx="37">
                  <c:v>3.7801131871352617E-2</c:v>
                </c:pt>
                <c:pt idx="38">
                  <c:v>3.6271824817845938E-2</c:v>
                </c:pt>
                <c:pt idx="39">
                  <c:v>3.4833873874037427E-2</c:v>
                </c:pt>
                <c:pt idx="40">
                  <c:v>3.3485376428837352E-2</c:v>
                </c:pt>
                <c:pt idx="41">
                  <c:v>3.222321111013067E-2</c:v>
                </c:pt>
                <c:pt idx="42">
                  <c:v>3.104347915406766E-2</c:v>
                </c:pt>
                <c:pt idx="43">
                  <c:v>2.9941830230235715E-2</c:v>
                </c:pt>
                <c:pt idx="44">
                  <c:v>2.8913698680017693E-2</c:v>
                </c:pt>
                <c:pt idx="45">
                  <c:v>2.7954471372559887E-2</c:v>
                </c:pt>
                <c:pt idx="46">
                  <c:v>2.7059604055189885E-2</c:v>
                </c:pt>
                <c:pt idx="47">
                  <c:v>2.6224699376149962E-2</c:v>
                </c:pt>
                <c:pt idx="48">
                  <c:v>2.544555671960836E-2</c:v>
                </c:pt>
                <c:pt idx="49">
                  <c:v>2.4718201564723232E-2</c:v>
                </c:pt>
                <c:pt idx="50">
                  <c:v>2.4038900176904514E-2</c:v>
                </c:pt>
                <c:pt idx="51">
                  <c:v>2.3404163968269862E-2</c:v>
                </c:pt>
                <c:pt idx="52">
                  <c:v>2.2810746739757162E-2</c:v>
                </c:pt>
                <c:pt idx="53">
                  <c:v>2.2255637165198645E-2</c:v>
                </c:pt>
                <c:pt idx="54">
                  <c:v>2.1736048236492479E-2</c:v>
                </c:pt>
                <c:pt idx="55">
                  <c:v>2.1249404909547739E-2</c:v>
                </c:pt>
                <c:pt idx="56">
                  <c:v>2.0793330834152891E-2</c:v>
                </c:pt>
                <c:pt idx="57">
                  <c:v>2.0365634787252916E-2</c:v>
                </c:pt>
                <c:pt idx="58">
                  <c:v>1.9964297235237793E-2</c:v>
                </c:pt>
                <c:pt idx="59">
                  <c:v>1.9587457309173859E-2</c:v>
                </c:pt>
                <c:pt idx="60">
                  <c:v>1.9233400374147839E-2</c:v>
                </c:pt>
                <c:pt idx="61">
                  <c:v>1.8900546300023448E-2</c:v>
                </c:pt>
                <c:pt idx="62">
                  <c:v>1.8587438488411361E-2</c:v>
                </c:pt>
                <c:pt idx="63">
                  <c:v>1.8292733673897672E-2</c:v>
                </c:pt>
                <c:pt idx="64">
                  <c:v>1.8015192492365321E-2</c:v>
                </c:pt>
                <c:pt idx="65">
                  <c:v>1.7753670792450403E-2</c:v>
                </c:pt>
                <c:pt idx="66">
                  <c:v>1.7507111655480159E-2</c:v>
                </c:pt>
                <c:pt idx="67">
                  <c:v>1.7274538082922484E-2</c:v>
                </c:pt>
                <c:pt idx="68">
                  <c:v>1.7055046307167719E-2</c:v>
                </c:pt>
                <c:pt idx="69">
                  <c:v>1.6847799680429029E-2</c:v>
                </c:pt>
                <c:pt idx="70">
                  <c:v>1.665202309700237E-2</c:v>
                </c:pt>
                <c:pt idx="71">
                  <c:v>1.6466997905572187E-2</c:v>
                </c:pt>
                <c:pt idx="72">
                  <c:v>1.6292057270323474E-2</c:v>
                </c:pt>
                <c:pt idx="73">
                  <c:v>1.6126581942064389E-2</c:v>
                </c:pt>
                <c:pt idx="74">
                  <c:v>1.5969996403193621E-2</c:v>
                </c:pt>
                <c:pt idx="75">
                  <c:v>1.5821765353032775E-2</c:v>
                </c:pt>
                <c:pt idx="76">
                  <c:v>1.5681390502699528E-2</c:v>
                </c:pt>
                <c:pt idx="77">
                  <c:v>1.5548407651263011E-2</c:v>
                </c:pt>
                <c:pt idx="78">
                  <c:v>1.5422384017361996E-2</c:v>
                </c:pt>
                <c:pt idx="79">
                  <c:v>1.5302915802757638E-2</c:v>
                </c:pt>
                <c:pt idx="80">
                  <c:v>1.5189625966424586E-2</c:v>
                </c:pt>
                <c:pt idx="81">
                  <c:v>1.5082162189755133E-2</c:v>
                </c:pt>
                <c:pt idx="82">
                  <c:v>1.4980195015261573E-2</c:v>
                </c:pt>
                <c:pt idx="83">
                  <c:v>1.4883416142819328E-2</c:v>
                </c:pt>
                <c:pt idx="84">
                  <c:v>1.4791536869004085E-2</c:v>
                </c:pt>
                <c:pt idx="85">
                  <c:v>1.4704286656450242E-2</c:v>
                </c:pt>
                <c:pt idx="86">
                  <c:v>1.4621411821404497E-2</c:v>
                </c:pt>
                <c:pt idx="87">
                  <c:v>1.4542674328777736E-2</c:v>
                </c:pt>
                <c:pt idx="88">
                  <c:v>1.4467850685019637E-2</c:v>
                </c:pt>
                <c:pt idx="89">
                  <c:v>1.4396730920063546E-2</c:v>
                </c:pt>
                <c:pt idx="90">
                  <c:v>1.4329117650422517E-2</c:v>
                </c:pt>
                <c:pt idx="91">
                  <c:v>1.4264825216269487E-2</c:v>
                </c:pt>
                <c:pt idx="92">
                  <c:v>1.4203678886013095E-2</c:v>
                </c:pt>
                <c:pt idx="93">
                  <c:v>1.414551412249249E-2</c:v>
                </c:pt>
                <c:pt idx="94">
                  <c:v>1.4090175905466155E-2</c:v>
                </c:pt>
                <c:pt idx="95">
                  <c:v>1.4037518105567704E-2</c:v>
                </c:pt>
                <c:pt idx="96">
                  <c:v>1.3987402905350093E-2</c:v>
                </c:pt>
                <c:pt idx="97">
                  <c:v>1.3939700263444699E-2</c:v>
                </c:pt>
                <c:pt idx="98">
                  <c:v>1.3894287418227076E-2</c:v>
                </c:pt>
                <c:pt idx="99">
                  <c:v>1.385104842771083E-2</c:v>
                </c:pt>
                <c:pt idx="100">
                  <c:v>1.3809873742688822E-2</c:v>
                </c:pt>
                <c:pt idx="101">
                  <c:v>1.3770659810409869E-2</c:v>
                </c:pt>
                <c:pt idx="102">
                  <c:v>1.3733308706322118E-2</c:v>
                </c:pt>
                <c:pt idx="103">
                  <c:v>1.3697727791634032E-2</c:v>
                </c:pt>
                <c:pt idx="104">
                  <c:v>1.3663829394642694E-2</c:v>
                </c:pt>
                <c:pt idx="105">
                  <c:v>1.3631530513959071E-2</c:v>
                </c:pt>
                <c:pt idx="106">
                  <c:v>1.3600752541922806E-2</c:v>
                </c:pt>
                <c:pt idx="107">
                  <c:v>1.3571421006646711E-2</c:v>
                </c:pt>
                <c:pt idx="108">
                  <c:v>1.3543465331265013E-2</c:v>
                </c:pt>
                <c:pt idx="109">
                  <c:v>1.3516818609080855E-2</c:v>
                </c:pt>
                <c:pt idx="110">
                  <c:v>1.3491417393418676E-2</c:v>
                </c:pt>
                <c:pt idx="111">
                  <c:v>1.3467201501087359E-2</c:v>
                </c:pt>
                <c:pt idx="112">
                  <c:v>1.3444113828450871E-2</c:v>
                </c:pt>
                <c:pt idx="113">
                  <c:v>1.3422100179186021E-2</c:v>
                </c:pt>
                <c:pt idx="114">
                  <c:v>1.3401109102882162E-2</c:v>
                </c:pt>
                <c:pt idx="115">
                  <c:v>1.3381091743706287E-2</c:v>
                </c:pt>
                <c:pt idx="116">
                  <c:v>1.336200169841944E-2</c:v>
                </c:pt>
                <c:pt idx="117">
                  <c:v>1.3343794883087432E-2</c:v>
                </c:pt>
                <c:pt idx="118">
                  <c:v>1.3326429407880631E-2</c:v>
                </c:pt>
                <c:pt idx="119">
                  <c:v>1.330986545940536E-2</c:v>
                </c:pt>
                <c:pt idx="120">
                  <c:v>1.3294065190052497E-2</c:v>
                </c:pt>
                <c:pt idx="121">
                  <c:v>1.3278992613888803E-2</c:v>
                </c:pt>
                <c:pt idx="122">
                  <c:v>1.326461350865254E-2</c:v>
                </c:pt>
                <c:pt idx="123">
                  <c:v>1.3250895323448319E-2</c:v>
                </c:pt>
                <c:pt idx="124">
                  <c:v>1.3237807091766458E-2</c:v>
                </c:pt>
                <c:pt idx="125">
                  <c:v>1.3225319349480041E-2</c:v>
                </c:pt>
                <c:pt idx="126">
                  <c:v>1.321340405749841E-2</c:v>
                </c:pt>
                <c:pt idx="127">
                  <c:v>1.3202034528779423E-2</c:v>
                </c:pt>
                <c:pt idx="128">
                  <c:v>1.3191185359424219E-2</c:v>
                </c:pt>
                <c:pt idx="129">
                  <c:v>1.318083236359819E-2</c:v>
                </c:pt>
                <c:pt idx="130">
                  <c:v>1.3170952512040056E-2</c:v>
                </c:pt>
                <c:pt idx="131">
                  <c:v>1.3161523873937674E-2</c:v>
                </c:pt>
                <c:pt idx="132">
                  <c:v>1.3152525561964775E-2</c:v>
                </c:pt>
                <c:pt idx="133">
                  <c:v>1.3143937680287024E-2</c:v>
                </c:pt>
                <c:pt idx="134">
                  <c:v>1.3135741275358891E-2</c:v>
                </c:pt>
                <c:pt idx="135">
                  <c:v>1.3127918289345062E-2</c:v>
                </c:pt>
                <c:pt idx="136">
                  <c:v>1.3120451516011234E-2</c:v>
                </c:pt>
                <c:pt idx="137">
                  <c:v>1.3113324558939553E-2</c:v>
                </c:pt>
                <c:pt idx="138">
                  <c:v>1.3106521791933492E-2</c:v>
                </c:pt>
                <c:pt idx="139">
                  <c:v>1.3100028321485839E-2</c:v>
                </c:pt>
                <c:pt idx="140">
                  <c:v>1.3093829951191694E-2</c:v>
                </c:pt>
                <c:pt idx="141">
                  <c:v>1.3087913147995955E-2</c:v>
                </c:pt>
                <c:pt idx="142">
                  <c:v>1.3082265010171882E-2</c:v>
                </c:pt>
                <c:pt idx="143">
                  <c:v>1.3076873236933732E-2</c:v>
                </c:pt>
                <c:pt idx="144">
                  <c:v>1.3071726099592756E-2</c:v>
                </c:pt>
                <c:pt idx="145">
                  <c:v>1.3066812414171307E-2</c:v>
                </c:pt>
                <c:pt idx="146">
                  <c:v>1.3062121515395092E-2</c:v>
                </c:pt>
                <c:pt idx="147">
                  <c:v>1.3057643231988677E-2</c:v>
                </c:pt>
                <c:pt idx="148">
                  <c:v>1.3053367863203536E-2</c:v>
                </c:pt>
                <c:pt idx="149">
                  <c:v>1.304928615651257E-2</c:v>
                </c:pt>
                <c:pt idx="150">
                  <c:v>1.3045389286408695E-2</c:v>
                </c:pt>
                <c:pt idx="151">
                  <c:v>1.3041668834248874E-2</c:v>
                </c:pt>
                <c:pt idx="152">
                  <c:v>1.3038116769088488E-2</c:v>
                </c:pt>
                <c:pt idx="153">
                  <c:v>1.3034725429453959E-2</c:v>
                </c:pt>
                <c:pt idx="154">
                  <c:v>1.3031487506004741E-2</c:v>
                </c:pt>
                <c:pt idx="155">
                  <c:v>1.3028396025038512E-2</c:v>
                </c:pt>
                <c:pt idx="156">
                  <c:v>1.302544433279597E-2</c:v>
                </c:pt>
                <c:pt idx="157">
                  <c:v>1.3022626080524216E-2</c:v>
                </c:pt>
                <c:pt idx="158">
                  <c:v>1.3019935210259931E-2</c:v>
                </c:pt>
                <c:pt idx="159">
                  <c:v>1.3017365941295704E-2</c:v>
                </c:pt>
                <c:pt idx="160">
                  <c:v>1.301491275729497E-2</c:v>
                </c:pt>
                <c:pt idx="161">
                  <c:v>1.3012570394022807E-2</c:v>
                </c:pt>
                <c:pt idx="162">
                  <c:v>1.3010333827661742E-2</c:v>
                </c:pt>
                <c:pt idx="163">
                  <c:v>1.3008198263683267E-2</c:v>
                </c:pt>
                <c:pt idx="164">
                  <c:v>1.3006159126247478E-2</c:v>
                </c:pt>
                <c:pt idx="165">
                  <c:v>1.3004212048104591E-2</c:v>
                </c:pt>
                <c:pt idx="166">
                  <c:v>1.3002352860973589E-2</c:v>
                </c:pt>
                <c:pt idx="167">
                  <c:v>1.3000577586374499E-2</c:v>
                </c:pt>
                <c:pt idx="168">
                  <c:v>1.2998882426892084E-2</c:v>
                </c:pt>
                <c:pt idx="169">
                  <c:v>1.2997263757849863E-2</c:v>
                </c:pt>
                <c:pt idx="170">
                  <c:v>1.299571811937442E-2</c:v>
                </c:pt>
                <c:pt idx="171">
                  <c:v>1.299424220883119E-2</c:v>
                </c:pt>
                <c:pt idx="172">
                  <c:v>1.2992832873613568E-2</c:v>
                </c:pt>
                <c:pt idx="173">
                  <c:v>1.2991487104268451E-2</c:v>
                </c:pt>
                <c:pt idx="174">
                  <c:v>1.2990202027941924E-2</c:v>
                </c:pt>
                <c:pt idx="175">
                  <c:v>1.2988974902129786E-2</c:v>
                </c:pt>
                <c:pt idx="176">
                  <c:v>1.2987803108718277E-2</c:v>
                </c:pt>
                <c:pt idx="177">
                  <c:v>1.2986684148301205E-2</c:v>
                </c:pt>
                <c:pt idx="178">
                  <c:v>1.2985615634760287E-2</c:v>
                </c:pt>
              </c:numCache>
            </c:numRef>
          </c:yVal>
        </c:ser>
        <c:ser>
          <c:idx val="3"/>
          <c:order val="3"/>
          <c:tx>
            <c:strRef>
              <c:f>'Sheet1 (2)'!$N$54</c:f>
              <c:strCache>
                <c:ptCount val="1"/>
                <c:pt idx="0">
                  <c:v>cauchy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'Sheet1 (2)'!$J$55:$J$233</c:f>
              <c:numCache>
                <c:formatCode>General</c:formatCode>
                <c:ptCount val="179"/>
                <c:pt idx="0">
                  <c:v>100000.00000000499</c:v>
                </c:pt>
                <c:pt idx="1">
                  <c:v>95499.258602148548</c:v>
                </c:pt>
                <c:pt idx="2">
                  <c:v>91201.083935595729</c:v>
                </c:pt>
                <c:pt idx="3">
                  <c:v>87096.358995612623</c:v>
                </c:pt>
                <c:pt idx="4">
                  <c:v>83176.377110271613</c:v>
                </c:pt>
                <c:pt idx="5">
                  <c:v>79432.823472432472</c:v>
                </c:pt>
                <c:pt idx="6">
                  <c:v>75857.757502922657</c:v>
                </c:pt>
                <c:pt idx="7">
                  <c:v>72443.596007503103</c:v>
                </c:pt>
                <c:pt idx="8">
                  <c:v>69183.097091897696</c:v>
                </c:pt>
                <c:pt idx="9">
                  <c:v>66069.344800763487</c:v>
                </c:pt>
                <c:pt idx="10">
                  <c:v>63095.734448023155</c:v>
                </c:pt>
                <c:pt idx="11">
                  <c:v>60255.958607439446</c:v>
                </c:pt>
                <c:pt idx="12">
                  <c:v>57543.99373371921</c:v>
                </c:pt>
                <c:pt idx="13">
                  <c:v>54954.087385765924</c:v>
                </c:pt>
                <c:pt idx="14">
                  <c:v>52480.746024980588</c:v>
                </c:pt>
                <c:pt idx="15">
                  <c:v>50118.723362730496</c:v>
                </c:pt>
                <c:pt idx="16">
                  <c:v>47863.009232266966</c:v>
                </c:pt>
                <c:pt idx="17">
                  <c:v>45708.818961490586</c:v>
                </c:pt>
                <c:pt idx="18">
                  <c:v>43651.583224019545</c:v>
                </c:pt>
                <c:pt idx="19">
                  <c:v>41686.938347036441</c:v>
                </c:pt>
                <c:pt idx="20">
                  <c:v>39810.717055352499</c:v>
                </c:pt>
                <c:pt idx="21">
                  <c:v>38018.939632058777</c:v>
                </c:pt>
                <c:pt idx="22">
                  <c:v>36307.805477012742</c:v>
                </c:pt>
                <c:pt idx="23">
                  <c:v>34673.685045255661</c:v>
                </c:pt>
                <c:pt idx="24">
                  <c:v>33113.112148261564</c:v>
                </c:pt>
                <c:pt idx="25">
                  <c:v>31622.776601686142</c:v>
                </c:pt>
                <c:pt idx="26">
                  <c:v>30199.517204022468</c:v>
                </c:pt>
                <c:pt idx="27">
                  <c:v>28840.315031268259</c:v>
                </c:pt>
                <c:pt idx="28">
                  <c:v>27542.287033383825</c:v>
                </c:pt>
                <c:pt idx="29">
                  <c:v>26302.679918955884</c:v>
                </c:pt>
                <c:pt idx="30">
                  <c:v>25118.864315097777</c:v>
                </c:pt>
                <c:pt idx="31">
                  <c:v>23988.32919019684</c:v>
                </c:pt>
                <c:pt idx="32">
                  <c:v>22908.676527679585</c:v>
                </c:pt>
                <c:pt idx="33">
                  <c:v>21877.61623949734</c:v>
                </c:pt>
                <c:pt idx="34">
                  <c:v>20892.96130854213</c:v>
                </c:pt>
                <c:pt idx="35">
                  <c:v>19952.623149690491</c:v>
                </c:pt>
                <c:pt idx="36">
                  <c:v>19054.607179634095</c:v>
                </c:pt>
                <c:pt idx="37">
                  <c:v>18197.008586101419</c:v>
                </c:pt>
                <c:pt idx="38">
                  <c:v>17378.008287495275</c:v>
                </c:pt>
                <c:pt idx="39">
                  <c:v>16595.86907437706</c:v>
                </c:pt>
                <c:pt idx="40">
                  <c:v>15848.931924612556</c:v>
                </c:pt>
                <c:pt idx="41">
                  <c:v>15135.612484363441</c:v>
                </c:pt>
                <c:pt idx="42">
                  <c:v>14454.397707460603</c:v>
                </c:pt>
                <c:pt idx="43">
                  <c:v>13803.842646030116</c:v>
                </c:pt>
                <c:pt idx="44">
                  <c:v>13182.567385565308</c:v>
                </c:pt>
                <c:pt idx="45">
                  <c:v>12589.254117942855</c:v>
                </c:pt>
                <c:pt idx="46">
                  <c:v>12022.644346175262</c:v>
                </c:pt>
                <c:pt idx="47">
                  <c:v>11481.536214969932</c:v>
                </c:pt>
                <c:pt idx="48">
                  <c:v>10964.781961432907</c:v>
                </c:pt>
                <c:pt idx="49">
                  <c:v>10471.285480510025</c:v>
                </c:pt>
                <c:pt idx="50">
                  <c:v>10000.000000000986</c:v>
                </c:pt>
                <c:pt idx="51">
                  <c:v>9549.9258602153022</c:v>
                </c:pt>
                <c:pt idx="52">
                  <c:v>9120.10839356</c:v>
                </c:pt>
                <c:pt idx="53">
                  <c:v>8709.6358995616702</c:v>
                </c:pt>
                <c:pt idx="54">
                  <c:v>8317.6377110275371</c:v>
                </c:pt>
                <c:pt idx="55">
                  <c:v>7943.2823472436057</c:v>
                </c:pt>
                <c:pt idx="56">
                  <c:v>7585.7757502925797</c:v>
                </c:pt>
                <c:pt idx="57">
                  <c:v>7244.3596007506112</c:v>
                </c:pt>
                <c:pt idx="58">
                  <c:v>6918.3097091900454</c:v>
                </c:pt>
                <c:pt idx="59">
                  <c:v>6606.9344800766112</c:v>
                </c:pt>
                <c:pt idx="60">
                  <c:v>6309.573444802556</c:v>
                </c:pt>
                <c:pt idx="61">
                  <c:v>6025.5958607441735</c:v>
                </c:pt>
                <c:pt idx="62">
                  <c:v>5754.3993733721391</c:v>
                </c:pt>
                <c:pt idx="63">
                  <c:v>5495.4087385767907</c:v>
                </c:pt>
                <c:pt idx="64">
                  <c:v>5248.0746024982391</c:v>
                </c:pt>
                <c:pt idx="65">
                  <c:v>5011.8723362732135</c:v>
                </c:pt>
                <c:pt idx="66">
                  <c:v>4786.3009232268532</c:v>
                </c:pt>
                <c:pt idx="67">
                  <c:v>4570.8818961491997</c:v>
                </c:pt>
                <c:pt idx="68">
                  <c:v>4365.1583224020897</c:v>
                </c:pt>
                <c:pt idx="69">
                  <c:v>4168.6938347037649</c:v>
                </c:pt>
                <c:pt idx="70">
                  <c:v>3981.0717055353662</c:v>
                </c:pt>
                <c:pt idx="71">
                  <c:v>3801.8939632059819</c:v>
                </c:pt>
                <c:pt idx="72">
                  <c:v>3630.7805477013667</c:v>
                </c:pt>
                <c:pt idx="73">
                  <c:v>3467.3685045256548</c:v>
                </c:pt>
                <c:pt idx="74">
                  <c:v>3311.3112148262348</c:v>
                </c:pt>
                <c:pt idx="75">
                  <c:v>3162.2776601686892</c:v>
                </c:pt>
                <c:pt idx="76">
                  <c:v>3019.9517204023127</c:v>
                </c:pt>
                <c:pt idx="77">
                  <c:v>2884.0315031268869</c:v>
                </c:pt>
                <c:pt idx="78">
                  <c:v>2754.2287033384355</c:v>
                </c:pt>
                <c:pt idx="79">
                  <c:v>2630.2679918956396</c:v>
                </c:pt>
                <c:pt idx="80">
                  <c:v>2511.8864315098267</c:v>
                </c:pt>
                <c:pt idx="81">
                  <c:v>2398.8329190197242</c:v>
                </c:pt>
                <c:pt idx="82">
                  <c:v>2290.8676527679968</c:v>
                </c:pt>
                <c:pt idx="83">
                  <c:v>2187.7616239497665</c:v>
                </c:pt>
                <c:pt idx="84">
                  <c:v>2089.2961308542422</c:v>
                </c:pt>
                <c:pt idx="85">
                  <c:v>1995.2623149690737</c:v>
                </c:pt>
                <c:pt idx="86">
                  <c:v>1905.4607179634329</c:v>
                </c:pt>
                <c:pt idx="87">
                  <c:v>1819.700858610161</c:v>
                </c:pt>
                <c:pt idx="88">
                  <c:v>1737.8008287495441</c:v>
                </c:pt>
                <c:pt idx="89">
                  <c:v>1659.5869074377222</c:v>
                </c:pt>
                <c:pt idx="90">
                  <c:v>1584.8931924612677</c:v>
                </c:pt>
                <c:pt idx="91">
                  <c:v>1513.561248436356</c:v>
                </c:pt>
                <c:pt idx="92">
                  <c:v>1445.4397707460676</c:v>
                </c:pt>
                <c:pt idx="93">
                  <c:v>1380.3842646030187</c:v>
                </c:pt>
                <c:pt idx="94">
                  <c:v>1318.2567385565353</c:v>
                </c:pt>
                <c:pt idx="95">
                  <c:v>1258.9254117942899</c:v>
                </c:pt>
                <c:pt idx="96">
                  <c:v>1202.2644346175291</c:v>
                </c:pt>
                <c:pt idx="97">
                  <c:v>1148.153621496994</c:v>
                </c:pt>
                <c:pt idx="98">
                  <c:v>1096.4781961432914</c:v>
                </c:pt>
                <c:pt idx="99">
                  <c:v>1047.1285480510005</c:v>
                </c:pt>
                <c:pt idx="100">
                  <c:v>1000.0000000000965</c:v>
                </c:pt>
                <c:pt idx="101">
                  <c:v>954.99258602152838</c:v>
                </c:pt>
                <c:pt idx="102">
                  <c:v>912.0108393559982</c:v>
                </c:pt>
                <c:pt idx="103">
                  <c:v>870.96358995616447</c:v>
                </c:pt>
                <c:pt idx="104">
                  <c:v>831.76377110275121</c:v>
                </c:pt>
                <c:pt idx="105">
                  <c:v>794.32823472435825</c:v>
                </c:pt>
                <c:pt idx="106">
                  <c:v>758.57757502925733</c:v>
                </c:pt>
                <c:pt idx="107">
                  <c:v>724.43596007505971</c:v>
                </c:pt>
                <c:pt idx="108">
                  <c:v>691.83097091900311</c:v>
                </c:pt>
                <c:pt idx="109">
                  <c:v>660.69344800765975</c:v>
                </c:pt>
                <c:pt idx="110">
                  <c:v>630.95734448025428</c:v>
                </c:pt>
                <c:pt idx="111">
                  <c:v>602.55958607441562</c:v>
                </c:pt>
                <c:pt idx="112">
                  <c:v>575.43993733721231</c:v>
                </c:pt>
                <c:pt idx="113">
                  <c:v>549.54087385767752</c:v>
                </c:pt>
                <c:pt idx="114">
                  <c:v>524.80746024982284</c:v>
                </c:pt>
                <c:pt idx="115">
                  <c:v>501.18723362732027</c:v>
                </c:pt>
                <c:pt idx="116">
                  <c:v>478.63009232268433</c:v>
                </c:pt>
                <c:pt idx="117">
                  <c:v>457.08818961491897</c:v>
                </c:pt>
                <c:pt idx="118">
                  <c:v>436.51583224020777</c:v>
                </c:pt>
                <c:pt idx="119">
                  <c:v>416.8693834703754</c:v>
                </c:pt>
                <c:pt idx="120">
                  <c:v>398.10717055353541</c:v>
                </c:pt>
                <c:pt idx="121">
                  <c:v>380.18939632059772</c:v>
                </c:pt>
                <c:pt idx="122">
                  <c:v>363.07805477013602</c:v>
                </c:pt>
                <c:pt idx="123">
                  <c:v>346.73685045256479</c:v>
                </c:pt>
                <c:pt idx="124">
                  <c:v>331.1311214826228</c:v>
                </c:pt>
                <c:pt idx="125">
                  <c:v>316.22776601686832</c:v>
                </c:pt>
                <c:pt idx="126">
                  <c:v>301.99517204023039</c:v>
                </c:pt>
                <c:pt idx="127">
                  <c:v>288.40315031268813</c:v>
                </c:pt>
                <c:pt idx="128">
                  <c:v>275.42287033384298</c:v>
                </c:pt>
                <c:pt idx="129">
                  <c:v>263.02679918956341</c:v>
                </c:pt>
                <c:pt idx="130">
                  <c:v>251.18864315098193</c:v>
                </c:pt>
                <c:pt idx="131">
                  <c:v>239.88329190197194</c:v>
                </c:pt>
                <c:pt idx="132">
                  <c:v>229.08676527679921</c:v>
                </c:pt>
                <c:pt idx="133">
                  <c:v>218.77616239497601</c:v>
                </c:pt>
                <c:pt idx="134">
                  <c:v>208.92961308542382</c:v>
                </c:pt>
                <c:pt idx="135">
                  <c:v>199.52623149690697</c:v>
                </c:pt>
                <c:pt idx="136">
                  <c:v>190.54607179634291</c:v>
                </c:pt>
                <c:pt idx="137">
                  <c:v>181.97008586101558</c:v>
                </c:pt>
                <c:pt idx="138">
                  <c:v>173.78008287495405</c:v>
                </c:pt>
                <c:pt idx="139">
                  <c:v>165.95869074377185</c:v>
                </c:pt>
                <c:pt idx="140">
                  <c:v>158.48931924612646</c:v>
                </c:pt>
                <c:pt idx="141">
                  <c:v>151.35612484363514</c:v>
                </c:pt>
                <c:pt idx="142">
                  <c:v>144.54397707460646</c:v>
                </c:pt>
                <c:pt idx="143">
                  <c:v>138.03842646030159</c:v>
                </c:pt>
                <c:pt idx="144">
                  <c:v>131.82567385565326</c:v>
                </c:pt>
                <c:pt idx="145">
                  <c:v>125.89254117942862</c:v>
                </c:pt>
                <c:pt idx="146">
                  <c:v>120.22644346175269</c:v>
                </c:pt>
                <c:pt idx="147">
                  <c:v>114.81536214969915</c:v>
                </c:pt>
                <c:pt idx="148">
                  <c:v>109.64781961432884</c:v>
                </c:pt>
                <c:pt idx="149">
                  <c:v>104.71285480509984</c:v>
                </c:pt>
                <c:pt idx="150">
                  <c:v>100.00000000000946</c:v>
                </c:pt>
                <c:pt idx="151">
                  <c:v>95.499258602152651</c:v>
                </c:pt>
                <c:pt idx="152">
                  <c:v>91.201083935599556</c:v>
                </c:pt>
                <c:pt idx="153">
                  <c:v>87.096358995616271</c:v>
                </c:pt>
                <c:pt idx="154">
                  <c:v>83.176377110274956</c:v>
                </c:pt>
                <c:pt idx="155">
                  <c:v>79.432823472435672</c:v>
                </c:pt>
                <c:pt idx="156">
                  <c:v>75.857757502925509</c:v>
                </c:pt>
                <c:pt idx="157">
                  <c:v>72.443596007505832</c:v>
                </c:pt>
                <c:pt idx="158">
                  <c:v>69.18309709190018</c:v>
                </c:pt>
                <c:pt idx="159">
                  <c:v>66.069344800765847</c:v>
                </c:pt>
                <c:pt idx="160">
                  <c:v>63.095734448025254</c:v>
                </c:pt>
                <c:pt idx="161">
                  <c:v>60.255958607441443</c:v>
                </c:pt>
                <c:pt idx="162">
                  <c:v>57.543993733721116</c:v>
                </c:pt>
                <c:pt idx="163">
                  <c:v>54.954087385767593</c:v>
                </c:pt>
                <c:pt idx="164">
                  <c:v>52.480746024982174</c:v>
                </c:pt>
                <c:pt idx="165">
                  <c:v>50.118723362731934</c:v>
                </c:pt>
                <c:pt idx="166">
                  <c:v>47.863009232268325</c:v>
                </c:pt>
                <c:pt idx="167">
                  <c:v>45.708818961491794</c:v>
                </c:pt>
                <c:pt idx="168">
                  <c:v>43.651583224020683</c:v>
                </c:pt>
                <c:pt idx="169">
                  <c:v>41.686938347037447</c:v>
                </c:pt>
                <c:pt idx="170">
                  <c:v>39.81071705535345</c:v>
                </c:pt>
                <c:pt idx="171">
                  <c:v>38.018939632059684</c:v>
                </c:pt>
                <c:pt idx="172">
                  <c:v>36.307805477013524</c:v>
                </c:pt>
                <c:pt idx="173">
                  <c:v>34.673685045256413</c:v>
                </c:pt>
                <c:pt idx="174">
                  <c:v>33.113112148262204</c:v>
                </c:pt>
                <c:pt idx="175">
                  <c:v>31.622776601686752</c:v>
                </c:pt>
                <c:pt idx="176">
                  <c:v>30.199517204022982</c:v>
                </c:pt>
                <c:pt idx="177">
                  <c:v>28.840315031268741</c:v>
                </c:pt>
                <c:pt idx="178">
                  <c:v>27.542287033384234</c:v>
                </c:pt>
              </c:numCache>
            </c:numRef>
          </c:xVal>
          <c:yVal>
            <c:numRef>
              <c:f>'Sheet1 (2)'!$N$55:$N$233</c:f>
              <c:numCache>
                <c:formatCode>General</c:formatCode>
                <c:ptCount val="179"/>
                <c:pt idx="0">
                  <c:v>6.3492063492054766E-3</c:v>
                </c:pt>
                <c:pt idx="1">
                  <c:v>7.2112606002098728E-3</c:v>
                </c:pt>
                <c:pt idx="2">
                  <c:v>8.1999434063428477E-3</c:v>
                </c:pt>
                <c:pt idx="3">
                  <c:v>9.3340741086038268E-3</c:v>
                </c:pt>
                <c:pt idx="4">
                  <c:v>1.0634665072746128E-2</c:v>
                </c:pt>
                <c:pt idx="5">
                  <c:v>1.2124759890953027E-2</c:v>
                </c:pt>
                <c:pt idx="6">
                  <c:v>1.3828986660185994E-2</c:v>
                </c:pt>
                <c:pt idx="7">
                  <c:v>1.5772680909537158E-2</c:v>
                </c:pt>
                <c:pt idx="8">
                  <c:v>1.7980392811793332E-2</c:v>
                </c:pt>
                <c:pt idx="9">
                  <c:v>2.0473564656055841E-2</c:v>
                </c:pt>
                <c:pt idx="10">
                  <c:v>2.3267171684936732E-2</c:v>
                </c:pt>
                <c:pt idx="11">
                  <c:v>2.636520236858118E-2</c:v>
                </c:pt>
                <c:pt idx="12">
                  <c:v>2.9755066602868301E-2</c:v>
                </c:pt>
                <c:pt idx="13">
                  <c:v>3.3401412708832151E-2</c:v>
                </c:pt>
                <c:pt idx="14">
                  <c:v>3.7240411910725607E-2</c:v>
                </c:pt>
                <c:pt idx="15">
                  <c:v>4.1176223750245718E-2</c:v>
                </c:pt>
                <c:pt idx="16">
                  <c:v>4.5081800486801091E-2</c:v>
                </c:pt>
                <c:pt idx="17">
                  <c:v>4.8805977734614793E-2</c:v>
                </c:pt>
                <c:pt idx="18">
                  <c:v>5.2187536960128698E-2</c:v>
                </c:pt>
                <c:pt idx="19">
                  <c:v>5.5074657470560832E-2</c:v>
                </c:pt>
                <c:pt idx="20">
                  <c:v>5.734569722054772E-2</c:v>
                </c:pt>
                <c:pt idx="21">
                  <c:v>5.8925899123029223E-2</c:v>
                </c:pt>
                <c:pt idx="22">
                  <c:v>5.9795457062255815E-2</c:v>
                </c:pt>
                <c:pt idx="23">
                  <c:v>5.9987224946649619E-2</c:v>
                </c:pt>
                <c:pt idx="24">
                  <c:v>5.9575779253273529E-2</c:v>
                </c:pt>
                <c:pt idx="25">
                  <c:v>5.8661848399323167E-2</c:v>
                </c:pt>
                <c:pt idx="26">
                  <c:v>5.7356481623653977E-2</c:v>
                </c:pt>
                <c:pt idx="27">
                  <c:v>5.5768123098098948E-2</c:v>
                </c:pt>
                <c:pt idx="28">
                  <c:v>5.3993981353186928E-2</c:v>
                </c:pt>
                <c:pt idx="29">
                  <c:v>5.2115600074481912E-2</c:v>
                </c:pt>
                <c:pt idx="30">
                  <c:v>5.0197708491913677E-2</c:v>
                </c:pt>
                <c:pt idx="31">
                  <c:v>4.8289202564352721E-2</c:v>
                </c:pt>
                <c:pt idx="32">
                  <c:v>4.6425247916591583E-2</c:v>
                </c:pt>
                <c:pt idx="33">
                  <c:v>4.4629776662854524E-2</c:v>
                </c:pt>
                <c:pt idx="34">
                  <c:v>4.291793054836536E-2</c:v>
                </c:pt>
                <c:pt idx="35">
                  <c:v>4.1298220572410012E-2</c:v>
                </c:pt>
                <c:pt idx="36">
                  <c:v>3.9774317753000936E-2</c:v>
                </c:pt>
                <c:pt idx="37">
                  <c:v>3.8346473454463646E-2</c:v>
                </c:pt>
                <c:pt idx="38">
                  <c:v>3.7012609084455222E-2</c:v>
                </c:pt>
                <c:pt idx="39">
                  <c:v>3.5769130218145116E-2</c:v>
                </c:pt>
                <c:pt idx="40">
                  <c:v>3.461152110055616E-2</c:v>
                </c:pt>
                <c:pt idx="41">
                  <c:v>3.3534769563439745E-2</c:v>
                </c:pt>
                <c:pt idx="42">
                  <c:v>3.2533664056186462E-2</c:v>
                </c:pt>
                <c:pt idx="43">
                  <c:v>3.1602996031710733E-2</c:v>
                </c:pt>
                <c:pt idx="44">
                  <c:v>3.0737693395006965E-2</c:v>
                </c:pt>
                <c:pt idx="45">
                  <c:v>2.9932904467012252E-2</c:v>
                </c:pt>
                <c:pt idx="46">
                  <c:v>2.9184046942509163E-2</c:v>
                </c:pt>
                <c:pt idx="47">
                  <c:v>2.848683247822778E-2</c:v>
                </c:pt>
                <c:pt idx="48">
                  <c:v>2.7837274638453386E-2</c:v>
                </c:pt>
                <c:pt idx="49">
                  <c:v>2.723168575599522E-2</c:v>
                </c:pt>
                <c:pt idx="50">
                  <c:v>2.6666666666667834E-2</c:v>
                </c:pt>
                <c:pt idx="51">
                  <c:v>2.6139092106509554E-2</c:v>
                </c:pt>
                <c:pt idx="52">
                  <c:v>2.5646093713319613E-2</c:v>
                </c:pt>
                <c:pt idx="53">
                  <c:v>2.5185041963670236E-2</c:v>
                </c:pt>
                <c:pt idx="54">
                  <c:v>2.4753527939909221E-2</c:v>
                </c:pt>
                <c:pt idx="55">
                  <c:v>2.4349345511561562E-2</c:v>
                </c:pt>
                <c:pt idx="56">
                  <c:v>2.3970474297077951E-2</c:v>
                </c:pt>
                <c:pt idx="57">
                  <c:v>2.3615063619485743E-2</c:v>
                </c:pt>
                <c:pt idx="58">
                  <c:v>2.3281417564515978E-2</c:v>
                </c:pt>
                <c:pt idx="59">
                  <c:v>2.2967981178657042E-2</c:v>
                </c:pt>
                <c:pt idx="60">
                  <c:v>2.2673327797508708E-2</c:v>
                </c:pt>
                <c:pt idx="61">
                  <c:v>2.239614746470257E-2</c:v>
                </c:pt>
                <c:pt idx="62">
                  <c:v>2.2135236383421235E-2</c:v>
                </c:pt>
                <c:pt idx="63">
                  <c:v>2.1889487332537511E-2</c:v>
                </c:pt>
                <c:pt idx="64">
                  <c:v>2.165788097499605E-2</c:v>
                </c:pt>
                <c:pt idx="65">
                  <c:v>2.1439477985417638E-2</c:v>
                </c:pt>
                <c:pt idx="66">
                  <c:v>2.1233411925706363E-2</c:v>
                </c:pt>
                <c:pt idx="67">
                  <c:v>2.1038882800761136E-2</c:v>
                </c:pt>
                <c:pt idx="68">
                  <c:v>2.0855151230592041E-2</c:v>
                </c:pt>
                <c:pt idx="69">
                  <c:v>2.0681533179777969E-2</c:v>
                </c:pt>
                <c:pt idx="70">
                  <c:v>2.0517395189977451E-2</c:v>
                </c:pt>
                <c:pt idx="71">
                  <c:v>2.0362150065921528E-2</c:v>
                </c:pt>
                <c:pt idx="72">
                  <c:v>2.0215252969852007E-2</c:v>
                </c:pt>
                <c:pt idx="73">
                  <c:v>2.0076197883645078E-2</c:v>
                </c:pt>
                <c:pt idx="74">
                  <c:v>1.9944514401838982E-2</c:v>
                </c:pt>
                <c:pt idx="75">
                  <c:v>1.9819764822448262E-2</c:v>
                </c:pt>
                <c:pt idx="76">
                  <c:v>1.9701541505795499E-2</c:v>
                </c:pt>
                <c:pt idx="77">
                  <c:v>1.9589464474633569E-2</c:v>
                </c:pt>
                <c:pt idx="78">
                  <c:v>1.9483179231582794E-2</c:v>
                </c:pt>
                <c:pt idx="79">
                  <c:v>1.9382354772386937E-2</c:v>
                </c:pt>
                <c:pt idx="80">
                  <c:v>1.9286681775721331E-2</c:v>
                </c:pt>
                <c:pt idx="81">
                  <c:v>1.9195870952285581E-2</c:v>
                </c:pt>
                <c:pt idx="82">
                  <c:v>1.9109651537704365E-2</c:v>
                </c:pt>
                <c:pt idx="83">
                  <c:v>1.902776991536196E-2</c:v>
                </c:pt>
                <c:pt idx="84">
                  <c:v>1.8949988356728335E-2</c:v>
                </c:pt>
                <c:pt idx="85">
                  <c:v>1.8876083868014416E-2</c:v>
                </c:pt>
                <c:pt idx="86">
                  <c:v>1.8805847133136919E-2</c:v>
                </c:pt>
                <c:pt idx="87">
                  <c:v>1.8739081543994118E-2</c:v>
                </c:pt>
                <c:pt idx="88">
                  <c:v>1.867560230996539E-2</c:v>
                </c:pt>
                <c:pt idx="89">
                  <c:v>1.8615235639361953E-2</c:v>
                </c:pt>
                <c:pt idx="90">
                  <c:v>1.8557817986283812E-2</c:v>
                </c:pt>
                <c:pt idx="91">
                  <c:v>1.8503195356988276E-2</c:v>
                </c:pt>
                <c:pt idx="92">
                  <c:v>1.8451222670457401E-2</c:v>
                </c:pt>
                <c:pt idx="93">
                  <c:v>1.8401763168371839E-2</c:v>
                </c:pt>
                <c:pt idx="94">
                  <c:v>1.8354687870164657E-2</c:v>
                </c:pt>
                <c:pt idx="95">
                  <c:v>1.8309875069246157E-2</c:v>
                </c:pt>
                <c:pt idx="96">
                  <c:v>1.8267209866864739E-2</c:v>
                </c:pt>
                <c:pt idx="97">
                  <c:v>1.822658374040452E-2</c:v>
                </c:pt>
                <c:pt idx="98">
                  <c:v>1.8187894143221649E-2</c:v>
                </c:pt>
                <c:pt idx="99">
                  <c:v>1.8151044133391928E-2</c:v>
                </c:pt>
                <c:pt idx="100">
                  <c:v>1.8115942028985574E-2</c:v>
                </c:pt>
                <c:pt idx="101">
                  <c:v>1.8082501087703876E-2</c:v>
                </c:pt>
                <c:pt idx="102">
                  <c:v>1.8050639208909487E-2</c:v>
                </c:pt>
                <c:pt idx="103">
                  <c:v>1.8020278656259846E-2</c:v>
                </c:pt>
                <c:pt idx="104">
                  <c:v>1.7991345799313063E-2</c:v>
                </c:pt>
                <c:pt idx="105">
                  <c:v>1.7963770872620438E-2</c:v>
                </c:pt>
                <c:pt idx="106">
                  <c:v>1.7937487750950085E-2</c:v>
                </c:pt>
                <c:pt idx="107">
                  <c:v>1.7912433739404269E-2</c:v>
                </c:pt>
                <c:pt idx="108">
                  <c:v>1.7888549377299771E-2</c:v>
                </c:pt>
                <c:pt idx="109">
                  <c:v>1.7865778254777233E-2</c:v>
                </c:pt>
                <c:pt idx="110">
                  <c:v>1.7844066841193038E-2</c:v>
                </c:pt>
                <c:pt idx="111">
                  <c:v>1.7823364324426799E-2</c:v>
                </c:pt>
                <c:pt idx="112">
                  <c:v>1.7803622460309435E-2</c:v>
                </c:pt>
                <c:pt idx="113">
                  <c:v>1.778479543144245E-2</c:v>
                </c:pt>
                <c:pt idx="114">
                  <c:v>1.7766839714738573E-2</c:v>
                </c:pt>
                <c:pt idx="115">
                  <c:v>1.7749713957067911E-2</c:v>
                </c:pt>
                <c:pt idx="116">
                  <c:v>1.7733378858443231E-2</c:v>
                </c:pt>
                <c:pt idx="117">
                  <c:v>1.7717797062222949E-2</c:v>
                </c:pt>
                <c:pt idx="118">
                  <c:v>1.7702933051851128E-2</c:v>
                </c:pt>
                <c:pt idx="119">
                  <c:v>1.7688753053691605E-2</c:v>
                </c:pt>
                <c:pt idx="120">
                  <c:v>1.7675224945547064E-2</c:v>
                </c:pt>
                <c:pt idx="121">
                  <c:v>1.7662318170485459E-2</c:v>
                </c:pt>
                <c:pt idx="122">
                  <c:v>1.7650003655624604E-2</c:v>
                </c:pt>
                <c:pt idx="123">
                  <c:v>1.7638253735551817E-2</c:v>
                </c:pt>
                <c:pt idx="124">
                  <c:v>1.762704208007973E-2</c:v>
                </c:pt>
                <c:pt idx="125">
                  <c:v>1.7616343626061001E-2</c:v>
                </c:pt>
                <c:pt idx="126">
                  <c:v>1.7606134513005092E-2</c:v>
                </c:pt>
                <c:pt idx="127">
                  <c:v>1.7596392022258742E-2</c:v>
                </c:pt>
                <c:pt idx="128">
                  <c:v>1.7587094519528602E-2</c:v>
                </c:pt>
                <c:pt idx="129">
                  <c:v>1.7578221400540411E-2</c:v>
                </c:pt>
                <c:pt idx="130">
                  <c:v>1.7569753039643306E-2</c:v>
                </c:pt>
                <c:pt idx="131">
                  <c:v>1.7561670741181118E-2</c:v>
                </c:pt>
                <c:pt idx="132">
                  <c:v>1.7553956693464972E-2</c:v>
                </c:pt>
                <c:pt idx="133">
                  <c:v>1.7546593925192418E-2</c:v>
                </c:pt>
                <c:pt idx="134">
                  <c:v>1.7539566264169065E-2</c:v>
                </c:pt>
                <c:pt idx="135">
                  <c:v>1.7532858298198103E-2</c:v>
                </c:pt>
                <c:pt idx="136">
                  <c:v>1.7526455338012142E-2</c:v>
                </c:pt>
                <c:pt idx="137">
                  <c:v>1.7520343382129829E-2</c:v>
                </c:pt>
                <c:pt idx="138">
                  <c:v>1.7514509083527582E-2</c:v>
                </c:pt>
                <c:pt idx="139">
                  <c:v>1.7508939718023579E-2</c:v>
                </c:pt>
                <c:pt idx="140">
                  <c:v>1.7503623154277864E-2</c:v>
                </c:pt>
                <c:pt idx="141">
                  <c:v>1.7498547825318466E-2</c:v>
                </c:pt>
                <c:pt idx="142">
                  <c:v>1.7493702701508927E-2</c:v>
                </c:pt>
                <c:pt idx="143">
                  <c:v>1.748907726487816E-2</c:v>
                </c:pt>
                <c:pt idx="144">
                  <c:v>1.7484661484738123E-2</c:v>
                </c:pt>
                <c:pt idx="145">
                  <c:v>1.7480445794519465E-2</c:v>
                </c:pt>
                <c:pt idx="146">
                  <c:v>1.7476421069759631E-2</c:v>
                </c:pt>
                <c:pt idx="147">
                  <c:v>1.7472578607181558E-2</c:v>
                </c:pt>
                <c:pt idx="148">
                  <c:v>1.746891010480512E-2</c:v>
                </c:pt>
                <c:pt idx="149">
                  <c:v>1.7465407643036477E-2</c:v>
                </c:pt>
                <c:pt idx="150">
                  <c:v>1.7462063666684131E-2</c:v>
                </c:pt>
                <c:pt idx="151">
                  <c:v>1.7458870967853094E-2</c:v>
                </c:pt>
                <c:pt idx="152">
                  <c:v>1.7455822669671536E-2</c:v>
                </c:pt>
                <c:pt idx="153">
                  <c:v>1.7452912210806942E-2</c:v>
                </c:pt>
                <c:pt idx="154">
                  <c:v>1.7450133330731046E-2</c:v>
                </c:pt>
                <c:pt idx="155">
                  <c:v>1.7447480055695283E-2</c:v>
                </c:pt>
                <c:pt idx="156">
                  <c:v>1.7444946685380582E-2</c:v>
                </c:pt>
                <c:pt idx="157">
                  <c:v>1.7442527780187237E-2</c:v>
                </c:pt>
                <c:pt idx="158">
                  <c:v>1.7440218149132665E-2</c:v>
                </c:pt>
                <c:pt idx="159">
                  <c:v>1.743801283832639E-2</c:v>
                </c:pt>
                <c:pt idx="160">
                  <c:v>1.7435907119993481E-2</c:v>
                </c:pt>
                <c:pt idx="161">
                  <c:v>1.7433896482019054E-2</c:v>
                </c:pt>
                <c:pt idx="162">
                  <c:v>1.7431976617988034E-2</c:v>
                </c:pt>
                <c:pt idx="163">
                  <c:v>1.7430143417695637E-2</c:v>
                </c:pt>
                <c:pt idx="164">
                  <c:v>1.7428392958105457E-2</c:v>
                </c:pt>
                <c:pt idx="165">
                  <c:v>1.7426721494733163E-2</c:v>
                </c:pt>
                <c:pt idx="166">
                  <c:v>1.742512545343498E-2</c:v>
                </c:pt>
                <c:pt idx="167">
                  <c:v>1.7423601422581276E-2</c:v>
                </c:pt>
                <c:pt idx="168">
                  <c:v>1.742214614559651E-2</c:v>
                </c:pt>
                <c:pt idx="169">
                  <c:v>1.7420756513847828E-2</c:v>
                </c:pt>
                <c:pt idx="170">
                  <c:v>1.7419429559865401E-2</c:v>
                </c:pt>
                <c:pt idx="171">
                  <c:v>1.7418162450878693E-2</c:v>
                </c:pt>
                <c:pt idx="172">
                  <c:v>1.7416952482653333E-2</c:v>
                </c:pt>
                <c:pt idx="173">
                  <c:v>1.7415797073614236E-2</c:v>
                </c:pt>
                <c:pt idx="174">
                  <c:v>1.7414693759241401E-2</c:v>
                </c:pt>
                <c:pt idx="175">
                  <c:v>1.7413640186725275E-2</c:v>
                </c:pt>
                <c:pt idx="176">
                  <c:v>1.7412634109869415E-2</c:v>
                </c:pt>
                <c:pt idx="177">
                  <c:v>1.7411673384228679E-2</c:v>
                </c:pt>
                <c:pt idx="178">
                  <c:v>1.7410755962471897E-2</c:v>
                </c:pt>
              </c:numCache>
            </c:numRef>
          </c:yVal>
        </c:ser>
        <c:axId val="148707968"/>
        <c:axId val="160301824"/>
      </c:scatterChart>
      <c:valAx>
        <c:axId val="148707968"/>
        <c:scaling>
          <c:orientation val="minMax"/>
          <c:max val="100000"/>
          <c:min val="1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160301824"/>
        <c:crosses val="autoZero"/>
        <c:crossBetween val="midCat"/>
      </c:valAx>
      <c:valAx>
        <c:axId val="160301824"/>
        <c:scaling>
          <c:orientation val="minMax"/>
          <c:max val="6.0000000000000032E-2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5.2430288319223334E-3"/>
              <c:y val="0.33568515017417055"/>
            </c:manualLayout>
          </c:layout>
        </c:title>
        <c:numFmt formatCode="General" sourceLinked="1"/>
        <c:tickLblPos val="nextTo"/>
        <c:crossAx val="148707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283273801301151"/>
          <c:y val="0.11782661154283819"/>
          <c:w val="0.32651629072681776"/>
          <c:h val="0.21011373578302733"/>
        </c:manualLayout>
      </c:layout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3720685111989465"/>
          <c:y val="0.36093406191080735"/>
        </c:manualLayout>
      </c:layout>
    </c:title>
    <c:plotArea>
      <c:layout>
        <c:manualLayout>
          <c:layoutTarget val="inner"/>
          <c:xMode val="edge"/>
          <c:yMode val="edge"/>
          <c:x val="0.17057174103237099"/>
          <c:y val="5.1400554097404488E-2"/>
          <c:w val="0.78044203849518923"/>
          <c:h val="0.8326195683872849"/>
        </c:manualLayout>
      </c:layout>
      <c:scatterChart>
        <c:scatterStyle val="lineMarker"/>
        <c:ser>
          <c:idx val="2"/>
          <c:order val="0"/>
          <c:tx>
            <c:strRef>
              <c:f>'Sheet1 (2)'!$E$4</c:f>
              <c:strCache>
                <c:ptCount val="1"/>
                <c:pt idx="0">
                  <c:v>Cauchy</c:v>
                </c:pt>
              </c:strCache>
            </c:strRef>
          </c:tx>
          <c:spPr>
            <a:ln w="19050">
              <a:noFill/>
            </a:ln>
          </c:spPr>
          <c:marker>
            <c:symbol val="circle"/>
            <c:size val="3"/>
            <c:spPr>
              <a:solidFill>
                <a:schemeClr val="bg1"/>
              </a:solidFill>
              <a:ln>
                <a:solidFill>
                  <a:srgbClr val="29F733"/>
                </a:solidFill>
              </a:ln>
            </c:spPr>
          </c:marker>
          <c:xVal>
            <c:numRef>
              <c:f>'Sheet1 (2)'!$B$5:$B$301</c:f>
              <c:numCache>
                <c:formatCode>General</c:formatCode>
                <c:ptCount val="297"/>
                <c:pt idx="0">
                  <c:v>9.9999999999999995E-7</c:v>
                </c:pt>
                <c:pt idx="1">
                  <c:v>1.0471285480508979E-6</c:v>
                </c:pt>
                <c:pt idx="2">
                  <c:v>1.0964781961431813E-6</c:v>
                </c:pt>
                <c:pt idx="3">
                  <c:v>1.1481536214968785E-6</c:v>
                </c:pt>
                <c:pt idx="4">
                  <c:v>1.2022644346174062E-6</c:v>
                </c:pt>
                <c:pt idx="5">
                  <c:v>1.25892541179416E-6</c:v>
                </c:pt>
                <c:pt idx="6">
                  <c:v>1.3182567385563968E-6</c:v>
                </c:pt>
                <c:pt idx="7">
                  <c:v>1.3803842646028738E-6</c:v>
                </c:pt>
                <c:pt idx="8">
                  <c:v>1.4454397707459131E-6</c:v>
                </c:pt>
                <c:pt idx="9">
                  <c:v>1.5135612484361928E-6</c:v>
                </c:pt>
                <c:pt idx="10">
                  <c:v>1.5848931924610971E-6</c:v>
                </c:pt>
                <c:pt idx="11">
                  <c:v>1.6595869074375402E-6</c:v>
                </c:pt>
                <c:pt idx="12">
                  <c:v>1.7378008287493539E-6</c:v>
                </c:pt>
                <c:pt idx="13">
                  <c:v>1.8197008586099572E-6</c:v>
                </c:pt>
                <c:pt idx="14">
                  <c:v>1.9054607179632191E-6</c:v>
                </c:pt>
                <c:pt idx="15">
                  <c:v>1.9952623149688465E-6</c:v>
                </c:pt>
                <c:pt idx="16">
                  <c:v>2.0892961308540042E-6</c:v>
                </c:pt>
                <c:pt idx="17">
                  <c:v>2.1877616239495115E-6</c:v>
                </c:pt>
                <c:pt idx="18">
                  <c:v>2.2908676527677298E-6</c:v>
                </c:pt>
                <c:pt idx="19">
                  <c:v>2.3988329190194448E-6</c:v>
                </c:pt>
                <c:pt idx="20">
                  <c:v>2.5118864315095272E-6</c:v>
                </c:pt>
                <c:pt idx="21">
                  <c:v>2.6302679918953262E-6</c:v>
                </c:pt>
                <c:pt idx="22">
                  <c:v>2.7542287033381024E-6</c:v>
                </c:pt>
                <c:pt idx="23">
                  <c:v>2.8840315031265381E-6</c:v>
                </c:pt>
                <c:pt idx="24">
                  <c:v>3.0199517204019392E-6</c:v>
                </c:pt>
                <c:pt idx="25">
                  <c:v>3.1622776601682983E-6</c:v>
                </c:pt>
                <c:pt idx="26">
                  <c:v>3.3113112148258196E-6</c:v>
                </c:pt>
                <c:pt idx="27">
                  <c:v>3.4673685045252203E-6</c:v>
                </c:pt>
                <c:pt idx="28">
                  <c:v>3.6307805477009116E-6</c:v>
                </c:pt>
                <c:pt idx="29">
                  <c:v>3.801893963205498E-6</c:v>
                </c:pt>
                <c:pt idx="30">
                  <c:v>3.9810717055348531E-6</c:v>
                </c:pt>
                <c:pt idx="31">
                  <c:v>4.1686938347032202E-6</c:v>
                </c:pt>
                <c:pt idx="32">
                  <c:v>4.3651583224015194E-6</c:v>
                </c:pt>
                <c:pt idx="33">
                  <c:v>4.5708818961485943E-6</c:v>
                </c:pt>
                <c:pt idx="34">
                  <c:v>4.7863009232262191E-6</c:v>
                </c:pt>
                <c:pt idx="35">
                  <c:v>5.0118723362725488E-6</c:v>
                </c:pt>
                <c:pt idx="36">
                  <c:v>5.2480746024975334E-6</c:v>
                </c:pt>
                <c:pt idx="37">
                  <c:v>5.4954087385760435E-6</c:v>
                </c:pt>
                <c:pt idx="38">
                  <c:v>5.7543993733713457E-6</c:v>
                </c:pt>
                <c:pt idx="39">
                  <c:v>6.0255958607433427E-6</c:v>
                </c:pt>
                <c:pt idx="40">
                  <c:v>6.3095734448016738E-6</c:v>
                </c:pt>
                <c:pt idx="41">
                  <c:v>6.6069344800756883E-6</c:v>
                </c:pt>
                <c:pt idx="42">
                  <c:v>6.9183097091890669E-6</c:v>
                </c:pt>
                <c:pt idx="43">
                  <c:v>7.2443596007495873E-6</c:v>
                </c:pt>
                <c:pt idx="44">
                  <c:v>7.5857757502915087E-6</c:v>
                </c:pt>
                <c:pt idx="45">
                  <c:v>7.9432823472424541E-6</c:v>
                </c:pt>
                <c:pt idx="46">
                  <c:v>8.3176377110263299E-6</c:v>
                </c:pt>
                <c:pt idx="47">
                  <c:v>8.7096358995603922E-6</c:v>
                </c:pt>
                <c:pt idx="48">
                  <c:v>9.120108393558661E-6</c:v>
                </c:pt>
                <c:pt idx="49">
                  <c:v>9.5499258602138843E-6</c:v>
                </c:pt>
                <c:pt idx="50">
                  <c:v>9.9999999999995011E-6</c:v>
                </c:pt>
                <c:pt idx="51">
                  <c:v>1.0471285480508452E-5</c:v>
                </c:pt>
                <c:pt idx="52">
                  <c:v>1.0964781961431279E-5</c:v>
                </c:pt>
                <c:pt idx="53">
                  <c:v>1.1481536214968226E-5</c:v>
                </c:pt>
                <c:pt idx="54">
                  <c:v>1.2022644346173476E-5</c:v>
                </c:pt>
                <c:pt idx="55">
                  <c:v>1.2589254117940987E-5</c:v>
                </c:pt>
                <c:pt idx="56">
                  <c:v>1.3182567385563327E-5</c:v>
                </c:pt>
                <c:pt idx="57">
                  <c:v>1.3803842646028068E-5</c:v>
                </c:pt>
                <c:pt idx="58">
                  <c:v>1.445439770745843E-5</c:v>
                </c:pt>
                <c:pt idx="59">
                  <c:v>1.513561248436119E-5</c:v>
                </c:pt>
                <c:pt idx="60">
                  <c:v>1.5848931924610172E-5</c:v>
                </c:pt>
                <c:pt idx="61">
                  <c:v>1.6595869074374595E-5</c:v>
                </c:pt>
                <c:pt idx="62">
                  <c:v>1.7378008287492693E-5</c:v>
                </c:pt>
                <c:pt idx="63">
                  <c:v>1.8197008586098685E-5</c:v>
                </c:pt>
                <c:pt idx="64">
                  <c:v>1.9054607179631264E-5</c:v>
                </c:pt>
                <c:pt idx="65">
                  <c:v>1.9952623149687495E-5</c:v>
                </c:pt>
                <c:pt idx="66">
                  <c:v>2.0892961308539027E-5</c:v>
                </c:pt>
                <c:pt idx="67">
                  <c:v>2.1877616239494049E-5</c:v>
                </c:pt>
                <c:pt idx="68">
                  <c:v>2.2908676527676184E-5</c:v>
                </c:pt>
                <c:pt idx="69">
                  <c:v>2.3988329190193237E-5</c:v>
                </c:pt>
                <c:pt idx="70">
                  <c:v>2.511886431509405E-5</c:v>
                </c:pt>
                <c:pt idx="71">
                  <c:v>2.6302679918951981E-5</c:v>
                </c:pt>
                <c:pt idx="72">
                  <c:v>2.7542287033379688E-5</c:v>
                </c:pt>
                <c:pt idx="73">
                  <c:v>2.8840315031263983E-5</c:v>
                </c:pt>
                <c:pt idx="74">
                  <c:v>3.0199517204017925E-5</c:v>
                </c:pt>
                <c:pt idx="75">
                  <c:v>3.1622776601681444E-5</c:v>
                </c:pt>
                <c:pt idx="76">
                  <c:v>3.3113112148256583E-5</c:v>
                </c:pt>
                <c:pt idx="77">
                  <c:v>3.4673685045250518E-5</c:v>
                </c:pt>
                <c:pt idx="78">
                  <c:v>3.6307805477007287E-5</c:v>
                </c:pt>
                <c:pt idx="79">
                  <c:v>3.8018939632053135E-5</c:v>
                </c:pt>
                <c:pt idx="80">
                  <c:v>3.9810717055346591E-5</c:v>
                </c:pt>
                <c:pt idx="81">
                  <c:v>4.1686938347030177E-5</c:v>
                </c:pt>
                <c:pt idx="82">
                  <c:v>4.3651583224013063E-5</c:v>
                </c:pt>
                <c:pt idx="83">
                  <c:v>4.5708818961483715E-5</c:v>
                </c:pt>
                <c:pt idx="84">
                  <c:v>4.786300923225986E-5</c:v>
                </c:pt>
                <c:pt idx="85">
                  <c:v>5.0118723362722969E-5</c:v>
                </c:pt>
                <c:pt idx="86">
                  <c:v>5.2480746024972787E-5</c:v>
                </c:pt>
                <c:pt idx="87">
                  <c:v>5.495408738575767E-5</c:v>
                </c:pt>
                <c:pt idx="88">
                  <c:v>5.7543993733710656E-5</c:v>
                </c:pt>
                <c:pt idx="89">
                  <c:v>6.0255958607430493E-5</c:v>
                </c:pt>
                <c:pt idx="90">
                  <c:v>6.3095734448013669E-5</c:v>
                </c:pt>
                <c:pt idx="91">
                  <c:v>6.6069344800753671E-5</c:v>
                </c:pt>
                <c:pt idx="92">
                  <c:v>6.9183097091887296E-5</c:v>
                </c:pt>
                <c:pt idx="93">
                  <c:v>7.2443596007492353E-5</c:v>
                </c:pt>
                <c:pt idx="94">
                  <c:v>7.5857757502911257E-5</c:v>
                </c:pt>
                <c:pt idx="95">
                  <c:v>7.9432823472420686E-5</c:v>
                </c:pt>
                <c:pt idx="96">
                  <c:v>8.3176377110259257E-5</c:v>
                </c:pt>
                <c:pt idx="97">
                  <c:v>8.709635899559968E-5</c:v>
                </c:pt>
                <c:pt idx="98">
                  <c:v>9.1201083935582182E-5</c:v>
                </c:pt>
                <c:pt idx="99">
                  <c:v>9.5499258602134202E-5</c:v>
                </c:pt>
                <c:pt idx="100">
                  <c:v>9.9999999999990139E-5</c:v>
                </c:pt>
                <c:pt idx="101">
                  <c:v>1.0471285480507962E-4</c:v>
                </c:pt>
                <c:pt idx="102">
                  <c:v>1.0964781961430765E-4</c:v>
                </c:pt>
                <c:pt idx="103">
                  <c:v>1.1481536214967688E-4</c:v>
                </c:pt>
                <c:pt idx="104">
                  <c:v>1.2022644346172933E-4</c:v>
                </c:pt>
                <c:pt idx="105">
                  <c:v>1.2589254117940419E-4</c:v>
                </c:pt>
                <c:pt idx="106">
                  <c:v>1.3182567385562781E-4</c:v>
                </c:pt>
                <c:pt idx="107">
                  <c:v>1.3803842646027494E-4</c:v>
                </c:pt>
                <c:pt idx="108">
                  <c:v>1.4454397707457854E-4</c:v>
                </c:pt>
                <c:pt idx="109">
                  <c:v>1.5135612484360589E-4</c:v>
                </c:pt>
                <c:pt idx="110">
                  <c:v>1.584893192460957E-4</c:v>
                </c:pt>
                <c:pt idx="111">
                  <c:v>1.6595869074373964E-4</c:v>
                </c:pt>
                <c:pt idx="112">
                  <c:v>1.7378008287492034E-4</c:v>
                </c:pt>
                <c:pt idx="113">
                  <c:v>1.8197008586098029E-4</c:v>
                </c:pt>
                <c:pt idx="114">
                  <c:v>1.9054607179630608E-4</c:v>
                </c:pt>
                <c:pt idx="115">
                  <c:v>1.9952623149686844E-4</c:v>
                </c:pt>
                <c:pt idx="116">
                  <c:v>2.0892961308538344E-4</c:v>
                </c:pt>
                <c:pt idx="117">
                  <c:v>2.1877616239493374E-4</c:v>
                </c:pt>
                <c:pt idx="118">
                  <c:v>2.2908676527675474E-4</c:v>
                </c:pt>
                <c:pt idx="119">
                  <c:v>2.3988329190192541E-4</c:v>
                </c:pt>
                <c:pt idx="120">
                  <c:v>2.5118864315093318E-4</c:v>
                </c:pt>
                <c:pt idx="121">
                  <c:v>2.6302679918951261E-4</c:v>
                </c:pt>
                <c:pt idx="122">
                  <c:v>2.7542287033378984E-4</c:v>
                </c:pt>
                <c:pt idx="123">
                  <c:v>2.8840315031263247E-4</c:v>
                </c:pt>
                <c:pt idx="124">
                  <c:v>3.0199517204017209E-4</c:v>
                </c:pt>
                <c:pt idx="125">
                  <c:v>3.1622776601680693E-4</c:v>
                </c:pt>
                <c:pt idx="126">
                  <c:v>3.3113112148255858E-4</c:v>
                </c:pt>
                <c:pt idx="127">
                  <c:v>3.4673685045249786E-4</c:v>
                </c:pt>
                <c:pt idx="128">
                  <c:v>3.6307805477006589E-4</c:v>
                </c:pt>
                <c:pt idx="129">
                  <c:v>3.8018939632052394E-4</c:v>
                </c:pt>
                <c:pt idx="130">
                  <c:v>3.9810717055345816E-4</c:v>
                </c:pt>
                <c:pt idx="131">
                  <c:v>4.1686938347029479E-4</c:v>
                </c:pt>
                <c:pt idx="132">
                  <c:v>4.3651583224012334E-4</c:v>
                </c:pt>
                <c:pt idx="133">
                  <c:v>4.5708818961483032E-4</c:v>
                </c:pt>
                <c:pt idx="134">
                  <c:v>4.7863009232259192E-4</c:v>
                </c:pt>
                <c:pt idx="135">
                  <c:v>5.0118723362722352E-4</c:v>
                </c:pt>
                <c:pt idx="136">
                  <c:v>5.2480746024972144E-4</c:v>
                </c:pt>
                <c:pt idx="137">
                  <c:v>5.4954087385757089E-4</c:v>
                </c:pt>
                <c:pt idx="138">
                  <c:v>5.7543993733710113E-4</c:v>
                </c:pt>
                <c:pt idx="139">
                  <c:v>6.0255958607429913E-4</c:v>
                </c:pt>
                <c:pt idx="140">
                  <c:v>6.3095734448013184E-4</c:v>
                </c:pt>
                <c:pt idx="141">
                  <c:v>6.6069344800753153E-4</c:v>
                </c:pt>
                <c:pt idx="142">
                  <c:v>6.9183097091886944E-4</c:v>
                </c:pt>
                <c:pt idx="143">
                  <c:v>7.2443596007491979E-4</c:v>
                </c:pt>
                <c:pt idx="144">
                  <c:v>7.5857757502911002E-4</c:v>
                </c:pt>
                <c:pt idx="145">
                  <c:v>7.9432823472420412E-4</c:v>
                </c:pt>
                <c:pt idx="146">
                  <c:v>8.3176377110259065E-4</c:v>
                </c:pt>
                <c:pt idx="147">
                  <c:v>8.7096358995599626E-4</c:v>
                </c:pt>
                <c:pt idx="148">
                  <c:v>9.1201083935582127E-4</c:v>
                </c:pt>
                <c:pt idx="149">
                  <c:v>9.5499258602134386E-4</c:v>
                </c:pt>
                <c:pt idx="150">
                  <c:v>9.9999999999990353E-4</c:v>
                </c:pt>
                <c:pt idx="151">
                  <c:v>1.0471285480507981E-3</c:v>
                </c:pt>
                <c:pt idx="152">
                  <c:v>1.0964781961430787E-3</c:v>
                </c:pt>
                <c:pt idx="153">
                  <c:v>1.1481536214967723E-3</c:v>
                </c:pt>
                <c:pt idx="154">
                  <c:v>1.202264434617297E-3</c:v>
                </c:pt>
                <c:pt idx="155">
                  <c:v>1.2589254117940456E-3</c:v>
                </c:pt>
                <c:pt idx="156">
                  <c:v>1.3182567385562794E-3</c:v>
                </c:pt>
                <c:pt idx="157">
                  <c:v>1.3803842646027522E-3</c:v>
                </c:pt>
                <c:pt idx="158">
                  <c:v>1.4454397707457883E-3</c:v>
                </c:pt>
                <c:pt idx="159">
                  <c:v>1.5135612484360622E-3</c:v>
                </c:pt>
                <c:pt idx="160">
                  <c:v>1.5848931924609601E-3</c:v>
                </c:pt>
                <c:pt idx="161">
                  <c:v>1.6595869074374013E-3</c:v>
                </c:pt>
                <c:pt idx="162">
                  <c:v>1.7378008287492082E-3</c:v>
                </c:pt>
                <c:pt idx="163">
                  <c:v>1.8197008586098081E-3</c:v>
                </c:pt>
                <c:pt idx="164">
                  <c:v>1.9054607179630647E-3</c:v>
                </c:pt>
                <c:pt idx="165">
                  <c:v>1.9952623149686885E-3</c:v>
                </c:pt>
                <c:pt idx="166">
                  <c:v>2.0892961308538387E-3</c:v>
                </c:pt>
                <c:pt idx="167">
                  <c:v>2.1877616239493422E-3</c:v>
                </c:pt>
                <c:pt idx="168">
                  <c:v>2.2908676527675538E-3</c:v>
                </c:pt>
                <c:pt idx="169">
                  <c:v>2.3988329190192605E-3</c:v>
                </c:pt>
                <c:pt idx="170">
                  <c:v>2.5118864315093392E-3</c:v>
                </c:pt>
                <c:pt idx="171">
                  <c:v>2.6302679918951293E-3</c:v>
                </c:pt>
                <c:pt idx="172">
                  <c:v>2.7542287033379036E-3</c:v>
                </c:pt>
                <c:pt idx="173">
                  <c:v>2.8840315031263301E-3</c:v>
                </c:pt>
                <c:pt idx="174">
                  <c:v>3.0199517204017269E-3</c:v>
                </c:pt>
                <c:pt idx="175">
                  <c:v>3.1622776601680754E-3</c:v>
                </c:pt>
                <c:pt idx="176">
                  <c:v>3.3113112148255956E-3</c:v>
                </c:pt>
                <c:pt idx="177">
                  <c:v>3.4673685045249853E-3</c:v>
                </c:pt>
                <c:pt idx="178">
                  <c:v>3.6307805477006662E-3</c:v>
                </c:pt>
                <c:pt idx="179">
                  <c:v>3.8018939632052475E-3</c:v>
                </c:pt>
                <c:pt idx="180">
                  <c:v>3.9810717055345935E-3</c:v>
                </c:pt>
                <c:pt idx="181">
                  <c:v>4.1686938347029563E-3</c:v>
                </c:pt>
                <c:pt idx="182">
                  <c:v>4.365158322401242E-3</c:v>
                </c:pt>
                <c:pt idx="183">
                  <c:v>4.5708818961483167E-3</c:v>
                </c:pt>
                <c:pt idx="184">
                  <c:v>4.7863009232259283E-3</c:v>
                </c:pt>
                <c:pt idx="185">
                  <c:v>5.011872336272245E-3</c:v>
                </c:pt>
                <c:pt idx="186">
                  <c:v>5.248074602497225E-3</c:v>
                </c:pt>
                <c:pt idx="187">
                  <c:v>5.4954087385757251E-3</c:v>
                </c:pt>
                <c:pt idx="188">
                  <c:v>5.7543993733710228E-3</c:v>
                </c:pt>
                <c:pt idx="189">
                  <c:v>6.0255958607430046E-3</c:v>
                </c:pt>
                <c:pt idx="190">
                  <c:v>6.3095734448013309E-3</c:v>
                </c:pt>
                <c:pt idx="191">
                  <c:v>6.6069344800753346E-3</c:v>
                </c:pt>
                <c:pt idx="192">
                  <c:v>6.9183097091887087E-3</c:v>
                </c:pt>
                <c:pt idx="193">
                  <c:v>7.2443596007492122E-3</c:v>
                </c:pt>
                <c:pt idx="194">
                  <c:v>7.5857757502911152E-3</c:v>
                </c:pt>
                <c:pt idx="195">
                  <c:v>7.9432823472420644E-3</c:v>
                </c:pt>
                <c:pt idx="196">
                  <c:v>8.3176377110259214E-3</c:v>
                </c:pt>
                <c:pt idx="197">
                  <c:v>8.7096358995599806E-3</c:v>
                </c:pt>
                <c:pt idx="198">
                  <c:v>9.1201083935582381E-3</c:v>
                </c:pt>
                <c:pt idx="199">
                  <c:v>9.5499258602134585E-3</c:v>
                </c:pt>
                <c:pt idx="200">
                  <c:v>9.999999999999053E-3</c:v>
                </c:pt>
                <c:pt idx="201">
                  <c:v>1.0471285480508002E-2</c:v>
                </c:pt>
                <c:pt idx="202">
                  <c:v>1.0964781961430818E-2</c:v>
                </c:pt>
                <c:pt idx="203">
                  <c:v>1.1481536214967746E-2</c:v>
                </c:pt>
                <c:pt idx="204">
                  <c:v>1.2022644346172994E-2</c:v>
                </c:pt>
                <c:pt idx="205">
                  <c:v>1.258925411794048E-2</c:v>
                </c:pt>
                <c:pt idx="206">
                  <c:v>1.3182567385562831E-2</c:v>
                </c:pt>
                <c:pt idx="207">
                  <c:v>1.3803842646027548E-2</c:v>
                </c:pt>
                <c:pt idx="208">
                  <c:v>1.4454397707457911E-2</c:v>
                </c:pt>
                <c:pt idx="209">
                  <c:v>1.513561248436065E-2</c:v>
                </c:pt>
                <c:pt idx="210">
                  <c:v>1.5848931924609646E-2</c:v>
                </c:pt>
                <c:pt idx="211">
                  <c:v>1.6595869074374044E-2</c:v>
                </c:pt>
                <c:pt idx="212">
                  <c:v>1.7378008287492117E-2</c:v>
                </c:pt>
                <c:pt idx="213">
                  <c:v>1.8197008586098132E-2</c:v>
                </c:pt>
                <c:pt idx="214">
                  <c:v>1.9054607179630687E-2</c:v>
                </c:pt>
                <c:pt idx="215">
                  <c:v>1.9952623149686922E-2</c:v>
                </c:pt>
                <c:pt idx="216">
                  <c:v>2.0892961308538436E-2</c:v>
                </c:pt>
                <c:pt idx="217">
                  <c:v>2.1877616239493473E-2</c:v>
                </c:pt>
                <c:pt idx="218">
                  <c:v>2.2908676527675587E-2</c:v>
                </c:pt>
                <c:pt idx="219">
                  <c:v>2.3988329190192656E-2</c:v>
                </c:pt>
                <c:pt idx="220">
                  <c:v>2.5118864315093449E-2</c:v>
                </c:pt>
                <c:pt idx="221">
                  <c:v>2.6302679918951351E-2</c:v>
                </c:pt>
                <c:pt idx="222">
                  <c:v>2.7542287033379093E-2</c:v>
                </c:pt>
                <c:pt idx="223">
                  <c:v>2.8840315031263358E-2</c:v>
                </c:pt>
                <c:pt idx="224">
                  <c:v>3.019951720401734E-2</c:v>
                </c:pt>
                <c:pt idx="225">
                  <c:v>3.1622776601680835E-2</c:v>
                </c:pt>
                <c:pt idx="226">
                  <c:v>3.3113112148256019E-2</c:v>
                </c:pt>
                <c:pt idx="227">
                  <c:v>3.4673685045249938E-2</c:v>
                </c:pt>
                <c:pt idx="228">
                  <c:v>3.6307805477006745E-2</c:v>
                </c:pt>
                <c:pt idx="229">
                  <c:v>3.8018939632052585E-2</c:v>
                </c:pt>
                <c:pt idx="230">
                  <c:v>3.9810717055346015E-2</c:v>
                </c:pt>
                <c:pt idx="231">
                  <c:v>4.1686938347029662E-2</c:v>
                </c:pt>
                <c:pt idx="232">
                  <c:v>4.3651583224012525E-2</c:v>
                </c:pt>
                <c:pt idx="233">
                  <c:v>4.5708818961483252E-2</c:v>
                </c:pt>
                <c:pt idx="234">
                  <c:v>4.7863009232259376E-2</c:v>
                </c:pt>
                <c:pt idx="235">
                  <c:v>5.0118723362722578E-2</c:v>
                </c:pt>
                <c:pt idx="236">
                  <c:v>5.2480746024972373E-2</c:v>
                </c:pt>
                <c:pt idx="237">
                  <c:v>5.4954087385757362E-2</c:v>
                </c:pt>
                <c:pt idx="238">
                  <c:v>5.7543993733710344E-2</c:v>
                </c:pt>
                <c:pt idx="239">
                  <c:v>6.0255958607430188E-2</c:v>
                </c:pt>
                <c:pt idx="240">
                  <c:v>6.309573444801346E-2</c:v>
                </c:pt>
                <c:pt idx="241">
                  <c:v>6.6069344800753479E-2</c:v>
                </c:pt>
                <c:pt idx="242">
                  <c:v>6.9183097091887261E-2</c:v>
                </c:pt>
                <c:pt idx="243">
                  <c:v>7.2443596007492297E-2</c:v>
                </c:pt>
                <c:pt idx="244">
                  <c:v>7.5857757502911363E-2</c:v>
                </c:pt>
                <c:pt idx="245">
                  <c:v>7.943282347242081E-2</c:v>
                </c:pt>
                <c:pt idx="246">
                  <c:v>8.3176377110259436E-2</c:v>
                </c:pt>
                <c:pt idx="247">
                  <c:v>8.7096358995600004E-2</c:v>
                </c:pt>
                <c:pt idx="248">
                  <c:v>9.1201083935582572E-2</c:v>
                </c:pt>
                <c:pt idx="249">
                  <c:v>9.5499258602134776E-2</c:v>
                </c:pt>
                <c:pt idx="250">
                  <c:v>9.9999999999990777E-2</c:v>
                </c:pt>
                <c:pt idx="251">
                  <c:v>0.10471285480508029</c:v>
                </c:pt>
                <c:pt idx="252">
                  <c:v>0.10964781961430842</c:v>
                </c:pt>
                <c:pt idx="253">
                  <c:v>0.11481536214967769</c:v>
                </c:pt>
                <c:pt idx="254">
                  <c:v>0.12022644346173024</c:v>
                </c:pt>
                <c:pt idx="255">
                  <c:v>0.1258925411794051</c:v>
                </c:pt>
                <c:pt idx="256">
                  <c:v>0.13182567385562857</c:v>
                </c:pt>
                <c:pt idx="257">
                  <c:v>0.13803842646027578</c:v>
                </c:pt>
                <c:pt idx="258">
                  <c:v>0.14454397707457947</c:v>
                </c:pt>
                <c:pt idx="259">
                  <c:v>0.15135612484360692</c:v>
                </c:pt>
                <c:pt idx="260">
                  <c:v>0.1584893192460968</c:v>
                </c:pt>
                <c:pt idx="261">
                  <c:v>0.16595869074374084</c:v>
                </c:pt>
                <c:pt idx="262">
                  <c:v>0.17378008287492161</c:v>
                </c:pt>
                <c:pt idx="263">
                  <c:v>0.18197008586098165</c:v>
                </c:pt>
                <c:pt idx="264">
                  <c:v>0.19054607179630723</c:v>
                </c:pt>
                <c:pt idx="265">
                  <c:v>0.19952623149686968</c:v>
                </c:pt>
                <c:pt idx="266">
                  <c:v>0.20892961308538485</c:v>
                </c:pt>
                <c:pt idx="267">
                  <c:v>0.21877616239493525</c:v>
                </c:pt>
                <c:pt idx="268">
                  <c:v>0.22908676527675637</c:v>
                </c:pt>
                <c:pt idx="269">
                  <c:v>0.23988329190192714</c:v>
                </c:pt>
                <c:pt idx="270">
                  <c:v>0.25118864315093509</c:v>
                </c:pt>
                <c:pt idx="271">
                  <c:v>0.26302679918951416</c:v>
                </c:pt>
                <c:pt idx="272">
                  <c:v>0.27542287033379148</c:v>
                </c:pt>
                <c:pt idx="273">
                  <c:v>0.28840315031263425</c:v>
                </c:pt>
                <c:pt idx="274">
                  <c:v>0.30199517204017412</c:v>
                </c:pt>
                <c:pt idx="275">
                  <c:v>0.31622776601680908</c:v>
                </c:pt>
                <c:pt idx="276">
                  <c:v>0.33113112148256091</c:v>
                </c:pt>
                <c:pt idx="277">
                  <c:v>0.34673685045250002</c:v>
                </c:pt>
                <c:pt idx="278">
                  <c:v>0.36307805477006827</c:v>
                </c:pt>
                <c:pt idx="279">
                  <c:v>0.38018939632052662</c:v>
                </c:pt>
                <c:pt idx="280">
                  <c:v>0.39810717055346106</c:v>
                </c:pt>
                <c:pt idx="281">
                  <c:v>0.41686938347029751</c:v>
                </c:pt>
                <c:pt idx="282">
                  <c:v>0.43651583224012636</c:v>
                </c:pt>
                <c:pt idx="283">
                  <c:v>0.45708818961483355</c:v>
                </c:pt>
                <c:pt idx="284">
                  <c:v>0.47863009232259485</c:v>
                </c:pt>
                <c:pt idx="285">
                  <c:v>0.50118723362722684</c:v>
                </c:pt>
                <c:pt idx="286">
                  <c:v>0.52480746024972502</c:v>
                </c:pt>
                <c:pt idx="287">
                  <c:v>0.54954087385757477</c:v>
                </c:pt>
                <c:pt idx="288">
                  <c:v>0.57543993733710475</c:v>
                </c:pt>
                <c:pt idx="289">
                  <c:v>0.60255958607430316</c:v>
                </c:pt>
                <c:pt idx="290">
                  <c:v>0.63095734448013607</c:v>
                </c:pt>
                <c:pt idx="291">
                  <c:v>0.66069344800753604</c:v>
                </c:pt>
                <c:pt idx="292">
                  <c:v>0.69183097091887369</c:v>
                </c:pt>
                <c:pt idx="293">
                  <c:v>0.72443596007492439</c:v>
                </c:pt>
                <c:pt idx="294">
                  <c:v>0.75857757502911494</c:v>
                </c:pt>
                <c:pt idx="295">
                  <c:v>0.79432823472420944</c:v>
                </c:pt>
                <c:pt idx="296">
                  <c:v>0.83176377110259558</c:v>
                </c:pt>
              </c:numCache>
            </c:numRef>
          </c:xVal>
          <c:yVal>
            <c:numRef>
              <c:f>'Sheet1 (2)'!$E$5:$E$301</c:f>
              <c:numCache>
                <c:formatCode>General</c:formatCode>
                <c:ptCount val="297"/>
                <c:pt idx="0">
                  <c:v>27442680.185027219</c:v>
                </c:pt>
                <c:pt idx="1">
                  <c:v>27596820.04636823</c:v>
                </c:pt>
                <c:pt idx="2">
                  <c:v>27759428.378414139</c:v>
                </c:pt>
                <c:pt idx="3">
                  <c:v>27931031.091401398</c:v>
                </c:pt>
                <c:pt idx="4">
                  <c:v>28112192.755840376</c:v>
                </c:pt>
                <c:pt idx="5">
                  <c:v>28303520.018018361</c:v>
                </c:pt>
                <c:pt idx="6">
                  <c:v>28505665.369844977</c:v>
                </c:pt>
                <c:pt idx="7">
                  <c:v>28719331.314477481</c:v>
                </c:pt>
                <c:pt idx="8">
                  <c:v>28945274.974386066</c:v>
                </c:pt>
                <c:pt idx="9">
                  <c:v>29184313.194410592</c:v>
                </c:pt>
                <c:pt idx="10">
                  <c:v>29437328.198993448</c:v>
                </c:pt>
                <c:pt idx="11">
                  <c:v>29705273.87022749</c:v>
                </c:pt>
                <c:pt idx="12">
                  <c:v>29989182.721710186</c:v>
                </c:pt>
                <c:pt idx="13">
                  <c:v>30290173.652516864</c:v>
                </c:pt>
                <c:pt idx="14">
                  <c:v>30609460.575959269</c:v>
                </c:pt>
                <c:pt idx="15">
                  <c:v>30948362.029214393</c:v>
                </c:pt>
                <c:pt idx="16">
                  <c:v>31308311.882393014</c:v>
                </c:pt>
                <c:pt idx="17">
                  <c:v>31690871.279097371</c:v>
                </c:pt>
                <c:pt idx="18">
                  <c:v>32097741.954831555</c:v>
                </c:pt>
                <c:pt idx="19">
                  <c:v>32530781.094458956</c:v>
                </c:pt>
                <c:pt idx="20">
                  <c:v>32992017.904717315</c:v>
                </c:pt>
                <c:pt idx="21">
                  <c:v>33483672.091741856</c:v>
                </c:pt>
                <c:pt idx="22">
                  <c:v>34008174.44528158</c:v>
                </c:pt>
                <c:pt idx="23">
                  <c:v>34568189.738811508</c:v>
                </c:pt>
                <c:pt idx="24">
                  <c:v>35166642.155048795</c:v>
                </c:pt>
                <c:pt idx="25">
                  <c:v>35806743.435081042</c:v>
                </c:pt>
                <c:pt idx="26">
                  <c:v>36492023.92000144</c:v>
                </c:pt>
                <c:pt idx="27">
                  <c:v>37226366.597365953</c:v>
                </c:pt>
                <c:pt idx="28">
                  <c:v>38014044.167616494</c:v>
                </c:pt>
                <c:pt idx="29">
                  <c:v>38859758.988791063</c:v>
                </c:pt>
                <c:pt idx="30">
                  <c:v>39768685.514165699</c:v>
                </c:pt>
                <c:pt idx="31">
                  <c:v>40746514.468317121</c:v>
                </c:pt>
                <c:pt idx="32">
                  <c:v>41799497.457796931</c:v>
                </c:pt>
                <c:pt idx="33">
                  <c:v>42934489.90619316</c:v>
                </c:pt>
                <c:pt idx="34">
                  <c:v>44158989.032065101</c:v>
                </c:pt>
                <c:pt idx="35">
                  <c:v>45481161.902346402</c:v>
                </c:pt>
                <c:pt idx="36">
                  <c:v>46909856.187464051</c:v>
                </c:pt>
                <c:pt idx="37">
                  <c:v>48454582.838614158</c:v>
                </c:pt>
                <c:pt idx="38">
                  <c:v>50125455.132053718</c:v>
                </c:pt>
                <c:pt idx="39">
                  <c:v>51933061.903420031</c:v>
                </c:pt>
                <c:pt idx="40">
                  <c:v>53888243.743247613</c:v>
                </c:pt>
                <c:pt idx="41">
                  <c:v>56001728.786473095</c:v>
                </c:pt>
                <c:pt idx="42">
                  <c:v>58283568.885905527</c:v>
                </c:pt>
                <c:pt idx="43">
                  <c:v>60742297.097364791</c:v>
                </c:pt>
                <c:pt idx="44">
                  <c:v>63383704.055139005</c:v>
                </c:pt>
                <c:pt idx="45">
                  <c:v>66209106.386053264</c:v>
                </c:pt>
                <c:pt idx="46">
                  <c:v>69212960.85181208</c:v>
                </c:pt>
                <c:pt idx="47">
                  <c:v>72379675.915418223</c:v>
                </c:pt>
                <c:pt idx="48">
                  <c:v>75679510.64660801</c:v>
                </c:pt>
                <c:pt idx="49">
                  <c:v>79063566.242502242</c:v>
                </c:pt>
                <c:pt idx="50">
                  <c:v>82458119.954861417</c:v>
                </c:pt>
                <c:pt idx="51">
                  <c:v>85758982.570003599</c:v>
                </c:pt>
                <c:pt idx="52">
                  <c:v>88827209.715892226</c:v>
                </c:pt>
                <c:pt idx="53">
                  <c:v>91488298.609631941</c:v>
                </c:pt>
                <c:pt idx="54">
                  <c:v>93537688.021162972</c:v>
                </c:pt>
                <c:pt idx="55">
                  <c:v>94755396.198116496</c:v>
                </c:pt>
                <c:pt idx="56">
                  <c:v>94931223.402643442</c:v>
                </c:pt>
                <c:pt idx="57">
                  <c:v>93898604.714318395</c:v>
                </c:pt>
                <c:pt idx="58">
                  <c:v>91570470.571460932</c:v>
                </c:pt>
                <c:pt idx="59">
                  <c:v>87966532.255521759</c:v>
                </c:pt>
                <c:pt idx="60">
                  <c:v>83221347.629819319</c:v>
                </c:pt>
                <c:pt idx="61">
                  <c:v>77568003.553912535</c:v>
                </c:pt>
                <c:pt idx="62">
                  <c:v>71301287.579506278</c:v>
                </c:pt>
                <c:pt idx="63">
                  <c:v>64731818.903140508</c:v>
                </c:pt>
                <c:pt idx="64">
                  <c:v>58144500.292343453</c:v>
                </c:pt>
                <c:pt idx="65">
                  <c:v>51770586.680011414</c:v>
                </c:pt>
                <c:pt idx="66">
                  <c:v>45776001.836876042</c:v>
                </c:pt>
                <c:pt idx="67">
                  <c:v>40263096.171144195</c:v>
                </c:pt>
                <c:pt idx="68">
                  <c:v>35280621.881824329</c:v>
                </c:pt>
                <c:pt idx="69">
                  <c:v>30836917.74545886</c:v>
                </c:pt>
                <c:pt idx="70">
                  <c:v>26912815.44925138</c:v>
                </c:pt>
                <c:pt idx="71">
                  <c:v>23472452.009625949</c:v>
                </c:pt>
                <c:pt idx="72">
                  <c:v>20471424.053730935</c:v>
                </c:pt>
                <c:pt idx="73">
                  <c:v>17862441.955477145</c:v>
                </c:pt>
                <c:pt idx="74">
                  <c:v>15598951.158767624</c:v>
                </c:pt>
                <c:pt idx="75">
                  <c:v>13637247.183282442</c:v>
                </c:pt>
                <c:pt idx="76">
                  <c:v>11937549.516666554</c:v>
                </c:pt>
                <c:pt idx="77">
                  <c:v>10464398.271515932</c:v>
                </c:pt>
                <c:pt idx="78">
                  <c:v>9186637.0747450814</c:v>
                </c:pt>
                <c:pt idx="79">
                  <c:v>8077162.446520973</c:v>
                </c:pt>
                <c:pt idx="80">
                  <c:v>7112557.2748582987</c:v>
                </c:pt>
                <c:pt idx="81">
                  <c:v>6272681.6527121896</c:v>
                </c:pt>
                <c:pt idx="82">
                  <c:v>5540264.3569244817</c:v>
                </c:pt>
                <c:pt idx="83">
                  <c:v>4900518.7128354218</c:v>
                </c:pt>
                <c:pt idx="84">
                  <c:v>4340794.3027319713</c:v>
                </c:pt>
                <c:pt idx="85">
                  <c:v>3850268.5415721424</c:v>
                </c:pt>
                <c:pt idx="86">
                  <c:v>3419677.8596964208</c:v>
                </c:pt>
                <c:pt idx="87">
                  <c:v>3041085.9399484009</c:v>
                </c:pt>
                <c:pt idx="88">
                  <c:v>2707685.3869985938</c:v>
                </c:pt>
                <c:pt idx="89">
                  <c:v>2413628.8618533872</c:v>
                </c:pt>
                <c:pt idx="90">
                  <c:v>2153885.779005284</c:v>
                </c:pt>
                <c:pt idx="91">
                  <c:v>1924120.9418896954</c:v>
                </c:pt>
                <c:pt idx="92">
                  <c:v>1720591.8661815424</c:v>
                </c:pt>
                <c:pt idx="93">
                  <c:v>1540061.9411091683</c:v>
                </c:pt>
                <c:pt idx="94">
                  <c:v>1379726.9681922449</c:v>
                </c:pt>
                <c:pt idx="95">
                  <c:v>1237152.9751965341</c:v>
                </c:pt>
                <c:pt idx="96">
                  <c:v>1110223.5224066351</c:v>
                </c:pt>
                <c:pt idx="97">
                  <c:v>997094.99674559291</c:v>
                </c:pt>
                <c:pt idx="98">
                  <c:v>896158.6285228529</c:v>
                </c:pt>
                <c:pt idx="99">
                  <c:v>806008.16910049191</c:v>
                </c:pt>
                <c:pt idx="100">
                  <c:v>725412.33964585641</c:v>
                </c:pt>
                <c:pt idx="101">
                  <c:v>653291.3055874859</c:v>
                </c:pt>
                <c:pt idx="102">
                  <c:v>588696.55237993645</c:v>
                </c:pt>
                <c:pt idx="103">
                  <c:v>530793.63930189912</c:v>
                </c:pt>
                <c:pt idx="104">
                  <c:v>478847.39241487248</c:v>
                </c:pt>
                <c:pt idx="105">
                  <c:v>432209.16821796237</c:v>
                </c:pt>
                <c:pt idx="106">
                  <c:v>390305.87826456898</c:v>
                </c:pt>
                <c:pt idx="107">
                  <c:v>352630.51401295402</c:v>
                </c:pt>
                <c:pt idx="108">
                  <c:v>318733.95210271445</c:v>
                </c:pt>
                <c:pt idx="109">
                  <c:v>288217.85444937722</c:v>
                </c:pt>
                <c:pt idx="110">
                  <c:v>260728.50616565367</c:v>
                </c:pt>
                <c:pt idx="111">
                  <c:v>235951.45829335426</c:v>
                </c:pt>
                <c:pt idx="112">
                  <c:v>213606.86244570583</c:v>
                </c:pt>
                <c:pt idx="113">
                  <c:v>193445.40136297455</c:v>
                </c:pt>
                <c:pt idx="114">
                  <c:v>175244.7336105881</c:v>
                </c:pt>
                <c:pt idx="115">
                  <c:v>158806.38264210595</c:v>
                </c:pt>
                <c:pt idx="116">
                  <c:v>143953.0105770306</c:v>
                </c:pt>
                <c:pt idx="117">
                  <c:v>130526.02561052493</c:v>
                </c:pt>
                <c:pt idx="118">
                  <c:v>118383.47923160064</c:v>
                </c:pt>
                <c:pt idx="119">
                  <c:v>107398.21558864671</c:v>
                </c:pt>
                <c:pt idx="120">
                  <c:v>97456.240581216131</c:v>
                </c:pt>
                <c:pt idx="121">
                  <c:v>88455.282720590694</c:v>
                </c:pt>
                <c:pt idx="122">
                  <c:v>80303.521610458614</c:v>
                </c:pt>
                <c:pt idx="123">
                  <c:v>72918.463154698722</c:v>
                </c:pt>
                <c:pt idx="124">
                  <c:v>66225.943386887782</c:v>
                </c:pt>
                <c:pt idx="125">
                  <c:v>60159.245207008811</c:v>
                </c:pt>
                <c:pt idx="126">
                  <c:v>54658.314364862053</c:v>
                </c:pt>
                <c:pt idx="127">
                  <c:v>49669.06279720326</c:v>
                </c:pt>
                <c:pt idx="128">
                  <c:v>45142.748949091423</c:v>
                </c:pt>
                <c:pt idx="129">
                  <c:v>41035.426025108929</c:v>
                </c:pt>
                <c:pt idx="130">
                  <c:v>37307.450253285519</c:v>
                </c:pt>
                <c:pt idx="131">
                  <c:v>33923.042229309176</c:v>
                </c:pt>
                <c:pt idx="132">
                  <c:v>30849.895262675338</c:v>
                </c:pt>
                <c:pt idx="133">
                  <c:v>28058.825388241101</c:v>
                </c:pt>
                <c:pt idx="134">
                  <c:v>25523.458351915171</c:v>
                </c:pt>
                <c:pt idx="135">
                  <c:v>23219.949441286499</c:v>
                </c:pt>
                <c:pt idx="136">
                  <c:v>21126.732522290367</c:v>
                </c:pt>
                <c:pt idx="137">
                  <c:v>19224.295071281842</c:v>
                </c:pt>
                <c:pt idx="138">
                  <c:v>17494.976366475392</c:v>
                </c:pt>
                <c:pt idx="139">
                  <c:v>15922.786330781115</c:v>
                </c:pt>
                <c:pt idx="140">
                  <c:v>14493.242805761965</c:v>
                </c:pt>
                <c:pt idx="141">
                  <c:v>13193.22528904243</c:v>
                </c:pt>
                <c:pt idx="142">
                  <c:v>12010.843389563908</c:v>
                </c:pt>
                <c:pt idx="143">
                  <c:v>10935.318450535837</c:v>
                </c:pt>
                <c:pt idx="144">
                  <c:v>9956.8769621603988</c:v>
                </c:pt>
                <c:pt idx="145">
                  <c:v>9066.6545381476608</c:v>
                </c:pt>
                <c:pt idx="146">
                  <c:v>8256.6093642244141</c:v>
                </c:pt>
                <c:pt idx="147">
                  <c:v>7519.4441454776361</c:v>
                </c:pt>
                <c:pt idx="148">
                  <c:v>6848.5356843738073</c:v>
                </c:pt>
                <c:pt idx="149">
                  <c:v>6237.8713143225095</c:v>
                </c:pt>
                <c:pt idx="150">
                  <c:v>5681.9914961532077</c:v>
                </c:pt>
                <c:pt idx="151">
                  <c:v>5175.937958111268</c:v>
                </c:pt>
                <c:pt idx="152">
                  <c:v>4715.2068250549655</c:v>
                </c:pt>
                <c:pt idx="153">
                  <c:v>4295.7062404111357</c:v>
                </c:pt>
                <c:pt idx="154">
                  <c:v>3913.7180359672539</c:v>
                </c:pt>
                <c:pt idx="155">
                  <c:v>3565.8630504789103</c:v>
                </c:pt>
                <c:pt idx="156">
                  <c:v>3249.0697390021483</c:v>
                </c:pt>
                <c:pt idx="157">
                  <c:v>2960.5457513872716</c:v>
                </c:pt>
                <c:pt idx="158">
                  <c:v>2697.7521909951106</c:v>
                </c:pt>
                <c:pt idx="159">
                  <c:v>2458.3802938570102</c:v>
                </c:pt>
                <c:pt idx="160">
                  <c:v>2240.3302945841933</c:v>
                </c:pt>
                <c:pt idx="161">
                  <c:v>2041.6922686810467</c:v>
                </c:pt>
                <c:pt idx="162">
                  <c:v>1860.7287618328621</c:v>
                </c:pt>
                <c:pt idx="163">
                  <c:v>1695.8590354870321</c:v>
                </c:pt>
                <c:pt idx="164">
                  <c:v>1545.6447748640603</c:v>
                </c:pt>
                <c:pt idx="165">
                  <c:v>1408.7771206289567</c:v>
                </c:pt>
                <c:pt idx="166">
                  <c:v>1284.0648990099066</c:v>
                </c:pt>
                <c:pt idx="167">
                  <c:v>1170.4239373334515</c:v>
                </c:pt>
                <c:pt idx="168">
                  <c:v>1066.8673628991719</c:v>
                </c:pt>
                <c:pt idx="169">
                  <c:v>972.49679297161401</c:v>
                </c:pt>
                <c:pt idx="170">
                  <c:v>886.49433253789266</c:v>
                </c:pt>
                <c:pt idx="171">
                  <c:v>808.11530446846689</c:v>
                </c:pt>
                <c:pt idx="172">
                  <c:v>736.6816439171937</c:v>
                </c:pt>
                <c:pt idx="173">
                  <c:v>671.57589528637914</c:v>
                </c:pt>
                <c:pt idx="174">
                  <c:v>612.23575593556927</c:v>
                </c:pt>
                <c:pt idx="175">
                  <c:v>558.14911609425542</c:v>
                </c:pt>
                <c:pt idx="176">
                  <c:v>508.84954920617895</c:v>
                </c:pt>
                <c:pt idx="177">
                  <c:v>463.91221123853768</c:v>
                </c:pt>
                <c:pt idx="178">
                  <c:v>422.95011137921705</c:v>
                </c:pt>
                <c:pt idx="179">
                  <c:v>385.61072006092434</c:v>
                </c:pt>
                <c:pt idx="180">
                  <c:v>351.57288342972396</c:v>
                </c:pt>
                <c:pt idx="181">
                  <c:v>320.54401625051463</c:v>
                </c:pt>
                <c:pt idx="182">
                  <c:v>292.25754784320122</c:v>
                </c:pt>
                <c:pt idx="183">
                  <c:v>266.47059799765498</c:v>
                </c:pt>
                <c:pt idx="184">
                  <c:v>242.96186194705314</c:v>
                </c:pt>
                <c:pt idx="185">
                  <c:v>221.52968540958682</c:v>
                </c:pt>
                <c:pt idx="186">
                  <c:v>201.99031245729586</c:v>
                </c:pt>
                <c:pt idx="187">
                  <c:v>184.1762905554383</c:v>
                </c:pt>
                <c:pt idx="188">
                  <c:v>167.93501855217269</c:v>
                </c:pt>
                <c:pt idx="189">
                  <c:v>153.12742470059175</c:v>
                </c:pt>
                <c:pt idx="190">
                  <c:v>139.62676297615494</c:v>
                </c:pt>
                <c:pt idx="191">
                  <c:v>127.31751702382857</c:v>
                </c:pt>
                <c:pt idx="192">
                  <c:v>116.09440204121951</c:v>
                </c:pt>
                <c:pt idx="193">
                  <c:v>105.86145578604554</c:v>
                </c:pt>
                <c:pt idx="194">
                  <c:v>96.53121069694032</c:v>
                </c:pt>
                <c:pt idx="195">
                  <c:v>88.023939843472604</c:v>
                </c:pt>
                <c:pt idx="196">
                  <c:v>80.266970081325027</c:v>
                </c:pt>
                <c:pt idx="197">
                  <c:v>73.194056388055785</c:v>
                </c:pt>
                <c:pt idx="198">
                  <c:v>66.744811899439782</c:v>
                </c:pt>
                <c:pt idx="199">
                  <c:v>60.864188661141469</c:v>
                </c:pt>
                <c:pt idx="200">
                  <c:v>55.502004560066915</c:v>
                </c:pt>
                <c:pt idx="201">
                  <c:v>50.61251230834813</c:v>
                </c:pt>
                <c:pt idx="202">
                  <c:v>46.154006724324688</c:v>
                </c:pt>
                <c:pt idx="203">
                  <c:v>42.088466892545796</c:v>
                </c:pt>
                <c:pt idx="204">
                  <c:v>38.381230091823483</c:v>
                </c:pt>
                <c:pt idx="205">
                  <c:v>35.000694659551215</c:v>
                </c:pt>
                <c:pt idx="206">
                  <c:v>31.918049214407439</c:v>
                </c:pt>
                <c:pt idx="207">
                  <c:v>29.107025890515761</c:v>
                </c:pt>
                <c:pt idx="208">
                  <c:v>26.543675446225798</c:v>
                </c:pt>
                <c:pt idx="209">
                  <c:v>24.206162301821543</c:v>
                </c:pt>
                <c:pt idx="210">
                  <c:v>22.074577734379925</c:v>
                </c:pt>
                <c:pt idx="211">
                  <c:v>20.130769616265585</c:v>
                </c:pt>
                <c:pt idx="212">
                  <c:v>18.358187227776291</c:v>
                </c:pt>
                <c:pt idx="213">
                  <c:v>16.741739805544473</c:v>
                </c:pt>
                <c:pt idx="214">
                  <c:v>15.267667607622279</c:v>
                </c:pt>
                <c:pt idx="215">
                  <c:v>13.923424384799086</c:v>
                </c:pt>
                <c:pt idx="216">
                  <c:v>12.697570246589903</c:v>
                </c:pt>
                <c:pt idx="217">
                  <c:v>11.579674000365813</c:v>
                </c:pt>
                <c:pt idx="218">
                  <c:v>10.560224124077314</c:v>
                </c:pt>
                <c:pt idx="219">
                  <c:v>9.6305476076712484</c:v>
                </c:pt>
                <c:pt idx="220">
                  <c:v>8.7827359662821216</c:v>
                </c:pt>
                <c:pt idx="221">
                  <c:v>8.0095777901903471</c:v>
                </c:pt>
                <c:pt idx="222">
                  <c:v>7.304497252926855</c:v>
                </c:pt>
                <c:pt idx="223">
                  <c:v>6.6614980502632362</c:v>
                </c:pt>
                <c:pt idx="224">
                  <c:v>6.0751122896085956</c:v>
                </c:pt>
                <c:pt idx="225">
                  <c:v>5.5403538919504784</c:v>
                </c:pt>
                <c:pt idx="226">
                  <c:v>5.0526761072988746</c:v>
                </c:pt>
                <c:pt idx="227">
                  <c:v>4.6079327799607421</c:v>
                </c:pt>
                <c:pt idx="228">
                  <c:v>4.2023430321950439</c:v>
                </c:pt>
                <c:pt idx="229">
                  <c:v>3.8324590641570224</c:v>
                </c:pt>
                <c:pt idx="230">
                  <c:v>3.4951367947907372</c:v>
                </c:pt>
                <c:pt idx="231">
                  <c:v>3.1875090927032046</c:v>
                </c:pt>
                <c:pt idx="232">
                  <c:v>2.9069613682645921</c:v>
                </c:pt>
                <c:pt idx="233">
                  <c:v>2.6511093184184897</c:v>
                </c:pt>
                <c:pt idx="234">
                  <c:v>2.417778634131031</c:v>
                </c:pt>
                <c:pt idx="235">
                  <c:v>2.2049864972164572</c:v>
                </c:pt>
                <c:pt idx="236">
                  <c:v>2.0109247085959314</c:v>
                </c:pt>
                <c:pt idx="237">
                  <c:v>1.8339443040078078</c:v>
                </c:pt>
                <c:pt idx="238">
                  <c:v>1.6725415259125691</c:v>
                </c:pt>
                <c:pt idx="239">
                  <c:v>1.5253450319333519</c:v>
                </c:pt>
                <c:pt idx="240">
                  <c:v>1.3911042307443333</c:v>
                </c:pt>
                <c:pt idx="241">
                  <c:v>1.2686786459545594</c:v>
                </c:pt>
                <c:pt idx="242">
                  <c:v>1.1570282173178728</c:v>
                </c:pt>
                <c:pt idx="243">
                  <c:v>1.0552044566054126</c:v>
                </c:pt>
                <c:pt idx="244">
                  <c:v>0.96234238277513617</c:v>
                </c:pt>
                <c:pt idx="245">
                  <c:v>0.87765316772539381</c:v>
                </c:pt>
                <c:pt idx="246">
                  <c:v>0.80041742998406817</c:v>
                </c:pt>
                <c:pt idx="247">
                  <c:v>0.72997911921331948</c:v>
                </c:pt>
                <c:pt idx="248">
                  <c:v>0.66573993944992715</c:v>
                </c:pt>
                <c:pt idx="249">
                  <c:v>0.60715426359594171</c:v>
                </c:pt>
                <c:pt idx="250">
                  <c:v>0.55372449586314887</c:v>
                </c:pt>
                <c:pt idx="251">
                  <c:v>0.50499684269379019</c:v>
                </c:pt>
                <c:pt idx="252">
                  <c:v>0.46055745616160809</c:v>
                </c:pt>
                <c:pt idx="253">
                  <c:v>0.42002891703159034</c:v>
                </c:pt>
                <c:pt idx="254">
                  <c:v>0.38306702755084032</c:v>
                </c:pt>
                <c:pt idx="255">
                  <c:v>0.34935788668164625</c:v>
                </c:pt>
                <c:pt idx="256">
                  <c:v>0.31861522289357741</c:v>
                </c:pt>
                <c:pt idx="257">
                  <c:v>0.29057796182494489</c:v>
                </c:pt>
                <c:pt idx="258">
                  <c:v>0.26500800812391268</c:v>
                </c:pt>
                <c:pt idx="259">
                  <c:v>0.2416882226030943</c:v>
                </c:pt>
                <c:pt idx="260">
                  <c:v>0.22042057750415012</c:v>
                </c:pt>
                <c:pt idx="261">
                  <c:v>0.20102447418495004</c:v>
                </c:pt>
                <c:pt idx="262">
                  <c:v>0.18333520892421412</c:v>
                </c:pt>
                <c:pt idx="263">
                  <c:v>0.16720257379899919</c:v>
                </c:pt>
                <c:pt idx="264">
                  <c:v>0.15248958073972391</c:v>
                </c:pt>
                <c:pt idx="265">
                  <c:v>0.13907129791541806</c:v>
                </c:pt>
                <c:pt idx="266">
                  <c:v>0.12683378855749472</c:v>
                </c:pt>
                <c:pt idx="267">
                  <c:v>0.11567314320171986</c:v>
                </c:pt>
                <c:pt idx="268">
                  <c:v>0.10549459712262832</c:v>
                </c:pt>
                <c:pt idx="269">
                  <c:v>9.6211725459183342E-2</c:v>
                </c:pt>
                <c:pt idx="270">
                  <c:v>8.774570919116903E-2</c:v>
                </c:pt>
                <c:pt idx="271">
                  <c:v>8.0024665728280958E-2</c:v>
                </c:pt>
                <c:pt idx="272">
                  <c:v>7.2983038423268323E-2</c:v>
                </c:pt>
                <c:pt idx="273">
                  <c:v>6.6561039821462123E-2</c:v>
                </c:pt>
                <c:pt idx="274">
                  <c:v>6.0704143915867627E-2</c:v>
                </c:pt>
                <c:pt idx="275">
                  <c:v>5.5362623093597602E-2</c:v>
                </c:pt>
                <c:pt idx="276">
                  <c:v>5.0491125839317932E-2</c:v>
                </c:pt>
                <c:pt idx="277">
                  <c:v>4.6048291607813069E-2</c:v>
                </c:pt>
                <c:pt idx="278">
                  <c:v>4.1996399593693064E-2</c:v>
                </c:pt>
                <c:pt idx="279">
                  <c:v>3.8301048414358614E-2</c:v>
                </c:pt>
                <c:pt idx="280">
                  <c:v>3.4930863985056126E-2</c:v>
                </c:pt>
                <c:pt idx="281">
                  <c:v>3.1857233104436042E-2</c:v>
                </c:pt>
                <c:pt idx="282">
                  <c:v>2.9054060487507152E-2</c:v>
                </c:pt>
                <c:pt idx="283">
                  <c:v>2.6497547182120242E-2</c:v>
                </c:pt>
                <c:pt idx="284">
                  <c:v>2.4165988486808711E-2</c:v>
                </c:pt>
                <c:pt idx="285">
                  <c:v>2.2039589653509252E-2</c:v>
                </c:pt>
                <c:pt idx="286">
                  <c:v>2.0100297809790363E-2</c:v>
                </c:pt>
                <c:pt idx="287">
                  <c:v>1.8331648673015833E-2</c:v>
                </c:pt>
                <c:pt idx="288">
                  <c:v>1.6718626754537801E-2</c:v>
                </c:pt>
                <c:pt idx="289">
                  <c:v>1.5247537866615167E-2</c:v>
                </c:pt>
                <c:pt idx="290">
                  <c:v>1.3905892849265973E-2</c:v>
                </c:pt>
                <c:pt idx="291">
                  <c:v>1.268230152957267E-2</c:v>
                </c:pt>
                <c:pt idx="292">
                  <c:v>1.1566376012879071E-2</c:v>
                </c:pt>
                <c:pt idx="293">
                  <c:v>1.0548642484585291E-2</c:v>
                </c:pt>
                <c:pt idx="294">
                  <c:v>9.6204607735361474E-3</c:v>
                </c:pt>
                <c:pt idx="295">
                  <c:v>8.7739509939240637E-3</c:v>
                </c:pt>
                <c:pt idx="296">
                  <c:v>8.0019266427494747E-3</c:v>
                </c:pt>
              </c:numCache>
            </c:numRef>
          </c:yVal>
        </c:ser>
        <c:axId val="160330496"/>
        <c:axId val="160332800"/>
      </c:scatterChart>
      <c:valAx>
        <c:axId val="160330496"/>
        <c:scaling>
          <c:logBase val="10"/>
          <c:orientation val="minMax"/>
          <c:max val="1.0000000000000005E-2"/>
          <c:min val="1.0000000000000031E-6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Wavenumber</a:t>
                </a:r>
              </a:p>
            </c:rich>
          </c:tx>
          <c:layout/>
        </c:title>
        <c:numFmt formatCode="0E+00" sourceLinked="0"/>
        <c:tickLblPos val="nextTo"/>
        <c:crossAx val="160332800"/>
        <c:crosses val="autoZero"/>
        <c:crossBetween val="midCat"/>
      </c:valAx>
      <c:valAx>
        <c:axId val="160332800"/>
        <c:scaling>
          <c:logBase val="10"/>
          <c:orientation val="minMax"/>
          <c:max val="80000000"/>
          <c:min val="1000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Density</a:t>
                </a:r>
              </a:p>
            </c:rich>
          </c:tx>
          <c:layout/>
        </c:title>
        <c:numFmt formatCode="General" sourceLinked="1"/>
        <c:tickLblPos val="nextTo"/>
        <c:crossAx val="160330496"/>
        <c:crossesAt val="1.0000000000000031E-6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legend>
      <c:legendPos val="r"/>
      <c:layout>
        <c:manualLayout>
          <c:xMode val="edge"/>
          <c:yMode val="edge"/>
          <c:x val="0.75748600174978142"/>
          <c:y val="0.15012286986139345"/>
          <c:w val="0.15673189874067076"/>
          <c:h val="0.13621780328306421"/>
        </c:manualLayout>
      </c:layout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</xdr:row>
      <xdr:rowOff>171450</xdr:rowOff>
    </xdr:from>
    <xdr:to>
      <xdr:col>13</xdr:col>
      <xdr:colOff>38100</xdr:colOff>
      <xdr:row>39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38</xdr:row>
      <xdr:rowOff>180975</xdr:rowOff>
    </xdr:from>
    <xdr:to>
      <xdr:col>7</xdr:col>
      <xdr:colOff>523875</xdr:colOff>
      <xdr:row>61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342901</xdr:colOff>
      <xdr:row>0</xdr:row>
      <xdr:rowOff>95250</xdr:rowOff>
    </xdr:from>
    <xdr:to>
      <xdr:col>10</xdr:col>
      <xdr:colOff>523876</xdr:colOff>
      <xdr:row>2</xdr:row>
      <xdr:rowOff>95250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48151" y="95250"/>
          <a:ext cx="188595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390525</xdr:colOff>
      <xdr:row>3</xdr:row>
      <xdr:rowOff>0</xdr:rowOff>
    </xdr:from>
    <xdr:to>
      <xdr:col>13</xdr:col>
      <xdr:colOff>123825</xdr:colOff>
      <xdr:row>5</xdr:row>
      <xdr:rowOff>38100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095875" y="571500"/>
          <a:ext cx="3457575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504825</xdr:colOff>
      <xdr:row>40</xdr:row>
      <xdr:rowOff>104775</xdr:rowOff>
    </xdr:from>
    <xdr:to>
      <xdr:col>17</xdr:col>
      <xdr:colOff>190500</xdr:colOff>
      <xdr:row>75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3</xdr:row>
      <xdr:rowOff>66675</xdr:rowOff>
    </xdr:from>
    <xdr:to>
      <xdr:col>8</xdr:col>
      <xdr:colOff>409575</xdr:colOff>
      <xdr:row>17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</xdr:row>
      <xdr:rowOff>171450</xdr:rowOff>
    </xdr:from>
    <xdr:to>
      <xdr:col>14</xdr:col>
      <xdr:colOff>38100</xdr:colOff>
      <xdr:row>39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228601</xdr:colOff>
      <xdr:row>35</xdr:row>
      <xdr:rowOff>123825</xdr:rowOff>
    </xdr:from>
    <xdr:to>
      <xdr:col>6</xdr:col>
      <xdr:colOff>114301</xdr:colOff>
      <xdr:row>50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342901</xdr:colOff>
      <xdr:row>0</xdr:row>
      <xdr:rowOff>95250</xdr:rowOff>
    </xdr:from>
    <xdr:to>
      <xdr:col>11</xdr:col>
      <xdr:colOff>523876</xdr:colOff>
      <xdr:row>2</xdr:row>
      <xdr:rowOff>95250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848351" y="95250"/>
          <a:ext cx="188595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390525</xdr:colOff>
      <xdr:row>3</xdr:row>
      <xdr:rowOff>0</xdr:rowOff>
    </xdr:from>
    <xdr:to>
      <xdr:col>14</xdr:col>
      <xdr:colOff>123825</xdr:colOff>
      <xdr:row>5</xdr:row>
      <xdr:rowOff>38100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95975" y="571500"/>
          <a:ext cx="3457575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657225</xdr:colOff>
      <xdr:row>37</xdr:row>
      <xdr:rowOff>28574</xdr:rowOff>
    </xdr:from>
    <xdr:to>
      <xdr:col>12</xdr:col>
      <xdr:colOff>457200</xdr:colOff>
      <xdr:row>49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C301"/>
  <sheetViews>
    <sheetView workbookViewId="0">
      <selection activeCell="E5" sqref="E5"/>
    </sheetView>
  </sheetViews>
  <sheetFormatPr defaultRowHeight="15"/>
  <cols>
    <col min="3" max="3" width="10" bestFit="1" customWidth="1"/>
    <col min="5" max="5" width="12" bestFit="1" customWidth="1"/>
    <col min="6" max="7" width="12" customWidth="1"/>
    <col min="10" max="10" width="16.42578125" customWidth="1"/>
    <col min="13" max="13" width="12" bestFit="1" customWidth="1"/>
  </cols>
  <sheetData>
    <row r="1" spans="1:445">
      <c r="A1">
        <v>0.02</v>
      </c>
      <c r="B1">
        <v>5.9999999999999995E-4</v>
      </c>
      <c r="C1">
        <v>6.2E-4</v>
      </c>
      <c r="D1">
        <v>6.2E-2</v>
      </c>
      <c r="E1">
        <v>2.2000000000000002</v>
      </c>
      <c r="F1">
        <v>6.9999999999999999E-6</v>
      </c>
      <c r="G1">
        <v>1.0000000000000001E-5</v>
      </c>
      <c r="H1">
        <v>2</v>
      </c>
      <c r="L1">
        <v>1.05</v>
      </c>
      <c r="M1">
        <v>0.06</v>
      </c>
      <c r="N1">
        <v>0.06</v>
      </c>
    </row>
    <row r="2" spans="1:445">
      <c r="B2">
        <v>0.6</v>
      </c>
      <c r="C2">
        <v>0.8</v>
      </c>
      <c r="D2">
        <v>0.8</v>
      </c>
      <c r="E2">
        <v>95000000</v>
      </c>
      <c r="F2">
        <v>8.0000000000000002E-3</v>
      </c>
      <c r="G2">
        <v>1E-3</v>
      </c>
      <c r="H2">
        <v>100000000</v>
      </c>
      <c r="L2">
        <v>6.4999999999999994E-5</v>
      </c>
      <c r="M2">
        <v>2.0000000000000001E-9</v>
      </c>
      <c r="N2">
        <v>2.5000000000000001E-9</v>
      </c>
    </row>
    <row r="3" spans="1:445">
      <c r="B3">
        <v>3.9999999999999998E-6</v>
      </c>
      <c r="C3">
        <v>3.7000000000000002E-6</v>
      </c>
      <c r="D3">
        <v>3.6999999999999998E-5</v>
      </c>
      <c r="E3">
        <v>165000</v>
      </c>
      <c r="F3">
        <v>120000</v>
      </c>
      <c r="H3">
        <v>100000</v>
      </c>
      <c r="L3">
        <v>80</v>
      </c>
      <c r="M3">
        <v>35000</v>
      </c>
      <c r="N3">
        <v>35000</v>
      </c>
      <c r="QC3" t="s">
        <v>13</v>
      </c>
    </row>
    <row r="4" spans="1:445">
      <c r="C4" t="s">
        <v>1</v>
      </c>
      <c r="D4" t="s">
        <v>0</v>
      </c>
      <c r="E4" t="s">
        <v>2</v>
      </c>
      <c r="F4" t="s">
        <v>11</v>
      </c>
      <c r="G4" t="s">
        <v>12</v>
      </c>
    </row>
    <row r="5" spans="1:445">
      <c r="A5">
        <v>-6</v>
      </c>
      <c r="B5">
        <f>10^$A5</f>
        <v>9.9999999999999995E-7</v>
      </c>
      <c r="C5">
        <f>+C$1*EXP(-ABS(C$3/$B5-1/C$2))/$B5/$B5</f>
        <v>53502023.629609711</v>
      </c>
      <c r="D5">
        <f>+D$1*EXP(-ABS(D$3/$B5-1/D$2))/$B5/$B5</f>
        <v>1.8465622865445419E-5</v>
      </c>
      <c r="E5">
        <f>$E$2/(1+$E$1^2-2*$E$1*($E$3*$B5)+($E$3*$B5)^2)+$E$2/(1+$E$1^2+2*$E$1*($E$3*$B5)+($E$3*$B5)^2)</f>
        <v>32886816.622045521</v>
      </c>
      <c r="F5">
        <f t="shared" ref="F5:F68" si="0">+I/(($B5-alpha*SIN($B5*L))^2+alpha^2*(1+COS($B5*L))^2)</f>
        <v>41105897.568878599</v>
      </c>
      <c r="G5">
        <f t="shared" ref="G5:G68" si="1">+Int*($B5^2+2*beta^2)/(4*(beta*$B5)^2+($B5^2-2*beta^2)^2)</f>
        <v>5024874.3781405455</v>
      </c>
      <c r="H5" s="1">
        <v>1.3E-6</v>
      </c>
    </row>
    <row r="6" spans="1:445">
      <c r="A6">
        <f>+$A5+$A$1</f>
        <v>-5.98</v>
      </c>
      <c r="B6">
        <f t="shared" ref="B6:B69" si="2">10^$A6</f>
        <v>1.0471285480508979E-6</v>
      </c>
      <c r="C6">
        <f t="shared" ref="C6:D69" si="3">+C$1*EXP(-ABS(C$3/$B6-1/C$2))/$B6/$B6</f>
        <v>57635777.154835127</v>
      </c>
      <c r="D6">
        <f t="shared" si="3"/>
        <v>8.903964263649961E-5</v>
      </c>
      <c r="E6">
        <f t="shared" ref="E6:E69" si="4">$E$2/(1+$E$1^2-2*$E$1*($E$3*$B6)+($E$3*$B6)^2)+$E$2/(1+$E$1^2+2*$E$1*($E$3*$B6)+($E$3*$B6)^2)</f>
        <v>32920985.127852224</v>
      </c>
      <c r="F6">
        <f t="shared" si="0"/>
        <v>41133943.331391379</v>
      </c>
      <c r="G6">
        <f t="shared" si="1"/>
        <v>5027260.8524804171</v>
      </c>
      <c r="H6" s="1">
        <v>1.3E-6</v>
      </c>
    </row>
    <row r="7" spans="1:445">
      <c r="A7">
        <f t="shared" ref="A7:A70" si="5">+$A6+$A$1</f>
        <v>-5.9600000000000009</v>
      </c>
      <c r="B7">
        <f t="shared" si="2"/>
        <v>1.0964781961431813E-6</v>
      </c>
      <c r="C7">
        <f t="shared" si="3"/>
        <v>61625303.973450318</v>
      </c>
      <c r="D7">
        <f t="shared" si="3"/>
        <v>3.9833880672984691E-4</v>
      </c>
      <c r="E7">
        <f t="shared" si="4"/>
        <v>32958481.162692398</v>
      </c>
      <c r="F7">
        <f t="shared" si="0"/>
        <v>41164716.856145129</v>
      </c>
      <c r="G7">
        <f t="shared" si="1"/>
        <v>5029874.8513366356</v>
      </c>
    </row>
    <row r="8" spans="1:445">
      <c r="A8">
        <f t="shared" si="5"/>
        <v>-5.9400000000000013</v>
      </c>
      <c r="B8">
        <f t="shared" si="2"/>
        <v>1.1481536214968785E-6</v>
      </c>
      <c r="C8">
        <f t="shared" si="3"/>
        <v>65421044.237932704</v>
      </c>
      <c r="D8">
        <f t="shared" si="3"/>
        <v>1.6589625903549378E-3</v>
      </c>
      <c r="E8">
        <f t="shared" si="4"/>
        <v>32999632.042597286</v>
      </c>
      <c r="F8">
        <f t="shared" si="0"/>
        <v>41198485.759472884</v>
      </c>
      <c r="G8">
        <f t="shared" si="1"/>
        <v>5032737.7710671742</v>
      </c>
    </row>
    <row r="9" spans="1:445">
      <c r="A9">
        <f t="shared" si="5"/>
        <v>-5.9200000000000017</v>
      </c>
      <c r="B9">
        <f t="shared" si="2"/>
        <v>1.2022644346174062E-6</v>
      </c>
      <c r="C9">
        <f t="shared" si="3"/>
        <v>68977468.657829657</v>
      </c>
      <c r="D9">
        <f t="shared" si="3"/>
        <v>6.4525948697722133E-3</v>
      </c>
      <c r="E9">
        <f t="shared" si="4"/>
        <v>33044797.935885325</v>
      </c>
      <c r="F9">
        <f t="shared" si="0"/>
        <v>41235544.377940245</v>
      </c>
      <c r="G9">
        <f t="shared" si="1"/>
        <v>5035872.9585214555</v>
      </c>
    </row>
    <row r="10" spans="1:445">
      <c r="A10">
        <f t="shared" si="5"/>
        <v>-5.9000000000000021</v>
      </c>
      <c r="B10">
        <f t="shared" si="2"/>
        <v>1.25892541179416E-6</v>
      </c>
      <c r="C10">
        <f t="shared" si="3"/>
        <v>72254021.833618194</v>
      </c>
      <c r="D10">
        <f t="shared" si="3"/>
        <v>2.3511597206673403E-2</v>
      </c>
      <c r="E10">
        <f t="shared" si="4"/>
        <v>33094375.291096047</v>
      </c>
      <c r="F10">
        <f t="shared" si="0"/>
        <v>41276216.52902063</v>
      </c>
      <c r="G10">
        <f t="shared" si="1"/>
        <v>5039305.8757101921</v>
      </c>
    </row>
    <row r="11" spans="1:445">
      <c r="A11">
        <f t="shared" si="5"/>
        <v>-5.8800000000000026</v>
      </c>
      <c r="B11">
        <f t="shared" si="2"/>
        <v>1.3182567385563968E-6</v>
      </c>
      <c r="C11">
        <f t="shared" si="3"/>
        <v>75215853.617080271</v>
      </c>
      <c r="D11">
        <f t="shared" si="3"/>
        <v>8.0492563604618594E-2</v>
      </c>
      <c r="E11">
        <f t="shared" si="4"/>
        <v>33148800.64815221</v>
      </c>
      <c r="F11">
        <f t="shared" si="0"/>
        <v>41320858.575222395</v>
      </c>
      <c r="G11">
        <f t="shared" si="1"/>
        <v>5043064.2754528644</v>
      </c>
    </row>
    <row r="12" spans="1:445">
      <c r="A12">
        <f t="shared" si="5"/>
        <v>-5.860000000000003</v>
      </c>
      <c r="B12">
        <f t="shared" si="2"/>
        <v>1.3803842646028738E-6</v>
      </c>
      <c r="C12">
        <f t="shared" si="3"/>
        <v>77834330.484541446</v>
      </c>
      <c r="D12">
        <f t="shared" si="3"/>
        <v>0.25964132312756777</v>
      </c>
      <c r="E12">
        <f t="shared" si="4"/>
        <v>33208554.880409472</v>
      </c>
      <c r="F12">
        <f t="shared" si="0"/>
        <v>41369862.828488</v>
      </c>
      <c r="G12">
        <f t="shared" si="1"/>
        <v>5047178.3880212782</v>
      </c>
    </row>
    <row r="13" spans="1:445">
      <c r="A13">
        <f t="shared" si="5"/>
        <v>-5.8400000000000034</v>
      </c>
      <c r="B13">
        <f t="shared" si="2"/>
        <v>1.4454397707459131E-6</v>
      </c>
      <c r="C13">
        <f t="shared" si="3"/>
        <v>80087329.326978534</v>
      </c>
      <c r="D13">
        <f t="shared" si="3"/>
        <v>0.79122497613036025</v>
      </c>
      <c r="E13">
        <f t="shared" si="4"/>
        <v>33274167.922027968</v>
      </c>
      <c r="F13">
        <f t="shared" si="0"/>
        <v>41423661.336771294</v>
      </c>
      <c r="G13">
        <f t="shared" si="1"/>
        <v>5051681.1185744274</v>
      </c>
    </row>
    <row r="14" spans="1:445">
      <c r="A14">
        <f t="shared" si="5"/>
        <v>-5.8200000000000038</v>
      </c>
      <c r="B14">
        <f t="shared" si="2"/>
        <v>1.5135612484361928E-6</v>
      </c>
      <c r="C14">
        <f t="shared" si="3"/>
        <v>81959324.944360211</v>
      </c>
      <c r="D14">
        <f t="shared" si="3"/>
        <v>2.2837344329220821</v>
      </c>
      <c r="E14">
        <f t="shared" si="4"/>
        <v>33346224.042972222</v>
      </c>
      <c r="F14">
        <f t="shared" si="0"/>
        <v>41482730.100589246</v>
      </c>
      <c r="G14">
        <f t="shared" si="1"/>
        <v>5056608.2548852619</v>
      </c>
    </row>
    <row r="15" spans="1:445">
      <c r="A15">
        <f t="shared" si="5"/>
        <v>-5.8000000000000043</v>
      </c>
      <c r="B15">
        <f t="shared" si="2"/>
        <v>1.5848931924610971E-6</v>
      </c>
      <c r="C15">
        <f t="shared" si="3"/>
        <v>83441289.622917235</v>
      </c>
      <c r="D15">
        <f t="shared" si="3"/>
        <v>6.2585244034447136</v>
      </c>
      <c r="E15">
        <f t="shared" si="4"/>
        <v>33425367.743109424</v>
      </c>
      <c r="F15">
        <f t="shared" si="0"/>
        <v>41547593.77417504</v>
      </c>
      <c r="G15">
        <f t="shared" si="1"/>
        <v>5061998.6844758084</v>
      </c>
    </row>
    <row r="16" spans="1:445">
      <c r="A16">
        <f t="shared" si="5"/>
        <v>-5.7800000000000047</v>
      </c>
      <c r="B16">
        <f t="shared" si="2"/>
        <v>1.6595869074375402E-6</v>
      </c>
      <c r="C16">
        <f t="shared" si="3"/>
        <v>84530428.374256223</v>
      </c>
      <c r="D16">
        <f t="shared" si="3"/>
        <v>16.322721534455784</v>
      </c>
      <c r="E16">
        <f t="shared" si="4"/>
        <v>33512310.347563267</v>
      </c>
      <c r="F16">
        <f t="shared" si="0"/>
        <v>41618830.91380015</v>
      </c>
      <c r="G16">
        <f t="shared" si="1"/>
        <v>5067894.6197806587</v>
      </c>
    </row>
    <row r="17" spans="1:7">
      <c r="A17">
        <f t="shared" si="5"/>
        <v>-5.7600000000000051</v>
      </c>
      <c r="B17">
        <f t="shared" si="2"/>
        <v>1.7378008287493539E-6</v>
      </c>
      <c r="C17">
        <f t="shared" si="3"/>
        <v>85229776.759084076</v>
      </c>
      <c r="D17">
        <f t="shared" si="3"/>
        <v>40.604613610543787</v>
      </c>
      <c r="E17">
        <f t="shared" si="4"/>
        <v>33607837.397965044</v>
      </c>
      <c r="F17">
        <f t="shared" si="0"/>
        <v>41697079.845076963</v>
      </c>
      <c r="G17">
        <f t="shared" si="1"/>
        <v>5074341.8293223139</v>
      </c>
    </row>
    <row r="18" spans="1:7">
      <c r="A18">
        <f t="shared" si="5"/>
        <v>-5.7400000000000055</v>
      </c>
      <c r="B18">
        <f t="shared" si="2"/>
        <v>1.8197008586099572E-6</v>
      </c>
      <c r="C18">
        <f t="shared" si="3"/>
        <v>85547689.845050424</v>
      </c>
      <c r="D18">
        <f t="shared" si="3"/>
        <v>96.548323136836572</v>
      </c>
      <c r="E18">
        <f t="shared" si="4"/>
        <v>33712816.948850453</v>
      </c>
      <c r="F18">
        <f t="shared" si="0"/>
        <v>41783045.231834933</v>
      </c>
      <c r="G18">
        <f t="shared" si="1"/>
        <v>5081389.8720704373</v>
      </c>
    </row>
    <row r="19" spans="1:7">
      <c r="A19">
        <f t="shared" si="5"/>
        <v>-5.720000000000006</v>
      </c>
      <c r="B19">
        <f t="shared" si="2"/>
        <v>1.9054607179632191E-6</v>
      </c>
      <c r="C19">
        <f t="shared" si="3"/>
        <v>85497250.970868602</v>
      </c>
      <c r="D19">
        <f t="shared" si="3"/>
        <v>219.87881214120489</v>
      </c>
      <c r="E19">
        <f t="shared" si="4"/>
        <v>33828208.895564079</v>
      </c>
      <c r="F19">
        <f t="shared" si="0"/>
        <v>41877505.441754445</v>
      </c>
      <c r="G19">
        <f t="shared" si="1"/>
        <v>5089092.3311278597</v>
      </c>
    </row>
    <row r="20" spans="1:7">
      <c r="A20">
        <f t="shared" si="5"/>
        <v>-5.7000000000000064</v>
      </c>
      <c r="B20">
        <f t="shared" si="2"/>
        <v>1.9952623149688465E-6</v>
      </c>
      <c r="C20">
        <f t="shared" si="3"/>
        <v>85095627.865150914</v>
      </c>
      <c r="D20">
        <f t="shared" si="3"/>
        <v>480.54531019916607</v>
      </c>
      <c r="E20">
        <f t="shared" si="4"/>
        <v>33955075.480104662</v>
      </c>
      <c r="F20">
        <f t="shared" si="0"/>
        <v>41981320.818667188</v>
      </c>
      <c r="G20">
        <f t="shared" si="1"/>
        <v>5097507.0415861867</v>
      </c>
    </row>
    <row r="21" spans="1:7">
      <c r="A21">
        <f t="shared" si="5"/>
        <v>-5.6800000000000068</v>
      </c>
      <c r="B21">
        <f t="shared" si="2"/>
        <v>2.0892961308540042E-6</v>
      </c>
      <c r="C21">
        <f t="shared" si="3"/>
        <v>84363401.575015992</v>
      </c>
      <c r="D21">
        <f t="shared" si="3"/>
        <v>1009.7240417754908</v>
      </c>
      <c r="E21">
        <f t="shared" si="4"/>
        <v>34094593.144906454</v>
      </c>
      <c r="F21">
        <f t="shared" si="0"/>
        <v>42095442.988667533</v>
      </c>
      <c r="G21">
        <f t="shared" si="1"/>
        <v>5106696.3057577405</v>
      </c>
    </row>
    <row r="22" spans="1:7">
      <c r="A22">
        <f t="shared" si="5"/>
        <v>-5.6600000000000072</v>
      </c>
      <c r="B22">
        <f t="shared" si="2"/>
        <v>2.1877616239495115E-6</v>
      </c>
      <c r="C22">
        <f t="shared" si="3"/>
        <v>83323890.87116909</v>
      </c>
      <c r="D22">
        <f t="shared" si="3"/>
        <v>2043.4183433726637</v>
      </c>
      <c r="E22">
        <f t="shared" si="4"/>
        <v>34248065.932223871</v>
      </c>
      <c r="F22">
        <f t="shared" si="0"/>
        <v>42220925.347368389</v>
      </c>
      <c r="G22">
        <f t="shared" si="1"/>
        <v>5116727.0869377786</v>
      </c>
    </row>
    <row r="23" spans="1:7">
      <c r="A23">
        <f t="shared" si="5"/>
        <v>-5.6400000000000077</v>
      </c>
      <c r="B23">
        <f t="shared" si="2"/>
        <v>2.2908676527677298E-6</v>
      </c>
      <c r="C23">
        <f t="shared" si="3"/>
        <v>82002491.569358662</v>
      </c>
      <c r="D23">
        <f t="shared" si="3"/>
        <v>3989.6275599227288</v>
      </c>
      <c r="E23">
        <f t="shared" si="4"/>
        <v>34416940.659289688</v>
      </c>
      <c r="F23">
        <f t="shared" si="0"/>
        <v>42358934.899290748</v>
      </c>
      <c r="G23">
        <f t="shared" si="1"/>
        <v>5127671.1702828184</v>
      </c>
    </row>
    <row r="24" spans="1:7">
      <c r="A24">
        <f t="shared" si="5"/>
        <v>-5.6200000000000081</v>
      </c>
      <c r="B24">
        <f t="shared" si="2"/>
        <v>2.3988329190194448E-6</v>
      </c>
      <c r="C24">
        <f t="shared" si="3"/>
        <v>80426046.770223558</v>
      </c>
      <c r="D24">
        <f t="shared" si="3"/>
        <v>7527.1244063720524</v>
      </c>
      <c r="E24">
        <f t="shared" si="4"/>
        <v>34602824.137576379</v>
      </c>
      <c r="F24">
        <f t="shared" si="0"/>
        <v>42510765.648086548</v>
      </c>
      <c r="G24">
        <f t="shared" si="1"/>
        <v>5139605.2761865798</v>
      </c>
    </row>
    <row r="25" spans="1:7">
      <c r="A25">
        <f t="shared" si="5"/>
        <v>-5.6000000000000085</v>
      </c>
      <c r="B25">
        <f t="shared" si="2"/>
        <v>2.5118864315095272E-6</v>
      </c>
      <c r="C25">
        <f t="shared" si="3"/>
        <v>78622260.562087864</v>
      </c>
      <c r="D25">
        <f t="shared" si="3"/>
        <v>13744.126347696149</v>
      </c>
      <c r="E25">
        <f t="shared" si="4"/>
        <v>34807502.749242693</v>
      </c>
      <c r="F25">
        <f t="shared" si="0"/>
        <v>42677853.768729649</v>
      </c>
      <c r="G25">
        <f t="shared" si="1"/>
        <v>5152611.107547571</v>
      </c>
    </row>
    <row r="26" spans="1:7">
      <c r="A26">
        <f t="shared" si="5"/>
        <v>-5.580000000000009</v>
      </c>
      <c r="B26">
        <f t="shared" si="2"/>
        <v>2.6302679918953262E-6</v>
      </c>
      <c r="C26">
        <f t="shared" si="3"/>
        <v>76619164.407184541</v>
      </c>
      <c r="D26">
        <f t="shared" si="3"/>
        <v>24324.055550618305</v>
      </c>
      <c r="E26">
        <f t="shared" si="4"/>
        <v>35032964.746227674</v>
      </c>
      <c r="F26">
        <f t="shared" si="0"/>
        <v>42861794.830711611</v>
      </c>
      <c r="G26">
        <f t="shared" si="1"/>
        <v>5166775.3073737808</v>
      </c>
    </row>
    <row r="27" spans="1:7">
      <c r="A27">
        <f t="shared" si="5"/>
        <v>-5.5600000000000094</v>
      </c>
      <c r="B27">
        <f t="shared" si="2"/>
        <v>2.7542287033381024E-6</v>
      </c>
      <c r="C27">
        <f t="shared" si="3"/>
        <v>74444642.35572648</v>
      </c>
      <c r="D27">
        <f t="shared" si="3"/>
        <v>41782.68564422342</v>
      </c>
      <c r="E27">
        <f t="shared" si="4"/>
        <v>35281425.698577568</v>
      </c>
      <c r="F27">
        <f t="shared" si="0"/>
        <v>43064363.385452278</v>
      </c>
      <c r="G27">
        <f t="shared" si="1"/>
        <v>5182189.2970463829</v>
      </c>
    </row>
    <row r="28" spans="1:7">
      <c r="A28">
        <f t="shared" si="5"/>
        <v>-5.5400000000000098</v>
      </c>
      <c r="B28">
        <f t="shared" si="2"/>
        <v>2.8840315031265381E-6</v>
      </c>
      <c r="C28">
        <f t="shared" si="3"/>
        <v>72126018.483017817</v>
      </c>
      <c r="D28">
        <f t="shared" si="3"/>
        <v>69755.982714723737</v>
      </c>
      <c r="E28">
        <f t="shared" si="4"/>
        <v>35555357.589591816</v>
      </c>
      <c r="F28">
        <f t="shared" si="0"/>
        <v>43287535.282408945</v>
      </c>
      <c r="G28">
        <f t="shared" si="1"/>
        <v>5198948.9580122074</v>
      </c>
    </row>
    <row r="29" spans="1:7">
      <c r="A29">
        <f t="shared" si="5"/>
        <v>-5.5200000000000102</v>
      </c>
      <c r="B29">
        <f t="shared" si="2"/>
        <v>3.0199517204019392E-6</v>
      </c>
      <c r="C29">
        <f t="shared" si="3"/>
        <v>66315452.422646724</v>
      </c>
      <c r="D29">
        <f t="shared" si="3"/>
        <v>113330.88875254177</v>
      </c>
      <c r="E29">
        <f t="shared" si="4"/>
        <v>35857522.137310371</v>
      </c>
      <c r="F29">
        <f t="shared" si="0"/>
        <v>43533513.137531124</v>
      </c>
      <c r="G29">
        <f t="shared" si="1"/>
        <v>5217154.1103957491</v>
      </c>
    </row>
    <row r="30" spans="1:7">
      <c r="A30">
        <f t="shared" si="5"/>
        <v>-5.5000000000000107</v>
      </c>
      <c r="B30">
        <f t="shared" si="2"/>
        <v>3.1622776601682983E-6</v>
      </c>
      <c r="C30">
        <f t="shared" si="3"/>
        <v>57235659.347393915</v>
      </c>
      <c r="D30">
        <f t="shared" si="3"/>
        <v>179402.61168247665</v>
      </c>
      <c r="E30">
        <f t="shared" si="4"/>
        <v>36191009.015534855</v>
      </c>
      <c r="F30">
        <f t="shared" si="0"/>
        <v>43804755.445392154</v>
      </c>
      <c r="G30">
        <f t="shared" si="1"/>
        <v>5236907.7306733048</v>
      </c>
    </row>
    <row r="31" spans="1:7">
      <c r="A31">
        <f t="shared" si="5"/>
        <v>-5.4800000000000111</v>
      </c>
      <c r="B31">
        <f t="shared" si="2"/>
        <v>3.3113112148258196E-6</v>
      </c>
      <c r="C31">
        <f t="shared" si="3"/>
        <v>49521806.992900036</v>
      </c>
      <c r="D31">
        <f t="shared" si="3"/>
        <v>277032.57008455048</v>
      </c>
      <c r="E31">
        <f t="shared" si="4"/>
        <v>36559279.753215201</v>
      </c>
      <c r="F31">
        <f t="shared" si="0"/>
        <v>44104009.902805477</v>
      </c>
      <c r="G31">
        <f t="shared" si="1"/>
        <v>5258314.8367501684</v>
      </c>
    </row>
    <row r="32" spans="1:7">
      <c r="A32">
        <f t="shared" si="5"/>
        <v>-5.4600000000000115</v>
      </c>
      <c r="B32">
        <f t="shared" si="2"/>
        <v>3.4673685045252203E-6</v>
      </c>
      <c r="C32">
        <f t="shared" si="3"/>
        <v>42949252.046532102</v>
      </c>
      <c r="D32">
        <f t="shared" si="3"/>
        <v>417772.27232153382</v>
      </c>
      <c r="E32">
        <f t="shared" si="4"/>
        <v>36966218.207814686</v>
      </c>
      <c r="F32">
        <f t="shared" si="0"/>
        <v>44434351.596581325</v>
      </c>
      <c r="G32">
        <f t="shared" si="1"/>
        <v>5281480.9521127855</v>
      </c>
    </row>
    <row r="33" spans="1:7">
      <c r="A33">
        <f t="shared" si="5"/>
        <v>-5.4400000000000119</v>
      </c>
      <c r="B33">
        <f t="shared" si="2"/>
        <v>3.6307805477009116E-6</v>
      </c>
      <c r="C33">
        <f t="shared" si="3"/>
        <v>37333415.895868316</v>
      </c>
      <c r="D33">
        <f t="shared" si="3"/>
        <v>615911.59369467734</v>
      </c>
      <c r="E33">
        <f t="shared" si="4"/>
        <v>37416188.633478299</v>
      </c>
      <c r="F33">
        <f t="shared" si="0"/>
        <v>44799226.799637705</v>
      </c>
      <c r="G33">
        <f t="shared" si="1"/>
        <v>5306510.0407725303</v>
      </c>
    </row>
    <row r="34" spans="1:7">
      <c r="A34">
        <f t="shared" si="5"/>
        <v>-5.4200000000000124</v>
      </c>
      <c r="B34">
        <f t="shared" si="2"/>
        <v>3.801893963205498E-6</v>
      </c>
      <c r="C34">
        <f t="shared" si="3"/>
        <v>32522102.241650075</v>
      </c>
      <c r="D34">
        <f t="shared" si="3"/>
        <v>888606.64197332889</v>
      </c>
      <c r="E34">
        <f t="shared" si="4"/>
        <v>37914102.492579147</v>
      </c>
      <c r="F34">
        <f t="shared" si="0"/>
        <v>45202503.214169763</v>
      </c>
      <c r="G34">
        <f t="shared" si="1"/>
        <v>5333501.7810985819</v>
      </c>
    </row>
    <row r="35" spans="1:7">
      <c r="A35">
        <f t="shared" si="5"/>
        <v>-5.4000000000000128</v>
      </c>
      <c r="B35">
        <f t="shared" si="2"/>
        <v>3.9810717055348531E-6</v>
      </c>
      <c r="C35">
        <f t="shared" si="3"/>
        <v>28389386.090490527</v>
      </c>
      <c r="D35">
        <f t="shared" si="3"/>
        <v>1255843.8735846027</v>
      </c>
      <c r="E35">
        <f t="shared" si="4"/>
        <v>38465495.278337821</v>
      </c>
      <c r="F35">
        <f t="shared" si="0"/>
        <v>45648527.590695664</v>
      </c>
      <c r="G35">
        <f t="shared" si="1"/>
        <v>5362548.0190965394</v>
      </c>
    </row>
    <row r="36" spans="1:7">
      <c r="A36">
        <f t="shared" si="5"/>
        <v>-5.3800000000000132</v>
      </c>
      <c r="B36">
        <f t="shared" si="2"/>
        <v>4.1686938347032202E-6</v>
      </c>
      <c r="C36">
        <f t="shared" si="3"/>
        <v>24830733.569578264</v>
      </c>
      <c r="D36">
        <f t="shared" si="3"/>
        <v>1740204.0010593699</v>
      </c>
      <c r="E36">
        <f t="shared" si="4"/>
        <v>39076614.706978492</v>
      </c>
      <c r="F36">
        <f t="shared" si="0"/>
        <v>46142191.724456176</v>
      </c>
      <c r="G36">
        <f t="shared" si="1"/>
        <v>5393728.2102177497</v>
      </c>
    </row>
    <row r="37" spans="1:7">
      <c r="A37">
        <f t="shared" si="5"/>
        <v>-5.3600000000000136</v>
      </c>
      <c r="B37">
        <f t="shared" si="2"/>
        <v>4.3651583224015194E-6</v>
      </c>
      <c r="C37">
        <f t="shared" si="3"/>
        <v>21759089.766538024</v>
      </c>
      <c r="D37">
        <f t="shared" si="3"/>
        <v>2366401.4595474224</v>
      </c>
      <c r="E37">
        <f t="shared" si="4"/>
        <v>39754521.666832224</v>
      </c>
      <c r="F37">
        <f t="shared" si="0"/>
        <v>46689007.863437966</v>
      </c>
      <c r="G37">
        <f t="shared" si="1"/>
        <v>5427103.6238214644</v>
      </c>
    </row>
    <row r="38" spans="1:7">
      <c r="A38">
        <f t="shared" si="5"/>
        <v>-5.3400000000000141</v>
      </c>
      <c r="B38">
        <f t="shared" si="2"/>
        <v>4.5708818961485943E-6</v>
      </c>
      <c r="C38">
        <f t="shared" si="3"/>
        <v>19101730.941359323</v>
      </c>
      <c r="D38">
        <f t="shared" si="3"/>
        <v>3160591.9394330774</v>
      </c>
      <c r="E38">
        <f t="shared" si="4"/>
        <v>40507205.223572373</v>
      </c>
      <c r="F38">
        <f t="shared" si="0"/>
        <v>47295194.51782158</v>
      </c>
      <c r="G38">
        <f t="shared" si="1"/>
        <v>5462710.0471505169</v>
      </c>
    </row>
    <row r="39" spans="1:7">
      <c r="A39">
        <f t="shared" si="5"/>
        <v>-5.3200000000000145</v>
      </c>
      <c r="B39">
        <f t="shared" si="2"/>
        <v>4.7863009232262191E-6</v>
      </c>
      <c r="C39">
        <f t="shared" si="3"/>
        <v>16797722.638415448</v>
      </c>
      <c r="D39">
        <f t="shared" si="3"/>
        <v>4149460.1995928045</v>
      </c>
      <c r="E39">
        <f t="shared" si="4"/>
        <v>41343712.685418695</v>
      </c>
      <c r="F39">
        <f t="shared" si="0"/>
        <v>47967773.477641344</v>
      </c>
      <c r="G39">
        <f t="shared" si="1"/>
        <v>5500548.6885119583</v>
      </c>
    </row>
    <row r="40" spans="1:7">
      <c r="A40">
        <f t="shared" si="5"/>
        <v>-5.3000000000000149</v>
      </c>
      <c r="B40">
        <f t="shared" si="2"/>
        <v>5.0118723362725488E-6</v>
      </c>
      <c r="C40">
        <f t="shared" si="3"/>
        <v>14795859.888696261</v>
      </c>
      <c r="D40">
        <f t="shared" si="3"/>
        <v>5359120.9965346456</v>
      </c>
      <c r="E40">
        <f t="shared" si="4"/>
        <v>42274295.085303634</v>
      </c>
      <c r="F40">
        <f t="shared" si="0"/>
        <v>48714678.424592875</v>
      </c>
      <c r="G40">
        <f t="shared" si="1"/>
        <v>5540574.9464989519</v>
      </c>
    </row>
    <row r="41" spans="1:7">
      <c r="A41">
        <f t="shared" si="5"/>
        <v>-5.2800000000000153</v>
      </c>
      <c r="B41">
        <f t="shared" si="2"/>
        <v>5.2480746024975334E-6</v>
      </c>
      <c r="C41">
        <f t="shared" si="3"/>
        <v>13052992.39490097</v>
      </c>
      <c r="D41">
        <f t="shared" si="3"/>
        <v>6813885.2151358249</v>
      </c>
      <c r="E41">
        <f t="shared" si="4"/>
        <v>43310567.209180109</v>
      </c>
      <c r="F41">
        <f t="shared" si="0"/>
        <v>49544874.705761686</v>
      </c>
      <c r="G41">
        <f t="shared" si="1"/>
        <v>5582684.6904683067</v>
      </c>
    </row>
    <row r="42" spans="1:7">
      <c r="A42">
        <f t="shared" si="5"/>
        <v>-5.2600000000000158</v>
      </c>
      <c r="B42">
        <f t="shared" si="2"/>
        <v>5.4954087385760435E-6</v>
      </c>
      <c r="C42">
        <f t="shared" si="3"/>
        <v>11532658.24594401</v>
      </c>
      <c r="D42">
        <f t="shared" si="3"/>
        <v>8534958.9748502988</v>
      </c>
      <c r="E42">
        <f t="shared" si="4"/>
        <v>44465679.129057422</v>
      </c>
      <c r="F42">
        <f t="shared" si="0"/>
        <v>50468488.366979264</v>
      </c>
      <c r="G42">
        <f t="shared" si="1"/>
        <v>5626697.6978451256</v>
      </c>
    </row>
    <row r="43" spans="1:7">
      <c r="A43">
        <f t="shared" si="5"/>
        <v>-5.2400000000000162</v>
      </c>
      <c r="B43">
        <f t="shared" si="2"/>
        <v>5.7543993733713457E-6</v>
      </c>
      <c r="C43">
        <f t="shared" si="3"/>
        <v>10203965.745698823</v>
      </c>
      <c r="D43">
        <f t="shared" si="3"/>
        <v>10539153.810994094</v>
      </c>
      <c r="E43">
        <f t="shared" si="4"/>
        <v>45754492.520045154</v>
      </c>
      <c r="F43">
        <f t="shared" si="0"/>
        <v>51496940.017292187</v>
      </c>
      <c r="G43">
        <f t="shared" si="1"/>
        <v>5672337.932113477</v>
      </c>
    </row>
    <row r="44" spans="1:7">
      <c r="A44">
        <f t="shared" si="5"/>
        <v>-5.2200000000000166</v>
      </c>
      <c r="B44">
        <f t="shared" si="2"/>
        <v>6.0255958607433427E-6</v>
      </c>
      <c r="C44">
        <f t="shared" si="3"/>
        <v>9040675.4426520169</v>
      </c>
      <c r="D44">
        <f t="shared" si="3"/>
        <v>12837689.819023831</v>
      </c>
      <c r="E44">
        <f t="shared" si="4"/>
        <v>47193748.975174703</v>
      </c>
      <c r="F44">
        <f t="shared" si="0"/>
        <v>52643074.875084557</v>
      </c>
      <c r="G44">
        <f t="shared" si="1"/>
        <v>5719210.4442416169</v>
      </c>
    </row>
    <row r="45" spans="1:7">
      <c r="A45">
        <f t="shared" si="5"/>
        <v>-5.2000000000000171</v>
      </c>
      <c r="B45">
        <f t="shared" si="2"/>
        <v>6.3095734448016738E-6</v>
      </c>
      <c r="C45">
        <f t="shared" si="3"/>
        <v>8020444.2287217779</v>
      </c>
      <c r="D45">
        <f t="shared" si="3"/>
        <v>15435170.483238544</v>
      </c>
      <c r="E45">
        <f t="shared" si="4"/>
        <v>48802207.734501205</v>
      </c>
      <c r="F45">
        <f t="shared" si="0"/>
        <v>53921273.428300299</v>
      </c>
      <c r="G45">
        <f t="shared" si="1"/>
        <v>5766774.8705153093</v>
      </c>
    </row>
    <row r="46" spans="1:7">
      <c r="A46">
        <f t="shared" si="5"/>
        <v>-5.1800000000000175</v>
      </c>
      <c r="B46">
        <f t="shared" si="2"/>
        <v>6.6069344800756883E-6</v>
      </c>
      <c r="C46">
        <f t="shared" si="3"/>
        <v>7124201.0565288756</v>
      </c>
      <c r="D46">
        <f t="shared" si="3"/>
        <v>18328798.149574459</v>
      </c>
      <c r="E46">
        <f t="shared" si="4"/>
        <v>50600714.684077546</v>
      </c>
      <c r="F46">
        <f t="shared" si="0"/>
        <v>55347515.965744399</v>
      </c>
      <c r="G46">
        <f t="shared" si="1"/>
        <v>5814315.8206484243</v>
      </c>
    </row>
    <row r="47" spans="1:7">
      <c r="A47">
        <f t="shared" si="5"/>
        <v>-5.1600000000000179</v>
      </c>
      <c r="B47">
        <f t="shared" si="2"/>
        <v>6.9183097091890669E-6</v>
      </c>
      <c r="C47">
        <f t="shared" si="3"/>
        <v>6335629.8773606056</v>
      </c>
      <c r="D47">
        <f t="shared" si="3"/>
        <v>21507883.794519719</v>
      </c>
      <c r="E47">
        <f t="shared" si="4"/>
        <v>52612140.155869924</v>
      </c>
      <c r="F47">
        <f t="shared" si="0"/>
        <v>56939356.405685656</v>
      </c>
      <c r="G47">
        <f t="shared" si="1"/>
        <v>5860910.9481356377</v>
      </c>
    </row>
    <row r="48" spans="1:7">
      <c r="A48">
        <f t="shared" si="5"/>
        <v>-5.1400000000000183</v>
      </c>
      <c r="B48">
        <f t="shared" si="2"/>
        <v>7.2443596007495873E-6</v>
      </c>
      <c r="C48">
        <f t="shared" si="3"/>
        <v>5640740.1884883754</v>
      </c>
      <c r="D48">
        <f t="shared" si="3"/>
        <v>24953685.458255544</v>
      </c>
      <c r="E48">
        <f t="shared" si="4"/>
        <v>54861085.695098117</v>
      </c>
      <c r="F48">
        <f t="shared" si="0"/>
        <v>58715732.748533219</v>
      </c>
      <c r="G48">
        <f t="shared" si="1"/>
        <v>5905398.2186623402</v>
      </c>
    </row>
    <row r="49" spans="1:19">
      <c r="A49">
        <f t="shared" si="5"/>
        <v>-5.1200000000000188</v>
      </c>
      <c r="B49">
        <f t="shared" si="2"/>
        <v>7.5857757502915087E-6</v>
      </c>
      <c r="C49">
        <f t="shared" si="3"/>
        <v>5027509.3761500707</v>
      </c>
      <c r="D49">
        <f t="shared" si="3"/>
        <v>28639588.320327062</v>
      </c>
      <c r="E49">
        <f t="shared" si="4"/>
        <v>57373203.807217121</v>
      </c>
      <c r="F49">
        <f t="shared" si="0"/>
        <v>60696497.838312596</v>
      </c>
      <c r="G49">
        <f t="shared" si="1"/>
        <v>5946344.8810470123</v>
      </c>
    </row>
    <row r="50" spans="1:19">
      <c r="A50">
        <f t="shared" si="5"/>
        <v>-5.1000000000000192</v>
      </c>
      <c r="B50">
        <f t="shared" si="2"/>
        <v>7.9432823472424541E-6</v>
      </c>
      <c r="C50">
        <f t="shared" si="3"/>
        <v>4485584.0635279985</v>
      </c>
      <c r="D50">
        <f t="shared" si="3"/>
        <v>32531617.838914473</v>
      </c>
      <c r="E50">
        <f t="shared" si="4"/>
        <v>60173892.823934622</v>
      </c>
      <c r="F50">
        <f t="shared" si="0"/>
        <v>62901487.646172322</v>
      </c>
      <c r="G50">
        <f t="shared" si="1"/>
        <v>5982021.9072767049</v>
      </c>
    </row>
    <row r="51" spans="1:19">
      <c r="A51">
        <f t="shared" si="5"/>
        <v>-5.0800000000000196</v>
      </c>
      <c r="B51">
        <f t="shared" si="2"/>
        <v>8.3176377110263299E-6</v>
      </c>
      <c r="C51">
        <f t="shared" si="3"/>
        <v>4006030.0871560397</v>
      </c>
      <c r="D51">
        <f t="shared" si="3"/>
        <v>36589257.442849383</v>
      </c>
      <c r="E51">
        <f t="shared" si="4"/>
        <v>63286015.005027652</v>
      </c>
      <c r="F51">
        <f t="shared" si="0"/>
        <v>65348845.917254142</v>
      </c>
      <c r="G51">
        <f t="shared" si="1"/>
        <v>6010389.1489795474</v>
      </c>
    </row>
    <row r="52" spans="1:19">
      <c r="A52">
        <f t="shared" si="5"/>
        <v>-5.06000000000002</v>
      </c>
      <c r="B52">
        <f t="shared" si="2"/>
        <v>8.7096358995603922E-6</v>
      </c>
      <c r="C52">
        <f t="shared" si="3"/>
        <v>3581122.6590426355</v>
      </c>
      <c r="D52">
        <f t="shared" si="3"/>
        <v>40766525.436291337</v>
      </c>
      <c r="E52">
        <f t="shared" si="4"/>
        <v>66726138.836903408</v>
      </c>
      <c r="F52">
        <f t="shared" si="0"/>
        <v>68052184.955036372</v>
      </c>
      <c r="G52">
        <f t="shared" si="1"/>
        <v>6029097.9945299653</v>
      </c>
    </row>
    <row r="53" spans="1:19">
      <c r="A53">
        <f t="shared" si="5"/>
        <v>-5.0400000000000205</v>
      </c>
      <c r="B53">
        <f t="shared" si="2"/>
        <v>9.120108393558661E-6</v>
      </c>
      <c r="C53">
        <f t="shared" si="3"/>
        <v>3204169.8256561742</v>
      </c>
      <c r="D53">
        <f t="shared" si="3"/>
        <v>45013253.100254923</v>
      </c>
      <c r="E53">
        <f t="shared" si="4"/>
        <v>70498642.453751639</v>
      </c>
      <c r="F53">
        <f t="shared" si="0"/>
        <v>71015980.772299647</v>
      </c>
      <c r="G53">
        <f t="shared" si="1"/>
        <v>6035519.5842616735</v>
      </c>
    </row>
    <row r="54" spans="1:19">
      <c r="A54">
        <f t="shared" si="5"/>
        <v>-5.0200000000000209</v>
      </c>
      <c r="B54">
        <f t="shared" si="2"/>
        <v>9.5499258602138843E-6</v>
      </c>
      <c r="C54">
        <f t="shared" si="3"/>
        <v>2869363.5871651531</v>
      </c>
      <c r="D54">
        <f t="shared" si="3"/>
        <v>49276498.028679833</v>
      </c>
      <c r="E54">
        <f t="shared" si="4"/>
        <v>74586891.968368605</v>
      </c>
      <c r="F54">
        <f t="shared" si="0"/>
        <v>74228399.238480508</v>
      </c>
      <c r="G54">
        <f t="shared" si="1"/>
        <v>6026807.1398104792</v>
      </c>
      <c r="H54" t="s">
        <v>6</v>
      </c>
      <c r="I54" t="s">
        <v>5</v>
      </c>
      <c r="J54" t="s">
        <v>7</v>
      </c>
      <c r="K54" t="s">
        <v>8</v>
      </c>
      <c r="L54" t="s">
        <v>9</v>
      </c>
      <c r="M54" t="s">
        <v>10</v>
      </c>
      <c r="O54">
        <f>+SUM(O55:O233)</f>
        <v>2844.0992042665903</v>
      </c>
      <c r="Q54">
        <f>+SUM(Q55:Q233)</f>
        <v>2716.057703334563</v>
      </c>
      <c r="R54">
        <f>+SUM(R55:R233)</f>
        <v>2953.0350669949371</v>
      </c>
      <c r="S54">
        <f>+SUM(S55:S233)</f>
        <v>2675.6988008978274</v>
      </c>
    </row>
    <row r="55" spans="1:19">
      <c r="A55">
        <f t="shared" si="5"/>
        <v>-5.0000000000000213</v>
      </c>
      <c r="B55">
        <f t="shared" si="2"/>
        <v>9.9999999999995011E-6</v>
      </c>
      <c r="C55">
        <f t="shared" si="3"/>
        <v>2571654.0524261091</v>
      </c>
      <c r="D55">
        <f t="shared" si="3"/>
        <v>53502023.629605182</v>
      </c>
      <c r="E55">
        <f t="shared" si="4"/>
        <v>78940768.342654467</v>
      </c>
      <c r="F55">
        <f t="shared" si="0"/>
        <v>77650612.462490797</v>
      </c>
      <c r="G55">
        <f t="shared" si="1"/>
        <v>6000000.00000004</v>
      </c>
      <c r="H55">
        <v>59000000</v>
      </c>
      <c r="I55">
        <f>1/$B55</f>
        <v>100000.00000000499</v>
      </c>
      <c r="J55">
        <f>+$H55*$B55*$B55</f>
        <v>5.8999999999994109E-3</v>
      </c>
      <c r="K55">
        <f>+$D55*$B55*$B55</f>
        <v>5.3502023629599842E-3</v>
      </c>
      <c r="L55">
        <f>+$L$1/(EXP(+$L$2*$I55)+$L$3*EXP(-$L$2*$I55))</f>
        <v>1.5783257497374653E-3</v>
      </c>
      <c r="M55">
        <f>+$M$1/(1+$M$2*(($I55-$M$3)^2))</f>
        <v>6.3492063492054766E-3</v>
      </c>
      <c r="N55">
        <f>+$M$1/(1+$M$2*(($I55-$M$3)^2))</f>
        <v>6.3492063492054766E-3</v>
      </c>
      <c r="O55">
        <f>+($B56-$B55)*$H55</f>
        <v>27.805843350028088</v>
      </c>
      <c r="Q55">
        <f>+$J55*($I55-$I56)</f>
        <v>26.554374247350367</v>
      </c>
      <c r="R55">
        <f>+$M55*($I55-$I56)</f>
        <v>28.576135859402065</v>
      </c>
      <c r="S55">
        <f>+$K55*($I55-$I56)</f>
        <v>24.079877261883368</v>
      </c>
    </row>
    <row r="56" spans="1:19">
      <c r="A56">
        <f t="shared" si="5"/>
        <v>-4.9800000000000217</v>
      </c>
      <c r="B56">
        <f t="shared" si="2"/>
        <v>1.0471285480508452E-5</v>
      </c>
      <c r="C56">
        <f t="shared" si="3"/>
        <v>2306642.8255396266</v>
      </c>
      <c r="D56">
        <f t="shared" si="3"/>
        <v>57635777.154830731</v>
      </c>
      <c r="E56">
        <f t="shared" si="4"/>
        <v>83460344.161904946</v>
      </c>
      <c r="F56">
        <f t="shared" si="0"/>
        <v>81201807.790432379</v>
      </c>
      <c r="G56">
        <f t="shared" si="1"/>
        <v>5952173.7794379191</v>
      </c>
      <c r="H56">
        <v>60500000</v>
      </c>
      <c r="I56">
        <f t="shared" ref="I56:I119" si="6">1/$B56</f>
        <v>95499.258602148548</v>
      </c>
      <c r="J56">
        <f t="shared" ref="J56:J119" si="7">+$H56*$B56*$B56</f>
        <v>6.6336930866655805E-3</v>
      </c>
      <c r="K56">
        <f t="shared" ref="K56:K119" si="8">+$D56*$B56*$B56</f>
        <v>6.3196372968032837E-3</v>
      </c>
      <c r="L56">
        <f t="shared" ref="L56:L119" si="9">+$L$1/(EXP(+$L$2*$I56)+$L$3*EXP(-$L$2*$I56))</f>
        <v>2.1143957488366761E-3</v>
      </c>
      <c r="M56">
        <f t="shared" ref="M56:M119" si="10">+$M$1/(1+$M$2*(($I56-$M$3)^2))</f>
        <v>7.2112606002098728E-3</v>
      </c>
      <c r="O56">
        <f t="shared" ref="O56:O119" si="11">+($B57-$B56)*$H56</f>
        <v>29.856537095831065</v>
      </c>
      <c r="Q56">
        <f t="shared" ref="Q56:Q119" si="12">+$J56*($I56-$I57)</f>
        <v>28.512771570792573</v>
      </c>
      <c r="R56">
        <f t="shared" ref="R56:R119" si="13">+$M56*($I56-$I57)</f>
        <v>30.995257625732552</v>
      </c>
      <c r="S56">
        <f t="shared" ref="S56:S119" si="14">+$K56*($I56-$I57)</f>
        <v>27.162904930922213</v>
      </c>
    </row>
    <row r="57" spans="1:19">
      <c r="A57">
        <f t="shared" si="5"/>
        <v>-4.9600000000000222</v>
      </c>
      <c r="B57">
        <f t="shared" si="2"/>
        <v>1.0964781961431279E-5</v>
      </c>
      <c r="C57">
        <f t="shared" si="3"/>
        <v>2070492.4865207979</v>
      </c>
      <c r="D57">
        <f t="shared" si="3"/>
        <v>61625303.97344622</v>
      </c>
      <c r="E57">
        <f t="shared" si="4"/>
        <v>87976970.987168655</v>
      </c>
      <c r="F57">
        <f t="shared" si="0"/>
        <v>84739964.996403843</v>
      </c>
      <c r="G57">
        <f t="shared" si="1"/>
        <v>5880635.1175174452</v>
      </c>
      <c r="H57">
        <v>62000000</v>
      </c>
      <c r="I57">
        <f t="shared" si="6"/>
        <v>91201.083935595729</v>
      </c>
      <c r="J57">
        <f t="shared" si="7"/>
        <v>7.4540394946271838E-3</v>
      </c>
      <c r="K57">
        <f t="shared" si="8"/>
        <v>7.4089911239753814E-3</v>
      </c>
      <c r="L57">
        <f t="shared" si="9"/>
        <v>2.7952109004247116E-3</v>
      </c>
      <c r="M57">
        <f t="shared" si="10"/>
        <v>8.1999434063428477E-3</v>
      </c>
      <c r="O57">
        <f t="shared" si="11"/>
        <v>32.038763719290699</v>
      </c>
      <c r="Q57">
        <f t="shared" si="12"/>
        <v>30.596781817215263</v>
      </c>
      <c r="R57">
        <f t="shared" si="13"/>
        <v>33.658512206465502</v>
      </c>
      <c r="S57">
        <f t="shared" si="14"/>
        <v>30.411870646695206</v>
      </c>
    </row>
    <row r="58" spans="1:19">
      <c r="A58">
        <f t="shared" si="5"/>
        <v>-4.9400000000000226</v>
      </c>
      <c r="B58">
        <f t="shared" si="2"/>
        <v>1.1481536214968226E-5</v>
      </c>
      <c r="C58">
        <f t="shared" si="3"/>
        <v>1859849.5719812526</v>
      </c>
      <c r="D58">
        <f t="shared" si="3"/>
        <v>65421044.237928838</v>
      </c>
      <c r="E58">
        <f t="shared" si="4"/>
        <v>92235958.952622578</v>
      </c>
      <c r="F58">
        <f t="shared" si="0"/>
        <v>88040826.092303321</v>
      </c>
      <c r="G58">
        <f t="shared" si="1"/>
        <v>5783150.7882432612</v>
      </c>
      <c r="H58">
        <v>65000000</v>
      </c>
      <c r="I58">
        <f t="shared" si="6"/>
        <v>87096.358995612623</v>
      </c>
      <c r="J58">
        <f t="shared" si="7"/>
        <v>8.5686688006157488E-3</v>
      </c>
      <c r="K58">
        <f t="shared" si="8"/>
        <v>8.6241732410037453E-3</v>
      </c>
      <c r="L58">
        <f t="shared" si="9"/>
        <v>3.6484951353340693E-3</v>
      </c>
      <c r="M58">
        <f t="shared" si="10"/>
        <v>9.3340741086038268E-3</v>
      </c>
      <c r="O58">
        <f t="shared" si="11"/>
        <v>35.172028528341265</v>
      </c>
      <c r="Q58">
        <f t="shared" si="12"/>
        <v>33.589026479900419</v>
      </c>
      <c r="R58">
        <f t="shared" si="13"/>
        <v>36.589401422157543</v>
      </c>
      <c r="S58">
        <f t="shared" si="14"/>
        <v>33.806602880777355</v>
      </c>
    </row>
    <row r="59" spans="1:19">
      <c r="A59">
        <f t="shared" si="5"/>
        <v>-4.920000000000023</v>
      </c>
      <c r="B59">
        <f t="shared" si="2"/>
        <v>1.2022644346173476E-5</v>
      </c>
      <c r="C59">
        <f t="shared" si="3"/>
        <v>1671778.9056903501</v>
      </c>
      <c r="D59">
        <f t="shared" si="3"/>
        <v>68977468.657826051</v>
      </c>
      <c r="E59">
        <f t="shared" si="4"/>
        <v>95889495.278448254</v>
      </c>
      <c r="F59">
        <f t="shared" si="0"/>
        <v>90782120.34195219</v>
      </c>
      <c r="G59">
        <f t="shared" si="1"/>
        <v>5658190.5309026157</v>
      </c>
      <c r="H59">
        <v>68000000</v>
      </c>
      <c r="I59">
        <f t="shared" si="6"/>
        <v>83176.377110271613</v>
      </c>
      <c r="J59">
        <f t="shared" si="7"/>
        <v>9.8289904410712396E-3</v>
      </c>
      <c r="K59">
        <f t="shared" si="8"/>
        <v>9.9702776483391667E-3</v>
      </c>
      <c r="L59">
        <f t="shared" si="9"/>
        <v>4.7042729350256331E-3</v>
      </c>
      <c r="M59">
        <f t="shared" si="10"/>
        <v>1.0634665072746128E-2</v>
      </c>
      <c r="O59">
        <f t="shared" si="11"/>
        <v>38.529464480190732</v>
      </c>
      <c r="Q59">
        <f t="shared" si="12"/>
        <v>36.795352921958376</v>
      </c>
      <c r="R59">
        <f t="shared" si="13"/>
        <v>39.811439120279616</v>
      </c>
      <c r="S59">
        <f t="shared" si="14"/>
        <v>37.324269160706358</v>
      </c>
    </row>
    <row r="60" spans="1:19">
      <c r="A60">
        <f t="shared" si="5"/>
        <v>-4.9000000000000234</v>
      </c>
      <c r="B60">
        <f t="shared" si="2"/>
        <v>1.2589254117940987E-5</v>
      </c>
      <c r="C60">
        <f t="shared" si="3"/>
        <v>1503707.4925861699</v>
      </c>
      <c r="D60">
        <f t="shared" si="3"/>
        <v>72254021.833614931</v>
      </c>
      <c r="E60">
        <f t="shared" si="4"/>
        <v>98512946.623745441</v>
      </c>
      <c r="F60">
        <f t="shared" si="0"/>
        <v>92546862.774700135</v>
      </c>
      <c r="G60">
        <f t="shared" si="1"/>
        <v>5505153.1229333729</v>
      </c>
      <c r="H60">
        <v>71000000</v>
      </c>
      <c r="I60">
        <f t="shared" si="6"/>
        <v>79432.823472432472</v>
      </c>
      <c r="J60">
        <f t="shared" si="7"/>
        <v>1.1252741666472681E-2</v>
      </c>
      <c r="K60">
        <f t="shared" si="8"/>
        <v>1.1451490733202051E-2</v>
      </c>
      <c r="L60">
        <f t="shared" si="9"/>
        <v>5.9942126991837045E-3</v>
      </c>
      <c r="M60">
        <f t="shared" si="10"/>
        <v>1.2124759890953027E-2</v>
      </c>
      <c r="O60">
        <f t="shared" si="11"/>
        <v>42.125242001186166</v>
      </c>
      <c r="Q60">
        <f t="shared" si="12"/>
        <v>40.229293795491643</v>
      </c>
      <c r="R60">
        <f t="shared" si="13"/>
        <v>43.346816474623701</v>
      </c>
      <c r="S60">
        <f t="shared" si="14"/>
        <v>40.939834820427649</v>
      </c>
    </row>
    <row r="61" spans="1:19">
      <c r="A61">
        <f t="shared" si="5"/>
        <v>-4.8800000000000239</v>
      </c>
      <c r="B61">
        <f t="shared" si="2"/>
        <v>1.3182567385563327E-5</v>
      </c>
      <c r="C61">
        <f t="shared" si="3"/>
        <v>1353376.4885028368</v>
      </c>
      <c r="D61">
        <f t="shared" si="3"/>
        <v>75215853.617077366</v>
      </c>
      <c r="E61">
        <f t="shared" si="4"/>
        <v>99657828.5405498</v>
      </c>
      <c r="F61">
        <f t="shared" si="0"/>
        <v>92864950.215992779</v>
      </c>
      <c r="G61">
        <f t="shared" si="1"/>
        <v>5324539.2242319975</v>
      </c>
      <c r="H61">
        <v>74000000</v>
      </c>
      <c r="I61">
        <f t="shared" si="6"/>
        <v>75857.757502922657</v>
      </c>
      <c r="J61">
        <f t="shared" si="7"/>
        <v>1.2859726132743927E-2</v>
      </c>
      <c r="K61">
        <f t="shared" si="8"/>
        <v>1.30710172750834E-2</v>
      </c>
      <c r="L61">
        <f t="shared" si="9"/>
        <v>7.5506102769092387E-3</v>
      </c>
      <c r="M61">
        <f t="shared" si="10"/>
        <v>1.3828986660185994E-2</v>
      </c>
      <c r="O61">
        <f t="shared" si="11"/>
        <v>45.97436927439081</v>
      </c>
      <c r="Q61">
        <f t="shared" si="12"/>
        <v>43.905181804054919</v>
      </c>
      <c r="R61">
        <f t="shared" si="13"/>
        <v>47.214393775877674</v>
      </c>
      <c r="S61">
        <f t="shared" si="14"/>
        <v>44.626563886553562</v>
      </c>
    </row>
    <row r="62" spans="1:19">
      <c r="A62">
        <f t="shared" si="5"/>
        <v>-4.8600000000000243</v>
      </c>
      <c r="B62">
        <f t="shared" si="2"/>
        <v>1.3803842646028068E-5</v>
      </c>
      <c r="C62">
        <f t="shared" si="3"/>
        <v>1218800.003791895</v>
      </c>
      <c r="D62">
        <f t="shared" si="3"/>
        <v>77834330.484538883</v>
      </c>
      <c r="E62">
        <f t="shared" si="4"/>
        <v>98944095.329145297</v>
      </c>
      <c r="F62">
        <f t="shared" si="0"/>
        <v>91307473.563137412</v>
      </c>
      <c r="G62">
        <f t="shared" si="1"/>
        <v>5118035.6892062379</v>
      </c>
      <c r="H62">
        <v>77000000</v>
      </c>
      <c r="I62">
        <f t="shared" si="6"/>
        <v>72443.596007503103</v>
      </c>
      <c r="J62">
        <f t="shared" si="7"/>
        <v>1.4672047528315343E-2</v>
      </c>
      <c r="K62">
        <f t="shared" si="8"/>
        <v>1.4831025924724133E-2</v>
      </c>
      <c r="L62">
        <f t="shared" si="9"/>
        <v>9.4048989621139233E-3</v>
      </c>
      <c r="M62">
        <f t="shared" si="10"/>
        <v>1.5772680909537158E-2</v>
      </c>
      <c r="O62">
        <f t="shared" si="11"/>
        <v>50.092739730137865</v>
      </c>
      <c r="Q62">
        <f t="shared" si="12"/>
        <v>47.838195055783167</v>
      </c>
      <c r="R62">
        <f t="shared" si="13"/>
        <v>51.426809001736011</v>
      </c>
      <c r="S62">
        <f t="shared" si="14"/>
        <v>48.356543944878716</v>
      </c>
    </row>
    <row r="63" spans="1:19">
      <c r="A63">
        <f t="shared" si="5"/>
        <v>-4.8400000000000247</v>
      </c>
      <c r="B63">
        <f t="shared" si="2"/>
        <v>1.445439770745843E-5</v>
      </c>
      <c r="C63">
        <f t="shared" si="3"/>
        <v>1098229.7019569459</v>
      </c>
      <c r="D63">
        <f t="shared" si="3"/>
        <v>80087329.326976389</v>
      </c>
      <c r="E63">
        <f t="shared" si="4"/>
        <v>96170889.582762048</v>
      </c>
      <c r="F63">
        <f t="shared" si="0"/>
        <v>87622873.274767801</v>
      </c>
      <c r="G63">
        <f t="shared" si="1"/>
        <v>4888486.2345082862</v>
      </c>
      <c r="H63">
        <v>80000000</v>
      </c>
      <c r="I63">
        <f t="shared" si="6"/>
        <v>69183.097091897696</v>
      </c>
      <c r="J63">
        <f t="shared" si="7"/>
        <v>1.6714369046830359E-2</v>
      </c>
      <c r="K63">
        <f t="shared" si="8"/>
        <v>1.6732614729326543E-2</v>
      </c>
      <c r="L63">
        <f t="shared" si="9"/>
        <v>1.1585554170036752E-2</v>
      </c>
      <c r="M63">
        <f t="shared" si="10"/>
        <v>1.7980392811793332E-2</v>
      </c>
      <c r="O63">
        <f t="shared" si="11"/>
        <v>54.497182152220851</v>
      </c>
      <c r="Q63">
        <f t="shared" si="12"/>
        <v>52.044404914430743</v>
      </c>
      <c r="R63">
        <f t="shared" si="13"/>
        <v>55.986489313214555</v>
      </c>
      <c r="S63">
        <f t="shared" si="14"/>
        <v>52.101217450106546</v>
      </c>
    </row>
    <row r="64" spans="1:19">
      <c r="A64">
        <f t="shared" si="5"/>
        <v>-4.8200000000000252</v>
      </c>
      <c r="B64">
        <f t="shared" si="2"/>
        <v>1.513561248436119E-5</v>
      </c>
      <c r="C64">
        <f t="shared" si="3"/>
        <v>990124.32229316072</v>
      </c>
      <c r="D64">
        <f t="shared" si="3"/>
        <v>81959324.944358483</v>
      </c>
      <c r="E64">
        <f t="shared" si="4"/>
        <v>91400212.459103316</v>
      </c>
      <c r="F64">
        <f t="shared" si="0"/>
        <v>81862608.41706568</v>
      </c>
      <c r="G64">
        <f t="shared" si="1"/>
        <v>4639741.6080631483</v>
      </c>
      <c r="H64">
        <v>83000000</v>
      </c>
      <c r="I64">
        <f t="shared" si="6"/>
        <v>66069.344800763487</v>
      </c>
      <c r="J64">
        <f t="shared" si="7"/>
        <v>1.9014201517970276E-2</v>
      </c>
      <c r="K64">
        <f t="shared" si="8"/>
        <v>1.877579663576916E-2</v>
      </c>
      <c r="L64">
        <f t="shared" si="9"/>
        <v>1.4115262595714738E-2</v>
      </c>
      <c r="M64">
        <f t="shared" si="10"/>
        <v>2.0473564656055841E-2</v>
      </c>
      <c r="O64">
        <f t="shared" si="11"/>
        <v>59.205513540665486</v>
      </c>
      <c r="Q64">
        <f t="shared" si="12"/>
        <v>56.540826482927351</v>
      </c>
      <c r="R64">
        <f t="shared" si="13"/>
        <v>60.880403818746203</v>
      </c>
      <c r="S64">
        <f t="shared" si="14"/>
        <v>55.831903257070273</v>
      </c>
    </row>
    <row r="65" spans="1:19">
      <c r="A65">
        <f t="shared" si="5"/>
        <v>-4.8000000000000256</v>
      </c>
      <c r="B65">
        <f t="shared" si="2"/>
        <v>1.5848931924610172E-5</v>
      </c>
      <c r="C65">
        <f t="shared" si="3"/>
        <v>893123.39470682014</v>
      </c>
      <c r="D65">
        <f t="shared" si="3"/>
        <v>83441289.622915834</v>
      </c>
      <c r="E65">
        <f t="shared" si="4"/>
        <v>84966293.933432177</v>
      </c>
      <c r="F65">
        <f t="shared" si="0"/>
        <v>74420312.435052335</v>
      </c>
      <c r="G65">
        <f t="shared" si="1"/>
        <v>4376404.5677222759</v>
      </c>
      <c r="H65">
        <v>86000000</v>
      </c>
      <c r="I65">
        <f t="shared" si="6"/>
        <v>63095.734448023155</v>
      </c>
      <c r="J65">
        <f t="shared" si="7"/>
        <v>2.1602223310979763E-2</v>
      </c>
      <c r="K65">
        <f t="shared" si="8"/>
        <v>2.0959504323143793E-2</v>
      </c>
      <c r="L65">
        <f t="shared" si="9"/>
        <v>1.7007269070855303E-2</v>
      </c>
      <c r="M65">
        <f t="shared" si="10"/>
        <v>2.3267171684936732E-2</v>
      </c>
      <c r="O65">
        <f t="shared" si="11"/>
        <v>64.23659487974038</v>
      </c>
      <c r="Q65">
        <f t="shared" si="12"/>
        <v>61.345471861414538</v>
      </c>
      <c r="R65">
        <f t="shared" si="13"/>
        <v>66.073552029596669</v>
      </c>
      <c r="S65">
        <f t="shared" si="14"/>
        <v>59.520294007473538</v>
      </c>
    </row>
    <row r="66" spans="1:19">
      <c r="A66">
        <f t="shared" si="5"/>
        <v>-4.780000000000026</v>
      </c>
      <c r="B66">
        <f t="shared" si="2"/>
        <v>1.6595869074374595E-5</v>
      </c>
      <c r="C66">
        <f t="shared" si="3"/>
        <v>806024.53054548381</v>
      </c>
      <c r="D66">
        <f t="shared" si="3"/>
        <v>84530428.374255285</v>
      </c>
      <c r="E66">
        <f t="shared" si="4"/>
        <v>77397664.295022592</v>
      </c>
      <c r="F66">
        <f t="shared" si="0"/>
        <v>65942905.938976869</v>
      </c>
      <c r="G66">
        <f t="shared" si="1"/>
        <v>4103504.8544063456</v>
      </c>
      <c r="H66">
        <v>89000000</v>
      </c>
      <c r="I66">
        <f t="shared" si="6"/>
        <v>60255.958607439446</v>
      </c>
      <c r="J66">
        <f t="shared" si="7"/>
        <v>2.4512635459706694E-2</v>
      </c>
      <c r="K66">
        <f t="shared" si="8"/>
        <v>2.3281613213381652E-2</v>
      </c>
      <c r="L66">
        <f t="shared" si="9"/>
        <v>2.0260928950096933E-2</v>
      </c>
      <c r="M66">
        <f t="shared" si="10"/>
        <v>2.636520236858118E-2</v>
      </c>
      <c r="O66">
        <f t="shared" si="11"/>
        <v>69.610389967510713</v>
      </c>
      <c r="Q66">
        <f t="shared" si="12"/>
        <v>66.47740632903367</v>
      </c>
      <c r="R66">
        <f t="shared" si="13"/>
        <v>71.501502712117755</v>
      </c>
      <c r="S66">
        <f t="shared" si="14"/>
        <v>63.138917238231976</v>
      </c>
    </row>
    <row r="67" spans="1:19">
      <c r="A67">
        <f t="shared" si="5"/>
        <v>-4.7600000000000264</v>
      </c>
      <c r="B67">
        <f t="shared" si="2"/>
        <v>1.7378008287492693E-5</v>
      </c>
      <c r="C67">
        <f t="shared" si="3"/>
        <v>727763.76958613726</v>
      </c>
      <c r="D67">
        <f t="shared" si="3"/>
        <v>85229776.759083584</v>
      </c>
      <c r="E67">
        <f t="shared" si="4"/>
        <v>69287406.440351903</v>
      </c>
      <c r="F67">
        <f t="shared" si="0"/>
        <v>57152496.882494397</v>
      </c>
      <c r="G67">
        <f t="shared" si="1"/>
        <v>3826151.1031927806</v>
      </c>
      <c r="H67">
        <v>92000000</v>
      </c>
      <c r="I67">
        <f t="shared" si="6"/>
        <v>57543.99373371921</v>
      </c>
      <c r="J67">
        <f t="shared" si="7"/>
        <v>2.7783555827695157E-2</v>
      </c>
      <c r="K67">
        <f t="shared" si="8"/>
        <v>2.5738981095304283E-2</v>
      </c>
      <c r="L67">
        <f t="shared" si="9"/>
        <v>2.3856709217906134E-2</v>
      </c>
      <c r="M67">
        <f t="shared" si="10"/>
        <v>2.9755066602868301E-2</v>
      </c>
      <c r="O67">
        <f t="shared" si="11"/>
        <v>75.348027471751266</v>
      </c>
      <c r="Q67">
        <f t="shared" si="12"/>
        <v>71.956807606862171</v>
      </c>
      <c r="R67">
        <f t="shared" si="13"/>
        <v>77.062835878541406</v>
      </c>
      <c r="S67">
        <f t="shared" si="14"/>
        <v>66.661550528578161</v>
      </c>
    </row>
    <row r="68" spans="1:19">
      <c r="A68">
        <f t="shared" si="5"/>
        <v>-4.7400000000000269</v>
      </c>
      <c r="B68">
        <f t="shared" si="2"/>
        <v>1.8197008586098685E-5</v>
      </c>
      <c r="C68">
        <f t="shared" si="3"/>
        <v>657398.54371179105</v>
      </c>
      <c r="D68">
        <f t="shared" si="3"/>
        <v>85547689.84505026</v>
      </c>
      <c r="E68">
        <f t="shared" si="4"/>
        <v>61170176.093312472</v>
      </c>
      <c r="F68">
        <f t="shared" si="0"/>
        <v>48671909.318123229</v>
      </c>
      <c r="G68">
        <f t="shared" si="1"/>
        <v>3549207.2176628509</v>
      </c>
      <c r="H68">
        <v>94000000</v>
      </c>
      <c r="I68">
        <f t="shared" si="6"/>
        <v>54954.087385765924</v>
      </c>
      <c r="J68">
        <f t="shared" si="7"/>
        <v>3.112632541935963E-2</v>
      </c>
      <c r="K68">
        <f t="shared" si="8"/>
        <v>2.8327502478632787E-2</v>
      </c>
      <c r="L68">
        <f t="shared" si="9"/>
        <v>2.7751209993634573E-2</v>
      </c>
      <c r="M68">
        <f t="shared" si="10"/>
        <v>3.3401412708832151E-2</v>
      </c>
      <c r="O68">
        <f t="shared" si="11"/>
        <v>80.614267792062435</v>
      </c>
      <c r="Q68">
        <f t="shared" si="12"/>
        <v>76.986028068966149</v>
      </c>
      <c r="R68">
        <f t="shared" si="13"/>
        <v>82.613095561415534</v>
      </c>
      <c r="S68">
        <f t="shared" si="14"/>
        <v>70.063583528151611</v>
      </c>
    </row>
    <row r="69" spans="1:19">
      <c r="A69">
        <f t="shared" si="5"/>
        <v>-4.7200000000000273</v>
      </c>
      <c r="B69">
        <f t="shared" si="2"/>
        <v>1.9054607179631264E-5</v>
      </c>
      <c r="C69">
        <f t="shared" si="3"/>
        <v>594092.88503409526</v>
      </c>
      <c r="D69">
        <f t="shared" si="3"/>
        <v>85497250.970868871</v>
      </c>
      <c r="E69">
        <f t="shared" si="4"/>
        <v>53447817.246855915</v>
      </c>
      <c r="F69">
        <f t="shared" ref="F69:F132" si="15">+I/(($B69-alpha*SIN($B69*L))^2+alpha^2*(1+COS($B69*L))^2)</f>
        <v>40926601.966428451</v>
      </c>
      <c r="G69">
        <f t="shared" ref="G69:G132" si="16">+Int*($B69^2+2*beta^2)/(4*(beta*$B69)^2+($B69^2-2*beta^2)^2)</f>
        <v>3277030.9706059098</v>
      </c>
      <c r="H69">
        <v>95000000</v>
      </c>
      <c r="I69">
        <f t="shared" si="6"/>
        <v>52480.746024980588</v>
      </c>
      <c r="J69">
        <f t="shared" si="7"/>
        <v>3.4492415203155255E-2</v>
      </c>
      <c r="K69">
        <f t="shared" si="8"/>
        <v>3.1042175570690292E-2</v>
      </c>
      <c r="L69">
        <f t="shared" si="9"/>
        <v>3.1873185551030414E-2</v>
      </c>
      <c r="M69">
        <f t="shared" si="10"/>
        <v>3.7240411910725607E-2</v>
      </c>
      <c r="O69">
        <f t="shared" si="11"/>
        <v>85.311517155341946</v>
      </c>
      <c r="Q69">
        <f t="shared" si="12"/>
        <v>81.471866385592335</v>
      </c>
      <c r="R69">
        <f t="shared" si="13"/>
        <v>87.962696884662137</v>
      </c>
      <c r="S69">
        <f t="shared" si="14"/>
        <v>73.322322183516661</v>
      </c>
    </row>
    <row r="70" spans="1:19">
      <c r="A70">
        <f t="shared" si="5"/>
        <v>-4.7000000000000277</v>
      </c>
      <c r="B70">
        <f t="shared" ref="B70:B133" si="17">10^$A70</f>
        <v>1.9952623149687495E-5</v>
      </c>
      <c r="C70">
        <f t="shared" ref="C70:D133" si="18">+C$1*EXP(-ABS(C$3/$B70-1/C$2))/$B70/$B70</f>
        <v>537104.56255904352</v>
      </c>
      <c r="D70">
        <f t="shared" si="18"/>
        <v>85095627.865151539</v>
      </c>
      <c r="E70">
        <f t="shared" ref="E70:E133" si="19">$E$2/(1+$E$1^2-2*$E$1*($E$3*$B70)+($E$3*$B70)^2)+$E$2/(1+$E$1^2+2*$E$1*($E$3*$B70)+($E$3*$B70)^2)</f>
        <v>46370735.810624078</v>
      </c>
      <c r="F70">
        <f t="shared" si="15"/>
        <v>34133999.967904724</v>
      </c>
      <c r="G70">
        <f t="shared" si="16"/>
        <v>3013296.4978934885</v>
      </c>
      <c r="H70">
        <v>96000000</v>
      </c>
      <c r="I70">
        <f t="shared" si="6"/>
        <v>50118.723362730496</v>
      </c>
      <c r="J70">
        <f t="shared" si="7"/>
        <v>3.8218288373130752E-2</v>
      </c>
      <c r="K70">
        <f t="shared" si="8"/>
        <v>3.3877179635864403E-2</v>
      </c>
      <c r="L70">
        <f t="shared" si="9"/>
        <v>3.6121916110268437E-2</v>
      </c>
      <c r="M70">
        <f t="shared" si="10"/>
        <v>4.1176223750245718E-2</v>
      </c>
      <c r="O70">
        <f t="shared" si="11"/>
        <v>90.27246324974702</v>
      </c>
      <c r="Q70">
        <f t="shared" si="12"/>
        <v>86.209533125401066</v>
      </c>
      <c r="R70">
        <f t="shared" si="13"/>
        <v>92.881789752557253</v>
      </c>
      <c r="S70">
        <f t="shared" si="14"/>
        <v>76.417232804870665</v>
      </c>
    </row>
    <row r="71" spans="1:19">
      <c r="A71">
        <f t="shared" ref="A71:A134" si="20">+$A70+$A$1</f>
        <v>-4.6800000000000281</v>
      </c>
      <c r="B71">
        <f t="shared" si="17"/>
        <v>2.0892961308539027E-5</v>
      </c>
      <c r="C71">
        <f t="shared" si="18"/>
        <v>485773.87880316656</v>
      </c>
      <c r="D71">
        <f t="shared" si="18"/>
        <v>84363401.575016946</v>
      </c>
      <c r="E71">
        <f t="shared" si="19"/>
        <v>40057780.011928916</v>
      </c>
      <c r="F71">
        <f t="shared" si="15"/>
        <v>28347347.32327015</v>
      </c>
      <c r="G71">
        <f t="shared" si="16"/>
        <v>2760905.1296374924</v>
      </c>
      <c r="H71">
        <v>95000000</v>
      </c>
      <c r="I71">
        <f t="shared" si="6"/>
        <v>47863.009232266966</v>
      </c>
      <c r="J71">
        <f t="shared" si="7"/>
        <v>4.1469004062810337E-2</v>
      </c>
      <c r="K71">
        <f t="shared" si="8"/>
        <v>3.6825960449125027E-2</v>
      </c>
      <c r="L71">
        <f t="shared" si="9"/>
        <v>4.0369412041179206E-2</v>
      </c>
      <c r="M71">
        <f t="shared" si="10"/>
        <v>4.5081800486801091E-2</v>
      </c>
      <c r="O71">
        <f t="shared" si="11"/>
        <v>93.542218440727083</v>
      </c>
      <c r="Q71">
        <f t="shared" si="12"/>
        <v>89.332125090892205</v>
      </c>
      <c r="R71">
        <f t="shared" si="13"/>
        <v>97.114775997748794</v>
      </c>
      <c r="S71">
        <f t="shared" si="14"/>
        <v>79.330125711500912</v>
      </c>
    </row>
    <row r="72" spans="1:19">
      <c r="A72">
        <f t="shared" si="20"/>
        <v>-4.6600000000000286</v>
      </c>
      <c r="B72">
        <f t="shared" si="17"/>
        <v>2.1877616239494049E-5</v>
      </c>
      <c r="C72">
        <f t="shared" si="18"/>
        <v>439513.89757435664</v>
      </c>
      <c r="D72">
        <f t="shared" si="18"/>
        <v>83323890.871170372</v>
      </c>
      <c r="E72">
        <f t="shared" si="19"/>
        <v>34532088.925001264</v>
      </c>
      <c r="F72">
        <f t="shared" si="15"/>
        <v>23515189.802200846</v>
      </c>
      <c r="G72">
        <f t="shared" si="16"/>
        <v>2521974.9905748963</v>
      </c>
      <c r="H72">
        <v>94000000</v>
      </c>
      <c r="I72">
        <f t="shared" si="6"/>
        <v>45708.818961490586</v>
      </c>
      <c r="J72">
        <f t="shared" si="7"/>
        <v>4.4991228678321935E-2</v>
      </c>
      <c r="K72">
        <f t="shared" si="8"/>
        <v>3.9881321580344332E-2</v>
      </c>
      <c r="L72">
        <f t="shared" si="9"/>
        <v>4.4467572200445067E-2</v>
      </c>
      <c r="M72">
        <f t="shared" si="10"/>
        <v>4.8805977734614793E-2</v>
      </c>
      <c r="O72">
        <f t="shared" si="11"/>
        <v>96.919667089120694</v>
      </c>
      <c r="Q72">
        <f t="shared" si="12"/>
        <v>92.557563509775875</v>
      </c>
      <c r="R72">
        <f t="shared" si="13"/>
        <v>100.40540159786546</v>
      </c>
      <c r="S72">
        <f t="shared" si="14"/>
        <v>82.045280012659418</v>
      </c>
    </row>
    <row r="73" spans="1:19">
      <c r="A73">
        <f t="shared" si="20"/>
        <v>-4.640000000000029</v>
      </c>
      <c r="B73">
        <f t="shared" si="17"/>
        <v>2.2908676527676184E-5</v>
      </c>
      <c r="C73">
        <f t="shared" si="18"/>
        <v>397801.90768892586</v>
      </c>
      <c r="D73">
        <f t="shared" si="18"/>
        <v>82002491.569360226</v>
      </c>
      <c r="E73">
        <f t="shared" si="19"/>
        <v>29756843.493550725</v>
      </c>
      <c r="F73">
        <f t="shared" si="15"/>
        <v>19532648.307606816</v>
      </c>
      <c r="G73">
        <f t="shared" si="16"/>
        <v>2297891.2704801597</v>
      </c>
      <c r="H73">
        <v>90000000</v>
      </c>
      <c r="I73">
        <f t="shared" si="6"/>
        <v>43651.583224019545</v>
      </c>
      <c r="J73">
        <f t="shared" si="7"/>
        <v>4.7232671422473151E-2</v>
      </c>
      <c r="K73">
        <f t="shared" si="8"/>
        <v>4.303551933466352E-2</v>
      </c>
      <c r="L73">
        <f t="shared" si="9"/>
        <v>4.8260417005005073E-2</v>
      </c>
      <c r="M73">
        <f t="shared" si="10"/>
        <v>5.2187536960128698E-2</v>
      </c>
      <c r="O73">
        <f t="shared" si="11"/>
        <v>97.168739626534773</v>
      </c>
      <c r="Q73">
        <f t="shared" si="12"/>
        <v>92.795425936388142</v>
      </c>
      <c r="R73">
        <f t="shared" si="13"/>
        <v>102.52997713108324</v>
      </c>
      <c r="S73">
        <f t="shared" si="14"/>
        <v>84.549512589154006</v>
      </c>
    </row>
    <row r="74" spans="1:19">
      <c r="A74">
        <f t="shared" si="20"/>
        <v>-4.6200000000000294</v>
      </c>
      <c r="B74">
        <f t="shared" si="17"/>
        <v>2.3988329190193237E-5</v>
      </c>
      <c r="C74">
        <f t="shared" si="18"/>
        <v>360171.95573969383</v>
      </c>
      <c r="D74">
        <f t="shared" si="18"/>
        <v>80426046.770225421</v>
      </c>
      <c r="E74">
        <f t="shared" si="19"/>
        <v>25663484.42758964</v>
      </c>
      <c r="F74">
        <f t="shared" si="15"/>
        <v>16276655.758972418</v>
      </c>
      <c r="G74">
        <f t="shared" si="16"/>
        <v>2089396.1526038272</v>
      </c>
      <c r="H74">
        <v>85000000</v>
      </c>
      <c r="I74">
        <f t="shared" si="6"/>
        <v>41686.938347036441</v>
      </c>
      <c r="J74">
        <f t="shared" si="7"/>
        <v>4.8912394673651542E-2</v>
      </c>
      <c r="K74">
        <f t="shared" si="8"/>
        <v>4.6280359313727329E-2</v>
      </c>
      <c r="L74">
        <f t="shared" si="9"/>
        <v>5.1600008874017188E-2</v>
      </c>
      <c r="M74">
        <f t="shared" si="10"/>
        <v>5.5074657470560832E-2</v>
      </c>
      <c r="O74">
        <f t="shared" si="11"/>
        <v>96.095485616569121</v>
      </c>
      <c r="Q74">
        <f t="shared" si="12"/>
        <v>91.770476313953239</v>
      </c>
      <c r="R74">
        <f t="shared" si="13"/>
        <v>103.33224497846629</v>
      </c>
      <c r="S74">
        <f t="shared" si="14"/>
        <v>86.832195531198423</v>
      </c>
    </row>
    <row r="75" spans="1:19">
      <c r="A75">
        <f t="shared" si="20"/>
        <v>-4.6000000000000298</v>
      </c>
      <c r="B75">
        <f t="shared" si="17"/>
        <v>2.511886431509405E-5</v>
      </c>
      <c r="C75">
        <f t="shared" si="18"/>
        <v>326208.30501288013</v>
      </c>
      <c r="D75">
        <f t="shared" si="18"/>
        <v>78622260.56208989</v>
      </c>
      <c r="E75">
        <f t="shared" si="19"/>
        <v>22170967.419159163</v>
      </c>
      <c r="F75">
        <f t="shared" si="15"/>
        <v>13626424.769170003</v>
      </c>
      <c r="G75">
        <f t="shared" si="16"/>
        <v>1896698.7995893753</v>
      </c>
      <c r="H75">
        <v>82000000</v>
      </c>
      <c r="I75">
        <f t="shared" si="6"/>
        <v>39810.717055352499</v>
      </c>
      <c r="J75">
        <f t="shared" si="7"/>
        <v>5.1738502247368631E-2</v>
      </c>
      <c r="K75">
        <f t="shared" si="8"/>
        <v>4.9607292741279146E-2</v>
      </c>
      <c r="L75">
        <f t="shared" si="9"/>
        <v>5.4363171478119962E-2</v>
      </c>
      <c r="M75">
        <f t="shared" si="10"/>
        <v>5.734569722054772E-2</v>
      </c>
      <c r="O75">
        <f t="shared" si="11"/>
        <v>97.072879516350369</v>
      </c>
      <c r="Q75">
        <f t="shared" si="12"/>
        <v>92.703880241866642</v>
      </c>
      <c r="R75">
        <f t="shared" si="13"/>
        <v>102.75072560281498</v>
      </c>
      <c r="S75">
        <f t="shared" si="14"/>
        <v>88.885227164546535</v>
      </c>
    </row>
    <row r="76" spans="1:19">
      <c r="A76">
        <f t="shared" si="20"/>
        <v>-4.5800000000000303</v>
      </c>
      <c r="B76">
        <f t="shared" si="17"/>
        <v>2.6302679918951981E-5</v>
      </c>
      <c r="C76">
        <f t="shared" si="18"/>
        <v>295539.69798234722</v>
      </c>
      <c r="D76">
        <f t="shared" si="18"/>
        <v>76619164.407186747</v>
      </c>
      <c r="E76">
        <f t="shared" si="19"/>
        <v>19197459.757868081</v>
      </c>
      <c r="F76">
        <f t="shared" si="15"/>
        <v>11473397.141184388</v>
      </c>
      <c r="G76">
        <f t="shared" si="16"/>
        <v>1719589.7116672979</v>
      </c>
      <c r="H76">
        <v>78000000</v>
      </c>
      <c r="I76">
        <f t="shared" si="6"/>
        <v>38018.939632058777</v>
      </c>
      <c r="J76">
        <f t="shared" si="7"/>
        <v>5.39628157316695E-2</v>
      </c>
      <c r="K76">
        <f t="shared" si="8"/>
        <v>5.300751090281422E-2</v>
      </c>
      <c r="L76">
        <f t="shared" si="9"/>
        <v>5.6465354143016545E-2</v>
      </c>
      <c r="M76">
        <f t="shared" si="10"/>
        <v>5.8925899123029223E-2</v>
      </c>
      <c r="O76">
        <f t="shared" si="11"/>
        <v>96.689354925361144</v>
      </c>
      <c r="Q76">
        <f t="shared" si="12"/>
        <v>92.337617100915153</v>
      </c>
      <c r="R76">
        <f t="shared" si="13"/>
        <v>100.83011860621249</v>
      </c>
      <c r="S76">
        <f t="shared" si="14"/>
        <v>90.702962379780487</v>
      </c>
    </row>
    <row r="77" spans="1:19">
      <c r="A77">
        <f t="shared" si="20"/>
        <v>-4.5600000000000307</v>
      </c>
      <c r="B77">
        <f t="shared" si="17"/>
        <v>2.7542287033379688E-5</v>
      </c>
      <c r="C77">
        <f t="shared" si="18"/>
        <v>267834.31707466795</v>
      </c>
      <c r="D77">
        <f t="shared" si="18"/>
        <v>74444642.35572885</v>
      </c>
      <c r="E77">
        <f t="shared" si="19"/>
        <v>16666631.120543864</v>
      </c>
      <c r="F77">
        <f t="shared" si="15"/>
        <v>9724775.4135227483</v>
      </c>
      <c r="G77">
        <f t="shared" si="16"/>
        <v>1557548.5386548678</v>
      </c>
      <c r="H77">
        <v>74000000</v>
      </c>
      <c r="I77">
        <f t="shared" si="6"/>
        <v>36307.805477012742</v>
      </c>
      <c r="J77">
        <f t="shared" si="7"/>
        <v>5.6134740552151542E-2</v>
      </c>
      <c r="K77">
        <f t="shared" si="8"/>
        <v>5.6472036272115556E-2</v>
      </c>
      <c r="L77">
        <f t="shared" si="9"/>
        <v>5.7868483357483638E-2</v>
      </c>
      <c r="M77">
        <f t="shared" si="10"/>
        <v>5.9795457062255815E-2</v>
      </c>
      <c r="O77">
        <f t="shared" si="11"/>
        <v>96.054071843437811</v>
      </c>
      <c r="Q77">
        <f t="shared" si="12"/>
        <v>91.730926467653603</v>
      </c>
      <c r="R77">
        <f t="shared" si="13"/>
        <v>97.712978111685473</v>
      </c>
      <c r="S77">
        <f t="shared" si="14"/>
        <v>92.282108295191009</v>
      </c>
    </row>
    <row r="78" spans="1:19">
      <c r="A78">
        <f t="shared" si="20"/>
        <v>-4.5400000000000311</v>
      </c>
      <c r="B78">
        <f t="shared" si="17"/>
        <v>2.8840315031263983E-5</v>
      </c>
      <c r="C78">
        <f t="shared" si="18"/>
        <v>242795.35308577729</v>
      </c>
      <c r="D78">
        <f t="shared" si="18"/>
        <v>72126018.48302035</v>
      </c>
      <c r="E78">
        <f t="shared" si="19"/>
        <v>14510471.999492751</v>
      </c>
      <c r="F78">
        <f t="shared" si="15"/>
        <v>8303605.6223237542</v>
      </c>
      <c r="G78">
        <f t="shared" si="16"/>
        <v>1409838.9001045963</v>
      </c>
      <c r="H78">
        <v>70000000</v>
      </c>
      <c r="I78">
        <f t="shared" si="6"/>
        <v>34673.685045255661</v>
      </c>
      <c r="J78">
        <f t="shared" si="7"/>
        <v>5.8223463977178591E-2</v>
      </c>
      <c r="K78">
        <f t="shared" si="8"/>
        <v>5.9991809128049314E-2</v>
      </c>
      <c r="L78">
        <f t="shared" si="9"/>
        <v>5.8581316329708075E-2</v>
      </c>
      <c r="M78">
        <f t="shared" si="10"/>
        <v>5.9987224946649619E-2</v>
      </c>
      <c r="O78">
        <f t="shared" si="11"/>
        <v>95.144152092775983</v>
      </c>
      <c r="Q78">
        <f t="shared" si="12"/>
        <v>90.861959851897069</v>
      </c>
      <c r="R78">
        <f t="shared" si="13"/>
        <v>93.614437417629588</v>
      </c>
      <c r="S78">
        <f t="shared" si="14"/>
        <v>93.621591366876856</v>
      </c>
    </row>
    <row r="79" spans="1:19">
      <c r="A79">
        <f t="shared" si="20"/>
        <v>-4.5200000000000315</v>
      </c>
      <c r="B79">
        <f t="shared" si="17"/>
        <v>3.0199517204017925E-5</v>
      </c>
      <c r="C79">
        <f t="shared" si="18"/>
        <v>220157.10314555245</v>
      </c>
      <c r="D79">
        <f t="shared" si="18"/>
        <v>66315452.422657117</v>
      </c>
      <c r="E79">
        <f t="shared" si="19"/>
        <v>12670068.594299283</v>
      </c>
      <c r="F79">
        <f t="shared" si="15"/>
        <v>7147263.3173372131</v>
      </c>
      <c r="G79">
        <f t="shared" si="16"/>
        <v>1275587.3508594371</v>
      </c>
      <c r="H79">
        <v>65000000</v>
      </c>
      <c r="I79">
        <f t="shared" si="6"/>
        <v>33113.112148261564</v>
      </c>
      <c r="J79">
        <f t="shared" si="7"/>
        <v>5.9280704558125355E-2</v>
      </c>
      <c r="K79">
        <f t="shared" si="8"/>
        <v>6.048041142624546E-2</v>
      </c>
      <c r="L79">
        <f t="shared" si="9"/>
        <v>5.8652945401928461E-2</v>
      </c>
      <c r="M79">
        <f t="shared" si="10"/>
        <v>5.9575779253273529E-2</v>
      </c>
      <c r="O79">
        <f t="shared" si="11"/>
        <v>92.511860848128705</v>
      </c>
      <c r="Q79">
        <f t="shared" si="12"/>
        <v>88.348141229009812</v>
      </c>
      <c r="R79">
        <f t="shared" si="13"/>
        <v>88.78790153608405</v>
      </c>
      <c r="S79">
        <f t="shared" si="14"/>
        <v>90.136107020039873</v>
      </c>
    </row>
    <row r="80" spans="1:19">
      <c r="A80">
        <f t="shared" si="20"/>
        <v>-4.500000000000032</v>
      </c>
      <c r="B80">
        <f t="shared" si="17"/>
        <v>3.1622776601681444E-5</v>
      </c>
      <c r="C80">
        <f t="shared" si="18"/>
        <v>199681.53080954906</v>
      </c>
      <c r="D80">
        <f t="shared" si="18"/>
        <v>57235659.347402751</v>
      </c>
      <c r="E80">
        <f t="shared" si="19"/>
        <v>11095280.445982346</v>
      </c>
      <c r="F80">
        <f t="shared" si="15"/>
        <v>6205382.2943394557</v>
      </c>
      <c r="G80">
        <f t="shared" si="16"/>
        <v>1153846.1538463407</v>
      </c>
      <c r="H80">
        <v>60000000</v>
      </c>
      <c r="I80">
        <f t="shared" si="6"/>
        <v>31622.776601686142</v>
      </c>
      <c r="J80">
        <f t="shared" si="7"/>
        <v>5.9999999999991088E-2</v>
      </c>
      <c r="K80">
        <f t="shared" si="8"/>
        <v>5.7235659347394247E-2</v>
      </c>
      <c r="L80">
        <f t="shared" si="9"/>
        <v>5.8161774997142424E-2</v>
      </c>
      <c r="M80">
        <f t="shared" si="10"/>
        <v>5.8661848399323167E-2</v>
      </c>
      <c r="O80">
        <f t="shared" si="11"/>
        <v>89.420132794508319</v>
      </c>
      <c r="Q80">
        <f t="shared" si="12"/>
        <v>85.39556385980778</v>
      </c>
      <c r="R80">
        <f t="shared" si="13"/>
        <v>83.491027018658471</v>
      </c>
      <c r="S80">
        <f t="shared" si="14"/>
        <v>81.461190047655592</v>
      </c>
    </row>
    <row r="81" spans="1:19">
      <c r="A81">
        <f t="shared" si="20"/>
        <v>-4.4800000000000324</v>
      </c>
      <c r="B81">
        <f t="shared" si="17"/>
        <v>3.3113112148256583E-5</v>
      </c>
      <c r="C81">
        <f t="shared" si="18"/>
        <v>181155.22999072305</v>
      </c>
      <c r="D81">
        <f t="shared" si="18"/>
        <v>49521806.992907546</v>
      </c>
      <c r="E81">
        <f t="shared" si="19"/>
        <v>9743901.2615172789</v>
      </c>
      <c r="F81">
        <f t="shared" si="15"/>
        <v>5437753.9694370143</v>
      </c>
      <c r="G81">
        <f t="shared" si="16"/>
        <v>1043641.0799627248</v>
      </c>
      <c r="H81">
        <v>53000000</v>
      </c>
      <c r="I81">
        <f t="shared" si="6"/>
        <v>30199.517204022468</v>
      </c>
      <c r="J81">
        <f t="shared" si="7"/>
        <v>5.8113344395579934E-2</v>
      </c>
      <c r="K81">
        <f t="shared" si="8"/>
        <v>5.4299581601325947E-2</v>
      </c>
      <c r="L81">
        <f t="shared" si="9"/>
        <v>5.7202925793499504E-2</v>
      </c>
      <c r="M81">
        <f t="shared" si="10"/>
        <v>5.7356481623653977E-2</v>
      </c>
      <c r="O81">
        <f t="shared" si="11"/>
        <v>82.710363540678571</v>
      </c>
      <c r="Q81">
        <f t="shared" si="12"/>
        <v>78.987783968485871</v>
      </c>
      <c r="R81">
        <f t="shared" si="13"/>
        <v>77.959054444407329</v>
      </c>
      <c r="S81">
        <f t="shared" si="14"/>
        <v>73.804109292166686</v>
      </c>
    </row>
    <row r="82" spans="1:19">
      <c r="A82">
        <f t="shared" si="20"/>
        <v>-4.4600000000000328</v>
      </c>
      <c r="B82">
        <f t="shared" si="17"/>
        <v>3.4673685045250518E-5</v>
      </c>
      <c r="C82">
        <f t="shared" si="18"/>
        <v>164386.74226535307</v>
      </c>
      <c r="D82">
        <f t="shared" si="18"/>
        <v>42949252.046538495</v>
      </c>
      <c r="E82">
        <f t="shared" si="19"/>
        <v>8580636.3539429754</v>
      </c>
      <c r="F82">
        <f t="shared" si="15"/>
        <v>4812431.5785265388</v>
      </c>
      <c r="G82">
        <f t="shared" si="16"/>
        <v>944006.25473591941</v>
      </c>
      <c r="H82">
        <v>46000000</v>
      </c>
      <c r="I82">
        <f t="shared" si="6"/>
        <v>28840.315031268259</v>
      </c>
      <c r="J82">
        <f t="shared" si="7"/>
        <v>5.5304163992392553E-2</v>
      </c>
      <c r="K82">
        <f t="shared" si="8"/>
        <v>5.1636358228964487E-2</v>
      </c>
      <c r="L82">
        <f t="shared" si="9"/>
        <v>5.5876626913730978E-2</v>
      </c>
      <c r="M82">
        <f t="shared" si="10"/>
        <v>5.5768123098098948E-2</v>
      </c>
      <c r="O82">
        <f t="shared" si="11"/>
        <v>75.169539860811383</v>
      </c>
      <c r="Q82">
        <f t="shared" si="12"/>
        <v>71.786353261717693</v>
      </c>
      <c r="R82">
        <f t="shared" si="13"/>
        <v>72.388585170798024</v>
      </c>
      <c r="S82">
        <f t="shared" si="14"/>
        <v>67.025438689986174</v>
      </c>
    </row>
    <row r="83" spans="1:19">
      <c r="A83">
        <f t="shared" si="20"/>
        <v>-4.4400000000000333</v>
      </c>
      <c r="B83">
        <f t="shared" si="17"/>
        <v>3.6307805477007287E-5</v>
      </c>
      <c r="C83">
        <f t="shared" si="18"/>
        <v>149204.18379583207</v>
      </c>
      <c r="D83">
        <f t="shared" si="18"/>
        <v>37333415.895873994</v>
      </c>
      <c r="E83">
        <f t="shared" si="19"/>
        <v>7576075.0773185613</v>
      </c>
      <c r="F83">
        <f t="shared" si="15"/>
        <v>4304116.4641851606</v>
      </c>
      <c r="G83">
        <f t="shared" si="16"/>
        <v>854008.34221947682</v>
      </c>
      <c r="H83">
        <v>41000000</v>
      </c>
      <c r="I83">
        <f t="shared" si="6"/>
        <v>27542.287033383825</v>
      </c>
      <c r="J83">
        <f t="shared" si="7"/>
        <v>5.404852628080422E-2</v>
      </c>
      <c r="K83">
        <f t="shared" si="8"/>
        <v>4.9215027078057062E-2</v>
      </c>
      <c r="L83">
        <f t="shared" si="9"/>
        <v>5.4279177282294241E-2</v>
      </c>
      <c r="M83">
        <f t="shared" si="10"/>
        <v>5.3993981353186928E-2</v>
      </c>
      <c r="O83">
        <f t="shared" si="11"/>
        <v>70.156500356879775</v>
      </c>
      <c r="Q83">
        <f t="shared" si="12"/>
        <v>66.998937702030474</v>
      </c>
      <c r="R83">
        <f t="shared" si="13"/>
        <v>66.931323421700114</v>
      </c>
      <c r="S83">
        <f t="shared" si="14"/>
        <v>61.007297702723307</v>
      </c>
    </row>
    <row r="84" spans="1:19">
      <c r="A84">
        <f t="shared" si="20"/>
        <v>-4.4200000000000337</v>
      </c>
      <c r="B84">
        <f t="shared" si="17"/>
        <v>3.8018939632053135E-5</v>
      </c>
      <c r="C84">
        <f t="shared" si="18"/>
        <v>135453.14387558596</v>
      </c>
      <c r="D84">
        <f t="shared" si="18"/>
        <v>32522102.241654761</v>
      </c>
      <c r="E84">
        <f t="shared" si="19"/>
        <v>6705744.5274326652</v>
      </c>
      <c r="F84">
        <f t="shared" si="15"/>
        <v>3892825.2376214303</v>
      </c>
      <c r="G84">
        <f t="shared" si="16"/>
        <v>772762.29778628203</v>
      </c>
      <c r="H84">
        <v>36000000</v>
      </c>
      <c r="I84">
        <f t="shared" si="6"/>
        <v>26302.679918955884</v>
      </c>
      <c r="J84">
        <f t="shared" si="7"/>
        <v>5.2035831746845222E-2</v>
      </c>
      <c r="K84">
        <f t="shared" si="8"/>
        <v>4.7008740008345692E-2</v>
      </c>
      <c r="L84">
        <f t="shared" si="9"/>
        <v>5.2497010962180506E-2</v>
      </c>
      <c r="M84">
        <f t="shared" si="10"/>
        <v>5.2115600074481912E-2</v>
      </c>
      <c r="O84">
        <f t="shared" si="11"/>
        <v>64.503987238564406</v>
      </c>
      <c r="Q84">
        <f t="shared" si="12"/>
        <v>61.600829581650451</v>
      </c>
      <c r="R84">
        <f t="shared" si="13"/>
        <v>61.695260572600432</v>
      </c>
      <c r="S84">
        <f t="shared" si="14"/>
        <v>55.649679939588523</v>
      </c>
    </row>
    <row r="85" spans="1:19">
      <c r="A85">
        <f t="shared" si="20"/>
        <v>-4.4000000000000341</v>
      </c>
      <c r="B85">
        <f t="shared" si="17"/>
        <v>3.9810717055346591E-5</v>
      </c>
      <c r="C85">
        <f t="shared" si="18"/>
        <v>122994.82205916452</v>
      </c>
      <c r="D85">
        <f t="shared" si="18"/>
        <v>28389386.090494577</v>
      </c>
      <c r="E85">
        <f t="shared" si="19"/>
        <v>5949278.7332384298</v>
      </c>
      <c r="F85">
        <f t="shared" si="15"/>
        <v>3562799.2546560043</v>
      </c>
      <c r="G85">
        <f t="shared" si="16"/>
        <v>699440.68451571139</v>
      </c>
      <c r="H85">
        <v>32000000</v>
      </c>
      <c r="I85">
        <f t="shared" si="6"/>
        <v>25118.864315097777</v>
      </c>
      <c r="J85">
        <f t="shared" si="7"/>
        <v>5.071658215874765E-2</v>
      </c>
      <c r="K85">
        <f t="shared" si="8"/>
        <v>4.4994144752967993E-2</v>
      </c>
      <c r="L85">
        <f t="shared" si="9"/>
        <v>5.0603627152584187E-2</v>
      </c>
      <c r="M85">
        <f t="shared" si="10"/>
        <v>5.0197708491913677E-2</v>
      </c>
      <c r="O85">
        <f t="shared" si="11"/>
        <v>60.039081333874762</v>
      </c>
      <c r="Q85">
        <f t="shared" si="12"/>
        <v>57.336877545388376</v>
      </c>
      <c r="R85">
        <f t="shared" si="13"/>
        <v>56.750272639646425</v>
      </c>
      <c r="S85">
        <f t="shared" si="14"/>
        <v>50.86746105810748</v>
      </c>
    </row>
    <row r="86" spans="1:19">
      <c r="A86">
        <f t="shared" si="20"/>
        <v>-4.3800000000000345</v>
      </c>
      <c r="B86">
        <f t="shared" si="17"/>
        <v>4.1686938347030177E-5</v>
      </c>
      <c r="C86">
        <f t="shared" si="18"/>
        <v>111704.37511210781</v>
      </c>
      <c r="D86">
        <f t="shared" si="18"/>
        <v>24830733.56958174</v>
      </c>
      <c r="E86">
        <f t="shared" si="19"/>
        <v>5289709.7782278713</v>
      </c>
      <c r="F86">
        <f t="shared" si="15"/>
        <v>3301598.7651305958</v>
      </c>
      <c r="G86">
        <f t="shared" si="16"/>
        <v>633278.23632953421</v>
      </c>
      <c r="H86">
        <v>28000000</v>
      </c>
      <c r="I86">
        <f t="shared" si="6"/>
        <v>23988.32919019684</v>
      </c>
      <c r="J86">
        <f t="shared" si="7"/>
        <v>4.8658423204974662E-2</v>
      </c>
      <c r="K86">
        <f t="shared" si="8"/>
        <v>4.3150869375667124E-2</v>
      </c>
      <c r="L86">
        <f t="shared" si="9"/>
        <v>4.8658742892316434E-2</v>
      </c>
      <c r="M86">
        <f t="shared" si="10"/>
        <v>4.8289202564352721E-2</v>
      </c>
      <c r="O86">
        <f t="shared" si="11"/>
        <v>55.010056555520798</v>
      </c>
      <c r="Q86">
        <f t="shared" si="12"/>
        <v>52.534196167142305</v>
      </c>
      <c r="R86">
        <f t="shared" si="13"/>
        <v>52.135566119438501</v>
      </c>
      <c r="S86">
        <f t="shared" si="14"/>
        <v>46.587951011373313</v>
      </c>
    </row>
    <row r="87" spans="1:19">
      <c r="A87">
        <f t="shared" si="20"/>
        <v>-4.360000000000035</v>
      </c>
      <c r="B87">
        <f t="shared" si="17"/>
        <v>4.3651583224013063E-5</v>
      </c>
      <c r="C87">
        <f t="shared" si="18"/>
        <v>101469.44870102427</v>
      </c>
      <c r="D87">
        <f t="shared" si="18"/>
        <v>21759089.766541041</v>
      </c>
      <c r="E87">
        <f t="shared" si="19"/>
        <v>4712873.6150689609</v>
      </c>
      <c r="F87">
        <f t="shared" si="15"/>
        <v>3099308.8791269967</v>
      </c>
      <c r="G87">
        <f t="shared" si="16"/>
        <v>573573.02911563311</v>
      </c>
      <c r="H87">
        <v>25000000</v>
      </c>
      <c r="I87">
        <f t="shared" si="6"/>
        <v>22908.676527679585</v>
      </c>
      <c r="J87">
        <f t="shared" si="7"/>
        <v>4.7636517949073469E-2</v>
      </c>
      <c r="K87">
        <f t="shared" si="8"/>
        <v>4.1461090808773325E-2</v>
      </c>
      <c r="L87">
        <f t="shared" si="9"/>
        <v>4.6708931111103504E-2</v>
      </c>
      <c r="M87">
        <f t="shared" si="10"/>
        <v>4.6425247916591583E-2</v>
      </c>
      <c r="O87">
        <f t="shared" si="11"/>
        <v>51.430893436766304</v>
      </c>
      <c r="Q87">
        <f t="shared" si="12"/>
        <v>49.116121924570386</v>
      </c>
      <c r="R87">
        <f t="shared" si="13"/>
        <v>47.867229495813092</v>
      </c>
      <c r="S87">
        <f t="shared" si="14"/>
        <v>42.748884237644063</v>
      </c>
    </row>
    <row r="88" spans="1:19">
      <c r="A88">
        <f t="shared" si="20"/>
        <v>-4.3400000000000354</v>
      </c>
      <c r="B88">
        <f t="shared" si="17"/>
        <v>4.5708818961483715E-5</v>
      </c>
      <c r="C88">
        <f t="shared" si="18"/>
        <v>92188.87192920738</v>
      </c>
      <c r="D88">
        <f t="shared" si="18"/>
        <v>19101730.941361934</v>
      </c>
      <c r="E88">
        <f t="shared" si="19"/>
        <v>4206917.5517299408</v>
      </c>
      <c r="F88">
        <f t="shared" si="15"/>
        <v>2947763.3250871431</v>
      </c>
      <c r="G88">
        <f t="shared" si="16"/>
        <v>519685.32418293157</v>
      </c>
      <c r="H88">
        <v>21000000</v>
      </c>
      <c r="I88">
        <f t="shared" si="6"/>
        <v>21877.61623949734</v>
      </c>
      <c r="J88">
        <f t="shared" si="7"/>
        <v>4.3875218747927554E-2</v>
      </c>
      <c r="K88">
        <f t="shared" si="8"/>
        <v>3.9909172548395766E-2</v>
      </c>
      <c r="L88">
        <f t="shared" si="9"/>
        <v>4.4789095803959282E-2</v>
      </c>
      <c r="M88">
        <f t="shared" si="10"/>
        <v>4.4629776662854524E-2</v>
      </c>
      <c r="O88">
        <f t="shared" si="11"/>
        <v>45.237995686299044</v>
      </c>
      <c r="Q88">
        <f t="shared" si="12"/>
        <v>43.201950486885345</v>
      </c>
      <c r="R88">
        <f t="shared" si="13"/>
        <v>43.944929658509473</v>
      </c>
      <c r="S88">
        <f t="shared" si="14"/>
        <v>39.296763540120203</v>
      </c>
    </row>
    <row r="89" spans="1:19">
      <c r="A89">
        <f t="shared" si="20"/>
        <v>-4.3200000000000358</v>
      </c>
      <c r="B89">
        <f t="shared" si="17"/>
        <v>4.786300923225986E-5</v>
      </c>
      <c r="C89">
        <f t="shared" si="18"/>
        <v>83771.495579041934</v>
      </c>
      <c r="D89">
        <f t="shared" si="18"/>
        <v>16797722.638417721</v>
      </c>
      <c r="E89">
        <f t="shared" si="19"/>
        <v>3761894.8142155083</v>
      </c>
      <c r="F89">
        <f t="shared" si="15"/>
        <v>2839659.3158750846</v>
      </c>
      <c r="G89">
        <f t="shared" si="16"/>
        <v>471034.89266049652</v>
      </c>
      <c r="H89">
        <v>18000000</v>
      </c>
      <c r="I89">
        <f t="shared" si="6"/>
        <v>20892.96130854213</v>
      </c>
      <c r="J89">
        <f t="shared" si="7"/>
        <v>4.1235617749813068E-2</v>
      </c>
      <c r="K89">
        <f t="shared" si="8"/>
        <v>3.8481359432509694E-2</v>
      </c>
      <c r="L89">
        <f t="shared" si="9"/>
        <v>4.2924299568562946E-2</v>
      </c>
      <c r="M89">
        <f t="shared" si="10"/>
        <v>4.291793054836536E-2</v>
      </c>
      <c r="O89">
        <f t="shared" si="11"/>
        <v>40.60285434833596</v>
      </c>
      <c r="Q89">
        <f t="shared" si="12"/>
        <v>38.775424873969165</v>
      </c>
      <c r="R89">
        <f t="shared" si="13"/>
        <v>40.357367793572379</v>
      </c>
      <c r="S89">
        <f t="shared" si="14"/>
        <v>36.185490678874302</v>
      </c>
    </row>
    <row r="90" spans="1:19">
      <c r="A90">
        <f t="shared" si="20"/>
        <v>-4.3000000000000362</v>
      </c>
      <c r="B90">
        <f t="shared" si="17"/>
        <v>5.0118723362722969E-5</v>
      </c>
      <c r="C90">
        <f t="shared" si="18"/>
        <v>76135.157310516341</v>
      </c>
      <c r="D90">
        <f t="shared" si="18"/>
        <v>14795859.888698295</v>
      </c>
      <c r="E90">
        <f t="shared" si="19"/>
        <v>3369432.119186555</v>
      </c>
      <c r="F90">
        <f t="shared" si="15"/>
        <v>2767398.9867786542</v>
      </c>
      <c r="G90">
        <f t="shared" si="16"/>
        <v>427097.41923375195</v>
      </c>
      <c r="H90">
        <v>16000000</v>
      </c>
      <c r="I90">
        <f t="shared" si="6"/>
        <v>19952.623149690491</v>
      </c>
      <c r="J90">
        <f t="shared" si="7"/>
        <v>4.019018290414645E-2</v>
      </c>
      <c r="K90">
        <f t="shared" si="8"/>
        <v>3.7165519696931777E-2</v>
      </c>
      <c r="L90">
        <f t="shared" si="9"/>
        <v>4.113162546282851E-2</v>
      </c>
      <c r="M90">
        <f t="shared" si="10"/>
        <v>4.1298220572410012E-2</v>
      </c>
      <c r="O90">
        <f t="shared" si="11"/>
        <v>37.792362595997098</v>
      </c>
      <c r="Q90">
        <f t="shared" si="12"/>
        <v>36.091426087411072</v>
      </c>
      <c r="R90">
        <f t="shared" si="13"/>
        <v>37.086461608935799</v>
      </c>
      <c r="S90">
        <f t="shared" si="14"/>
        <v>33.375230223290295</v>
      </c>
    </row>
    <row r="91" spans="1:19">
      <c r="A91">
        <f t="shared" si="20"/>
        <v>-4.2800000000000367</v>
      </c>
      <c r="B91">
        <f t="shared" si="17"/>
        <v>5.2480746024972787E-5</v>
      </c>
      <c r="C91">
        <f t="shared" si="18"/>
        <v>69205.759137193556</v>
      </c>
      <c r="D91">
        <f t="shared" si="18"/>
        <v>13052992.394902682</v>
      </c>
      <c r="E91">
        <f t="shared" si="19"/>
        <v>3022457.645714852</v>
      </c>
      <c r="F91">
        <f t="shared" si="15"/>
        <v>2721493.8083696365</v>
      </c>
      <c r="G91">
        <f t="shared" si="16"/>
        <v>387400.41670195205</v>
      </c>
      <c r="H91">
        <v>14000000</v>
      </c>
      <c r="I91">
        <f t="shared" si="6"/>
        <v>19054.607179634095</v>
      </c>
      <c r="J91">
        <f t="shared" si="7"/>
        <v>3.8559201846727759E-2</v>
      </c>
      <c r="K91">
        <f t="shared" si="8"/>
        <v>3.5950926318489632E-2</v>
      </c>
      <c r="L91">
        <f t="shared" si="9"/>
        <v>3.9421891353157393E-2</v>
      </c>
      <c r="M91">
        <f t="shared" si="10"/>
        <v>3.9774317753000936E-2</v>
      </c>
      <c r="O91">
        <f t="shared" si="11"/>
        <v>34.626779050988354</v>
      </c>
      <c r="Q91">
        <f t="shared" si="12"/>
        <v>33.068317271496262</v>
      </c>
      <c r="R91">
        <f t="shared" si="13"/>
        <v>34.110398963695317</v>
      </c>
      <c r="S91">
        <f t="shared" si="14"/>
        <v>30.831463846933548</v>
      </c>
    </row>
    <row r="92" spans="1:19">
      <c r="A92">
        <f t="shared" si="20"/>
        <v>-4.2600000000000371</v>
      </c>
      <c r="B92">
        <f t="shared" si="17"/>
        <v>5.495408738575767E-5</v>
      </c>
      <c r="C92">
        <f t="shared" si="18"/>
        <v>62916.444301296193</v>
      </c>
      <c r="D92">
        <f t="shared" si="18"/>
        <v>11532658.245945558</v>
      </c>
      <c r="E92">
        <f t="shared" si="19"/>
        <v>2714978.5520022749</v>
      </c>
      <c r="F92">
        <f t="shared" si="15"/>
        <v>2688545.9086704366</v>
      </c>
      <c r="G92">
        <f t="shared" si="16"/>
        <v>351518.95393145207</v>
      </c>
      <c r="H92">
        <v>13000000</v>
      </c>
      <c r="I92">
        <f t="shared" si="6"/>
        <v>18197.008586101419</v>
      </c>
      <c r="J92">
        <f t="shared" si="7"/>
        <v>3.9259372365219369E-2</v>
      </c>
      <c r="K92">
        <f t="shared" si="8"/>
        <v>3.4828071110645724E-2</v>
      </c>
      <c r="L92">
        <f t="shared" si="9"/>
        <v>3.7801131871352617E-2</v>
      </c>
      <c r="M92">
        <f t="shared" si="10"/>
        <v>3.8346473454463646E-2</v>
      </c>
      <c r="O92">
        <f t="shared" si="11"/>
        <v>33.66878252338882</v>
      </c>
      <c r="Q92">
        <f t="shared" si="12"/>
        <v>32.153437690204484</v>
      </c>
      <c r="R92">
        <f t="shared" si="13"/>
        <v>31.405773209698321</v>
      </c>
      <c r="S92">
        <f t="shared" si="14"/>
        <v>28.524200639494882</v>
      </c>
    </row>
    <row r="93" spans="1:19">
      <c r="A93">
        <f t="shared" si="20"/>
        <v>-4.2400000000000375</v>
      </c>
      <c r="B93">
        <f t="shared" si="17"/>
        <v>5.7543993733710656E-5</v>
      </c>
      <c r="C93">
        <f t="shared" si="18"/>
        <v>57206.862235729641</v>
      </c>
      <c r="D93">
        <f t="shared" si="18"/>
        <v>10203965.745700134</v>
      </c>
      <c r="E93">
        <f t="shared" si="19"/>
        <v>2441898.9235894578</v>
      </c>
      <c r="F93">
        <f t="shared" si="15"/>
        <v>2649455.0895814048</v>
      </c>
      <c r="G93">
        <f t="shared" si="16"/>
        <v>319071.4025168831</v>
      </c>
      <c r="H93">
        <v>11000000</v>
      </c>
      <c r="I93">
        <f t="shared" si="6"/>
        <v>17378.008287495275</v>
      </c>
      <c r="J93">
        <f t="shared" si="7"/>
        <v>3.6424423363078641E-2</v>
      </c>
      <c r="K93">
        <f t="shared" si="8"/>
        <v>3.3788506209430379E-2</v>
      </c>
      <c r="L93">
        <f t="shared" si="9"/>
        <v>3.6271824817845938E-2</v>
      </c>
      <c r="M93">
        <f t="shared" si="10"/>
        <v>3.7012609084455222E-2</v>
      </c>
      <c r="O93">
        <f t="shared" si="11"/>
        <v>29.831613610918208</v>
      </c>
      <c r="Q93">
        <f t="shared" si="12"/>
        <v>28.488969827483043</v>
      </c>
      <c r="R93">
        <f t="shared" si="13"/>
        <v>28.949012944767894</v>
      </c>
      <c r="S93">
        <f t="shared" si="14"/>
        <v>26.427315659083789</v>
      </c>
    </row>
    <row r="94" spans="1:19">
      <c r="A94">
        <f t="shared" si="20"/>
        <v>-4.2200000000000379</v>
      </c>
      <c r="B94">
        <f t="shared" si="17"/>
        <v>6.0255958607430493E-5</v>
      </c>
      <c r="C94">
        <f t="shared" si="18"/>
        <v>52022.511665164864</v>
      </c>
      <c r="D94">
        <f t="shared" si="18"/>
        <v>9040675.4426531699</v>
      </c>
      <c r="E94">
        <f t="shared" si="19"/>
        <v>2198870.6201724415</v>
      </c>
      <c r="F94">
        <f t="shared" si="15"/>
        <v>2579802.4386056219</v>
      </c>
      <c r="G94">
        <f t="shared" si="16"/>
        <v>289715.33560751792</v>
      </c>
      <c r="H94">
        <v>9000000</v>
      </c>
      <c r="I94">
        <f t="shared" si="6"/>
        <v>16595.86907437706</v>
      </c>
      <c r="J94">
        <f t="shared" si="7"/>
        <v>3.267702492930339E-2</v>
      </c>
      <c r="K94">
        <f t="shared" si="8"/>
        <v>3.2824708535257624E-2</v>
      </c>
      <c r="L94">
        <f t="shared" si="9"/>
        <v>3.4833873874037427E-2</v>
      </c>
      <c r="M94">
        <f t="shared" si="10"/>
        <v>3.5769130218145116E-2</v>
      </c>
      <c r="O94">
        <f t="shared" si="11"/>
        <v>25.557982565248579</v>
      </c>
      <c r="Q94">
        <f t="shared" si="12"/>
        <v>24.407683863477526</v>
      </c>
      <c r="R94">
        <f t="shared" si="13"/>
        <v>26.717292174696713</v>
      </c>
      <c r="S94">
        <f t="shared" si="14"/>
        <v>24.517994235175927</v>
      </c>
    </row>
    <row r="95" spans="1:19">
      <c r="A95">
        <f t="shared" si="20"/>
        <v>-4.2000000000000384</v>
      </c>
      <c r="B95">
        <f t="shared" si="17"/>
        <v>6.3095734448013669E-5</v>
      </c>
      <c r="C95">
        <f t="shared" si="18"/>
        <v>47314.153088183601</v>
      </c>
      <c r="D95">
        <f t="shared" si="18"/>
        <v>8020444.2287227865</v>
      </c>
      <c r="E95">
        <f t="shared" si="19"/>
        <v>1982170.8567222029</v>
      </c>
      <c r="F95">
        <f t="shared" si="15"/>
        <v>2455447.6813134598</v>
      </c>
      <c r="G95">
        <f t="shared" si="16"/>
        <v>263143.66034003143</v>
      </c>
      <c r="H95">
        <v>7000000</v>
      </c>
      <c r="I95">
        <f t="shared" si="6"/>
        <v>15848.931924612556</v>
      </c>
      <c r="J95">
        <f t="shared" si="7"/>
        <v>2.7867501938739814E-2</v>
      </c>
      <c r="K95">
        <f t="shared" si="8"/>
        <v>3.1929963584783824E-2</v>
      </c>
      <c r="L95">
        <f t="shared" si="9"/>
        <v>3.3485376428837352E-2</v>
      </c>
      <c r="M95">
        <f t="shared" si="10"/>
        <v>3.461152110055616E-2</v>
      </c>
      <c r="O95">
        <f t="shared" si="11"/>
        <v>20.815272469180012</v>
      </c>
      <c r="Q95">
        <f t="shared" si="12"/>
        <v>19.87843088408302</v>
      </c>
      <c r="R95">
        <f t="shared" si="13"/>
        <v>24.689070857619164</v>
      </c>
      <c r="S95">
        <f t="shared" si="14"/>
        <v>22.776263751472634</v>
      </c>
    </row>
    <row r="96" spans="1:19">
      <c r="A96">
        <f t="shared" si="20"/>
        <v>-4.1800000000000388</v>
      </c>
      <c r="B96">
        <f t="shared" si="17"/>
        <v>6.6069344800753671E-5</v>
      </c>
      <c r="C96">
        <f t="shared" si="18"/>
        <v>43037.282921576465</v>
      </c>
      <c r="D96">
        <f t="shared" si="18"/>
        <v>7124201.0565297613</v>
      </c>
      <c r="E96">
        <f t="shared" si="19"/>
        <v>1788601.5062952661</v>
      </c>
      <c r="F96">
        <f t="shared" si="15"/>
        <v>2264067.4654433401</v>
      </c>
      <c r="G96">
        <f t="shared" si="16"/>
        <v>239081.02845247329</v>
      </c>
      <c r="H96">
        <v>6000000</v>
      </c>
      <c r="I96">
        <f t="shared" si="6"/>
        <v>15135.612484363441</v>
      </c>
      <c r="J96">
        <f t="shared" si="7"/>
        <v>2.6190949934405256E-2</v>
      </c>
      <c r="K96">
        <f t="shared" si="8"/>
        <v>3.1098265532368004E-2</v>
      </c>
      <c r="L96">
        <f t="shared" si="9"/>
        <v>3.222321111013067E-2</v>
      </c>
      <c r="M96">
        <f t="shared" si="10"/>
        <v>3.3534769563439745E-2</v>
      </c>
      <c r="O96">
        <f t="shared" si="11"/>
        <v>18.682513746801753</v>
      </c>
      <c r="Q96">
        <f t="shared" si="12"/>
        <v>17.841662116439274</v>
      </c>
      <c r="R96">
        <f t="shared" si="13"/>
        <v>22.844380566646684</v>
      </c>
      <c r="S96">
        <f t="shared" si="14"/>
        <v>21.184598016697283</v>
      </c>
    </row>
    <row r="97" spans="1:19">
      <c r="A97">
        <f t="shared" si="20"/>
        <v>-4.1600000000000392</v>
      </c>
      <c r="B97">
        <f t="shared" si="17"/>
        <v>6.9183097091887296E-5</v>
      </c>
      <c r="C97">
        <f t="shared" si="18"/>
        <v>39151.662496362718</v>
      </c>
      <c r="D97">
        <f t="shared" si="18"/>
        <v>6335629.8773613889</v>
      </c>
      <c r="E97">
        <f t="shared" si="19"/>
        <v>1615406.0638384745</v>
      </c>
      <c r="F97">
        <f t="shared" si="15"/>
        <v>2015688.7818835797</v>
      </c>
      <c r="G97">
        <f t="shared" si="16"/>
        <v>217280.5441400292</v>
      </c>
      <c r="H97">
        <v>5500000</v>
      </c>
      <c r="I97">
        <f t="shared" si="6"/>
        <v>14454.397707460603</v>
      </c>
      <c r="J97">
        <f t="shared" si="7"/>
        <v>2.6324655077740275E-2</v>
      </c>
      <c r="K97">
        <f t="shared" si="8"/>
        <v>3.0324231131229906E-2</v>
      </c>
      <c r="L97">
        <f t="shared" si="9"/>
        <v>3.104347915406766E-2</v>
      </c>
      <c r="M97">
        <f t="shared" si="10"/>
        <v>3.2533664056186462E-2</v>
      </c>
      <c r="O97">
        <f t="shared" si="11"/>
        <v>17.932744035827813</v>
      </c>
      <c r="Q97">
        <f t="shared" si="12"/>
        <v>17.125637601235695</v>
      </c>
      <c r="R97">
        <f t="shared" si="13"/>
        <v>21.164939818631197</v>
      </c>
      <c r="S97">
        <f t="shared" si="14"/>
        <v>19.727582046409545</v>
      </c>
    </row>
    <row r="98" spans="1:19">
      <c r="A98">
        <f t="shared" si="20"/>
        <v>-4.1400000000000396</v>
      </c>
      <c r="B98">
        <f t="shared" si="17"/>
        <v>7.2443596007492353E-5</v>
      </c>
      <c r="C98">
        <f t="shared" si="18"/>
        <v>35620.895890328051</v>
      </c>
      <c r="D98">
        <f t="shared" si="18"/>
        <v>5640740.1884890627</v>
      </c>
      <c r="E98">
        <f t="shared" si="19"/>
        <v>1460200.9880295144</v>
      </c>
      <c r="F98">
        <f t="shared" si="15"/>
        <v>1740782.4193441614</v>
      </c>
      <c r="G98">
        <f t="shared" si="16"/>
        <v>197520.77106242819</v>
      </c>
      <c r="H98">
        <v>5000000</v>
      </c>
      <c r="I98">
        <f t="shared" si="6"/>
        <v>13803.842646030116</v>
      </c>
      <c r="J98">
        <f t="shared" si="7"/>
        <v>2.624037301248381E-2</v>
      </c>
      <c r="K98">
        <f t="shared" si="8"/>
        <v>2.9603025322492246E-2</v>
      </c>
      <c r="L98">
        <f t="shared" si="9"/>
        <v>2.9941830230235715E-2</v>
      </c>
      <c r="M98">
        <f t="shared" si="10"/>
        <v>3.1602996031710733E-2</v>
      </c>
      <c r="O98">
        <f t="shared" si="11"/>
        <v>17.070807477094519</v>
      </c>
      <c r="Q98">
        <f t="shared" si="12"/>
        <v>16.302494578024611</v>
      </c>
      <c r="R98">
        <f t="shared" si="13"/>
        <v>19.634159591069395</v>
      </c>
      <c r="S98">
        <f t="shared" si="14"/>
        <v>18.391627267777693</v>
      </c>
    </row>
    <row r="99" spans="1:19">
      <c r="A99">
        <f t="shared" si="20"/>
        <v>-4.1200000000000401</v>
      </c>
      <c r="B99">
        <f t="shared" si="17"/>
        <v>7.5857757502911257E-5</v>
      </c>
      <c r="C99">
        <f t="shared" si="18"/>
        <v>32412.051278805273</v>
      </c>
      <c r="D99">
        <f t="shared" si="18"/>
        <v>5027509.3761507021</v>
      </c>
      <c r="E99">
        <f t="shared" si="19"/>
        <v>1320918.7689244268</v>
      </c>
      <c r="F99">
        <f t="shared" si="15"/>
        <v>1475062.8918627854</v>
      </c>
      <c r="G99">
        <f t="shared" si="16"/>
        <v>179603.02932481683</v>
      </c>
      <c r="H99">
        <v>4000000</v>
      </c>
      <c r="I99">
        <f t="shared" si="6"/>
        <v>13182.567385565308</v>
      </c>
      <c r="J99">
        <f t="shared" si="7"/>
        <v>2.3017597493481957E-2</v>
      </c>
      <c r="K99">
        <f t="shared" si="8"/>
        <v>2.8930296803735857E-2</v>
      </c>
      <c r="L99">
        <f t="shared" si="9"/>
        <v>2.8913698680017693E-2</v>
      </c>
      <c r="M99">
        <f t="shared" si="10"/>
        <v>3.0737693395006965E-2</v>
      </c>
      <c r="O99">
        <f t="shared" si="11"/>
        <v>14.300263878037715</v>
      </c>
      <c r="Q99">
        <f t="shared" si="12"/>
        <v>13.656645981676148</v>
      </c>
      <c r="R99">
        <f t="shared" si="13"/>
        <v>18.237081307368651</v>
      </c>
      <c r="S99">
        <f t="shared" si="14"/>
        <v>17.164728929911906</v>
      </c>
    </row>
    <row r="100" spans="1:19">
      <c r="A100">
        <f t="shared" si="20"/>
        <v>-4.1000000000000405</v>
      </c>
      <c r="B100">
        <f t="shared" si="17"/>
        <v>7.9432823472420686E-5</v>
      </c>
      <c r="C100">
        <f t="shared" si="18"/>
        <v>29495.321096866104</v>
      </c>
      <c r="D100">
        <f t="shared" si="18"/>
        <v>4485584.063528535</v>
      </c>
      <c r="E100">
        <f t="shared" si="19"/>
        <v>1195760.5783292335</v>
      </c>
      <c r="F100">
        <f t="shared" si="15"/>
        <v>1244346.6031669676</v>
      </c>
      <c r="G100">
        <f t="shared" si="16"/>
        <v>163348.96648815306</v>
      </c>
      <c r="H100">
        <v>3500000</v>
      </c>
      <c r="I100">
        <f t="shared" si="6"/>
        <v>12589.254117942855</v>
      </c>
      <c r="J100">
        <f t="shared" si="7"/>
        <v>2.2083507056802613E-2</v>
      </c>
      <c r="K100">
        <f t="shared" si="8"/>
        <v>2.8302122091661067E-2</v>
      </c>
      <c r="L100">
        <f t="shared" si="9"/>
        <v>2.7954471372559887E-2</v>
      </c>
      <c r="M100">
        <f t="shared" si="10"/>
        <v>2.9932904467012252E-2</v>
      </c>
      <c r="O100">
        <f t="shared" si="11"/>
        <v>13.102437732435</v>
      </c>
      <c r="Q100">
        <f t="shared" si="12"/>
        <v>12.512730893282958</v>
      </c>
      <c r="R100">
        <f t="shared" si="13"/>
        <v>16.960276168394977</v>
      </c>
      <c r="S100">
        <f t="shared" si="14"/>
        <v>16.03625893889463</v>
      </c>
    </row>
    <row r="101" spans="1:19">
      <c r="A101">
        <f t="shared" si="20"/>
        <v>-4.0800000000000409</v>
      </c>
      <c r="B101">
        <f t="shared" si="17"/>
        <v>8.3176377110259257E-5</v>
      </c>
      <c r="C101">
        <f t="shared" si="18"/>
        <v>26843.71684317472</v>
      </c>
      <c r="D101">
        <f t="shared" si="18"/>
        <v>4006030.0871565151</v>
      </c>
      <c r="E101">
        <f t="shared" si="19"/>
        <v>1083156.7697181909</v>
      </c>
      <c r="F101">
        <f t="shared" si="15"/>
        <v>1059873.1819164823</v>
      </c>
      <c r="G101">
        <f t="shared" si="16"/>
        <v>148598.38292573046</v>
      </c>
      <c r="H101">
        <v>3000000</v>
      </c>
      <c r="I101">
        <f t="shared" si="6"/>
        <v>12022.644346175262</v>
      </c>
      <c r="J101">
        <f t="shared" si="7"/>
        <v>2.075492912756418E-2</v>
      </c>
      <c r="K101">
        <f t="shared" si="8"/>
        <v>2.7714956847274409E-2</v>
      </c>
      <c r="L101">
        <f t="shared" si="9"/>
        <v>2.7059604055189885E-2</v>
      </c>
      <c r="M101">
        <f t="shared" si="10"/>
        <v>2.9184046942509163E-2</v>
      </c>
      <c r="O101">
        <f t="shared" si="11"/>
        <v>11.759945656021269</v>
      </c>
      <c r="Q101">
        <f t="shared" si="12"/>
        <v>11.230660913515328</v>
      </c>
      <c r="R101">
        <f t="shared" si="13"/>
        <v>15.791725102069764</v>
      </c>
      <c r="S101">
        <f t="shared" si="14"/>
        <v>14.996788506065027</v>
      </c>
    </row>
    <row r="102" spans="1:19">
      <c r="A102">
        <f t="shared" si="20"/>
        <v>-4.0600000000000414</v>
      </c>
      <c r="B102">
        <f t="shared" si="17"/>
        <v>8.709635899559968E-5</v>
      </c>
      <c r="C102">
        <f t="shared" si="18"/>
        <v>24432.794828001479</v>
      </c>
      <c r="D102">
        <f t="shared" si="18"/>
        <v>3581122.6590430578</v>
      </c>
      <c r="E102">
        <f t="shared" si="19"/>
        <v>981733.82410918677</v>
      </c>
      <c r="F102">
        <f t="shared" si="15"/>
        <v>922043.8616997872</v>
      </c>
      <c r="G102">
        <f t="shared" si="16"/>
        <v>135207.29017679725</v>
      </c>
      <c r="H102">
        <v>2600000</v>
      </c>
      <c r="I102">
        <f t="shared" si="6"/>
        <v>11481.536214969932</v>
      </c>
      <c r="J102">
        <f t="shared" si="7"/>
        <v>1.9723016950754981E-2</v>
      </c>
      <c r="K102">
        <f t="shared" si="8"/>
        <v>2.7165593425784226E-2</v>
      </c>
      <c r="L102">
        <f t="shared" si="9"/>
        <v>2.6224699376149962E-2</v>
      </c>
      <c r="M102">
        <f t="shared" si="10"/>
        <v>2.848683247822778E-2</v>
      </c>
      <c r="O102">
        <f t="shared" si="11"/>
        <v>10.672284843954504</v>
      </c>
      <c r="Q102">
        <f t="shared" si="12"/>
        <v>10.191952901885479</v>
      </c>
      <c r="R102">
        <f t="shared" si="13"/>
        <v>14.720691852920872</v>
      </c>
      <c r="S102">
        <f t="shared" si="14"/>
        <v>14.037935952631438</v>
      </c>
    </row>
    <row r="103" spans="1:19">
      <c r="A103">
        <f t="shared" si="20"/>
        <v>-4.0400000000000418</v>
      </c>
      <c r="B103">
        <f t="shared" si="17"/>
        <v>9.1201083935582182E-5</v>
      </c>
      <c r="C103">
        <f t="shared" si="18"/>
        <v>22240.409583611865</v>
      </c>
      <c r="D103">
        <f t="shared" si="18"/>
        <v>3204169.8256565481</v>
      </c>
      <c r="E103">
        <f t="shared" si="19"/>
        <v>890286.60324844625</v>
      </c>
      <c r="F103">
        <f t="shared" si="15"/>
        <v>825957.83966904262</v>
      </c>
      <c r="G103">
        <f t="shared" si="16"/>
        <v>123046.18066598821</v>
      </c>
      <c r="H103">
        <v>2200000</v>
      </c>
      <c r="I103">
        <f t="shared" si="6"/>
        <v>10964.781961432907</v>
      </c>
      <c r="J103">
        <f t="shared" si="7"/>
        <v>1.8298802964255234E-2</v>
      </c>
      <c r="K103">
        <f t="shared" si="8"/>
        <v>2.6651123774409643E-2</v>
      </c>
      <c r="L103">
        <f t="shared" si="9"/>
        <v>2.544555671960836E-2</v>
      </c>
      <c r="M103">
        <f t="shared" si="10"/>
        <v>2.7837274638453386E-2</v>
      </c>
      <c r="O103">
        <f t="shared" si="11"/>
        <v>9.4559842664144433</v>
      </c>
      <c r="Q103">
        <f t="shared" si="12"/>
        <v>9.0303948679611636</v>
      </c>
      <c r="R103">
        <f t="shared" si="13"/>
        <v>13.737597072560545</v>
      </c>
      <c r="S103">
        <f t="shared" si="14"/>
        <v>13.152235795311322</v>
      </c>
    </row>
    <row r="104" spans="1:19">
      <c r="A104">
        <f t="shared" si="20"/>
        <v>-4.0200000000000422</v>
      </c>
      <c r="B104">
        <f t="shared" si="17"/>
        <v>9.5499258602134202E-5</v>
      </c>
      <c r="C104">
        <f t="shared" si="18"/>
        <v>20246.492021565176</v>
      </c>
      <c r="D104">
        <f t="shared" si="18"/>
        <v>2869363.5871654856</v>
      </c>
      <c r="E104">
        <f t="shared" si="19"/>
        <v>807754.98453572823</v>
      </c>
      <c r="F104">
        <f t="shared" si="15"/>
        <v>765006.80917198933</v>
      </c>
      <c r="G104">
        <f t="shared" si="16"/>
        <v>111998.48776414793</v>
      </c>
      <c r="H104">
        <v>2000000</v>
      </c>
      <c r="I104">
        <f t="shared" si="6"/>
        <v>10471.285480510025</v>
      </c>
      <c r="J104">
        <f t="shared" si="7"/>
        <v>1.8240216787114606E-2</v>
      </c>
      <c r="K104">
        <f t="shared" si="8"/>
        <v>2.616890693547564E-2</v>
      </c>
      <c r="L104">
        <f t="shared" si="9"/>
        <v>2.4718201564723232E-2</v>
      </c>
      <c r="M104">
        <f t="shared" si="10"/>
        <v>2.723168575599522E-2</v>
      </c>
      <c r="O104">
        <f t="shared" si="11"/>
        <v>9.0014827957118744</v>
      </c>
      <c r="Q104">
        <f t="shared" si="12"/>
        <v>8.5963493331043495</v>
      </c>
      <c r="R104">
        <f t="shared" si="13"/>
        <v>12.833898106585366</v>
      </c>
      <c r="S104">
        <f t="shared" si="14"/>
        <v>12.333025879481966</v>
      </c>
    </row>
    <row r="105" spans="1:19">
      <c r="A105">
        <f t="shared" si="20"/>
        <v>-4.0000000000000426</v>
      </c>
      <c r="B105">
        <f t="shared" si="17"/>
        <v>9.9999999999990139E-5</v>
      </c>
      <c r="C105">
        <f t="shared" si="18"/>
        <v>18432.849744589043</v>
      </c>
      <c r="D105">
        <f t="shared" si="18"/>
        <v>2571654.0524264062</v>
      </c>
      <c r="E105">
        <f t="shared" si="19"/>
        <v>733204.12366821954</v>
      </c>
      <c r="F105">
        <f t="shared" si="15"/>
        <v>731803.26988038816</v>
      </c>
      <c r="G105">
        <f t="shared" si="16"/>
        <v>101959.2163134951</v>
      </c>
      <c r="H105">
        <v>1850000</v>
      </c>
      <c r="I105">
        <f t="shared" si="6"/>
        <v>10000.000000000986</v>
      </c>
      <c r="J105">
        <f t="shared" si="7"/>
        <v>1.8499999999996349E-2</v>
      </c>
      <c r="K105">
        <f t="shared" si="8"/>
        <v>2.5716540524258986E-2</v>
      </c>
      <c r="L105">
        <f t="shared" si="9"/>
        <v>2.4038900176904514E-2</v>
      </c>
      <c r="M105">
        <f t="shared" si="10"/>
        <v>2.6666666666667834E-2</v>
      </c>
      <c r="O105">
        <f t="shared" si="11"/>
        <v>8.7187813894155433</v>
      </c>
      <c r="Q105">
        <f t="shared" si="12"/>
        <v>8.3263715860335044</v>
      </c>
      <c r="R105">
        <f t="shared" si="13"/>
        <v>12.00197706095209</v>
      </c>
      <c r="S105">
        <f t="shared" si="14"/>
        <v>11.574349854719538</v>
      </c>
    </row>
    <row r="106" spans="1:19">
      <c r="A106">
        <f t="shared" si="20"/>
        <v>-3.9800000000000426</v>
      </c>
      <c r="B106">
        <f t="shared" si="17"/>
        <v>1.0471285480507962E-4</v>
      </c>
      <c r="C106">
        <f t="shared" si="18"/>
        <v>16782.98720602661</v>
      </c>
      <c r="D106">
        <f t="shared" si="18"/>
        <v>2306642.82553988</v>
      </c>
      <c r="E106">
        <f t="shared" si="19"/>
        <v>665807.72929174756</v>
      </c>
      <c r="F106">
        <f t="shared" si="15"/>
        <v>716717.70290805062</v>
      </c>
      <c r="G106">
        <f t="shared" si="16"/>
        <v>92833.725186076466</v>
      </c>
      <c r="H106">
        <v>1700000</v>
      </c>
      <c r="I106">
        <f t="shared" si="6"/>
        <v>9549.9258602153022</v>
      </c>
      <c r="J106">
        <f t="shared" si="7"/>
        <v>1.8640129334430468E-2</v>
      </c>
      <c r="K106">
        <f t="shared" si="8"/>
        <v>2.5291835644940877E-2</v>
      </c>
      <c r="L106">
        <f t="shared" si="9"/>
        <v>2.3404163968269862E-2</v>
      </c>
      <c r="M106">
        <f t="shared" si="10"/>
        <v>2.6139092106509554E-2</v>
      </c>
      <c r="O106">
        <f t="shared" si="11"/>
        <v>8.3894401756876409</v>
      </c>
      <c r="Q106">
        <f t="shared" si="12"/>
        <v>8.01185316865209</v>
      </c>
      <c r="R106">
        <f t="shared" si="13"/>
        <v>11.235038349889544</v>
      </c>
      <c r="S106">
        <f t="shared" si="14"/>
        <v>10.870872723970761</v>
      </c>
    </row>
    <row r="107" spans="1:19">
      <c r="A107">
        <f t="shared" si="20"/>
        <v>-3.9600000000000426</v>
      </c>
      <c r="B107">
        <f t="shared" si="17"/>
        <v>1.0964781961430765E-4</v>
      </c>
      <c r="C107">
        <f t="shared" si="18"/>
        <v>15281.943662041404</v>
      </c>
      <c r="D107">
        <f t="shared" si="18"/>
        <v>2070492.4865210252</v>
      </c>
      <c r="E107">
        <f t="shared" si="19"/>
        <v>604833.84565549879</v>
      </c>
      <c r="F107">
        <f t="shared" si="15"/>
        <v>705081.55220271926</v>
      </c>
      <c r="G107">
        <f t="shared" si="16"/>
        <v>84536.645024439786</v>
      </c>
      <c r="H107">
        <v>1570000</v>
      </c>
      <c r="I107">
        <f t="shared" si="6"/>
        <v>9120.10839356</v>
      </c>
      <c r="J107">
        <f t="shared" si="7"/>
        <v>1.8875551623489646E-2</v>
      </c>
      <c r="K107">
        <f t="shared" si="8"/>
        <v>2.4892794786863088E-2</v>
      </c>
      <c r="L107">
        <f t="shared" si="9"/>
        <v>2.2810746739757162E-2</v>
      </c>
      <c r="M107">
        <f t="shared" si="10"/>
        <v>2.5646093713319613E-2</v>
      </c>
      <c r="O107">
        <f t="shared" si="11"/>
        <v>8.1130417805297022</v>
      </c>
      <c r="Q107">
        <f t="shared" si="12"/>
        <v>7.747894750488018</v>
      </c>
      <c r="R107">
        <f t="shared" si="13"/>
        <v>10.527016047821188</v>
      </c>
      <c r="S107">
        <f t="shared" si="14"/>
        <v>10.217807558752314</v>
      </c>
    </row>
    <row r="108" spans="1:19">
      <c r="A108">
        <f t="shared" si="20"/>
        <v>-3.9400000000000426</v>
      </c>
      <c r="B108">
        <f t="shared" si="17"/>
        <v>1.1481536214967688E-4</v>
      </c>
      <c r="C108">
        <f t="shared" si="18"/>
        <v>13916.147084891245</v>
      </c>
      <c r="D108">
        <f t="shared" si="18"/>
        <v>1859849.571981455</v>
      </c>
      <c r="E108">
        <f t="shared" si="19"/>
        <v>549632.72966594645</v>
      </c>
      <c r="F108">
        <f t="shared" si="15"/>
        <v>677376.50793404412</v>
      </c>
      <c r="G108">
        <f t="shared" si="16"/>
        <v>76990.915918475526</v>
      </c>
      <c r="H108">
        <v>1450000</v>
      </c>
      <c r="I108">
        <f t="shared" si="6"/>
        <v>8709.6358995616702</v>
      </c>
      <c r="J108">
        <f t="shared" si="7"/>
        <v>1.911472270906411E-2</v>
      </c>
      <c r="K108">
        <f t="shared" si="8"/>
        <v>2.4517592309653162E-2</v>
      </c>
      <c r="L108">
        <f t="shared" si="9"/>
        <v>2.2255637165198645E-2</v>
      </c>
      <c r="M108">
        <f t="shared" si="10"/>
        <v>2.5185041963670236E-2</v>
      </c>
      <c r="O108">
        <f t="shared" si="11"/>
        <v>7.84606790247605</v>
      </c>
      <c r="Q108">
        <f t="shared" si="12"/>
        <v>7.492936676285388</v>
      </c>
      <c r="R108">
        <f t="shared" si="13"/>
        <v>9.8724908279148575</v>
      </c>
      <c r="S108">
        <f t="shared" si="14"/>
        <v>9.6108517726024321</v>
      </c>
    </row>
    <row r="109" spans="1:19">
      <c r="A109">
        <f t="shared" si="20"/>
        <v>-3.9200000000000426</v>
      </c>
      <c r="B109">
        <f t="shared" si="17"/>
        <v>1.2022644346172933E-4</v>
      </c>
      <c r="C109">
        <f t="shared" si="18"/>
        <v>12673.282403172747</v>
      </c>
      <c r="D109">
        <f t="shared" si="18"/>
        <v>1671778.9056905245</v>
      </c>
      <c r="E109">
        <f t="shared" si="19"/>
        <v>499626.48204670893</v>
      </c>
      <c r="F109">
        <f t="shared" si="15"/>
        <v>619603.1943928299</v>
      </c>
      <c r="G109">
        <f t="shared" si="16"/>
        <v>70126.931332705833</v>
      </c>
      <c r="H109">
        <v>1200000</v>
      </c>
      <c r="I109">
        <f t="shared" si="6"/>
        <v>8317.6377110275371</v>
      </c>
      <c r="J109">
        <f t="shared" si="7"/>
        <v>1.7345277248947681E-2</v>
      </c>
      <c r="K109">
        <f t="shared" si="8"/>
        <v>2.4164557181787085E-2</v>
      </c>
      <c r="L109">
        <f t="shared" si="9"/>
        <v>2.1736048236492479E-2</v>
      </c>
      <c r="M109">
        <f t="shared" si="10"/>
        <v>2.4753527939909221E-2</v>
      </c>
      <c r="O109">
        <f t="shared" si="11"/>
        <v>6.7993172612098363</v>
      </c>
      <c r="Q109">
        <f t="shared" si="12"/>
        <v>6.4932975744629573</v>
      </c>
      <c r="R109">
        <f t="shared" si="13"/>
        <v>9.2666159568804254</v>
      </c>
      <c r="S109">
        <f t="shared" si="14"/>
        <v>9.0461315944655158</v>
      </c>
    </row>
    <row r="110" spans="1:19">
      <c r="A110">
        <f t="shared" si="20"/>
        <v>-3.9000000000000425</v>
      </c>
      <c r="B110">
        <f t="shared" si="17"/>
        <v>1.2589254117940419E-4</v>
      </c>
      <c r="C110">
        <f t="shared" si="18"/>
        <v>11542.172610082904</v>
      </c>
      <c r="D110">
        <f t="shared" si="18"/>
        <v>1503707.4925863256</v>
      </c>
      <c r="E110">
        <f t="shared" si="19"/>
        <v>454300.15189702832</v>
      </c>
      <c r="F110">
        <f t="shared" si="15"/>
        <v>538007.95895998715</v>
      </c>
      <c r="G110">
        <f t="shared" si="16"/>
        <v>63881.776071890425</v>
      </c>
      <c r="H110">
        <v>1000000</v>
      </c>
      <c r="I110">
        <f t="shared" si="6"/>
        <v>7943.2823472436057</v>
      </c>
      <c r="J110">
        <f t="shared" si="7"/>
        <v>1.5848931924607981E-2</v>
      </c>
      <c r="K110">
        <f t="shared" si="8"/>
        <v>2.3832157684523635E-2</v>
      </c>
      <c r="L110">
        <f t="shared" si="9"/>
        <v>2.1249404909547739E-2</v>
      </c>
      <c r="M110">
        <f t="shared" si="10"/>
        <v>2.4349345511561562E-2</v>
      </c>
      <c r="O110">
        <f t="shared" si="11"/>
        <v>5.9331326762236172</v>
      </c>
      <c r="Q110">
        <f t="shared" si="12"/>
        <v>5.6660977176750746</v>
      </c>
      <c r="R110">
        <f t="shared" si="13"/>
        <v>8.7050516518231138</v>
      </c>
      <c r="S110">
        <f t="shared" si="14"/>
        <v>8.5201535917942888</v>
      </c>
    </row>
    <row r="111" spans="1:19">
      <c r="A111">
        <f t="shared" si="20"/>
        <v>-3.8800000000000425</v>
      </c>
      <c r="B111">
        <f t="shared" si="17"/>
        <v>1.3182567385562781E-4</v>
      </c>
      <c r="C111">
        <f t="shared" si="18"/>
        <v>10512.671436133349</v>
      </c>
      <c r="D111">
        <f t="shared" si="18"/>
        <v>1353376.4885029646</v>
      </c>
      <c r="E111">
        <f t="shared" si="19"/>
        <v>413194.0824841148</v>
      </c>
      <c r="F111">
        <f t="shared" si="15"/>
        <v>454978.07025416865</v>
      </c>
      <c r="G111">
        <f t="shared" si="16"/>
        <v>58198.547436579844</v>
      </c>
      <c r="H111">
        <v>850000</v>
      </c>
      <c r="I111">
        <f t="shared" si="6"/>
        <v>7585.7757502925797</v>
      </c>
      <c r="J111">
        <f t="shared" si="7"/>
        <v>1.4771307044366799E-2</v>
      </c>
      <c r="K111">
        <f t="shared" si="8"/>
        <v>2.3518987833299112E-2</v>
      </c>
      <c r="L111">
        <f t="shared" si="9"/>
        <v>2.0793330834152891E-2</v>
      </c>
      <c r="M111">
        <f t="shared" si="10"/>
        <v>2.3970474297077951E-2</v>
      </c>
      <c r="O111">
        <f t="shared" si="11"/>
        <v>5.2808397139500594</v>
      </c>
      <c r="Q111">
        <f t="shared" si="12"/>
        <v>5.0431627747898675</v>
      </c>
      <c r="R111">
        <f t="shared" si="13"/>
        <v>8.1839070372030776</v>
      </c>
      <c r="S111">
        <f t="shared" si="14"/>
        <v>8.0297622671693869</v>
      </c>
    </row>
    <row r="112" spans="1:19">
      <c r="A112">
        <f t="shared" si="20"/>
        <v>-3.8600000000000425</v>
      </c>
      <c r="B112">
        <f t="shared" si="17"/>
        <v>1.3803842646027494E-4</v>
      </c>
      <c r="C112">
        <f t="shared" si="18"/>
        <v>9575.5664207364334</v>
      </c>
      <c r="D112">
        <f t="shared" si="18"/>
        <v>1218800.0037920098</v>
      </c>
      <c r="E112">
        <f t="shared" si="19"/>
        <v>375897.30574402033</v>
      </c>
      <c r="F112">
        <f t="shared" si="15"/>
        <v>389318.18924257753</v>
      </c>
      <c r="G112">
        <f t="shared" si="16"/>
        <v>53025.749963952723</v>
      </c>
      <c r="H112">
        <v>750000</v>
      </c>
      <c r="I112">
        <f t="shared" si="6"/>
        <v>7244.3596007506112</v>
      </c>
      <c r="J112">
        <f t="shared" si="7"/>
        <v>1.4290955384721549E-2</v>
      </c>
      <c r="K112">
        <f t="shared" si="8"/>
        <v>2.3223755302786753E-2</v>
      </c>
      <c r="L112">
        <f t="shared" si="9"/>
        <v>2.0365634787252916E-2</v>
      </c>
      <c r="M112">
        <f t="shared" si="10"/>
        <v>2.3615063619485743E-2</v>
      </c>
      <c r="O112">
        <f t="shared" si="11"/>
        <v>4.8791629607277009</v>
      </c>
      <c r="Q112">
        <f t="shared" si="12"/>
        <v>4.6595644534853449</v>
      </c>
      <c r="R112">
        <f t="shared" si="13"/>
        <v>7.6996889323291891</v>
      </c>
      <c r="S112">
        <f t="shared" si="14"/>
        <v>7.5721028981027363</v>
      </c>
    </row>
    <row r="113" spans="1:19">
      <c r="A113">
        <f t="shared" si="20"/>
        <v>-3.8400000000000425</v>
      </c>
      <c r="B113">
        <f t="shared" si="17"/>
        <v>1.4454397707457854E-4</v>
      </c>
      <c r="C113">
        <f t="shared" si="18"/>
        <v>8722.4913397166965</v>
      </c>
      <c r="D113">
        <f t="shared" si="18"/>
        <v>1098229.7019570447</v>
      </c>
      <c r="E113">
        <f t="shared" si="19"/>
        <v>342041.82541251043</v>
      </c>
      <c r="F113">
        <f t="shared" si="15"/>
        <v>347574.99094292772</v>
      </c>
      <c r="G113">
        <f t="shared" si="16"/>
        <v>48316.755271157475</v>
      </c>
      <c r="H113">
        <v>670000</v>
      </c>
      <c r="I113">
        <f t="shared" si="6"/>
        <v>6918.3097091900454</v>
      </c>
      <c r="J113">
        <f t="shared" si="7"/>
        <v>1.3998284076719313E-2</v>
      </c>
      <c r="K113">
        <f t="shared" si="8"/>
        <v>2.2945270670873874E-2</v>
      </c>
      <c r="L113">
        <f t="shared" si="9"/>
        <v>1.9964297235237793E-2</v>
      </c>
      <c r="M113">
        <f t="shared" si="10"/>
        <v>2.3281417564515978E-2</v>
      </c>
      <c r="O113">
        <f t="shared" si="11"/>
        <v>4.5641390052483244</v>
      </c>
      <c r="Q113">
        <f t="shared" si="12"/>
        <v>4.3587189115834137</v>
      </c>
      <c r="R113">
        <f t="shared" si="13"/>
        <v>7.249256728236694</v>
      </c>
      <c r="S113">
        <f t="shared" si="14"/>
        <v>7.1445889122131145</v>
      </c>
    </row>
    <row r="114" spans="1:19">
      <c r="A114">
        <f t="shared" si="20"/>
        <v>-3.8200000000000425</v>
      </c>
      <c r="B114">
        <f t="shared" si="17"/>
        <v>1.5135612484360589E-4</v>
      </c>
      <c r="C114">
        <f t="shared" si="18"/>
        <v>7945.8470548878649</v>
      </c>
      <c r="D114">
        <f t="shared" si="18"/>
        <v>990124.32229324896</v>
      </c>
      <c r="E114">
        <f t="shared" si="19"/>
        <v>311297.6553309827</v>
      </c>
      <c r="F114">
        <f t="shared" si="15"/>
        <v>327518.94988753251</v>
      </c>
      <c r="G114">
        <f t="shared" si="16"/>
        <v>44029.319522066471</v>
      </c>
      <c r="H114">
        <v>620000</v>
      </c>
      <c r="I114">
        <f t="shared" si="6"/>
        <v>6606.9344800766112</v>
      </c>
      <c r="J114">
        <f t="shared" si="7"/>
        <v>1.4203379447157391E-2</v>
      </c>
      <c r="K114">
        <f t="shared" si="8"/>
        <v>2.2682437821597699E-2</v>
      </c>
      <c r="L114">
        <f t="shared" si="9"/>
        <v>1.9587457309173859E-2</v>
      </c>
      <c r="M114">
        <f t="shared" si="10"/>
        <v>2.2967981178657042E-2</v>
      </c>
      <c r="O114">
        <f t="shared" si="11"/>
        <v>4.4225805295436809</v>
      </c>
      <c r="Q114">
        <f t="shared" si="12"/>
        <v>4.2235316167969597</v>
      </c>
      <c r="R114">
        <f t="shared" si="13"/>
        <v>6.8297826614404729</v>
      </c>
      <c r="S114">
        <f t="shared" si="14"/>
        <v>6.7448731931696777</v>
      </c>
    </row>
    <row r="115" spans="1:19">
      <c r="A115">
        <f t="shared" si="20"/>
        <v>-3.8000000000000425</v>
      </c>
      <c r="B115">
        <f t="shared" si="17"/>
        <v>1.584893192460957E-4</v>
      </c>
      <c r="C115">
        <f t="shared" si="18"/>
        <v>7238.7299489478082</v>
      </c>
      <c r="D115">
        <f t="shared" si="18"/>
        <v>893123.39470689592</v>
      </c>
      <c r="E115">
        <f t="shared" si="19"/>
        <v>283368.50137076003</v>
      </c>
      <c r="F115">
        <f t="shared" si="15"/>
        <v>320771.043551429</v>
      </c>
      <c r="G115">
        <f t="shared" si="16"/>
        <v>40125.151930644279</v>
      </c>
      <c r="H115">
        <v>550000</v>
      </c>
      <c r="I115">
        <f t="shared" si="6"/>
        <v>6309.573444802556</v>
      </c>
      <c r="J115">
        <f t="shared" si="7"/>
        <v>1.3815375373299962E-2</v>
      </c>
      <c r="K115">
        <f t="shared" si="8"/>
        <v>2.2434245368275839E-2</v>
      </c>
      <c r="L115">
        <f t="shared" si="9"/>
        <v>1.9233400374147839E-2</v>
      </c>
      <c r="M115">
        <f t="shared" si="10"/>
        <v>2.2673327797508708E-2</v>
      </c>
      <c r="O115">
        <f t="shared" si="11"/>
        <v>4.10815432370417</v>
      </c>
      <c r="Q115">
        <f t="shared" si="12"/>
        <v>3.9232569213693971</v>
      </c>
      <c r="R115">
        <f t="shared" si="13"/>
        <v>6.4387168505002892</v>
      </c>
      <c r="S115">
        <f t="shared" si="14"/>
        <v>6.3708227998559304</v>
      </c>
    </row>
    <row r="116" spans="1:19">
      <c r="A116">
        <f t="shared" si="20"/>
        <v>-3.7800000000000424</v>
      </c>
      <c r="B116">
        <f t="shared" si="17"/>
        <v>1.6595869074373964E-4</v>
      </c>
      <c r="C116">
        <f t="shared" si="18"/>
        <v>6594.8671954702941</v>
      </c>
      <c r="D116">
        <f t="shared" si="18"/>
        <v>806024.5305455518</v>
      </c>
      <c r="E116">
        <f t="shared" si="19"/>
        <v>257987.99347463791</v>
      </c>
      <c r="F116">
        <f t="shared" si="15"/>
        <v>311834.00055571616</v>
      </c>
      <c r="G116">
        <f t="shared" si="16"/>
        <v>36569.528503633672</v>
      </c>
      <c r="H116">
        <v>500000</v>
      </c>
      <c r="I116">
        <f t="shared" si="6"/>
        <v>6025.5958607441735</v>
      </c>
      <c r="J116">
        <f t="shared" si="7"/>
        <v>1.3771143516688109E-2</v>
      </c>
      <c r="K116">
        <f t="shared" si="8"/>
        <v>2.2199758976227904E-2</v>
      </c>
      <c r="L116">
        <f t="shared" si="9"/>
        <v>1.8900546300023448E-2</v>
      </c>
      <c r="M116">
        <f t="shared" si="10"/>
        <v>2.239614746470257E-2</v>
      </c>
      <c r="O116">
        <f t="shared" si="11"/>
        <v>3.9106960655903475</v>
      </c>
      <c r="Q116">
        <f t="shared" si="12"/>
        <v>3.7346857488219802</v>
      </c>
      <c r="R116">
        <f t="shared" si="13"/>
        <v>6.0737565230934312</v>
      </c>
      <c r="S116">
        <f t="shared" si="14"/>
        <v>6.0204966548587988</v>
      </c>
    </row>
    <row r="117" spans="1:19">
      <c r="A117">
        <f t="shared" si="20"/>
        <v>-3.7600000000000424</v>
      </c>
      <c r="B117">
        <f t="shared" si="17"/>
        <v>1.7378008287492034E-4</v>
      </c>
      <c r="C117">
        <f t="shared" si="18"/>
        <v>6008.5581909243483</v>
      </c>
      <c r="D117">
        <f t="shared" si="18"/>
        <v>727763.76958619826</v>
      </c>
      <c r="E117">
        <f t="shared" si="19"/>
        <v>234916.38923775207</v>
      </c>
      <c r="F117">
        <f t="shared" si="15"/>
        <v>285222.80999097129</v>
      </c>
      <c r="G117">
        <f t="shared" si="16"/>
        <v>33330.945921276019</v>
      </c>
      <c r="H117">
        <v>460000</v>
      </c>
      <c r="I117">
        <f t="shared" si="6"/>
        <v>5754.3993733721391</v>
      </c>
      <c r="J117">
        <f t="shared" si="7"/>
        <v>1.3891777913846522E-2</v>
      </c>
      <c r="K117">
        <f t="shared" si="8"/>
        <v>2.1978114480076607E-2</v>
      </c>
      <c r="L117">
        <f t="shared" si="9"/>
        <v>1.8587438488411361E-2</v>
      </c>
      <c r="M117">
        <f t="shared" si="10"/>
        <v>2.2135236383421235E-2</v>
      </c>
      <c r="O117">
        <f t="shared" si="11"/>
        <v>3.7674013735875791</v>
      </c>
      <c r="Q117">
        <f t="shared" si="12"/>
        <v>3.5978403803431105</v>
      </c>
      <c r="R117">
        <f t="shared" si="13"/>
        <v>5.7328189222873567</v>
      </c>
      <c r="S117">
        <f t="shared" si="14"/>
        <v>5.6921258207998777</v>
      </c>
    </row>
    <row r="118" spans="1:19">
      <c r="A118">
        <f t="shared" si="20"/>
        <v>-3.7400000000000424</v>
      </c>
      <c r="B118">
        <f t="shared" si="17"/>
        <v>1.8197008586098029E-4</v>
      </c>
      <c r="C118">
        <f t="shared" si="18"/>
        <v>5474.6215444999307</v>
      </c>
      <c r="D118">
        <f t="shared" si="18"/>
        <v>657398.54371184332</v>
      </c>
      <c r="E118">
        <f t="shared" si="19"/>
        <v>213937.68281403769</v>
      </c>
      <c r="F118">
        <f t="shared" si="15"/>
        <v>244486.47833767408</v>
      </c>
      <c r="G118">
        <f t="shared" si="16"/>
        <v>30380.811066737362</v>
      </c>
      <c r="H118">
        <v>420000</v>
      </c>
      <c r="I118">
        <f t="shared" si="6"/>
        <v>5495.4087385767907</v>
      </c>
      <c r="J118">
        <f t="shared" si="7"/>
        <v>1.3907507102266068E-2</v>
      </c>
      <c r="K118">
        <f t="shared" si="8"/>
        <v>2.1768511704028166E-2</v>
      </c>
      <c r="L118">
        <f t="shared" si="9"/>
        <v>1.8292733673897672E-2</v>
      </c>
      <c r="M118">
        <f t="shared" si="10"/>
        <v>2.1889487332537511E-2</v>
      </c>
      <c r="O118">
        <f t="shared" si="11"/>
        <v>3.6019140928368323</v>
      </c>
      <c r="Q118">
        <f t="shared" si="12"/>
        <v>3.4398012541452991</v>
      </c>
      <c r="R118">
        <f t="shared" si="13"/>
        <v>5.4140174385955646</v>
      </c>
      <c r="S118">
        <f t="shared" si="14"/>
        <v>5.3840960360316465</v>
      </c>
    </row>
    <row r="119" spans="1:19">
      <c r="A119">
        <f t="shared" si="20"/>
        <v>-3.7200000000000424</v>
      </c>
      <c r="B119">
        <f t="shared" si="17"/>
        <v>1.9054607179630608E-4</v>
      </c>
      <c r="C119">
        <f t="shared" si="18"/>
        <v>4988.3470830012957</v>
      </c>
      <c r="D119">
        <f t="shared" si="18"/>
        <v>594092.88503414008</v>
      </c>
      <c r="E119">
        <f t="shared" si="19"/>
        <v>194857.06320339051</v>
      </c>
      <c r="F119">
        <f t="shared" si="15"/>
        <v>208390.78048772502</v>
      </c>
      <c r="G119">
        <f t="shared" si="16"/>
        <v>27693.162251918311</v>
      </c>
      <c r="H119">
        <v>390000</v>
      </c>
      <c r="I119">
        <f t="shared" si="6"/>
        <v>5248.0746024982391</v>
      </c>
      <c r="J119">
        <f t="shared" si="7"/>
        <v>1.4160044136031185E-2</v>
      </c>
      <c r="K119">
        <f t="shared" si="8"/>
        <v>2.1570208905091082E-2</v>
      </c>
      <c r="L119">
        <f t="shared" si="9"/>
        <v>1.8015192492365321E-2</v>
      </c>
      <c r="M119">
        <f t="shared" si="10"/>
        <v>2.165788097499605E-2</v>
      </c>
      <c r="O119">
        <f t="shared" si="11"/>
        <v>3.5022622832193191</v>
      </c>
      <c r="Q119">
        <f t="shared" si="12"/>
        <v>3.3446345147769505</v>
      </c>
      <c r="R119">
        <f t="shared" si="13"/>
        <v>5.1156405679259338</v>
      </c>
      <c r="S119">
        <f t="shared" si="14"/>
        <v>5.0949322263297416</v>
      </c>
    </row>
    <row r="120" spans="1:19">
      <c r="A120">
        <f t="shared" si="20"/>
        <v>-3.7000000000000424</v>
      </c>
      <c r="B120">
        <f t="shared" si="17"/>
        <v>1.9952623149686844E-4</v>
      </c>
      <c r="C120">
        <f t="shared" si="18"/>
        <v>4545.4523830154931</v>
      </c>
      <c r="D120">
        <f t="shared" si="18"/>
        <v>537104.56255908171</v>
      </c>
      <c r="E120">
        <f t="shared" si="19"/>
        <v>177498.67452388696</v>
      </c>
      <c r="F120">
        <f t="shared" si="15"/>
        <v>188067.00786416265</v>
      </c>
      <c r="G120">
        <f t="shared" si="16"/>
        <v>25244.418657942435</v>
      </c>
      <c r="H120">
        <v>360000</v>
      </c>
      <c r="I120">
        <f t="shared" ref="I120:I183" si="21">1/$B120</f>
        <v>5011.8723362732135</v>
      </c>
      <c r="J120">
        <f t="shared" ref="J120:J183" si="22">+$H120*$B120*$B120</f>
        <v>1.4331858139923097E-2</v>
      </c>
      <c r="K120">
        <f t="shared" ref="K120:K183" si="23">+$D120*$B120*$B120</f>
        <v>2.1382517769172802E-2</v>
      </c>
      <c r="L120">
        <f t="shared" ref="L120:L183" si="24">+$L$1/(EXP(+$L$2*$I120)+$L$3*EXP(-$L$2*$I120))</f>
        <v>1.7753670792450403E-2</v>
      </c>
      <c r="M120">
        <f t="shared" ref="M120:M183" si="25">+$M$1/(1+$M$2*(($I120-$M$3)^2))</f>
        <v>2.1439477985417638E-2</v>
      </c>
      <c r="O120">
        <f t="shared" ref="O120:O183" si="26">+($B121-$B120)*$H120</f>
        <v>3.3852173718653984</v>
      </c>
      <c r="Q120">
        <f t="shared" ref="Q120:Q183" si="27">+$J120*($I120-$I121)</f>
        <v>3.2328574922024331</v>
      </c>
      <c r="R120">
        <f t="shared" ref="R120:R183" si="28">+$M120*($I120-$I121)</f>
        <v>4.8361333441469894</v>
      </c>
      <c r="S120">
        <f t="shared" ref="S120:S183" si="29">+$K120*($I120-$I121)</f>
        <v>4.8232847476812157</v>
      </c>
    </row>
    <row r="121" spans="1:19">
      <c r="A121">
        <f t="shared" si="20"/>
        <v>-3.6800000000000423</v>
      </c>
      <c r="B121">
        <f t="shared" si="17"/>
        <v>2.0892961308538344E-4</v>
      </c>
      <c r="C121">
        <f t="shared" si="18"/>
        <v>4142.0433917018408</v>
      </c>
      <c r="D121">
        <f t="shared" si="18"/>
        <v>485773.87880320114</v>
      </c>
      <c r="E121">
        <f t="shared" si="19"/>
        <v>161703.63800825481</v>
      </c>
      <c r="F121">
        <f t="shared" si="15"/>
        <v>181709.72190854032</v>
      </c>
      <c r="G121">
        <f t="shared" si="16"/>
        <v>23013.154920716774</v>
      </c>
      <c r="H121">
        <v>340000</v>
      </c>
      <c r="I121">
        <f t="shared" si="21"/>
        <v>4786.3009232268532</v>
      </c>
      <c r="J121">
        <f t="shared" si="22"/>
        <v>1.4841538296162728E-2</v>
      </c>
      <c r="K121">
        <f t="shared" si="23"/>
        <v>2.1204798898627124E-2</v>
      </c>
      <c r="L121">
        <f t="shared" si="24"/>
        <v>1.7507111655480159E-2</v>
      </c>
      <c r="M121">
        <f t="shared" si="25"/>
        <v>2.1233411925706363E-2</v>
      </c>
      <c r="O121">
        <f t="shared" si="26"/>
        <v>3.3478267652471043</v>
      </c>
      <c r="Q121">
        <f t="shared" si="27"/>
        <v>3.1971497400951097</v>
      </c>
      <c r="R121">
        <f t="shared" si="28"/>
        <v>4.574080938574709</v>
      </c>
      <c r="S121">
        <f t="shared" si="29"/>
        <v>4.5679171481195535</v>
      </c>
    </row>
    <row r="122" spans="1:19">
      <c r="A122">
        <f t="shared" si="20"/>
        <v>-3.6600000000000423</v>
      </c>
      <c r="B122">
        <f t="shared" si="17"/>
        <v>2.1877616239493374E-4</v>
      </c>
      <c r="C122">
        <f t="shared" si="18"/>
        <v>3774.578741524695</v>
      </c>
      <c r="D122">
        <f t="shared" si="18"/>
        <v>439513.89757438592</v>
      </c>
      <c r="E122">
        <f t="shared" si="19"/>
        <v>147328.30143270674</v>
      </c>
      <c r="F122">
        <f t="shared" si="15"/>
        <v>176810.22328448624</v>
      </c>
      <c r="G122">
        <f t="shared" si="16"/>
        <v>20979.89815268448</v>
      </c>
      <c r="H122">
        <v>320000</v>
      </c>
      <c r="I122">
        <f t="shared" si="21"/>
        <v>4570.8818961491997</v>
      </c>
      <c r="J122">
        <f t="shared" si="22"/>
        <v>1.5316162954321417E-2</v>
      </c>
      <c r="K122">
        <f t="shared" si="23"/>
        <v>2.103645773730696E-2</v>
      </c>
      <c r="L122">
        <f t="shared" si="24"/>
        <v>1.7274538082922484E-2</v>
      </c>
      <c r="M122">
        <f t="shared" si="25"/>
        <v>2.1038882800761136E-2</v>
      </c>
      <c r="O122">
        <f t="shared" si="26"/>
        <v>3.2993929221827174</v>
      </c>
      <c r="Q122">
        <f t="shared" si="27"/>
        <v>3.1508957790560976</v>
      </c>
      <c r="R122">
        <f t="shared" si="28"/>
        <v>4.3281941574191896</v>
      </c>
      <c r="S122">
        <f t="shared" si="29"/>
        <v>4.3276952646988329</v>
      </c>
    </row>
    <row r="123" spans="1:19">
      <c r="A123">
        <f t="shared" si="20"/>
        <v>-3.6400000000000423</v>
      </c>
      <c r="B123">
        <f t="shared" si="17"/>
        <v>2.2908676527675474E-4</v>
      </c>
      <c r="C123">
        <f t="shared" si="18"/>
        <v>3439.8374036330101</v>
      </c>
      <c r="D123">
        <f t="shared" si="18"/>
        <v>397801.90768895257</v>
      </c>
      <c r="E123">
        <f t="shared" si="19"/>
        <v>134242.68669185563</v>
      </c>
      <c r="F123">
        <f t="shared" si="15"/>
        <v>159220.28508392771</v>
      </c>
      <c r="G123">
        <f t="shared" si="16"/>
        <v>19126.945007630795</v>
      </c>
      <c r="H123">
        <v>290000</v>
      </c>
      <c r="I123">
        <f t="shared" si="21"/>
        <v>4365.1583224020897</v>
      </c>
      <c r="J123">
        <f t="shared" si="22"/>
        <v>1.5219416347240406E-2</v>
      </c>
      <c r="K123">
        <f t="shared" si="23"/>
        <v>2.0876940885671255E-2</v>
      </c>
      <c r="L123">
        <f t="shared" si="24"/>
        <v>1.7055046307167719E-2</v>
      </c>
      <c r="M123">
        <f t="shared" si="25"/>
        <v>2.0855151230592041E-2</v>
      </c>
      <c r="O123">
        <f t="shared" si="26"/>
        <v>3.1309927212994952</v>
      </c>
      <c r="Q123">
        <f t="shared" si="27"/>
        <v>2.9900748357280955</v>
      </c>
      <c r="R123">
        <f t="shared" si="28"/>
        <v>4.0972966023893527</v>
      </c>
      <c r="S123">
        <f t="shared" si="29"/>
        <v>4.1015774958116138</v>
      </c>
    </row>
    <row r="124" spans="1:19">
      <c r="A124">
        <f t="shared" si="20"/>
        <v>-3.6200000000000423</v>
      </c>
      <c r="B124">
        <f t="shared" si="17"/>
        <v>2.3988329190192541E-4</v>
      </c>
      <c r="C124">
        <f t="shared" si="18"/>
        <v>3134.8893598812979</v>
      </c>
      <c r="D124">
        <f t="shared" si="18"/>
        <v>360171.95573971624</v>
      </c>
      <c r="E124">
        <f t="shared" si="19"/>
        <v>122329.11044148391</v>
      </c>
      <c r="F124">
        <f t="shared" si="15"/>
        <v>135133.10626972627</v>
      </c>
      <c r="G124">
        <f t="shared" si="16"/>
        <v>17438.196671857087</v>
      </c>
      <c r="H124">
        <v>260000</v>
      </c>
      <c r="I124">
        <f t="shared" si="21"/>
        <v>4168.6938347037649</v>
      </c>
      <c r="J124">
        <f t="shared" si="22"/>
        <v>1.4961438370763131E-2</v>
      </c>
      <c r="K124">
        <f t="shared" si="23"/>
        <v>2.0725732764142274E-2</v>
      </c>
      <c r="L124">
        <f t="shared" si="24"/>
        <v>1.6847799680429029E-2</v>
      </c>
      <c r="M124">
        <f t="shared" si="25"/>
        <v>2.0681533179777969E-2</v>
      </c>
      <c r="O124">
        <f t="shared" si="26"/>
        <v>2.9393913247420209</v>
      </c>
      <c r="Q124">
        <f t="shared" si="27"/>
        <v>2.8070969225443569</v>
      </c>
      <c r="R124">
        <f t="shared" si="28"/>
        <v>3.8803132896568258</v>
      </c>
      <c r="S124">
        <f t="shared" si="29"/>
        <v>3.8886061097836149</v>
      </c>
    </row>
    <row r="125" spans="1:19">
      <c r="A125">
        <f t="shared" si="20"/>
        <v>-3.6000000000000423</v>
      </c>
      <c r="B125">
        <f t="shared" si="17"/>
        <v>2.5118864315093318E-4</v>
      </c>
      <c r="C125">
        <f t="shared" si="18"/>
        <v>2857.0690051312185</v>
      </c>
      <c r="D125">
        <f t="shared" si="18"/>
        <v>326208.30501290044</v>
      </c>
      <c r="E125">
        <f t="shared" si="19"/>
        <v>111480.95627714971</v>
      </c>
      <c r="F125">
        <f t="shared" si="15"/>
        <v>120147.86992183901</v>
      </c>
      <c r="G125">
        <f t="shared" si="16"/>
        <v>15899.009907215439</v>
      </c>
      <c r="H125">
        <v>240000</v>
      </c>
      <c r="I125">
        <f t="shared" si="21"/>
        <v>3981.0717055353662</v>
      </c>
      <c r="J125">
        <f t="shared" si="22"/>
        <v>1.5142976267521644E-2</v>
      </c>
      <c r="K125">
        <f t="shared" si="23"/>
        <v>2.0582352587828388E-2</v>
      </c>
      <c r="L125">
        <f t="shared" si="24"/>
        <v>1.665202309700237E-2</v>
      </c>
      <c r="M125">
        <f t="shared" si="25"/>
        <v>2.0517395189977451E-2</v>
      </c>
      <c r="O125">
        <f t="shared" si="26"/>
        <v>2.8411574492590628</v>
      </c>
      <c r="Q125">
        <f t="shared" si="27"/>
        <v>2.7132842997619746</v>
      </c>
      <c r="R125">
        <f t="shared" si="28"/>
        <v>3.6762605486199282</v>
      </c>
      <c r="S125">
        <f t="shared" si="29"/>
        <v>3.6878994685144506</v>
      </c>
    </row>
    <row r="126" spans="1:19">
      <c r="A126">
        <f t="shared" si="20"/>
        <v>-3.5800000000000423</v>
      </c>
      <c r="B126">
        <f t="shared" si="17"/>
        <v>2.6302679918951261E-4</v>
      </c>
      <c r="C126">
        <f t="shared" si="18"/>
        <v>2603.9510198659955</v>
      </c>
      <c r="D126">
        <f t="shared" si="18"/>
        <v>295539.69798236451</v>
      </c>
      <c r="E126">
        <f t="shared" si="19"/>
        <v>101601.5799124265</v>
      </c>
      <c r="F126">
        <f t="shared" si="15"/>
        <v>116215.52247306261</v>
      </c>
      <c r="G126">
        <f t="shared" si="16"/>
        <v>14496.062483810145</v>
      </c>
      <c r="H126">
        <v>220000</v>
      </c>
      <c r="I126">
        <f t="shared" si="21"/>
        <v>3801.8939632059819</v>
      </c>
      <c r="J126">
        <f t="shared" si="22"/>
        <v>1.5220281360213642E-2</v>
      </c>
      <c r="K126">
        <f t="shared" si="23"/>
        <v>2.0446351620018875E-2</v>
      </c>
      <c r="L126">
        <f t="shared" si="24"/>
        <v>1.6466997905572187E-2</v>
      </c>
      <c r="M126">
        <f t="shared" si="25"/>
        <v>2.0362150065921528E-2</v>
      </c>
      <c r="O126">
        <f t="shared" si="26"/>
        <v>2.727135651740991</v>
      </c>
      <c r="Q126">
        <f t="shared" si="27"/>
        <v>2.6043943284873867</v>
      </c>
      <c r="R126">
        <f t="shared" si="28"/>
        <v>3.4842370447973581</v>
      </c>
      <c r="S126">
        <f t="shared" si="29"/>
        <v>3.4986450603097521</v>
      </c>
    </row>
    <row r="127" spans="1:19">
      <c r="A127">
        <f t="shared" si="20"/>
        <v>-3.5600000000000422</v>
      </c>
      <c r="B127">
        <f t="shared" si="17"/>
        <v>2.7542287033378984E-4</v>
      </c>
      <c r="C127">
        <f t="shared" si="18"/>
        <v>2373.3284786404565</v>
      </c>
      <c r="D127">
        <f t="shared" si="18"/>
        <v>267834.31707468245</v>
      </c>
      <c r="E127">
        <f t="shared" si="19"/>
        <v>92603.331357678035</v>
      </c>
      <c r="F127">
        <f t="shared" si="15"/>
        <v>110954.74653140467</v>
      </c>
      <c r="G127">
        <f t="shared" si="16"/>
        <v>13217.231526478037</v>
      </c>
      <c r="H127">
        <v>200000</v>
      </c>
      <c r="I127">
        <f t="shared" si="21"/>
        <v>3630.7805477013667</v>
      </c>
      <c r="J127">
        <f t="shared" si="22"/>
        <v>1.5171551500580721E-2</v>
      </c>
      <c r="K127">
        <f t="shared" si="23"/>
        <v>2.0317310675607055E-2</v>
      </c>
      <c r="L127">
        <f t="shared" si="24"/>
        <v>1.6292057270323474E-2</v>
      </c>
      <c r="M127">
        <f t="shared" si="25"/>
        <v>2.0215252969852007E-2</v>
      </c>
      <c r="O127">
        <f t="shared" si="26"/>
        <v>2.5960559957685256</v>
      </c>
      <c r="Q127">
        <f t="shared" si="27"/>
        <v>2.4792142288554335</v>
      </c>
      <c r="R127">
        <f t="shared" si="28"/>
        <v>3.3034157911173949</v>
      </c>
      <c r="S127">
        <f t="shared" si="29"/>
        <v>3.3200932493366526</v>
      </c>
    </row>
    <row r="128" spans="1:19">
      <c r="A128">
        <f t="shared" si="20"/>
        <v>-3.5400000000000422</v>
      </c>
      <c r="B128">
        <f t="shared" si="17"/>
        <v>2.8840315031263247E-4</v>
      </c>
      <c r="C128">
        <f t="shared" si="18"/>
        <v>2163.192982787436</v>
      </c>
      <c r="D128">
        <f t="shared" si="18"/>
        <v>242795.35308579041</v>
      </c>
      <c r="E128">
        <f t="shared" si="19"/>
        <v>84406.680254219798</v>
      </c>
      <c r="F128">
        <f t="shared" si="15"/>
        <v>95944.23885134155</v>
      </c>
      <c r="G128">
        <f t="shared" si="16"/>
        <v>12051.48346281743</v>
      </c>
      <c r="H128">
        <v>180000</v>
      </c>
      <c r="I128">
        <f t="shared" si="21"/>
        <v>3467.3685045256548</v>
      </c>
      <c r="J128">
        <f t="shared" si="22"/>
        <v>1.4971747879845157E-2</v>
      </c>
      <c r="K128">
        <f t="shared" si="23"/>
        <v>2.019483784888022E-2</v>
      </c>
      <c r="L128">
        <f t="shared" si="24"/>
        <v>1.6126581942064389E-2</v>
      </c>
      <c r="M128">
        <f t="shared" si="25"/>
        <v>2.0076197883645078E-2</v>
      </c>
      <c r="O128">
        <f t="shared" si="26"/>
        <v>2.4465639109571322</v>
      </c>
      <c r="Q128">
        <f t="shared" si="27"/>
        <v>2.3364503961916716</v>
      </c>
      <c r="R128">
        <f t="shared" si="28"/>
        <v>3.1330370291908811</v>
      </c>
      <c r="S128">
        <f t="shared" si="29"/>
        <v>3.1515516606155107</v>
      </c>
    </row>
    <row r="129" spans="1:19">
      <c r="A129">
        <f t="shared" si="20"/>
        <v>-3.5200000000000422</v>
      </c>
      <c r="B129">
        <f t="shared" si="17"/>
        <v>3.0199517204017209E-4</v>
      </c>
      <c r="C129">
        <f t="shared" si="18"/>
        <v>1971.7166263825868</v>
      </c>
      <c r="D129">
        <f t="shared" si="18"/>
        <v>220157.10314556354</v>
      </c>
      <c r="E129">
        <f t="shared" si="19"/>
        <v>76939.432351970419</v>
      </c>
      <c r="F129">
        <f t="shared" si="15"/>
        <v>83759.272306477302</v>
      </c>
      <c r="G129">
        <f t="shared" si="16"/>
        <v>10988.774404475767</v>
      </c>
      <c r="H129">
        <v>160000</v>
      </c>
      <c r="I129">
        <f t="shared" si="21"/>
        <v>3311.3112148262348</v>
      </c>
      <c r="J129">
        <f t="shared" si="22"/>
        <v>1.4592173429691702E-2</v>
      </c>
      <c r="K129">
        <f t="shared" si="23"/>
        <v>2.0078566442991174E-2</v>
      </c>
      <c r="L129">
        <f t="shared" si="24"/>
        <v>1.5969996403193621E-2</v>
      </c>
      <c r="M129">
        <f t="shared" si="25"/>
        <v>1.9944514401838982E-2</v>
      </c>
      <c r="O129">
        <f t="shared" si="26"/>
        <v>2.2772150362615746</v>
      </c>
      <c r="Q129">
        <f t="shared" si="27"/>
        <v>2.1747234764063439</v>
      </c>
      <c r="R129">
        <f t="shared" si="28"/>
        <v>2.9724018772246765</v>
      </c>
      <c r="S129">
        <f t="shared" si="29"/>
        <v>2.9923801294266874</v>
      </c>
    </row>
    <row r="130" spans="1:19">
      <c r="A130">
        <f t="shared" si="20"/>
        <v>-3.5000000000000422</v>
      </c>
      <c r="B130">
        <f t="shared" si="17"/>
        <v>3.1622776601680693E-4</v>
      </c>
      <c r="C130">
        <f t="shared" si="18"/>
        <v>1797.2356229777367</v>
      </c>
      <c r="D130">
        <f t="shared" si="18"/>
        <v>199681.53080955916</v>
      </c>
      <c r="E130">
        <f t="shared" si="19"/>
        <v>70136.026682861615</v>
      </c>
      <c r="F130">
        <f t="shared" si="15"/>
        <v>80722.197926502136</v>
      </c>
      <c r="G130">
        <f t="shared" si="16"/>
        <v>10019.959920162288</v>
      </c>
      <c r="H130">
        <v>140000</v>
      </c>
      <c r="I130">
        <f t="shared" si="21"/>
        <v>3162.2776601686892</v>
      </c>
      <c r="J130">
        <f t="shared" si="22"/>
        <v>1.3999999999997254E-2</v>
      </c>
      <c r="K130">
        <f t="shared" si="23"/>
        <v>1.9968153080952001E-2</v>
      </c>
      <c r="L130">
        <f t="shared" si="24"/>
        <v>1.5821765353032775E-2</v>
      </c>
      <c r="M130">
        <f t="shared" si="25"/>
        <v>1.9819764822448262E-2</v>
      </c>
      <c r="O130">
        <f t="shared" si="26"/>
        <v>2.0864697652052304</v>
      </c>
      <c r="Q130">
        <f t="shared" si="27"/>
        <v>1.9925631567288795</v>
      </c>
      <c r="R130">
        <f t="shared" si="28"/>
        <v>2.8208666543035181</v>
      </c>
      <c r="S130">
        <f t="shared" si="29"/>
        <v>2.8419861526453589</v>
      </c>
    </row>
    <row r="131" spans="1:19">
      <c r="A131">
        <f t="shared" si="20"/>
        <v>-3.4800000000000422</v>
      </c>
      <c r="B131">
        <f t="shared" si="17"/>
        <v>3.3113112148255858E-4</v>
      </c>
      <c r="C131">
        <f t="shared" si="18"/>
        <v>1638.2354372664765</v>
      </c>
      <c r="D131">
        <f t="shared" si="18"/>
        <v>181155.2299907314</v>
      </c>
      <c r="E131">
        <f t="shared" si="19"/>
        <v>63936.904320241025</v>
      </c>
      <c r="F131">
        <f t="shared" si="15"/>
        <v>75786.346403595177</v>
      </c>
      <c r="G131">
        <f t="shared" si="16"/>
        <v>9136.7132706346074</v>
      </c>
      <c r="H131">
        <v>125000</v>
      </c>
      <c r="I131">
        <f t="shared" si="21"/>
        <v>3019.9517204023127</v>
      </c>
      <c r="J131">
        <f t="shared" si="22"/>
        <v>1.3705977451787121E-2</v>
      </c>
      <c r="K131">
        <f t="shared" si="23"/>
        <v>1.9863275980210197E-2</v>
      </c>
      <c r="L131">
        <f t="shared" si="24"/>
        <v>1.5681390502699528E-2</v>
      </c>
      <c r="M131">
        <f t="shared" si="25"/>
        <v>1.9701541505795499E-2</v>
      </c>
      <c r="O131">
        <f t="shared" si="26"/>
        <v>1.9507161212424109</v>
      </c>
      <c r="Q131">
        <f t="shared" si="27"/>
        <v>1.862919433218992</v>
      </c>
      <c r="R131">
        <f t="shared" si="28"/>
        <v>2.6778378021285434</v>
      </c>
      <c r="S131">
        <f t="shared" si="29"/>
        <v>2.699820787031916</v>
      </c>
    </row>
    <row r="132" spans="1:19">
      <c r="A132">
        <f t="shared" si="20"/>
        <v>-3.4600000000000422</v>
      </c>
      <c r="B132">
        <f t="shared" si="17"/>
        <v>3.4673685045249786E-4</v>
      </c>
      <c r="C132">
        <f t="shared" si="18"/>
        <v>1493.3372808375414</v>
      </c>
      <c r="D132">
        <f t="shared" si="18"/>
        <v>164386.74226536037</v>
      </c>
      <c r="E132">
        <f t="shared" si="19"/>
        <v>58287.940761834674</v>
      </c>
      <c r="F132">
        <f t="shared" si="15"/>
        <v>64711.709725650224</v>
      </c>
      <c r="G132">
        <f t="shared" si="16"/>
        <v>8331.4512746226137</v>
      </c>
      <c r="H132">
        <v>110000</v>
      </c>
      <c r="I132">
        <f t="shared" si="21"/>
        <v>2884.0315031268869</v>
      </c>
      <c r="J132">
        <f t="shared" si="22"/>
        <v>1.3224908780788967E-2</v>
      </c>
      <c r="K132">
        <f t="shared" si="23"/>
        <v>1.9763633374822336E-2</v>
      </c>
      <c r="L132">
        <f t="shared" si="24"/>
        <v>1.5548407651263011E-2</v>
      </c>
      <c r="M132">
        <f t="shared" si="25"/>
        <v>1.9589464474633569E-2</v>
      </c>
      <c r="O132">
        <f t="shared" si="26"/>
        <v>1.7975324749324832</v>
      </c>
      <c r="Q132">
        <f t="shared" si="27"/>
        <v>1.716630186693284</v>
      </c>
      <c r="R132">
        <f t="shared" si="28"/>
        <v>2.5427673351638438</v>
      </c>
      <c r="S132">
        <f t="shared" si="29"/>
        <v>2.5653749460444208</v>
      </c>
    </row>
    <row r="133" spans="1:19">
      <c r="A133">
        <f t="shared" si="20"/>
        <v>-3.4400000000000421</v>
      </c>
      <c r="B133">
        <f t="shared" si="17"/>
        <v>3.6307805477006589E-4</v>
      </c>
      <c r="C133">
        <f t="shared" si="18"/>
        <v>1361.2858446745261</v>
      </c>
      <c r="D133">
        <f t="shared" si="18"/>
        <v>149204.18379583809</v>
      </c>
      <c r="E133">
        <f t="shared" si="19"/>
        <v>53139.934960180712</v>
      </c>
      <c r="F133">
        <f t="shared" ref="F133:F196" si="30">+I/(($B133-alpha*SIN($B133*L))^2+alpha^2*(1+COS($B133*L))^2)</f>
        <v>59677.773694951342</v>
      </c>
      <c r="G133">
        <f t="shared" ref="G133:G196" si="31">+Int*($B133^2+2*beta^2)/(4*(beta*$B133)^2+($B133^2-2*beta^2)^2)</f>
        <v>7597.267061956537</v>
      </c>
      <c r="H133">
        <v>103000</v>
      </c>
      <c r="I133">
        <f t="shared" si="21"/>
        <v>2754.2287033384355</v>
      </c>
      <c r="J133">
        <f t="shared" si="22"/>
        <v>1.3578044407128342E-2</v>
      </c>
      <c r="K133">
        <f t="shared" si="23"/>
        <v>1.9668942070963383E-2</v>
      </c>
      <c r="L133">
        <f t="shared" si="24"/>
        <v>1.5422384017361996E-2</v>
      </c>
      <c r="M133">
        <f t="shared" si="25"/>
        <v>1.9483179231582794E-2</v>
      </c>
      <c r="O133">
        <f t="shared" si="26"/>
        <v>1.7624681796971788</v>
      </c>
      <c r="Q133">
        <f t="shared" si="27"/>
        <v>1.6831440447095045</v>
      </c>
      <c r="R133">
        <f t="shared" si="28"/>
        <v>2.415148758714508</v>
      </c>
      <c r="S133">
        <f t="shared" si="29"/>
        <v>2.4381760524437595</v>
      </c>
    </row>
    <row r="134" spans="1:19">
      <c r="A134">
        <f t="shared" si="20"/>
        <v>-3.4200000000000421</v>
      </c>
      <c r="B134">
        <f t="shared" ref="B134:B197" si="32">10^$A134</f>
        <v>3.8018939632052394E-4</v>
      </c>
      <c r="C134">
        <f t="shared" ref="C134:D197" si="33">+C$1*EXP(-ABS(C$3/$B134-1/C$2))/$B134/$B134</f>
        <v>1240.9381532281516</v>
      </c>
      <c r="D134">
        <f t="shared" si="33"/>
        <v>135453.14387559152</v>
      </c>
      <c r="E134">
        <f t="shared" ref="E134:E197" si="34">$E$2/(1+$E$1^2-2*$E$1*($E$3*$B134)+($E$3*$B134)^2)+$E$2/(1+$E$1^2+2*$E$1*($E$3*$B134)+($E$3*$B134)^2)</f>
        <v>48448.148874512684</v>
      </c>
      <c r="F134">
        <f t="shared" si="30"/>
        <v>57419.534728337007</v>
      </c>
      <c r="G134">
        <f t="shared" si="31"/>
        <v>6927.8690474907689</v>
      </c>
      <c r="H134">
        <v>94000</v>
      </c>
      <c r="I134">
        <f t="shared" si="21"/>
        <v>2630.2679918956396</v>
      </c>
      <c r="J134">
        <f t="shared" si="22"/>
        <v>1.3587133845009054E-2</v>
      </c>
      <c r="K134">
        <f t="shared" si="23"/>
        <v>1.9578936123031177E-2</v>
      </c>
      <c r="L134">
        <f t="shared" si="24"/>
        <v>1.5302915802757638E-2</v>
      </c>
      <c r="M134">
        <f t="shared" si="25"/>
        <v>1.9382354772386937E-2</v>
      </c>
      <c r="O134">
        <f t="shared" si="26"/>
        <v>1.6842707778958166</v>
      </c>
      <c r="Q134">
        <f t="shared" si="27"/>
        <v>1.6084661057430618</v>
      </c>
      <c r="R134">
        <f t="shared" si="28"/>
        <v>2.2945134019065732</v>
      </c>
      <c r="S134">
        <f t="shared" si="29"/>
        <v>2.3177850089385892</v>
      </c>
    </row>
    <row r="135" spans="1:19">
      <c r="A135">
        <f t="shared" ref="A135:A162" si="35">+$A134+$A$1</f>
        <v>-3.4000000000000421</v>
      </c>
      <c r="B135">
        <f t="shared" si="32"/>
        <v>3.9810717055345816E-4</v>
      </c>
      <c r="C135">
        <f t="shared" si="33"/>
        <v>1131.2534358569724</v>
      </c>
      <c r="D135">
        <f t="shared" si="33"/>
        <v>122994.82205916953</v>
      </c>
      <c r="E135">
        <f t="shared" si="34"/>
        <v>44171.892152529603</v>
      </c>
      <c r="F135">
        <f t="shared" si="30"/>
        <v>49420.031295287037</v>
      </c>
      <c r="G135">
        <f t="shared" si="31"/>
        <v>6317.5255280053907</v>
      </c>
      <c r="H135">
        <v>88000</v>
      </c>
      <c r="I135">
        <f t="shared" si="21"/>
        <v>2511.8864315098267</v>
      </c>
      <c r="J135">
        <f t="shared" si="22"/>
        <v>1.394706009365506E-2</v>
      </c>
      <c r="K135">
        <f t="shared" si="23"/>
        <v>1.9493365618950549E-2</v>
      </c>
      <c r="L135">
        <f t="shared" si="24"/>
        <v>1.5189625966424586E-2</v>
      </c>
      <c r="M135">
        <f t="shared" si="25"/>
        <v>1.9286681775721331E-2</v>
      </c>
      <c r="O135">
        <f t="shared" si="26"/>
        <v>1.6510747366816239</v>
      </c>
      <c r="Q135">
        <f t="shared" si="27"/>
        <v>1.5767641324982431</v>
      </c>
      <c r="R135">
        <f t="shared" si="28"/>
        <v>2.1804271190241447</v>
      </c>
      <c r="S135">
        <f t="shared" si="29"/>
        <v>2.2037934534761616</v>
      </c>
    </row>
    <row r="136" spans="1:19">
      <c r="A136">
        <f t="shared" si="35"/>
        <v>-3.3800000000000421</v>
      </c>
      <c r="B136">
        <f t="shared" si="32"/>
        <v>4.1686938347029479E-4</v>
      </c>
      <c r="C136">
        <f t="shared" si="33"/>
        <v>1031.2839213262423</v>
      </c>
      <c r="D136">
        <f t="shared" si="33"/>
        <v>111704.37511211168</v>
      </c>
      <c r="E136">
        <f t="shared" si="34"/>
        <v>40274.147186624527</v>
      </c>
      <c r="F136">
        <f t="shared" si="30"/>
        <v>45618.597429556256</v>
      </c>
      <c r="G136">
        <f t="shared" si="31"/>
        <v>5761.0143651977532</v>
      </c>
      <c r="H136">
        <v>84000</v>
      </c>
      <c r="I136">
        <f t="shared" si="21"/>
        <v>2398.8329190197242</v>
      </c>
      <c r="J136">
        <f t="shared" si="22"/>
        <v>1.4597526961491912E-2</v>
      </c>
      <c r="K136">
        <f t="shared" si="23"/>
        <v>1.9411995564472095E-2</v>
      </c>
      <c r="L136">
        <f t="shared" si="24"/>
        <v>1.5082162189755133E-2</v>
      </c>
      <c r="M136">
        <f t="shared" si="25"/>
        <v>1.9195870952285581E-2</v>
      </c>
      <c r="O136">
        <f t="shared" si="26"/>
        <v>1.6503016966655977</v>
      </c>
      <c r="Q136">
        <f t="shared" si="27"/>
        <v>1.576025885014243</v>
      </c>
      <c r="R136">
        <f t="shared" si="28"/>
        <v>2.0724873182973123</v>
      </c>
      <c r="S136">
        <f t="shared" si="29"/>
        <v>2.0958212695955805</v>
      </c>
    </row>
    <row r="137" spans="1:19">
      <c r="A137">
        <f t="shared" si="35"/>
        <v>-3.3600000000000421</v>
      </c>
      <c r="B137">
        <f t="shared" si="32"/>
        <v>4.3651583224012334E-4</v>
      </c>
      <c r="C137">
        <f t="shared" si="33"/>
        <v>940.16646998228418</v>
      </c>
      <c r="D137">
        <f t="shared" si="33"/>
        <v>101469.44870102782</v>
      </c>
      <c r="E137">
        <f t="shared" si="34"/>
        <v>36721.230341484959</v>
      </c>
      <c r="F137">
        <f t="shared" si="30"/>
        <v>43157.089776324792</v>
      </c>
      <c r="G137">
        <f t="shared" si="31"/>
        <v>5253.5772720841014</v>
      </c>
      <c r="H137">
        <v>80000</v>
      </c>
      <c r="I137">
        <f t="shared" si="21"/>
        <v>2290.8676527679968</v>
      </c>
      <c r="J137">
        <f t="shared" si="22"/>
        <v>1.5243685743703002E-2</v>
      </c>
      <c r="K137">
        <f t="shared" si="23"/>
        <v>1.9334604857315758E-2</v>
      </c>
      <c r="L137">
        <f t="shared" si="24"/>
        <v>1.4980195015261573E-2</v>
      </c>
      <c r="M137">
        <f t="shared" si="25"/>
        <v>1.9109651537704365E-2</v>
      </c>
      <c r="O137">
        <f t="shared" si="26"/>
        <v>1.6457885899765585</v>
      </c>
      <c r="Q137">
        <f t="shared" si="27"/>
        <v>1.5717159015862872</v>
      </c>
      <c r="R137">
        <f t="shared" si="28"/>
        <v>1.9703202821528842</v>
      </c>
      <c r="S137">
        <f t="shared" si="29"/>
        <v>1.993514325607493</v>
      </c>
    </row>
    <row r="138" spans="1:19">
      <c r="A138">
        <f t="shared" si="35"/>
        <v>-3.340000000000042</v>
      </c>
      <c r="B138">
        <f t="shared" si="32"/>
        <v>4.5708818961483032E-4</v>
      </c>
      <c r="C138">
        <f t="shared" si="33"/>
        <v>857.1149662786587</v>
      </c>
      <c r="D138">
        <f t="shared" si="33"/>
        <v>92188.871929210261</v>
      </c>
      <c r="E138">
        <f t="shared" si="34"/>
        <v>33482.485630717812</v>
      </c>
      <c r="F138">
        <f t="shared" si="30"/>
        <v>37146.647928539183</v>
      </c>
      <c r="G138">
        <f t="shared" si="31"/>
        <v>4790.8782684256348</v>
      </c>
      <c r="H138">
        <v>70000</v>
      </c>
      <c r="I138">
        <f t="shared" si="21"/>
        <v>2187.7616239497665</v>
      </c>
      <c r="J138">
        <f t="shared" si="22"/>
        <v>1.4625072915975415E-2</v>
      </c>
      <c r="K138">
        <f t="shared" si="23"/>
        <v>1.9260985342945989E-2</v>
      </c>
      <c r="L138">
        <f t="shared" si="24"/>
        <v>1.4883416142819328E-2</v>
      </c>
      <c r="M138">
        <f t="shared" si="25"/>
        <v>1.902776991536196E-2</v>
      </c>
      <c r="O138">
        <f t="shared" si="26"/>
        <v>1.5079331895433119</v>
      </c>
      <c r="Q138">
        <f t="shared" si="27"/>
        <v>1.4400650162295179</v>
      </c>
      <c r="R138">
        <f t="shared" si="28"/>
        <v>1.8735787472242995</v>
      </c>
      <c r="S138">
        <f t="shared" si="29"/>
        <v>1.8965424192988445</v>
      </c>
    </row>
    <row r="139" spans="1:19">
      <c r="A139">
        <f t="shared" si="35"/>
        <v>-3.320000000000042</v>
      </c>
      <c r="B139">
        <f t="shared" si="32"/>
        <v>4.7863009232259192E-4</v>
      </c>
      <c r="C139">
        <f t="shared" si="33"/>
        <v>781.41340160838342</v>
      </c>
      <c r="D139">
        <f t="shared" si="33"/>
        <v>83771.495579044349</v>
      </c>
      <c r="E139">
        <f t="shared" si="34"/>
        <v>30530.007539582937</v>
      </c>
      <c r="F139">
        <f t="shared" si="30"/>
        <v>35705.904813763445</v>
      </c>
      <c r="G139">
        <f t="shared" si="31"/>
        <v>4368.9659138812631</v>
      </c>
      <c r="H139">
        <v>65000</v>
      </c>
      <c r="I139">
        <f t="shared" si="21"/>
        <v>2089.2961308542422</v>
      </c>
      <c r="J139">
        <f t="shared" si="22"/>
        <v>1.4890639742987636E-2</v>
      </c>
      <c r="K139">
        <f t="shared" si="23"/>
        <v>1.91909409445974E-2</v>
      </c>
      <c r="L139">
        <f t="shared" si="24"/>
        <v>1.4791536869004085E-2</v>
      </c>
      <c r="M139">
        <f t="shared" si="25"/>
        <v>1.8949988356728335E-2</v>
      </c>
      <c r="O139">
        <f t="shared" si="26"/>
        <v>1.4662141848010544</v>
      </c>
      <c r="Q139">
        <f t="shared" si="27"/>
        <v>1.4002236760044713</v>
      </c>
      <c r="R139">
        <f t="shared" si="28"/>
        <v>1.7819397161626782</v>
      </c>
      <c r="S139">
        <f t="shared" si="29"/>
        <v>1.8045974074474127</v>
      </c>
    </row>
    <row r="140" spans="1:19">
      <c r="A140">
        <f t="shared" si="35"/>
        <v>-3.300000000000042</v>
      </c>
      <c r="B140">
        <f t="shared" si="32"/>
        <v>5.0118723362722352E-4</v>
      </c>
      <c r="C140">
        <f t="shared" si="33"/>
        <v>712.40958397143493</v>
      </c>
      <c r="D140">
        <f t="shared" si="33"/>
        <v>76135.157310518276</v>
      </c>
      <c r="E140">
        <f t="shared" si="34"/>
        <v>27838.390057709163</v>
      </c>
      <c r="F140">
        <f t="shared" si="30"/>
        <v>31463.308627433755</v>
      </c>
      <c r="G140">
        <f t="shared" si="31"/>
        <v>3984.2389660833855</v>
      </c>
      <c r="H140">
        <v>64000</v>
      </c>
      <c r="I140">
        <f t="shared" si="21"/>
        <v>1995.2623149690737</v>
      </c>
      <c r="J140">
        <f t="shared" si="22"/>
        <v>1.6076073161658183E-2</v>
      </c>
      <c r="K140">
        <f t="shared" si="23"/>
        <v>1.9124286860910108E-2</v>
      </c>
      <c r="L140">
        <f t="shared" si="24"/>
        <v>1.4704286656450242E-2</v>
      </c>
      <c r="M140">
        <f t="shared" si="25"/>
        <v>1.8876083868014416E-2</v>
      </c>
      <c r="O140">
        <f t="shared" si="26"/>
        <v>1.5116945038398666</v>
      </c>
      <c r="Q140">
        <f t="shared" si="27"/>
        <v>1.4436570434964262</v>
      </c>
      <c r="R140">
        <f t="shared" si="28"/>
        <v>1.6951024765601082</v>
      </c>
      <c r="S140">
        <f t="shared" si="29"/>
        <v>1.7173915017037211</v>
      </c>
    </row>
    <row r="141" spans="1:19">
      <c r="A141">
        <f t="shared" si="35"/>
        <v>-3.280000000000042</v>
      </c>
      <c r="B141">
        <f t="shared" si="32"/>
        <v>5.2480746024972144E-4</v>
      </c>
      <c r="C141">
        <f t="shared" si="33"/>
        <v>649.50941694911091</v>
      </c>
      <c r="D141">
        <f t="shared" si="33"/>
        <v>69205.759137195317</v>
      </c>
      <c r="E141">
        <f t="shared" si="34"/>
        <v>25384.499307167309</v>
      </c>
      <c r="F141">
        <f t="shared" si="30"/>
        <v>29137.96372924139</v>
      </c>
      <c r="G141">
        <f t="shared" si="31"/>
        <v>3633.4151452692363</v>
      </c>
      <c r="H141">
        <v>61000</v>
      </c>
      <c r="I141">
        <f t="shared" si="21"/>
        <v>1905.4607179634329</v>
      </c>
      <c r="J141">
        <f t="shared" si="22"/>
        <v>1.680079509035954E-2</v>
      </c>
      <c r="K141">
        <f t="shared" si="23"/>
        <v>1.9060848825193374E-2</v>
      </c>
      <c r="L141">
        <f t="shared" si="24"/>
        <v>1.4621411821404497E-2</v>
      </c>
      <c r="M141">
        <f t="shared" si="25"/>
        <v>1.8805847133136919E-2</v>
      </c>
      <c r="O141">
        <f t="shared" si="26"/>
        <v>1.5087382300788164</v>
      </c>
      <c r="Q141">
        <f t="shared" si="27"/>
        <v>1.4408338239723744</v>
      </c>
      <c r="R141">
        <f t="shared" si="28"/>
        <v>1.6127868051569527</v>
      </c>
      <c r="S141">
        <f t="shared" si="29"/>
        <v>1.6346557144025606</v>
      </c>
    </row>
    <row r="142" spans="1:19">
      <c r="A142">
        <f t="shared" si="35"/>
        <v>-3.260000000000042</v>
      </c>
      <c r="B142">
        <f t="shared" si="32"/>
        <v>5.4954087385757089E-4</v>
      </c>
      <c r="C142">
        <f t="shared" si="33"/>
        <v>592.17169582931797</v>
      </c>
      <c r="D142">
        <f t="shared" si="33"/>
        <v>62916.444301297561</v>
      </c>
      <c r="E142">
        <f t="shared" si="34"/>
        <v>23147.267433709811</v>
      </c>
      <c r="F142">
        <f t="shared" si="30"/>
        <v>26509.758887661668</v>
      </c>
      <c r="G142">
        <f t="shared" si="31"/>
        <v>3313.5027179454523</v>
      </c>
      <c r="H142">
        <v>58000</v>
      </c>
      <c r="I142">
        <f t="shared" si="21"/>
        <v>1819.700858610161</v>
      </c>
      <c r="J142">
        <f t="shared" si="22"/>
        <v>1.7515719978328272E-2</v>
      </c>
      <c r="K142">
        <f t="shared" si="23"/>
        <v>1.9000462420924409E-2</v>
      </c>
      <c r="L142">
        <f t="shared" si="24"/>
        <v>1.4542674328777736E-2</v>
      </c>
      <c r="M142">
        <f t="shared" si="25"/>
        <v>1.8739081543994118E-2</v>
      </c>
      <c r="O142">
        <f t="shared" si="26"/>
        <v>1.5021456818127541</v>
      </c>
      <c r="Q142">
        <f t="shared" si="27"/>
        <v>1.4345379892552912</v>
      </c>
      <c r="R142">
        <f t="shared" si="28"/>
        <v>1.5347313380136551</v>
      </c>
      <c r="S142">
        <f t="shared" si="29"/>
        <v>1.5561384396392401</v>
      </c>
    </row>
    <row r="143" spans="1:19">
      <c r="A143">
        <f t="shared" si="35"/>
        <v>-3.240000000000042</v>
      </c>
      <c r="B143">
        <f t="shared" si="32"/>
        <v>5.7543993733710113E-4</v>
      </c>
      <c r="C143">
        <f t="shared" si="33"/>
        <v>539.90337358573493</v>
      </c>
      <c r="D143">
        <f t="shared" si="33"/>
        <v>57206.862235730754</v>
      </c>
      <c r="E143">
        <f t="shared" si="34"/>
        <v>21107.50567763664</v>
      </c>
      <c r="F143">
        <f t="shared" si="30"/>
        <v>24108.870539154042</v>
      </c>
      <c r="G143">
        <f t="shared" si="31"/>
        <v>3021.7746397248247</v>
      </c>
      <c r="H143">
        <v>51000</v>
      </c>
      <c r="I143">
        <f t="shared" si="21"/>
        <v>1737.8008287495441</v>
      </c>
      <c r="J143">
        <f t="shared" si="22"/>
        <v>1.6887687195608871E-2</v>
      </c>
      <c r="K143">
        <f t="shared" si="23"/>
        <v>1.894297244861394E-2</v>
      </c>
      <c r="L143">
        <f t="shared" si="24"/>
        <v>1.4467850685019637E-2</v>
      </c>
      <c r="M143">
        <f t="shared" si="25"/>
        <v>1.867560230996539E-2</v>
      </c>
      <c r="O143">
        <f t="shared" si="26"/>
        <v>1.3831020855970981</v>
      </c>
      <c r="Q143">
        <f t="shared" si="27"/>
        <v>1.3208522374560141</v>
      </c>
      <c r="R143">
        <f t="shared" si="28"/>
        <v>1.4606920895225119</v>
      </c>
      <c r="S143">
        <f t="shared" si="29"/>
        <v>1.4816041565079006</v>
      </c>
    </row>
    <row r="144" spans="1:19">
      <c r="A144">
        <f t="shared" si="35"/>
        <v>-3.2200000000000419</v>
      </c>
      <c r="B144">
        <f t="shared" si="32"/>
        <v>6.0255958607429913E-4</v>
      </c>
      <c r="C144">
        <f t="shared" si="33"/>
        <v>492.25525380982401</v>
      </c>
      <c r="D144">
        <f t="shared" si="33"/>
        <v>52022.511665165897</v>
      </c>
      <c r="E144">
        <f t="shared" si="34"/>
        <v>19247.734760126154</v>
      </c>
      <c r="F144">
        <f t="shared" si="30"/>
        <v>22008.000565787308</v>
      </c>
      <c r="G144">
        <f t="shared" si="31"/>
        <v>2755.7450223102105</v>
      </c>
      <c r="H144">
        <v>45000</v>
      </c>
      <c r="I144">
        <f t="shared" si="21"/>
        <v>1659.5869074377222</v>
      </c>
      <c r="J144">
        <f t="shared" si="22"/>
        <v>1.6338512464651383E-2</v>
      </c>
      <c r="K144">
        <f t="shared" si="23"/>
        <v>1.8888232339639665E-2</v>
      </c>
      <c r="L144">
        <f t="shared" si="24"/>
        <v>1.4396730920063546E-2</v>
      </c>
      <c r="M144">
        <f t="shared" si="25"/>
        <v>1.8615235639361953E-2</v>
      </c>
      <c r="O144">
        <f t="shared" si="26"/>
        <v>1.2778991282624717</v>
      </c>
      <c r="Q144">
        <f t="shared" si="27"/>
        <v>1.2203841931739183</v>
      </c>
      <c r="R144">
        <f t="shared" si="28"/>
        <v>1.3904411050660381</v>
      </c>
      <c r="S144">
        <f t="shared" si="29"/>
        <v>1.4108322427860942</v>
      </c>
    </row>
    <row r="145" spans="1:19">
      <c r="A145">
        <f t="shared" si="35"/>
        <v>-3.2000000000000419</v>
      </c>
      <c r="B145">
        <f t="shared" si="32"/>
        <v>6.3095734448013184E-4</v>
      </c>
      <c r="C145">
        <f t="shared" si="33"/>
        <v>448.81807167308108</v>
      </c>
      <c r="D145">
        <f t="shared" si="33"/>
        <v>47314.153088184343</v>
      </c>
      <c r="E145">
        <f t="shared" si="34"/>
        <v>17552.030914809671</v>
      </c>
      <c r="F145">
        <f t="shared" si="30"/>
        <v>20225.123524734026</v>
      </c>
      <c r="G145">
        <f t="shared" si="31"/>
        <v>2513.1477119234278</v>
      </c>
      <c r="H145">
        <v>38000</v>
      </c>
      <c r="I145">
        <f t="shared" si="21"/>
        <v>1584.8931924612677</v>
      </c>
      <c r="J145">
        <f t="shared" si="22"/>
        <v>1.5128072481029951E-2</v>
      </c>
      <c r="K145">
        <f t="shared" si="23"/>
        <v>1.8836103613068415E-2</v>
      </c>
      <c r="L145">
        <f t="shared" si="24"/>
        <v>1.4329117650422517E-2</v>
      </c>
      <c r="M145">
        <f t="shared" si="25"/>
        <v>1.8557817986283812E-2</v>
      </c>
      <c r="O145">
        <f t="shared" si="26"/>
        <v>1.1299719340411885</v>
      </c>
      <c r="Q145">
        <f t="shared" si="27"/>
        <v>1.0791148194216365</v>
      </c>
      <c r="R145">
        <f t="shared" si="28"/>
        <v>1.3237652338220975</v>
      </c>
      <c r="S145">
        <f t="shared" si="29"/>
        <v>1.3436158885748344</v>
      </c>
    </row>
    <row r="146" spans="1:19">
      <c r="A146">
        <f t="shared" si="35"/>
        <v>-3.1800000000000419</v>
      </c>
      <c r="B146">
        <f t="shared" si="32"/>
        <v>6.6069344800753153E-4</v>
      </c>
      <c r="C146">
        <f t="shared" si="33"/>
        <v>409.21892759865068</v>
      </c>
      <c r="D146">
        <f t="shared" si="33"/>
        <v>43037.282921577156</v>
      </c>
      <c r="E146">
        <f t="shared" si="34"/>
        <v>16005.886066163392</v>
      </c>
      <c r="F146">
        <f t="shared" si="30"/>
        <v>18066.772907059152</v>
      </c>
      <c r="G146">
        <f t="shared" si="31"/>
        <v>2291.9167865627096</v>
      </c>
      <c r="H146">
        <v>32000</v>
      </c>
      <c r="I146">
        <f t="shared" si="21"/>
        <v>1513.561248436356</v>
      </c>
      <c r="J146">
        <f t="shared" si="22"/>
        <v>1.3968506631682583E-2</v>
      </c>
      <c r="K146">
        <f t="shared" si="23"/>
        <v>1.8786455371864068E-2</v>
      </c>
      <c r="L146">
        <f t="shared" si="24"/>
        <v>1.4264825216269487E-2</v>
      </c>
      <c r="M146">
        <f t="shared" si="25"/>
        <v>1.8503195356988276E-2</v>
      </c>
      <c r="O146">
        <f t="shared" si="26"/>
        <v>0.99640073316281319</v>
      </c>
      <c r="Q146">
        <f t="shared" si="27"/>
        <v>0.95155531287681105</v>
      </c>
      <c r="R146">
        <f t="shared" si="28"/>
        <v>1.2604650097101253</v>
      </c>
      <c r="S146">
        <f t="shared" si="29"/>
        <v>1.2797611004940372</v>
      </c>
    </row>
    <row r="147" spans="1:19">
      <c r="A147">
        <f t="shared" si="35"/>
        <v>-3.1600000000000419</v>
      </c>
      <c r="B147">
        <f t="shared" si="32"/>
        <v>6.9183097091886944E-4</v>
      </c>
      <c r="C147">
        <f t="shared" si="33"/>
        <v>373.11804158300015</v>
      </c>
      <c r="D147">
        <f t="shared" si="33"/>
        <v>39151.662496363126</v>
      </c>
      <c r="E147">
        <f t="shared" si="34"/>
        <v>14596.080808750161</v>
      </c>
      <c r="F147">
        <f t="shared" si="30"/>
        <v>17045.734673699812</v>
      </c>
      <c r="G147">
        <f t="shared" si="31"/>
        <v>2090.1687975622167</v>
      </c>
      <c r="H147">
        <v>28000</v>
      </c>
      <c r="I147">
        <f t="shared" si="21"/>
        <v>1445.4397707460676</v>
      </c>
      <c r="J147">
        <f t="shared" si="22"/>
        <v>1.3401642585031277E-2</v>
      </c>
      <c r="K147">
        <f t="shared" si="23"/>
        <v>1.8739163835215428E-2</v>
      </c>
      <c r="L147">
        <f t="shared" si="24"/>
        <v>1.4203678886013095E-2</v>
      </c>
      <c r="M147">
        <f t="shared" si="25"/>
        <v>1.8451222670457401E-2</v>
      </c>
      <c r="O147">
        <f t="shared" si="26"/>
        <v>0.91293969636940986</v>
      </c>
      <c r="Q147">
        <f t="shared" si="27"/>
        <v>0.87185064151744784</v>
      </c>
      <c r="R147">
        <f t="shared" si="28"/>
        <v>1.2003536297847044</v>
      </c>
      <c r="S147">
        <f t="shared" si="29"/>
        <v>1.2190857879974568</v>
      </c>
    </row>
    <row r="148" spans="1:19">
      <c r="A148">
        <f t="shared" si="35"/>
        <v>-3.1400000000000419</v>
      </c>
      <c r="B148">
        <f t="shared" si="32"/>
        <v>7.2443596007491979E-4</v>
      </c>
      <c r="C148">
        <f t="shared" si="33"/>
        <v>340.20579906288145</v>
      </c>
      <c r="D148">
        <f t="shared" si="33"/>
        <v>35620.895890328429</v>
      </c>
      <c r="E148">
        <f t="shared" si="34"/>
        <v>13310.568976893541</v>
      </c>
      <c r="F148">
        <f t="shared" si="30"/>
        <v>14990.750334650105</v>
      </c>
      <c r="G148">
        <f t="shared" si="31"/>
        <v>1906.1865972353487</v>
      </c>
      <c r="H148">
        <v>25000</v>
      </c>
      <c r="I148">
        <f t="shared" si="21"/>
        <v>1380.3842646030187</v>
      </c>
      <c r="J148">
        <f t="shared" si="22"/>
        <v>1.312018650624177E-2</v>
      </c>
      <c r="K148">
        <f t="shared" si="23"/>
        <v>1.8694111904021198E-2</v>
      </c>
      <c r="L148">
        <f t="shared" si="24"/>
        <v>1.414551412249249E-2</v>
      </c>
      <c r="M148">
        <f t="shared" si="25"/>
        <v>1.8401763168371839E-2</v>
      </c>
      <c r="O148">
        <f t="shared" si="26"/>
        <v>0.85354037385475567</v>
      </c>
      <c r="Q148">
        <f t="shared" si="27"/>
        <v>0.81512472890125498</v>
      </c>
      <c r="R148">
        <f t="shared" si="28"/>
        <v>1.1432560205442395</v>
      </c>
      <c r="S148">
        <f t="shared" si="29"/>
        <v>1.1614189242329516</v>
      </c>
    </row>
    <row r="149" spans="1:19">
      <c r="A149">
        <f t="shared" si="35"/>
        <v>-3.1200000000000419</v>
      </c>
      <c r="B149">
        <f t="shared" si="32"/>
        <v>7.5857757502911002E-4</v>
      </c>
      <c r="C149">
        <f t="shared" si="33"/>
        <v>310.20006189983405</v>
      </c>
      <c r="D149">
        <f t="shared" si="33"/>
        <v>32412.051278805498</v>
      </c>
      <c r="E149">
        <f t="shared" si="34"/>
        <v>12138.372715084575</v>
      </c>
      <c r="F149">
        <f t="shared" si="30"/>
        <v>13922.13329138012</v>
      </c>
      <c r="G149">
        <f t="shared" si="31"/>
        <v>1738.4046090978745</v>
      </c>
      <c r="H149">
        <v>23000</v>
      </c>
      <c r="I149">
        <f t="shared" si="21"/>
        <v>1318.2567385565353</v>
      </c>
      <c r="J149">
        <f t="shared" si="22"/>
        <v>1.3235118558752037E-2</v>
      </c>
      <c r="K149">
        <f t="shared" si="23"/>
        <v>1.8651188756840926E-2</v>
      </c>
      <c r="L149">
        <f t="shared" si="24"/>
        <v>1.4090175905466155E-2</v>
      </c>
      <c r="M149">
        <f t="shared" si="25"/>
        <v>1.8354687870164657E-2</v>
      </c>
      <c r="O149">
        <f t="shared" si="26"/>
        <v>0.82226517298716428</v>
      </c>
      <c r="Q149">
        <f t="shared" si="27"/>
        <v>0.78525714394637613</v>
      </c>
      <c r="R149">
        <f t="shared" si="28"/>
        <v>1.0890079836437623</v>
      </c>
      <c r="S149">
        <f t="shared" si="29"/>
        <v>1.1065997746364475</v>
      </c>
    </row>
    <row r="150" spans="1:19">
      <c r="A150">
        <f t="shared" si="35"/>
        <v>-3.1000000000000418</v>
      </c>
      <c r="B150">
        <f t="shared" si="32"/>
        <v>7.9432823472420412E-4</v>
      </c>
      <c r="C150">
        <f t="shared" si="33"/>
        <v>282.84372048082571</v>
      </c>
      <c r="D150">
        <f t="shared" si="33"/>
        <v>29495.321096866312</v>
      </c>
      <c r="E150">
        <f t="shared" si="34"/>
        <v>11069.487067111695</v>
      </c>
      <c r="F150">
        <f t="shared" si="30"/>
        <v>12875.425465717155</v>
      </c>
      <c r="G150">
        <f t="shared" si="31"/>
        <v>1585.3954104543955</v>
      </c>
      <c r="H150">
        <v>21000</v>
      </c>
      <c r="I150">
        <f t="shared" si="21"/>
        <v>1258.9254117942899</v>
      </c>
      <c r="J150">
        <f t="shared" si="22"/>
        <v>1.3250104234081477E-2</v>
      </c>
      <c r="K150">
        <f t="shared" si="23"/>
        <v>1.8610289473865761E-2</v>
      </c>
      <c r="L150">
        <f t="shared" si="24"/>
        <v>1.4037518105567704E-2</v>
      </c>
      <c r="M150">
        <f t="shared" si="25"/>
        <v>1.8309875069246157E-2</v>
      </c>
      <c r="O150">
        <f t="shared" si="26"/>
        <v>0.78614626394611709</v>
      </c>
      <c r="Q150">
        <f t="shared" si="27"/>
        <v>0.7507638535969916</v>
      </c>
      <c r="R150">
        <f t="shared" si="28"/>
        <v>1.0374554134078973</v>
      </c>
      <c r="S150">
        <f t="shared" si="29"/>
        <v>1.0544771871316188</v>
      </c>
    </row>
    <row r="151" spans="1:19">
      <c r="A151">
        <f t="shared" si="35"/>
        <v>-3.0800000000000418</v>
      </c>
      <c r="B151">
        <f t="shared" si="32"/>
        <v>8.3176377110259065E-4</v>
      </c>
      <c r="C151">
        <f t="shared" si="33"/>
        <v>257.90246513324166</v>
      </c>
      <c r="D151">
        <f t="shared" si="33"/>
        <v>26843.716843174847</v>
      </c>
      <c r="E151">
        <f t="shared" si="34"/>
        <v>10094.793198117548</v>
      </c>
      <c r="F151">
        <f t="shared" si="30"/>
        <v>11433.879972549485</v>
      </c>
      <c r="G151">
        <f t="shared" si="31"/>
        <v>1445.857509139398</v>
      </c>
      <c r="H151">
        <v>19500</v>
      </c>
      <c r="I151">
        <f t="shared" si="21"/>
        <v>1202.2644346175291</v>
      </c>
      <c r="J151">
        <f t="shared" si="22"/>
        <v>1.3490703932916655E-2</v>
      </c>
      <c r="K151">
        <f t="shared" si="23"/>
        <v>1.8571314686683073E-2</v>
      </c>
      <c r="L151">
        <f t="shared" si="24"/>
        <v>1.3987402905350093E-2</v>
      </c>
      <c r="M151">
        <f t="shared" si="25"/>
        <v>1.8267209866864739E-2</v>
      </c>
      <c r="O151">
        <f t="shared" si="26"/>
        <v>0.76439646764140956</v>
      </c>
      <c r="Q151">
        <f t="shared" si="27"/>
        <v>0.72999295937852116</v>
      </c>
      <c r="R151">
        <f t="shared" si="28"/>
        <v>0.98845357933951306</v>
      </c>
      <c r="S151">
        <f t="shared" si="29"/>
        <v>1.0049089384137568</v>
      </c>
    </row>
    <row r="152" spans="1:19">
      <c r="A152">
        <f t="shared" si="35"/>
        <v>-3.0600000000000418</v>
      </c>
      <c r="B152">
        <f t="shared" si="32"/>
        <v>8.7096358995599626E-4</v>
      </c>
      <c r="C152">
        <f t="shared" si="33"/>
        <v>235.1627570470759</v>
      </c>
      <c r="D152">
        <f t="shared" si="33"/>
        <v>24432.794828001512</v>
      </c>
      <c r="E152">
        <f t="shared" si="34"/>
        <v>9205.979449875711</v>
      </c>
      <c r="F152">
        <f t="shared" si="30"/>
        <v>10420.5315436744</v>
      </c>
      <c r="G152">
        <f t="shared" si="31"/>
        <v>1318.6042070635531</v>
      </c>
      <c r="H152">
        <v>18500</v>
      </c>
      <c r="I152">
        <f t="shared" si="21"/>
        <v>1148.153621496994</v>
      </c>
      <c r="J152">
        <f t="shared" si="22"/>
        <v>1.4033685138037181E-2</v>
      </c>
      <c r="K152">
        <f t="shared" si="23"/>
        <v>1.853417025180738E-2</v>
      </c>
      <c r="L152">
        <f t="shared" si="24"/>
        <v>1.3939700263444699E-2</v>
      </c>
      <c r="M152">
        <f t="shared" si="25"/>
        <v>1.822658374040452E-2</v>
      </c>
      <c r="O152">
        <f t="shared" si="26"/>
        <v>0.75937411389676268</v>
      </c>
      <c r="Q152">
        <f t="shared" si="27"/>
        <v>0.72519664878800627</v>
      </c>
      <c r="R152">
        <f t="shared" si="28"/>
        <v>0.94186646753028369</v>
      </c>
      <c r="S152">
        <f t="shared" si="29"/>
        <v>0.957761131340088</v>
      </c>
    </row>
    <row r="153" spans="1:19">
      <c r="A153">
        <f t="shared" si="35"/>
        <v>-3.0400000000000418</v>
      </c>
      <c r="B153">
        <f t="shared" si="32"/>
        <v>9.1201083935582127E-4</v>
      </c>
      <c r="C153">
        <f t="shared" si="33"/>
        <v>214.42998070632834</v>
      </c>
      <c r="D153">
        <f t="shared" si="33"/>
        <v>22240.40958361189</v>
      </c>
      <c r="E153">
        <f t="shared" si="34"/>
        <v>8395.469506715197</v>
      </c>
      <c r="F153">
        <f t="shared" si="30"/>
        <v>9691.1679694477825</v>
      </c>
      <c r="G153">
        <f t="shared" si="31"/>
        <v>1202.5534530430523</v>
      </c>
      <c r="H153">
        <v>17500</v>
      </c>
      <c r="I153">
        <f t="shared" si="21"/>
        <v>1096.4781961432914</v>
      </c>
      <c r="J153">
        <f t="shared" si="22"/>
        <v>1.4555865994293919E-2</v>
      </c>
      <c r="K153">
        <f t="shared" si="23"/>
        <v>1.8498766946129421E-2</v>
      </c>
      <c r="L153">
        <f t="shared" si="24"/>
        <v>1.3894287418227076E-2</v>
      </c>
      <c r="M153">
        <f t="shared" si="25"/>
        <v>1.8187894143221649E-2</v>
      </c>
      <c r="O153">
        <f t="shared" si="26"/>
        <v>0.75218056664664523</v>
      </c>
      <c r="Q153">
        <f t="shared" si="27"/>
        <v>0.71832686449694838</v>
      </c>
      <c r="R153">
        <f t="shared" si="28"/>
        <v>0.89756617550782647</v>
      </c>
      <c r="S153">
        <f t="shared" si="29"/>
        <v>0.91290763893278903</v>
      </c>
    </row>
    <row r="154" spans="1:19">
      <c r="A154">
        <f t="shared" si="35"/>
        <v>-3.0200000000000418</v>
      </c>
      <c r="B154">
        <f t="shared" si="32"/>
        <v>9.5499258602134386E-4</v>
      </c>
      <c r="C154">
        <f t="shared" si="33"/>
        <v>195.52676147295165</v>
      </c>
      <c r="D154">
        <f t="shared" si="33"/>
        <v>20246.492021565093</v>
      </c>
      <c r="E154">
        <f t="shared" si="34"/>
        <v>7656.357018725419</v>
      </c>
      <c r="F154">
        <f t="shared" si="30"/>
        <v>8900.9790278067067</v>
      </c>
      <c r="G154">
        <f t="shared" si="31"/>
        <v>1096.7185962884896</v>
      </c>
      <c r="H154">
        <v>16500</v>
      </c>
      <c r="I154">
        <f t="shared" si="21"/>
        <v>1047.1285480510005</v>
      </c>
      <c r="J154">
        <f t="shared" si="22"/>
        <v>1.5048178849369608E-2</v>
      </c>
      <c r="K154">
        <f t="shared" si="23"/>
        <v>1.8465020182596749E-2</v>
      </c>
      <c r="L154">
        <f t="shared" si="24"/>
        <v>1.385104842771083E-2</v>
      </c>
      <c r="M154">
        <f t="shared" si="25"/>
        <v>1.8151044133391928E-2</v>
      </c>
      <c r="O154">
        <f t="shared" si="26"/>
        <v>0.74262233064623451</v>
      </c>
      <c r="Q154">
        <f t="shared" si="27"/>
        <v>0.70919881998111267</v>
      </c>
      <c r="R154">
        <f t="shared" si="28"/>
        <v>0.85543235561464037</v>
      </c>
      <c r="S154">
        <f t="shared" si="29"/>
        <v>0.87022959093642283</v>
      </c>
    </row>
    <row r="155" spans="1:19">
      <c r="A155">
        <f t="shared" si="35"/>
        <v>-3.0000000000000417</v>
      </c>
      <c r="B155">
        <f t="shared" si="32"/>
        <v>9.9999999999990353E-4</v>
      </c>
      <c r="C155">
        <f t="shared" si="33"/>
        <v>178.29143345605232</v>
      </c>
      <c r="D155">
        <f t="shared" si="33"/>
        <v>18432.849744588959</v>
      </c>
      <c r="E155">
        <f t="shared" si="34"/>
        <v>6982.3460910376034</v>
      </c>
      <c r="F155">
        <f t="shared" si="30"/>
        <v>8064.115905365913</v>
      </c>
      <c r="G155">
        <f t="shared" si="31"/>
        <v>1000.1999599921946</v>
      </c>
      <c r="H155">
        <v>15000</v>
      </c>
      <c r="I155">
        <f t="shared" si="21"/>
        <v>1000.0000000000965</v>
      </c>
      <c r="J155">
        <f t="shared" si="22"/>
        <v>1.4999999999997106E-2</v>
      </c>
      <c r="K155">
        <f t="shared" si="23"/>
        <v>1.8432849744585401E-2</v>
      </c>
      <c r="L155">
        <f t="shared" si="24"/>
        <v>1.3809873742688822E-2</v>
      </c>
      <c r="M155">
        <f t="shared" si="25"/>
        <v>1.8115942028985574E-2</v>
      </c>
      <c r="O155">
        <f t="shared" si="26"/>
        <v>0.70692822076341921</v>
      </c>
      <c r="Q155">
        <f t="shared" si="27"/>
        <v>0.67511120967839178</v>
      </c>
      <c r="R155">
        <f t="shared" si="28"/>
        <v>0.81535170251029532</v>
      </c>
      <c r="S155">
        <f t="shared" si="29"/>
        <v>0.8296148992592991</v>
      </c>
    </row>
    <row r="156" spans="1:19">
      <c r="A156">
        <f t="shared" si="35"/>
        <v>-2.9800000000000417</v>
      </c>
      <c r="B156">
        <f t="shared" si="32"/>
        <v>1.0471285480507981E-3</v>
      </c>
      <c r="C156">
        <f t="shared" si="33"/>
        <v>162.57664415085159</v>
      </c>
      <c r="D156">
        <f t="shared" si="33"/>
        <v>16782.987206026548</v>
      </c>
      <c r="E156">
        <f t="shared" si="34"/>
        <v>6367.6971038834872</v>
      </c>
      <c r="F156">
        <f t="shared" si="30"/>
        <v>7293.9754183534251</v>
      </c>
      <c r="G156">
        <f t="shared" si="31"/>
        <v>912.1771617616705</v>
      </c>
      <c r="H156">
        <v>14000</v>
      </c>
      <c r="I156">
        <f t="shared" si="21"/>
        <v>954.99258602152838</v>
      </c>
      <c r="J156">
        <f t="shared" si="22"/>
        <v>1.5350694746001616E-2</v>
      </c>
      <c r="K156">
        <f t="shared" si="23"/>
        <v>1.8402179537554578E-2</v>
      </c>
      <c r="L156">
        <f t="shared" si="24"/>
        <v>1.3770659810409869E-2</v>
      </c>
      <c r="M156">
        <f t="shared" si="25"/>
        <v>1.8082501087703876E-2</v>
      </c>
      <c r="O156">
        <f t="shared" si="26"/>
        <v>0.69089507329192756</v>
      </c>
      <c r="Q156">
        <f t="shared" si="27"/>
        <v>0.6597996727125266</v>
      </c>
      <c r="R156">
        <f t="shared" si="28"/>
        <v>0.77721748083086195</v>
      </c>
      <c r="S156">
        <f t="shared" si="29"/>
        <v>0.7909578189767742</v>
      </c>
    </row>
    <row r="157" spans="1:19">
      <c r="A157">
        <f t="shared" si="35"/>
        <v>-2.9600000000000417</v>
      </c>
      <c r="B157">
        <f t="shared" si="32"/>
        <v>1.0964781961430787E-3</v>
      </c>
      <c r="C157">
        <f t="shared" si="33"/>
        <v>148.24808355907729</v>
      </c>
      <c r="D157">
        <f t="shared" si="33"/>
        <v>15281.943662041338</v>
      </c>
      <c r="E157">
        <f t="shared" si="34"/>
        <v>5807.1773784619936</v>
      </c>
      <c r="F157">
        <f t="shared" si="30"/>
        <v>6622.5284807534154</v>
      </c>
      <c r="G157">
        <f t="shared" si="31"/>
        <v>831.90211427559018</v>
      </c>
      <c r="H157">
        <v>13000</v>
      </c>
      <c r="I157">
        <f t="shared" si="21"/>
        <v>912.0108393559982</v>
      </c>
      <c r="J157">
        <f t="shared" si="22"/>
        <v>1.5629437650023337E-2</v>
      </c>
      <c r="K157">
        <f t="shared" si="23"/>
        <v>1.8372937356695724E-2</v>
      </c>
      <c r="L157">
        <f t="shared" si="24"/>
        <v>1.3733308706322118E-2</v>
      </c>
      <c r="M157">
        <f t="shared" si="25"/>
        <v>1.8050639208909487E-2</v>
      </c>
      <c r="O157">
        <f t="shared" si="26"/>
        <v>0.67178052959801704</v>
      </c>
      <c r="Q157">
        <f t="shared" si="27"/>
        <v>0.64154542519965918</v>
      </c>
      <c r="R157">
        <f t="shared" si="28"/>
        <v>0.74092908943452518</v>
      </c>
      <c r="S157">
        <f t="shared" si="29"/>
        <v>0.75415854188781128</v>
      </c>
    </row>
    <row r="158" spans="1:19">
      <c r="A158">
        <f t="shared" si="35"/>
        <v>-2.9400000000000417</v>
      </c>
      <c r="B158">
        <f t="shared" si="32"/>
        <v>1.1481536214967723E-3</v>
      </c>
      <c r="C158">
        <f t="shared" si="33"/>
        <v>135.18332661670064</v>
      </c>
      <c r="D158">
        <f t="shared" si="33"/>
        <v>13916.147084891161</v>
      </c>
      <c r="E158">
        <f t="shared" si="34"/>
        <v>5296.0162490001867</v>
      </c>
      <c r="F158">
        <f t="shared" si="30"/>
        <v>6035.647865092712</v>
      </c>
      <c r="G158">
        <f t="shared" si="31"/>
        <v>758.69264555351526</v>
      </c>
      <c r="H158">
        <v>12000</v>
      </c>
      <c r="I158">
        <f t="shared" si="21"/>
        <v>870.96358995616447</v>
      </c>
      <c r="J158">
        <f t="shared" si="22"/>
        <v>1.5819080862673841E-2</v>
      </c>
      <c r="K158">
        <f t="shared" si="23"/>
        <v>1.8345054669396343E-2</v>
      </c>
      <c r="L158">
        <f t="shared" si="24"/>
        <v>1.3697727791634032E-2</v>
      </c>
      <c r="M158">
        <f t="shared" si="25"/>
        <v>1.8020278656259846E-2</v>
      </c>
      <c r="O158">
        <f t="shared" si="26"/>
        <v>0.6493297574462964</v>
      </c>
      <c r="Q158">
        <f t="shared" si="27"/>
        <v>0.62010510424431098</v>
      </c>
      <c r="R158">
        <f t="shared" si="28"/>
        <v>0.70639165901341527</v>
      </c>
      <c r="S158">
        <f t="shared" si="29"/>
        <v>0.71912281989629978</v>
      </c>
    </row>
    <row r="159" spans="1:19">
      <c r="A159">
        <f t="shared" si="35"/>
        <v>-2.9200000000000417</v>
      </c>
      <c r="B159">
        <f t="shared" si="32"/>
        <v>1.202264434617297E-3</v>
      </c>
      <c r="C159">
        <f t="shared" si="33"/>
        <v>123.27077876684041</v>
      </c>
      <c r="D159">
        <f t="shared" si="33"/>
        <v>12673.282403172665</v>
      </c>
      <c r="E159">
        <f t="shared" si="34"/>
        <v>4829.864142307315</v>
      </c>
      <c r="F159">
        <f t="shared" si="30"/>
        <v>5518.5396665813942</v>
      </c>
      <c r="G159">
        <f t="shared" si="31"/>
        <v>691.92668369045714</v>
      </c>
      <c r="H159">
        <v>11000</v>
      </c>
      <c r="I159">
        <f t="shared" si="21"/>
        <v>831.76377110275121</v>
      </c>
      <c r="J159">
        <f t="shared" si="22"/>
        <v>1.5899837478202138E-2</v>
      </c>
      <c r="K159">
        <f t="shared" si="23"/>
        <v>1.8318466411436762E-2</v>
      </c>
      <c r="L159">
        <f t="shared" si="24"/>
        <v>1.3663829394642694E-2</v>
      </c>
      <c r="M159">
        <f t="shared" si="25"/>
        <v>1.7991345799313063E-2</v>
      </c>
      <c r="O159">
        <f t="shared" si="26"/>
        <v>0.62327074894423495</v>
      </c>
      <c r="Q159">
        <f t="shared" si="27"/>
        <v>0.59521894432577183</v>
      </c>
      <c r="R159">
        <f t="shared" si="28"/>
        <v>0.67351568016643137</v>
      </c>
      <c r="S159">
        <f t="shared" si="29"/>
        <v>0.68576161574171035</v>
      </c>
    </row>
    <row r="160" spans="1:19">
      <c r="A160">
        <f t="shared" si="35"/>
        <v>-2.9000000000000417</v>
      </c>
      <c r="B160">
        <f t="shared" si="32"/>
        <v>1.2589254117940456E-3</v>
      </c>
      <c r="C160">
        <f t="shared" si="33"/>
        <v>112.40871543479133</v>
      </c>
      <c r="D160">
        <f t="shared" si="33"/>
        <v>11542.172610082835</v>
      </c>
      <c r="E160">
        <f t="shared" si="34"/>
        <v>4404.7553030564995</v>
      </c>
      <c r="F160">
        <f t="shared" si="30"/>
        <v>5062.3098560805256</v>
      </c>
      <c r="G160">
        <f t="shared" si="31"/>
        <v>631.03695586561241</v>
      </c>
      <c r="H160">
        <v>10000</v>
      </c>
      <c r="I160">
        <f t="shared" si="21"/>
        <v>794.32823472435825</v>
      </c>
      <c r="J160">
        <f t="shared" si="22"/>
        <v>1.5848931924608074E-2</v>
      </c>
      <c r="K160">
        <f t="shared" si="23"/>
        <v>1.8293110795927874E-2</v>
      </c>
      <c r="L160">
        <f t="shared" si="24"/>
        <v>1.3631530513959071E-2</v>
      </c>
      <c r="M160">
        <f t="shared" si="25"/>
        <v>1.7963770872620438E-2</v>
      </c>
      <c r="O160">
        <f t="shared" si="26"/>
        <v>0.59331326762233727</v>
      </c>
      <c r="Q160">
        <f t="shared" si="27"/>
        <v>0.56660977176748417</v>
      </c>
      <c r="R160">
        <f t="shared" si="28"/>
        <v>0.64221665930781946</v>
      </c>
      <c r="S160">
        <f t="shared" si="29"/>
        <v>0.65399077882999412</v>
      </c>
    </row>
    <row r="161" spans="1:19">
      <c r="A161">
        <f t="shared" si="35"/>
        <v>-2.8800000000000416</v>
      </c>
      <c r="B161">
        <f t="shared" si="32"/>
        <v>1.3182567385562794E-3</v>
      </c>
      <c r="C161">
        <f t="shared" si="33"/>
        <v>102.50440699715223</v>
      </c>
      <c r="D161">
        <f t="shared" si="33"/>
        <v>10512.671436133329</v>
      </c>
      <c r="E161">
        <f t="shared" si="34"/>
        <v>4017.0738364022195</v>
      </c>
      <c r="F161">
        <f t="shared" si="30"/>
        <v>4647.3746082229172</v>
      </c>
      <c r="G161">
        <f t="shared" si="31"/>
        <v>575.50615593884515</v>
      </c>
      <c r="H161">
        <v>9000</v>
      </c>
      <c r="I161">
        <f t="shared" si="21"/>
        <v>758.57757502925733</v>
      </c>
      <c r="J161">
        <f t="shared" si="22"/>
        <v>1.5640207458741347E-2</v>
      </c>
      <c r="K161">
        <f t="shared" si="23"/>
        <v>1.8268929134078845E-2</v>
      </c>
      <c r="L161">
        <f t="shared" si="24"/>
        <v>1.3600752541922806E-2</v>
      </c>
      <c r="M161">
        <f t="shared" si="25"/>
        <v>1.7937487750950085E-2</v>
      </c>
      <c r="O161">
        <f t="shared" si="26"/>
        <v>0.55914773441825527</v>
      </c>
      <c r="Q161">
        <f t="shared" si="27"/>
        <v>0.53398194086011674</v>
      </c>
      <c r="R161">
        <f t="shared" si="28"/>
        <v>0.61241480003857407</v>
      </c>
      <c r="S161">
        <f t="shared" si="29"/>
        <v>0.62373074412124285</v>
      </c>
    </row>
    <row r="162" spans="1:19">
      <c r="A162">
        <f t="shared" si="35"/>
        <v>-2.8600000000000416</v>
      </c>
      <c r="B162">
        <f t="shared" si="32"/>
        <v>1.3803842646027522E-3</v>
      </c>
      <c r="C162">
        <f t="shared" si="33"/>
        <v>93.473321595737929</v>
      </c>
      <c r="D162">
        <f t="shared" si="33"/>
        <v>9575.5664207363952</v>
      </c>
      <c r="E162">
        <f t="shared" si="34"/>
        <v>3663.522769718069</v>
      </c>
      <c r="F162">
        <f t="shared" si="30"/>
        <v>4230.8555155612212</v>
      </c>
      <c r="G162">
        <f t="shared" si="31"/>
        <v>524.86253904157445</v>
      </c>
      <c r="H162">
        <v>8000</v>
      </c>
      <c r="I162">
        <f t="shared" si="21"/>
        <v>724.43596007505971</v>
      </c>
      <c r="J162">
        <f t="shared" si="22"/>
        <v>1.5243685743703047E-2</v>
      </c>
      <c r="K162">
        <f t="shared" si="23"/>
        <v>1.8245865666957625E-2</v>
      </c>
      <c r="L162">
        <f t="shared" si="24"/>
        <v>1.3571421006646711E-2</v>
      </c>
      <c r="M162">
        <f t="shared" si="25"/>
        <v>1.7912433739404269E-2</v>
      </c>
      <c r="O162">
        <f t="shared" si="26"/>
        <v>0.52044404914428943</v>
      </c>
      <c r="Q162">
        <f t="shared" si="27"/>
        <v>0.49702020837177247</v>
      </c>
      <c r="R162">
        <f t="shared" si="28"/>
        <v>0.58403470783185862</v>
      </c>
      <c r="S162">
        <f t="shared" si="29"/>
        <v>0.59490625221401883</v>
      </c>
    </row>
    <row r="163" spans="1:19">
      <c r="A163">
        <f t="shared" ref="A163:A201" si="36">+$A162+$A$1</f>
        <v>-2.8400000000000416</v>
      </c>
      <c r="B163">
        <f t="shared" si="32"/>
        <v>1.4454397707457883E-3</v>
      </c>
      <c r="C163">
        <f t="shared" si="33"/>
        <v>85.238398836466473</v>
      </c>
      <c r="D163">
        <f t="shared" si="33"/>
        <v>8722.491339716662</v>
      </c>
      <c r="E163">
        <f t="shared" si="34"/>
        <v>3341.0958625449539</v>
      </c>
      <c r="F163">
        <f t="shared" si="30"/>
        <v>3806.2490938070778</v>
      </c>
      <c r="G163">
        <f t="shared" si="31"/>
        <v>478.67590528945328</v>
      </c>
      <c r="H163">
        <v>7000</v>
      </c>
      <c r="I163">
        <f t="shared" si="21"/>
        <v>691.83097091900311</v>
      </c>
      <c r="J163">
        <f t="shared" si="22"/>
        <v>1.462507291597546E-2</v>
      </c>
      <c r="K163">
        <f t="shared" si="23"/>
        <v>1.8223867407474382E-2</v>
      </c>
      <c r="L163">
        <f t="shared" si="24"/>
        <v>1.3543465331265013E-2</v>
      </c>
      <c r="M163">
        <f t="shared" si="25"/>
        <v>1.7888549377299771E-2</v>
      </c>
      <c r="O163">
        <f t="shared" si="26"/>
        <v>0.47685034383191671</v>
      </c>
      <c r="Q163">
        <f t="shared" si="27"/>
        <v>0.45538854300125303</v>
      </c>
      <c r="R163">
        <f t="shared" si="28"/>
        <v>0.55700511608636849</v>
      </c>
      <c r="S163">
        <f t="shared" si="29"/>
        <v>0.567446088933517</v>
      </c>
    </row>
    <row r="164" spans="1:19">
      <c r="A164">
        <f t="shared" si="36"/>
        <v>-2.8200000000000416</v>
      </c>
      <c r="B164">
        <f t="shared" si="32"/>
        <v>1.5135612484360622E-3</v>
      </c>
      <c r="C164">
        <f t="shared" si="33"/>
        <v>77.729388040102137</v>
      </c>
      <c r="D164">
        <f t="shared" si="33"/>
        <v>7945.8470548878322</v>
      </c>
      <c r="E164">
        <f t="shared" si="34"/>
        <v>3047.0519185628614</v>
      </c>
      <c r="F164">
        <f t="shared" si="30"/>
        <v>3474.1088455667164</v>
      </c>
      <c r="G164">
        <f t="shared" si="31"/>
        <v>436.55393812726396</v>
      </c>
      <c r="H164">
        <v>6000</v>
      </c>
      <c r="I164">
        <f t="shared" si="21"/>
        <v>660.69344800765975</v>
      </c>
      <c r="J164">
        <f t="shared" si="22"/>
        <v>1.3745205916603985E-2</v>
      </c>
      <c r="K164">
        <f t="shared" si="23"/>
        <v>1.8202883991879099E-2</v>
      </c>
      <c r="L164">
        <f t="shared" si="24"/>
        <v>1.3516818609080855E-2</v>
      </c>
      <c r="M164">
        <f t="shared" si="25"/>
        <v>1.7865778254777233E-2</v>
      </c>
      <c r="O164">
        <f t="shared" si="26"/>
        <v>0.42799166414938777</v>
      </c>
      <c r="Q164">
        <f t="shared" si="27"/>
        <v>0.40872886614164239</v>
      </c>
      <c r="R164">
        <f t="shared" si="28"/>
        <v>0.53125863178172528</v>
      </c>
      <c r="S164">
        <f t="shared" si="29"/>
        <v>0.54128284287986872</v>
      </c>
    </row>
    <row r="165" spans="1:19">
      <c r="A165">
        <f t="shared" si="36"/>
        <v>-2.8000000000000416</v>
      </c>
      <c r="B165">
        <f t="shared" si="32"/>
        <v>1.5848931924609601E-3</v>
      </c>
      <c r="C165">
        <f t="shared" si="33"/>
        <v>70.882245281436994</v>
      </c>
      <c r="D165">
        <f t="shared" si="33"/>
        <v>7238.72994894778</v>
      </c>
      <c r="E165">
        <f t="shared" si="34"/>
        <v>2778.8913757980386</v>
      </c>
      <c r="F165">
        <f t="shared" si="30"/>
        <v>3212.9212307351804</v>
      </c>
      <c r="G165">
        <f t="shared" si="31"/>
        <v>398.13886589339324</v>
      </c>
      <c r="H165">
        <v>5000</v>
      </c>
      <c r="I165">
        <f t="shared" si="21"/>
        <v>630.95734448025428</v>
      </c>
      <c r="J165">
        <f t="shared" si="22"/>
        <v>1.255943215754547E-2</v>
      </c>
      <c r="K165">
        <f t="shared" si="23"/>
        <v>1.8182867540120443E-2</v>
      </c>
      <c r="L165">
        <f t="shared" si="24"/>
        <v>1.3491417393418676E-2</v>
      </c>
      <c r="M165">
        <f t="shared" si="25"/>
        <v>1.7844066841193038E-2</v>
      </c>
      <c r="O165">
        <f t="shared" si="26"/>
        <v>0.37346857488220569</v>
      </c>
      <c r="Q165">
        <f t="shared" si="27"/>
        <v>0.35665972012449726</v>
      </c>
      <c r="R165">
        <f t="shared" si="28"/>
        <v>0.50673149913383642</v>
      </c>
      <c r="S165">
        <f t="shared" si="29"/>
        <v>0.5163526795297062</v>
      </c>
    </row>
    <row r="166" spans="1:19">
      <c r="A166">
        <f t="shared" si="36"/>
        <v>-2.7800000000000415</v>
      </c>
      <c r="B166">
        <f t="shared" si="32"/>
        <v>1.6595869074374013E-3</v>
      </c>
      <c r="C166">
        <f t="shared" si="33"/>
        <v>64.638583971437328</v>
      </c>
      <c r="D166">
        <f t="shared" si="33"/>
        <v>6594.867195470255</v>
      </c>
      <c r="E166">
        <f t="shared" si="34"/>
        <v>2534.3349715807253</v>
      </c>
      <c r="F166">
        <f t="shared" si="30"/>
        <v>2881.6443908247143</v>
      </c>
      <c r="G166">
        <f t="shared" si="31"/>
        <v>363.10441799028285</v>
      </c>
      <c r="H166">
        <v>4700</v>
      </c>
      <c r="I166">
        <f t="shared" si="21"/>
        <v>602.55958607441562</v>
      </c>
      <c r="J166">
        <f t="shared" si="22"/>
        <v>1.2944874905686896E-2</v>
      </c>
      <c r="K166">
        <f t="shared" si="23"/>
        <v>1.8163772524463963E-2</v>
      </c>
      <c r="L166">
        <f t="shared" si="24"/>
        <v>1.3467201501087359E-2</v>
      </c>
      <c r="M166">
        <f t="shared" si="25"/>
        <v>1.7823364324426799E-2</v>
      </c>
      <c r="O166">
        <f t="shared" si="26"/>
        <v>0.36760543016549263</v>
      </c>
      <c r="Q166">
        <f t="shared" si="27"/>
        <v>0.35106046038926636</v>
      </c>
      <c r="R166">
        <f t="shared" si="28"/>
        <v>0.48336337979365568</v>
      </c>
      <c r="S166">
        <f t="shared" si="29"/>
        <v>0.49259513060592724</v>
      </c>
    </row>
    <row r="167" spans="1:19">
      <c r="A167">
        <f t="shared" si="36"/>
        <v>-2.7600000000000415</v>
      </c>
      <c r="B167">
        <f t="shared" si="32"/>
        <v>1.7378008287492082E-3</v>
      </c>
      <c r="C167">
        <f t="shared" si="33"/>
        <v>58.94517420785742</v>
      </c>
      <c r="D167">
        <f t="shared" si="33"/>
        <v>6008.5581909243137</v>
      </c>
      <c r="E167">
        <f t="shared" si="34"/>
        <v>2311.3042971825371</v>
      </c>
      <c r="F167">
        <f t="shared" si="30"/>
        <v>2668.8990414300642</v>
      </c>
      <c r="G167">
        <f t="shared" si="31"/>
        <v>331.15304959416932</v>
      </c>
      <c r="H167">
        <v>4500</v>
      </c>
      <c r="I167">
        <f t="shared" si="21"/>
        <v>575.43993733721231</v>
      </c>
      <c r="J167">
        <f t="shared" si="22"/>
        <v>1.3589782741806456E-2</v>
      </c>
      <c r="K167">
        <f t="shared" si="23"/>
        <v>1.8145555645814014E-2</v>
      </c>
      <c r="L167">
        <f t="shared" si="24"/>
        <v>1.3444113828450871E-2</v>
      </c>
      <c r="M167">
        <f t="shared" si="25"/>
        <v>1.7803622460309435E-2</v>
      </c>
      <c r="O167">
        <f t="shared" si="26"/>
        <v>0.3685501343726994</v>
      </c>
      <c r="Q167">
        <f t="shared" si="27"/>
        <v>0.35196264590313175</v>
      </c>
      <c r="R167">
        <f t="shared" si="28"/>
        <v>0.46109714826522535</v>
      </c>
      <c r="S167">
        <f t="shared" si="29"/>
        <v>0.46995289754236802</v>
      </c>
    </row>
    <row r="168" spans="1:19">
      <c r="A168">
        <f t="shared" si="36"/>
        <v>-2.7400000000000415</v>
      </c>
      <c r="B168">
        <f t="shared" si="32"/>
        <v>1.8197008586098081E-3</v>
      </c>
      <c r="C168">
        <f t="shared" si="33"/>
        <v>53.753486548125451</v>
      </c>
      <c r="D168">
        <f t="shared" si="33"/>
        <v>5474.6215444998988</v>
      </c>
      <c r="E168">
        <f t="shared" si="34"/>
        <v>2107.9040737702371</v>
      </c>
      <c r="F168">
        <f t="shared" si="30"/>
        <v>2397.4488708641975</v>
      </c>
      <c r="G168">
        <f t="shared" si="31"/>
        <v>302.01341115528896</v>
      </c>
      <c r="H168">
        <v>4300</v>
      </c>
      <c r="I168">
        <f t="shared" si="21"/>
        <v>549.54087385767752</v>
      </c>
      <c r="J168">
        <f t="shared" si="22"/>
        <v>1.4238638223748672E-2</v>
      </c>
      <c r="K168">
        <f t="shared" si="23"/>
        <v>1.8128175717226573E-2</v>
      </c>
      <c r="L168">
        <f t="shared" si="24"/>
        <v>1.3422100179186021E-2</v>
      </c>
      <c r="M168">
        <f t="shared" si="25"/>
        <v>1.778479543144245E-2</v>
      </c>
      <c r="O168">
        <f t="shared" si="26"/>
        <v>0.36876739521900365</v>
      </c>
      <c r="Q168">
        <f t="shared" si="27"/>
        <v>0.35217012840058526</v>
      </c>
      <c r="R168">
        <f t="shared" si="28"/>
        <v>0.43987870133695056</v>
      </c>
      <c r="S168">
        <f t="shared" si="29"/>
        <v>0.44837166797003258</v>
      </c>
    </row>
    <row r="169" spans="1:19">
      <c r="A169">
        <f t="shared" si="36"/>
        <v>-2.7200000000000415</v>
      </c>
      <c r="B169">
        <f t="shared" si="32"/>
        <v>1.9054607179630647E-3</v>
      </c>
      <c r="C169">
        <f t="shared" si="33"/>
        <v>49.019276247867687</v>
      </c>
      <c r="D169">
        <f t="shared" si="33"/>
        <v>4988.3470830012757</v>
      </c>
      <c r="E169">
        <f t="shared" si="34"/>
        <v>1922.4059964791695</v>
      </c>
      <c r="F169">
        <f t="shared" si="30"/>
        <v>2213.6087196940675</v>
      </c>
      <c r="G169">
        <f t="shared" si="31"/>
        <v>275.43804104960549</v>
      </c>
      <c r="H169">
        <v>4100</v>
      </c>
      <c r="I169">
        <f t="shared" si="21"/>
        <v>524.80746024982284</v>
      </c>
      <c r="J169">
        <f t="shared" si="22"/>
        <v>1.4886200245571305E-2</v>
      </c>
      <c r="K169">
        <f t="shared" si="23"/>
        <v>1.8111593554138657E-2</v>
      </c>
      <c r="L169">
        <f t="shared" si="24"/>
        <v>1.3401109102882162E-2</v>
      </c>
      <c r="M169">
        <f t="shared" si="25"/>
        <v>1.7766839714738573E-2</v>
      </c>
      <c r="O169">
        <f t="shared" si="26"/>
        <v>0.36818654772305753</v>
      </c>
      <c r="Q169">
        <f t="shared" si="27"/>
        <v>0.35161542334834767</v>
      </c>
      <c r="R169">
        <f t="shared" si="28"/>
        <v>0.41965678042780402</v>
      </c>
      <c r="S169">
        <f t="shared" si="29"/>
        <v>0.42779994424341189</v>
      </c>
    </row>
    <row r="170" spans="1:19">
      <c r="A170">
        <f t="shared" si="36"/>
        <v>-2.7000000000000415</v>
      </c>
      <c r="B170">
        <f t="shared" si="32"/>
        <v>1.9952623149686885E-3</v>
      </c>
      <c r="C170">
        <f t="shared" si="33"/>
        <v>44.702204362786475</v>
      </c>
      <c r="D170">
        <f t="shared" si="33"/>
        <v>4545.4523830154731</v>
      </c>
      <c r="E170">
        <f t="shared" si="34"/>
        <v>1753.2340071820004</v>
      </c>
      <c r="F170">
        <f t="shared" si="30"/>
        <v>2018.2192079507586</v>
      </c>
      <c r="G170">
        <f t="shared" si="31"/>
        <v>251.20126166390648</v>
      </c>
      <c r="H170">
        <v>3900</v>
      </c>
      <c r="I170">
        <f t="shared" si="21"/>
        <v>501.18723362732027</v>
      </c>
      <c r="J170">
        <f t="shared" si="22"/>
        <v>1.5526179651583418E-2</v>
      </c>
      <c r="K170">
        <f t="shared" si="23"/>
        <v>1.8095771870875948E-2</v>
      </c>
      <c r="L170">
        <f t="shared" si="24"/>
        <v>1.3381091743706287E-2</v>
      </c>
      <c r="M170">
        <f t="shared" si="25"/>
        <v>1.7749713957067911E-2</v>
      </c>
      <c r="O170">
        <f t="shared" si="26"/>
        <v>0.36673188195208545</v>
      </c>
      <c r="Q170">
        <f t="shared" si="27"/>
        <v>0.35022622832193029</v>
      </c>
      <c r="R170">
        <f t="shared" si="28"/>
        <v>0.40038280584644953</v>
      </c>
      <c r="S170">
        <f t="shared" si="29"/>
        <v>0.40818888310780493</v>
      </c>
    </row>
    <row r="171" spans="1:19">
      <c r="A171">
        <f t="shared" si="36"/>
        <v>-2.6800000000000415</v>
      </c>
      <c r="B171">
        <f t="shared" si="32"/>
        <v>2.0892961308538387E-3</v>
      </c>
      <c r="C171">
        <f t="shared" si="33"/>
        <v>40.765492433977272</v>
      </c>
      <c r="D171">
        <f t="shared" si="33"/>
        <v>4142.0433917018236</v>
      </c>
      <c r="E171">
        <f t="shared" si="34"/>
        <v>1598.9508690398347</v>
      </c>
      <c r="F171">
        <f t="shared" si="30"/>
        <v>1825.5929120117532</v>
      </c>
      <c r="G171">
        <f t="shared" si="31"/>
        <v>229.09726094509847</v>
      </c>
      <c r="H171">
        <v>3700</v>
      </c>
      <c r="I171">
        <f t="shared" si="21"/>
        <v>478.63009232268433</v>
      </c>
      <c r="J171">
        <f t="shared" si="22"/>
        <v>1.6151085792883036E-2</v>
      </c>
      <c r="K171">
        <f t="shared" si="23"/>
        <v>1.8080675183032538E-2</v>
      </c>
      <c r="L171">
        <f t="shared" si="24"/>
        <v>1.336200169841944E-2</v>
      </c>
      <c r="M171">
        <f t="shared" si="25"/>
        <v>1.7733378858443231E-2</v>
      </c>
      <c r="O171">
        <f t="shared" si="26"/>
        <v>0.36432232445336293</v>
      </c>
      <c r="Q171">
        <f t="shared" si="27"/>
        <v>0.34792511877505772</v>
      </c>
      <c r="R171">
        <f t="shared" si="28"/>
        <v>0.38201072204852721</v>
      </c>
      <c r="S171">
        <f t="shared" si="29"/>
        <v>0.38949214568359458</v>
      </c>
    </row>
    <row r="172" spans="1:19">
      <c r="A172">
        <f t="shared" si="36"/>
        <v>-2.6600000000000414</v>
      </c>
      <c r="B172">
        <f t="shared" si="32"/>
        <v>2.1877616239493422E-3</v>
      </c>
      <c r="C172">
        <f t="shared" si="33"/>
        <v>37.175607770074102</v>
      </c>
      <c r="D172">
        <f t="shared" si="33"/>
        <v>3774.5787415246787</v>
      </c>
      <c r="E172">
        <f t="shared" si="34"/>
        <v>1458.245927292372</v>
      </c>
      <c r="F172">
        <f t="shared" si="30"/>
        <v>1660.9967492194676</v>
      </c>
      <c r="G172">
        <f t="shared" si="31"/>
        <v>208.93834303726928</v>
      </c>
      <c r="H172">
        <v>3500</v>
      </c>
      <c r="I172">
        <f t="shared" si="21"/>
        <v>457.08818961491897</v>
      </c>
      <c r="J172">
        <f t="shared" si="22"/>
        <v>1.6752053231289119E-2</v>
      </c>
      <c r="K172">
        <f t="shared" si="23"/>
        <v>1.8066269715346774E-2</v>
      </c>
      <c r="L172">
        <f t="shared" si="24"/>
        <v>1.3343794883087432E-2</v>
      </c>
      <c r="M172">
        <f t="shared" si="25"/>
        <v>1.7717797062222949E-2</v>
      </c>
      <c r="O172">
        <f t="shared" si="26"/>
        <v>0.3608711008637408</v>
      </c>
      <c r="Q172">
        <f t="shared" si="27"/>
        <v>0.34462922583426536</v>
      </c>
      <c r="R172">
        <f t="shared" si="28"/>
        <v>0.3644968530566588</v>
      </c>
      <c r="S172">
        <f t="shared" si="29"/>
        <v>0.37166575701203586</v>
      </c>
    </row>
    <row r="173" spans="1:19">
      <c r="A173">
        <f t="shared" si="36"/>
        <v>-2.6400000000000414</v>
      </c>
      <c r="B173">
        <f t="shared" si="32"/>
        <v>2.2908676527675538E-3</v>
      </c>
      <c r="C173">
        <f t="shared" si="33"/>
        <v>33.901976606496085</v>
      </c>
      <c r="D173">
        <f t="shared" si="33"/>
        <v>3439.837403632991</v>
      </c>
      <c r="E173">
        <f t="shared" si="34"/>
        <v>1329.9239510786606</v>
      </c>
      <c r="F173">
        <f t="shared" si="30"/>
        <v>1515.0818724284943</v>
      </c>
      <c r="G173">
        <f t="shared" si="31"/>
        <v>190.55333308071363</v>
      </c>
      <c r="H173">
        <v>3300</v>
      </c>
      <c r="I173">
        <f t="shared" si="21"/>
        <v>436.51583224020777</v>
      </c>
      <c r="J173">
        <f t="shared" si="22"/>
        <v>1.7318646188239181E-2</v>
      </c>
      <c r="K173">
        <f t="shared" si="23"/>
        <v>1.8052523314724563E-2</v>
      </c>
      <c r="L173">
        <f t="shared" si="24"/>
        <v>1.3326429407880631E-2</v>
      </c>
      <c r="M173">
        <f t="shared" si="25"/>
        <v>1.7702933051851128E-2</v>
      </c>
      <c r="O173">
        <f t="shared" si="26"/>
        <v>0.35628537863063203</v>
      </c>
      <c r="Q173">
        <f t="shared" si="27"/>
        <v>0.34024989510009379</v>
      </c>
      <c r="R173">
        <f t="shared" si="28"/>
        <v>0.3477997672789655</v>
      </c>
      <c r="S173">
        <f t="shared" si="29"/>
        <v>0.35466797446894066</v>
      </c>
    </row>
    <row r="174" spans="1:19">
      <c r="A174">
        <f t="shared" si="36"/>
        <v>-2.6200000000000414</v>
      </c>
      <c r="B174">
        <f t="shared" si="32"/>
        <v>2.3988329190192605E-3</v>
      </c>
      <c r="C174">
        <f t="shared" si="33"/>
        <v>30.916722664939833</v>
      </c>
      <c r="D174">
        <f t="shared" si="33"/>
        <v>3134.8893598812811</v>
      </c>
      <c r="E174">
        <f t="shared" si="34"/>
        <v>1212.8949604773366</v>
      </c>
      <c r="F174">
        <f t="shared" si="30"/>
        <v>1382.7880520910389</v>
      </c>
      <c r="G174">
        <f t="shared" si="31"/>
        <v>173.78612256848137</v>
      </c>
      <c r="H174">
        <v>3100</v>
      </c>
      <c r="I174">
        <f t="shared" si="21"/>
        <v>416.8693834703754</v>
      </c>
      <c r="J174">
        <f t="shared" si="22"/>
        <v>1.7838638057448446E-2</v>
      </c>
      <c r="K174">
        <f t="shared" si="23"/>
        <v>1.8039405368086583E-2</v>
      </c>
      <c r="L174">
        <f t="shared" si="24"/>
        <v>1.330986545940536E-2</v>
      </c>
      <c r="M174">
        <f t="shared" si="25"/>
        <v>1.7688753053691605E-2</v>
      </c>
      <c r="O174">
        <f t="shared" si="26"/>
        <v>0.35046588871924395</v>
      </c>
      <c r="Q174">
        <f t="shared" si="27"/>
        <v>0.33469232538029259</v>
      </c>
      <c r="R174">
        <f t="shared" si="28"/>
        <v>0.33188015102676538</v>
      </c>
      <c r="S174">
        <f t="shared" si="29"/>
        <v>0.33845916440922669</v>
      </c>
    </row>
    <row r="175" spans="1:19">
      <c r="A175">
        <f t="shared" si="36"/>
        <v>-2.6000000000000414</v>
      </c>
      <c r="B175">
        <f t="shared" si="32"/>
        <v>2.5118864315093392E-3</v>
      </c>
      <c r="C175">
        <f t="shared" si="33"/>
        <v>28.194428857301347</v>
      </c>
      <c r="D175">
        <f t="shared" si="33"/>
        <v>2857.0690051312017</v>
      </c>
      <c r="E175">
        <f t="shared" si="34"/>
        <v>1106.1649515020667</v>
      </c>
      <c r="F175">
        <f t="shared" si="30"/>
        <v>1266.7052540580037</v>
      </c>
      <c r="G175">
        <f t="shared" si="31"/>
        <v>158.49434285975681</v>
      </c>
      <c r="H175">
        <v>2700</v>
      </c>
      <c r="I175">
        <f t="shared" si="21"/>
        <v>398.10717055353541</v>
      </c>
      <c r="J175">
        <f t="shared" si="22"/>
        <v>1.7035848300961949E-2</v>
      </c>
      <c r="K175">
        <f t="shared" si="23"/>
        <v>1.8026886724739049E-2</v>
      </c>
      <c r="L175">
        <f t="shared" si="24"/>
        <v>1.3294065190052497E-2</v>
      </c>
      <c r="M175">
        <f t="shared" si="25"/>
        <v>1.7675224945547064E-2</v>
      </c>
      <c r="O175">
        <f t="shared" si="26"/>
        <v>0.31963021304163342</v>
      </c>
      <c r="Q175">
        <f t="shared" si="27"/>
        <v>0.30524448372321134</v>
      </c>
      <c r="R175">
        <f t="shared" si="28"/>
        <v>0.31670069009070062</v>
      </c>
      <c r="S175">
        <f t="shared" si="29"/>
        <v>0.32300168645661581</v>
      </c>
    </row>
    <row r="176" spans="1:19">
      <c r="A176">
        <f t="shared" si="36"/>
        <v>-2.5800000000000414</v>
      </c>
      <c r="B176">
        <f t="shared" si="32"/>
        <v>2.6302679918951293E-3</v>
      </c>
      <c r="C176">
        <f t="shared" si="33"/>
        <v>25.711920079400457</v>
      </c>
      <c r="D176">
        <f t="shared" si="33"/>
        <v>2603.9510198659882</v>
      </c>
      <c r="E176">
        <f t="shared" si="34"/>
        <v>1008.8274395631278</v>
      </c>
      <c r="F176">
        <f t="shared" si="30"/>
        <v>1162.4916480363006</v>
      </c>
      <c r="G176">
        <f t="shared" si="31"/>
        <v>144.54815554608064</v>
      </c>
      <c r="H176">
        <v>2500</v>
      </c>
      <c r="I176">
        <f t="shared" si="21"/>
        <v>380.18939632059772</v>
      </c>
      <c r="J176">
        <f t="shared" si="22"/>
        <v>1.7295774272970091E-2</v>
      </c>
      <c r="K176">
        <f t="shared" si="23"/>
        <v>1.8014939622988956E-2</v>
      </c>
      <c r="L176">
        <f t="shared" si="24"/>
        <v>1.3278992613888803E-2</v>
      </c>
      <c r="M176">
        <f t="shared" si="25"/>
        <v>1.7662318170485459E-2</v>
      </c>
      <c r="O176">
        <f t="shared" si="26"/>
        <v>0.30990177860693569</v>
      </c>
      <c r="Q176">
        <f t="shared" si="27"/>
        <v>0.29595390096447965</v>
      </c>
      <c r="R176">
        <f t="shared" si="28"/>
        <v>0.30222595878810254</v>
      </c>
      <c r="S176">
        <f t="shared" si="29"/>
        <v>0.30825978489990979</v>
      </c>
    </row>
    <row r="177" spans="1:19">
      <c r="A177">
        <f t="shared" si="36"/>
        <v>-2.5600000000000414</v>
      </c>
      <c r="B177">
        <f t="shared" si="32"/>
        <v>2.7542287033379036E-3</v>
      </c>
      <c r="C177">
        <f t="shared" si="33"/>
        <v>23.448065223015295</v>
      </c>
      <c r="D177">
        <f t="shared" si="33"/>
        <v>2373.3284786404474</v>
      </c>
      <c r="E177">
        <f t="shared" si="34"/>
        <v>920.05574898075679</v>
      </c>
      <c r="F177">
        <f t="shared" si="30"/>
        <v>1051.4101156895758</v>
      </c>
      <c r="G177">
        <f t="shared" si="31"/>
        <v>131.82914936568622</v>
      </c>
      <c r="H177">
        <v>2300</v>
      </c>
      <c r="I177">
        <f t="shared" si="21"/>
        <v>363.07805477013602</v>
      </c>
      <c r="J177">
        <f t="shared" si="22"/>
        <v>1.7447284225667898E-2</v>
      </c>
      <c r="K177">
        <f t="shared" si="23"/>
        <v>1.8003537620744289E-2</v>
      </c>
      <c r="L177">
        <f t="shared" si="24"/>
        <v>1.326461350865254E-2</v>
      </c>
      <c r="M177">
        <f t="shared" si="25"/>
        <v>1.7650003655624604E-2</v>
      </c>
      <c r="O177">
        <f t="shared" si="26"/>
        <v>0.29854643951338095</v>
      </c>
      <c r="Q177">
        <f t="shared" si="27"/>
        <v>0.2851096363183766</v>
      </c>
      <c r="R177">
        <f t="shared" si="28"/>
        <v>0.28842231594244072</v>
      </c>
      <c r="S177">
        <f t="shared" si="29"/>
        <v>0.29419948669966256</v>
      </c>
    </row>
    <row r="178" spans="1:19">
      <c r="A178">
        <f t="shared" si="36"/>
        <v>-2.5400000000000413</v>
      </c>
      <c r="B178">
        <f t="shared" si="32"/>
        <v>2.8840315031263301E-3</v>
      </c>
      <c r="C178">
        <f t="shared" si="33"/>
        <v>21.383596701453271</v>
      </c>
      <c r="D178">
        <f t="shared" si="33"/>
        <v>2163.1929827874278</v>
      </c>
      <c r="E178">
        <f t="shared" si="34"/>
        <v>839.09598257466473</v>
      </c>
      <c r="F178">
        <f t="shared" si="30"/>
        <v>964.06911901298133</v>
      </c>
      <c r="G178">
        <f t="shared" si="31"/>
        <v>120.22933427179211</v>
      </c>
      <c r="H178">
        <v>2100</v>
      </c>
      <c r="I178">
        <f t="shared" si="21"/>
        <v>346.73685045256479</v>
      </c>
      <c r="J178">
        <f t="shared" si="22"/>
        <v>1.7467039193152751E-2</v>
      </c>
      <c r="K178">
        <f t="shared" si="23"/>
        <v>1.7992655529857623E-2</v>
      </c>
      <c r="L178">
        <f t="shared" si="24"/>
        <v>1.3250895323448319E-2</v>
      </c>
      <c r="M178">
        <f t="shared" si="25"/>
        <v>1.7638253735551817E-2</v>
      </c>
      <c r="O178">
        <f t="shared" si="26"/>
        <v>0.28543245627833325</v>
      </c>
      <c r="Q178">
        <f t="shared" si="27"/>
        <v>0.27258587955569608</v>
      </c>
      <c r="R178">
        <f t="shared" si="28"/>
        <v>0.27525780730008859</v>
      </c>
      <c r="S178">
        <f t="shared" si="29"/>
        <v>0.28078850564848612</v>
      </c>
    </row>
    <row r="179" spans="1:19">
      <c r="A179">
        <f t="shared" si="36"/>
        <v>-2.5200000000000413</v>
      </c>
      <c r="B179">
        <f t="shared" si="32"/>
        <v>3.0199517204017269E-3</v>
      </c>
      <c r="C179">
        <f t="shared" si="33"/>
        <v>19.500945935666881</v>
      </c>
      <c r="D179">
        <f t="shared" si="33"/>
        <v>1971.7166263825791</v>
      </c>
      <c r="E179">
        <f t="shared" si="34"/>
        <v>765.26061121490329</v>
      </c>
      <c r="F179">
        <f t="shared" si="30"/>
        <v>873.54819959639735</v>
      </c>
      <c r="G179">
        <f t="shared" si="31"/>
        <v>109.65022409047734</v>
      </c>
      <c r="H179">
        <v>1900</v>
      </c>
      <c r="I179">
        <f t="shared" si="21"/>
        <v>331.1311214826228</v>
      </c>
      <c r="J179">
        <f t="shared" si="22"/>
        <v>1.7328205947758964E-2</v>
      </c>
      <c r="K179">
        <f t="shared" si="23"/>
        <v>1.7982269353988341E-2</v>
      </c>
      <c r="L179">
        <f t="shared" si="24"/>
        <v>1.3237807091766458E-2</v>
      </c>
      <c r="M179">
        <f t="shared" si="25"/>
        <v>1.762704208007973E-2</v>
      </c>
      <c r="O179">
        <f t="shared" si="26"/>
        <v>0.27041928555606215</v>
      </c>
      <c r="Q179">
        <f t="shared" si="27"/>
        <v>0.25824841282325295</v>
      </c>
      <c r="R179">
        <f t="shared" si="28"/>
        <v>0.26270207392924061</v>
      </c>
      <c r="S179">
        <f t="shared" si="29"/>
        <v>0.26799615226343154</v>
      </c>
    </row>
    <row r="180" spans="1:19">
      <c r="A180">
        <f t="shared" si="36"/>
        <v>-2.5000000000000413</v>
      </c>
      <c r="B180">
        <f t="shared" si="32"/>
        <v>3.1622776601680754E-3</v>
      </c>
      <c r="C180">
        <f t="shared" si="33"/>
        <v>17.784093386121494</v>
      </c>
      <c r="D180">
        <f t="shared" si="33"/>
        <v>1797.2356229777297</v>
      </c>
      <c r="E180">
        <f t="shared" si="34"/>
        <v>697.92262855515628</v>
      </c>
      <c r="F180">
        <f t="shared" si="30"/>
        <v>802.17405385923553</v>
      </c>
      <c r="G180">
        <f t="shared" si="31"/>
        <v>100.00199996001844</v>
      </c>
      <c r="H180">
        <v>1730</v>
      </c>
      <c r="I180">
        <f t="shared" si="21"/>
        <v>316.22776601686832</v>
      </c>
      <c r="J180">
        <f t="shared" si="22"/>
        <v>1.7299999999996672E-2</v>
      </c>
      <c r="K180">
        <f t="shared" si="23"/>
        <v>1.7972356229773841E-2</v>
      </c>
      <c r="L180">
        <f t="shared" si="24"/>
        <v>1.3225319349480041E-2</v>
      </c>
      <c r="M180">
        <f t="shared" si="25"/>
        <v>1.7616343626061001E-2</v>
      </c>
      <c r="O180">
        <f t="shared" si="26"/>
        <v>0.25782804955750999</v>
      </c>
      <c r="Q180">
        <f t="shared" si="27"/>
        <v>0.2462238757957888</v>
      </c>
      <c r="R180">
        <f t="shared" si="28"/>
        <v>0.25072626618265981</v>
      </c>
      <c r="S180">
        <f t="shared" si="29"/>
        <v>0.25579324902187034</v>
      </c>
    </row>
    <row r="181" spans="1:19">
      <c r="A181">
        <f t="shared" si="36"/>
        <v>-2.4800000000000413</v>
      </c>
      <c r="B181">
        <f t="shared" si="32"/>
        <v>3.3113112148255956E-3</v>
      </c>
      <c r="C181">
        <f t="shared" si="33"/>
        <v>16.218431841457392</v>
      </c>
      <c r="D181">
        <f t="shared" si="33"/>
        <v>1638.235437266467</v>
      </c>
      <c r="E181">
        <f t="shared" si="34"/>
        <v>636.51022102796128</v>
      </c>
      <c r="F181">
        <f t="shared" si="30"/>
        <v>732.69501723058443</v>
      </c>
      <c r="G181">
        <f t="shared" si="31"/>
        <v>91.20274743280693</v>
      </c>
      <c r="H181">
        <v>1600</v>
      </c>
      <c r="I181">
        <f t="shared" si="21"/>
        <v>301.99517204023039</v>
      </c>
      <c r="J181">
        <f t="shared" si="22"/>
        <v>1.7543651138287621E-2</v>
      </c>
      <c r="K181">
        <f t="shared" si="23"/>
        <v>1.7962894371114355E-2</v>
      </c>
      <c r="L181">
        <f t="shared" si="24"/>
        <v>1.321340405749841E-2</v>
      </c>
      <c r="M181">
        <f t="shared" si="25"/>
        <v>1.7606134513005092E-2</v>
      </c>
      <c r="O181">
        <f t="shared" si="26"/>
        <v>0.24969166351902355</v>
      </c>
      <c r="Q181">
        <f t="shared" si="27"/>
        <v>0.23845368745202686</v>
      </c>
      <c r="R181">
        <f t="shared" si="28"/>
        <v>0.23930296283879687</v>
      </c>
      <c r="S181">
        <f t="shared" si="29"/>
        <v>0.24415205058173287</v>
      </c>
    </row>
    <row r="182" spans="1:19">
      <c r="A182">
        <f t="shared" si="36"/>
        <v>-2.4600000000000413</v>
      </c>
      <c r="B182">
        <f t="shared" si="32"/>
        <v>3.4673685045249853E-3</v>
      </c>
      <c r="C182">
        <f t="shared" si="33"/>
        <v>14.790641789579221</v>
      </c>
      <c r="D182">
        <f t="shared" si="33"/>
        <v>1493.3372808375354</v>
      </c>
      <c r="E182">
        <f t="shared" si="34"/>
        <v>580.50190760594774</v>
      </c>
      <c r="F182">
        <f t="shared" si="30"/>
        <v>668.05995088089139</v>
      </c>
      <c r="G182">
        <f t="shared" si="31"/>
        <v>83.17776074920684</v>
      </c>
      <c r="H182">
        <v>1500</v>
      </c>
      <c r="I182">
        <f t="shared" si="21"/>
        <v>288.40315031268813</v>
      </c>
      <c r="J182">
        <f t="shared" si="22"/>
        <v>1.803396651925775E-2</v>
      </c>
      <c r="K182">
        <f t="shared" si="23"/>
        <v>1.7953863016389016E-2</v>
      </c>
      <c r="L182">
        <f t="shared" si="24"/>
        <v>1.3202034528779423E-2</v>
      </c>
      <c r="M182">
        <f t="shared" si="25"/>
        <v>1.7596392022258742E-2</v>
      </c>
      <c r="O182">
        <f t="shared" si="26"/>
        <v>0.24511806476352127</v>
      </c>
      <c r="Q182">
        <f t="shared" si="27"/>
        <v>0.23408593454908508</v>
      </c>
      <c r="R182">
        <f t="shared" si="28"/>
        <v>0.22840609506643561</v>
      </c>
      <c r="S182">
        <f t="shared" si="29"/>
        <v>0.23304616865456268</v>
      </c>
    </row>
    <row r="183" spans="1:19">
      <c r="A183">
        <f t="shared" si="36"/>
        <v>-2.4400000000000412</v>
      </c>
      <c r="B183">
        <f t="shared" si="32"/>
        <v>3.6307805477006662E-3</v>
      </c>
      <c r="C183">
        <f t="shared" si="33"/>
        <v>13.488577801159552</v>
      </c>
      <c r="D183">
        <f t="shared" si="33"/>
        <v>1361.2858446745206</v>
      </c>
      <c r="E183">
        <f t="shared" si="34"/>
        <v>529.4221078629364</v>
      </c>
      <c r="F183">
        <f t="shared" si="30"/>
        <v>608.81969650348572</v>
      </c>
      <c r="G183">
        <f t="shared" si="31"/>
        <v>75.858908365346664</v>
      </c>
      <c r="H183">
        <v>1400</v>
      </c>
      <c r="I183">
        <f t="shared" si="21"/>
        <v>275.42287033384298</v>
      </c>
      <c r="J183">
        <f t="shared" si="22"/>
        <v>1.845559433978617E-2</v>
      </c>
      <c r="K183">
        <f t="shared" si="23"/>
        <v>1.7945242378432941E-2</v>
      </c>
      <c r="L183">
        <f t="shared" si="24"/>
        <v>1.3191185359424219E-2</v>
      </c>
      <c r="M183">
        <f t="shared" si="25"/>
        <v>1.7587094519528602E-2</v>
      </c>
      <c r="O183">
        <f t="shared" si="26"/>
        <v>0.23955878170641387</v>
      </c>
      <c r="Q183">
        <f t="shared" si="27"/>
        <v>0.22877686044595277</v>
      </c>
      <c r="R183">
        <f t="shared" si="28"/>
        <v>0.21801087488524595</v>
      </c>
      <c r="S183">
        <f t="shared" si="29"/>
        <v>0.22245050122439552</v>
      </c>
    </row>
    <row r="184" spans="1:19">
      <c r="A184">
        <f t="shared" si="36"/>
        <v>-2.4200000000000412</v>
      </c>
      <c r="B184">
        <f t="shared" si="32"/>
        <v>3.8018939632052475E-3</v>
      </c>
      <c r="C184">
        <f t="shared" si="33"/>
        <v>12.301164950585431</v>
      </c>
      <c r="D184">
        <f t="shared" si="33"/>
        <v>1240.9381532281461</v>
      </c>
      <c r="E184">
        <f t="shared" si="34"/>
        <v>482.83710053955997</v>
      </c>
      <c r="F184">
        <f t="shared" si="30"/>
        <v>552.15974281260333</v>
      </c>
      <c r="G184">
        <f t="shared" si="31"/>
        <v>69.184054338846138</v>
      </c>
      <c r="H184">
        <v>1300</v>
      </c>
      <c r="I184">
        <f t="shared" ref="I184:I233" si="37">1/$B184</f>
        <v>263.02679918956341</v>
      </c>
      <c r="J184">
        <f t="shared" ref="J184:J233" si="38">+$H184*$B184*$B184</f>
        <v>1.8790717019693457E-2</v>
      </c>
      <c r="K184">
        <f t="shared" ref="K184:K233" si="39">+$D184*$B184*$B184</f>
        <v>1.7937013597116223E-2</v>
      </c>
      <c r="L184">
        <f t="shared" ref="L184:L233" si="40">+$L$1/(EXP(+$L$2*$I184)+$L$3*EXP(-$L$2*$I184))</f>
        <v>1.318083236359819E-2</v>
      </c>
      <c r="M184">
        <f t="shared" ref="M184:M233" si="41">+$M$1/(1+$M$2*(($I184-$M$3)^2))</f>
        <v>1.7578221400540411E-2</v>
      </c>
      <c r="O184">
        <f t="shared" ref="O184:O233" si="42">+($B185-$B184)*$H184</f>
        <v>0.23293106502814978</v>
      </c>
      <c r="Q184">
        <f t="shared" ref="Q184:Q232" si="43">+$J184*($I184-$I185)</f>
        <v>0.22244744015595977</v>
      </c>
      <c r="R184">
        <f t="shared" ref="R184:R232" si="44">+$M184*($I184-$I185)</f>
        <v>0.20809372782032956</v>
      </c>
      <c r="S184">
        <f t="shared" ref="S184:S232" si="45">+$K184*($I184-$I185)</f>
        <v>0.2123411658288194</v>
      </c>
    </row>
    <row r="185" spans="1:19">
      <c r="A185">
        <f t="shared" si="36"/>
        <v>-2.4000000000000412</v>
      </c>
      <c r="B185">
        <f t="shared" si="32"/>
        <v>3.9810717055345935E-3</v>
      </c>
      <c r="C185">
        <f t="shared" si="33"/>
        <v>11.218304385937452</v>
      </c>
      <c r="D185">
        <f t="shared" si="33"/>
        <v>1131.2534358569651</v>
      </c>
      <c r="E185">
        <f t="shared" si="34"/>
        <v>440.35133816203381</v>
      </c>
      <c r="F185">
        <f t="shared" si="30"/>
        <v>505.12394498324579</v>
      </c>
      <c r="G185">
        <f t="shared" si="31"/>
        <v>63.09653065232478</v>
      </c>
      <c r="H185">
        <v>1200</v>
      </c>
      <c r="I185">
        <f t="shared" si="37"/>
        <v>251.18864315098193</v>
      </c>
      <c r="J185">
        <f t="shared" si="38"/>
        <v>1.9018718309529739E-2</v>
      </c>
      <c r="K185">
        <f t="shared" si="39"/>
        <v>1.7929158694376075E-2</v>
      </c>
      <c r="L185">
        <f t="shared" si="40"/>
        <v>1.3170952512040056E-2</v>
      </c>
      <c r="M185">
        <f t="shared" si="41"/>
        <v>1.7569753039643306E-2</v>
      </c>
      <c r="O185">
        <f t="shared" si="42"/>
        <v>0.22514655500203534</v>
      </c>
      <c r="Q185">
        <f t="shared" si="43"/>
        <v>0.21501329079521117</v>
      </c>
      <c r="R185">
        <f t="shared" si="44"/>
        <v>0.19863222947152848</v>
      </c>
      <c r="S185">
        <f t="shared" si="45"/>
        <v>0.20269543663916284</v>
      </c>
    </row>
    <row r="186" spans="1:19">
      <c r="A186">
        <f t="shared" si="36"/>
        <v>-2.3800000000000412</v>
      </c>
      <c r="B186">
        <f t="shared" si="32"/>
        <v>4.1686938347029563E-3</v>
      </c>
      <c r="C186">
        <f t="shared" si="33"/>
        <v>10.230787238438058</v>
      </c>
      <c r="D186">
        <f t="shared" si="33"/>
        <v>1031.2839213262382</v>
      </c>
      <c r="E186">
        <f t="shared" si="34"/>
        <v>401.60408630943573</v>
      </c>
      <c r="F186">
        <f t="shared" si="30"/>
        <v>459.32256198698883</v>
      </c>
      <c r="G186">
        <f t="shared" si="31"/>
        <v>57.544655988347714</v>
      </c>
      <c r="H186">
        <v>1100</v>
      </c>
      <c r="I186">
        <f t="shared" si="37"/>
        <v>239.88329190197194</v>
      </c>
      <c r="J186">
        <f t="shared" si="38"/>
        <v>1.9115809116239481E-2</v>
      </c>
      <c r="K186">
        <f t="shared" si="39"/>
        <v>1.7921660531563008E-2</v>
      </c>
      <c r="L186">
        <f t="shared" si="40"/>
        <v>1.3161523873937674E-2</v>
      </c>
      <c r="M186">
        <f t="shared" si="41"/>
        <v>1.7561670741181118E-2</v>
      </c>
      <c r="O186">
        <f t="shared" si="42"/>
        <v>0.21611093646811433</v>
      </c>
      <c r="Q186">
        <f t="shared" si="43"/>
        <v>0.20638434208519918</v>
      </c>
      <c r="R186">
        <f t="shared" si="44"/>
        <v>0.18960504573967887</v>
      </c>
      <c r="S186">
        <f t="shared" si="45"/>
        <v>0.1934916850963273</v>
      </c>
    </row>
    <row r="187" spans="1:19">
      <c r="A187">
        <f t="shared" si="36"/>
        <v>-2.3600000000000412</v>
      </c>
      <c r="B187">
        <f t="shared" si="32"/>
        <v>4.365158322401242E-3</v>
      </c>
      <c r="C187">
        <f t="shared" si="33"/>
        <v>9.3302161336255161</v>
      </c>
      <c r="D187">
        <f t="shared" si="33"/>
        <v>940.16646998228043</v>
      </c>
      <c r="E187">
        <f t="shared" si="34"/>
        <v>366.26635890085066</v>
      </c>
      <c r="F187">
        <f t="shared" si="30"/>
        <v>420.83850915469878</v>
      </c>
      <c r="G187">
        <f t="shared" si="31"/>
        <v>52.481296864946167</v>
      </c>
      <c r="H187">
        <v>1000</v>
      </c>
      <c r="I187">
        <f t="shared" si="37"/>
        <v>229.08676527679921</v>
      </c>
      <c r="J187">
        <f t="shared" si="38"/>
        <v>1.9054607179628823E-2</v>
      </c>
      <c r="K187">
        <f t="shared" si="39"/>
        <v>1.791450276897065E-2</v>
      </c>
      <c r="L187">
        <f t="shared" si="40"/>
        <v>1.3152525561964775E-2</v>
      </c>
      <c r="M187">
        <f t="shared" si="41"/>
        <v>1.7553956693464972E-2</v>
      </c>
      <c r="O187">
        <f t="shared" si="42"/>
        <v>0.2057235737470747</v>
      </c>
      <c r="Q187">
        <f t="shared" si="43"/>
        <v>0.19646448769829</v>
      </c>
      <c r="R187">
        <f t="shared" si="44"/>
        <v>0.18099187647103959</v>
      </c>
      <c r="S187">
        <f t="shared" si="45"/>
        <v>0.1847093238761785</v>
      </c>
    </row>
    <row r="188" spans="1:19">
      <c r="A188">
        <f t="shared" si="36"/>
        <v>-2.3400000000000412</v>
      </c>
      <c r="B188">
        <f t="shared" si="32"/>
        <v>4.5708818961483167E-3</v>
      </c>
      <c r="C188">
        <f t="shared" si="33"/>
        <v>8.5089336319361486</v>
      </c>
      <c r="D188">
        <f t="shared" si="33"/>
        <v>857.1149662786537</v>
      </c>
      <c r="E188">
        <f t="shared" si="34"/>
        <v>334.03812340339493</v>
      </c>
      <c r="F188">
        <f t="shared" si="30"/>
        <v>384.02721518836825</v>
      </c>
      <c r="G188">
        <f t="shared" si="31"/>
        <v>47.863467401417516</v>
      </c>
      <c r="H188">
        <v>900</v>
      </c>
      <c r="I188">
        <f t="shared" si="37"/>
        <v>218.77616239497601</v>
      </c>
      <c r="J188">
        <f t="shared" si="38"/>
        <v>1.8803665177682789E-2</v>
      </c>
      <c r="K188">
        <f t="shared" si="39"/>
        <v>1.7907669827427419E-2</v>
      </c>
      <c r="L188">
        <f t="shared" si="40"/>
        <v>1.3143937680287024E-2</v>
      </c>
      <c r="M188">
        <f t="shared" si="41"/>
        <v>1.7546593925192418E-2</v>
      </c>
      <c r="O188">
        <f t="shared" si="42"/>
        <v>0.19387712436985038</v>
      </c>
      <c r="Q188">
        <f t="shared" si="43"/>
        <v>0.18515121637236298</v>
      </c>
      <c r="R188">
        <f t="shared" si="44"/>
        <v>0.17277340229909602</v>
      </c>
      <c r="S188">
        <f t="shared" si="45"/>
        <v>0.17632875397494399</v>
      </c>
    </row>
    <row r="189" spans="1:19">
      <c r="A189">
        <f t="shared" si="36"/>
        <v>-2.3200000000000411</v>
      </c>
      <c r="B189">
        <f t="shared" si="32"/>
        <v>4.7863009232259283E-3</v>
      </c>
      <c r="C189">
        <f t="shared" si="33"/>
        <v>7.7599569859791533</v>
      </c>
      <c r="D189">
        <f t="shared" si="33"/>
        <v>781.41340160838035</v>
      </c>
      <c r="E189">
        <f t="shared" si="34"/>
        <v>304.64575216736051</v>
      </c>
      <c r="F189">
        <f t="shared" si="30"/>
        <v>349.75181909036149</v>
      </c>
      <c r="G189">
        <f t="shared" si="31"/>
        <v>43.651964312841407</v>
      </c>
      <c r="H189">
        <v>830</v>
      </c>
      <c r="I189">
        <f t="shared" si="37"/>
        <v>208.92961308542382</v>
      </c>
      <c r="J189">
        <f t="shared" si="38"/>
        <v>1.9014201517968902E-2</v>
      </c>
      <c r="K189">
        <f t="shared" si="39"/>
        <v>1.790114685183531E-2</v>
      </c>
      <c r="L189">
        <f t="shared" si="40"/>
        <v>1.3135741275358891E-2</v>
      </c>
      <c r="M189">
        <f t="shared" si="41"/>
        <v>1.7539566264169065E-2</v>
      </c>
      <c r="O189">
        <f t="shared" si="42"/>
        <v>0.18722427282844287</v>
      </c>
      <c r="Q189">
        <f t="shared" si="43"/>
        <v>0.17879779247441793</v>
      </c>
      <c r="R189">
        <f t="shared" si="44"/>
        <v>0.16493123447905866</v>
      </c>
      <c r="S189">
        <f t="shared" si="45"/>
        <v>0.16833131471988455</v>
      </c>
    </row>
    <row r="190" spans="1:19">
      <c r="A190">
        <f t="shared" si="36"/>
        <v>-2.3000000000000411</v>
      </c>
      <c r="B190">
        <f t="shared" si="32"/>
        <v>5.011872336272245E-3</v>
      </c>
      <c r="C190">
        <f t="shared" si="33"/>
        <v>7.0769186560887896</v>
      </c>
      <c r="D190">
        <f t="shared" si="33"/>
        <v>712.4095839714322</v>
      </c>
      <c r="E190">
        <f t="shared" si="34"/>
        <v>277.83969819566232</v>
      </c>
      <c r="F190">
        <f t="shared" si="30"/>
        <v>317.61353894171481</v>
      </c>
      <c r="G190">
        <f t="shared" si="31"/>
        <v>39.811034031471962</v>
      </c>
      <c r="H190">
        <v>750</v>
      </c>
      <c r="I190">
        <f t="shared" si="37"/>
        <v>199.52623149690697</v>
      </c>
      <c r="J190">
        <f t="shared" si="38"/>
        <v>1.8839148236318257E-2</v>
      </c>
      <c r="K190">
        <f t="shared" si="39"/>
        <v>1.789491967654884E-2</v>
      </c>
      <c r="L190">
        <f t="shared" si="40"/>
        <v>1.3127918289345062E-2</v>
      </c>
      <c r="M190">
        <f t="shared" si="41"/>
        <v>1.7532858298198103E-2</v>
      </c>
      <c r="O190">
        <f t="shared" si="42"/>
        <v>0.17715169966873501</v>
      </c>
      <c r="Q190">
        <f t="shared" si="43"/>
        <v>0.16917855978473767</v>
      </c>
      <c r="R190">
        <f t="shared" si="44"/>
        <v>0.15744786752517875</v>
      </c>
      <c r="S190">
        <f t="shared" si="45"/>
        <v>0.16069923652417473</v>
      </c>
    </row>
    <row r="191" spans="1:19">
      <c r="A191">
        <f t="shared" si="36"/>
        <v>-2.2800000000000411</v>
      </c>
      <c r="B191">
        <f t="shared" si="32"/>
        <v>5.248074602497225E-3</v>
      </c>
      <c r="C191">
        <f t="shared" si="33"/>
        <v>6.4540120752115246</v>
      </c>
      <c r="D191">
        <f t="shared" si="33"/>
        <v>649.50941694910819</v>
      </c>
      <c r="E191">
        <f t="shared" si="34"/>
        <v>253.39237556962567</v>
      </c>
      <c r="F191">
        <f t="shared" si="30"/>
        <v>291.23256631094068</v>
      </c>
      <c r="G191">
        <f t="shared" si="31"/>
        <v>36.308069126450249</v>
      </c>
      <c r="H191">
        <v>700</v>
      </c>
      <c r="I191">
        <f t="shared" si="37"/>
        <v>190.54607179634291</v>
      </c>
      <c r="J191">
        <f t="shared" si="38"/>
        <v>1.9279600923363484E-2</v>
      </c>
      <c r="K191">
        <f t="shared" si="39"/>
        <v>1.7888974792493292E-2</v>
      </c>
      <c r="L191">
        <f t="shared" si="40"/>
        <v>1.3120451516011234E-2</v>
      </c>
      <c r="M191">
        <f t="shared" si="41"/>
        <v>1.7526455338012142E-2</v>
      </c>
      <c r="O191">
        <f t="shared" si="42"/>
        <v>0.1731338952549501</v>
      </c>
      <c r="Q191">
        <f t="shared" si="43"/>
        <v>0.16534158635748922</v>
      </c>
      <c r="R191">
        <f t="shared" si="44"/>
        <v>0.15030663447493489</v>
      </c>
      <c r="S191">
        <f t="shared" si="45"/>
        <v>0.15341559621784776</v>
      </c>
    </row>
    <row r="192" spans="1:19">
      <c r="A192">
        <f t="shared" si="36"/>
        <v>-2.2600000000000411</v>
      </c>
      <c r="B192">
        <f t="shared" si="32"/>
        <v>5.4954087385757251E-3</v>
      </c>
      <c r="C192">
        <f t="shared" si="33"/>
        <v>5.8859421992608087</v>
      </c>
      <c r="D192">
        <f t="shared" si="33"/>
        <v>592.17169582931444</v>
      </c>
      <c r="E192">
        <f t="shared" si="34"/>
        <v>231.09622649845755</v>
      </c>
      <c r="F192">
        <f t="shared" si="30"/>
        <v>264.71334285888463</v>
      </c>
      <c r="G192">
        <f t="shared" si="31"/>
        <v>33.113331442452285</v>
      </c>
      <c r="H192">
        <v>650</v>
      </c>
      <c r="I192">
        <f t="shared" si="37"/>
        <v>181.97008586101558</v>
      </c>
      <c r="J192">
        <f t="shared" si="38"/>
        <v>1.9629686182609386E-2</v>
      </c>
      <c r="K192">
        <f t="shared" si="39"/>
        <v>1.7883299315927789E-2</v>
      </c>
      <c r="L192">
        <f t="shared" si="40"/>
        <v>1.3113324558939553E-2</v>
      </c>
      <c r="M192">
        <f t="shared" si="41"/>
        <v>1.7520343382129829E-2</v>
      </c>
      <c r="O192">
        <f t="shared" si="42"/>
        <v>0.16834391261694348</v>
      </c>
      <c r="Q192">
        <f t="shared" si="43"/>
        <v>0.16076718845102161</v>
      </c>
      <c r="R192">
        <f t="shared" si="44"/>
        <v>0.14349166461646665</v>
      </c>
      <c r="S192">
        <f t="shared" si="45"/>
        <v>0.14646427479808069</v>
      </c>
    </row>
    <row r="193" spans="1:19">
      <c r="A193">
        <f t="shared" si="36"/>
        <v>-2.2400000000000411</v>
      </c>
      <c r="B193">
        <f t="shared" si="32"/>
        <v>5.7543993733710228E-3</v>
      </c>
      <c r="C193">
        <f t="shared" si="33"/>
        <v>5.3678804201439316</v>
      </c>
      <c r="D193">
        <f t="shared" si="33"/>
        <v>539.90337358573277</v>
      </c>
      <c r="E193">
        <f t="shared" si="34"/>
        <v>210.76195855065808</v>
      </c>
      <c r="F193">
        <f t="shared" si="30"/>
        <v>241.25263211460819</v>
      </c>
      <c r="G193">
        <f t="shared" si="31"/>
        <v>30.199699605092068</v>
      </c>
      <c r="H193">
        <v>610</v>
      </c>
      <c r="I193">
        <f t="shared" si="37"/>
        <v>173.78008287495405</v>
      </c>
      <c r="J193">
        <f t="shared" si="38"/>
        <v>2.0198998410434221E-2</v>
      </c>
      <c r="K193">
        <f t="shared" si="39"/>
        <v>1.7877880958764407E-2</v>
      </c>
      <c r="L193">
        <f t="shared" si="40"/>
        <v>1.3106521791933492E-2</v>
      </c>
      <c r="M193">
        <f t="shared" si="41"/>
        <v>1.7514509083527582E-2</v>
      </c>
      <c r="O193">
        <f t="shared" si="42"/>
        <v>0.16542985729690887</v>
      </c>
      <c r="Q193">
        <f t="shared" si="43"/>
        <v>0.15798428722513186</v>
      </c>
      <c r="R193">
        <f t="shared" si="44"/>
        <v>0.13698784352742169</v>
      </c>
      <c r="S193">
        <f t="shared" si="45"/>
        <v>0.1398299174530919</v>
      </c>
    </row>
    <row r="194" spans="1:19">
      <c r="A194">
        <f t="shared" si="36"/>
        <v>-2.2200000000000411</v>
      </c>
      <c r="B194">
        <f t="shared" si="32"/>
        <v>6.0255958607430046E-3</v>
      </c>
      <c r="C194">
        <f t="shared" si="33"/>
        <v>4.8954234560896612</v>
      </c>
      <c r="D194">
        <f t="shared" si="33"/>
        <v>492.2552538098218</v>
      </c>
      <c r="E194">
        <f t="shared" si="34"/>
        <v>192.21693707583398</v>
      </c>
      <c r="F194">
        <f t="shared" si="30"/>
        <v>220.58522376238611</v>
      </c>
      <c r="G194">
        <f t="shared" si="31"/>
        <v>27.542438748066186</v>
      </c>
      <c r="H194">
        <v>570</v>
      </c>
      <c r="I194">
        <f t="shared" si="37"/>
        <v>165.95869074377185</v>
      </c>
      <c r="J194">
        <f t="shared" si="38"/>
        <v>2.0695449121891842E-2</v>
      </c>
      <c r="K194">
        <f t="shared" si="39"/>
        <v>1.7872708000359862E-2</v>
      </c>
      <c r="L194">
        <f t="shared" si="40"/>
        <v>1.3100028321485839E-2</v>
      </c>
      <c r="M194">
        <f t="shared" si="41"/>
        <v>1.7508939718023579E-2</v>
      </c>
      <c r="O194">
        <f t="shared" si="42"/>
        <v>0.16186722291324604</v>
      </c>
      <c r="Q194">
        <f t="shared" si="43"/>
        <v>0.15458199780202939</v>
      </c>
      <c r="R194">
        <f t="shared" si="44"/>
        <v>0.13078077528379678</v>
      </c>
      <c r="S194">
        <f t="shared" si="45"/>
        <v>0.13349789572362683</v>
      </c>
    </row>
    <row r="195" spans="1:19">
      <c r="A195">
        <f t="shared" si="36"/>
        <v>-2.200000000000041</v>
      </c>
      <c r="B195">
        <f t="shared" si="32"/>
        <v>6.3095734448013309E-3</v>
      </c>
      <c r="C195">
        <f t="shared" si="33"/>
        <v>4.4645558680084507</v>
      </c>
      <c r="D195">
        <f t="shared" si="33"/>
        <v>448.81807167307932</v>
      </c>
      <c r="E195">
        <f t="shared" si="34"/>
        <v>175.30371914739757</v>
      </c>
      <c r="F195">
        <f t="shared" si="30"/>
        <v>200.93977633795831</v>
      </c>
      <c r="G195">
        <f t="shared" si="31"/>
        <v>25.118990505935532</v>
      </c>
      <c r="H195">
        <v>540</v>
      </c>
      <c r="I195">
        <f t="shared" si="37"/>
        <v>158.48931924612646</v>
      </c>
      <c r="J195">
        <f t="shared" si="38"/>
        <v>2.1497787209884753E-2</v>
      </c>
      <c r="K195">
        <f t="shared" si="39"/>
        <v>1.7867769260701227E-2</v>
      </c>
      <c r="L195">
        <f t="shared" si="40"/>
        <v>1.3093829951191694E-2</v>
      </c>
      <c r="M195">
        <f t="shared" si="41"/>
        <v>1.7503623154277864E-2</v>
      </c>
      <c r="O195">
        <f t="shared" si="42"/>
        <v>0.16057495904796198</v>
      </c>
      <c r="Q195">
        <f t="shared" si="43"/>
        <v>0.15334789539149926</v>
      </c>
      <c r="R195">
        <f t="shared" si="44"/>
        <v>0.1248567467074122</v>
      </c>
      <c r="S195">
        <f t="shared" si="45"/>
        <v>0.12745427167544032</v>
      </c>
    </row>
    <row r="196" spans="1:19">
      <c r="A196">
        <f t="shared" si="36"/>
        <v>-2.180000000000041</v>
      </c>
      <c r="B196">
        <f t="shared" si="32"/>
        <v>6.6069344800753346E-3</v>
      </c>
      <c r="C196">
        <f t="shared" si="33"/>
        <v>4.0716158816934342</v>
      </c>
      <c r="D196">
        <f t="shared" si="33"/>
        <v>409.21892759864824</v>
      </c>
      <c r="E196">
        <f t="shared" si="34"/>
        <v>159.87871656182398</v>
      </c>
      <c r="F196">
        <f t="shared" si="30"/>
        <v>183.62411075033415</v>
      </c>
      <c r="G196">
        <f t="shared" si="31"/>
        <v>22.908781488693212</v>
      </c>
      <c r="H196">
        <v>510</v>
      </c>
      <c r="I196">
        <f t="shared" si="37"/>
        <v>151.35612484363514</v>
      </c>
      <c r="J196">
        <f t="shared" si="38"/>
        <v>2.2262307444244248E-2</v>
      </c>
      <c r="K196">
        <f t="shared" si="39"/>
        <v>1.7863054074911833E-2</v>
      </c>
      <c r="L196">
        <f t="shared" si="40"/>
        <v>1.3087913147995955E-2</v>
      </c>
      <c r="M196">
        <f t="shared" si="41"/>
        <v>1.7498547825318466E-2</v>
      </c>
      <c r="O196">
        <f t="shared" si="42"/>
        <v>0.15880136684782081</v>
      </c>
      <c r="Q196">
        <f t="shared" si="43"/>
        <v>0.15165412798973912</v>
      </c>
      <c r="R196">
        <f t="shared" si="44"/>
        <v>0.11920269352948491</v>
      </c>
      <c r="S196">
        <f t="shared" si="45"/>
        <v>0.12168576396444938</v>
      </c>
    </row>
    <row r="197" spans="1:19">
      <c r="A197">
        <f t="shared" si="36"/>
        <v>-2.160000000000041</v>
      </c>
      <c r="B197">
        <f t="shared" si="32"/>
        <v>6.9183097091887087E-3</v>
      </c>
      <c r="C197">
        <f t="shared" si="33"/>
        <v>3.7132642239915579</v>
      </c>
      <c r="D197">
        <f t="shared" si="33"/>
        <v>373.11804158299856</v>
      </c>
      <c r="E197">
        <f t="shared" si="34"/>
        <v>145.81097652889963</v>
      </c>
      <c r="F197">
        <f t="shared" ref="F197:F260" si="46">+I/(($B197-alpha*SIN($B197*L))^2+alpha^2*(1+COS($B197*L))^2)</f>
        <v>167.39001346190932</v>
      </c>
      <c r="G197">
        <f t="shared" ref="G197:G260" si="47">+Int*($B197^2+2*beta^2)/(4*(beta*$B197)^2+($B197^2-2*beta^2)^2)</f>
        <v>20.893048611346003</v>
      </c>
      <c r="H197">
        <v>480</v>
      </c>
      <c r="I197">
        <f t="shared" si="37"/>
        <v>144.54397707460646</v>
      </c>
      <c r="J197">
        <f t="shared" si="38"/>
        <v>2.2974244431482282E-2</v>
      </c>
      <c r="K197">
        <f t="shared" si="39"/>
        <v>1.7858552269007875E-2</v>
      </c>
      <c r="L197">
        <f t="shared" si="40"/>
        <v>1.3082265010171882E-2</v>
      </c>
      <c r="M197">
        <f t="shared" si="41"/>
        <v>1.7493702701508927E-2</v>
      </c>
      <c r="O197">
        <f t="shared" si="42"/>
        <v>0.15650394794904168</v>
      </c>
      <c r="Q197">
        <f t="shared" si="43"/>
        <v>0.14946010997441972</v>
      </c>
      <c r="R197">
        <f t="shared" si="44"/>
        <v>0.1138061683562681</v>
      </c>
      <c r="S197">
        <f t="shared" si="45"/>
        <v>0.11617971568423974</v>
      </c>
    </row>
    <row r="198" spans="1:19">
      <c r="A198">
        <f t="shared" si="36"/>
        <v>-2.140000000000041</v>
      </c>
      <c r="B198">
        <f t="shared" ref="B198:B261" si="48">10^$A198</f>
        <v>7.2443596007492122E-3</v>
      </c>
      <c r="C198">
        <f t="shared" ref="C198:D261" si="49">+C$1*EXP(-ABS(C$3/$B198-1/C$2))/$B198/$B198</f>
        <v>3.3864557068834489</v>
      </c>
      <c r="D198">
        <f t="shared" si="49"/>
        <v>340.20579906288009</v>
      </c>
      <c r="E198">
        <f t="shared" ref="E198:E261" si="50">$E$2/(1+$E$1^2-2*$E$1*($E$3*$B198)+($E$3*$B198)^2)+$E$2/(1+$E$1^2+2*$E$1*($E$3*$B198)+($E$3*$B198)^2)</f>
        <v>132.98106968910926</v>
      </c>
      <c r="F198">
        <f t="shared" si="46"/>
        <v>152.66749455975759</v>
      </c>
      <c r="G198">
        <f t="shared" si="47"/>
        <v>19.054679794970315</v>
      </c>
      <c r="H198">
        <v>460</v>
      </c>
      <c r="I198">
        <f t="shared" si="37"/>
        <v>138.03842646030159</v>
      </c>
      <c r="J198">
        <f t="shared" si="38"/>
        <v>2.4141143171484952E-2</v>
      </c>
      <c r="K198">
        <f t="shared" si="39"/>
        <v>1.7854254136840064E-2</v>
      </c>
      <c r="L198">
        <f t="shared" si="40"/>
        <v>1.3076873236933732E-2</v>
      </c>
      <c r="M198">
        <f t="shared" si="41"/>
        <v>1.748907726487816E-2</v>
      </c>
      <c r="O198">
        <f t="shared" si="42"/>
        <v>0.15705142878927536</v>
      </c>
      <c r="Q198">
        <f t="shared" si="43"/>
        <v>0.14998295011783136</v>
      </c>
      <c r="R198">
        <f t="shared" si="44"/>
        <v>0.10865531033026768</v>
      </c>
      <c r="S198">
        <f t="shared" si="45"/>
        <v>0.11092406389270631</v>
      </c>
    </row>
    <row r="199" spans="1:19">
      <c r="A199">
        <f t="shared" si="36"/>
        <v>-2.120000000000041</v>
      </c>
      <c r="B199">
        <f t="shared" si="48"/>
        <v>7.5857757502911152E-3</v>
      </c>
      <c r="C199">
        <f t="shared" si="49"/>
        <v>3.0884133169332517</v>
      </c>
      <c r="D199">
        <f t="shared" si="49"/>
        <v>310.20006189983286</v>
      </c>
      <c r="E199">
        <f t="shared" si="50"/>
        <v>121.28007600762911</v>
      </c>
      <c r="F199">
        <f t="shared" si="46"/>
        <v>138.84550153852038</v>
      </c>
      <c r="G199">
        <f t="shared" si="47"/>
        <v>17.378068686321551</v>
      </c>
      <c r="H199">
        <v>440</v>
      </c>
      <c r="I199">
        <f t="shared" si="37"/>
        <v>131.82567385565326</v>
      </c>
      <c r="J199">
        <f t="shared" si="38"/>
        <v>2.531935724283008E-2</v>
      </c>
      <c r="K199">
        <f t="shared" si="39"/>
        <v>1.7850150418158801E-2</v>
      </c>
      <c r="L199">
        <f t="shared" si="40"/>
        <v>1.3071726099592756E-2</v>
      </c>
      <c r="M199">
        <f t="shared" si="41"/>
        <v>1.7484661484738123E-2</v>
      </c>
      <c r="O199">
        <f t="shared" si="42"/>
        <v>0.15730290265841768</v>
      </c>
      <c r="Q199">
        <f t="shared" si="43"/>
        <v>0.15022310579844028</v>
      </c>
      <c r="R199">
        <f t="shared" si="44"/>
        <v>0.10373881638782627</v>
      </c>
      <c r="S199">
        <f t="shared" si="45"/>
        <v>0.10590731072150299</v>
      </c>
    </row>
    <row r="200" spans="1:19">
      <c r="A200">
        <f t="shared" si="36"/>
        <v>-2.1000000000000409</v>
      </c>
      <c r="B200">
        <f t="shared" si="48"/>
        <v>7.9432823472420644E-3</v>
      </c>
      <c r="C200">
        <f t="shared" si="49"/>
        <v>2.8166045890072962</v>
      </c>
      <c r="D200">
        <f t="shared" si="49"/>
        <v>282.84372048082412</v>
      </c>
      <c r="E200">
        <f t="shared" si="50"/>
        <v>110.60865992708999</v>
      </c>
      <c r="F200">
        <f t="shared" si="46"/>
        <v>126.57687853768124</v>
      </c>
      <c r="G200">
        <f t="shared" si="47"/>
        <v>15.848982162183519</v>
      </c>
      <c r="H200">
        <v>420</v>
      </c>
      <c r="I200">
        <f t="shared" si="37"/>
        <v>125.89254117942862</v>
      </c>
      <c r="J200">
        <f t="shared" si="38"/>
        <v>2.6500208468163106E-2</v>
      </c>
      <c r="K200">
        <f t="shared" si="39"/>
        <v>1.7846232277744511E-2</v>
      </c>
      <c r="L200">
        <f t="shared" si="40"/>
        <v>1.3066812414171307E-2</v>
      </c>
      <c r="M200">
        <f t="shared" si="41"/>
        <v>1.7480445794519465E-2</v>
      </c>
      <c r="O200">
        <f t="shared" si="42"/>
        <v>0.15722925278921995</v>
      </c>
      <c r="Q200">
        <f t="shared" si="43"/>
        <v>0.1501527707193952</v>
      </c>
      <c r="R200">
        <f t="shared" si="44"/>
        <v>9.9045914020284453E-2</v>
      </c>
      <c r="S200">
        <f t="shared" si="45"/>
        <v>0.10111849597804259</v>
      </c>
    </row>
    <row r="201" spans="1:19">
      <c r="A201">
        <f t="shared" si="36"/>
        <v>-2.0800000000000409</v>
      </c>
      <c r="B201">
        <f t="shared" si="48"/>
        <v>8.3176377110259214E-3</v>
      </c>
      <c r="C201">
        <f t="shared" si="49"/>
        <v>2.568720062699883</v>
      </c>
      <c r="D201">
        <f t="shared" si="49"/>
        <v>257.9024651332407</v>
      </c>
      <c r="E201">
        <f t="shared" si="50"/>
        <v>100.87622692052348</v>
      </c>
      <c r="F201">
        <f t="shared" si="46"/>
        <v>115.48146524576428</v>
      </c>
      <c r="G201">
        <f t="shared" si="47"/>
        <v>14.454439493263834</v>
      </c>
      <c r="H201">
        <v>400</v>
      </c>
      <c r="I201">
        <f t="shared" si="37"/>
        <v>120.22644346175269</v>
      </c>
      <c r="J201">
        <f t="shared" si="38"/>
        <v>2.7673238836752212E-2</v>
      </c>
      <c r="K201">
        <f t="shared" si="39"/>
        <v>1.7842491285548327E-2</v>
      </c>
      <c r="L201">
        <f t="shared" si="40"/>
        <v>1.3062121515395092E-2</v>
      </c>
      <c r="M201">
        <f t="shared" si="41"/>
        <v>1.7476421069759631E-2</v>
      </c>
      <c r="O201">
        <f t="shared" si="42"/>
        <v>0.15679927541362368</v>
      </c>
      <c r="Q201">
        <f t="shared" si="43"/>
        <v>0.14974214551354412</v>
      </c>
      <c r="R201">
        <f t="shared" si="44"/>
        <v>9.4566335452155065E-2</v>
      </c>
      <c r="S201">
        <f t="shared" si="45"/>
        <v>9.6547171155708683E-2</v>
      </c>
    </row>
    <row r="202" spans="1:19">
      <c r="A202">
        <f t="shared" ref="A202:A265" si="51">+$A201+$A$1</f>
        <v>-2.0600000000000409</v>
      </c>
      <c r="B202">
        <f t="shared" si="48"/>
        <v>8.7096358995599806E-3</v>
      </c>
      <c r="C202">
        <f t="shared" si="49"/>
        <v>2.3426536377132847</v>
      </c>
      <c r="D202">
        <f t="shared" si="49"/>
        <v>235.16275704707493</v>
      </c>
      <c r="E202">
        <f t="shared" si="50"/>
        <v>92.000154278176922</v>
      </c>
      <c r="F202">
        <f t="shared" si="46"/>
        <v>105.60276600117929</v>
      </c>
      <c r="G202">
        <f t="shared" si="47"/>
        <v>13.182602141491513</v>
      </c>
      <c r="H202">
        <v>380</v>
      </c>
      <c r="I202">
        <f t="shared" si="37"/>
        <v>114.81536214969915</v>
      </c>
      <c r="J202">
        <f t="shared" si="38"/>
        <v>2.8825947851103515E-2</v>
      </c>
      <c r="K202">
        <f t="shared" si="39"/>
        <v>1.7838919397791336E-2</v>
      </c>
      <c r="L202">
        <f t="shared" si="40"/>
        <v>1.3057643231988677E-2</v>
      </c>
      <c r="M202">
        <f t="shared" si="41"/>
        <v>1.7472578607181558E-2</v>
      </c>
      <c r="O202">
        <f t="shared" si="42"/>
        <v>0.15597954771933786</v>
      </c>
      <c r="Q202">
        <f t="shared" si="43"/>
        <v>0.14895931164294399</v>
      </c>
      <c r="R202">
        <f t="shared" si="44"/>
        <v>9.0290293155212129E-2</v>
      </c>
      <c r="S202">
        <f t="shared" si="45"/>
        <v>9.2183374773129351E-2</v>
      </c>
    </row>
    <row r="203" spans="1:19">
      <c r="A203">
        <f t="shared" si="51"/>
        <v>-2.0400000000000409</v>
      </c>
      <c r="B203">
        <f t="shared" si="48"/>
        <v>9.1201083935582381E-3</v>
      </c>
      <c r="C203">
        <f t="shared" si="49"/>
        <v>2.1364846606717123</v>
      </c>
      <c r="D203">
        <f t="shared" si="49"/>
        <v>214.42998070632711</v>
      </c>
      <c r="E203">
        <f t="shared" si="50"/>
        <v>83.905089593115093</v>
      </c>
      <c r="F203">
        <f t="shared" si="46"/>
        <v>96.315259364526383</v>
      </c>
      <c r="G203">
        <f t="shared" si="47"/>
        <v>12.022673254902298</v>
      </c>
      <c r="H203">
        <v>360</v>
      </c>
      <c r="I203">
        <f t="shared" si="37"/>
        <v>109.64781961432884</v>
      </c>
      <c r="J203">
        <f t="shared" si="38"/>
        <v>2.9943495759690516E-2</v>
      </c>
      <c r="K203">
        <f t="shared" si="39"/>
        <v>1.7835508938973402E-2</v>
      </c>
      <c r="L203">
        <f t="shared" si="40"/>
        <v>1.3053367863203536E-2</v>
      </c>
      <c r="M203">
        <f t="shared" si="41"/>
        <v>1.746891010480512E-2</v>
      </c>
      <c r="O203">
        <f t="shared" si="42"/>
        <v>0.15473428799587935</v>
      </c>
      <c r="Q203">
        <f t="shared" si="43"/>
        <v>0.14777009783937051</v>
      </c>
      <c r="R203">
        <f t="shared" si="44"/>
        <v>8.6208456622798163E-2</v>
      </c>
      <c r="S203">
        <f t="shared" si="45"/>
        <v>8.8017608968523023E-2</v>
      </c>
    </row>
    <row r="204" spans="1:19">
      <c r="A204">
        <f t="shared" si="51"/>
        <v>-2.0200000000000409</v>
      </c>
      <c r="B204">
        <f t="shared" si="48"/>
        <v>9.5499258602134585E-3</v>
      </c>
      <c r="C204">
        <f t="shared" si="49"/>
        <v>1.9484615906447063</v>
      </c>
      <c r="D204">
        <f t="shared" si="49"/>
        <v>195.52676147295077</v>
      </c>
      <c r="E204">
        <f t="shared" si="50"/>
        <v>76.522310986093345</v>
      </c>
      <c r="F204">
        <f t="shared" si="46"/>
        <v>87.800186281247505</v>
      </c>
      <c r="G204">
        <f t="shared" si="47"/>
        <v>10.964806006669882</v>
      </c>
      <c r="H204">
        <v>320</v>
      </c>
      <c r="I204">
        <f t="shared" si="37"/>
        <v>104.71285480509984</v>
      </c>
      <c r="J204">
        <f t="shared" si="38"/>
        <v>2.9184346859383602E-2</v>
      </c>
      <c r="K204">
        <f t="shared" si="39"/>
        <v>1.7832252584745495E-2</v>
      </c>
      <c r="L204">
        <f t="shared" si="40"/>
        <v>1.304928615651257E-2</v>
      </c>
      <c r="M204">
        <f t="shared" si="41"/>
        <v>1.7465407643036477E-2</v>
      </c>
      <c r="O204">
        <f t="shared" si="42"/>
        <v>0.14402372473139025</v>
      </c>
      <c r="Q204">
        <f t="shared" si="43"/>
        <v>0.13754158932967014</v>
      </c>
      <c r="R204">
        <f t="shared" si="44"/>
        <v>8.2311930333346592E-2</v>
      </c>
      <c r="S204">
        <f t="shared" si="45"/>
        <v>8.4040817279603025E-2</v>
      </c>
    </row>
    <row r="205" spans="1:19">
      <c r="A205">
        <f t="shared" si="51"/>
        <v>-2.0000000000000409</v>
      </c>
      <c r="B205">
        <f t="shared" si="48"/>
        <v>9.999999999999053E-3</v>
      </c>
      <c r="C205">
        <f t="shared" si="49"/>
        <v>1.7769871041422802</v>
      </c>
      <c r="D205">
        <f t="shared" si="49"/>
        <v>178.29143345605169</v>
      </c>
      <c r="E205">
        <f t="shared" si="50"/>
        <v>69.789143635026505</v>
      </c>
      <c r="F205">
        <f t="shared" si="46"/>
        <v>79.989957562955183</v>
      </c>
      <c r="G205">
        <f t="shared" si="47"/>
        <v>10.000019999961896</v>
      </c>
      <c r="H205">
        <v>280</v>
      </c>
      <c r="I205">
        <f t="shared" si="37"/>
        <v>100.00000000000946</v>
      </c>
      <c r="J205">
        <f t="shared" si="38"/>
        <v>2.7999999999994696E-2</v>
      </c>
      <c r="K205">
        <f t="shared" si="39"/>
        <v>1.7829143345601792E-2</v>
      </c>
      <c r="L205">
        <f t="shared" si="40"/>
        <v>1.3045389286408695E-2</v>
      </c>
      <c r="M205">
        <f t="shared" si="41"/>
        <v>1.7462063666684131E-2</v>
      </c>
      <c r="O205">
        <f t="shared" si="42"/>
        <v>0.13195993454250565</v>
      </c>
      <c r="Q205">
        <f t="shared" si="43"/>
        <v>0.12602075913996691</v>
      </c>
      <c r="R205">
        <f t="shared" si="44"/>
        <v>7.8592232836656617E-2</v>
      </c>
      <c r="S205">
        <f t="shared" si="45"/>
        <v>8.024436354387332E-2</v>
      </c>
    </row>
    <row r="206" spans="1:19">
      <c r="A206">
        <f t="shared" si="51"/>
        <v>-1.9800000000000408</v>
      </c>
      <c r="B206">
        <f t="shared" si="48"/>
        <v>1.0471285480508002E-2</v>
      </c>
      <c r="C206">
        <f t="shared" si="49"/>
        <v>1.6206045126379878</v>
      </c>
      <c r="D206">
        <f t="shared" si="49"/>
        <v>162.57664415085097</v>
      </c>
      <c r="E206">
        <f t="shared" si="50"/>
        <v>63.648427652956229</v>
      </c>
      <c r="F206">
        <f t="shared" si="46"/>
        <v>72.952669763439474</v>
      </c>
      <c r="G206">
        <f t="shared" si="47"/>
        <v>9.1201250288059068</v>
      </c>
      <c r="H206">
        <v>260</v>
      </c>
      <c r="I206">
        <f t="shared" si="37"/>
        <v>95.499258602152651</v>
      </c>
      <c r="J206">
        <f t="shared" si="38"/>
        <v>2.8508433099717401E-2</v>
      </c>
      <c r="K206">
        <f t="shared" si="39"/>
        <v>1.7826174551350372E-2</v>
      </c>
      <c r="L206">
        <f t="shared" si="40"/>
        <v>1.3041668834248874E-2</v>
      </c>
      <c r="M206">
        <f t="shared" si="41"/>
        <v>1.7458870967853094E-2</v>
      </c>
      <c r="O206">
        <f t="shared" si="42"/>
        <v>0.12830908503993235</v>
      </c>
      <c r="Q206">
        <f t="shared" si="43"/>
        <v>0.12253422493232906</v>
      </c>
      <c r="R206">
        <f t="shared" si="44"/>
        <v>7.5041276900645479E-2</v>
      </c>
      <c r="S206">
        <f t="shared" si="45"/>
        <v>7.662001185816765E-2</v>
      </c>
    </row>
    <row r="207" spans="1:19">
      <c r="A207">
        <f t="shared" si="51"/>
        <v>-1.9600000000000408</v>
      </c>
      <c r="B207">
        <f t="shared" si="48"/>
        <v>1.0964781961430818E-2</v>
      </c>
      <c r="C207">
        <f t="shared" si="49"/>
        <v>1.4779853768826152</v>
      </c>
      <c r="D207">
        <f t="shared" si="49"/>
        <v>148.24808355907643</v>
      </c>
      <c r="E207">
        <f t="shared" si="50"/>
        <v>58.048032794820358</v>
      </c>
      <c r="F207">
        <f t="shared" si="46"/>
        <v>66.58578369973948</v>
      </c>
      <c r="G207">
        <f t="shared" si="47"/>
        <v>8.3176515476246777</v>
      </c>
      <c r="H207">
        <v>245</v>
      </c>
      <c r="I207">
        <f t="shared" si="37"/>
        <v>91.201083935599556</v>
      </c>
      <c r="J207">
        <f t="shared" si="38"/>
        <v>2.9455478648121074E-2</v>
      </c>
      <c r="K207">
        <f t="shared" si="39"/>
        <v>1.7823339836323449E-2</v>
      </c>
      <c r="L207">
        <f t="shared" si="40"/>
        <v>1.3038116769088488E-2</v>
      </c>
      <c r="M207">
        <f t="shared" si="41"/>
        <v>1.7455822669671536E-2</v>
      </c>
      <c r="O207">
        <f t="shared" si="42"/>
        <v>0.12660479211654713</v>
      </c>
      <c r="Q207">
        <f t="shared" si="43"/>
        <v>0.12090663782608771</v>
      </c>
      <c r="R207">
        <f t="shared" si="44"/>
        <v>7.1651350660126359E-2</v>
      </c>
      <c r="S207">
        <f t="shared" si="45"/>
        <v>7.3159907539954466E-2</v>
      </c>
    </row>
    <row r="208" spans="1:19">
      <c r="A208">
        <f t="shared" si="51"/>
        <v>-1.9400000000000408</v>
      </c>
      <c r="B208">
        <f t="shared" si="48"/>
        <v>1.1481536214967746E-2</v>
      </c>
      <c r="C208">
        <f t="shared" si="49"/>
        <v>1.347918212487055</v>
      </c>
      <c r="D208">
        <f t="shared" si="49"/>
        <v>135.1833266167001</v>
      </c>
      <c r="E208">
        <f t="shared" si="50"/>
        <v>52.940415871280486</v>
      </c>
      <c r="F208">
        <f t="shared" si="46"/>
        <v>60.758837833352828</v>
      </c>
      <c r="G208">
        <f t="shared" si="47"/>
        <v>7.5857872590745528</v>
      </c>
      <c r="H208">
        <v>230</v>
      </c>
      <c r="I208">
        <f t="shared" si="37"/>
        <v>87.096358995616271</v>
      </c>
      <c r="J208">
        <f t="shared" si="38"/>
        <v>3.0319904986791647E-2</v>
      </c>
      <c r="K208">
        <f t="shared" si="39"/>
        <v>1.7820633125290301E-2</v>
      </c>
      <c r="L208">
        <f t="shared" si="40"/>
        <v>1.3034725429453959E-2</v>
      </c>
      <c r="M208">
        <f t="shared" si="41"/>
        <v>1.7452912210806942E-2</v>
      </c>
      <c r="O208">
        <f t="shared" si="42"/>
        <v>0.12445487017720711</v>
      </c>
      <c r="Q208">
        <f t="shared" si="43"/>
        <v>0.11885347831349305</v>
      </c>
      <c r="R208">
        <f t="shared" si="44"/>
        <v>6.8415099712815453E-2</v>
      </c>
      <c r="S208">
        <f t="shared" si="45"/>
        <v>6.9856559036451368E-2</v>
      </c>
    </row>
    <row r="209" spans="1:19">
      <c r="A209">
        <f t="shared" si="51"/>
        <v>-1.9200000000000408</v>
      </c>
      <c r="B209">
        <f t="shared" si="48"/>
        <v>1.2022644346172994E-2</v>
      </c>
      <c r="C209">
        <f t="shared" si="49"/>
        <v>1.2292981905655729</v>
      </c>
      <c r="D209">
        <f t="shared" si="49"/>
        <v>123.27077876683994</v>
      </c>
      <c r="E209">
        <f t="shared" si="50"/>
        <v>48.282217110752299</v>
      </c>
      <c r="F209">
        <f t="shared" si="46"/>
        <v>55.303700329851452</v>
      </c>
      <c r="G209">
        <f t="shared" si="47"/>
        <v>6.9183192817792696</v>
      </c>
      <c r="H209">
        <v>215</v>
      </c>
      <c r="I209">
        <f t="shared" si="37"/>
        <v>83.176377110274956</v>
      </c>
      <c r="J209">
        <f t="shared" si="38"/>
        <v>3.1076955071031573E-2</v>
      </c>
      <c r="K209">
        <f t="shared" si="39"/>
        <v>1.7818048620037941E-2</v>
      </c>
      <c r="L209">
        <f t="shared" si="40"/>
        <v>1.3031487506004741E-2</v>
      </c>
      <c r="M209">
        <f t="shared" si="41"/>
        <v>1.7450133330731046E-2</v>
      </c>
      <c r="O209">
        <f t="shared" si="42"/>
        <v>0.12182110093000947</v>
      </c>
      <c r="Q209">
        <f t="shared" si="43"/>
        <v>0.11633824820912823</v>
      </c>
      <c r="R209">
        <f t="shared" si="44"/>
        <v>6.5325510111038751E-2</v>
      </c>
      <c r="S209">
        <f t="shared" si="45"/>
        <v>6.670282073074027E-2</v>
      </c>
    </row>
    <row r="210" spans="1:19">
      <c r="A210">
        <f t="shared" si="51"/>
        <v>-1.9000000000000408</v>
      </c>
      <c r="B210">
        <f t="shared" si="48"/>
        <v>1.258925411794048E-2</v>
      </c>
      <c r="C210">
        <f t="shared" si="49"/>
        <v>1.1211177457205266</v>
      </c>
      <c r="D210">
        <f t="shared" si="49"/>
        <v>112.40871543479093</v>
      </c>
      <c r="E210">
        <f t="shared" si="50"/>
        <v>44.033892041709464</v>
      </c>
      <c r="F210">
        <f t="shared" si="46"/>
        <v>50.498224489173175</v>
      </c>
      <c r="G210">
        <f t="shared" si="47"/>
        <v>6.3095814069364895</v>
      </c>
      <c r="H210">
        <v>200</v>
      </c>
      <c r="I210">
        <f t="shared" si="37"/>
        <v>79.432823472435672</v>
      </c>
      <c r="J210">
        <f t="shared" si="38"/>
        <v>3.1697863849216266E-2</v>
      </c>
      <c r="K210">
        <f t="shared" si="39"/>
        <v>1.7815580786586488E-2</v>
      </c>
      <c r="L210">
        <f t="shared" si="40"/>
        <v>1.3028396025038512E-2</v>
      </c>
      <c r="M210">
        <f t="shared" si="41"/>
        <v>1.7447480055695283E-2</v>
      </c>
      <c r="O210">
        <f t="shared" si="42"/>
        <v>0.11866265352447024</v>
      </c>
      <c r="Q210">
        <f t="shared" si="43"/>
        <v>0.11332195435349951</v>
      </c>
      <c r="R210">
        <f t="shared" si="44"/>
        <v>6.2375892200823492E-2</v>
      </c>
      <c r="S210">
        <f t="shared" si="45"/>
        <v>6.3691876597184463E-2</v>
      </c>
    </row>
    <row r="211" spans="1:19">
      <c r="A211">
        <f t="shared" si="51"/>
        <v>-1.8800000000000407</v>
      </c>
      <c r="B211">
        <f t="shared" si="48"/>
        <v>1.3182567385562831E-2</v>
      </c>
      <c r="C211">
        <f t="shared" si="49"/>
        <v>1.0224580113890152</v>
      </c>
      <c r="D211">
        <f t="shared" si="49"/>
        <v>102.50440699715165</v>
      </c>
      <c r="E211">
        <f t="shared" si="50"/>
        <v>40.159375769102454</v>
      </c>
      <c r="F211">
        <f t="shared" si="46"/>
        <v>45.986657084732734</v>
      </c>
      <c r="G211">
        <f t="shared" si="47"/>
        <v>5.7544059959874581</v>
      </c>
      <c r="H211">
        <v>185</v>
      </c>
      <c r="I211">
        <f t="shared" si="37"/>
        <v>75.857757502925509</v>
      </c>
      <c r="J211">
        <f t="shared" si="38"/>
        <v>3.21493153318574E-2</v>
      </c>
      <c r="K211">
        <f t="shared" si="39"/>
        <v>1.7813224343007989E-2</v>
      </c>
      <c r="L211">
        <f t="shared" si="40"/>
        <v>1.302544433279597E-2</v>
      </c>
      <c r="M211">
        <f t="shared" si="41"/>
        <v>1.7444946685380582E-2</v>
      </c>
      <c r="O211">
        <f t="shared" si="42"/>
        <v>0.11493592318597259</v>
      </c>
      <c r="Q211">
        <f t="shared" si="43"/>
        <v>0.109762954510133</v>
      </c>
      <c r="R211">
        <f t="shared" si="44"/>
        <v>5.9559865262875503E-2</v>
      </c>
      <c r="S211">
        <f t="shared" si="45"/>
        <v>6.0817224661170344E-2</v>
      </c>
    </row>
    <row r="212" spans="1:19">
      <c r="A212">
        <f t="shared" si="51"/>
        <v>-1.8600000000000407</v>
      </c>
      <c r="B212">
        <f t="shared" si="48"/>
        <v>1.3803842646027548E-2</v>
      </c>
      <c r="C212">
        <f t="shared" si="49"/>
        <v>0.93248100962786296</v>
      </c>
      <c r="D212">
        <f t="shared" si="49"/>
        <v>93.473321595737573</v>
      </c>
      <c r="E212">
        <f t="shared" si="50"/>
        <v>36.625776793931472</v>
      </c>
      <c r="F212">
        <f t="shared" si="46"/>
        <v>41.952855022489501</v>
      </c>
      <c r="G212">
        <f t="shared" si="47"/>
        <v>5.2480801109503386</v>
      </c>
      <c r="H212">
        <v>170</v>
      </c>
      <c r="I212">
        <f t="shared" si="37"/>
        <v>72.443596007505832</v>
      </c>
      <c r="J212">
        <f t="shared" si="38"/>
        <v>3.2392832205369093E-2</v>
      </c>
      <c r="K212">
        <f t="shared" si="39"/>
        <v>1.7810974247819005E-2</v>
      </c>
      <c r="L212">
        <f t="shared" si="40"/>
        <v>1.3022626080524216E-2</v>
      </c>
      <c r="M212">
        <f t="shared" si="41"/>
        <v>1.7442527780187237E-2</v>
      </c>
      <c r="O212">
        <f t="shared" si="42"/>
        <v>0.11059436044316173</v>
      </c>
      <c r="Q212">
        <f t="shared" si="43"/>
        <v>0.10561679427900177</v>
      </c>
      <c r="R212">
        <f t="shared" si="44"/>
        <v>5.6871342912721945E-2</v>
      </c>
      <c r="S212">
        <f t="shared" si="45"/>
        <v>5.8072662220894057E-2</v>
      </c>
    </row>
    <row r="213" spans="1:19">
      <c r="A213">
        <f t="shared" si="51"/>
        <v>-1.8400000000000407</v>
      </c>
      <c r="B213">
        <f t="shared" si="48"/>
        <v>1.4454397707457911E-2</v>
      </c>
      <c r="C213">
        <f t="shared" si="49"/>
        <v>0.85042252884585745</v>
      </c>
      <c r="D213">
        <f t="shared" si="49"/>
        <v>85.238398836466132</v>
      </c>
      <c r="E213">
        <f t="shared" si="50"/>
        <v>33.403097775970672</v>
      </c>
      <c r="F213">
        <f t="shared" si="46"/>
        <v>38.303739320538682</v>
      </c>
      <c r="G213">
        <f t="shared" si="47"/>
        <v>4.7863055049582055</v>
      </c>
      <c r="H213">
        <v>155</v>
      </c>
      <c r="I213">
        <f t="shared" si="37"/>
        <v>69.18309709190018</v>
      </c>
      <c r="J213">
        <f t="shared" si="38"/>
        <v>3.2384090028231498E-2</v>
      </c>
      <c r="K213">
        <f t="shared" si="39"/>
        <v>1.7808825688918853E-2</v>
      </c>
      <c r="L213">
        <f t="shared" si="40"/>
        <v>1.3019935210259931E-2</v>
      </c>
      <c r="M213">
        <f t="shared" si="41"/>
        <v>1.7440218149132665E-2</v>
      </c>
      <c r="O213">
        <f t="shared" si="42"/>
        <v>0.10558829041992462</v>
      </c>
      <c r="Q213">
        <f t="shared" si="43"/>
        <v>0.10083603452170632</v>
      </c>
      <c r="R213">
        <f t="shared" si="44"/>
        <v>5.4304519219744406E-2</v>
      </c>
      <c r="S213">
        <f t="shared" si="45"/>
        <v>5.5452271791283037E-2</v>
      </c>
    </row>
    <row r="214" spans="1:19">
      <c r="A214">
        <f t="shared" si="51"/>
        <v>-1.8200000000000407</v>
      </c>
      <c r="B214">
        <f t="shared" si="48"/>
        <v>1.513561248436065E-2</v>
      </c>
      <c r="C214">
        <f t="shared" si="49"/>
        <v>0.77558562885675719</v>
      </c>
      <c r="D214">
        <f t="shared" si="49"/>
        <v>77.729388040101824</v>
      </c>
      <c r="E214">
        <f t="shared" si="50"/>
        <v>30.463980868503519</v>
      </c>
      <c r="F214">
        <f t="shared" si="46"/>
        <v>34.934795115841773</v>
      </c>
      <c r="G214">
        <f t="shared" si="47"/>
        <v>4.3651621333205934</v>
      </c>
      <c r="H214">
        <v>140</v>
      </c>
      <c r="I214">
        <f t="shared" si="37"/>
        <v>66.069344800765847</v>
      </c>
      <c r="J214">
        <f t="shared" si="38"/>
        <v>3.2072147138742756E-2</v>
      </c>
      <c r="K214">
        <f t="shared" si="39"/>
        <v>1.7806774073046983E-2</v>
      </c>
      <c r="L214">
        <f t="shared" si="40"/>
        <v>1.3017365941295704E-2</v>
      </c>
      <c r="M214">
        <f t="shared" si="41"/>
        <v>1.743801283832639E-2</v>
      </c>
      <c r="O214">
        <f t="shared" si="42"/>
        <v>9.9864721634859405E-2</v>
      </c>
      <c r="Q214">
        <f t="shared" si="43"/>
        <v>9.5370068766385041E-2</v>
      </c>
      <c r="R214">
        <f t="shared" si="44"/>
        <v>5.185385550727073E-2</v>
      </c>
      <c r="S214">
        <f t="shared" si="45"/>
        <v>5.2950407732525281E-2</v>
      </c>
    </row>
    <row r="215" spans="1:19">
      <c r="A215">
        <f t="shared" si="51"/>
        <v>-1.8000000000000407</v>
      </c>
      <c r="B215">
        <f t="shared" si="48"/>
        <v>1.5848931924609646E-2</v>
      </c>
      <c r="C215">
        <f t="shared" si="49"/>
        <v>0.70733471797321024</v>
      </c>
      <c r="D215">
        <f t="shared" si="49"/>
        <v>70.882245281436582</v>
      </c>
      <c r="E215">
        <f t="shared" si="50"/>
        <v>27.783475462634605</v>
      </c>
      <c r="F215">
        <f t="shared" si="46"/>
        <v>31.822282707275917</v>
      </c>
      <c r="G215">
        <f t="shared" si="47"/>
        <v>3.9810748753195835</v>
      </c>
      <c r="H215">
        <v>125</v>
      </c>
      <c r="I215">
        <f t="shared" si="37"/>
        <v>63.095734448025254</v>
      </c>
      <c r="J215">
        <f t="shared" si="38"/>
        <v>3.1398580393863854E-2</v>
      </c>
      <c r="K215">
        <f t="shared" si="39"/>
        <v>1.7804815015734107E-2</v>
      </c>
      <c r="L215">
        <f t="shared" si="40"/>
        <v>1.301491275729497E-2</v>
      </c>
      <c r="M215">
        <f t="shared" si="41"/>
        <v>1.7435907119993481E-2</v>
      </c>
      <c r="O215">
        <f t="shared" si="42"/>
        <v>9.33671437205498E-2</v>
      </c>
      <c r="Q215">
        <f t="shared" si="43"/>
        <v>8.9164930031123121E-2</v>
      </c>
      <c r="R215">
        <f t="shared" si="44"/>
        <v>4.9514067798020756E-2</v>
      </c>
      <c r="S215">
        <f t="shared" si="45"/>
        <v>5.05616835277456E-2</v>
      </c>
    </row>
    <row r="216" spans="1:19">
      <c r="A216">
        <f t="shared" si="51"/>
        <v>-1.7800000000000407</v>
      </c>
      <c r="B216">
        <f t="shared" si="48"/>
        <v>1.6595869074374044E-2</v>
      </c>
      <c r="C216">
        <f t="shared" si="49"/>
        <v>0.64509015173643081</v>
      </c>
      <c r="D216">
        <f t="shared" si="49"/>
        <v>64.638583971437086</v>
      </c>
      <c r="E216">
        <f t="shared" si="50"/>
        <v>25.338826369076987</v>
      </c>
      <c r="F216">
        <f t="shared" si="46"/>
        <v>29.039797237805264</v>
      </c>
      <c r="G216">
        <f t="shared" si="47"/>
        <v>3.6307831842132599</v>
      </c>
      <c r="H216">
        <v>110</v>
      </c>
      <c r="I216">
        <f t="shared" si="37"/>
        <v>60.255958607441443</v>
      </c>
      <c r="J216">
        <f t="shared" si="38"/>
        <v>3.0296515736714127E-2</v>
      </c>
      <c r="K216">
        <f t="shared" si="39"/>
        <v>1.7802944331723282E-2</v>
      </c>
      <c r="L216">
        <f t="shared" si="40"/>
        <v>1.3012570394022807E-2</v>
      </c>
      <c r="M216">
        <f t="shared" si="41"/>
        <v>1.7433896482019054E-2</v>
      </c>
      <c r="O216">
        <f t="shared" si="42"/>
        <v>8.6035313442988023E-2</v>
      </c>
      <c r="Q216">
        <f t="shared" si="43"/>
        <v>8.216308647408381E-2</v>
      </c>
      <c r="R216">
        <f t="shared" si="44"/>
        <v>4.7280114871312048E-2</v>
      </c>
      <c r="S216">
        <f t="shared" si="45"/>
        <v>4.828095967643193E-2</v>
      </c>
    </row>
    <row r="217" spans="1:19">
      <c r="A217">
        <f t="shared" si="51"/>
        <v>-1.7600000000000406</v>
      </c>
      <c r="B217">
        <f t="shared" si="48"/>
        <v>1.7378008287492117E-2</v>
      </c>
      <c r="C217">
        <f t="shared" si="49"/>
        <v>0.58832330732082305</v>
      </c>
      <c r="D217">
        <f t="shared" si="49"/>
        <v>58.945174207857193</v>
      </c>
      <c r="E217">
        <f t="shared" si="50"/>
        <v>23.109280638887114</v>
      </c>
      <c r="F217">
        <f t="shared" si="46"/>
        <v>26.477454728340909</v>
      </c>
      <c r="G217">
        <f t="shared" si="47"/>
        <v>3.311313407781475</v>
      </c>
      <c r="H217">
        <v>100</v>
      </c>
      <c r="I217">
        <f t="shared" si="37"/>
        <v>57.543993733721116</v>
      </c>
      <c r="J217">
        <f t="shared" si="38"/>
        <v>3.0199517204014471E-2</v>
      </c>
      <c r="K217">
        <f t="shared" si="39"/>
        <v>1.7801158025838131E-2</v>
      </c>
      <c r="L217">
        <f t="shared" si="40"/>
        <v>1.3010333827661742E-2</v>
      </c>
      <c r="M217">
        <f t="shared" si="41"/>
        <v>1.7431976617988034E-2</v>
      </c>
      <c r="O217">
        <f t="shared" si="42"/>
        <v>8.190002986060152E-2</v>
      </c>
      <c r="Q217">
        <f t="shared" si="43"/>
        <v>7.821392131180871E-2</v>
      </c>
      <c r="R217">
        <f t="shared" si="44"/>
        <v>4.5147186900304594E-2</v>
      </c>
      <c r="S217">
        <f t="shared" si="45"/>
        <v>4.6103332172041982E-2</v>
      </c>
    </row>
    <row r="218" spans="1:19">
      <c r="A218">
        <f t="shared" si="51"/>
        <v>-1.7400000000000406</v>
      </c>
      <c r="B218">
        <f t="shared" si="48"/>
        <v>1.8197008586098132E-2</v>
      </c>
      <c r="C218">
        <f t="shared" si="49"/>
        <v>0.53655209170490004</v>
      </c>
      <c r="D218">
        <f t="shared" si="49"/>
        <v>53.753486548125146</v>
      </c>
      <c r="E218">
        <f t="shared" si="50"/>
        <v>21.075911382913766</v>
      </c>
      <c r="F218">
        <f t="shared" si="46"/>
        <v>24.155302016401702</v>
      </c>
      <c r="G218">
        <f t="shared" si="47"/>
        <v>3.0199535444231587</v>
      </c>
      <c r="H218">
        <v>90</v>
      </c>
      <c r="I218">
        <f t="shared" si="37"/>
        <v>54.954087385767593</v>
      </c>
      <c r="J218">
        <f t="shared" si="38"/>
        <v>2.9801800933427623E-2</v>
      </c>
      <c r="K218">
        <f t="shared" si="39"/>
        <v>1.7799452284276724E-2</v>
      </c>
      <c r="L218">
        <f t="shared" si="40"/>
        <v>1.3008198263683267E-2</v>
      </c>
      <c r="M218">
        <f t="shared" si="41"/>
        <v>1.7430143417695637E-2</v>
      </c>
      <c r="O218">
        <f t="shared" si="42"/>
        <v>7.7183873417929871E-2</v>
      </c>
      <c r="Q218">
        <f t="shared" si="43"/>
        <v>7.3710026874540049E-2</v>
      </c>
      <c r="R218">
        <f t="shared" si="44"/>
        <v>4.3110694639408337E-2</v>
      </c>
      <c r="S218">
        <f t="shared" si="45"/>
        <v>4.4024121534028127E-2</v>
      </c>
    </row>
    <row r="219" spans="1:19">
      <c r="A219">
        <f t="shared" si="51"/>
        <v>-1.7200000000000406</v>
      </c>
      <c r="B219">
        <f t="shared" si="48"/>
        <v>1.9054607179630687E-2</v>
      </c>
      <c r="C219">
        <f t="shared" si="49"/>
        <v>0.48933684539434613</v>
      </c>
      <c r="D219">
        <f t="shared" si="49"/>
        <v>49.019276247867481</v>
      </c>
      <c r="E219">
        <f t="shared" si="50"/>
        <v>19.221457094084457</v>
      </c>
      <c r="F219">
        <f t="shared" si="46"/>
        <v>22.025685182409596</v>
      </c>
      <c r="G219">
        <f t="shared" si="47"/>
        <v>2.7542302204929974</v>
      </c>
      <c r="H219">
        <v>80</v>
      </c>
      <c r="I219">
        <f t="shared" si="37"/>
        <v>52.480746024982174</v>
      </c>
      <c r="J219">
        <f t="shared" si="38"/>
        <v>2.9046244381602665E-2</v>
      </c>
      <c r="K219">
        <f t="shared" si="39"/>
        <v>1.7797823466310623E-2</v>
      </c>
      <c r="L219">
        <f t="shared" si="40"/>
        <v>1.3006159126247478E-2</v>
      </c>
      <c r="M219">
        <f t="shared" si="41"/>
        <v>1.7428392958105457E-2</v>
      </c>
      <c r="O219">
        <f t="shared" si="42"/>
        <v>7.1841277604498821E-2</v>
      </c>
      <c r="Q219">
        <f t="shared" si="43"/>
        <v>6.8607887482604199E-2</v>
      </c>
      <c r="R219">
        <f t="shared" si="44"/>
        <v>4.116625913364759E-2</v>
      </c>
      <c r="S219">
        <f t="shared" si="45"/>
        <v>4.2038862366154811E-2</v>
      </c>
    </row>
    <row r="220" spans="1:19">
      <c r="A220">
        <f t="shared" si="51"/>
        <v>-1.7000000000000406</v>
      </c>
      <c r="B220">
        <f t="shared" si="48"/>
        <v>1.9952623149686922E-2</v>
      </c>
      <c r="C220">
        <f t="shared" si="49"/>
        <v>0.44627660685162951</v>
      </c>
      <c r="D220">
        <f t="shared" si="49"/>
        <v>44.702204362786304</v>
      </c>
      <c r="E220">
        <f t="shared" si="50"/>
        <v>17.530175108302963</v>
      </c>
      <c r="F220">
        <f t="shared" si="46"/>
        <v>20.100848183129557</v>
      </c>
      <c r="G220">
        <f t="shared" si="47"/>
        <v>2.5118876934241077</v>
      </c>
      <c r="H220">
        <v>70</v>
      </c>
      <c r="I220">
        <f t="shared" si="37"/>
        <v>50.118723362731934</v>
      </c>
      <c r="J220">
        <f t="shared" si="38"/>
        <v>2.7867501938739575E-2</v>
      </c>
      <c r="K220">
        <f t="shared" si="39"/>
        <v>1.7796268096369711E-2</v>
      </c>
      <c r="L220">
        <f t="shared" si="40"/>
        <v>1.3004212048104591E-2</v>
      </c>
      <c r="M220">
        <f t="shared" si="41"/>
        <v>1.7426721494733163E-2</v>
      </c>
      <c r="O220">
        <f t="shared" si="42"/>
        <v>6.5823671119605992E-2</v>
      </c>
      <c r="Q220">
        <f t="shared" si="43"/>
        <v>6.2861117903936878E-2</v>
      </c>
      <c r="R220">
        <f t="shared" si="44"/>
        <v>3.9309701923323503E-2</v>
      </c>
      <c r="S220">
        <f t="shared" si="45"/>
        <v>4.0143293414499868E-2</v>
      </c>
    </row>
    <row r="221" spans="1:19">
      <c r="A221">
        <f t="shared" si="51"/>
        <v>-1.6800000000000406</v>
      </c>
      <c r="B221">
        <f t="shared" si="48"/>
        <v>2.0892961308538436E-2</v>
      </c>
      <c r="C221">
        <f t="shared" si="49"/>
        <v>0.40700570585795509</v>
      </c>
      <c r="D221">
        <f t="shared" si="49"/>
        <v>40.76549243397708</v>
      </c>
      <c r="E221">
        <f t="shared" si="50"/>
        <v>15.987707959793761</v>
      </c>
      <c r="F221">
        <f t="shared" si="46"/>
        <v>18.328943344401953</v>
      </c>
      <c r="G221">
        <f t="shared" si="47"/>
        <v>2.2908687023826428</v>
      </c>
      <c r="H221">
        <v>60</v>
      </c>
      <c r="I221">
        <f t="shared" si="37"/>
        <v>47.863009232268325</v>
      </c>
      <c r="J221">
        <f t="shared" si="38"/>
        <v>2.6190949934405044E-2</v>
      </c>
      <c r="K221">
        <f t="shared" si="39"/>
        <v>1.7794782856494357E-2</v>
      </c>
      <c r="L221">
        <f t="shared" si="40"/>
        <v>1.3002352860973589E-2</v>
      </c>
      <c r="M221">
        <f t="shared" si="41"/>
        <v>1.742512545343498E-2</v>
      </c>
      <c r="O221">
        <f t="shared" si="42"/>
        <v>5.9079295857302205E-2</v>
      </c>
      <c r="Q221">
        <f t="shared" si="43"/>
        <v>5.6420289531090587E-2</v>
      </c>
      <c r="R221">
        <f t="shared" si="44"/>
        <v>3.7537035718850136E-2</v>
      </c>
      <c r="S221">
        <f t="shared" si="45"/>
        <v>3.8333348100041159E-2</v>
      </c>
    </row>
    <row r="222" spans="1:19">
      <c r="A222">
        <f t="shared" si="51"/>
        <v>-1.6600000000000406</v>
      </c>
      <c r="B222">
        <f t="shared" si="48"/>
        <v>2.1877616239493473E-2</v>
      </c>
      <c r="C222">
        <f t="shared" si="49"/>
        <v>0.3711906568337518</v>
      </c>
      <c r="D222">
        <f t="shared" si="49"/>
        <v>37.175607770073924</v>
      </c>
      <c r="E222">
        <f t="shared" si="50"/>
        <v>14.580961496221615</v>
      </c>
      <c r="F222">
        <f t="shared" si="46"/>
        <v>16.705051549973195</v>
      </c>
      <c r="G222">
        <f t="shared" si="47"/>
        <v>2.0892970038857315</v>
      </c>
      <c r="H222">
        <v>50</v>
      </c>
      <c r="I222">
        <f t="shared" si="37"/>
        <v>45.708818961491794</v>
      </c>
      <c r="J222">
        <f t="shared" si="38"/>
        <v>2.3931504616127426E-2</v>
      </c>
      <c r="K222">
        <f t="shared" si="39"/>
        <v>1.7793364579137334E-2</v>
      </c>
      <c r="L222">
        <f t="shared" si="40"/>
        <v>1.3000577586374499E-2</v>
      </c>
      <c r="M222">
        <f t="shared" si="41"/>
        <v>1.7423601422581276E-2</v>
      </c>
      <c r="O222">
        <f t="shared" si="42"/>
        <v>5.1553014409105695E-2</v>
      </c>
      <c r="Q222">
        <f t="shared" si="43"/>
        <v>4.9232746547752185E-2</v>
      </c>
      <c r="R222">
        <f t="shared" si="44"/>
        <v>3.584445552198668E-2</v>
      </c>
      <c r="S222">
        <f t="shared" si="45"/>
        <v>3.6605145502053925E-2</v>
      </c>
    </row>
    <row r="223" spans="1:19">
      <c r="A223">
        <f t="shared" si="51"/>
        <v>-1.6400000000000405</v>
      </c>
      <c r="B223">
        <f t="shared" si="48"/>
        <v>2.2908676527675587E-2</v>
      </c>
      <c r="C223">
        <f t="shared" si="49"/>
        <v>0.33852732569731792</v>
      </c>
      <c r="D223">
        <f t="shared" si="49"/>
        <v>33.901976606495943</v>
      </c>
      <c r="E223">
        <f t="shared" si="50"/>
        <v>13.297993718770366</v>
      </c>
      <c r="F223">
        <f t="shared" si="46"/>
        <v>15.242315712403718</v>
      </c>
      <c r="G223">
        <f t="shared" si="47"/>
        <v>1.9054614441194364</v>
      </c>
      <c r="H223">
        <v>45</v>
      </c>
      <c r="I223">
        <f t="shared" si="37"/>
        <v>43.651583224020683</v>
      </c>
      <c r="J223">
        <f t="shared" si="38"/>
        <v>2.3616335711235347E-2</v>
      </c>
      <c r="K223">
        <f t="shared" si="39"/>
        <v>1.779201024029901E-2</v>
      </c>
      <c r="L223">
        <f t="shared" si="40"/>
        <v>1.2998882426892084E-2</v>
      </c>
      <c r="M223">
        <f t="shared" si="41"/>
        <v>1.742214614559651E-2</v>
      </c>
      <c r="O223">
        <f t="shared" si="42"/>
        <v>4.8584369813268122E-2</v>
      </c>
      <c r="Q223">
        <f t="shared" si="43"/>
        <v>4.6397712968194775E-2</v>
      </c>
      <c r="R223">
        <f t="shared" si="44"/>
        <v>3.4228330170999417E-2</v>
      </c>
      <c r="S223">
        <f t="shared" si="45"/>
        <v>3.4954981769836725E-2</v>
      </c>
    </row>
    <row r="224" spans="1:19">
      <c r="A224">
        <f t="shared" si="51"/>
        <v>-1.6200000000000405</v>
      </c>
      <c r="B224">
        <f t="shared" si="48"/>
        <v>2.3988329190192656E-2</v>
      </c>
      <c r="C224">
        <f t="shared" si="49"/>
        <v>0.30873834616948787</v>
      </c>
      <c r="D224">
        <f t="shared" si="49"/>
        <v>30.916722664939698</v>
      </c>
      <c r="E224">
        <f t="shared" si="50"/>
        <v>12.12791340343183</v>
      </c>
      <c r="F224">
        <f t="shared" si="46"/>
        <v>13.908764551054405</v>
      </c>
      <c r="G224">
        <f t="shared" si="47"/>
        <v>1.737801432739835</v>
      </c>
      <c r="H224">
        <v>41</v>
      </c>
      <c r="I224">
        <f t="shared" si="37"/>
        <v>41.686938347037447</v>
      </c>
      <c r="J224">
        <f t="shared" si="38"/>
        <v>2.359303743081901E-2</v>
      </c>
      <c r="K224">
        <f t="shared" si="39"/>
        <v>1.7790716952979825E-2</v>
      </c>
      <c r="L224">
        <f t="shared" si="40"/>
        <v>1.2997263757849863E-2</v>
      </c>
      <c r="M224">
        <f t="shared" si="41"/>
        <v>1.7420756513847828E-2</v>
      </c>
      <c r="O224">
        <f t="shared" si="42"/>
        <v>4.6351940120932515E-2</v>
      </c>
      <c r="Q224">
        <f t="shared" si="43"/>
        <v>4.4265759163200136E-2</v>
      </c>
      <c r="R224">
        <f t="shared" si="44"/>
        <v>3.2685194288523976E-2</v>
      </c>
      <c r="S224">
        <f t="shared" si="45"/>
        <v>3.3379321941504191E-2</v>
      </c>
    </row>
    <row r="225" spans="1:19">
      <c r="A225">
        <f t="shared" si="51"/>
        <v>-1.6000000000000405</v>
      </c>
      <c r="B225">
        <f t="shared" si="48"/>
        <v>2.5118864315093449E-2</v>
      </c>
      <c r="C225">
        <f t="shared" si="49"/>
        <v>0.2815707635550771</v>
      </c>
      <c r="D225">
        <f t="shared" si="49"/>
        <v>28.194428857301219</v>
      </c>
      <c r="E225">
        <f t="shared" si="50"/>
        <v>11.060787642806645</v>
      </c>
      <c r="F225">
        <f t="shared" si="46"/>
        <v>12.67211242310718</v>
      </c>
      <c r="G225">
        <f t="shared" si="47"/>
        <v>1.584893694838537</v>
      </c>
      <c r="H225">
        <v>37</v>
      </c>
      <c r="I225">
        <f t="shared" si="37"/>
        <v>39.81071705535345</v>
      </c>
      <c r="J225">
        <f t="shared" si="38"/>
        <v>2.334542174576278E-2</v>
      </c>
      <c r="K225">
        <f t="shared" si="39"/>
        <v>1.7789481960935175E-2</v>
      </c>
      <c r="L225">
        <f t="shared" si="40"/>
        <v>1.299571811937442E-2</v>
      </c>
      <c r="M225">
        <f t="shared" si="41"/>
        <v>1.7419429559865401E-2</v>
      </c>
      <c r="O225">
        <f t="shared" si="42"/>
        <v>4.3801177342742387E-2</v>
      </c>
      <c r="Q225">
        <f t="shared" si="43"/>
        <v>4.1829799621329086E-2</v>
      </c>
      <c r="R225">
        <f t="shared" si="44"/>
        <v>3.1211740612022889E-2</v>
      </c>
      <c r="S225">
        <f t="shared" si="45"/>
        <v>3.1874792149695359E-2</v>
      </c>
    </row>
    <row r="226" spans="1:19">
      <c r="A226">
        <f t="shared" si="51"/>
        <v>-1.5800000000000405</v>
      </c>
      <c r="B226">
        <f t="shared" si="48"/>
        <v>2.6302679918951351E-2</v>
      </c>
      <c r="C226">
        <f t="shared" si="49"/>
        <v>0.256793885967604</v>
      </c>
      <c r="D226">
        <f t="shared" si="49"/>
        <v>25.711920079400343</v>
      </c>
      <c r="E226">
        <f t="shared" si="50"/>
        <v>10.087557523461033</v>
      </c>
      <c r="F226">
        <f t="shared" si="46"/>
        <v>11.56862795218262</v>
      </c>
      <c r="G226">
        <f t="shared" si="47"/>
        <v>1.4454401886053041</v>
      </c>
      <c r="H226">
        <v>33</v>
      </c>
      <c r="I226">
        <f t="shared" si="37"/>
        <v>38.018939632059684</v>
      </c>
      <c r="J226">
        <f t="shared" si="38"/>
        <v>2.2830422040320618E-2</v>
      </c>
      <c r="K226">
        <f t="shared" si="39"/>
        <v>1.77883026327183E-2</v>
      </c>
      <c r="L226">
        <f t="shared" si="40"/>
        <v>1.299424220883119E-2</v>
      </c>
      <c r="M226">
        <f t="shared" si="41"/>
        <v>1.7418162450878693E-2</v>
      </c>
      <c r="O226">
        <f t="shared" si="42"/>
        <v>4.0907034776115479E-2</v>
      </c>
      <c r="Q226">
        <f t="shared" si="43"/>
        <v>3.9065914927311256E-2</v>
      </c>
      <c r="R226">
        <f t="shared" si="44"/>
        <v>2.9804812687841069E-2</v>
      </c>
      <c r="S226">
        <f t="shared" si="45"/>
        <v>3.0438172195141819E-2</v>
      </c>
    </row>
    <row r="227" spans="1:19">
      <c r="A227">
        <f t="shared" si="51"/>
        <v>-1.5600000000000405</v>
      </c>
      <c r="B227">
        <f t="shared" si="48"/>
        <v>2.7542287033379093E-2</v>
      </c>
      <c r="C227">
        <f t="shared" si="49"/>
        <v>0.2341973247288332</v>
      </c>
      <c r="D227">
        <f t="shared" si="49"/>
        <v>23.448065223015202</v>
      </c>
      <c r="E227">
        <f t="shared" si="50"/>
        <v>9.1999612229587768</v>
      </c>
      <c r="F227">
        <f t="shared" si="46"/>
        <v>10.546687498181141</v>
      </c>
      <c r="G227">
        <f t="shared" si="47"/>
        <v>1.3182570861167271</v>
      </c>
      <c r="H227">
        <v>31</v>
      </c>
      <c r="I227">
        <f t="shared" si="37"/>
        <v>36.307805477013524</v>
      </c>
      <c r="J227">
        <f t="shared" si="38"/>
        <v>2.3515904825900304E-2</v>
      </c>
      <c r="K227">
        <f t="shared" si="39"/>
        <v>1.7787176455997686E-2</v>
      </c>
      <c r="L227">
        <f t="shared" si="40"/>
        <v>1.2992832873613568E-2</v>
      </c>
      <c r="M227">
        <f t="shared" si="41"/>
        <v>1.7416952482653333E-2</v>
      </c>
      <c r="O227">
        <f t="shared" si="42"/>
        <v>4.0238867934412212E-2</v>
      </c>
      <c r="Q227">
        <f t="shared" si="43"/>
        <v>3.8427820547259336E-2</v>
      </c>
      <c r="R227">
        <f t="shared" si="44"/>
        <v>2.8461397910846554E-2</v>
      </c>
      <c r="S227">
        <f t="shared" si="45"/>
        <v>2.9066388470014862E-2</v>
      </c>
    </row>
    <row r="228" spans="1:19">
      <c r="A228">
        <f t="shared" si="51"/>
        <v>-1.5400000000000404</v>
      </c>
      <c r="B228">
        <f t="shared" si="48"/>
        <v>2.8840315031263358E-2</v>
      </c>
      <c r="C228">
        <f t="shared" si="49"/>
        <v>0.2135892072841436</v>
      </c>
      <c r="D228">
        <f t="shared" si="49"/>
        <v>21.383596701453186</v>
      </c>
      <c r="E228">
        <f t="shared" si="50"/>
        <v>8.390463873684558</v>
      </c>
      <c r="F228">
        <f t="shared" si="46"/>
        <v>9.6137688465200455</v>
      </c>
      <c r="G228">
        <f t="shared" si="47"/>
        <v>1.2022647237055226</v>
      </c>
      <c r="H228">
        <v>29</v>
      </c>
      <c r="I228">
        <f t="shared" si="37"/>
        <v>34.673685045256413</v>
      </c>
      <c r="J228">
        <f t="shared" si="38"/>
        <v>2.4121149361972943E-2</v>
      </c>
      <c r="K228">
        <f t="shared" si="39"/>
        <v>1.7786101032136008E-2</v>
      </c>
      <c r="L228">
        <f t="shared" si="40"/>
        <v>1.2991487104268451E-2</v>
      </c>
      <c r="M228">
        <f t="shared" si="41"/>
        <v>1.7415797073614236E-2</v>
      </c>
      <c r="O228">
        <f t="shared" si="42"/>
        <v>3.9416863009865466E-2</v>
      </c>
      <c r="Q228">
        <f t="shared" si="43"/>
        <v>3.7642811938644133E-2</v>
      </c>
      <c r="R228">
        <f t="shared" si="44"/>
        <v>2.717862089263344E-2</v>
      </c>
      <c r="S228">
        <f t="shared" si="45"/>
        <v>2.7756507213952186E-2</v>
      </c>
    </row>
    <row r="229" spans="1:19">
      <c r="A229">
        <f t="shared" si="51"/>
        <v>-1.5200000000000404</v>
      </c>
      <c r="B229">
        <f t="shared" si="48"/>
        <v>3.019951720401734E-2</v>
      </c>
      <c r="C229">
        <f t="shared" si="49"/>
        <v>0.19479454744229024</v>
      </c>
      <c r="D229">
        <f t="shared" si="49"/>
        <v>19.500945935666785</v>
      </c>
      <c r="E229">
        <f t="shared" si="50"/>
        <v>7.6521935980264999</v>
      </c>
      <c r="F229">
        <f t="shared" si="46"/>
        <v>8.7677867360059736</v>
      </c>
      <c r="G229">
        <f t="shared" si="47"/>
        <v>1.0964784365962239</v>
      </c>
      <c r="H229">
        <v>26</v>
      </c>
      <c r="I229">
        <f t="shared" si="37"/>
        <v>33.113112148262204</v>
      </c>
      <c r="J229">
        <f t="shared" si="38"/>
        <v>2.3712281823249224E-2</v>
      </c>
      <c r="K229">
        <f t="shared" si="39"/>
        <v>1.7785074071018359E-2</v>
      </c>
      <c r="L229">
        <f t="shared" si="40"/>
        <v>1.2990202027941924E-2</v>
      </c>
      <c r="M229">
        <f t="shared" si="41"/>
        <v>1.7414693759241401E-2</v>
      </c>
      <c r="O229">
        <f t="shared" si="42"/>
        <v>3.7004744339250883E-2</v>
      </c>
      <c r="Q229">
        <f t="shared" si="43"/>
        <v>3.5339256491603278E-2</v>
      </c>
      <c r="R229">
        <f t="shared" si="44"/>
        <v>2.5953737142123137E-2</v>
      </c>
      <c r="S229">
        <f t="shared" si="45"/>
        <v>2.6505728086516037E-2</v>
      </c>
    </row>
    <row r="230" spans="1:19">
      <c r="A230">
        <f t="shared" si="51"/>
        <v>-1.5000000000000404</v>
      </c>
      <c r="B230">
        <f t="shared" si="48"/>
        <v>3.1622776601680835E-2</v>
      </c>
      <c r="C230">
        <f t="shared" si="49"/>
        <v>0.17765375908636188</v>
      </c>
      <c r="D230">
        <f t="shared" si="49"/>
        <v>17.784093386121398</v>
      </c>
      <c r="E230">
        <f t="shared" si="50"/>
        <v>6.9788831718827193</v>
      </c>
      <c r="F230">
        <f t="shared" si="46"/>
        <v>7.9989157016110708</v>
      </c>
      <c r="G230">
        <f t="shared" si="47"/>
        <v>1.0000002000001476</v>
      </c>
      <c r="H230">
        <v>25</v>
      </c>
      <c r="I230">
        <f t="shared" si="37"/>
        <v>31.622776601686752</v>
      </c>
      <c r="J230">
        <f t="shared" si="38"/>
        <v>2.4999999999995321E-2</v>
      </c>
      <c r="K230">
        <f t="shared" si="39"/>
        <v>1.7784093386118072E-2</v>
      </c>
      <c r="L230">
        <f t="shared" si="40"/>
        <v>1.2988974902129786E-2</v>
      </c>
      <c r="M230">
        <f t="shared" si="41"/>
        <v>1.7413640186725275E-2</v>
      </c>
      <c r="O230">
        <f t="shared" si="42"/>
        <v>3.7258388664379583E-2</v>
      </c>
      <c r="Q230">
        <f t="shared" si="43"/>
        <v>3.5581484941587596E-2</v>
      </c>
      <c r="R230">
        <f t="shared" si="44"/>
        <v>2.4784127043292237E-2</v>
      </c>
      <c r="S230">
        <f t="shared" si="45"/>
        <v>2.5311378040722646E-2</v>
      </c>
    </row>
    <row r="231" spans="1:19">
      <c r="A231">
        <f t="shared" si="51"/>
        <v>-1.4800000000000404</v>
      </c>
      <c r="B231">
        <f t="shared" si="48"/>
        <v>3.3113112148256019E-2</v>
      </c>
      <c r="C231">
        <f t="shared" si="49"/>
        <v>0.16202130072298501</v>
      </c>
      <c r="D231">
        <f t="shared" si="49"/>
        <v>16.218431841457335</v>
      </c>
      <c r="E231">
        <f t="shared" si="50"/>
        <v>6.3648168212409519</v>
      </c>
      <c r="F231">
        <f t="shared" si="46"/>
        <v>7.2976762451133368</v>
      </c>
      <c r="G231">
        <f t="shared" si="47"/>
        <v>0.91201100570880422</v>
      </c>
      <c r="H231">
        <v>24</v>
      </c>
      <c r="I231">
        <f t="shared" si="37"/>
        <v>30.199517204022982</v>
      </c>
      <c r="J231">
        <f t="shared" si="38"/>
        <v>2.6315476707431527E-2</v>
      </c>
      <c r="K231">
        <f t="shared" si="39"/>
        <v>1.7783156889789011E-2</v>
      </c>
      <c r="L231">
        <f t="shared" si="40"/>
        <v>1.2987803108718277E-2</v>
      </c>
      <c r="M231">
        <f t="shared" si="41"/>
        <v>1.7412634109869415E-2</v>
      </c>
      <c r="O231">
        <f t="shared" si="42"/>
        <v>3.7453749527854074E-2</v>
      </c>
      <c r="Q231">
        <f t="shared" si="43"/>
        <v>3.5768053117804552E-2</v>
      </c>
      <c r="R231">
        <f t="shared" si="44"/>
        <v>2.3667290115509117E-2</v>
      </c>
      <c r="S231">
        <f t="shared" si="45"/>
        <v>2.4170905483030775E-2</v>
      </c>
    </row>
    <row r="232" spans="1:19">
      <c r="A232">
        <f t="shared" si="51"/>
        <v>-1.4600000000000404</v>
      </c>
      <c r="B232">
        <f t="shared" si="48"/>
        <v>3.4673685045249938E-2</v>
      </c>
      <c r="C232">
        <f t="shared" si="49"/>
        <v>0.1477644393495732</v>
      </c>
      <c r="D232">
        <f t="shared" si="49"/>
        <v>14.790641789579148</v>
      </c>
      <c r="E232">
        <f t="shared" si="50"/>
        <v>5.8047817001608983</v>
      </c>
      <c r="F232">
        <f t="shared" si="46"/>
        <v>6.6567451514209752</v>
      </c>
      <c r="G232">
        <f t="shared" si="47"/>
        <v>0.83176390946899703</v>
      </c>
      <c r="H232">
        <v>23</v>
      </c>
      <c r="I232">
        <f t="shared" si="37"/>
        <v>28.840315031268741</v>
      </c>
      <c r="J232">
        <f t="shared" si="38"/>
        <v>2.7652081996195354E-2</v>
      </c>
      <c r="K232">
        <f t="shared" si="39"/>
        <v>1.7782262588773745E-2</v>
      </c>
      <c r="L232">
        <f t="shared" si="40"/>
        <v>1.2986684148301205E-2</v>
      </c>
      <c r="M232">
        <f t="shared" si="41"/>
        <v>1.7411673384228679E-2</v>
      </c>
      <c r="O232">
        <f t="shared" si="42"/>
        <v>3.7584769930406554E-2</v>
      </c>
      <c r="Q232">
        <f t="shared" si="43"/>
        <v>3.5893176630859676E-2</v>
      </c>
      <c r="R232">
        <f t="shared" si="44"/>
        <v>2.2600839542749308E-2</v>
      </c>
      <c r="S232">
        <f t="shared" si="45"/>
        <v>2.3081874705962551E-2</v>
      </c>
    </row>
    <row r="233" spans="1:19">
      <c r="A233">
        <f t="shared" si="51"/>
        <v>-1.4400000000000404</v>
      </c>
      <c r="B233">
        <f t="shared" si="48"/>
        <v>3.6307805477006745E-2</v>
      </c>
      <c r="C233">
        <f t="shared" si="49"/>
        <v>0.13476212313407268</v>
      </c>
      <c r="D233">
        <f t="shared" si="49"/>
        <v>13.48857780115949</v>
      </c>
      <c r="E233">
        <f t="shared" si="50"/>
        <v>5.2940236382332602</v>
      </c>
      <c r="F233">
        <f t="shared" si="46"/>
        <v>6.069643507361028</v>
      </c>
      <c r="G233">
        <f t="shared" si="47"/>
        <v>0.75857769011729559</v>
      </c>
      <c r="H233">
        <v>22</v>
      </c>
      <c r="I233">
        <f t="shared" si="37"/>
        <v>27.542287033384234</v>
      </c>
      <c r="J233">
        <f t="shared" si="38"/>
        <v>2.9001648248235541E-2</v>
      </c>
      <c r="K233">
        <f t="shared" si="39"/>
        <v>1.7781408579917543E-2</v>
      </c>
      <c r="L233">
        <f t="shared" si="40"/>
        <v>1.2985615634760287E-2</v>
      </c>
      <c r="M233">
        <f t="shared" si="41"/>
        <v>1.7410755962471897E-2</v>
      </c>
      <c r="O233">
        <f t="shared" si="42"/>
        <v>3.7644951411008487E-2</v>
      </c>
    </row>
    <row r="234" spans="1:19">
      <c r="A234">
        <f t="shared" si="51"/>
        <v>-1.4200000000000403</v>
      </c>
      <c r="B234">
        <f t="shared" si="48"/>
        <v>3.8018939632052585E-2</v>
      </c>
      <c r="C234">
        <f t="shared" si="49"/>
        <v>0.12290395332692199</v>
      </c>
      <c r="D234">
        <f t="shared" si="49"/>
        <v>12.301164950585362</v>
      </c>
      <c r="E234">
        <f t="shared" si="50"/>
        <v>4.828206781836883</v>
      </c>
      <c r="F234">
        <f t="shared" si="46"/>
        <v>5.5359292711646564</v>
      </c>
      <c r="G234">
        <f t="shared" si="47"/>
        <v>0.69183106664507044</v>
      </c>
    </row>
    <row r="235" spans="1:19">
      <c r="A235">
        <f t="shared" si="51"/>
        <v>-1.4000000000000403</v>
      </c>
      <c r="B235">
        <f t="shared" si="48"/>
        <v>3.9810717055346015E-2</v>
      </c>
      <c r="C235">
        <f t="shared" si="49"/>
        <v>0.11208924666867333</v>
      </c>
      <c r="D235">
        <f t="shared" si="49"/>
        <v>11.218304385937408</v>
      </c>
      <c r="E235">
        <f t="shared" si="50"/>
        <v>4.4033767865729336</v>
      </c>
      <c r="F235">
        <f t="shared" si="46"/>
        <v>5.0492215821933266</v>
      </c>
      <c r="G235">
        <f t="shared" si="47"/>
        <v>0.63095742410173494</v>
      </c>
    </row>
    <row r="236" spans="1:19">
      <c r="A236">
        <f t="shared" si="51"/>
        <v>-1.3800000000000403</v>
      </c>
      <c r="B236">
        <f t="shared" si="48"/>
        <v>4.1686938347029662E-2</v>
      </c>
      <c r="C236">
        <f t="shared" si="49"/>
        <v>0.1022261803261101</v>
      </c>
      <c r="D236">
        <f t="shared" si="49"/>
        <v>10.230787238438008</v>
      </c>
      <c r="E236">
        <f t="shared" si="50"/>
        <v>4.0159272484032913</v>
      </c>
      <c r="F236">
        <f t="shared" si="46"/>
        <v>4.6048345086200779</v>
      </c>
      <c r="G236">
        <f t="shared" si="47"/>
        <v>0.5754400035634808</v>
      </c>
    </row>
    <row r="237" spans="1:19">
      <c r="A237">
        <f t="shared" si="51"/>
        <v>-1.3600000000000403</v>
      </c>
      <c r="B237">
        <f t="shared" si="48"/>
        <v>4.3651583224012525E-2</v>
      </c>
      <c r="C237">
        <f t="shared" si="49"/>
        <v>9.3231012091311821E-2</v>
      </c>
      <c r="D237">
        <f t="shared" si="49"/>
        <v>9.3302161336254716</v>
      </c>
      <c r="E237">
        <f t="shared" si="50"/>
        <v>3.6625690885161593</v>
      </c>
      <c r="F237">
        <f t="shared" si="46"/>
        <v>4.1972280920295848</v>
      </c>
      <c r="G237">
        <f t="shared" si="47"/>
        <v>0.52480751533443881</v>
      </c>
    </row>
    <row r="238" spans="1:19">
      <c r="A238">
        <f t="shared" si="51"/>
        <v>-1.3400000000000403</v>
      </c>
      <c r="B238">
        <f t="shared" si="48"/>
        <v>4.5708818961483252E-2</v>
      </c>
      <c r="C238">
        <f t="shared" si="49"/>
        <v>8.5027369217907392E-2</v>
      </c>
      <c r="D238">
        <f t="shared" si="49"/>
        <v>8.5089336319361184</v>
      </c>
      <c r="E238">
        <f t="shared" si="50"/>
        <v>3.3403026320175107</v>
      </c>
      <c r="F238">
        <f t="shared" si="46"/>
        <v>3.8288506539712079</v>
      </c>
      <c r="G238">
        <f t="shared" si="47"/>
        <v>0.4786301381400761</v>
      </c>
    </row>
    <row r="239" spans="1:19">
      <c r="A239">
        <f t="shared" si="51"/>
        <v>-1.3200000000000403</v>
      </c>
      <c r="B239">
        <f t="shared" si="48"/>
        <v>4.7863009232259376E-2</v>
      </c>
      <c r="C239">
        <f t="shared" si="49"/>
        <v>7.7545599852202052E-2</v>
      </c>
      <c r="D239">
        <f t="shared" si="49"/>
        <v>7.7599569859791231</v>
      </c>
      <c r="E239">
        <f t="shared" si="50"/>
        <v>3.0463921434166745</v>
      </c>
      <c r="F239">
        <f t="shared" si="46"/>
        <v>3.4928075051940866</v>
      </c>
      <c r="G239">
        <f t="shared" si="47"/>
        <v>0.43651587034945827</v>
      </c>
    </row>
    <row r="240" spans="1:19">
      <c r="A240">
        <f t="shared" si="51"/>
        <v>-1.3000000000000402</v>
      </c>
      <c r="B240">
        <f t="shared" si="48"/>
        <v>5.0118723362722578E-2</v>
      </c>
      <c r="C240">
        <f t="shared" si="49"/>
        <v>7.0722181548902044E-2</v>
      </c>
      <c r="D240">
        <f t="shared" si="49"/>
        <v>7.0769186560887523</v>
      </c>
      <c r="E240">
        <f t="shared" si="50"/>
        <v>2.7783426027310472</v>
      </c>
      <c r="F240">
        <f t="shared" si="46"/>
        <v>3.1856983914887298</v>
      </c>
      <c r="G240">
        <f t="shared" si="47"/>
        <v>0.39810720225143248</v>
      </c>
    </row>
    <row r="241" spans="1:7">
      <c r="A241">
        <f t="shared" si="51"/>
        <v>-1.2800000000000402</v>
      </c>
      <c r="B241">
        <f t="shared" si="48"/>
        <v>5.2480746024972373E-2</v>
      </c>
      <c r="C241">
        <f t="shared" si="49"/>
        <v>6.4499181846346385E-2</v>
      </c>
      <c r="D241">
        <f t="shared" si="49"/>
        <v>6.4540120752114944</v>
      </c>
      <c r="E241">
        <f t="shared" si="50"/>
        <v>2.5338785250568368</v>
      </c>
      <c r="F241">
        <f t="shared" si="46"/>
        <v>2.905347790230409</v>
      </c>
      <c r="G241">
        <f t="shared" si="47"/>
        <v>0.36307808113530188</v>
      </c>
    </row>
    <row r="242" spans="1:7">
      <c r="A242">
        <f t="shared" si="51"/>
        <v>-1.2600000000000402</v>
      </c>
      <c r="B242">
        <f t="shared" si="48"/>
        <v>5.4954087385757362E-2</v>
      </c>
      <c r="C242">
        <f t="shared" si="49"/>
        <v>5.8823766318596371E-2</v>
      </c>
      <c r="D242">
        <f t="shared" si="49"/>
        <v>5.8859421992607848</v>
      </c>
      <c r="E242">
        <f t="shared" si="50"/>
        <v>2.310924643800357</v>
      </c>
      <c r="F242">
        <f t="shared" si="46"/>
        <v>2.6488576156845616</v>
      </c>
      <c r="G242">
        <f t="shared" si="47"/>
        <v>0.331131143412215</v>
      </c>
    </row>
    <row r="243" spans="1:7">
      <c r="A243">
        <f t="shared" si="51"/>
        <v>-1.2400000000000402</v>
      </c>
      <c r="B243">
        <f t="shared" si="48"/>
        <v>5.7543993733710344E-2</v>
      </c>
      <c r="C243">
        <f t="shared" si="49"/>
        <v>5.3647749925216814E-2</v>
      </c>
      <c r="D243">
        <f t="shared" si="49"/>
        <v>5.3678804201439085</v>
      </c>
      <c r="E243">
        <f t="shared" si="50"/>
        <v>2.1075882935859656</v>
      </c>
      <c r="F243">
        <f t="shared" si="46"/>
        <v>2.4159956557141844</v>
      </c>
      <c r="G243">
        <f t="shared" si="47"/>
        <v>0.30199519028047345</v>
      </c>
    </row>
    <row r="244" spans="1:7">
      <c r="A244">
        <f t="shared" si="51"/>
        <v>-1.2200000000000402</v>
      </c>
      <c r="B244">
        <f t="shared" si="48"/>
        <v>6.0255958607430188E-2</v>
      </c>
      <c r="C244">
        <f t="shared" si="49"/>
        <v>4.8927187847520877E-2</v>
      </c>
      <c r="D244">
        <f t="shared" si="49"/>
        <v>4.895423456089639</v>
      </c>
      <c r="E244">
        <f t="shared" si="50"/>
        <v>1.9221433432856749</v>
      </c>
      <c r="F244">
        <f t="shared" si="46"/>
        <v>2.2029002781165676</v>
      </c>
      <c r="G244">
        <f t="shared" si="47"/>
        <v>0.27542288550541838</v>
      </c>
    </row>
    <row r="245" spans="1:7">
      <c r="A245">
        <f t="shared" si="51"/>
        <v>-1.2000000000000401</v>
      </c>
      <c r="B245">
        <f t="shared" si="48"/>
        <v>6.309573444801346E-2</v>
      </c>
      <c r="C245">
        <f t="shared" si="49"/>
        <v>4.4622002335595809E-2</v>
      </c>
      <c r="D245">
        <f t="shared" si="49"/>
        <v>4.4645558680084285</v>
      </c>
      <c r="E245">
        <f t="shared" si="50"/>
        <v>1.7530155427751968</v>
      </c>
      <c r="F245">
        <f t="shared" si="46"/>
        <v>2.0096192966075743</v>
      </c>
      <c r="G245">
        <f t="shared" si="47"/>
        <v>0.25118865577015098</v>
      </c>
    </row>
    <row r="246" spans="1:7">
      <c r="A246">
        <f t="shared" si="51"/>
        <v>-1.1800000000000401</v>
      </c>
      <c r="B246">
        <f t="shared" si="48"/>
        <v>6.6069344800753479E-2</v>
      </c>
      <c r="C246">
        <f t="shared" si="49"/>
        <v>4.0695642396412761E-2</v>
      </c>
      <c r="D246">
        <f t="shared" si="49"/>
        <v>4.0716158816934174</v>
      </c>
      <c r="E246">
        <f t="shared" si="50"/>
        <v>1.598769159022519</v>
      </c>
      <c r="F246">
        <f t="shared" si="46"/>
        <v>1.8323556369664644</v>
      </c>
      <c r="G246">
        <f t="shared" si="47"/>
        <v>0.22908677577296849</v>
      </c>
    </row>
    <row r="247" spans="1:7">
      <c r="A247">
        <f t="shared" si="51"/>
        <v>-1.1600000000000401</v>
      </c>
      <c r="B247">
        <f t="shared" si="48"/>
        <v>6.9183097091887261E-2</v>
      </c>
      <c r="C247">
        <f t="shared" si="49"/>
        <v>3.7114773432373654E-2</v>
      </c>
      <c r="D247">
        <f t="shared" si="49"/>
        <v>3.7132642239915388</v>
      </c>
      <c r="E247">
        <f t="shared" si="50"/>
        <v>1.4580947880608093</v>
      </c>
      <c r="F247">
        <f t="shared" si="46"/>
        <v>1.6717587374636371</v>
      </c>
      <c r="G247">
        <f t="shared" si="47"/>
        <v>0.20892962181575883</v>
      </c>
    </row>
    <row r="248" spans="1:7">
      <c r="A248">
        <f t="shared" si="51"/>
        <v>-1.1400000000000401</v>
      </c>
      <c r="B248">
        <f t="shared" si="48"/>
        <v>7.2443596007492297E-2</v>
      </c>
      <c r="C248">
        <f t="shared" si="49"/>
        <v>3.3848994194117826E-2</v>
      </c>
      <c r="D248">
        <f t="shared" si="49"/>
        <v>3.3864557068834324</v>
      </c>
      <c r="E248">
        <f t="shared" si="50"/>
        <v>1.3297982393796759</v>
      </c>
      <c r="F248">
        <f t="shared" si="46"/>
        <v>1.5242418670364752</v>
      </c>
      <c r="G248">
        <f t="shared" si="47"/>
        <v>0.19054607905792081</v>
      </c>
    </row>
    <row r="249" spans="1:7">
      <c r="A249">
        <f t="shared" si="51"/>
        <v>-1.1200000000000401</v>
      </c>
      <c r="B249">
        <f t="shared" si="48"/>
        <v>7.5857757502911363E-2</v>
      </c>
      <c r="C249">
        <f t="shared" si="49"/>
        <v>3.0870578643480032E-2</v>
      </c>
      <c r="D249">
        <f t="shared" si="49"/>
        <v>3.0884133169332344</v>
      </c>
      <c r="E249">
        <f t="shared" si="50"/>
        <v>1.2127903983729396</v>
      </c>
      <c r="F249">
        <f t="shared" si="46"/>
        <v>1.3899876392127408</v>
      </c>
      <c r="G249">
        <f t="shared" si="47"/>
        <v>0.17378008891487293</v>
      </c>
    </row>
    <row r="250" spans="1:7">
      <c r="A250">
        <f t="shared" si="51"/>
        <v>-1.1000000000000401</v>
      </c>
      <c r="B250">
        <f t="shared" si="48"/>
        <v>7.943282347242081E-2</v>
      </c>
      <c r="C250">
        <f t="shared" si="49"/>
        <v>2.8154240534122542E-2</v>
      </c>
      <c r="D250">
        <f t="shared" si="49"/>
        <v>2.8166045890072842</v>
      </c>
      <c r="E250">
        <f t="shared" si="50"/>
        <v>1.1060779807839674</v>
      </c>
      <c r="F250">
        <f t="shared" si="46"/>
        <v>1.2679904555005634</v>
      </c>
      <c r="G250">
        <f t="shared" si="47"/>
        <v>0.15848932426991333</v>
      </c>
    </row>
    <row r="251" spans="1:7">
      <c r="A251">
        <f t="shared" si="51"/>
        <v>-1.08000000000004</v>
      </c>
      <c r="B251">
        <f t="shared" si="48"/>
        <v>8.3176377110259436E-2</v>
      </c>
      <c r="C251">
        <f t="shared" si="49"/>
        <v>2.567691871036256E-2</v>
      </c>
      <c r="D251">
        <f t="shared" si="49"/>
        <v>2.5687200626998692</v>
      </c>
      <c r="E251">
        <f t="shared" si="50"/>
        <v>1.0087551006619537</v>
      </c>
      <c r="F251">
        <f t="shared" si="46"/>
        <v>1.1562895983963946</v>
      </c>
      <c r="G251">
        <f t="shared" si="47"/>
        <v>0.14454398125321152</v>
      </c>
    </row>
    <row r="252" spans="1:7">
      <c r="A252">
        <f t="shared" si="51"/>
        <v>-1.06000000000004</v>
      </c>
      <c r="B252">
        <f t="shared" si="48"/>
        <v>8.7096358995600004E-2</v>
      </c>
      <c r="C252">
        <f t="shared" si="49"/>
        <v>2.3417581300722776E-2</v>
      </c>
      <c r="D252">
        <f t="shared" si="49"/>
        <v>2.3426536377132736</v>
      </c>
      <c r="E252">
        <f t="shared" si="50"/>
        <v>0.91999558024862771</v>
      </c>
      <c r="F252">
        <f t="shared" si="46"/>
        <v>1.0546889898034579</v>
      </c>
      <c r="G252">
        <f t="shared" si="47"/>
        <v>0.13182567733126668</v>
      </c>
    </row>
    <row r="253" spans="1:7">
      <c r="A253">
        <f t="shared" si="51"/>
        <v>-1.04000000000004</v>
      </c>
      <c r="B253">
        <f t="shared" si="48"/>
        <v>9.1201083935582572E-2</v>
      </c>
      <c r="C253">
        <f t="shared" si="49"/>
        <v>2.1357047143242051E-2</v>
      </c>
      <c r="D253">
        <f t="shared" si="49"/>
        <v>2.1364846606717034</v>
      </c>
      <c r="E253">
        <f t="shared" si="50"/>
        <v>0.83904593651320047</v>
      </c>
      <c r="F253">
        <f t="shared" si="46"/>
        <v>0.96167510953797142</v>
      </c>
      <c r="G253">
        <f t="shared" si="47"/>
        <v>0.12022644635264286</v>
      </c>
    </row>
    <row r="254" spans="1:7">
      <c r="A254">
        <f t="shared" si="51"/>
        <v>-1.02000000000004</v>
      </c>
      <c r="B254">
        <f t="shared" si="48"/>
        <v>9.5499258602134776E-2</v>
      </c>
      <c r="C254">
        <f t="shared" si="49"/>
        <v>1.9477822925962299E-2</v>
      </c>
      <c r="D254">
        <f t="shared" si="49"/>
        <v>1.9484615906446983</v>
      </c>
      <c r="E254">
        <f t="shared" si="50"/>
        <v>0.76521898479759143</v>
      </c>
      <c r="F254">
        <f t="shared" si="46"/>
        <v>0.87710793703028611</v>
      </c>
      <c r="G254">
        <f t="shared" si="47"/>
        <v>0.10964782201886755</v>
      </c>
    </row>
    <row r="255" spans="1:7">
      <c r="A255">
        <f t="shared" si="51"/>
        <v>-1.00000000000004</v>
      </c>
      <c r="B255">
        <f t="shared" si="48"/>
        <v>9.9999999999990777E-2</v>
      </c>
      <c r="C255">
        <f t="shared" si="49"/>
        <v>1.7763954659498187E-2</v>
      </c>
      <c r="D255">
        <f t="shared" si="49"/>
        <v>1.7769871041422718</v>
      </c>
      <c r="E255">
        <f t="shared" si="50"/>
        <v>0.69788800527265593</v>
      </c>
      <c r="F255">
        <f t="shared" si="46"/>
        <v>0.7999133935531878</v>
      </c>
      <c r="G255">
        <f t="shared" si="47"/>
        <v>0.10000000200001838</v>
      </c>
    </row>
    <row r="256" spans="1:7">
      <c r="A256">
        <f t="shared" si="51"/>
        <v>-0.98000000000003995</v>
      </c>
      <c r="B256">
        <f t="shared" si="48"/>
        <v>0.10471285480508029</v>
      </c>
      <c r="C256">
        <f t="shared" si="49"/>
        <v>1.6200892220337073E-2</v>
      </c>
      <c r="D256">
        <f t="shared" si="49"/>
        <v>1.6206045126379793</v>
      </c>
      <c r="E256">
        <f t="shared" si="50"/>
        <v>0.6364814226839911</v>
      </c>
      <c r="F256">
        <f t="shared" si="46"/>
        <v>0.72953681327835129</v>
      </c>
      <c r="G256">
        <f t="shared" si="47"/>
        <v>9.1201085599135298E-2</v>
      </c>
    </row>
    <row r="257" spans="1:7">
      <c r="A257">
        <f t="shared" si="51"/>
        <v>-0.96000000000003993</v>
      </c>
      <c r="B257">
        <f t="shared" si="48"/>
        <v>0.10964781961430842</v>
      </c>
      <c r="C257">
        <f t="shared" si="49"/>
        <v>1.4775365814537424E-2</v>
      </c>
      <c r="D257">
        <f t="shared" si="49"/>
        <v>1.4779853768826088</v>
      </c>
      <c r="E257">
        <f t="shared" si="50"/>
        <v>0.5804779542232138</v>
      </c>
      <c r="F257">
        <f t="shared" si="46"/>
        <v>0.66546882051420397</v>
      </c>
      <c r="G257">
        <f t="shared" si="47"/>
        <v>8.3176378493944284E-2</v>
      </c>
    </row>
    <row r="258" spans="1:7">
      <c r="A258">
        <f t="shared" si="51"/>
        <v>-0.94000000000003991</v>
      </c>
      <c r="B258">
        <f t="shared" si="48"/>
        <v>0.11481536214967769</v>
      </c>
      <c r="C258">
        <f t="shared" si="49"/>
        <v>1.3475273312743896E-2</v>
      </c>
      <c r="D258">
        <f t="shared" si="49"/>
        <v>1.3479182124870495</v>
      </c>
      <c r="E258">
        <f t="shared" si="50"/>
        <v>0.52940218433463238</v>
      </c>
      <c r="F258">
        <f t="shared" si="46"/>
        <v>0.60679358882768253</v>
      </c>
      <c r="G258">
        <f t="shared" si="47"/>
        <v>7.585775865381221E-2</v>
      </c>
    </row>
    <row r="259" spans="1:7">
      <c r="A259">
        <f t="shared" si="51"/>
        <v>-0.9200000000000399</v>
      </c>
      <c r="B259">
        <f t="shared" si="48"/>
        <v>0.12022644346173024</v>
      </c>
      <c r="C259">
        <f t="shared" si="49"/>
        <v>1.2289577499772081E-2</v>
      </c>
      <c r="D259">
        <f t="shared" si="49"/>
        <v>1.2292981905655667</v>
      </c>
      <c r="E259">
        <f t="shared" si="50"/>
        <v>0.48282052889149762</v>
      </c>
      <c r="F259">
        <f t="shared" si="46"/>
        <v>0.55351829204535252</v>
      </c>
      <c r="G259">
        <f t="shared" si="47"/>
        <v>6.918309804916653E-2</v>
      </c>
    </row>
    <row r="260" spans="1:7">
      <c r="A260">
        <f t="shared" si="51"/>
        <v>-0.90000000000003988</v>
      </c>
      <c r="B260">
        <f t="shared" si="48"/>
        <v>0.1258925411794051</v>
      </c>
      <c r="C260">
        <f t="shared" si="49"/>
        <v>1.1208212366224553E-2</v>
      </c>
      <c r="D260">
        <f t="shared" si="49"/>
        <v>1.1211177457205215</v>
      </c>
      <c r="E260">
        <f t="shared" si="50"/>
        <v>0.44033755448145956</v>
      </c>
      <c r="F260">
        <f t="shared" si="46"/>
        <v>0.50480669377929432</v>
      </c>
      <c r="G260">
        <f t="shared" si="47"/>
        <v>6.3095735244245305E-2</v>
      </c>
    </row>
    <row r="261" spans="1:7">
      <c r="A261">
        <f t="shared" si="51"/>
        <v>-0.88000000000003986</v>
      </c>
      <c r="B261">
        <f t="shared" si="48"/>
        <v>0.13182567385562857</v>
      </c>
      <c r="C261">
        <f t="shared" si="49"/>
        <v>1.02219976463939E-2</v>
      </c>
      <c r="D261">
        <f t="shared" si="49"/>
        <v>1.0224580113890109</v>
      </c>
      <c r="E261">
        <f t="shared" si="50"/>
        <v>0.40159262155537034</v>
      </c>
      <c r="F261">
        <f t="shared" ref="F261:F301" si="52">+I/(($B261-alpha*SIN($B261*L))^2+alpha^2*(1+COS($B261*L))^2)</f>
        <v>0.4603070943030676</v>
      </c>
      <c r="G261">
        <f t="shared" ref="G261:G301" si="53">+Int*($B261^2+2*beta^2)/(4*(beta*$B261)^2+($B261^2-2*beta^2)^2)</f>
        <v>5.7543994395988507E-2</v>
      </c>
    </row>
    <row r="262" spans="1:7">
      <c r="A262">
        <f t="shared" si="51"/>
        <v>-0.86000000000003984</v>
      </c>
      <c r="B262">
        <f t="shared" ref="B262:B301" si="54">10^$A262</f>
        <v>0.13803842646027578</v>
      </c>
      <c r="C262">
        <f t="shared" ref="C262:D301" si="55">+C$1*EXP(-ABS(C$3/$B262-1/C$2))/$B262/$B262</f>
        <v>9.3225608767448925E-3</v>
      </c>
      <c r="D262">
        <f t="shared" si="55"/>
        <v>0.93248100962785874</v>
      </c>
      <c r="E262">
        <f t="shared" ref="E262:E301" si="56">$E$2/(1+$E$1^2-2*$E$1*($E$3*$B262)+($E$3*$B262)^2)+$E$2/(1+$E$1^2+2*$E$1*($E$3*$B262)+($E$3*$B262)^2)</f>
        <v>0.36625682294292972</v>
      </c>
      <c r="F262">
        <f t="shared" si="52"/>
        <v>0.41988195873406187</v>
      </c>
      <c r="G262">
        <f t="shared" si="53"/>
        <v>5.248074657583264E-2</v>
      </c>
    </row>
    <row r="263" spans="1:7">
      <c r="A263">
        <f t="shared" si="51"/>
        <v>-0.84000000000003983</v>
      </c>
      <c r="B263">
        <f t="shared" si="54"/>
        <v>0.14454397707457947</v>
      </c>
      <c r="C263">
        <f t="shared" si="55"/>
        <v>8.5022663131373508E-3</v>
      </c>
      <c r="D263">
        <f t="shared" si="55"/>
        <v>0.85042252884585312</v>
      </c>
      <c r="E263">
        <f t="shared" si="56"/>
        <v>0.334030191746019</v>
      </c>
      <c r="F263">
        <f t="shared" si="52"/>
        <v>0.3828848732609883</v>
      </c>
      <c r="G263">
        <f t="shared" si="53"/>
        <v>4.7863009690446157E-2</v>
      </c>
    </row>
    <row r="264" spans="1:7">
      <c r="A264">
        <f t="shared" si="51"/>
        <v>-0.82000000000003981</v>
      </c>
      <c r="B264">
        <f t="shared" si="54"/>
        <v>0.15135612484360692</v>
      </c>
      <c r="C264">
        <f t="shared" si="55"/>
        <v>7.7541501032007444E-3</v>
      </c>
      <c r="D264">
        <f t="shared" si="55"/>
        <v>0.77558562885675297</v>
      </c>
      <c r="E264">
        <f t="shared" si="56"/>
        <v>0.30463915490737858</v>
      </c>
      <c r="F264">
        <f t="shared" si="52"/>
        <v>0.34918270590927991</v>
      </c>
      <c r="G264">
        <f t="shared" si="53"/>
        <v>4.3651583605116742E-2</v>
      </c>
    </row>
    <row r="265" spans="1:7">
      <c r="A265">
        <f t="shared" si="51"/>
        <v>-0.80000000000003979</v>
      </c>
      <c r="B265">
        <f t="shared" si="54"/>
        <v>0.1584893192460968</v>
      </c>
      <c r="C265">
        <f t="shared" si="55"/>
        <v>7.071861163392504E-3</v>
      </c>
      <c r="D265">
        <f t="shared" si="55"/>
        <v>0.70733471797320713</v>
      </c>
      <c r="E265">
        <f t="shared" si="56"/>
        <v>0.27783421083781712</v>
      </c>
      <c r="F265">
        <f t="shared" si="52"/>
        <v>0.31847265321413332</v>
      </c>
      <c r="G265">
        <f t="shared" si="53"/>
        <v>3.9810717372335672E-2</v>
      </c>
    </row>
    <row r="266" spans="1:7">
      <c r="A266">
        <f t="shared" ref="A266:A301" si="57">+$A265+$A$1</f>
        <v>-0.78000000000003977</v>
      </c>
      <c r="B266">
        <f t="shared" si="54"/>
        <v>0.16595869074374084</v>
      </c>
      <c r="C266">
        <f t="shared" si="55"/>
        <v>6.4496072587181133E-3</v>
      </c>
      <c r="D266">
        <f t="shared" si="55"/>
        <v>0.6450901517364277</v>
      </c>
      <c r="E266">
        <f t="shared" si="56"/>
        <v>0.25338781138720246</v>
      </c>
      <c r="F266">
        <f t="shared" si="52"/>
        <v>0.29045097608743203</v>
      </c>
      <c r="G266">
        <f t="shared" si="53"/>
        <v>3.6307805740668136E-2</v>
      </c>
    </row>
    <row r="267" spans="1:7">
      <c r="A267">
        <f t="shared" si="57"/>
        <v>-0.76000000000003975</v>
      </c>
      <c r="B267">
        <f t="shared" si="54"/>
        <v>0.17378008287492161</v>
      </c>
      <c r="C267">
        <f t="shared" si="55"/>
        <v>5.8821058272726899E-3</v>
      </c>
      <c r="D267">
        <f t="shared" si="55"/>
        <v>0.58832330732082017</v>
      </c>
      <c r="E267">
        <f t="shared" si="56"/>
        <v>0.23109243017917308</v>
      </c>
      <c r="F267">
        <f t="shared" si="52"/>
        <v>0.26489895504038197</v>
      </c>
      <c r="G267">
        <f t="shared" si="53"/>
        <v>3.3113112367560815E-2</v>
      </c>
    </row>
    <row r="268" spans="1:7">
      <c r="A268">
        <f t="shared" si="57"/>
        <v>-0.74000000000003974</v>
      </c>
      <c r="B268">
        <f t="shared" si="54"/>
        <v>0.18197008586098165</v>
      </c>
      <c r="C268">
        <f t="shared" si="55"/>
        <v>5.3645391320568288E-3</v>
      </c>
      <c r="D268">
        <f t="shared" si="55"/>
        <v>0.53655209170489804</v>
      </c>
      <c r="E268">
        <f t="shared" si="56"/>
        <v>0.21075880091155808</v>
      </c>
      <c r="F268">
        <f t="shared" si="52"/>
        <v>0.24160947491820914</v>
      </c>
      <c r="G268">
        <f t="shared" si="53"/>
        <v>3.0199517386427871E-2</v>
      </c>
    </row>
    <row r="269" spans="1:7">
      <c r="A269">
        <f t="shared" si="57"/>
        <v>-0.72000000000003972</v>
      </c>
      <c r="B269">
        <f t="shared" si="54"/>
        <v>0.19054607179630723</v>
      </c>
      <c r="C269">
        <f t="shared" si="55"/>
        <v>4.8925133592661344E-3</v>
      </c>
      <c r="D269">
        <f t="shared" si="55"/>
        <v>0.48933684539434419</v>
      </c>
      <c r="E269">
        <f t="shared" si="56"/>
        <v>0.19221431066735173</v>
      </c>
      <c r="F269">
        <f t="shared" si="52"/>
        <v>0.22035206786006376</v>
      </c>
      <c r="G269">
        <f t="shared" si="53"/>
        <v>2.7542287185102241E-2</v>
      </c>
    </row>
    <row r="270" spans="1:7">
      <c r="A270">
        <f t="shared" si="57"/>
        <v>-0.7000000000000397</v>
      </c>
      <c r="B270">
        <f t="shared" si="54"/>
        <v>0.19952623149686968</v>
      </c>
      <c r="C270">
        <f t="shared" si="55"/>
        <v>4.4620213157662786E-3</v>
      </c>
      <c r="D270">
        <f t="shared" si="55"/>
        <v>0.4462766068516274</v>
      </c>
      <c r="E270">
        <f t="shared" si="56"/>
        <v>0.17530153459697745</v>
      </c>
      <c r="F270">
        <f t="shared" si="52"/>
        <v>0.20093854540112011</v>
      </c>
      <c r="G270">
        <f t="shared" si="53"/>
        <v>2.5118864441291876E-2</v>
      </c>
    </row>
    <row r="271" spans="1:7">
      <c r="A271">
        <f t="shared" si="57"/>
        <v>-0.68000000000003968</v>
      </c>
      <c r="B271">
        <f t="shared" si="54"/>
        <v>0.20892961308538485</v>
      </c>
      <c r="C271">
        <f t="shared" si="55"/>
        <v>4.0694084090283876E-3</v>
      </c>
      <c r="D271">
        <f t="shared" si="55"/>
        <v>0.40700570585795315</v>
      </c>
      <c r="E271">
        <f t="shared" si="56"/>
        <v>0.15987689953269005</v>
      </c>
      <c r="F271">
        <f t="shared" si="52"/>
        <v>0.18328166014974159</v>
      </c>
      <c r="G271">
        <f t="shared" si="53"/>
        <v>2.2908676632643413E-2</v>
      </c>
    </row>
    <row r="272" spans="1:7">
      <c r="A272">
        <f t="shared" si="57"/>
        <v>-0.66000000000003967</v>
      </c>
      <c r="B272">
        <f t="shared" si="54"/>
        <v>0.21877616239493525</v>
      </c>
      <c r="C272">
        <f t="shared" si="55"/>
        <v>3.7113416206724752E-3</v>
      </c>
      <c r="D272">
        <f t="shared" si="55"/>
        <v>0.37119065683375008</v>
      </c>
      <c r="E272">
        <f t="shared" si="56"/>
        <v>0.1458094651904725</v>
      </c>
      <c r="F272">
        <f t="shared" si="52"/>
        <v>0.16715345507532006</v>
      </c>
      <c r="G272">
        <f t="shared" si="53"/>
        <v>2.0892961395847388E-2</v>
      </c>
    </row>
    <row r="273" spans="1:7">
      <c r="A273">
        <f t="shared" si="57"/>
        <v>-0.64000000000003965</v>
      </c>
      <c r="B273">
        <f t="shared" si="54"/>
        <v>0.22908676527675637</v>
      </c>
      <c r="C273">
        <f t="shared" si="55"/>
        <v>3.3847812101866831E-3</v>
      </c>
      <c r="D273">
        <f t="shared" si="55"/>
        <v>0.33852732569731642</v>
      </c>
      <c r="E273">
        <f t="shared" si="56"/>
        <v>0.13297981261299774</v>
      </c>
      <c r="F273">
        <f t="shared" si="52"/>
        <v>0.15244613171875235</v>
      </c>
      <c r="G273">
        <f t="shared" si="53"/>
        <v>1.9054607252251568E-2</v>
      </c>
    </row>
    <row r="274" spans="1:7">
      <c r="A274">
        <f t="shared" si="57"/>
        <v>-0.62000000000003963</v>
      </c>
      <c r="B274">
        <f t="shared" si="54"/>
        <v>0.23988329190192714</v>
      </c>
      <c r="C274">
        <f t="shared" si="55"/>
        <v>3.0869549085726987E-3</v>
      </c>
      <c r="D274">
        <f t="shared" si="55"/>
        <v>0.30873834616948637</v>
      </c>
      <c r="E274">
        <f t="shared" si="56"/>
        <v>0.12127903041759436</v>
      </c>
      <c r="F274">
        <f t="shared" si="52"/>
        <v>0.13902736335854504</v>
      </c>
      <c r="G274">
        <f t="shared" si="53"/>
        <v>1.7378008347895966E-2</v>
      </c>
    </row>
    <row r="275" spans="1:7">
      <c r="A275">
        <f t="shared" si="57"/>
        <v>-0.60000000000003961</v>
      </c>
      <c r="B275">
        <f t="shared" si="54"/>
        <v>0.25118864315093509</v>
      </c>
      <c r="C275">
        <f t="shared" si="55"/>
        <v>2.8153343828101383E-3</v>
      </c>
      <c r="D275">
        <f t="shared" si="55"/>
        <v>0.28157076355507571</v>
      </c>
      <c r="E275">
        <f t="shared" si="56"/>
        <v>0.11060779024343184</v>
      </c>
      <c r="F275">
        <f t="shared" si="52"/>
        <v>0.12679718036881049</v>
      </c>
      <c r="G275">
        <f t="shared" si="53"/>
        <v>1.5848931974851755E-2</v>
      </c>
    </row>
    <row r="276" spans="1:7">
      <c r="A276">
        <f t="shared" si="57"/>
        <v>-0.58000000000003959</v>
      </c>
      <c r="B276">
        <f t="shared" si="54"/>
        <v>0.26302679918951416</v>
      </c>
      <c r="C276">
        <f t="shared" si="55"/>
        <v>2.5676137713144796E-3</v>
      </c>
      <c r="D276">
        <f t="shared" si="55"/>
        <v>0.25679388596760278</v>
      </c>
      <c r="E276">
        <f t="shared" si="56"/>
        <v>0.10087550354935552</v>
      </c>
      <c r="F276">
        <f t="shared" si="52"/>
        <v>0.11563738146759478</v>
      </c>
      <c r="G276">
        <f t="shared" si="53"/>
        <v>1.4454397749247842E-2</v>
      </c>
    </row>
    <row r="277" spans="1:7">
      <c r="A277">
        <f t="shared" si="57"/>
        <v>-0.56000000000003958</v>
      </c>
      <c r="B277">
        <f t="shared" si="54"/>
        <v>0.27542287033379148</v>
      </c>
      <c r="C277">
        <f t="shared" si="55"/>
        <v>2.3416901081478496E-3</v>
      </c>
      <c r="D277">
        <f t="shared" si="55"/>
        <v>0.23419732472883231</v>
      </c>
      <c r="E277">
        <f t="shared" si="56"/>
        <v>9.199955260439141E-2</v>
      </c>
      <c r="F277">
        <f t="shared" si="52"/>
        <v>0.10546551525054455</v>
      </c>
      <c r="G277">
        <f t="shared" si="53"/>
        <v>1.3182567420322498E-2</v>
      </c>
    </row>
    <row r="278" spans="1:7">
      <c r="A278">
        <f t="shared" si="57"/>
        <v>-0.54000000000003956</v>
      </c>
      <c r="B278">
        <f t="shared" si="54"/>
        <v>0.28840315031263425</v>
      </c>
      <c r="C278">
        <f t="shared" si="55"/>
        <v>2.1356454697792591E-3</v>
      </c>
      <c r="D278">
        <f t="shared" si="55"/>
        <v>0.2135892072841426</v>
      </c>
      <c r="E278">
        <f t="shared" si="56"/>
        <v>8.3904589142768382E-2</v>
      </c>
      <c r="F278">
        <f t="shared" si="52"/>
        <v>9.6183765289972245E-2</v>
      </c>
      <c r="G278">
        <f t="shared" si="53"/>
        <v>1.2022644375085123E-2</v>
      </c>
    </row>
    <row r="279" spans="1:7">
      <c r="A279">
        <f t="shared" si="57"/>
        <v>-0.52000000000003954</v>
      </c>
      <c r="B279">
        <f t="shared" si="54"/>
        <v>0.30199517204017412</v>
      </c>
      <c r="C279">
        <f t="shared" si="55"/>
        <v>1.947730692816682E-3</v>
      </c>
      <c r="D279">
        <f t="shared" si="55"/>
        <v>0.1947945474422893</v>
      </c>
      <c r="E279">
        <f t="shared" si="56"/>
        <v>7.6521894729709133E-2</v>
      </c>
      <c r="F279">
        <f t="shared" si="52"/>
        <v>8.7714545082892226E-2</v>
      </c>
      <c r="G279">
        <f t="shared" si="53"/>
        <v>1.0964781985479137E-2</v>
      </c>
    </row>
    <row r="280" spans="1:7">
      <c r="A280">
        <f t="shared" si="57"/>
        <v>-0.50000000000003952</v>
      </c>
      <c r="B280">
        <f t="shared" si="54"/>
        <v>0.31622776601680908</v>
      </c>
      <c r="C280">
        <f t="shared" si="55"/>
        <v>1.7763505244721587E-3</v>
      </c>
      <c r="D280">
        <f t="shared" si="55"/>
        <v>0.17765375908636105</v>
      </c>
      <c r="E280">
        <f t="shared" si="56"/>
        <v>6.9788797408109907E-2</v>
      </c>
      <c r="F280">
        <f t="shared" si="52"/>
        <v>7.9999878685956385E-2</v>
      </c>
      <c r="G280">
        <f t="shared" si="53"/>
        <v>1.0000000020001827E-2</v>
      </c>
    </row>
    <row r="281" spans="1:7">
      <c r="A281">
        <f t="shared" si="57"/>
        <v>-0.48000000000003951</v>
      </c>
      <c r="B281">
        <f t="shared" si="54"/>
        <v>0.33113112148256091</v>
      </c>
      <c r="C281">
        <f t="shared" si="55"/>
        <v>1.6200500796858838E-3</v>
      </c>
      <c r="D281">
        <f t="shared" si="55"/>
        <v>0.16202130072298435</v>
      </c>
      <c r="E281">
        <f t="shared" si="56"/>
        <v>6.3648139673998405E-2</v>
      </c>
      <c r="F281">
        <f t="shared" si="52"/>
        <v>7.2963226253110483E-2</v>
      </c>
      <c r="G281">
        <f t="shared" si="53"/>
        <v>9.1201084101960352E-3</v>
      </c>
    </row>
    <row r="282" spans="1:7">
      <c r="A282">
        <f t="shared" si="57"/>
        <v>-0.46000000000003949</v>
      </c>
      <c r="B282">
        <f t="shared" si="54"/>
        <v>0.34673685045250002</v>
      </c>
      <c r="C282">
        <f t="shared" si="55"/>
        <v>1.4775024899296445E-3</v>
      </c>
      <c r="D282">
        <f t="shared" si="55"/>
        <v>0.14776443934957265</v>
      </c>
      <c r="E282">
        <f t="shared" si="56"/>
        <v>5.8047793264392883E-2</v>
      </c>
      <c r="F282">
        <f t="shared" si="52"/>
        <v>6.6543574376892678E-2</v>
      </c>
      <c r="G282">
        <f t="shared" si="53"/>
        <v>8.317637724864848E-3</v>
      </c>
    </row>
    <row r="283" spans="1:7">
      <c r="A283">
        <f t="shared" si="57"/>
        <v>-0.44000000000003947</v>
      </c>
      <c r="B283">
        <f t="shared" si="54"/>
        <v>0.36307805477006827</v>
      </c>
      <c r="C283">
        <f t="shared" si="55"/>
        <v>1.3474976388278511E-3</v>
      </c>
      <c r="D283">
        <f t="shared" si="55"/>
        <v>0.13476212313407207</v>
      </c>
      <c r="E283">
        <f t="shared" si="56"/>
        <v>5.2940216638576454E-2</v>
      </c>
      <c r="F283">
        <f t="shared" si="52"/>
        <v>6.0688504458140391E-2</v>
      </c>
      <c r="G283">
        <f t="shared" si="53"/>
        <v>7.5857757618020176E-3</v>
      </c>
    </row>
    <row r="284" spans="1:7">
      <c r="A284">
        <f t="shared" si="57"/>
        <v>-0.42000000000003945</v>
      </c>
      <c r="B284">
        <f t="shared" si="54"/>
        <v>0.38018939632052662</v>
      </c>
      <c r="C284">
        <f t="shared" si="55"/>
        <v>1.2289318889620615E-3</v>
      </c>
      <c r="D284">
        <f t="shared" si="55"/>
        <v>0.1229039533269215</v>
      </c>
      <c r="E284">
        <f t="shared" si="56"/>
        <v>4.8282051396227973E-2</v>
      </c>
      <c r="F284">
        <f t="shared" si="52"/>
        <v>5.5347488602856397E-2</v>
      </c>
      <c r="G284">
        <f t="shared" si="53"/>
        <v>6.9183097187632235E-3</v>
      </c>
    </row>
    <row r="285" spans="1:7">
      <c r="A285">
        <f t="shared" si="57"/>
        <v>-0.40000000000003944</v>
      </c>
      <c r="B285">
        <f t="shared" si="54"/>
        <v>0.39810717055346106</v>
      </c>
      <c r="C285">
        <f t="shared" si="55"/>
        <v>1.1207987126403943E-3</v>
      </c>
      <c r="D285">
        <f t="shared" si="55"/>
        <v>0.11208924666867283</v>
      </c>
      <c r="E285">
        <f t="shared" si="56"/>
        <v>4.4033754206387651E-2</v>
      </c>
      <c r="F285">
        <f t="shared" si="52"/>
        <v>5.0478315206719471E-2</v>
      </c>
      <c r="G285">
        <f t="shared" si="53"/>
        <v>6.3095734527652226E-3</v>
      </c>
    </row>
    <row r="286" spans="1:7">
      <c r="A286">
        <f t="shared" si="57"/>
        <v>-0.38000000000003942</v>
      </c>
      <c r="B286">
        <f t="shared" si="54"/>
        <v>0.41686938347029751</v>
      </c>
      <c r="C286">
        <f t="shared" si="55"/>
        <v>1.0221801470881922E-3</v>
      </c>
      <c r="D286">
        <f t="shared" si="55"/>
        <v>0.10222618032610967</v>
      </c>
      <c r="E286">
        <f t="shared" si="56"/>
        <v>4.015926112268748E-2</v>
      </c>
      <c r="F286">
        <f t="shared" si="52"/>
        <v>4.6034145483566498E-2</v>
      </c>
      <c r="G286">
        <f t="shared" si="53"/>
        <v>5.7543993799952379E-3</v>
      </c>
    </row>
    <row r="287" spans="1:7">
      <c r="A287">
        <f t="shared" si="57"/>
        <v>-0.3600000000000394</v>
      </c>
      <c r="B287">
        <f t="shared" si="54"/>
        <v>0.43651583224012636</v>
      </c>
      <c r="C287">
        <f t="shared" si="55"/>
        <v>9.3223900151587615E-4</v>
      </c>
      <c r="D287">
        <f t="shared" si="55"/>
        <v>9.3231012091311349E-2</v>
      </c>
      <c r="E287">
        <f t="shared" si="56"/>
        <v>3.6625681435206107E-2</v>
      </c>
      <c r="F287">
        <f t="shared" si="52"/>
        <v>4.1983452225710267E-2</v>
      </c>
      <c r="G287">
        <f t="shared" si="53"/>
        <v>5.2480746080071361E-3</v>
      </c>
    </row>
    <row r="288" spans="1:7">
      <c r="A288">
        <f t="shared" si="57"/>
        <v>-0.34000000000003938</v>
      </c>
      <c r="B288">
        <f t="shared" si="54"/>
        <v>0.45708818961483355</v>
      </c>
      <c r="C288">
        <f t="shared" si="55"/>
        <v>8.5021174990350618E-4</v>
      </c>
      <c r="D288">
        <f t="shared" si="55"/>
        <v>8.502736921790699E-2</v>
      </c>
      <c r="E288">
        <f t="shared" si="56"/>
        <v>3.3403018460044578E-2</v>
      </c>
      <c r="F288">
        <f t="shared" si="52"/>
        <v>3.8289236341688071E-2</v>
      </c>
      <c r="G288">
        <f t="shared" si="53"/>
        <v>4.786300927808987E-3</v>
      </c>
    </row>
    <row r="289" spans="1:7">
      <c r="A289">
        <f t="shared" si="57"/>
        <v>-0.32000000000003936</v>
      </c>
      <c r="B289">
        <f t="shared" si="54"/>
        <v>0.47863009232259485</v>
      </c>
      <c r="C289">
        <f t="shared" si="55"/>
        <v>7.754020491634253E-4</v>
      </c>
      <c r="D289">
        <f t="shared" si="55"/>
        <v>7.7545599852201691E-2</v>
      </c>
      <c r="E289">
        <f t="shared" si="56"/>
        <v>3.046391489639497E-2</v>
      </c>
      <c r="F289">
        <f t="shared" si="52"/>
        <v>3.492213384255323E-2</v>
      </c>
      <c r="G289">
        <f t="shared" si="53"/>
        <v>4.3651583262133741E-3</v>
      </c>
    </row>
    <row r="290" spans="1:7">
      <c r="A290">
        <f t="shared" si="57"/>
        <v>-0.30000000000003935</v>
      </c>
      <c r="B290">
        <f t="shared" si="54"/>
        <v>0.50118723362722684</v>
      </c>
      <c r="C290">
        <f t="shared" si="55"/>
        <v>7.0717482765189881E-4</v>
      </c>
      <c r="D290">
        <f t="shared" si="55"/>
        <v>7.0722181548901752E-2</v>
      </c>
      <c r="E290">
        <f t="shared" si="56"/>
        <v>2.7783420589428807E-2</v>
      </c>
      <c r="F290">
        <f t="shared" si="52"/>
        <v>3.1848412837557454E-2</v>
      </c>
      <c r="G290">
        <f t="shared" si="53"/>
        <v>3.9810717087054815E-3</v>
      </c>
    </row>
    <row r="291" spans="1:7">
      <c r="A291">
        <f t="shared" si="57"/>
        <v>-0.28000000000003933</v>
      </c>
      <c r="B291">
        <f t="shared" si="54"/>
        <v>0.52480746024972502</v>
      </c>
      <c r="C291">
        <f t="shared" si="55"/>
        <v>6.4495089384294859E-4</v>
      </c>
      <c r="D291">
        <f t="shared" si="55"/>
        <v>6.4499181846346065E-2</v>
      </c>
      <c r="E291">
        <f t="shared" si="56"/>
        <v>2.5338780727535412E-2</v>
      </c>
      <c r="F291">
        <f t="shared" si="52"/>
        <v>2.9046635342231286E-2</v>
      </c>
      <c r="G291">
        <f t="shared" si="53"/>
        <v>3.6307805503381862E-3</v>
      </c>
    </row>
    <row r="292" spans="1:7">
      <c r="A292">
        <f t="shared" si="57"/>
        <v>-0.26000000000003931</v>
      </c>
      <c r="B292">
        <f t="shared" si="54"/>
        <v>0.54954087385757477</v>
      </c>
      <c r="C292">
        <f t="shared" si="55"/>
        <v>5.8820201939376894E-4</v>
      </c>
      <c r="D292">
        <f t="shared" si="55"/>
        <v>5.8823766318596114E-2</v>
      </c>
      <c r="E292">
        <f t="shared" si="56"/>
        <v>2.3109242675908651E-2</v>
      </c>
      <c r="F292">
        <f t="shared" si="52"/>
        <v>2.6490667468734401E-2</v>
      </c>
      <c r="G292">
        <f t="shared" si="53"/>
        <v>3.3113112170194679E-3</v>
      </c>
    </row>
    <row r="293" spans="1:7">
      <c r="A293">
        <f t="shared" si="57"/>
        <v>-0.24000000000003932</v>
      </c>
      <c r="B293">
        <f t="shared" si="54"/>
        <v>0.57543993733710475</v>
      </c>
      <c r="C293">
        <f t="shared" si="55"/>
        <v>5.364464548586992E-4</v>
      </c>
      <c r="D293">
        <f t="shared" si="55"/>
        <v>5.3647749925216572E-2</v>
      </c>
      <c r="E293">
        <f t="shared" si="56"/>
        <v>2.1075879806685398E-2</v>
      </c>
      <c r="F293">
        <f t="shared" si="52"/>
        <v>2.4159938796265774E-2</v>
      </c>
      <c r="G293">
        <f t="shared" si="53"/>
        <v>3.0199517222265861E-3</v>
      </c>
    </row>
    <row r="294" spans="1:7">
      <c r="A294">
        <f t="shared" si="57"/>
        <v>-0.22000000000003933</v>
      </c>
      <c r="B294">
        <f t="shared" si="54"/>
        <v>0.60255958607430316</v>
      </c>
      <c r="C294">
        <f t="shared" si="55"/>
        <v>4.8924483998186142E-4</v>
      </c>
      <c r="D294">
        <f t="shared" si="55"/>
        <v>4.8927187847520669E-2</v>
      </c>
      <c r="E294">
        <f t="shared" si="56"/>
        <v>1.9221430830122982E-2</v>
      </c>
      <c r="F294">
        <f t="shared" si="52"/>
        <v>2.2033958162290805E-2</v>
      </c>
      <c r="G294">
        <f t="shared" si="53"/>
        <v>2.7542287048558209E-3</v>
      </c>
    </row>
    <row r="295" spans="1:7">
      <c r="A295">
        <f t="shared" si="57"/>
        <v>-0.20000000000003934</v>
      </c>
      <c r="B295">
        <f t="shared" si="54"/>
        <v>0.63095734448013607</v>
      </c>
      <c r="C295">
        <f t="shared" si="55"/>
        <v>4.4619647384852096E-4</v>
      </c>
      <c r="D295">
        <f t="shared" si="55"/>
        <v>4.4622002335595601E-2</v>
      </c>
      <c r="E295">
        <f t="shared" si="56"/>
        <v>1.7530153262892308E-2</v>
      </c>
      <c r="F295">
        <f t="shared" si="52"/>
        <v>2.0095358877587823E-2</v>
      </c>
      <c r="G295">
        <f t="shared" si="53"/>
        <v>2.5118864327719503E-3</v>
      </c>
    </row>
    <row r="296" spans="1:7">
      <c r="A296">
        <f t="shared" si="57"/>
        <v>-0.18000000000003935</v>
      </c>
      <c r="B296">
        <f t="shared" si="54"/>
        <v>0.66069344800753604</v>
      </c>
      <c r="C296">
        <f t="shared" si="55"/>
        <v>4.0693591323036257E-4</v>
      </c>
      <c r="D296">
        <f t="shared" si="55"/>
        <v>4.0695642396412608E-2</v>
      </c>
      <c r="E296">
        <f t="shared" si="56"/>
        <v>1.5987689789573378E-2</v>
      </c>
      <c r="F296">
        <f t="shared" si="52"/>
        <v>1.8327297268596748E-2</v>
      </c>
      <c r="G296">
        <f t="shared" si="53"/>
        <v>2.2908676538178044E-3</v>
      </c>
    </row>
    <row r="297" spans="1:7">
      <c r="A297">
        <f t="shared" si="57"/>
        <v>-0.16000000000003936</v>
      </c>
      <c r="B297">
        <f t="shared" si="54"/>
        <v>0.69183097091887369</v>
      </c>
      <c r="C297">
        <f t="shared" si="55"/>
        <v>3.7112987024618869E-4</v>
      </c>
      <c r="D297">
        <f t="shared" si="55"/>
        <v>3.7114773432373536E-2</v>
      </c>
      <c r="E297">
        <f t="shared" si="56"/>
        <v>1.4580946382891157E-2</v>
      </c>
      <c r="F297">
        <f t="shared" si="52"/>
        <v>1.6714365335213612E-2</v>
      </c>
      <c r="G297">
        <f t="shared" si="53"/>
        <v>2.0892961317274506E-3</v>
      </c>
    </row>
    <row r="298" spans="1:7">
      <c r="A298">
        <f t="shared" si="57"/>
        <v>-0.14000000000003937</v>
      </c>
      <c r="B298">
        <f t="shared" si="54"/>
        <v>0.72443596007492439</v>
      </c>
      <c r="C298">
        <f t="shared" si="55"/>
        <v>3.3847438300066407E-4</v>
      </c>
      <c r="D298">
        <f t="shared" si="55"/>
        <v>3.3848994194117701E-2</v>
      </c>
      <c r="E298">
        <f t="shared" si="56"/>
        <v>1.329798114805006E-2</v>
      </c>
      <c r="F298">
        <f t="shared" si="52"/>
        <v>1.5243401510224196E-2</v>
      </c>
      <c r="G298">
        <f t="shared" si="53"/>
        <v>1.9054607186897489E-3</v>
      </c>
    </row>
    <row r="299" spans="1:7">
      <c r="A299">
        <f t="shared" si="57"/>
        <v>-0.12000000000003937</v>
      </c>
      <c r="B299">
        <f t="shared" si="54"/>
        <v>0.75857757502911494</v>
      </c>
      <c r="C299">
        <f t="shared" si="55"/>
        <v>3.0869223518124704E-4</v>
      </c>
      <c r="D299">
        <f t="shared" si="55"/>
        <v>3.0870578643479928E-2</v>
      </c>
      <c r="E299">
        <f t="shared" si="56"/>
        <v>1.2127902947562431E-2</v>
      </c>
      <c r="F299">
        <f t="shared" si="52"/>
        <v>1.3902151118177304E-2</v>
      </c>
      <c r="G299">
        <f t="shared" si="53"/>
        <v>1.7378008293536815E-3</v>
      </c>
    </row>
    <row r="300" spans="1:7">
      <c r="A300">
        <f t="shared" si="57"/>
        <v>-0.10000000000003936</v>
      </c>
      <c r="B300">
        <f t="shared" si="54"/>
        <v>0.79432823472420944</v>
      </c>
      <c r="C300">
        <f t="shared" si="55"/>
        <v>2.8153060270703277E-4</v>
      </c>
      <c r="D300">
        <f t="shared" si="55"/>
        <v>2.8154240534122452E-2</v>
      </c>
      <c r="E300">
        <f t="shared" si="56"/>
        <v>1.106077894599353E-2</v>
      </c>
      <c r="F300">
        <f t="shared" si="52"/>
        <v>1.2679074085928914E-2</v>
      </c>
      <c r="G300">
        <f t="shared" si="53"/>
        <v>1.5848931929637782E-3</v>
      </c>
    </row>
    <row r="301" spans="1:7">
      <c r="A301">
        <f t="shared" si="57"/>
        <v>-8.0000000000039359E-2</v>
      </c>
      <c r="B301">
        <f t="shared" si="54"/>
        <v>0.83176377110259558</v>
      </c>
      <c r="C301">
        <f t="shared" si="55"/>
        <v>2.5675890745083122E-4</v>
      </c>
      <c r="D301">
        <f t="shared" si="55"/>
        <v>2.5676918710362484E-2</v>
      </c>
      <c r="E301">
        <f t="shared" si="56"/>
        <v>1.008755028976714E-2</v>
      </c>
      <c r="F301">
        <f t="shared" si="52"/>
        <v>1.1563496347758728E-2</v>
      </c>
      <c r="G301">
        <f t="shared" si="53"/>
        <v>1.4454397711640486E-3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8"/>
  <sheetViews>
    <sheetView workbookViewId="0">
      <selection activeCell="F21" sqref="F21"/>
    </sheetView>
  </sheetViews>
  <sheetFormatPr defaultRowHeight="15"/>
  <sheetData>
    <row r="1" spans="1:3">
      <c r="B1" t="s">
        <v>3</v>
      </c>
      <c r="C1" t="s">
        <v>4</v>
      </c>
    </row>
    <row r="2" spans="1:3">
      <c r="A2">
        <v>0</v>
      </c>
      <c r="B2">
        <f>1/(1+$A2^2)</f>
        <v>1</v>
      </c>
      <c r="C2">
        <f>+EXP(-($A2^2)/500)</f>
        <v>1</v>
      </c>
    </row>
    <row r="3" spans="1:3">
      <c r="A3">
        <f>+$A2+1</f>
        <v>1</v>
      </c>
      <c r="B3">
        <f t="shared" ref="B3:B66" si="0">1/(1+$A3^2)</f>
        <v>0.5</v>
      </c>
      <c r="C3">
        <f t="shared" ref="C3:C66" si="1">+EXP(-($A3^2)/500)</f>
        <v>0.99800199866733308</v>
      </c>
    </row>
    <row r="4" spans="1:3">
      <c r="A4">
        <f t="shared" ref="A4:A67" si="2">+$A3+1</f>
        <v>2</v>
      </c>
      <c r="B4">
        <f t="shared" si="0"/>
        <v>0.2</v>
      </c>
      <c r="C4">
        <f t="shared" si="1"/>
        <v>0.99203191483706066</v>
      </c>
    </row>
    <row r="5" spans="1:3">
      <c r="A5">
        <f t="shared" si="2"/>
        <v>3</v>
      </c>
      <c r="B5">
        <f t="shared" si="0"/>
        <v>0.1</v>
      </c>
      <c r="C5">
        <f t="shared" si="1"/>
        <v>0.98216103235830077</v>
      </c>
    </row>
    <row r="6" spans="1:3">
      <c r="A6">
        <f t="shared" si="2"/>
        <v>4</v>
      </c>
      <c r="B6">
        <f t="shared" si="0"/>
        <v>5.8823529411764705E-2</v>
      </c>
      <c r="C6">
        <f t="shared" si="1"/>
        <v>0.9685065820791976</v>
      </c>
    </row>
    <row r="7" spans="1:3">
      <c r="A7">
        <f t="shared" si="2"/>
        <v>5</v>
      </c>
      <c r="B7">
        <f t="shared" si="0"/>
        <v>3.8461538461538464E-2</v>
      </c>
      <c r="C7">
        <f t="shared" si="1"/>
        <v>0.95122942450071402</v>
      </c>
    </row>
    <row r="8" spans="1:3">
      <c r="A8">
        <f t="shared" si="2"/>
        <v>6</v>
      </c>
      <c r="B8">
        <f t="shared" si="0"/>
        <v>2.7027027027027029E-2</v>
      </c>
      <c r="C8">
        <f t="shared" si="1"/>
        <v>0.93053089581120574</v>
      </c>
    </row>
    <row r="9" spans="1:3">
      <c r="A9">
        <f t="shared" si="2"/>
        <v>7</v>
      </c>
      <c r="B9">
        <f t="shared" si="0"/>
        <v>0.02</v>
      </c>
      <c r="C9">
        <f t="shared" si="1"/>
        <v>0.90664890375392093</v>
      </c>
    </row>
    <row r="10" spans="1:3">
      <c r="A10">
        <f t="shared" si="2"/>
        <v>8</v>
      </c>
      <c r="B10">
        <f t="shared" si="0"/>
        <v>1.5384615384615385E-2</v>
      </c>
      <c r="C10">
        <f t="shared" si="1"/>
        <v>0.87985337914464379</v>
      </c>
    </row>
    <row r="11" spans="1:3">
      <c r="A11">
        <f t="shared" si="2"/>
        <v>9</v>
      </c>
      <c r="B11">
        <f t="shared" si="0"/>
        <v>1.2195121951219513E-2</v>
      </c>
      <c r="C11">
        <f t="shared" si="1"/>
        <v>0.85044120454023298</v>
      </c>
    </row>
    <row r="12" spans="1:3">
      <c r="A12">
        <f t="shared" si="2"/>
        <v>10</v>
      </c>
      <c r="B12">
        <f t="shared" si="0"/>
        <v>9.9009900990099011E-3</v>
      </c>
      <c r="C12">
        <f t="shared" si="1"/>
        <v>0.81873075307798182</v>
      </c>
    </row>
    <row r="13" spans="1:3">
      <c r="A13">
        <f t="shared" si="2"/>
        <v>11</v>
      </c>
      <c r="B13">
        <f t="shared" si="0"/>
        <v>8.1967213114754103E-3</v>
      </c>
      <c r="C13">
        <f t="shared" si="1"/>
        <v>0.78505617755182955</v>
      </c>
    </row>
    <row r="14" spans="1:3">
      <c r="A14">
        <f t="shared" si="2"/>
        <v>12</v>
      </c>
      <c r="B14">
        <f t="shared" si="0"/>
        <v>6.8965517241379309E-3</v>
      </c>
      <c r="C14">
        <f t="shared" si="1"/>
        <v>0.74976159223904126</v>
      </c>
    </row>
    <row r="15" spans="1:3">
      <c r="A15">
        <f t="shared" si="2"/>
        <v>13</v>
      </c>
      <c r="B15">
        <f t="shared" si="0"/>
        <v>5.8823529411764705E-3</v>
      </c>
      <c r="C15">
        <f t="shared" si="1"/>
        <v>0.71319528789828224</v>
      </c>
    </row>
    <row r="16" spans="1:3">
      <c r="A16">
        <f t="shared" si="2"/>
        <v>14</v>
      </c>
      <c r="B16">
        <f t="shared" si="0"/>
        <v>5.076142131979695E-3</v>
      </c>
      <c r="C16">
        <f t="shared" si="1"/>
        <v>0.67570411396062602</v>
      </c>
    </row>
    <row r="17" spans="1:3">
      <c r="A17">
        <f t="shared" si="2"/>
        <v>15</v>
      </c>
      <c r="B17">
        <f t="shared" si="0"/>
        <v>4.4247787610619468E-3</v>
      </c>
      <c r="C17">
        <f t="shared" si="1"/>
        <v>0.63762815162177333</v>
      </c>
    </row>
    <row r="18" spans="1:3">
      <c r="A18">
        <f t="shared" si="2"/>
        <v>16</v>
      </c>
      <c r="B18">
        <f t="shared" si="0"/>
        <v>3.8910505836575876E-3</v>
      </c>
      <c r="C18">
        <f t="shared" si="1"/>
        <v>0.59929578784553839</v>
      </c>
    </row>
    <row r="19" spans="1:3">
      <c r="A19">
        <f t="shared" si="2"/>
        <v>17</v>
      </c>
      <c r="B19">
        <f t="shared" si="0"/>
        <v>3.4482758620689655E-3</v>
      </c>
      <c r="C19">
        <f t="shared" si="1"/>
        <v>0.56101928384217059</v>
      </c>
    </row>
    <row r="20" spans="1:3">
      <c r="A20">
        <f t="shared" si="2"/>
        <v>18</v>
      </c>
      <c r="B20">
        <f t="shared" si="0"/>
        <v>3.0769230769230769E-3</v>
      </c>
      <c r="C20">
        <f t="shared" si="1"/>
        <v>0.52309091310250078</v>
      </c>
    </row>
    <row r="21" spans="1:3">
      <c r="A21">
        <f t="shared" si="2"/>
        <v>19</v>
      </c>
      <c r="B21">
        <f t="shared" si="0"/>
        <v>2.7624309392265192E-3</v>
      </c>
      <c r="C21">
        <f t="shared" si="1"/>
        <v>0.485779724303885</v>
      </c>
    </row>
    <row r="22" spans="1:3">
      <c r="A22">
        <f t="shared" si="2"/>
        <v>20</v>
      </c>
      <c r="B22">
        <f t="shared" si="0"/>
        <v>2.4937655860349127E-3</v>
      </c>
      <c r="C22">
        <f t="shared" si="1"/>
        <v>0.44932896411722156</v>
      </c>
    </row>
    <row r="23" spans="1:3">
      <c r="A23">
        <f t="shared" si="2"/>
        <v>21</v>
      </c>
      <c r="B23">
        <f t="shared" si="0"/>
        <v>2.2624434389140274E-3</v>
      </c>
      <c r="C23">
        <f t="shared" si="1"/>
        <v>0.41395417487127412</v>
      </c>
    </row>
    <row r="24" spans="1:3">
      <c r="A24">
        <f t="shared" si="2"/>
        <v>22</v>
      </c>
      <c r="B24">
        <f t="shared" si="0"/>
        <v>2.0618556701030928E-3</v>
      </c>
      <c r="C24">
        <f t="shared" si="1"/>
        <v>0.37984196285137872</v>
      </c>
    </row>
    <row r="25" spans="1:3">
      <c r="A25">
        <f t="shared" si="2"/>
        <v>23</v>
      </c>
      <c r="B25">
        <f t="shared" si="0"/>
        <v>1.8867924528301887E-3</v>
      </c>
      <c r="C25">
        <f t="shared" si="1"/>
        <v>0.34714941532451032</v>
      </c>
    </row>
    <row r="26" spans="1:3">
      <c r="A26">
        <f t="shared" si="2"/>
        <v>24</v>
      </c>
      <c r="B26">
        <f t="shared" si="0"/>
        <v>1.7331022530329288E-3</v>
      </c>
      <c r="C26">
        <f t="shared" si="1"/>
        <v>0.31600412869186256</v>
      </c>
    </row>
    <row r="27" spans="1:3">
      <c r="A27">
        <f t="shared" si="2"/>
        <v>25</v>
      </c>
      <c r="B27">
        <f t="shared" si="0"/>
        <v>1.5974440894568689E-3</v>
      </c>
      <c r="C27">
        <f t="shared" si="1"/>
        <v>0.28650479686019009</v>
      </c>
    </row>
    <row r="28" spans="1:3">
      <c r="A28">
        <f t="shared" si="2"/>
        <v>26</v>
      </c>
      <c r="B28">
        <f t="shared" si="0"/>
        <v>1.4771048744460858E-3</v>
      </c>
      <c r="C28">
        <f t="shared" si="1"/>
        <v>0.25872229825964005</v>
      </c>
    </row>
    <row r="29" spans="1:3">
      <c r="A29">
        <f t="shared" si="2"/>
        <v>27</v>
      </c>
      <c r="B29">
        <f t="shared" si="0"/>
        <v>1.3698630136986301E-3</v>
      </c>
      <c r="C29">
        <f t="shared" si="1"/>
        <v>0.23270121206157107</v>
      </c>
    </row>
    <row r="30" spans="1:3">
      <c r="A30">
        <f t="shared" si="2"/>
        <v>28</v>
      </c>
      <c r="B30">
        <f t="shared" si="0"/>
        <v>1.2738853503184713E-3</v>
      </c>
      <c r="C30">
        <f t="shared" si="1"/>
        <v>0.20846168908963153</v>
      </c>
    </row>
    <row r="31" spans="1:3">
      <c r="A31">
        <f t="shared" si="2"/>
        <v>29</v>
      </c>
      <c r="B31">
        <f t="shared" si="0"/>
        <v>1.1876484560570072E-3</v>
      </c>
      <c r="C31">
        <f t="shared" si="1"/>
        <v>0.18600160058690879</v>
      </c>
    </row>
    <row r="32" spans="1:3">
      <c r="A32">
        <f t="shared" si="2"/>
        <v>30</v>
      </c>
      <c r="B32">
        <f t="shared" si="0"/>
        <v>1.1098779134295228E-3</v>
      </c>
      <c r="C32">
        <f t="shared" si="1"/>
        <v>0.16529888822158653</v>
      </c>
    </row>
    <row r="33" spans="1:3">
      <c r="A33">
        <f t="shared" si="2"/>
        <v>31</v>
      </c>
      <c r="B33">
        <f t="shared" si="0"/>
        <v>1.0395010395010396E-3</v>
      </c>
      <c r="C33">
        <f t="shared" si="1"/>
        <v>0.14631404122463545</v>
      </c>
    </row>
    <row r="34" spans="1:3">
      <c r="A34">
        <f t="shared" si="2"/>
        <v>32</v>
      </c>
      <c r="B34">
        <f t="shared" si="0"/>
        <v>9.7560975609756097E-4</v>
      </c>
      <c r="C34">
        <f t="shared" si="1"/>
        <v>0.1289926310365194</v>
      </c>
    </row>
    <row r="35" spans="1:3">
      <c r="A35">
        <f t="shared" si="2"/>
        <v>33</v>
      </c>
      <c r="B35">
        <f t="shared" si="0"/>
        <v>9.1743119266055051E-4</v>
      </c>
      <c r="C35">
        <f t="shared" si="1"/>
        <v>0.11326783993558948</v>
      </c>
    </row>
    <row r="36" spans="1:3">
      <c r="A36">
        <f t="shared" si="2"/>
        <v>34</v>
      </c>
      <c r="B36">
        <f t="shared" si="0"/>
        <v>8.6430423509075197E-4</v>
      </c>
      <c r="C36">
        <f t="shared" si="1"/>
        <v>9.9062927446747315E-2</v>
      </c>
    </row>
    <row r="37" spans="1:3">
      <c r="A37">
        <f t="shared" si="2"/>
        <v>35</v>
      </c>
      <c r="B37">
        <f t="shared" si="0"/>
        <v>8.1566068515497557E-4</v>
      </c>
      <c r="C37">
        <f t="shared" si="1"/>
        <v>8.6293586499370495E-2</v>
      </c>
    </row>
    <row r="38" spans="1:3">
      <c r="A38">
        <f t="shared" si="2"/>
        <v>36</v>
      </c>
      <c r="B38">
        <f t="shared" si="0"/>
        <v>7.7101002313030066E-4</v>
      </c>
      <c r="C38">
        <f t="shared" si="1"/>
        <v>7.4870149945259742E-2</v>
      </c>
    </row>
    <row r="39" spans="1:3">
      <c r="A39">
        <f t="shared" si="2"/>
        <v>37</v>
      </c>
      <c r="B39">
        <f t="shared" si="0"/>
        <v>7.2992700729927003E-4</v>
      </c>
      <c r="C39">
        <f t="shared" si="1"/>
        <v>6.4699616813785471E-2</v>
      </c>
    </row>
    <row r="40" spans="1:3">
      <c r="A40">
        <f t="shared" si="2"/>
        <v>38</v>
      </c>
      <c r="B40">
        <f t="shared" si="0"/>
        <v>6.9204152249134946E-4</v>
      </c>
      <c r="C40">
        <f t="shared" si="1"/>
        <v>5.5687476263269947E-2</v>
      </c>
    </row>
    <row r="41" spans="1:3">
      <c r="A41">
        <f t="shared" si="2"/>
        <v>39</v>
      </c>
      <c r="B41">
        <f t="shared" si="0"/>
        <v>6.5703022339027597E-4</v>
      </c>
      <c r="C41">
        <f t="shared" si="1"/>
        <v>4.7739315321240997E-2</v>
      </c>
    </row>
    <row r="42" spans="1:3">
      <c r="A42">
        <f t="shared" si="2"/>
        <v>40</v>
      </c>
      <c r="B42">
        <f t="shared" si="0"/>
        <v>6.2460961898813238E-4</v>
      </c>
      <c r="C42">
        <f t="shared" si="1"/>
        <v>4.0762203978366211E-2</v>
      </c>
    </row>
    <row r="43" spans="1:3">
      <c r="A43">
        <f t="shared" si="2"/>
        <v>41</v>
      </c>
      <c r="B43">
        <f t="shared" si="0"/>
        <v>5.9453032104637331E-4</v>
      </c>
      <c r="C43">
        <f t="shared" si="1"/>
        <v>3.466585785107644E-2</v>
      </c>
    </row>
    <row r="44" spans="1:3">
      <c r="A44">
        <f t="shared" si="2"/>
        <v>42</v>
      </c>
      <c r="B44">
        <f t="shared" si="0"/>
        <v>5.6657223796033991E-4</v>
      </c>
      <c r="C44">
        <f t="shared" si="1"/>
        <v>2.9363584347699333E-2</v>
      </c>
    </row>
    <row r="45" spans="1:3">
      <c r="A45">
        <f t="shared" si="2"/>
        <v>43</v>
      </c>
      <c r="B45">
        <f t="shared" si="0"/>
        <v>5.4054054054054055E-4</v>
      </c>
      <c r="C45">
        <f t="shared" si="1"/>
        <v>2.4773023003314201E-2</v>
      </c>
    </row>
    <row r="46" spans="1:3">
      <c r="A46">
        <f t="shared" si="2"/>
        <v>44</v>
      </c>
      <c r="B46">
        <f t="shared" si="0"/>
        <v>5.1626226122870422E-4</v>
      </c>
      <c r="C46">
        <f t="shared" si="1"/>
        <v>2.0816694375305884E-2</v>
      </c>
    </row>
    <row r="47" spans="1:3">
      <c r="A47">
        <f t="shared" si="2"/>
        <v>45</v>
      </c>
      <c r="B47">
        <f t="shared" si="0"/>
        <v>4.935834155972359E-4</v>
      </c>
      <c r="C47">
        <f t="shared" si="1"/>
        <v>1.7422374639493515E-2</v>
      </c>
    </row>
    <row r="48" spans="1:3">
      <c r="A48">
        <f t="shared" si="2"/>
        <v>46</v>
      </c>
      <c r="B48">
        <f t="shared" si="0"/>
        <v>4.7236655644780352E-4</v>
      </c>
      <c r="C48">
        <f t="shared" si="1"/>
        <v>1.4523314852706901E-2</v>
      </c>
    </row>
    <row r="49" spans="1:3">
      <c r="A49">
        <f t="shared" si="2"/>
        <v>47</v>
      </c>
      <c r="B49">
        <f t="shared" si="0"/>
        <v>4.5248868778280545E-4</v>
      </c>
      <c r="C49">
        <f t="shared" si="1"/>
        <v>1.2058324833811458E-2</v>
      </c>
    </row>
    <row r="50" spans="1:3">
      <c r="A50">
        <f t="shared" si="2"/>
        <v>48</v>
      </c>
      <c r="B50">
        <f t="shared" si="0"/>
        <v>4.3383947939262471E-4</v>
      </c>
      <c r="C50">
        <f t="shared" si="1"/>
        <v>9.9717418613764659E-3</v>
      </c>
    </row>
    <row r="51" spans="1:3">
      <c r="A51">
        <f t="shared" si="2"/>
        <v>49</v>
      </c>
      <c r="B51">
        <f t="shared" si="0"/>
        <v>4.1631973355537054E-4</v>
      </c>
      <c r="C51">
        <f t="shared" si="1"/>
        <v>8.2133040034485776E-3</v>
      </c>
    </row>
    <row r="52" spans="1:3">
      <c r="A52">
        <f t="shared" si="2"/>
        <v>50</v>
      </c>
      <c r="B52">
        <f t="shared" si="0"/>
        <v>3.9984006397441024E-4</v>
      </c>
      <c r="C52">
        <f t="shared" si="1"/>
        <v>6.737946999085467E-3</v>
      </c>
    </row>
    <row r="53" spans="1:3">
      <c r="A53">
        <f t="shared" si="2"/>
        <v>51</v>
      </c>
      <c r="B53">
        <f t="shared" si="0"/>
        <v>3.8431975403535742E-4</v>
      </c>
      <c r="C53">
        <f t="shared" si="1"/>
        <v>5.5055423176963497E-3</v>
      </c>
    </row>
    <row r="54" spans="1:3">
      <c r="A54">
        <f t="shared" si="2"/>
        <v>52</v>
      </c>
      <c r="B54">
        <f t="shared" si="0"/>
        <v>3.6968576709796671E-4</v>
      </c>
      <c r="C54">
        <f t="shared" si="1"/>
        <v>4.4805924410166193E-3</v>
      </c>
    </row>
    <row r="55" spans="1:3">
      <c r="A55">
        <f t="shared" si="2"/>
        <v>53</v>
      </c>
      <c r="B55">
        <f t="shared" si="0"/>
        <v>3.5587188612099647E-4</v>
      </c>
      <c r="C55">
        <f t="shared" si="1"/>
        <v>3.6318976453011769E-3</v>
      </c>
    </row>
    <row r="56" spans="1:3">
      <c r="A56">
        <f t="shared" si="2"/>
        <v>54</v>
      </c>
      <c r="B56">
        <f t="shared" si="0"/>
        <v>3.4281796366129587E-4</v>
      </c>
      <c r="C56">
        <f t="shared" si="1"/>
        <v>2.9322066985015861E-3</v>
      </c>
    </row>
    <row r="57" spans="1:3">
      <c r="A57">
        <f t="shared" si="2"/>
        <v>55</v>
      </c>
      <c r="B57">
        <f t="shared" si="0"/>
        <v>3.3046926635822867E-4</v>
      </c>
      <c r="C57">
        <f t="shared" si="1"/>
        <v>2.3578620064902329E-3</v>
      </c>
    </row>
    <row r="58" spans="1:3">
      <c r="A58">
        <f t="shared" si="2"/>
        <v>56</v>
      </c>
      <c r="B58">
        <f t="shared" si="0"/>
        <v>3.1877590054191901E-4</v>
      </c>
      <c r="C58">
        <f t="shared" si="1"/>
        <v>1.8884479079789745E-3</v>
      </c>
    </row>
    <row r="59" spans="1:3">
      <c r="A59">
        <f t="shared" si="2"/>
        <v>57</v>
      </c>
      <c r="B59">
        <f t="shared" si="0"/>
        <v>3.076923076923077E-4</v>
      </c>
      <c r="C59">
        <f t="shared" si="1"/>
        <v>1.5064490802475016E-3</v>
      </c>
    </row>
    <row r="60" spans="1:3">
      <c r="A60">
        <f t="shared" si="2"/>
        <v>58</v>
      </c>
      <c r="B60">
        <f t="shared" si="0"/>
        <v>2.9717682020802375E-4</v>
      </c>
      <c r="C60">
        <f t="shared" si="1"/>
        <v>1.196924414716882E-3</v>
      </c>
    </row>
    <row r="61" spans="1:3">
      <c r="A61">
        <f t="shared" si="2"/>
        <v>59</v>
      </c>
      <c r="B61">
        <f t="shared" si="0"/>
        <v>2.8719126938541069E-4</v>
      </c>
      <c r="C61">
        <f t="shared" si="1"/>
        <v>9.472002783201107E-4</v>
      </c>
    </row>
    <row r="62" spans="1:3">
      <c r="A62">
        <f t="shared" si="2"/>
        <v>60</v>
      </c>
      <c r="B62">
        <f t="shared" si="0"/>
        <v>2.7770063871146905E-4</v>
      </c>
      <c r="C62">
        <f t="shared" si="1"/>
        <v>7.465858083766792E-4</v>
      </c>
    </row>
    <row r="63" spans="1:3">
      <c r="A63">
        <f t="shared" si="2"/>
        <v>61</v>
      </c>
      <c r="B63">
        <f t="shared" si="0"/>
        <v>2.6867275658248256E-4</v>
      </c>
      <c r="C63">
        <f t="shared" si="1"/>
        <v>5.8611180093863849E-4</v>
      </c>
    </row>
    <row r="64" spans="1:3">
      <c r="A64">
        <f t="shared" si="2"/>
        <v>62</v>
      </c>
      <c r="B64">
        <f t="shared" si="0"/>
        <v>2.600780234070221E-4</v>
      </c>
      <c r="C64">
        <f t="shared" si="1"/>
        <v>4.5829384344501882E-4</v>
      </c>
    </row>
    <row r="65" spans="1:3">
      <c r="A65">
        <f t="shared" si="2"/>
        <v>63</v>
      </c>
      <c r="B65">
        <f t="shared" si="0"/>
        <v>2.5188916876574307E-4</v>
      </c>
      <c r="C65">
        <f t="shared" si="1"/>
        <v>3.5691960415178451E-4</v>
      </c>
    </row>
    <row r="66" spans="1:3">
      <c r="A66">
        <f t="shared" si="2"/>
        <v>64</v>
      </c>
      <c r="B66">
        <f t="shared" si="0"/>
        <v>2.4408103490358799E-4</v>
      </c>
      <c r="C66">
        <f t="shared" si="1"/>
        <v>2.7685961093021247E-4</v>
      </c>
    </row>
    <row r="67" spans="1:3">
      <c r="A67">
        <f t="shared" si="2"/>
        <v>65</v>
      </c>
      <c r="B67">
        <f t="shared" ref="B67:B128" si="3">1/(1+$A67^2)</f>
        <v>2.3663038334122101E-4</v>
      </c>
      <c r="C67">
        <f t="shared" ref="C67:C128" si="4">+EXP(-($A67^2)/500)</f>
        <v>2.1390041536766149E-4</v>
      </c>
    </row>
    <row r="68" spans="1:3">
      <c r="A68">
        <f t="shared" ref="A68:A128" si="5">+$A67+1</f>
        <v>66</v>
      </c>
      <c r="B68">
        <f t="shared" si="3"/>
        <v>2.2951572182694515E-4</v>
      </c>
      <c r="C68">
        <f t="shared" si="4"/>
        <v>1.645987276010448E-4</v>
      </c>
    </row>
    <row r="69" spans="1:3">
      <c r="A69">
        <f t="shared" si="5"/>
        <v>67</v>
      </c>
      <c r="B69">
        <f t="shared" si="3"/>
        <v>2.2271714922048998E-4</v>
      </c>
      <c r="C69">
        <f t="shared" si="4"/>
        <v>1.2615490517032269E-4</v>
      </c>
    </row>
    <row r="70" spans="1:3">
      <c r="A70">
        <f t="shared" si="5"/>
        <v>68</v>
      </c>
      <c r="B70">
        <f t="shared" si="3"/>
        <v>2.1621621621621621E-4</v>
      </c>
      <c r="C70">
        <f t="shared" si="4"/>
        <v>9.6304067717034635E-5</v>
      </c>
    </row>
    <row r="71" spans="1:3">
      <c r="A71">
        <f t="shared" si="5"/>
        <v>69</v>
      </c>
      <c r="B71">
        <f t="shared" si="3"/>
        <v>2.0999580008399833E-4</v>
      </c>
      <c r="C71">
        <f t="shared" si="4"/>
        <v>7.3223071663357404E-5</v>
      </c>
    </row>
    <row r="72" spans="1:3">
      <c r="A72">
        <f t="shared" si="5"/>
        <v>70</v>
      </c>
      <c r="B72">
        <f t="shared" si="3"/>
        <v>2.0403999183840033E-4</v>
      </c>
      <c r="C72">
        <f t="shared" si="4"/>
        <v>5.5451599432176945E-5</v>
      </c>
    </row>
    <row r="73" spans="1:3">
      <c r="A73">
        <f t="shared" si="5"/>
        <v>71</v>
      </c>
      <c r="B73">
        <f t="shared" si="3"/>
        <v>1.9833399444664816E-4</v>
      </c>
      <c r="C73">
        <f t="shared" si="4"/>
        <v>4.1825682216961044E-5</v>
      </c>
    </row>
    <row r="74" spans="1:3">
      <c r="A74">
        <f t="shared" si="5"/>
        <v>72</v>
      </c>
      <c r="B74">
        <f t="shared" si="3"/>
        <v>1.9286403085824494E-4</v>
      </c>
      <c r="C74">
        <f t="shared" si="4"/>
        <v>3.1422071436077321E-5</v>
      </c>
    </row>
    <row r="75" spans="1:3">
      <c r="A75">
        <f t="shared" si="5"/>
        <v>73</v>
      </c>
      <c r="B75">
        <f t="shared" si="3"/>
        <v>1.876172607879925E-4</v>
      </c>
      <c r="C75">
        <f t="shared" si="4"/>
        <v>2.3511991273467765E-5</v>
      </c>
    </row>
    <row r="76" spans="1:3">
      <c r="A76">
        <f t="shared" si="5"/>
        <v>74</v>
      </c>
      <c r="B76">
        <f t="shared" si="3"/>
        <v>1.8258170531312764E-4</v>
      </c>
      <c r="C76">
        <f t="shared" si="4"/>
        <v>1.7522934363135267E-5</v>
      </c>
    </row>
    <row r="77" spans="1:3">
      <c r="A77">
        <f t="shared" si="5"/>
        <v>75</v>
      </c>
      <c r="B77">
        <f t="shared" si="3"/>
        <v>1.7774617845716317E-4</v>
      </c>
      <c r="C77">
        <f t="shared" si="4"/>
        <v>1.300729765406762E-5</v>
      </c>
    </row>
    <row r="78" spans="1:3">
      <c r="A78">
        <f t="shared" si="5"/>
        <v>76</v>
      </c>
      <c r="B78">
        <f t="shared" si="3"/>
        <v>1.7310022503029253E-4</v>
      </c>
      <c r="C78">
        <f t="shared" si="4"/>
        <v>9.6167902770005059E-6</v>
      </c>
    </row>
    <row r="79" spans="1:3">
      <c r="A79">
        <f t="shared" si="5"/>
        <v>77</v>
      </c>
      <c r="B79">
        <f t="shared" si="3"/>
        <v>1.6863406408094435E-4</v>
      </c>
      <c r="C79">
        <f t="shared" si="4"/>
        <v>7.0816756820986886E-6</v>
      </c>
    </row>
    <row r="80" spans="1:3">
      <c r="A80">
        <f t="shared" si="5"/>
        <v>78</v>
      </c>
      <c r="B80">
        <f t="shared" si="3"/>
        <v>1.6433853738701725E-4</v>
      </c>
      <c r="C80">
        <f t="shared" si="4"/>
        <v>5.1940334740028569E-6</v>
      </c>
    </row>
    <row r="81" spans="1:3">
      <c r="A81">
        <f t="shared" si="5"/>
        <v>79</v>
      </c>
      <c r="B81">
        <f t="shared" si="3"/>
        <v>1.6020506247997436E-4</v>
      </c>
      <c r="C81">
        <f t="shared" si="4"/>
        <v>3.7943402856560886E-6</v>
      </c>
    </row>
    <row r="82" spans="1:3">
      <c r="A82">
        <f t="shared" si="5"/>
        <v>80</v>
      </c>
      <c r="B82">
        <f t="shared" si="3"/>
        <v>1.562255897516013E-4</v>
      </c>
      <c r="C82">
        <f t="shared" si="4"/>
        <v>2.7607725720371986E-6</v>
      </c>
    </row>
    <row r="83" spans="1:3">
      <c r="A83">
        <f t="shared" si="5"/>
        <v>81</v>
      </c>
      <c r="B83">
        <f t="shared" si="3"/>
        <v>1.5239256324291374E-4</v>
      </c>
      <c r="C83">
        <f t="shared" si="4"/>
        <v>2.0007268868677913E-6</v>
      </c>
    </row>
    <row r="84" spans="1:3">
      <c r="A84">
        <f t="shared" si="5"/>
        <v>82</v>
      </c>
      <c r="B84">
        <f t="shared" si="3"/>
        <v>1.4869888475836432E-4</v>
      </c>
      <c r="C84">
        <f t="shared" si="4"/>
        <v>1.4441350455752786E-6</v>
      </c>
    </row>
    <row r="85" spans="1:3">
      <c r="A85">
        <f t="shared" si="5"/>
        <v>83</v>
      </c>
      <c r="B85">
        <f t="shared" si="3"/>
        <v>1.4513788098693758E-4</v>
      </c>
      <c r="C85">
        <f t="shared" si="4"/>
        <v>1.038222958544864E-6</v>
      </c>
    </row>
    <row r="86" spans="1:3">
      <c r="A86">
        <f t="shared" si="5"/>
        <v>84</v>
      </c>
      <c r="B86">
        <f t="shared" si="3"/>
        <v>1.4170327334561429E-4</v>
      </c>
      <c r="C86">
        <f t="shared" si="4"/>
        <v>7.4342347626117242E-7</v>
      </c>
    </row>
    <row r="87" spans="1:3">
      <c r="A87">
        <f t="shared" si="5"/>
        <v>85</v>
      </c>
      <c r="B87">
        <f t="shared" si="3"/>
        <v>1.3838915029061721E-4</v>
      </c>
      <c r="C87">
        <f t="shared" si="4"/>
        <v>5.3020612018242907E-7</v>
      </c>
    </row>
    <row r="88" spans="1:3">
      <c r="A88">
        <f t="shared" si="5"/>
        <v>86</v>
      </c>
      <c r="B88">
        <f t="shared" si="3"/>
        <v>1.35189941868325E-4</v>
      </c>
      <c r="C88">
        <f t="shared" si="4"/>
        <v>3.7663096559740658E-7</v>
      </c>
    </row>
    <row r="89" spans="1:3">
      <c r="A89">
        <f t="shared" si="5"/>
        <v>87</v>
      </c>
      <c r="B89">
        <f t="shared" si="3"/>
        <v>1.321003963011889E-4</v>
      </c>
      <c r="C89">
        <f t="shared" si="4"/>
        <v>2.664711111911444E-7</v>
      </c>
    </row>
    <row r="90" spans="1:3">
      <c r="A90">
        <f t="shared" si="5"/>
        <v>88</v>
      </c>
      <c r="B90">
        <f t="shared" si="3"/>
        <v>1.291155584247902E-4</v>
      </c>
      <c r="C90">
        <f t="shared" si="4"/>
        <v>1.8777901831051049E-7</v>
      </c>
    </row>
    <row r="91" spans="1:3">
      <c r="A91">
        <f t="shared" si="5"/>
        <v>89</v>
      </c>
      <c r="B91">
        <f t="shared" si="3"/>
        <v>1.2623074981065388E-4</v>
      </c>
      <c r="C91">
        <f t="shared" si="4"/>
        <v>1.3179739234671736E-7</v>
      </c>
    </row>
    <row r="92" spans="1:3">
      <c r="A92">
        <f t="shared" si="5"/>
        <v>90</v>
      </c>
      <c r="B92">
        <f t="shared" si="3"/>
        <v>1.2344155042587335E-4</v>
      </c>
      <c r="C92">
        <f t="shared" si="4"/>
        <v>9.2136008345661349E-8</v>
      </c>
    </row>
    <row r="93" spans="1:3">
      <c r="A93">
        <f t="shared" si="5"/>
        <v>91</v>
      </c>
      <c r="B93">
        <f t="shared" si="3"/>
        <v>1.2074378169524269E-4</v>
      </c>
      <c r="C93">
        <f t="shared" si="4"/>
        <v>6.4152678054406133E-8</v>
      </c>
    </row>
    <row r="94" spans="1:3">
      <c r="A94">
        <f t="shared" si="5"/>
        <v>92</v>
      </c>
      <c r="B94">
        <f t="shared" si="3"/>
        <v>1.1813349084465446E-4</v>
      </c>
      <c r="C94">
        <f t="shared" si="4"/>
        <v>4.449006193583829E-8</v>
      </c>
    </row>
    <row r="95" spans="1:3">
      <c r="A95">
        <f t="shared" si="5"/>
        <v>93</v>
      </c>
      <c r="B95">
        <f t="shared" si="3"/>
        <v>1.1560693641618497E-4</v>
      </c>
      <c r="C95">
        <f t="shared" si="4"/>
        <v>3.0730813151265793E-8</v>
      </c>
    </row>
    <row r="96" spans="1:3">
      <c r="A96">
        <f t="shared" si="5"/>
        <v>94</v>
      </c>
      <c r="B96">
        <f t="shared" si="3"/>
        <v>1.1316057485572027E-4</v>
      </c>
      <c r="C96">
        <f t="shared" si="4"/>
        <v>2.1142089929801179E-8</v>
      </c>
    </row>
    <row r="97" spans="1:3">
      <c r="A97">
        <f t="shared" si="5"/>
        <v>95</v>
      </c>
      <c r="B97">
        <f t="shared" si="3"/>
        <v>1.1079104808331487E-4</v>
      </c>
      <c r="C97">
        <f t="shared" si="4"/>
        <v>1.4487204867720514E-8</v>
      </c>
    </row>
    <row r="98" spans="1:3">
      <c r="A98">
        <f t="shared" si="5"/>
        <v>96</v>
      </c>
      <c r="B98">
        <f t="shared" si="3"/>
        <v>1.0849517196484756E-4</v>
      </c>
      <c r="C98">
        <f t="shared" si="4"/>
        <v>9.8874456569923199E-9</v>
      </c>
    </row>
    <row r="99" spans="1:3">
      <c r="A99">
        <f t="shared" si="5"/>
        <v>97</v>
      </c>
      <c r="B99">
        <f t="shared" si="3"/>
        <v>1.0626992561105207E-4</v>
      </c>
      <c r="C99">
        <f t="shared" si="4"/>
        <v>6.7211941318892578E-9</v>
      </c>
    </row>
    <row r="100" spans="1:3">
      <c r="A100">
        <f t="shared" si="5"/>
        <v>98</v>
      </c>
      <c r="B100">
        <f t="shared" si="3"/>
        <v>1.0411244143675169E-4</v>
      </c>
      <c r="C100">
        <f t="shared" si="4"/>
        <v>4.5506306918323602E-9</v>
      </c>
    </row>
    <row r="101" spans="1:3">
      <c r="A101">
        <f t="shared" si="5"/>
        <v>99</v>
      </c>
      <c r="B101">
        <f t="shared" si="3"/>
        <v>1.0201999591920016E-4</v>
      </c>
      <c r="C101">
        <f t="shared" si="4"/>
        <v>3.0687362654894048E-9</v>
      </c>
    </row>
    <row r="102" spans="1:3">
      <c r="A102">
        <f t="shared" si="5"/>
        <v>100</v>
      </c>
      <c r="B102">
        <f t="shared" si="3"/>
        <v>9.9990000999900015E-5</v>
      </c>
      <c r="C102">
        <f t="shared" si="4"/>
        <v>2.0611536224385579E-9</v>
      </c>
    </row>
    <row r="103" spans="1:3">
      <c r="A103">
        <f t="shared" si="5"/>
        <v>101</v>
      </c>
      <c r="B103">
        <f t="shared" si="3"/>
        <v>9.8019996079200158E-5</v>
      </c>
      <c r="C103">
        <f t="shared" si="4"/>
        <v>1.3788720873213044E-9</v>
      </c>
    </row>
    <row r="104" spans="1:3">
      <c r="A104">
        <f t="shared" si="5"/>
        <v>102</v>
      </c>
      <c r="B104">
        <f t="shared" si="3"/>
        <v>9.6107640557424316E-5</v>
      </c>
      <c r="C104">
        <f t="shared" si="4"/>
        <v>9.1875649136056189E-10</v>
      </c>
    </row>
    <row r="105" spans="1:3">
      <c r="A105">
        <f t="shared" si="5"/>
        <v>103</v>
      </c>
      <c r="B105">
        <f t="shared" si="3"/>
        <v>9.4250706880301608E-5</v>
      </c>
      <c r="C105">
        <f t="shared" si="4"/>
        <v>6.0973297530580396E-10</v>
      </c>
    </row>
    <row r="106" spans="1:3">
      <c r="A106">
        <f t="shared" si="5"/>
        <v>104</v>
      </c>
      <c r="B106">
        <f t="shared" si="3"/>
        <v>9.2447074050106315E-5</v>
      </c>
      <c r="C106">
        <f t="shared" si="4"/>
        <v>4.0303407669533092E-10</v>
      </c>
    </row>
    <row r="107" spans="1:3">
      <c r="A107">
        <f t="shared" si="5"/>
        <v>105</v>
      </c>
      <c r="B107">
        <f t="shared" si="3"/>
        <v>9.0694721567204786E-5</v>
      </c>
      <c r="C107">
        <f t="shared" si="4"/>
        <v>2.6534241286428096E-10</v>
      </c>
    </row>
    <row r="108" spans="1:3">
      <c r="A108">
        <f t="shared" si="5"/>
        <v>106</v>
      </c>
      <c r="B108">
        <f t="shared" si="3"/>
        <v>8.899172376968942E-5</v>
      </c>
      <c r="C108">
        <f t="shared" si="4"/>
        <v>1.7399405220989718E-10</v>
      </c>
    </row>
    <row r="109" spans="1:3">
      <c r="A109">
        <f t="shared" si="5"/>
        <v>107</v>
      </c>
      <c r="B109">
        <f t="shared" si="3"/>
        <v>8.733624454148471E-5</v>
      </c>
      <c r="C109">
        <f t="shared" si="4"/>
        <v>1.1363835893008209E-10</v>
      </c>
    </row>
    <row r="110" spans="1:3">
      <c r="A110">
        <f t="shared" si="5"/>
        <v>108</v>
      </c>
      <c r="B110">
        <f t="shared" si="3"/>
        <v>8.572653236176597E-5</v>
      </c>
      <c r="C110">
        <f t="shared" si="4"/>
        <v>7.3922785993451037E-11</v>
      </c>
    </row>
    <row r="111" spans="1:3">
      <c r="A111">
        <f t="shared" si="5"/>
        <v>109</v>
      </c>
      <c r="B111">
        <f t="shared" si="3"/>
        <v>8.4160915670762501E-5</v>
      </c>
      <c r="C111">
        <f t="shared" si="4"/>
        <v>4.7895479004777697E-11</v>
      </c>
    </row>
    <row r="112" spans="1:3">
      <c r="A112">
        <f t="shared" si="5"/>
        <v>110</v>
      </c>
      <c r="B112">
        <f t="shared" si="3"/>
        <v>8.2637798529047182E-5</v>
      </c>
      <c r="C112">
        <f t="shared" si="4"/>
        <v>3.0908187484083317E-11</v>
      </c>
    </row>
    <row r="113" spans="1:3">
      <c r="A113">
        <f t="shared" si="5"/>
        <v>111</v>
      </c>
      <c r="B113">
        <f t="shared" si="3"/>
        <v>8.1155656549261482E-5</v>
      </c>
      <c r="C113">
        <f t="shared" si="4"/>
        <v>1.986622623798576E-11</v>
      </c>
    </row>
    <row r="114" spans="1:3">
      <c r="A114">
        <f t="shared" si="5"/>
        <v>112</v>
      </c>
      <c r="B114">
        <f t="shared" si="3"/>
        <v>7.9713033080908727E-5</v>
      </c>
      <c r="C114">
        <f t="shared" si="4"/>
        <v>1.2718035649663771E-11</v>
      </c>
    </row>
    <row r="115" spans="1:3">
      <c r="A115">
        <f t="shared" si="5"/>
        <v>113</v>
      </c>
      <c r="B115">
        <f t="shared" si="3"/>
        <v>7.8308535630383712E-5</v>
      </c>
      <c r="C115">
        <f t="shared" si="4"/>
        <v>8.1093775635549353E-12</v>
      </c>
    </row>
    <row r="116" spans="1:3">
      <c r="A116">
        <f t="shared" si="5"/>
        <v>114</v>
      </c>
      <c r="B116">
        <f t="shared" si="3"/>
        <v>7.6940832499807648E-5</v>
      </c>
      <c r="C116">
        <f t="shared" si="4"/>
        <v>5.1501256679856703E-12</v>
      </c>
    </row>
    <row r="117" spans="1:3">
      <c r="A117">
        <f t="shared" si="5"/>
        <v>115</v>
      </c>
      <c r="B117">
        <f t="shared" si="3"/>
        <v>7.5608649629517618E-5</v>
      </c>
      <c r="C117">
        <f t="shared" si="4"/>
        <v>3.2576989934351024E-12</v>
      </c>
    </row>
    <row r="118" spans="1:3">
      <c r="A118">
        <f t="shared" si="5"/>
        <v>116</v>
      </c>
      <c r="B118">
        <f t="shared" si="3"/>
        <v>7.4310767630229616E-5</v>
      </c>
      <c r="C118">
        <f t="shared" si="4"/>
        <v>2.0524231426703959E-12</v>
      </c>
    </row>
    <row r="119" spans="1:3">
      <c r="A119">
        <f t="shared" si="5"/>
        <v>117</v>
      </c>
      <c r="B119">
        <f t="shared" si="3"/>
        <v>7.3046018991964934E-5</v>
      </c>
      <c r="C119">
        <f t="shared" si="4"/>
        <v>1.2879104719730066E-12</v>
      </c>
    </row>
    <row r="120" spans="1:3">
      <c r="A120">
        <f t="shared" si="5"/>
        <v>118</v>
      </c>
      <c r="B120">
        <f t="shared" si="3"/>
        <v>7.1813285457809691E-5</v>
      </c>
      <c r="C120">
        <f t="shared" si="4"/>
        <v>8.0494696632817378E-13</v>
      </c>
    </row>
    <row r="121" spans="1:3">
      <c r="A121">
        <f t="shared" si="5"/>
        <v>119</v>
      </c>
      <c r="B121">
        <f t="shared" si="3"/>
        <v>7.0611495551475782E-5</v>
      </c>
      <c r="C121">
        <f t="shared" si="4"/>
        <v>5.0108532447164562E-13</v>
      </c>
    </row>
    <row r="122" spans="1:3">
      <c r="A122">
        <f t="shared" si="5"/>
        <v>120</v>
      </c>
      <c r="B122">
        <f t="shared" si="3"/>
        <v>6.9439622248454962E-5</v>
      </c>
      <c r="C122">
        <f t="shared" si="4"/>
        <v>3.1068402375434455E-13</v>
      </c>
    </row>
    <row r="123" spans="1:3">
      <c r="A123">
        <f t="shared" si="5"/>
        <v>121</v>
      </c>
      <c r="B123">
        <f t="shared" si="3"/>
        <v>6.8296680781314024E-5</v>
      </c>
      <c r="C123">
        <f t="shared" si="4"/>
        <v>1.9186200600672365E-13</v>
      </c>
    </row>
    <row r="124" spans="1:3">
      <c r="A124">
        <f t="shared" si="5"/>
        <v>122</v>
      </c>
      <c r="B124">
        <f t="shared" si="3"/>
        <v>6.7181726570372856E-5</v>
      </c>
      <c r="C124">
        <f t="shared" si="4"/>
        <v>1.1801082940941461E-13</v>
      </c>
    </row>
    <row r="125" spans="1:3">
      <c r="A125">
        <f t="shared" si="5"/>
        <v>123</v>
      </c>
      <c r="B125">
        <f t="shared" si="3"/>
        <v>6.6093853271645742E-5</v>
      </c>
      <c r="C125">
        <f t="shared" si="4"/>
        <v>7.2296548895802028E-14</v>
      </c>
    </row>
    <row r="126" spans="1:3">
      <c r="A126">
        <f t="shared" si="5"/>
        <v>124</v>
      </c>
      <c r="B126">
        <f t="shared" si="3"/>
        <v>6.5032190934512582E-5</v>
      </c>
      <c r="C126">
        <f t="shared" si="4"/>
        <v>4.4113964819994109E-14</v>
      </c>
    </row>
    <row r="127" spans="1:3">
      <c r="A127">
        <f t="shared" si="5"/>
        <v>125</v>
      </c>
      <c r="B127">
        <f t="shared" si="3"/>
        <v>6.3995904262127226E-5</v>
      </c>
      <c r="C127">
        <f t="shared" si="4"/>
        <v>2.6810038677818034E-14</v>
      </c>
    </row>
    <row r="128" spans="1:3">
      <c r="A128">
        <f t="shared" si="5"/>
        <v>126</v>
      </c>
      <c r="B128">
        <f t="shared" si="3"/>
        <v>6.2984190968067022E-5</v>
      </c>
      <c r="C128">
        <f t="shared" si="4"/>
        <v>1.62286207258361E-14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D301"/>
  <sheetViews>
    <sheetView tabSelected="1" workbookViewId="0">
      <selection activeCell="F5" sqref="F5"/>
    </sheetView>
  </sheetViews>
  <sheetFormatPr defaultRowHeight="15"/>
  <cols>
    <col min="3" max="3" width="10" bestFit="1" customWidth="1"/>
    <col min="5" max="5" width="12" bestFit="1" customWidth="1"/>
    <col min="6" max="8" width="12" customWidth="1"/>
    <col min="11" max="11" width="16.42578125" customWidth="1"/>
    <col min="14" max="14" width="12" bestFit="1" customWidth="1"/>
  </cols>
  <sheetData>
    <row r="1" spans="1:446">
      <c r="A1">
        <v>0.02</v>
      </c>
      <c r="B1">
        <v>5.9999999999999995E-4</v>
      </c>
      <c r="C1">
        <v>6.2E-4</v>
      </c>
      <c r="D1">
        <v>6.2E-2</v>
      </c>
      <c r="E1">
        <v>1.7</v>
      </c>
      <c r="F1" s="1">
        <v>1.2979999999999999E-6</v>
      </c>
      <c r="G1">
        <v>6.9999999999999999E-6</v>
      </c>
      <c r="H1">
        <v>7.9999999999999996E-7</v>
      </c>
      <c r="I1">
        <v>2</v>
      </c>
      <c r="M1">
        <v>1.05</v>
      </c>
      <c r="N1">
        <v>0.06</v>
      </c>
      <c r="O1">
        <v>0.06</v>
      </c>
    </row>
    <row r="2" spans="1:446">
      <c r="B2">
        <v>0.6</v>
      </c>
      <c r="C2">
        <v>0.8</v>
      </c>
      <c r="D2">
        <v>0.8</v>
      </c>
      <c r="E2">
        <v>95000000</v>
      </c>
      <c r="F2" s="1">
        <v>72.5</v>
      </c>
      <c r="G2">
        <v>8.0000000000000004E-4</v>
      </c>
      <c r="H2">
        <v>1E-4</v>
      </c>
      <c r="I2">
        <v>100000000</v>
      </c>
      <c r="M2">
        <v>6.4999999999999994E-5</v>
      </c>
      <c r="N2">
        <v>2.0000000000000001E-9</v>
      </c>
      <c r="O2">
        <v>2.5000000000000001E-9</v>
      </c>
    </row>
    <row r="3" spans="1:446">
      <c r="B3">
        <v>3.9999999999999998E-6</v>
      </c>
      <c r="C3">
        <v>3.7000000000000002E-6</v>
      </c>
      <c r="D3">
        <v>3.6999999999999998E-5</v>
      </c>
      <c r="E3">
        <v>131000</v>
      </c>
      <c r="F3" s="1">
        <v>7.63359E-7</v>
      </c>
      <c r="G3">
        <v>120000</v>
      </c>
      <c r="I3">
        <v>100000</v>
      </c>
      <c r="M3">
        <v>80</v>
      </c>
      <c r="N3">
        <v>35000</v>
      </c>
      <c r="O3">
        <v>35000</v>
      </c>
      <c r="QD3" t="s">
        <v>13</v>
      </c>
    </row>
    <row r="4" spans="1:446">
      <c r="C4" t="s">
        <v>1</v>
      </c>
      <c r="D4" t="s">
        <v>0</v>
      </c>
      <c r="E4" t="s">
        <v>2</v>
      </c>
      <c r="G4" t="s">
        <v>11</v>
      </c>
      <c r="H4" t="s">
        <v>12</v>
      </c>
    </row>
    <row r="5" spans="1:446">
      <c r="A5">
        <v>-6</v>
      </c>
      <c r="B5">
        <f>10^$A5</f>
        <v>9.9999999999999995E-7</v>
      </c>
      <c r="C5">
        <f>+C$1*EXP(-ABS(C$3/$B5-1/C$2))/$B5/$B5</f>
        <v>53502023.629609711</v>
      </c>
      <c r="D5">
        <f>+D$1*EXP(-ABS(D$3/$B5-1/D$2))/$B5/$B5</f>
        <v>1.8465622865445419E-5</v>
      </c>
      <c r="E5">
        <f>$E$2/(1+$E$1^2-2*$E$1*($E$3*$B5)+($E$3*$B5)^2)</f>
        <v>27442680.185027219</v>
      </c>
      <c r="F5">
        <f>+Intensity*Damp/(($B5/10-Shift)^2+Damp^2)</f>
        <v>27426013.465356775</v>
      </c>
      <c r="G5">
        <f t="shared" ref="G5:G68" si="0">+I/(($B5-alpha*SIN($B5*L))^2+alpha^2*(1+COS($B5*L))^2)</f>
        <v>4110589.7568878601</v>
      </c>
      <c r="H5">
        <f t="shared" ref="H5:H68" si="1">+Int*($B5^2+2*beta^2)/(4*(beta*$B5)^2+($B5^2-2*beta^2)^2)</f>
        <v>86416009.702850237</v>
      </c>
      <c r="I5" s="1">
        <v>1.3E-6</v>
      </c>
    </row>
    <row r="6" spans="1:446">
      <c r="A6">
        <f>+$A5+$A$1</f>
        <v>-5.98</v>
      </c>
      <c r="B6">
        <f t="shared" ref="B6:B69" si="2">10^$A6</f>
        <v>1.0471285480508979E-6</v>
      </c>
      <c r="C6">
        <f t="shared" ref="C6:D69" si="3">+C$1*EXP(-ABS(C$3/$B6-1/C$2))/$B6/$B6</f>
        <v>57635777.154835127</v>
      </c>
      <c r="D6">
        <f t="shared" si="3"/>
        <v>8.903964263649961E-5</v>
      </c>
      <c r="E6">
        <f t="shared" ref="E6:E69" si="4">$E$2/(1+$E$1^2-2*$E$1*($E$3*$B6)+($E$3*$B6)^2)</f>
        <v>27596820.04636823</v>
      </c>
      <c r="F6">
        <f>+Intensity*Damp/(($B6/10-Shift)^2+Damp^2)</f>
        <v>27580043.917681448</v>
      </c>
      <c r="G6">
        <f t="shared" si="0"/>
        <v>4113394.3331391383</v>
      </c>
      <c r="H6">
        <f t="shared" si="1"/>
        <v>83659237.155312121</v>
      </c>
      <c r="I6" s="1">
        <v>1.3E-6</v>
      </c>
    </row>
    <row r="7" spans="1:446">
      <c r="A7">
        <f t="shared" ref="A7:A70" si="5">+$A6+$A$1</f>
        <v>-5.9600000000000009</v>
      </c>
      <c r="B7">
        <f t="shared" si="2"/>
        <v>1.0964781961431813E-6</v>
      </c>
      <c r="C7">
        <f t="shared" si="3"/>
        <v>61625303.973450318</v>
      </c>
      <c r="D7">
        <f t="shared" si="3"/>
        <v>3.9833880672984691E-4</v>
      </c>
      <c r="E7">
        <f t="shared" si="4"/>
        <v>27759428.378414139</v>
      </c>
      <c r="F7">
        <f>+Intensity*Damp/(($B7/10-Shift)^2+Damp^2)</f>
        <v>27742536.79920125</v>
      </c>
      <c r="G7">
        <f t="shared" si="0"/>
        <v>4116471.6856145132</v>
      </c>
      <c r="H7">
        <f t="shared" si="1"/>
        <v>80492652.639245391</v>
      </c>
    </row>
    <row r="8" spans="1:446">
      <c r="A8">
        <f t="shared" si="5"/>
        <v>-5.9400000000000013</v>
      </c>
      <c r="B8">
        <f t="shared" si="2"/>
        <v>1.1481536214968785E-6</v>
      </c>
      <c r="C8">
        <f t="shared" si="3"/>
        <v>65421044.237932704</v>
      </c>
      <c r="D8">
        <f t="shared" si="3"/>
        <v>1.6589625903549378E-3</v>
      </c>
      <c r="E8">
        <f t="shared" si="4"/>
        <v>27931031.091401398</v>
      </c>
      <c r="F8">
        <f>+Intensity*Damp/(($B8/10-Shift)^2+Damp^2)</f>
        <v>27914017.643915828</v>
      </c>
      <c r="G8">
        <f t="shared" si="0"/>
        <v>4119848.5759472884</v>
      </c>
      <c r="H8">
        <f t="shared" si="1"/>
        <v>76958003.103117347</v>
      </c>
    </row>
    <row r="9" spans="1:446">
      <c r="A9">
        <f t="shared" si="5"/>
        <v>-5.9200000000000017</v>
      </c>
      <c r="B9">
        <f t="shared" si="2"/>
        <v>1.2022644346174062E-6</v>
      </c>
      <c r="C9">
        <f t="shared" si="3"/>
        <v>68977468.657829657</v>
      </c>
      <c r="D9">
        <f t="shared" si="3"/>
        <v>6.4525948697722133E-3</v>
      </c>
      <c r="E9">
        <f t="shared" si="4"/>
        <v>28112192.755840376</v>
      </c>
      <c r="F9">
        <f>+Intensity*Damp/(($B9/10-Shift)^2+Damp^2)</f>
        <v>28095050.618683796</v>
      </c>
      <c r="G9">
        <f t="shared" si="0"/>
        <v>4123554.4377940251</v>
      </c>
      <c r="H9">
        <f t="shared" si="1"/>
        <v>73113249.446154013</v>
      </c>
    </row>
    <row r="10" spans="1:446">
      <c r="A10">
        <f t="shared" si="5"/>
        <v>-5.9000000000000021</v>
      </c>
      <c r="B10">
        <f t="shared" si="2"/>
        <v>1.25892541179416E-6</v>
      </c>
      <c r="C10">
        <f t="shared" si="3"/>
        <v>72254021.833618194</v>
      </c>
      <c r="D10">
        <f t="shared" si="3"/>
        <v>2.3511597206673403E-2</v>
      </c>
      <c r="E10">
        <f t="shared" si="4"/>
        <v>28303520.018018361</v>
      </c>
      <c r="F10">
        <f>+Intensity*Damp/(($B10/10-Shift)^2+Damp^2)</f>
        <v>28286241.936388217</v>
      </c>
      <c r="G10">
        <f t="shared" si="0"/>
        <v>4127621.652902063</v>
      </c>
      <c r="H10">
        <f t="shared" si="1"/>
        <v>69028806.559240058</v>
      </c>
    </row>
    <row r="11" spans="1:446">
      <c r="A11">
        <f t="shared" si="5"/>
        <v>-5.8800000000000026</v>
      </c>
      <c r="B11">
        <f t="shared" si="2"/>
        <v>1.3182567385563968E-6</v>
      </c>
      <c r="C11">
        <f t="shared" si="3"/>
        <v>75215853.617080271</v>
      </c>
      <c r="D11">
        <f t="shared" si="3"/>
        <v>8.0492563604618594E-2</v>
      </c>
      <c r="E11">
        <f t="shared" si="4"/>
        <v>28505665.369844977</v>
      </c>
      <c r="F11">
        <f>+Intensity*Damp/(($B11/10-Shift)^2+Damp^2)</f>
        <v>28488243.623221461</v>
      </c>
      <c r="G11">
        <f t="shared" si="0"/>
        <v>4132085.8575222399</v>
      </c>
      <c r="H11">
        <f t="shared" si="1"/>
        <v>64782588.560937874</v>
      </c>
    </row>
    <row r="12" spans="1:446">
      <c r="A12">
        <f t="shared" si="5"/>
        <v>-5.860000000000003</v>
      </c>
      <c r="B12">
        <f t="shared" si="2"/>
        <v>1.3803842646028738E-6</v>
      </c>
      <c r="C12">
        <f t="shared" si="3"/>
        <v>77834330.484541446</v>
      </c>
      <c r="D12">
        <f t="shared" si="3"/>
        <v>0.25964132312756777</v>
      </c>
      <c r="E12">
        <f t="shared" si="4"/>
        <v>28719331.314477481</v>
      </c>
      <c r="F12">
        <f>+Intensity*Damp/(($B12/10-Shift)^2+Damp^2)</f>
        <v>28701757.681505553</v>
      </c>
      <c r="G12">
        <f t="shared" si="0"/>
        <v>4136986.2828487996</v>
      </c>
      <c r="H12">
        <f t="shared" si="1"/>
        <v>60454575.225233644</v>
      </c>
    </row>
    <row r="13" spans="1:446">
      <c r="A13">
        <f t="shared" si="5"/>
        <v>-5.8400000000000034</v>
      </c>
      <c r="B13">
        <f t="shared" si="2"/>
        <v>1.4454397707459131E-6</v>
      </c>
      <c r="C13">
        <f t="shared" si="3"/>
        <v>80087329.326978534</v>
      </c>
      <c r="D13">
        <f t="shared" si="3"/>
        <v>0.79122497613036025</v>
      </c>
      <c r="E13">
        <f t="shared" si="4"/>
        <v>28945274.974386066</v>
      </c>
      <c r="F13">
        <f>+Intensity*Damp/(($B13/10-Shift)^2+Damp^2)</f>
        <v>28927540.694684543</v>
      </c>
      <c r="G13">
        <f t="shared" si="0"/>
        <v>4142366.1336771296</v>
      </c>
      <c r="H13">
        <f t="shared" si="1"/>
        <v>56121652.358767204</v>
      </c>
    </row>
    <row r="14" spans="1:446">
      <c r="A14">
        <f t="shared" si="5"/>
        <v>-5.8200000000000038</v>
      </c>
      <c r="B14">
        <f t="shared" si="2"/>
        <v>1.5135612484361928E-6</v>
      </c>
      <c r="C14">
        <f t="shared" si="3"/>
        <v>81959324.944360211</v>
      </c>
      <c r="D14">
        <f t="shared" si="3"/>
        <v>2.2837344329220821</v>
      </c>
      <c r="E14">
        <f t="shared" si="4"/>
        <v>29184313.194410592</v>
      </c>
      <c r="F14">
        <f>+Intensity*Damp/(($B14/10-Shift)^2+Damp^2)</f>
        <v>29166408.927015468</v>
      </c>
      <c r="G14">
        <f t="shared" si="0"/>
        <v>4148273.010058925</v>
      </c>
      <c r="H14">
        <f t="shared" si="1"/>
        <v>51853348.177203506</v>
      </c>
    </row>
    <row r="15" spans="1:446">
      <c r="A15">
        <f t="shared" si="5"/>
        <v>-5.8000000000000043</v>
      </c>
      <c r="B15">
        <f t="shared" si="2"/>
        <v>1.5848931924610971E-6</v>
      </c>
      <c r="C15">
        <f t="shared" si="3"/>
        <v>83441289.622917235</v>
      </c>
      <c r="D15">
        <f t="shared" si="3"/>
        <v>6.2585244034447136</v>
      </c>
      <c r="E15">
        <f t="shared" si="4"/>
        <v>29437328.198993448</v>
      </c>
      <c r="F15">
        <f>+Intensity*Damp/(($B15/10-Shift)^2+Damp^2)</f>
        <v>29419243.977115996</v>
      </c>
      <c r="G15">
        <f t="shared" si="0"/>
        <v>4154759.3774175039</v>
      </c>
      <c r="H15">
        <f t="shared" si="1"/>
        <v>47708846.259288788</v>
      </c>
    </row>
    <row r="16" spans="1:446">
      <c r="A16">
        <f t="shared" si="5"/>
        <v>-5.7800000000000047</v>
      </c>
      <c r="B16">
        <f t="shared" si="2"/>
        <v>1.6595869074375402E-6</v>
      </c>
      <c r="C16">
        <f t="shared" si="3"/>
        <v>84530428.374256223</v>
      </c>
      <c r="D16">
        <f t="shared" si="3"/>
        <v>16.322721534455784</v>
      </c>
      <c r="E16">
        <f t="shared" si="4"/>
        <v>29705273.87022749</v>
      </c>
      <c r="F16">
        <f>+Intensity*Damp/(($B16/10-Shift)^2+Damp^2)</f>
        <v>29686999.051980253</v>
      </c>
      <c r="G16">
        <f t="shared" si="0"/>
        <v>4161883.091380015</v>
      </c>
      <c r="H16">
        <f t="shared" si="1"/>
        <v>43735384.196367092</v>
      </c>
    </row>
    <row r="17" spans="1:8">
      <c r="A17">
        <f t="shared" si="5"/>
        <v>-5.7600000000000051</v>
      </c>
      <c r="B17">
        <f t="shared" si="2"/>
        <v>1.7378008287493539E-6</v>
      </c>
      <c r="C17">
        <f t="shared" si="3"/>
        <v>85229776.759084076</v>
      </c>
      <c r="D17">
        <f t="shared" si="3"/>
        <v>40.604613610543787</v>
      </c>
      <c r="E17">
        <f t="shared" si="4"/>
        <v>29989182.721710186</v>
      </c>
      <c r="F17">
        <f>+Intensity*Damp/(($B17/10-Shift)^2+Damp^2)</f>
        <v>29970705.936425362</v>
      </c>
      <c r="G17">
        <f t="shared" si="0"/>
        <v>4169707.9845076967</v>
      </c>
      <c r="H17">
        <f t="shared" si="1"/>
        <v>39967917.141528808</v>
      </c>
    </row>
    <row r="18" spans="1:8">
      <c r="A18">
        <f t="shared" si="5"/>
        <v>-5.7400000000000055</v>
      </c>
      <c r="B18">
        <f t="shared" si="2"/>
        <v>1.8197008586099572E-6</v>
      </c>
      <c r="C18">
        <f t="shared" si="3"/>
        <v>85547689.845050424</v>
      </c>
      <c r="D18">
        <f t="shared" si="3"/>
        <v>96.548323136836572</v>
      </c>
      <c r="E18">
        <f t="shared" si="4"/>
        <v>30290173.652516864</v>
      </c>
      <c r="F18">
        <f>+Intensity*Damp/(($B18/10-Shift)^2+Damp^2)</f>
        <v>30271482.74225352</v>
      </c>
      <c r="G18">
        <f t="shared" si="0"/>
        <v>4178304.5231834934</v>
      </c>
      <c r="H18">
        <f t="shared" si="1"/>
        <v>36429778.04237324</v>
      </c>
    </row>
    <row r="19" spans="1:8">
      <c r="A19">
        <f t="shared" si="5"/>
        <v>-5.720000000000006</v>
      </c>
      <c r="B19">
        <f t="shared" si="2"/>
        <v>1.9054607179632191E-6</v>
      </c>
      <c r="C19">
        <f t="shared" si="3"/>
        <v>85497250.970868602</v>
      </c>
      <c r="D19">
        <f t="shared" si="3"/>
        <v>219.87881214120489</v>
      </c>
      <c r="E19">
        <f t="shared" si="4"/>
        <v>30609460.575959269</v>
      </c>
      <c r="F19">
        <f>+Intensity*Damp/(($B19/10-Shift)^2+Damp^2)</f>
        <v>30590542.531768493</v>
      </c>
      <c r="G19">
        <f t="shared" si="0"/>
        <v>4187750.5441754446</v>
      </c>
      <c r="H19">
        <f t="shared" si="1"/>
        <v>33134008.19223424</v>
      </c>
    </row>
    <row r="20" spans="1:8">
      <c r="A20">
        <f t="shared" si="5"/>
        <v>-5.7000000000000064</v>
      </c>
      <c r="B20">
        <f t="shared" si="2"/>
        <v>1.9952623149688465E-6</v>
      </c>
      <c r="C20">
        <f t="shared" si="3"/>
        <v>85095627.865150914</v>
      </c>
      <c r="D20">
        <f t="shared" si="3"/>
        <v>480.54531019916607</v>
      </c>
      <c r="E20">
        <f t="shared" si="4"/>
        <v>30948362.029214393</v>
      </c>
      <c r="F20">
        <f>+Intensity*Damp/(($B20/10-Shift)^2+Damp^2)</f>
        <v>30929202.921707306</v>
      </c>
      <c r="G20">
        <f t="shared" si="0"/>
        <v>4198132.0818667188</v>
      </c>
      <c r="H20">
        <f t="shared" si="1"/>
        <v>30085045.15277648</v>
      </c>
    </row>
    <row r="21" spans="1:8">
      <c r="A21">
        <f t="shared" si="5"/>
        <v>-5.6800000000000068</v>
      </c>
      <c r="B21">
        <f t="shared" si="2"/>
        <v>2.0892961308540042E-6</v>
      </c>
      <c r="C21">
        <f t="shared" si="3"/>
        <v>84363401.575015992</v>
      </c>
      <c r="D21">
        <f t="shared" si="3"/>
        <v>1009.7240417754908</v>
      </c>
      <c r="E21">
        <f t="shared" si="4"/>
        <v>31308311.882393014</v>
      </c>
      <c r="F21">
        <f>+Intensity*Damp/(($B21/10-Shift)^2+Damp^2)</f>
        <v>31288896.78613722</v>
      </c>
      <c r="G21">
        <f t="shared" si="0"/>
        <v>4209544.2988667535</v>
      </c>
      <c r="H21">
        <f t="shared" si="1"/>
        <v>27280512.075394388</v>
      </c>
    </row>
    <row r="22" spans="1:8">
      <c r="A22">
        <f t="shared" si="5"/>
        <v>-5.6600000000000072</v>
      </c>
      <c r="B22">
        <f t="shared" si="2"/>
        <v>2.1877616239495115E-6</v>
      </c>
      <c r="C22">
        <f t="shared" si="3"/>
        <v>83323890.87116909</v>
      </c>
      <c r="D22">
        <f t="shared" si="3"/>
        <v>2043.4183433726637</v>
      </c>
      <c r="E22">
        <f t="shared" si="4"/>
        <v>31690871.279097371</v>
      </c>
      <c r="F22">
        <f>+Intensity*Damp/(($B22/10-Shift)^2+Damp^2)</f>
        <v>31671184.190356813</v>
      </c>
      <c r="G22">
        <f t="shared" si="0"/>
        <v>4222092.5347368391</v>
      </c>
      <c r="H22">
        <f t="shared" si="1"/>
        <v>24712926.267967802</v>
      </c>
    </row>
    <row r="23" spans="1:8">
      <c r="A23">
        <f t="shared" si="5"/>
        <v>-5.6400000000000077</v>
      </c>
      <c r="B23">
        <f t="shared" si="2"/>
        <v>2.2908676527677298E-6</v>
      </c>
      <c r="C23">
        <f t="shared" si="3"/>
        <v>82002491.569358662</v>
      </c>
      <c r="D23">
        <f t="shared" si="3"/>
        <v>3989.6275599227288</v>
      </c>
      <c r="E23">
        <f t="shared" si="4"/>
        <v>32097741.954831555</v>
      </c>
      <c r="F23">
        <f>+Intensity*Damp/(($B23/10-Shift)^2+Damp^2)</f>
        <v>32077765.702166829</v>
      </c>
      <c r="G23">
        <f t="shared" si="0"/>
        <v>4235893.4899290744</v>
      </c>
      <c r="H23">
        <f t="shared" si="1"/>
        <v>22371216.260364633</v>
      </c>
    </row>
    <row r="24" spans="1:8">
      <c r="A24">
        <f t="shared" si="5"/>
        <v>-5.6200000000000081</v>
      </c>
      <c r="B24">
        <f t="shared" si="2"/>
        <v>2.3988329190194448E-6</v>
      </c>
      <c r="C24">
        <f t="shared" si="3"/>
        <v>80426046.770223558</v>
      </c>
      <c r="D24">
        <f t="shared" si="3"/>
        <v>7527.1244063720524</v>
      </c>
      <c r="E24">
        <f t="shared" si="4"/>
        <v>32530781.094458956</v>
      </c>
      <c r="F24">
        <f>+Intensity*Damp/(($B24/10-Shift)^2+Damp^2)</f>
        <v>32510497.241727147</v>
      </c>
      <c r="G24">
        <f t="shared" si="0"/>
        <v>4251076.5648086555</v>
      </c>
      <c r="H24">
        <f t="shared" si="1"/>
        <v>20241995.063009802</v>
      </c>
    </row>
    <row r="25" spans="1:8">
      <c r="A25">
        <f t="shared" si="5"/>
        <v>-5.6000000000000085</v>
      </c>
      <c r="B25">
        <f t="shared" si="2"/>
        <v>2.5118864315095272E-6</v>
      </c>
      <c r="C25">
        <f t="shared" si="3"/>
        <v>78622260.562087864</v>
      </c>
      <c r="D25">
        <f t="shared" si="3"/>
        <v>13744.126347696149</v>
      </c>
      <c r="E25">
        <f t="shared" si="4"/>
        <v>32992017.904717315</v>
      </c>
      <c r="F25">
        <f>+Intensity*Damp/(($B25/10-Shift)^2+Damp^2)</f>
        <v>32971406.646060213</v>
      </c>
      <c r="G25">
        <f t="shared" si="0"/>
        <v>4267785.3768729651</v>
      </c>
      <c r="H25">
        <f t="shared" si="1"/>
        <v>18310579.293323487</v>
      </c>
    </row>
    <row r="26" spans="1:8">
      <c r="A26">
        <f t="shared" si="5"/>
        <v>-5.580000000000009</v>
      </c>
      <c r="B26">
        <f t="shared" si="2"/>
        <v>2.6302679918953262E-6</v>
      </c>
      <c r="C26">
        <f t="shared" si="3"/>
        <v>76619164.407184541</v>
      </c>
      <c r="D26">
        <f t="shared" si="3"/>
        <v>24324.055550618305</v>
      </c>
      <c r="E26">
        <f t="shared" si="4"/>
        <v>33483672.091741856</v>
      </c>
      <c r="F26">
        <f>+Intensity*Damp/(($B26/10-Shift)^2+Damp^2)</f>
        <v>33462712.138242379</v>
      </c>
      <c r="G26">
        <f t="shared" si="0"/>
        <v>4286179.4830711614</v>
      </c>
      <c r="H26">
        <f t="shared" si="1"/>
        <v>16561770.334098453</v>
      </c>
    </row>
    <row r="27" spans="1:8">
      <c r="A27">
        <f t="shared" si="5"/>
        <v>-5.5600000000000094</v>
      </c>
      <c r="B27">
        <f t="shared" si="2"/>
        <v>2.7542287033381024E-6</v>
      </c>
      <c r="C27">
        <f t="shared" si="3"/>
        <v>74444642.35572648</v>
      </c>
      <c r="D27">
        <f t="shared" si="3"/>
        <v>41782.68564422342</v>
      </c>
      <c r="E27">
        <f t="shared" si="4"/>
        <v>34008174.44528158</v>
      </c>
      <c r="F27">
        <f>+Intensity*Damp/(($B27/10-Shift)^2+Damp^2)</f>
        <v>33986842.903116211</v>
      </c>
      <c r="G27">
        <f t="shared" si="0"/>
        <v>4306436.3385452284</v>
      </c>
      <c r="H27">
        <f t="shared" si="1"/>
        <v>14980427.777529264</v>
      </c>
    </row>
    <row r="28" spans="1:8">
      <c r="A28">
        <f t="shared" si="5"/>
        <v>-5.5400000000000098</v>
      </c>
      <c r="B28">
        <f t="shared" si="2"/>
        <v>2.8840315031265381E-6</v>
      </c>
      <c r="C28">
        <f t="shared" si="3"/>
        <v>72126018.483017817</v>
      </c>
      <c r="D28">
        <f t="shared" si="3"/>
        <v>69755.982714723737</v>
      </c>
      <c r="E28">
        <f t="shared" si="4"/>
        <v>34568189.738811508</v>
      </c>
      <c r="F28">
        <f>+Intensity*Damp/(($B28/10-Shift)^2+Damp^2)</f>
        <v>34546461.978954799</v>
      </c>
      <c r="G28">
        <f t="shared" si="0"/>
        <v>4328753.5282408949</v>
      </c>
      <c r="H28">
        <f t="shared" si="1"/>
        <v>13551870.696229268</v>
      </c>
    </row>
    <row r="29" spans="1:8">
      <c r="A29">
        <f t="shared" si="5"/>
        <v>-5.5200000000000102</v>
      </c>
      <c r="B29">
        <f t="shared" si="2"/>
        <v>3.0199517204019392E-6</v>
      </c>
      <c r="C29">
        <f t="shared" si="3"/>
        <v>66315452.422646724</v>
      </c>
      <c r="D29">
        <f t="shared" si="3"/>
        <v>113330.88875254177</v>
      </c>
      <c r="E29">
        <f t="shared" si="4"/>
        <v>35166642.155048795</v>
      </c>
      <c r="F29">
        <f>+Intensity*Damp/(($B29/10-Shift)^2+Damp^2)</f>
        <v>35144491.674926691</v>
      </c>
      <c r="G29">
        <f t="shared" si="0"/>
        <v>4353351.3137531132</v>
      </c>
      <c r="H29">
        <f t="shared" si="1"/>
        <v>12262141.985044142</v>
      </c>
    </row>
    <row r="30" spans="1:8">
      <c r="A30">
        <f t="shared" si="5"/>
        <v>-5.5000000000000107</v>
      </c>
      <c r="B30">
        <f t="shared" si="2"/>
        <v>3.1622776601682983E-6</v>
      </c>
      <c r="C30">
        <f t="shared" si="3"/>
        <v>57235659.347393915</v>
      </c>
      <c r="D30">
        <f t="shared" si="3"/>
        <v>179402.61168247665</v>
      </c>
      <c r="E30">
        <f t="shared" si="4"/>
        <v>35806743.435081042</v>
      </c>
      <c r="F30">
        <f>+Intensity*Damp/(($B30/10-Shift)^2+Damp^2)</f>
        <v>35784141.713064417</v>
      </c>
      <c r="G30">
        <f t="shared" si="0"/>
        <v>4380475.544539216</v>
      </c>
      <c r="H30">
        <f t="shared" si="1"/>
        <v>11098167.621686906</v>
      </c>
    </row>
    <row r="31" spans="1:8">
      <c r="A31">
        <f t="shared" si="5"/>
        <v>-5.4800000000000111</v>
      </c>
      <c r="B31">
        <f t="shared" si="2"/>
        <v>3.3113112148258196E-6</v>
      </c>
      <c r="C31">
        <f t="shared" si="3"/>
        <v>49521806.992900036</v>
      </c>
      <c r="D31">
        <f t="shared" si="3"/>
        <v>277032.57008455048</v>
      </c>
      <c r="E31">
        <f t="shared" si="4"/>
        <v>36492023.92000144</v>
      </c>
      <c r="F31">
        <f>+Intensity*Damp/(($B31/10-Shift)^2+Damp^2)</f>
        <v>36468940.264340177</v>
      </c>
      <c r="G31">
        <f t="shared" si="0"/>
        <v>4410400.9902805481</v>
      </c>
      <c r="H31">
        <f t="shared" si="1"/>
        <v>10047837.927331971</v>
      </c>
    </row>
    <row r="32" spans="1:8">
      <c r="A32">
        <f t="shared" si="5"/>
        <v>-5.4600000000000115</v>
      </c>
      <c r="B32">
        <f t="shared" si="2"/>
        <v>3.4673685045252203E-6</v>
      </c>
      <c r="C32">
        <f t="shared" si="3"/>
        <v>42949252.046532102</v>
      </c>
      <c r="D32">
        <f t="shared" si="3"/>
        <v>417772.27232153382</v>
      </c>
      <c r="E32">
        <f t="shared" si="4"/>
        <v>37226366.597365953</v>
      </c>
      <c r="F32">
        <f>+Intensity*Damp/(($B32/10-Shift)^2+Damp^2)</f>
        <v>37202767.992165357</v>
      </c>
      <c r="G32">
        <f t="shared" si="0"/>
        <v>4443435.1596581331</v>
      </c>
      <c r="H32">
        <f t="shared" si="1"/>
        <v>9100032.8578505442</v>
      </c>
    </row>
    <row r="33" spans="1:8">
      <c r="A33">
        <f t="shared" si="5"/>
        <v>-5.4400000000000119</v>
      </c>
      <c r="B33">
        <f t="shared" si="2"/>
        <v>3.6307805477009116E-6</v>
      </c>
      <c r="C33">
        <f t="shared" si="3"/>
        <v>37333415.895868316</v>
      </c>
      <c r="D33">
        <f t="shared" si="3"/>
        <v>615911.59369467734</v>
      </c>
      <c r="E33">
        <f t="shared" si="4"/>
        <v>38014044.167616494</v>
      </c>
      <c r="F33">
        <f>+Intensity*Damp/(($B33/10-Shift)^2+Damp^2)</f>
        <v>37989895.119861752</v>
      </c>
      <c r="G33">
        <f t="shared" si="0"/>
        <v>4479922.6799637713</v>
      </c>
      <c r="H33">
        <f t="shared" si="1"/>
        <v>8244608.6344708884</v>
      </c>
    </row>
    <row r="34" spans="1:8">
      <c r="A34">
        <f t="shared" si="5"/>
        <v>-5.4200000000000124</v>
      </c>
      <c r="B34">
        <f t="shared" si="2"/>
        <v>3.801893963205498E-6</v>
      </c>
      <c r="C34">
        <f t="shared" si="3"/>
        <v>32522102.241650075</v>
      </c>
      <c r="D34">
        <f t="shared" si="3"/>
        <v>888606.64197332889</v>
      </c>
      <c r="E34">
        <f t="shared" si="4"/>
        <v>38859758.988791063</v>
      </c>
      <c r="F34">
        <f>+Intensity*Damp/(($B34/10-Shift)^2+Damp^2)</f>
        <v>38835021.382377848</v>
      </c>
      <c r="G34">
        <f t="shared" si="0"/>
        <v>4520250.3214169759</v>
      </c>
      <c r="H34">
        <f t="shared" si="1"/>
        <v>7472358.9195280997</v>
      </c>
    </row>
    <row r="35" spans="1:8">
      <c r="A35">
        <f t="shared" si="5"/>
        <v>-5.4000000000000128</v>
      </c>
      <c r="B35">
        <f t="shared" si="2"/>
        <v>3.9810717055348531E-6</v>
      </c>
      <c r="C35">
        <f t="shared" si="3"/>
        <v>28389386.090490527</v>
      </c>
      <c r="D35">
        <f t="shared" si="3"/>
        <v>1255843.8735846027</v>
      </c>
      <c r="E35">
        <f t="shared" si="4"/>
        <v>39768685.514165699</v>
      </c>
      <c r="F35">
        <f>+Intensity*Damp/(($B35/10-Shift)^2+Damp^2)</f>
        <v>39743318.479597159</v>
      </c>
      <c r="G35">
        <f t="shared" si="0"/>
        <v>4564852.7590695666</v>
      </c>
      <c r="H35">
        <f t="shared" si="1"/>
        <v>6774960.3488361351</v>
      </c>
    </row>
    <row r="36" spans="1:8">
      <c r="A36">
        <f t="shared" si="5"/>
        <v>-5.3800000000000132</v>
      </c>
      <c r="B36">
        <f t="shared" si="2"/>
        <v>4.1686938347032202E-6</v>
      </c>
      <c r="C36">
        <f t="shared" si="3"/>
        <v>24830733.569578264</v>
      </c>
      <c r="D36">
        <f t="shared" si="3"/>
        <v>1740204.0010593699</v>
      </c>
      <c r="E36">
        <f t="shared" si="4"/>
        <v>40746514.468317121</v>
      </c>
      <c r="F36">
        <f>+Intensity*Damp/(($B36/10-Shift)^2+Damp^2)</f>
        <v>40720474.2804465</v>
      </c>
      <c r="G36">
        <f t="shared" si="0"/>
        <v>4614219.1724456176</v>
      </c>
      <c r="H36">
        <f t="shared" si="1"/>
        <v>6144909.5243738974</v>
      </c>
    </row>
    <row r="37" spans="1:8">
      <c r="A37">
        <f t="shared" si="5"/>
        <v>-5.3600000000000136</v>
      </c>
      <c r="B37">
        <f t="shared" si="2"/>
        <v>4.3651583224015194E-6</v>
      </c>
      <c r="C37">
        <f t="shared" si="3"/>
        <v>21759089.766538024</v>
      </c>
      <c r="D37">
        <f t="shared" si="3"/>
        <v>2366401.4595474224</v>
      </c>
      <c r="E37">
        <f t="shared" si="4"/>
        <v>41799497.457796931</v>
      </c>
      <c r="F37">
        <f>+Intensity*Damp/(($B37/10-Shift)^2+Damp^2)</f>
        <v>41772737.479094692</v>
      </c>
      <c r="G37">
        <f t="shared" si="0"/>
        <v>4668900.7863437962</v>
      </c>
      <c r="H37">
        <f t="shared" si="1"/>
        <v>5575456.4713708218</v>
      </c>
    </row>
    <row r="38" spans="1:8">
      <c r="A38">
        <f t="shared" si="5"/>
        <v>-5.3400000000000141</v>
      </c>
      <c r="B38">
        <f t="shared" si="2"/>
        <v>4.5708818961485943E-6</v>
      </c>
      <c r="C38">
        <f t="shared" si="3"/>
        <v>19101730.941359323</v>
      </c>
      <c r="D38">
        <f t="shared" si="3"/>
        <v>3160591.9394330774</v>
      </c>
      <c r="E38">
        <f t="shared" si="4"/>
        <v>42934489.90619316</v>
      </c>
      <c r="F38">
        <f>+Intensity*Damp/(($B38/10-Shift)^2+Damp^2)</f>
        <v>42906960.599977486</v>
      </c>
      <c r="G38">
        <f t="shared" si="0"/>
        <v>4729519.4517821586</v>
      </c>
      <c r="H38">
        <f t="shared" si="1"/>
        <v>5060537.9743058821</v>
      </c>
    </row>
    <row r="39" spans="1:8">
      <c r="A39">
        <f t="shared" si="5"/>
        <v>-5.3200000000000145</v>
      </c>
      <c r="B39">
        <f t="shared" si="2"/>
        <v>4.7863009232262191E-6</v>
      </c>
      <c r="C39">
        <f t="shared" si="3"/>
        <v>16797722.638415448</v>
      </c>
      <c r="D39">
        <f t="shared" si="3"/>
        <v>4149460.1995928045</v>
      </c>
      <c r="E39">
        <f t="shared" si="4"/>
        <v>44158989.032065101</v>
      </c>
      <c r="F39">
        <f>+Intensity*Damp/(($B39/10-Shift)^2+Damp^2)</f>
        <v>44130638.079593375</v>
      </c>
      <c r="G39">
        <f t="shared" si="0"/>
        <v>4796777.3477641344</v>
      </c>
      <c r="H39">
        <f t="shared" si="1"/>
        <v>4594713.0282690683</v>
      </c>
    </row>
    <row r="40" spans="1:8">
      <c r="A40">
        <f t="shared" si="5"/>
        <v>-5.3000000000000149</v>
      </c>
      <c r="B40">
        <f t="shared" si="2"/>
        <v>5.0118723362725488E-6</v>
      </c>
      <c r="C40">
        <f t="shared" si="3"/>
        <v>14795859.888696261</v>
      </c>
      <c r="D40">
        <f t="shared" si="3"/>
        <v>5359120.9965346456</v>
      </c>
      <c r="E40">
        <f t="shared" si="4"/>
        <v>45481161.902346402</v>
      </c>
      <c r="F40">
        <f>+Intensity*Damp/(($B40/10-Shift)^2+Damp^2)</f>
        <v>45451934.470448166</v>
      </c>
      <c r="G40">
        <f t="shared" si="0"/>
        <v>4871467.8424592875</v>
      </c>
      <c r="H40">
        <f t="shared" si="1"/>
        <v>4173101.7866378133</v>
      </c>
    </row>
    <row r="41" spans="1:8">
      <c r="A41">
        <f t="shared" si="5"/>
        <v>-5.2800000000000153</v>
      </c>
      <c r="B41">
        <f t="shared" si="2"/>
        <v>5.2480746024975334E-6</v>
      </c>
      <c r="C41">
        <f t="shared" si="3"/>
        <v>13052992.39490097</v>
      </c>
      <c r="D41">
        <f t="shared" si="3"/>
        <v>6813885.2151358249</v>
      </c>
      <c r="E41">
        <f t="shared" si="4"/>
        <v>46909856.187464051</v>
      </c>
      <c r="F41">
        <f>+Intensity*Damp/(($B41/10-Shift)^2+Damp^2)</f>
        <v>46879695.410560422</v>
      </c>
      <c r="G41">
        <f t="shared" si="0"/>
        <v>4954487.470576168</v>
      </c>
      <c r="H41">
        <f t="shared" si="1"/>
        <v>3791328.7776249917</v>
      </c>
    </row>
    <row r="42" spans="1:8">
      <c r="A42">
        <f t="shared" si="5"/>
        <v>-5.2600000000000158</v>
      </c>
      <c r="B42">
        <f t="shared" si="2"/>
        <v>5.4954087385760435E-6</v>
      </c>
      <c r="C42">
        <f t="shared" si="3"/>
        <v>11532658.24594401</v>
      </c>
      <c r="D42">
        <f t="shared" si="3"/>
        <v>8534958.9748502988</v>
      </c>
      <c r="E42">
        <f t="shared" si="4"/>
        <v>48454582.838614158</v>
      </c>
      <c r="F42">
        <f>+Intensity*Damp/(($B42/10-Shift)^2+Damp^2)</f>
        <v>48423430.601814643</v>
      </c>
      <c r="G42">
        <f t="shared" si="0"/>
        <v>5046848.8366979267</v>
      </c>
      <c r="H42">
        <f t="shared" si="1"/>
        <v>3445470.7395383492</v>
      </c>
    </row>
    <row r="43" spans="1:8">
      <c r="A43">
        <f t="shared" si="5"/>
        <v>-5.2400000000000162</v>
      </c>
      <c r="B43">
        <f t="shared" si="2"/>
        <v>5.7543993733713457E-6</v>
      </c>
      <c r="C43">
        <f t="shared" si="3"/>
        <v>10203965.745698823</v>
      </c>
      <c r="D43">
        <f t="shared" si="3"/>
        <v>10539153.810994094</v>
      </c>
      <c r="E43">
        <f t="shared" si="4"/>
        <v>50125455.132053718</v>
      </c>
      <c r="F43">
        <f>+Intensity*Damp/(($B43/10-Shift)^2+Damp^2)</f>
        <v>50093253.272079043</v>
      </c>
      <c r="G43">
        <f t="shared" si="0"/>
        <v>5149694.0017292183</v>
      </c>
      <c r="H43">
        <f t="shared" si="1"/>
        <v>3132009.1390165375</v>
      </c>
    </row>
    <row r="44" spans="1:8">
      <c r="A44">
        <f t="shared" si="5"/>
        <v>-5.2200000000000166</v>
      </c>
      <c r="B44">
        <f t="shared" si="2"/>
        <v>6.0255958607433427E-6</v>
      </c>
      <c r="C44">
        <f t="shared" si="3"/>
        <v>9040675.4426520169</v>
      </c>
      <c r="D44">
        <f t="shared" si="3"/>
        <v>12837689.819023831</v>
      </c>
      <c r="E44">
        <f t="shared" si="4"/>
        <v>51933061.903420031</v>
      </c>
      <c r="F44">
        <f>+Intensity*Damp/(($B44/10-Shift)^2+Damp^2)</f>
        <v>51899753.983004406</v>
      </c>
      <c r="G44">
        <f t="shared" si="0"/>
        <v>5264307.4875084562</v>
      </c>
      <c r="H44">
        <f t="shared" si="1"/>
        <v>2847787.2505935295</v>
      </c>
    </row>
    <row r="45" spans="1:8">
      <c r="A45">
        <f t="shared" si="5"/>
        <v>-5.2000000000000171</v>
      </c>
      <c r="B45">
        <f t="shared" si="2"/>
        <v>6.3095734448016738E-6</v>
      </c>
      <c r="C45">
        <f t="shared" si="3"/>
        <v>8020444.2287217779</v>
      </c>
      <c r="D45">
        <f t="shared" si="3"/>
        <v>15435170.483238544</v>
      </c>
      <c r="E45">
        <f t="shared" si="4"/>
        <v>53888243.743247613</v>
      </c>
      <c r="F45">
        <f>+Intensity*Damp/(($B45/10-Shift)^2+Damp^2)</f>
        <v>53853777.603867315</v>
      </c>
      <c r="G45">
        <f t="shared" si="0"/>
        <v>5392127.3428300302</v>
      </c>
      <c r="H45">
        <f t="shared" si="1"/>
        <v>2589971.5612729178</v>
      </c>
    </row>
    <row r="46" spans="1:8">
      <c r="A46">
        <f t="shared" si="5"/>
        <v>-5.1800000000000175</v>
      </c>
      <c r="B46">
        <f t="shared" si="2"/>
        <v>6.6069344800756883E-6</v>
      </c>
      <c r="C46">
        <f t="shared" si="3"/>
        <v>7124201.0565288756</v>
      </c>
      <c r="D46">
        <f t="shared" si="3"/>
        <v>18328798.149574459</v>
      </c>
      <c r="E46">
        <f t="shared" si="4"/>
        <v>56001728.786473095</v>
      </c>
      <c r="F46">
        <f>+Intensity*Damp/(($B46/10-Shift)^2+Damp^2)</f>
        <v>55966060.144313246</v>
      </c>
      <c r="G46">
        <f t="shared" si="0"/>
        <v>5534751.5965744406</v>
      </c>
      <c r="H46">
        <f t="shared" si="1"/>
        <v>2356017.1991483402</v>
      </c>
    </row>
    <row r="47" spans="1:8">
      <c r="A47">
        <f t="shared" si="5"/>
        <v>-5.1600000000000179</v>
      </c>
      <c r="B47">
        <f t="shared" si="2"/>
        <v>6.9183097091890669E-6</v>
      </c>
      <c r="C47">
        <f t="shared" si="3"/>
        <v>6335629.8773606056</v>
      </c>
      <c r="D47">
        <f t="shared" si="3"/>
        <v>21507883.794519719</v>
      </c>
      <c r="E47">
        <f t="shared" si="4"/>
        <v>58283568.885905527</v>
      </c>
      <c r="F47">
        <f>+Intensity*Damp/(($B47/10-Shift)^2+Damp^2)</f>
        <v>58246666.305341206</v>
      </c>
      <c r="G47">
        <f t="shared" si="0"/>
        <v>5693935.6405685656</v>
      </c>
      <c r="H47">
        <f t="shared" si="1"/>
        <v>2143637.0548700262</v>
      </c>
    </row>
    <row r="48" spans="1:8">
      <c r="A48">
        <f t="shared" si="5"/>
        <v>-5.1400000000000183</v>
      </c>
      <c r="B48">
        <f t="shared" si="2"/>
        <v>7.2443596007495873E-6</v>
      </c>
      <c r="C48">
        <f t="shared" si="3"/>
        <v>5640740.1884883754</v>
      </c>
      <c r="D48">
        <f t="shared" si="3"/>
        <v>24953685.458255544</v>
      </c>
      <c r="E48">
        <f t="shared" si="4"/>
        <v>60742297.097364791</v>
      </c>
      <c r="F48">
        <f>+Intensity*Damp/(($B48/10-Shift)^2+Damp^2)</f>
        <v>60704148.748816229</v>
      </c>
      <c r="G48">
        <f t="shared" si="0"/>
        <v>5871573.2748533227</v>
      </c>
      <c r="H48">
        <f t="shared" si="1"/>
        <v>1950774.2575780207</v>
      </c>
    </row>
    <row r="49" spans="1:20">
      <c r="A49">
        <f t="shared" si="5"/>
        <v>-5.1200000000000188</v>
      </c>
      <c r="B49">
        <f t="shared" si="2"/>
        <v>7.5857757502915087E-6</v>
      </c>
      <c r="C49">
        <f t="shared" si="3"/>
        <v>5027509.3761500707</v>
      </c>
      <c r="D49">
        <f t="shared" si="3"/>
        <v>28639588.320327062</v>
      </c>
      <c r="E49">
        <f t="shared" si="4"/>
        <v>63383704.055139005</v>
      </c>
      <c r="F49">
        <f>+Intensity*Damp/(($B49/10-Shift)^2+Damp^2)</f>
        <v>63344326.725344285</v>
      </c>
      <c r="G49">
        <f t="shared" si="0"/>
        <v>6069649.7838312592</v>
      </c>
      <c r="H49">
        <f t="shared" si="1"/>
        <v>1775577.6746641521</v>
      </c>
    </row>
    <row r="50" spans="1:20">
      <c r="A50">
        <f t="shared" si="5"/>
        <v>-5.1000000000000192</v>
      </c>
      <c r="B50">
        <f t="shared" si="2"/>
        <v>7.9432823472424541E-6</v>
      </c>
      <c r="C50">
        <f t="shared" si="3"/>
        <v>4485584.0635279985</v>
      </c>
      <c r="D50">
        <f t="shared" si="3"/>
        <v>32531617.838914473</v>
      </c>
      <c r="E50">
        <f t="shared" si="4"/>
        <v>66209106.386053264</v>
      </c>
      <c r="F50">
        <f>+Intensity*Damp/(($B50/10-Shift)^2+Damp^2)</f>
        <v>66168557.229033969</v>
      </c>
      <c r="G50">
        <f t="shared" si="0"/>
        <v>6290148.7646172317</v>
      </c>
      <c r="H50">
        <f t="shared" si="1"/>
        <v>1616380.1216302202</v>
      </c>
    </row>
    <row r="51" spans="1:20">
      <c r="A51">
        <f t="shared" si="5"/>
        <v>-5.0800000000000196</v>
      </c>
      <c r="B51">
        <f t="shared" si="2"/>
        <v>8.3176377110263299E-6</v>
      </c>
      <c r="C51">
        <f t="shared" si="3"/>
        <v>4006030.0871560397</v>
      </c>
      <c r="D51">
        <f t="shared" si="3"/>
        <v>36589257.442849383</v>
      </c>
      <c r="E51">
        <f t="shared" si="4"/>
        <v>69212960.85181208</v>
      </c>
      <c r="F51">
        <f>+Intensity*Damp/(($B51/10-Shift)^2+Damp^2)</f>
        <v>69171352.294376999</v>
      </c>
      <c r="G51">
        <f t="shared" si="0"/>
        <v>6534884.5917254146</v>
      </c>
      <c r="H51">
        <f t="shared" si="1"/>
        <v>1471678.9903765568</v>
      </c>
    </row>
    <row r="52" spans="1:20">
      <c r="A52">
        <f t="shared" si="5"/>
        <v>-5.06000000000002</v>
      </c>
      <c r="B52">
        <f t="shared" si="2"/>
        <v>8.7096358995603922E-6</v>
      </c>
      <c r="C52">
        <f t="shared" si="3"/>
        <v>3581122.6590426355</v>
      </c>
      <c r="D52">
        <f t="shared" si="3"/>
        <v>40766525.436291337</v>
      </c>
      <c r="E52">
        <f t="shared" si="4"/>
        <v>72379675.915418223</v>
      </c>
      <c r="F52">
        <f>+Intensity*Damp/(($B52/10-Shift)^2+Damp^2)</f>
        <v>72337193.872836813</v>
      </c>
      <c r="G52">
        <f t="shared" si="0"/>
        <v>6805218.495503637</v>
      </c>
      <c r="H52">
        <f t="shared" si="1"/>
        <v>1340119.0287488818</v>
      </c>
    </row>
    <row r="53" spans="1:20">
      <c r="A53">
        <f t="shared" si="5"/>
        <v>-5.0400000000000205</v>
      </c>
      <c r="B53">
        <f t="shared" si="2"/>
        <v>9.120108393558661E-6</v>
      </c>
      <c r="C53">
        <f t="shared" si="3"/>
        <v>3204169.8256561742</v>
      </c>
      <c r="D53">
        <f t="shared" si="3"/>
        <v>45013253.100254923</v>
      </c>
      <c r="E53">
        <f t="shared" si="4"/>
        <v>75679510.64660801</v>
      </c>
      <c r="F53">
        <f>+Intensity*Damp/(($B53/10-Shift)^2+Damp^2)</f>
        <v>75636435.62851721</v>
      </c>
      <c r="G53">
        <f t="shared" si="0"/>
        <v>7101598.0772299645</v>
      </c>
      <c r="H53">
        <f t="shared" si="1"/>
        <v>1220477.0292731125</v>
      </c>
    </row>
    <row r="54" spans="1:20">
      <c r="A54">
        <f t="shared" si="5"/>
        <v>-5.0200000000000209</v>
      </c>
      <c r="B54">
        <f t="shared" si="2"/>
        <v>9.5499258602138843E-6</v>
      </c>
      <c r="C54">
        <f t="shared" si="3"/>
        <v>2869363.5871651531</v>
      </c>
      <c r="D54">
        <f t="shared" si="3"/>
        <v>49276498.028679833</v>
      </c>
      <c r="E54">
        <f t="shared" si="4"/>
        <v>79063566.242502242</v>
      </c>
      <c r="F54">
        <f>+Intensity*Damp/(($B54/10-Shift)^2+Damp^2)</f>
        <v>79020295.863062218</v>
      </c>
      <c r="G54">
        <f t="shared" si="0"/>
        <v>7422839.9238480516</v>
      </c>
      <c r="H54">
        <f t="shared" si="1"/>
        <v>1111648.2095482089</v>
      </c>
      <c r="I54" t="s">
        <v>6</v>
      </c>
      <c r="J54" t="s">
        <v>5</v>
      </c>
      <c r="K54" t="s">
        <v>7</v>
      </c>
      <c r="L54" t="s">
        <v>8</v>
      </c>
      <c r="M54" t="s">
        <v>9</v>
      </c>
      <c r="N54" t="s">
        <v>10</v>
      </c>
      <c r="P54">
        <f>+SUM(P55:P233)</f>
        <v>2844.0992042665903</v>
      </c>
      <c r="R54">
        <f>+SUM(R55:R233)</f>
        <v>2716.057703334563</v>
      </c>
      <c r="S54">
        <f>+SUM(S55:S233)</f>
        <v>2953.0350669949371</v>
      </c>
      <c r="T54">
        <f>+SUM(T55:T233)</f>
        <v>2675.6988008978274</v>
      </c>
    </row>
    <row r="55" spans="1:20">
      <c r="A55">
        <f t="shared" si="5"/>
        <v>-5.0000000000000213</v>
      </c>
      <c r="B55">
        <f t="shared" si="2"/>
        <v>9.9999999999995011E-6</v>
      </c>
      <c r="C55">
        <f t="shared" si="3"/>
        <v>2571654.0524261091</v>
      </c>
      <c r="D55">
        <f t="shared" si="3"/>
        <v>53502023.629605182</v>
      </c>
      <c r="E55">
        <f t="shared" si="4"/>
        <v>82458119.954861417</v>
      </c>
      <c r="F55">
        <f>+Intensity*Damp/(($B55/10-Shift)^2+Damp^2)</f>
        <v>82415189.635420159</v>
      </c>
      <c r="G55">
        <f t="shared" si="0"/>
        <v>7765061.2462490806</v>
      </c>
      <c r="H55">
        <f t="shared" si="1"/>
        <v>1012634.0900307915</v>
      </c>
      <c r="I55">
        <v>59000000</v>
      </c>
      <c r="J55">
        <f>1/$B55</f>
        <v>100000.00000000499</v>
      </c>
      <c r="K55">
        <f>+$I55*$B55*$B55</f>
        <v>5.8999999999994109E-3</v>
      </c>
      <c r="L55">
        <f>+$D55*$B55*$B55</f>
        <v>5.3502023629599842E-3</v>
      </c>
      <c r="M55">
        <f>+$M$1/(EXP(+$M$2*$J55)+$M$3*EXP(-$M$2*$J55))</f>
        <v>1.5783257497374653E-3</v>
      </c>
      <c r="N55">
        <f>+$N$1/(1+$N$2*(($J55-$N$3)^2))</f>
        <v>6.3492063492054766E-3</v>
      </c>
      <c r="O55">
        <f>+$N$1/(1+$N$2*(($J55-$N$3)^2))</f>
        <v>6.3492063492054766E-3</v>
      </c>
      <c r="P55">
        <f>+($B56-$B55)*$I55</f>
        <v>27.805843350028088</v>
      </c>
      <c r="R55">
        <f>+$K55*($J55-$J56)</f>
        <v>26.554374247350367</v>
      </c>
      <c r="S55">
        <f>+$N55*($J55-$J56)</f>
        <v>28.576135859402065</v>
      </c>
      <c r="T55">
        <f>+$L55*($J55-$J56)</f>
        <v>24.079877261883368</v>
      </c>
    </row>
    <row r="56" spans="1:20">
      <c r="A56">
        <f t="shared" si="5"/>
        <v>-4.9800000000000217</v>
      </c>
      <c r="B56">
        <f t="shared" si="2"/>
        <v>1.0471285480508452E-5</v>
      </c>
      <c r="C56">
        <f t="shared" si="3"/>
        <v>2306642.8255396266</v>
      </c>
      <c r="D56">
        <f t="shared" si="3"/>
        <v>57635777.154830731</v>
      </c>
      <c r="E56">
        <f t="shared" si="4"/>
        <v>85758982.570003599</v>
      </c>
      <c r="F56">
        <f>+Intensity*Damp/(($B56/10-Shift)^2+Damp^2)</f>
        <v>85717078.793714955</v>
      </c>
      <c r="G56">
        <f t="shared" si="0"/>
        <v>8120180.7790432377</v>
      </c>
      <c r="H56">
        <f t="shared" si="1"/>
        <v>922531.69653404062</v>
      </c>
      <c r="I56">
        <v>60500000</v>
      </c>
      <c r="J56">
        <f t="shared" ref="J56:J119" si="6">1/$B56</f>
        <v>95499.258602148548</v>
      </c>
      <c r="K56">
        <f t="shared" ref="K56:K119" si="7">+$I56*$B56*$B56</f>
        <v>6.6336930866655805E-3</v>
      </c>
      <c r="L56">
        <f t="shared" ref="L56:L119" si="8">+$D56*$B56*$B56</f>
        <v>6.3196372968032837E-3</v>
      </c>
      <c r="M56">
        <f t="shared" ref="M56:M119" si="9">+$M$1/(EXP(+$M$2*$J56)+$M$3*EXP(-$M$2*$J56))</f>
        <v>2.1143957488366761E-3</v>
      </c>
      <c r="N56">
        <f t="shared" ref="N56:N119" si="10">+$N$1/(1+$N$2*(($J56-$N$3)^2))</f>
        <v>7.2112606002098728E-3</v>
      </c>
      <c r="P56">
        <f t="shared" ref="P56:P119" si="11">+($B57-$B56)*$I56</f>
        <v>29.856537095831065</v>
      </c>
      <c r="R56">
        <f t="shared" ref="R56:R119" si="12">+$K56*($J56-$J57)</f>
        <v>28.512771570792573</v>
      </c>
      <c r="S56">
        <f t="shared" ref="S56:S119" si="13">+$N56*($J56-$J57)</f>
        <v>30.995257625732552</v>
      </c>
      <c r="T56">
        <f t="shared" ref="T56:T119" si="14">+$L56*($J56-$J57)</f>
        <v>27.162904930922213</v>
      </c>
    </row>
    <row r="57" spans="1:20">
      <c r="A57">
        <f t="shared" si="5"/>
        <v>-4.9600000000000222</v>
      </c>
      <c r="B57">
        <f t="shared" si="2"/>
        <v>1.0964781961431279E-5</v>
      </c>
      <c r="C57">
        <f t="shared" si="3"/>
        <v>2070492.4865207979</v>
      </c>
      <c r="D57">
        <f t="shared" si="3"/>
        <v>61625303.97344622</v>
      </c>
      <c r="E57">
        <f t="shared" si="4"/>
        <v>88827209.715892226</v>
      </c>
      <c r="F57">
        <f>+Intensity*Damp/(($B57/10-Shift)^2+Damp^2)</f>
        <v>88787167.38604936</v>
      </c>
      <c r="G57">
        <f t="shared" si="0"/>
        <v>8473996.4996403847</v>
      </c>
      <c r="H57">
        <f t="shared" si="1"/>
        <v>840523.93449029257</v>
      </c>
      <c r="I57">
        <v>62000000</v>
      </c>
      <c r="J57">
        <f t="shared" si="6"/>
        <v>91201.083935595729</v>
      </c>
      <c r="K57">
        <f t="shared" si="7"/>
        <v>7.4540394946271838E-3</v>
      </c>
      <c r="L57">
        <f t="shared" si="8"/>
        <v>7.4089911239753814E-3</v>
      </c>
      <c r="M57">
        <f t="shared" si="9"/>
        <v>2.7952109004247116E-3</v>
      </c>
      <c r="N57">
        <f t="shared" si="10"/>
        <v>8.1999434063428477E-3</v>
      </c>
      <c r="P57">
        <f t="shared" si="11"/>
        <v>32.038763719290699</v>
      </c>
      <c r="R57">
        <f t="shared" si="12"/>
        <v>30.596781817215263</v>
      </c>
      <c r="S57">
        <f t="shared" si="13"/>
        <v>33.658512206465502</v>
      </c>
      <c r="T57">
        <f t="shared" si="14"/>
        <v>30.411870646695206</v>
      </c>
    </row>
    <row r="58" spans="1:20">
      <c r="A58">
        <f t="shared" si="5"/>
        <v>-4.9400000000000226</v>
      </c>
      <c r="B58">
        <f t="shared" si="2"/>
        <v>1.1481536214968226E-5</v>
      </c>
      <c r="C58">
        <f t="shared" si="3"/>
        <v>1859849.5719812526</v>
      </c>
      <c r="D58">
        <f t="shared" si="3"/>
        <v>65421044.237928838</v>
      </c>
      <c r="E58">
        <f t="shared" si="4"/>
        <v>91488298.609631941</v>
      </c>
      <c r="F58">
        <f>+Intensity*Damp/(($B58/10-Shift)^2+Damp^2)</f>
        <v>91451071.915582344</v>
      </c>
      <c r="G58">
        <f t="shared" si="0"/>
        <v>8804082.6092303321</v>
      </c>
      <c r="H58">
        <f t="shared" si="1"/>
        <v>765870.99984855554</v>
      </c>
      <c r="I58">
        <v>65000000</v>
      </c>
      <c r="J58">
        <f t="shared" si="6"/>
        <v>87096.358995612623</v>
      </c>
      <c r="K58">
        <f t="shared" si="7"/>
        <v>8.5686688006157488E-3</v>
      </c>
      <c r="L58">
        <f t="shared" si="8"/>
        <v>8.6241732410037453E-3</v>
      </c>
      <c r="M58">
        <f t="shared" si="9"/>
        <v>3.6484951353340693E-3</v>
      </c>
      <c r="N58">
        <f t="shared" si="10"/>
        <v>9.3340741086038268E-3</v>
      </c>
      <c r="P58">
        <f t="shared" si="11"/>
        <v>35.172028528341265</v>
      </c>
      <c r="R58">
        <f t="shared" si="12"/>
        <v>33.589026479900419</v>
      </c>
      <c r="S58">
        <f t="shared" si="13"/>
        <v>36.589401422157543</v>
      </c>
      <c r="T58">
        <f t="shared" si="14"/>
        <v>33.806602880777355</v>
      </c>
    </row>
    <row r="59" spans="1:20">
      <c r="A59">
        <f t="shared" si="5"/>
        <v>-4.920000000000023</v>
      </c>
      <c r="B59">
        <f t="shared" si="2"/>
        <v>1.2022644346173476E-5</v>
      </c>
      <c r="C59">
        <f t="shared" si="3"/>
        <v>1671778.9056903501</v>
      </c>
      <c r="D59">
        <f t="shared" si="3"/>
        <v>68977468.657826051</v>
      </c>
      <c r="E59">
        <f t="shared" si="4"/>
        <v>93537688.021162972</v>
      </c>
      <c r="F59">
        <f>+Intensity*Damp/(($B59/10-Shift)^2+Damp^2)</f>
        <v>93504284.742072597</v>
      </c>
      <c r="G59">
        <f t="shared" si="0"/>
        <v>9078212.0341952201</v>
      </c>
      <c r="H59">
        <f t="shared" si="1"/>
        <v>697902.70743978454</v>
      </c>
      <c r="I59">
        <v>68000000</v>
      </c>
      <c r="J59">
        <f t="shared" si="6"/>
        <v>83176.377110271613</v>
      </c>
      <c r="K59">
        <f t="shared" si="7"/>
        <v>9.8289904410712396E-3</v>
      </c>
      <c r="L59">
        <f t="shared" si="8"/>
        <v>9.9702776483391667E-3</v>
      </c>
      <c r="M59">
        <f t="shared" si="9"/>
        <v>4.7042729350256331E-3</v>
      </c>
      <c r="N59">
        <f t="shared" si="10"/>
        <v>1.0634665072746128E-2</v>
      </c>
      <c r="P59">
        <f t="shared" si="11"/>
        <v>38.529464480190732</v>
      </c>
      <c r="R59">
        <f t="shared" si="12"/>
        <v>36.795352921958376</v>
      </c>
      <c r="S59">
        <f t="shared" si="13"/>
        <v>39.811439120279616</v>
      </c>
      <c r="T59">
        <f t="shared" si="14"/>
        <v>37.324269160706358</v>
      </c>
    </row>
    <row r="60" spans="1:20">
      <c r="A60">
        <f t="shared" si="5"/>
        <v>-4.9000000000000234</v>
      </c>
      <c r="B60">
        <f t="shared" si="2"/>
        <v>1.2589254117940987E-5</v>
      </c>
      <c r="C60">
        <f t="shared" si="3"/>
        <v>1503707.4925861699</v>
      </c>
      <c r="D60">
        <f t="shared" si="3"/>
        <v>72254021.833614931</v>
      </c>
      <c r="E60">
        <f t="shared" si="4"/>
        <v>94755396.198116496</v>
      </c>
      <c r="F60">
        <f>+Intensity*Damp/(($B60/10-Shift)^2+Damp^2)</f>
        <v>94726771.247619033</v>
      </c>
      <c r="G60">
        <f t="shared" si="0"/>
        <v>9254686.2774700131</v>
      </c>
      <c r="H60">
        <f t="shared" si="1"/>
        <v>636011.6318457186</v>
      </c>
      <c r="I60">
        <v>71000000</v>
      </c>
      <c r="J60">
        <f t="shared" si="6"/>
        <v>79432.823472432472</v>
      </c>
      <c r="K60">
        <f t="shared" si="7"/>
        <v>1.1252741666472681E-2</v>
      </c>
      <c r="L60">
        <f t="shared" si="8"/>
        <v>1.1451490733202051E-2</v>
      </c>
      <c r="M60">
        <f t="shared" si="9"/>
        <v>5.9942126991837045E-3</v>
      </c>
      <c r="N60">
        <f t="shared" si="10"/>
        <v>1.2124759890953027E-2</v>
      </c>
      <c r="P60">
        <f t="shared" si="11"/>
        <v>42.125242001186166</v>
      </c>
      <c r="R60">
        <f t="shared" si="12"/>
        <v>40.229293795491643</v>
      </c>
      <c r="S60">
        <f t="shared" si="13"/>
        <v>43.346816474623701</v>
      </c>
      <c r="T60">
        <f t="shared" si="14"/>
        <v>40.939834820427649</v>
      </c>
    </row>
    <row r="61" spans="1:20">
      <c r="A61">
        <f t="shared" si="5"/>
        <v>-4.8800000000000239</v>
      </c>
      <c r="B61">
        <f t="shared" si="2"/>
        <v>1.3182567385563327E-5</v>
      </c>
      <c r="C61">
        <f t="shared" si="3"/>
        <v>1353376.4885028368</v>
      </c>
      <c r="D61">
        <f t="shared" si="3"/>
        <v>75215853.617077366</v>
      </c>
      <c r="E61">
        <f t="shared" si="4"/>
        <v>94931223.402643442</v>
      </c>
      <c r="F61">
        <f>+Intensity*Damp/(($B61/10-Shift)^2+Damp^2)</f>
        <v>94908140.397033483</v>
      </c>
      <c r="G61">
        <f t="shared" si="0"/>
        <v>9286495.0215992779</v>
      </c>
      <c r="H61">
        <f t="shared" si="1"/>
        <v>579646.96838174865</v>
      </c>
      <c r="I61">
        <v>74000000</v>
      </c>
      <c r="J61">
        <f t="shared" si="6"/>
        <v>75857.757502922657</v>
      </c>
      <c r="K61">
        <f t="shared" si="7"/>
        <v>1.2859726132743927E-2</v>
      </c>
      <c r="L61">
        <f t="shared" si="8"/>
        <v>1.30710172750834E-2</v>
      </c>
      <c r="M61">
        <f t="shared" si="9"/>
        <v>7.5506102769092387E-3</v>
      </c>
      <c r="N61">
        <f t="shared" si="10"/>
        <v>1.3828986660185994E-2</v>
      </c>
      <c r="P61">
        <f t="shared" si="11"/>
        <v>45.97436927439081</v>
      </c>
      <c r="R61">
        <f t="shared" si="12"/>
        <v>43.905181804054919</v>
      </c>
      <c r="S61">
        <f t="shared" si="13"/>
        <v>47.214393775877674</v>
      </c>
      <c r="T61">
        <f t="shared" si="14"/>
        <v>44.626563886553562</v>
      </c>
    </row>
    <row r="62" spans="1:20">
      <c r="A62">
        <f t="shared" si="5"/>
        <v>-4.8600000000000243</v>
      </c>
      <c r="B62">
        <f t="shared" si="2"/>
        <v>1.3803842646028068E-5</v>
      </c>
      <c r="C62">
        <f t="shared" si="3"/>
        <v>1218800.003791895</v>
      </c>
      <c r="D62">
        <f t="shared" si="3"/>
        <v>77834330.484538883</v>
      </c>
      <c r="E62">
        <f t="shared" si="4"/>
        <v>93898604.714318395</v>
      </c>
      <c r="F62">
        <f>+Intensity*Damp/(($B62/10-Shift)^2+Damp^2)</f>
        <v>93881492.409711644</v>
      </c>
      <c r="G62">
        <f t="shared" si="0"/>
        <v>9130747.3563137408</v>
      </c>
      <c r="H62">
        <f t="shared" si="1"/>
        <v>528309.03289544489</v>
      </c>
      <c r="I62">
        <v>77000000</v>
      </c>
      <c r="J62">
        <f t="shared" si="6"/>
        <v>72443.596007503103</v>
      </c>
      <c r="K62">
        <f t="shared" si="7"/>
        <v>1.4672047528315343E-2</v>
      </c>
      <c r="L62">
        <f t="shared" si="8"/>
        <v>1.4831025924724133E-2</v>
      </c>
      <c r="M62">
        <f t="shared" si="9"/>
        <v>9.4048989621139233E-3</v>
      </c>
      <c r="N62">
        <f t="shared" si="10"/>
        <v>1.5772680909537158E-2</v>
      </c>
      <c r="P62">
        <f t="shared" si="11"/>
        <v>50.092739730137865</v>
      </c>
      <c r="R62">
        <f t="shared" si="12"/>
        <v>47.838195055783167</v>
      </c>
      <c r="S62">
        <f t="shared" si="13"/>
        <v>51.426809001736011</v>
      </c>
      <c r="T62">
        <f t="shared" si="14"/>
        <v>48.356543944878716</v>
      </c>
    </row>
    <row r="63" spans="1:20">
      <c r="A63">
        <f t="shared" si="5"/>
        <v>-4.8400000000000247</v>
      </c>
      <c r="B63">
        <f t="shared" si="2"/>
        <v>1.445439770745843E-5</v>
      </c>
      <c r="C63">
        <f t="shared" si="3"/>
        <v>1098229.7019569459</v>
      </c>
      <c r="D63">
        <f t="shared" si="3"/>
        <v>80087329.326976389</v>
      </c>
      <c r="E63">
        <f t="shared" si="4"/>
        <v>91570470.571460932</v>
      </c>
      <c r="F63">
        <f>+Intensity*Damp/(($B63/10-Shift)^2+Damp^2)</f>
        <v>91559316.0797472</v>
      </c>
      <c r="G63">
        <f t="shared" si="0"/>
        <v>8762287.3274767809</v>
      </c>
      <c r="H63">
        <f t="shared" si="1"/>
        <v>481544.32883775549</v>
      </c>
      <c r="I63">
        <v>80000000</v>
      </c>
      <c r="J63">
        <f t="shared" si="6"/>
        <v>69183.097091897696</v>
      </c>
      <c r="K63">
        <f t="shared" si="7"/>
        <v>1.6714369046830359E-2</v>
      </c>
      <c r="L63">
        <f t="shared" si="8"/>
        <v>1.6732614729326543E-2</v>
      </c>
      <c r="M63">
        <f t="shared" si="9"/>
        <v>1.1585554170036752E-2</v>
      </c>
      <c r="N63">
        <f t="shared" si="10"/>
        <v>1.7980392811793332E-2</v>
      </c>
      <c r="P63">
        <f t="shared" si="11"/>
        <v>54.497182152220851</v>
      </c>
      <c r="R63">
        <f t="shared" si="12"/>
        <v>52.044404914430743</v>
      </c>
      <c r="S63">
        <f t="shared" si="13"/>
        <v>55.986489313214555</v>
      </c>
      <c r="T63">
        <f t="shared" si="14"/>
        <v>52.101217450106546</v>
      </c>
    </row>
    <row r="64" spans="1:20">
      <c r="A64">
        <f t="shared" si="5"/>
        <v>-4.8200000000000252</v>
      </c>
      <c r="B64">
        <f t="shared" si="2"/>
        <v>1.513561248436119E-5</v>
      </c>
      <c r="C64">
        <f t="shared" si="3"/>
        <v>990124.32229316072</v>
      </c>
      <c r="D64">
        <f t="shared" si="3"/>
        <v>81959324.944358483</v>
      </c>
      <c r="E64">
        <f t="shared" si="4"/>
        <v>87966532.255521759</v>
      </c>
      <c r="F64">
        <f>+Intensity*Damp/(($B64/10-Shift)^2+Damp^2)</f>
        <v>87960853.090007454</v>
      </c>
      <c r="G64">
        <f t="shared" si="0"/>
        <v>8186260.8417065684</v>
      </c>
      <c r="H64">
        <f t="shared" si="1"/>
        <v>438941.11862640356</v>
      </c>
      <c r="I64">
        <v>83000000</v>
      </c>
      <c r="J64">
        <f t="shared" si="6"/>
        <v>66069.344800763487</v>
      </c>
      <c r="K64">
        <f t="shared" si="7"/>
        <v>1.9014201517970276E-2</v>
      </c>
      <c r="L64">
        <f t="shared" si="8"/>
        <v>1.877579663576916E-2</v>
      </c>
      <c r="M64">
        <f t="shared" si="9"/>
        <v>1.4115262595714738E-2</v>
      </c>
      <c r="N64">
        <f t="shared" si="10"/>
        <v>2.0473564656055841E-2</v>
      </c>
      <c r="P64">
        <f t="shared" si="11"/>
        <v>59.205513540665486</v>
      </c>
      <c r="R64">
        <f t="shared" si="12"/>
        <v>56.540826482927351</v>
      </c>
      <c r="S64">
        <f t="shared" si="13"/>
        <v>60.880403818746203</v>
      </c>
      <c r="T64">
        <f t="shared" si="14"/>
        <v>55.831903257070273</v>
      </c>
    </row>
    <row r="65" spans="1:20">
      <c r="A65">
        <f t="shared" si="5"/>
        <v>-4.8000000000000256</v>
      </c>
      <c r="B65">
        <f t="shared" si="2"/>
        <v>1.5848931924610172E-5</v>
      </c>
      <c r="C65">
        <f t="shared" si="3"/>
        <v>893123.39470682014</v>
      </c>
      <c r="D65">
        <f t="shared" si="3"/>
        <v>83441289.622915834</v>
      </c>
      <c r="E65">
        <f t="shared" si="4"/>
        <v>83221347.629819319</v>
      </c>
      <c r="F65">
        <f>+Intensity*Damp/(($B65/10-Shift)^2+Damp^2)</f>
        <v>83220262.745306805</v>
      </c>
      <c r="G65">
        <f t="shared" si="0"/>
        <v>7442031.2435052339</v>
      </c>
      <c r="H65">
        <f t="shared" si="1"/>
        <v>400125.44382648432</v>
      </c>
      <c r="I65">
        <v>86000000</v>
      </c>
      <c r="J65">
        <f t="shared" si="6"/>
        <v>63095.734448023155</v>
      </c>
      <c r="K65">
        <f t="shared" si="7"/>
        <v>2.1602223310979763E-2</v>
      </c>
      <c r="L65">
        <f t="shared" si="8"/>
        <v>2.0959504323143793E-2</v>
      </c>
      <c r="M65">
        <f t="shared" si="9"/>
        <v>1.7007269070855303E-2</v>
      </c>
      <c r="N65">
        <f t="shared" si="10"/>
        <v>2.3267171684936732E-2</v>
      </c>
      <c r="P65">
        <f t="shared" si="11"/>
        <v>64.23659487974038</v>
      </c>
      <c r="R65">
        <f t="shared" si="12"/>
        <v>61.345471861414538</v>
      </c>
      <c r="S65">
        <f t="shared" si="13"/>
        <v>66.073552029596669</v>
      </c>
      <c r="T65">
        <f t="shared" si="14"/>
        <v>59.520294007473538</v>
      </c>
    </row>
    <row r="66" spans="1:20">
      <c r="A66">
        <f t="shared" si="5"/>
        <v>-4.780000000000026</v>
      </c>
      <c r="B66">
        <f t="shared" si="2"/>
        <v>1.6595869074374595E-5</v>
      </c>
      <c r="C66">
        <f t="shared" si="3"/>
        <v>806024.53054548381</v>
      </c>
      <c r="D66">
        <f t="shared" si="3"/>
        <v>84530428.374255285</v>
      </c>
      <c r="E66">
        <f t="shared" si="4"/>
        <v>77568003.553912535</v>
      </c>
      <c r="F66">
        <f>+Intensity*Damp/(($B66/10-Shift)^2+Damp^2)</f>
        <v>77570386.750165001</v>
      </c>
      <c r="G66">
        <f t="shared" si="0"/>
        <v>6594290.5938976863</v>
      </c>
      <c r="H66">
        <f t="shared" si="1"/>
        <v>364757.54524589563</v>
      </c>
      <c r="I66">
        <v>89000000</v>
      </c>
      <c r="J66">
        <f t="shared" si="6"/>
        <v>60255.958607439446</v>
      </c>
      <c r="K66">
        <f t="shared" si="7"/>
        <v>2.4512635459706694E-2</v>
      </c>
      <c r="L66">
        <f t="shared" si="8"/>
        <v>2.3281613213381652E-2</v>
      </c>
      <c r="M66">
        <f t="shared" si="9"/>
        <v>2.0260928950096933E-2</v>
      </c>
      <c r="N66">
        <f t="shared" si="10"/>
        <v>2.636520236858118E-2</v>
      </c>
      <c r="P66">
        <f t="shared" si="11"/>
        <v>69.610389967510713</v>
      </c>
      <c r="R66">
        <f t="shared" si="12"/>
        <v>66.47740632903367</v>
      </c>
      <c r="S66">
        <f t="shared" si="13"/>
        <v>71.501502712117755</v>
      </c>
      <c r="T66">
        <f t="shared" si="14"/>
        <v>63.138917238231976</v>
      </c>
    </row>
    <row r="67" spans="1:20">
      <c r="A67">
        <f t="shared" si="5"/>
        <v>-4.7600000000000264</v>
      </c>
      <c r="B67">
        <f t="shared" si="2"/>
        <v>1.7378008287492693E-5</v>
      </c>
      <c r="C67">
        <f t="shared" si="3"/>
        <v>727763.76958613726</v>
      </c>
      <c r="D67">
        <f t="shared" si="3"/>
        <v>85229776.759083584</v>
      </c>
      <c r="E67">
        <f t="shared" si="4"/>
        <v>71301287.579506278</v>
      </c>
      <c r="F67">
        <f>+Intensity*Damp/(($B67/10-Shift)^2+Damp^2)</f>
        <v>71305955.122547626</v>
      </c>
      <c r="G67">
        <f t="shared" si="0"/>
        <v>5715249.6882494399</v>
      </c>
      <c r="H67">
        <f t="shared" si="1"/>
        <v>332528.63979685039</v>
      </c>
      <c r="I67">
        <v>92000000</v>
      </c>
      <c r="J67">
        <f t="shared" si="6"/>
        <v>57543.99373371921</v>
      </c>
      <c r="K67">
        <f t="shared" si="7"/>
        <v>2.7783555827695157E-2</v>
      </c>
      <c r="L67">
        <f t="shared" si="8"/>
        <v>2.5738981095304283E-2</v>
      </c>
      <c r="M67">
        <f t="shared" si="9"/>
        <v>2.3856709217906134E-2</v>
      </c>
      <c r="N67">
        <f t="shared" si="10"/>
        <v>2.9755066602868301E-2</v>
      </c>
      <c r="P67">
        <f t="shared" si="11"/>
        <v>75.348027471751266</v>
      </c>
      <c r="R67">
        <f t="shared" si="12"/>
        <v>71.956807606862171</v>
      </c>
      <c r="S67">
        <f t="shared" si="13"/>
        <v>77.062835878541406</v>
      </c>
      <c r="T67">
        <f t="shared" si="14"/>
        <v>66.661550528578161</v>
      </c>
    </row>
    <row r="68" spans="1:20">
      <c r="A68">
        <f t="shared" si="5"/>
        <v>-4.7400000000000269</v>
      </c>
      <c r="B68">
        <f t="shared" si="2"/>
        <v>1.8197008586098685E-5</v>
      </c>
      <c r="C68">
        <f t="shared" si="3"/>
        <v>657398.54371179105</v>
      </c>
      <c r="D68">
        <f t="shared" si="3"/>
        <v>85547689.84505026</v>
      </c>
      <c r="E68">
        <f t="shared" si="4"/>
        <v>64731818.903140508</v>
      </c>
      <c r="F68">
        <f>+Intensity*Damp/(($B68/10-Shift)^2+Damp^2)</f>
        <v>64737695.496145777</v>
      </c>
      <c r="G68">
        <f t="shared" si="0"/>
        <v>4867190.9318123236</v>
      </c>
      <c r="H68">
        <f t="shared" si="1"/>
        <v>303158.01601064514</v>
      </c>
      <c r="I68">
        <v>94000000</v>
      </c>
      <c r="J68">
        <f t="shared" si="6"/>
        <v>54954.087385765924</v>
      </c>
      <c r="K68">
        <f t="shared" si="7"/>
        <v>3.112632541935963E-2</v>
      </c>
      <c r="L68">
        <f t="shared" si="8"/>
        <v>2.8327502478632787E-2</v>
      </c>
      <c r="M68">
        <f t="shared" si="9"/>
        <v>2.7751209993634573E-2</v>
      </c>
      <c r="N68">
        <f t="shared" si="10"/>
        <v>3.3401412708832151E-2</v>
      </c>
      <c r="P68">
        <f t="shared" si="11"/>
        <v>80.614267792062435</v>
      </c>
      <c r="R68">
        <f t="shared" si="12"/>
        <v>76.986028068966149</v>
      </c>
      <c r="S68">
        <f t="shared" si="13"/>
        <v>82.613095561415534</v>
      </c>
      <c r="T68">
        <f t="shared" si="14"/>
        <v>70.063583528151611</v>
      </c>
    </row>
    <row r="69" spans="1:20">
      <c r="A69">
        <f t="shared" si="5"/>
        <v>-4.7200000000000273</v>
      </c>
      <c r="B69">
        <f t="shared" si="2"/>
        <v>1.9054607179631264E-5</v>
      </c>
      <c r="C69">
        <f t="shared" si="3"/>
        <v>594092.88503409526</v>
      </c>
      <c r="D69">
        <f t="shared" si="3"/>
        <v>85497250.970868871</v>
      </c>
      <c r="E69">
        <f t="shared" si="4"/>
        <v>58144500.292343453</v>
      </c>
      <c r="F69">
        <f>+Intensity*Damp/(($B69/10-Shift)^2+Damp^2)</f>
        <v>58150725.467100702</v>
      </c>
      <c r="G69">
        <f t="shared" ref="G69:G132" si="15">+I/(($B69-alpha*SIN($B69*L))^2+alpha^2*(1+COS($B69*L))^2)</f>
        <v>4092660.1966428454</v>
      </c>
      <c r="H69">
        <f t="shared" ref="H69:H132" si="16">+Int*($B69^2+2*beta^2)/(4*(beta*$B69)^2+($B69^2-2*beta^2)^2)</f>
        <v>276390.41450195189</v>
      </c>
      <c r="I69">
        <v>95000000</v>
      </c>
      <c r="J69">
        <f t="shared" si="6"/>
        <v>52480.746024980588</v>
      </c>
      <c r="K69">
        <f t="shared" si="7"/>
        <v>3.4492415203155255E-2</v>
      </c>
      <c r="L69">
        <f t="shared" si="8"/>
        <v>3.1042175570690292E-2</v>
      </c>
      <c r="M69">
        <f t="shared" si="9"/>
        <v>3.1873185551030414E-2</v>
      </c>
      <c r="N69">
        <f t="shared" si="10"/>
        <v>3.7240411910725607E-2</v>
      </c>
      <c r="P69">
        <f t="shared" si="11"/>
        <v>85.311517155341946</v>
      </c>
      <c r="R69">
        <f t="shared" si="12"/>
        <v>81.471866385592335</v>
      </c>
      <c r="S69">
        <f t="shared" si="13"/>
        <v>87.962696884662137</v>
      </c>
      <c r="T69">
        <f t="shared" si="14"/>
        <v>73.322322183516661</v>
      </c>
    </row>
    <row r="70" spans="1:20">
      <c r="A70">
        <f t="shared" si="5"/>
        <v>-4.7000000000000277</v>
      </c>
      <c r="B70">
        <f t="shared" ref="B70:B133" si="17">10^$A70</f>
        <v>1.9952623149687495E-5</v>
      </c>
      <c r="C70">
        <f t="shared" ref="C70:D133" si="18">+C$1*EXP(-ABS(C$3/$B70-1/C$2))/$B70/$B70</f>
        <v>537104.56255904352</v>
      </c>
      <c r="D70">
        <f t="shared" si="18"/>
        <v>85095627.865151539</v>
      </c>
      <c r="E70">
        <f t="shared" ref="E70:E133" si="19">$E$2/(1+$E$1^2-2*$E$1*($E$3*$B70)+($E$3*$B70)^2)</f>
        <v>51770586.680011414</v>
      </c>
      <c r="F70">
        <f>+Intensity*Damp/(($B70/10-Shift)^2+Damp^2)</f>
        <v>51776552.820440099</v>
      </c>
      <c r="G70">
        <f t="shared" si="15"/>
        <v>3413399.9967904724</v>
      </c>
      <c r="H70">
        <f t="shared" si="16"/>
        <v>251993.66354093622</v>
      </c>
      <c r="I70">
        <v>96000000</v>
      </c>
      <c r="J70">
        <f t="shared" si="6"/>
        <v>50118.723362730496</v>
      </c>
      <c r="K70">
        <f t="shared" si="7"/>
        <v>3.8218288373130752E-2</v>
      </c>
      <c r="L70">
        <f t="shared" si="8"/>
        <v>3.3877179635864403E-2</v>
      </c>
      <c r="M70">
        <f t="shared" si="9"/>
        <v>3.6121916110268437E-2</v>
      </c>
      <c r="N70">
        <f t="shared" si="10"/>
        <v>4.1176223750245718E-2</v>
      </c>
      <c r="P70">
        <f t="shared" si="11"/>
        <v>90.27246324974702</v>
      </c>
      <c r="R70">
        <f t="shared" si="12"/>
        <v>86.209533125401066</v>
      </c>
      <c r="S70">
        <f t="shared" si="13"/>
        <v>92.881789752557253</v>
      </c>
      <c r="T70">
        <f t="shared" si="14"/>
        <v>76.417232804870665</v>
      </c>
    </row>
    <row r="71" spans="1:20">
      <c r="A71">
        <f t="shared" ref="A71:A134" si="20">+$A70+$A$1</f>
        <v>-4.6800000000000281</v>
      </c>
      <c r="B71">
        <f t="shared" si="17"/>
        <v>2.0892961308539027E-5</v>
      </c>
      <c r="C71">
        <f t="shared" si="18"/>
        <v>485773.87880316656</v>
      </c>
      <c r="D71">
        <f t="shared" si="18"/>
        <v>84363401.575016946</v>
      </c>
      <c r="E71">
        <f t="shared" si="19"/>
        <v>45776001.836876042</v>
      </c>
      <c r="F71">
        <f>+Intensity*Damp/(($B71/10-Shift)^2+Damp^2)</f>
        <v>45781338.25823015</v>
      </c>
      <c r="G71">
        <f t="shared" si="15"/>
        <v>2834734.7323270147</v>
      </c>
      <c r="H71">
        <f t="shared" si="16"/>
        <v>229756.54327682799</v>
      </c>
      <c r="I71">
        <v>95000000</v>
      </c>
      <c r="J71">
        <f t="shared" si="6"/>
        <v>47863.009232266966</v>
      </c>
      <c r="K71">
        <f t="shared" si="7"/>
        <v>4.1469004062810337E-2</v>
      </c>
      <c r="L71">
        <f t="shared" si="8"/>
        <v>3.6825960449125027E-2</v>
      </c>
      <c r="M71">
        <f t="shared" si="9"/>
        <v>4.0369412041179206E-2</v>
      </c>
      <c r="N71">
        <f t="shared" si="10"/>
        <v>4.5081800486801091E-2</v>
      </c>
      <c r="P71">
        <f t="shared" si="11"/>
        <v>93.542218440727083</v>
      </c>
      <c r="R71">
        <f t="shared" si="12"/>
        <v>89.332125090892205</v>
      </c>
      <c r="S71">
        <f t="shared" si="13"/>
        <v>97.114775997748794</v>
      </c>
      <c r="T71">
        <f t="shared" si="14"/>
        <v>79.330125711500912</v>
      </c>
    </row>
    <row r="72" spans="1:20">
      <c r="A72">
        <f t="shared" si="20"/>
        <v>-4.6600000000000286</v>
      </c>
      <c r="B72">
        <f t="shared" si="17"/>
        <v>2.1877616239494049E-5</v>
      </c>
      <c r="C72">
        <f t="shared" si="18"/>
        <v>439513.89757435664</v>
      </c>
      <c r="D72">
        <f t="shared" si="18"/>
        <v>83323890.871170372</v>
      </c>
      <c r="E72">
        <f t="shared" si="19"/>
        <v>40263096.171144195</v>
      </c>
      <c r="F72">
        <f>+Intensity*Damp/(($B72/10-Shift)^2+Damp^2)</f>
        <v>40267622.990045771</v>
      </c>
      <c r="G72">
        <f t="shared" si="15"/>
        <v>2351518.980220085</v>
      </c>
      <c r="H72">
        <f t="shared" si="16"/>
        <v>209486.85512681495</v>
      </c>
      <c r="I72">
        <v>94000000</v>
      </c>
      <c r="J72">
        <f t="shared" si="6"/>
        <v>45708.818961490586</v>
      </c>
      <c r="K72">
        <f t="shared" si="7"/>
        <v>4.4991228678321935E-2</v>
      </c>
      <c r="L72">
        <f t="shared" si="8"/>
        <v>3.9881321580344332E-2</v>
      </c>
      <c r="M72">
        <f t="shared" si="9"/>
        <v>4.4467572200445067E-2</v>
      </c>
      <c r="N72">
        <f t="shared" si="10"/>
        <v>4.8805977734614793E-2</v>
      </c>
      <c r="P72">
        <f t="shared" si="11"/>
        <v>96.919667089120694</v>
      </c>
      <c r="R72">
        <f t="shared" si="12"/>
        <v>92.557563509775875</v>
      </c>
      <c r="S72">
        <f t="shared" si="13"/>
        <v>100.40540159786546</v>
      </c>
      <c r="T72">
        <f t="shared" si="14"/>
        <v>82.045280012659418</v>
      </c>
    </row>
    <row r="73" spans="1:20">
      <c r="A73">
        <f t="shared" si="20"/>
        <v>-4.640000000000029</v>
      </c>
      <c r="B73">
        <f t="shared" si="17"/>
        <v>2.2908676527676184E-5</v>
      </c>
      <c r="C73">
        <f t="shared" si="18"/>
        <v>397801.90768892586</v>
      </c>
      <c r="D73">
        <f t="shared" si="18"/>
        <v>82002491.569360226</v>
      </c>
      <c r="E73">
        <f t="shared" si="19"/>
        <v>35280621.881824329</v>
      </c>
      <c r="F73">
        <f>+Intensity*Damp/(($B73/10-Shift)^2+Damp^2)</f>
        <v>35284295.027027011</v>
      </c>
      <c r="G73">
        <f t="shared" si="15"/>
        <v>1953264.8307606815</v>
      </c>
      <c r="H73">
        <f t="shared" si="16"/>
        <v>191009.67545276802</v>
      </c>
      <c r="I73">
        <v>90000000</v>
      </c>
      <c r="J73">
        <f t="shared" si="6"/>
        <v>43651.583224019545</v>
      </c>
      <c r="K73">
        <f t="shared" si="7"/>
        <v>4.7232671422473151E-2</v>
      </c>
      <c r="L73">
        <f t="shared" si="8"/>
        <v>4.303551933466352E-2</v>
      </c>
      <c r="M73">
        <f t="shared" si="9"/>
        <v>4.8260417005005073E-2</v>
      </c>
      <c r="N73">
        <f t="shared" si="10"/>
        <v>5.2187536960128698E-2</v>
      </c>
      <c r="P73">
        <f t="shared" si="11"/>
        <v>97.168739626534773</v>
      </c>
      <c r="R73">
        <f t="shared" si="12"/>
        <v>92.795425936388142</v>
      </c>
      <c r="S73">
        <f t="shared" si="13"/>
        <v>102.52997713108324</v>
      </c>
      <c r="T73">
        <f t="shared" si="14"/>
        <v>84.549512589154006</v>
      </c>
    </row>
    <row r="74" spans="1:20">
      <c r="A74">
        <f t="shared" si="20"/>
        <v>-4.6200000000000294</v>
      </c>
      <c r="B74">
        <f t="shared" si="17"/>
        <v>2.3988329190193237E-5</v>
      </c>
      <c r="C74">
        <f t="shared" si="18"/>
        <v>360171.95573969383</v>
      </c>
      <c r="D74">
        <f t="shared" si="18"/>
        <v>80426046.770225421</v>
      </c>
      <c r="E74">
        <f t="shared" si="19"/>
        <v>30836917.74545886</v>
      </c>
      <c r="F74">
        <f>+Intensity*Damp/(($B74/10-Shift)^2+Damp^2)</f>
        <v>30839778.819073319</v>
      </c>
      <c r="G74">
        <f t="shared" si="15"/>
        <v>1627665.5758972417</v>
      </c>
      <c r="H74">
        <f t="shared" si="16"/>
        <v>174165.77494226894</v>
      </c>
      <c r="I74">
        <v>85000000</v>
      </c>
      <c r="J74">
        <f t="shared" si="6"/>
        <v>41686.938347036441</v>
      </c>
      <c r="K74">
        <f t="shared" si="7"/>
        <v>4.8912394673651542E-2</v>
      </c>
      <c r="L74">
        <f t="shared" si="8"/>
        <v>4.6280359313727329E-2</v>
      </c>
      <c r="M74">
        <f t="shared" si="9"/>
        <v>5.1600008874017188E-2</v>
      </c>
      <c r="N74">
        <f t="shared" si="10"/>
        <v>5.5074657470560832E-2</v>
      </c>
      <c r="P74">
        <f t="shared" si="11"/>
        <v>96.095485616569121</v>
      </c>
      <c r="R74">
        <f t="shared" si="12"/>
        <v>91.770476313953239</v>
      </c>
      <c r="S74">
        <f t="shared" si="13"/>
        <v>103.33224497846629</v>
      </c>
      <c r="T74">
        <f t="shared" si="14"/>
        <v>86.832195531198423</v>
      </c>
    </row>
    <row r="75" spans="1:20">
      <c r="A75">
        <f t="shared" si="20"/>
        <v>-4.6000000000000298</v>
      </c>
      <c r="B75">
        <f t="shared" si="17"/>
        <v>2.511886431509405E-5</v>
      </c>
      <c r="C75">
        <f t="shared" si="18"/>
        <v>326208.30501288013</v>
      </c>
      <c r="D75">
        <f t="shared" si="18"/>
        <v>78622260.56208989</v>
      </c>
      <c r="E75">
        <f t="shared" si="19"/>
        <v>26912815.44925138</v>
      </c>
      <c r="F75">
        <f>+Intensity*Damp/(($B75/10-Shift)^2+Damp^2)</f>
        <v>26914952.541768722</v>
      </c>
      <c r="G75">
        <f t="shared" si="15"/>
        <v>1362642.4769170003</v>
      </c>
      <c r="H75">
        <f t="shared" si="16"/>
        <v>158810.1871300549</v>
      </c>
      <c r="I75">
        <v>82000000</v>
      </c>
      <c r="J75">
        <f t="shared" si="6"/>
        <v>39810.717055352499</v>
      </c>
      <c r="K75">
        <f t="shared" si="7"/>
        <v>5.1738502247368631E-2</v>
      </c>
      <c r="L75">
        <f t="shared" si="8"/>
        <v>4.9607292741279146E-2</v>
      </c>
      <c r="M75">
        <f t="shared" si="9"/>
        <v>5.4363171478119962E-2</v>
      </c>
      <c r="N75">
        <f t="shared" si="10"/>
        <v>5.734569722054772E-2</v>
      </c>
      <c r="P75">
        <f t="shared" si="11"/>
        <v>97.072879516350369</v>
      </c>
      <c r="R75">
        <f t="shared" si="12"/>
        <v>92.703880241866642</v>
      </c>
      <c r="S75">
        <f t="shared" si="13"/>
        <v>102.75072560281498</v>
      </c>
      <c r="T75">
        <f t="shared" si="14"/>
        <v>88.885227164546535</v>
      </c>
    </row>
    <row r="76" spans="1:20">
      <c r="A76">
        <f t="shared" si="20"/>
        <v>-4.5800000000000303</v>
      </c>
      <c r="B76">
        <f t="shared" si="17"/>
        <v>2.6302679918951981E-5</v>
      </c>
      <c r="C76">
        <f t="shared" si="18"/>
        <v>295539.69798234722</v>
      </c>
      <c r="D76">
        <f t="shared" si="18"/>
        <v>76619164.407186747</v>
      </c>
      <c r="E76">
        <f t="shared" si="19"/>
        <v>23472452.009625949</v>
      </c>
      <c r="F76">
        <f>+Intensity*Damp/(($B76/10-Shift)^2+Damp^2)</f>
        <v>23473972.366194151</v>
      </c>
      <c r="G76">
        <f t="shared" si="15"/>
        <v>1147339.7141184388</v>
      </c>
      <c r="H76">
        <f t="shared" si="16"/>
        <v>144810.91127672928</v>
      </c>
      <c r="I76">
        <v>78000000</v>
      </c>
      <c r="J76">
        <f t="shared" si="6"/>
        <v>38018.939632058777</v>
      </c>
      <c r="K76">
        <f t="shared" si="7"/>
        <v>5.39628157316695E-2</v>
      </c>
      <c r="L76">
        <f t="shared" si="8"/>
        <v>5.300751090281422E-2</v>
      </c>
      <c r="M76">
        <f t="shared" si="9"/>
        <v>5.6465354143016545E-2</v>
      </c>
      <c r="N76">
        <f t="shared" si="10"/>
        <v>5.8925899123029223E-2</v>
      </c>
      <c r="P76">
        <f t="shared" si="11"/>
        <v>96.689354925361144</v>
      </c>
      <c r="R76">
        <f t="shared" si="12"/>
        <v>92.337617100915153</v>
      </c>
      <c r="S76">
        <f t="shared" si="13"/>
        <v>100.83011860621249</v>
      </c>
      <c r="T76">
        <f t="shared" si="14"/>
        <v>90.702962379780487</v>
      </c>
    </row>
    <row r="77" spans="1:20">
      <c r="A77">
        <f t="shared" si="20"/>
        <v>-4.5600000000000307</v>
      </c>
      <c r="B77">
        <f t="shared" si="17"/>
        <v>2.7542287033379688E-5</v>
      </c>
      <c r="C77">
        <f t="shared" si="18"/>
        <v>267834.31707466795</v>
      </c>
      <c r="D77">
        <f t="shared" si="18"/>
        <v>74444642.35572885</v>
      </c>
      <c r="E77">
        <f t="shared" si="19"/>
        <v>20471424.053730935</v>
      </c>
      <c r="F77">
        <f>+Intensity*Damp/(($B77/10-Shift)^2+Damp^2)</f>
        <v>20472436.850478999</v>
      </c>
      <c r="G77">
        <f t="shared" si="15"/>
        <v>972477.54135227483</v>
      </c>
      <c r="H77">
        <f t="shared" si="16"/>
        <v>132047.73639372407</v>
      </c>
      <c r="I77">
        <v>74000000</v>
      </c>
      <c r="J77">
        <f t="shared" si="6"/>
        <v>36307.805477012742</v>
      </c>
      <c r="K77">
        <f t="shared" si="7"/>
        <v>5.6134740552151542E-2</v>
      </c>
      <c r="L77">
        <f t="shared" si="8"/>
        <v>5.6472036272115556E-2</v>
      </c>
      <c r="M77">
        <f t="shared" si="9"/>
        <v>5.7868483357483638E-2</v>
      </c>
      <c r="N77">
        <f t="shared" si="10"/>
        <v>5.9795457062255815E-2</v>
      </c>
      <c r="P77">
        <f t="shared" si="11"/>
        <v>96.054071843437811</v>
      </c>
      <c r="R77">
        <f t="shared" si="12"/>
        <v>91.730926467653603</v>
      </c>
      <c r="S77">
        <f t="shared" si="13"/>
        <v>97.712978111685473</v>
      </c>
      <c r="T77">
        <f t="shared" si="14"/>
        <v>92.282108295191009</v>
      </c>
    </row>
    <row r="78" spans="1:20">
      <c r="A78">
        <f t="shared" si="20"/>
        <v>-4.5400000000000311</v>
      </c>
      <c r="B78">
        <f t="shared" si="17"/>
        <v>2.8840315031263983E-5</v>
      </c>
      <c r="C78">
        <f t="shared" si="18"/>
        <v>242795.35308577729</v>
      </c>
      <c r="D78">
        <f t="shared" si="18"/>
        <v>72126018.48302035</v>
      </c>
      <c r="E78">
        <f t="shared" si="19"/>
        <v>17862441.955477145</v>
      </c>
      <c r="F78">
        <f>+Intensity*Damp/(($B78/10-Shift)^2+Damp^2)</f>
        <v>17863048.61316948</v>
      </c>
      <c r="G78">
        <f t="shared" si="15"/>
        <v>830360.56223237538</v>
      </c>
      <c r="H78">
        <f t="shared" si="16"/>
        <v>120411.17459364454</v>
      </c>
      <c r="I78">
        <v>70000000</v>
      </c>
      <c r="J78">
        <f t="shared" si="6"/>
        <v>34673.685045255661</v>
      </c>
      <c r="K78">
        <f t="shared" si="7"/>
        <v>5.8223463977178591E-2</v>
      </c>
      <c r="L78">
        <f t="shared" si="8"/>
        <v>5.9991809128049314E-2</v>
      </c>
      <c r="M78">
        <f t="shared" si="9"/>
        <v>5.8581316329708075E-2</v>
      </c>
      <c r="N78">
        <f t="shared" si="10"/>
        <v>5.9987224946649619E-2</v>
      </c>
      <c r="P78">
        <f t="shared" si="11"/>
        <v>95.144152092775983</v>
      </c>
      <c r="R78">
        <f t="shared" si="12"/>
        <v>90.861959851897069</v>
      </c>
      <c r="S78">
        <f t="shared" si="13"/>
        <v>93.614437417629588</v>
      </c>
      <c r="T78">
        <f t="shared" si="14"/>
        <v>93.621591366876856</v>
      </c>
    </row>
    <row r="79" spans="1:20">
      <c r="A79">
        <f t="shared" si="20"/>
        <v>-4.5200000000000315</v>
      </c>
      <c r="B79">
        <f t="shared" si="17"/>
        <v>3.0199517204017925E-5</v>
      </c>
      <c r="C79">
        <f t="shared" si="18"/>
        <v>220157.10314555245</v>
      </c>
      <c r="D79">
        <f t="shared" si="18"/>
        <v>66315452.422657117</v>
      </c>
      <c r="E79">
        <f t="shared" si="19"/>
        <v>15598951.158767624</v>
      </c>
      <c r="F79">
        <f>+Intensity*Damp/(($B79/10-Shift)^2+Damp^2)</f>
        <v>15599240.757099476</v>
      </c>
      <c r="G79">
        <f t="shared" si="15"/>
        <v>714726.33173372131</v>
      </c>
      <c r="H79">
        <f t="shared" si="16"/>
        <v>109801.49317607713</v>
      </c>
      <c r="I79">
        <v>65000000</v>
      </c>
      <c r="J79">
        <f t="shared" si="6"/>
        <v>33113.112148261564</v>
      </c>
      <c r="K79">
        <f t="shared" si="7"/>
        <v>5.9280704558125355E-2</v>
      </c>
      <c r="L79">
        <f t="shared" si="8"/>
        <v>6.048041142624546E-2</v>
      </c>
      <c r="M79">
        <f t="shared" si="9"/>
        <v>5.8652945401928461E-2</v>
      </c>
      <c r="N79">
        <f t="shared" si="10"/>
        <v>5.9575779253273529E-2</v>
      </c>
      <c r="P79">
        <f t="shared" si="11"/>
        <v>92.511860848128705</v>
      </c>
      <c r="R79">
        <f t="shared" si="12"/>
        <v>88.348141229009812</v>
      </c>
      <c r="S79">
        <f t="shared" si="13"/>
        <v>88.78790153608405</v>
      </c>
      <c r="T79">
        <f t="shared" si="14"/>
        <v>90.136107020039873</v>
      </c>
    </row>
    <row r="80" spans="1:20">
      <c r="A80">
        <f t="shared" si="20"/>
        <v>-4.500000000000032</v>
      </c>
      <c r="B80">
        <f t="shared" si="17"/>
        <v>3.1622776601681444E-5</v>
      </c>
      <c r="C80">
        <f t="shared" si="18"/>
        <v>199681.53080954906</v>
      </c>
      <c r="D80">
        <f t="shared" si="18"/>
        <v>57235659.347402751</v>
      </c>
      <c r="E80">
        <f t="shared" si="19"/>
        <v>13637247.183282442</v>
      </c>
      <c r="F80">
        <f>+Intensity*Damp/(($B80/10-Shift)^2+Damp^2)</f>
        <v>13637295.048950341</v>
      </c>
      <c r="G80">
        <f t="shared" si="15"/>
        <v>620538.22943394561</v>
      </c>
      <c r="H80">
        <f t="shared" si="16"/>
        <v>100127.83595056849</v>
      </c>
      <c r="I80">
        <v>60000000</v>
      </c>
      <c r="J80">
        <f t="shared" si="6"/>
        <v>31622.776601686142</v>
      </c>
      <c r="K80">
        <f t="shared" si="7"/>
        <v>5.9999999999991088E-2</v>
      </c>
      <c r="L80">
        <f t="shared" si="8"/>
        <v>5.7235659347394247E-2</v>
      </c>
      <c r="M80">
        <f t="shared" si="9"/>
        <v>5.8161774997142424E-2</v>
      </c>
      <c r="N80">
        <f t="shared" si="10"/>
        <v>5.8661848399323167E-2</v>
      </c>
      <c r="P80">
        <f t="shared" si="11"/>
        <v>89.420132794508319</v>
      </c>
      <c r="R80">
        <f t="shared" si="12"/>
        <v>85.39556385980778</v>
      </c>
      <c r="S80">
        <f t="shared" si="13"/>
        <v>83.491027018658471</v>
      </c>
      <c r="T80">
        <f t="shared" si="14"/>
        <v>81.461190047655592</v>
      </c>
    </row>
    <row r="81" spans="1:20">
      <c r="A81">
        <f t="shared" si="20"/>
        <v>-4.4800000000000324</v>
      </c>
      <c r="B81">
        <f t="shared" si="17"/>
        <v>3.3113112148256583E-5</v>
      </c>
      <c r="C81">
        <f t="shared" si="18"/>
        <v>181155.22999072305</v>
      </c>
      <c r="D81">
        <f t="shared" si="18"/>
        <v>49521806.992907546</v>
      </c>
      <c r="E81">
        <f t="shared" si="19"/>
        <v>11937549.516666554</v>
      </c>
      <c r="F81">
        <f>+Intensity*Damp/(($B81/10-Shift)^2+Damp^2)</f>
        <v>11937417.616939364</v>
      </c>
      <c r="G81">
        <f t="shared" si="15"/>
        <v>543775.39694370143</v>
      </c>
      <c r="H81">
        <f t="shared" si="16"/>
        <v>91307.425268038307</v>
      </c>
      <c r="I81">
        <v>53000000</v>
      </c>
      <c r="J81">
        <f t="shared" si="6"/>
        <v>30199.517204022468</v>
      </c>
      <c r="K81">
        <f t="shared" si="7"/>
        <v>5.8113344395579934E-2</v>
      </c>
      <c r="L81">
        <f t="shared" si="8"/>
        <v>5.4299581601325947E-2</v>
      </c>
      <c r="M81">
        <f t="shared" si="9"/>
        <v>5.7202925793499504E-2</v>
      </c>
      <c r="N81">
        <f t="shared" si="10"/>
        <v>5.7356481623653977E-2</v>
      </c>
      <c r="P81">
        <f t="shared" si="11"/>
        <v>82.710363540678571</v>
      </c>
      <c r="R81">
        <f t="shared" si="12"/>
        <v>78.987783968485871</v>
      </c>
      <c r="S81">
        <f t="shared" si="13"/>
        <v>77.959054444407329</v>
      </c>
      <c r="T81">
        <f t="shared" si="14"/>
        <v>73.804109292166686</v>
      </c>
    </row>
    <row r="82" spans="1:20">
      <c r="A82">
        <f t="shared" si="20"/>
        <v>-4.4600000000000328</v>
      </c>
      <c r="B82">
        <f t="shared" si="17"/>
        <v>3.4673685045250518E-5</v>
      </c>
      <c r="C82">
        <f t="shared" si="18"/>
        <v>164386.74226535307</v>
      </c>
      <c r="D82">
        <f t="shared" si="18"/>
        <v>42949252.046538495</v>
      </c>
      <c r="E82">
        <f t="shared" si="19"/>
        <v>10464398.271515932</v>
      </c>
      <c r="F82">
        <f>+Intensity*Damp/(($B82/10-Shift)^2+Damp^2)</f>
        <v>10464136.515085557</v>
      </c>
      <c r="G82">
        <f t="shared" si="15"/>
        <v>481243.15785265388</v>
      </c>
      <c r="H82">
        <f t="shared" si="16"/>
        <v>83264.837094209099</v>
      </c>
      <c r="I82">
        <v>46000000</v>
      </c>
      <c r="J82">
        <f t="shared" si="6"/>
        <v>28840.315031268259</v>
      </c>
      <c r="K82">
        <f t="shared" si="7"/>
        <v>5.5304163992392553E-2</v>
      </c>
      <c r="L82">
        <f t="shared" si="8"/>
        <v>5.1636358228964487E-2</v>
      </c>
      <c r="M82">
        <f t="shared" si="9"/>
        <v>5.5876626913730978E-2</v>
      </c>
      <c r="N82">
        <f t="shared" si="10"/>
        <v>5.5768123098098948E-2</v>
      </c>
      <c r="P82">
        <f t="shared" si="11"/>
        <v>75.169539860811383</v>
      </c>
      <c r="R82">
        <f t="shared" si="12"/>
        <v>71.786353261717693</v>
      </c>
      <c r="S82">
        <f t="shared" si="13"/>
        <v>72.388585170798024</v>
      </c>
      <c r="T82">
        <f t="shared" si="14"/>
        <v>67.025438689986174</v>
      </c>
    </row>
    <row r="83" spans="1:20">
      <c r="A83">
        <f t="shared" si="20"/>
        <v>-4.4400000000000333</v>
      </c>
      <c r="B83">
        <f t="shared" si="17"/>
        <v>3.6307805477007287E-5</v>
      </c>
      <c r="C83">
        <f t="shared" si="18"/>
        <v>149204.18379583207</v>
      </c>
      <c r="D83">
        <f t="shared" si="18"/>
        <v>37333415.895873994</v>
      </c>
      <c r="E83">
        <f t="shared" si="19"/>
        <v>9186637.0747450814</v>
      </c>
      <c r="F83">
        <f>+Intensity*Damp/(($B83/10-Shift)^2+Damp^2)</f>
        <v>9186284.9691164773</v>
      </c>
      <c r="G83">
        <f t="shared" si="15"/>
        <v>430411.64641851606</v>
      </c>
      <c r="H83">
        <f t="shared" si="16"/>
        <v>75931.342226779758</v>
      </c>
      <c r="I83">
        <v>41000000</v>
      </c>
      <c r="J83">
        <f t="shared" si="6"/>
        <v>27542.287033383825</v>
      </c>
      <c r="K83">
        <f t="shared" si="7"/>
        <v>5.404852628080422E-2</v>
      </c>
      <c r="L83">
        <f t="shared" si="8"/>
        <v>4.9215027078057062E-2</v>
      </c>
      <c r="M83">
        <f t="shared" si="9"/>
        <v>5.4279177282294241E-2</v>
      </c>
      <c r="N83">
        <f t="shared" si="10"/>
        <v>5.3993981353186928E-2</v>
      </c>
      <c r="P83">
        <f t="shared" si="11"/>
        <v>70.156500356879775</v>
      </c>
      <c r="R83">
        <f t="shared" si="12"/>
        <v>66.998937702030474</v>
      </c>
      <c r="S83">
        <f t="shared" si="13"/>
        <v>66.931323421700114</v>
      </c>
      <c r="T83">
        <f t="shared" si="14"/>
        <v>61.007297702723307</v>
      </c>
    </row>
    <row r="84" spans="1:20">
      <c r="A84">
        <f t="shared" si="20"/>
        <v>-4.4200000000000337</v>
      </c>
      <c r="B84">
        <f t="shared" si="17"/>
        <v>3.8018939632053135E-5</v>
      </c>
      <c r="C84">
        <f t="shared" si="18"/>
        <v>135453.14387558596</v>
      </c>
      <c r="D84">
        <f t="shared" si="18"/>
        <v>32522102.241654761</v>
      </c>
      <c r="E84">
        <f t="shared" si="19"/>
        <v>8077162.446520973</v>
      </c>
      <c r="F84">
        <f>+Intensity*Damp/(($B84/10-Shift)^2+Damp^2)</f>
        <v>8076750.7977153091</v>
      </c>
      <c r="G84">
        <f t="shared" si="15"/>
        <v>389282.52376214304</v>
      </c>
      <c r="H84">
        <f t="shared" si="16"/>
        <v>69244.307443198501</v>
      </c>
      <c r="I84">
        <v>36000000</v>
      </c>
      <c r="J84">
        <f t="shared" si="6"/>
        <v>26302.679918955884</v>
      </c>
      <c r="K84">
        <f t="shared" si="7"/>
        <v>5.2035831746845222E-2</v>
      </c>
      <c r="L84">
        <f t="shared" si="8"/>
        <v>4.7008740008345692E-2</v>
      </c>
      <c r="M84">
        <f t="shared" si="9"/>
        <v>5.2497010962180506E-2</v>
      </c>
      <c r="N84">
        <f t="shared" si="10"/>
        <v>5.2115600074481912E-2</v>
      </c>
      <c r="P84">
        <f t="shared" si="11"/>
        <v>64.503987238564406</v>
      </c>
      <c r="R84">
        <f t="shared" si="12"/>
        <v>61.600829581650451</v>
      </c>
      <c r="S84">
        <f t="shared" si="13"/>
        <v>61.695260572600432</v>
      </c>
      <c r="T84">
        <f t="shared" si="14"/>
        <v>55.649679939588523</v>
      </c>
    </row>
    <row r="85" spans="1:20">
      <c r="A85">
        <f t="shared" si="20"/>
        <v>-4.4000000000000341</v>
      </c>
      <c r="B85">
        <f t="shared" si="17"/>
        <v>3.9810717055346591E-5</v>
      </c>
      <c r="C85">
        <f t="shared" si="18"/>
        <v>122994.82205916452</v>
      </c>
      <c r="D85">
        <f t="shared" si="18"/>
        <v>28389386.090494577</v>
      </c>
      <c r="E85">
        <f t="shared" si="19"/>
        <v>7112557.2748582987</v>
      </c>
      <c r="F85">
        <f>+Intensity*Damp/(($B85/10-Shift)^2+Damp^2)</f>
        <v>7112109.7664610846</v>
      </c>
      <c r="G85">
        <f t="shared" si="15"/>
        <v>356279.92546560045</v>
      </c>
      <c r="H85">
        <f t="shared" si="16"/>
        <v>63146.650977902078</v>
      </c>
      <c r="I85">
        <v>32000000</v>
      </c>
      <c r="J85">
        <f t="shared" si="6"/>
        <v>25118.864315097777</v>
      </c>
      <c r="K85">
        <f t="shared" si="7"/>
        <v>5.071658215874765E-2</v>
      </c>
      <c r="L85">
        <f t="shared" si="8"/>
        <v>4.4994144752967993E-2</v>
      </c>
      <c r="M85">
        <f t="shared" si="9"/>
        <v>5.0603627152584187E-2</v>
      </c>
      <c r="N85">
        <f t="shared" si="10"/>
        <v>5.0197708491913677E-2</v>
      </c>
      <c r="P85">
        <f t="shared" si="11"/>
        <v>60.039081333874762</v>
      </c>
      <c r="R85">
        <f t="shared" si="12"/>
        <v>57.336877545388376</v>
      </c>
      <c r="S85">
        <f t="shared" si="13"/>
        <v>56.750272639646425</v>
      </c>
      <c r="T85">
        <f t="shared" si="14"/>
        <v>50.86746105810748</v>
      </c>
    </row>
    <row r="86" spans="1:20">
      <c r="A86">
        <f t="shared" si="20"/>
        <v>-4.3800000000000345</v>
      </c>
      <c r="B86">
        <f t="shared" si="17"/>
        <v>4.1686938347030177E-5</v>
      </c>
      <c r="C86">
        <f t="shared" si="18"/>
        <v>111704.37511210781</v>
      </c>
      <c r="D86">
        <f t="shared" si="18"/>
        <v>24830733.56958174</v>
      </c>
      <c r="E86">
        <f t="shared" si="19"/>
        <v>6272681.6527121896</v>
      </c>
      <c r="F86">
        <f>+Intensity*Damp/(($B86/10-Shift)^2+Damp^2)</f>
        <v>6272216.232830042</v>
      </c>
      <c r="G86">
        <f t="shared" si="15"/>
        <v>330159.8765130596</v>
      </c>
      <c r="H86">
        <f t="shared" si="16"/>
        <v>57586.347275228502</v>
      </c>
      <c r="I86">
        <v>28000000</v>
      </c>
      <c r="J86">
        <f t="shared" si="6"/>
        <v>23988.32919019684</v>
      </c>
      <c r="K86">
        <f t="shared" si="7"/>
        <v>4.8658423204974662E-2</v>
      </c>
      <c r="L86">
        <f t="shared" si="8"/>
        <v>4.3150869375667124E-2</v>
      </c>
      <c r="M86">
        <f t="shared" si="9"/>
        <v>4.8658742892316434E-2</v>
      </c>
      <c r="N86">
        <f t="shared" si="10"/>
        <v>4.8289202564352721E-2</v>
      </c>
      <c r="P86">
        <f t="shared" si="11"/>
        <v>55.010056555520798</v>
      </c>
      <c r="R86">
        <f t="shared" si="12"/>
        <v>52.534196167142305</v>
      </c>
      <c r="S86">
        <f t="shared" si="13"/>
        <v>52.135566119438501</v>
      </c>
      <c r="T86">
        <f t="shared" si="14"/>
        <v>46.587951011373313</v>
      </c>
    </row>
    <row r="87" spans="1:20">
      <c r="A87">
        <f t="shared" si="20"/>
        <v>-4.360000000000035</v>
      </c>
      <c r="B87">
        <f t="shared" si="17"/>
        <v>4.3651583224013063E-5</v>
      </c>
      <c r="C87">
        <f t="shared" si="18"/>
        <v>101469.44870102427</v>
      </c>
      <c r="D87">
        <f t="shared" si="18"/>
        <v>21759089.766541041</v>
      </c>
      <c r="E87">
        <f t="shared" si="19"/>
        <v>5540264.3569244817</v>
      </c>
      <c r="F87">
        <f>+Intensity*Damp/(($B87/10-Shift)^2+Damp^2)</f>
        <v>5539794.4138492001</v>
      </c>
      <c r="G87">
        <f t="shared" si="15"/>
        <v>309930.88791269966</v>
      </c>
      <c r="H87">
        <f t="shared" si="16"/>
        <v>52515.976454405441</v>
      </c>
      <c r="I87">
        <v>25000000</v>
      </c>
      <c r="J87">
        <f t="shared" si="6"/>
        <v>22908.676527679585</v>
      </c>
      <c r="K87">
        <f t="shared" si="7"/>
        <v>4.7636517949073469E-2</v>
      </c>
      <c r="L87">
        <f t="shared" si="8"/>
        <v>4.1461090808773325E-2</v>
      </c>
      <c r="M87">
        <f t="shared" si="9"/>
        <v>4.6708931111103504E-2</v>
      </c>
      <c r="N87">
        <f t="shared" si="10"/>
        <v>4.6425247916591583E-2</v>
      </c>
      <c r="P87">
        <f t="shared" si="11"/>
        <v>51.430893436766304</v>
      </c>
      <c r="R87">
        <f t="shared" si="12"/>
        <v>49.116121924570386</v>
      </c>
      <c r="S87">
        <f t="shared" si="13"/>
        <v>47.867229495813092</v>
      </c>
      <c r="T87">
        <f t="shared" si="14"/>
        <v>42.748884237644063</v>
      </c>
    </row>
    <row r="88" spans="1:20">
      <c r="A88">
        <f t="shared" si="20"/>
        <v>-4.3400000000000354</v>
      </c>
      <c r="B88">
        <f t="shared" si="17"/>
        <v>4.5708818961483715E-5</v>
      </c>
      <c r="C88">
        <f t="shared" si="18"/>
        <v>92188.87192920738</v>
      </c>
      <c r="D88">
        <f t="shared" si="18"/>
        <v>19101730.941361934</v>
      </c>
      <c r="E88">
        <f t="shared" si="19"/>
        <v>4900518.7128354218</v>
      </c>
      <c r="F88">
        <f>+Intensity*Damp/(($B88/10-Shift)^2+Damp^2)</f>
        <v>4900054.0478360485</v>
      </c>
      <c r="G88">
        <f t="shared" si="15"/>
        <v>294776.33250871429</v>
      </c>
      <c r="H88">
        <f t="shared" si="16"/>
        <v>47892.314362529163</v>
      </c>
      <c r="I88">
        <v>21000000</v>
      </c>
      <c r="J88">
        <f t="shared" si="6"/>
        <v>21877.61623949734</v>
      </c>
      <c r="K88">
        <f t="shared" si="7"/>
        <v>4.3875218747927554E-2</v>
      </c>
      <c r="L88">
        <f t="shared" si="8"/>
        <v>3.9909172548395766E-2</v>
      </c>
      <c r="M88">
        <f t="shared" si="9"/>
        <v>4.4789095803959282E-2</v>
      </c>
      <c r="N88">
        <f t="shared" si="10"/>
        <v>4.4629776662854524E-2</v>
      </c>
      <c r="P88">
        <f t="shared" si="11"/>
        <v>45.237995686299044</v>
      </c>
      <c r="R88">
        <f t="shared" si="12"/>
        <v>43.201950486885345</v>
      </c>
      <c r="S88">
        <f t="shared" si="13"/>
        <v>43.944929658509473</v>
      </c>
      <c r="T88">
        <f t="shared" si="14"/>
        <v>39.296763540120203</v>
      </c>
    </row>
    <row r="89" spans="1:20">
      <c r="A89">
        <f t="shared" si="20"/>
        <v>-4.3200000000000358</v>
      </c>
      <c r="B89">
        <f t="shared" si="17"/>
        <v>4.786300923225986E-5</v>
      </c>
      <c r="C89">
        <f t="shared" si="18"/>
        <v>83771.495579041934</v>
      </c>
      <c r="D89">
        <f t="shared" si="18"/>
        <v>16797722.638417721</v>
      </c>
      <c r="E89">
        <f t="shared" si="19"/>
        <v>4340794.3027319713</v>
      </c>
      <c r="F89">
        <f>+Intensity*Damp/(($B89/10-Shift)^2+Damp^2)</f>
        <v>4340341.9212785522</v>
      </c>
      <c r="G89">
        <f t="shared" si="15"/>
        <v>283965.93158750847</v>
      </c>
      <c r="H89">
        <f t="shared" si="16"/>
        <v>43675.959485986103</v>
      </c>
      <c r="I89">
        <v>18000000</v>
      </c>
      <c r="J89">
        <f t="shared" si="6"/>
        <v>20892.96130854213</v>
      </c>
      <c r="K89">
        <f t="shared" si="7"/>
        <v>4.1235617749813068E-2</v>
      </c>
      <c r="L89">
        <f t="shared" si="8"/>
        <v>3.8481359432509694E-2</v>
      </c>
      <c r="M89">
        <f t="shared" si="9"/>
        <v>4.2924299568562946E-2</v>
      </c>
      <c r="N89">
        <f t="shared" si="10"/>
        <v>4.291793054836536E-2</v>
      </c>
      <c r="P89">
        <f t="shared" si="11"/>
        <v>40.60285434833596</v>
      </c>
      <c r="R89">
        <f t="shared" si="12"/>
        <v>38.775424873969165</v>
      </c>
      <c r="S89">
        <f t="shared" si="13"/>
        <v>40.357367793572379</v>
      </c>
      <c r="T89">
        <f t="shared" si="14"/>
        <v>36.185490678874302</v>
      </c>
    </row>
    <row r="90" spans="1:20">
      <c r="A90">
        <f t="shared" si="20"/>
        <v>-4.3000000000000362</v>
      </c>
      <c r="B90">
        <f t="shared" si="17"/>
        <v>5.0118723362722969E-5</v>
      </c>
      <c r="C90">
        <f t="shared" si="18"/>
        <v>76135.157310516341</v>
      </c>
      <c r="D90">
        <f t="shared" si="18"/>
        <v>14795859.888698295</v>
      </c>
      <c r="E90">
        <f t="shared" si="19"/>
        <v>3850268.5415721424</v>
      </c>
      <c r="F90">
        <f>+Intensity*Damp/(($B90/10-Shift)^2+Damp^2)</f>
        <v>3849833.2887689401</v>
      </c>
      <c r="G90">
        <f t="shared" si="15"/>
        <v>276739.89867786539</v>
      </c>
      <c r="H90">
        <f t="shared" si="16"/>
        <v>39830.993345349743</v>
      </c>
      <c r="I90">
        <v>16000000</v>
      </c>
      <c r="J90">
        <f t="shared" si="6"/>
        <v>19952.623149690491</v>
      </c>
      <c r="K90">
        <f t="shared" si="7"/>
        <v>4.019018290414645E-2</v>
      </c>
      <c r="L90">
        <f t="shared" si="8"/>
        <v>3.7165519696931777E-2</v>
      </c>
      <c r="M90">
        <f t="shared" si="9"/>
        <v>4.113162546282851E-2</v>
      </c>
      <c r="N90">
        <f t="shared" si="10"/>
        <v>4.1298220572410012E-2</v>
      </c>
      <c r="P90">
        <f t="shared" si="11"/>
        <v>37.792362595997098</v>
      </c>
      <c r="R90">
        <f t="shared" si="12"/>
        <v>36.091426087411072</v>
      </c>
      <c r="S90">
        <f t="shared" si="13"/>
        <v>37.086461608935799</v>
      </c>
      <c r="T90">
        <f t="shared" si="14"/>
        <v>33.375230223290295</v>
      </c>
    </row>
    <row r="91" spans="1:20">
      <c r="A91">
        <f t="shared" si="20"/>
        <v>-4.2800000000000367</v>
      </c>
      <c r="B91">
        <f t="shared" si="17"/>
        <v>5.2480746024972787E-5</v>
      </c>
      <c r="C91">
        <f t="shared" si="18"/>
        <v>69205.759137193556</v>
      </c>
      <c r="D91">
        <f t="shared" si="18"/>
        <v>13052992.394902682</v>
      </c>
      <c r="E91">
        <f t="shared" si="19"/>
        <v>3419677.8596964208</v>
      </c>
      <c r="F91">
        <f>+Intensity*Damp/(($B91/10-Shift)^2+Damp^2)</f>
        <v>3419262.9256697679</v>
      </c>
      <c r="G91">
        <f t="shared" si="15"/>
        <v>272149.38083696365</v>
      </c>
      <c r="H91">
        <f t="shared" si="16"/>
        <v>36324.671317751672</v>
      </c>
      <c r="I91">
        <v>14000000</v>
      </c>
      <c r="J91">
        <f t="shared" si="6"/>
        <v>19054.607179634095</v>
      </c>
      <c r="K91">
        <f t="shared" si="7"/>
        <v>3.8559201846727759E-2</v>
      </c>
      <c r="L91">
        <f t="shared" si="8"/>
        <v>3.5950926318489632E-2</v>
      </c>
      <c r="M91">
        <f t="shared" si="9"/>
        <v>3.9421891353157393E-2</v>
      </c>
      <c r="N91">
        <f t="shared" si="10"/>
        <v>3.9774317753000936E-2</v>
      </c>
      <c r="P91">
        <f t="shared" si="11"/>
        <v>34.626779050988354</v>
      </c>
      <c r="R91">
        <f t="shared" si="12"/>
        <v>33.068317271496262</v>
      </c>
      <c r="S91">
        <f t="shared" si="13"/>
        <v>34.110398963695317</v>
      </c>
      <c r="T91">
        <f t="shared" si="14"/>
        <v>30.831463846933548</v>
      </c>
    </row>
    <row r="92" spans="1:20">
      <c r="A92">
        <f t="shared" si="20"/>
        <v>-4.2600000000000371</v>
      </c>
      <c r="B92">
        <f t="shared" si="17"/>
        <v>5.495408738575767E-5</v>
      </c>
      <c r="C92">
        <f t="shared" si="18"/>
        <v>62916.444301296193</v>
      </c>
      <c r="D92">
        <f t="shared" si="18"/>
        <v>11532658.245945558</v>
      </c>
      <c r="E92">
        <f t="shared" si="19"/>
        <v>3041085.9399484009</v>
      </c>
      <c r="F92">
        <f>+Intensity*Damp/(($B92/10-Shift)^2+Damp^2)</f>
        <v>3040693.2587128077</v>
      </c>
      <c r="G92">
        <f t="shared" si="15"/>
        <v>268854.59086704365</v>
      </c>
      <c r="H92">
        <f t="shared" si="16"/>
        <v>33127.141117984393</v>
      </c>
      <c r="I92">
        <v>13000000</v>
      </c>
      <c r="J92">
        <f t="shared" si="6"/>
        <v>18197.008586101419</v>
      </c>
      <c r="K92">
        <f t="shared" si="7"/>
        <v>3.9259372365219369E-2</v>
      </c>
      <c r="L92">
        <f t="shared" si="8"/>
        <v>3.4828071110645724E-2</v>
      </c>
      <c r="M92">
        <f t="shared" si="9"/>
        <v>3.7801131871352617E-2</v>
      </c>
      <c r="N92">
        <f t="shared" si="10"/>
        <v>3.8346473454463646E-2</v>
      </c>
      <c r="P92">
        <f t="shared" si="11"/>
        <v>33.66878252338882</v>
      </c>
      <c r="R92">
        <f t="shared" si="12"/>
        <v>32.153437690204484</v>
      </c>
      <c r="S92">
        <f t="shared" si="13"/>
        <v>31.405773209698321</v>
      </c>
      <c r="T92">
        <f t="shared" si="14"/>
        <v>28.524200639494882</v>
      </c>
    </row>
    <row r="93" spans="1:20">
      <c r="A93">
        <f t="shared" si="20"/>
        <v>-4.2400000000000375</v>
      </c>
      <c r="B93">
        <f t="shared" si="17"/>
        <v>5.7543993733710656E-5</v>
      </c>
      <c r="C93">
        <f t="shared" si="18"/>
        <v>57206.862235729641</v>
      </c>
      <c r="D93">
        <f t="shared" si="18"/>
        <v>10203965.745700134</v>
      </c>
      <c r="E93">
        <f t="shared" si="19"/>
        <v>2707685.3869985938</v>
      </c>
      <c r="F93">
        <f>+Intensity*Damp/(($B93/10-Shift)^2+Damp^2)</f>
        <v>2707315.9492376875</v>
      </c>
      <c r="G93">
        <f t="shared" si="15"/>
        <v>264945.5089581405</v>
      </c>
      <c r="H93">
        <f t="shared" si="16"/>
        <v>30211.18642849724</v>
      </c>
      <c r="I93">
        <v>11000000</v>
      </c>
      <c r="J93">
        <f t="shared" si="6"/>
        <v>17378.008287495275</v>
      </c>
      <c r="K93">
        <f t="shared" si="7"/>
        <v>3.6424423363078641E-2</v>
      </c>
      <c r="L93">
        <f t="shared" si="8"/>
        <v>3.3788506209430379E-2</v>
      </c>
      <c r="M93">
        <f t="shared" si="9"/>
        <v>3.6271824817845938E-2</v>
      </c>
      <c r="N93">
        <f t="shared" si="10"/>
        <v>3.7012609084455222E-2</v>
      </c>
      <c r="P93">
        <f t="shared" si="11"/>
        <v>29.831613610918208</v>
      </c>
      <c r="R93">
        <f t="shared" si="12"/>
        <v>28.488969827483043</v>
      </c>
      <c r="S93">
        <f t="shared" si="13"/>
        <v>28.949012944767894</v>
      </c>
      <c r="T93">
        <f t="shared" si="14"/>
        <v>26.427315659083789</v>
      </c>
    </row>
    <row r="94" spans="1:20">
      <c r="A94">
        <f t="shared" si="20"/>
        <v>-4.2200000000000379</v>
      </c>
      <c r="B94">
        <f t="shared" si="17"/>
        <v>6.0255958607430493E-5</v>
      </c>
      <c r="C94">
        <f t="shared" si="18"/>
        <v>52022.511665164864</v>
      </c>
      <c r="D94">
        <f t="shared" si="18"/>
        <v>9040675.4426531699</v>
      </c>
      <c r="E94">
        <f t="shared" si="19"/>
        <v>2413628.8618533872</v>
      </c>
      <c r="F94">
        <f>+Intensity*Damp/(($B94/10-Shift)^2+Damp^2)</f>
        <v>2413282.9588153432</v>
      </c>
      <c r="G94">
        <f t="shared" si="15"/>
        <v>257980.24386056222</v>
      </c>
      <c r="H94">
        <f t="shared" si="16"/>
        <v>27551.993402037726</v>
      </c>
      <c r="I94">
        <v>9000000</v>
      </c>
      <c r="J94">
        <f t="shared" si="6"/>
        <v>16595.86907437706</v>
      </c>
      <c r="K94">
        <f t="shared" si="7"/>
        <v>3.267702492930339E-2</v>
      </c>
      <c r="L94">
        <f t="shared" si="8"/>
        <v>3.2824708535257624E-2</v>
      </c>
      <c r="M94">
        <f t="shared" si="9"/>
        <v>3.4833873874037427E-2</v>
      </c>
      <c r="N94">
        <f t="shared" si="10"/>
        <v>3.5769130218145116E-2</v>
      </c>
      <c r="P94">
        <f t="shared" si="11"/>
        <v>25.557982565248579</v>
      </c>
      <c r="R94">
        <f t="shared" si="12"/>
        <v>24.407683863477526</v>
      </c>
      <c r="S94">
        <f t="shared" si="13"/>
        <v>26.717292174696713</v>
      </c>
      <c r="T94">
        <f t="shared" si="14"/>
        <v>24.517994235175927</v>
      </c>
    </row>
    <row r="95" spans="1:20">
      <c r="A95">
        <f t="shared" si="20"/>
        <v>-4.2000000000000384</v>
      </c>
      <c r="B95">
        <f t="shared" si="17"/>
        <v>6.3095734448013669E-5</v>
      </c>
      <c r="C95">
        <f t="shared" si="18"/>
        <v>47314.153088183601</v>
      </c>
      <c r="D95">
        <f t="shared" si="18"/>
        <v>8020444.2287227865</v>
      </c>
      <c r="E95">
        <f t="shared" si="19"/>
        <v>2153885.779005284</v>
      </c>
      <c r="F95">
        <f>+Intensity*Damp/(($B95/10-Shift)^2+Damp^2)</f>
        <v>2153563.1916841664</v>
      </c>
      <c r="G95">
        <f t="shared" si="15"/>
        <v>245544.76813134598</v>
      </c>
      <c r="H95">
        <f t="shared" si="16"/>
        <v>25126.93797158603</v>
      </c>
      <c r="I95">
        <v>7000000</v>
      </c>
      <c r="J95">
        <f t="shared" si="6"/>
        <v>15848.931924612556</v>
      </c>
      <c r="K95">
        <f t="shared" si="7"/>
        <v>2.7867501938739814E-2</v>
      </c>
      <c r="L95">
        <f t="shared" si="8"/>
        <v>3.1929963584783824E-2</v>
      </c>
      <c r="M95">
        <f t="shared" si="9"/>
        <v>3.3485376428837352E-2</v>
      </c>
      <c r="N95">
        <f t="shared" si="10"/>
        <v>3.461152110055616E-2</v>
      </c>
      <c r="P95">
        <f t="shared" si="11"/>
        <v>20.815272469180012</v>
      </c>
      <c r="R95">
        <f t="shared" si="12"/>
        <v>19.87843088408302</v>
      </c>
      <c r="S95">
        <f t="shared" si="13"/>
        <v>24.689070857619164</v>
      </c>
      <c r="T95">
        <f t="shared" si="14"/>
        <v>22.776263751472634</v>
      </c>
    </row>
    <row r="96" spans="1:20">
      <c r="A96">
        <f t="shared" si="20"/>
        <v>-4.1800000000000388</v>
      </c>
      <c r="B96">
        <f t="shared" si="17"/>
        <v>6.6069344800753671E-5</v>
      </c>
      <c r="C96">
        <f t="shared" si="18"/>
        <v>43037.282921576465</v>
      </c>
      <c r="D96">
        <f t="shared" si="18"/>
        <v>7124201.0565297613</v>
      </c>
      <c r="E96">
        <f t="shared" si="19"/>
        <v>1924120.9418896954</v>
      </c>
      <c r="F96">
        <f>+Intensity*Damp/(($B96/10-Shift)^2+Damp^2)</f>
        <v>1923821.0869975414</v>
      </c>
      <c r="G96">
        <f t="shared" si="15"/>
        <v>226406.74654433399</v>
      </c>
      <c r="H96">
        <f t="shared" si="16"/>
        <v>22915.392092805563</v>
      </c>
      <c r="I96">
        <v>6000000</v>
      </c>
      <c r="J96">
        <f t="shared" si="6"/>
        <v>15135.612484363441</v>
      </c>
      <c r="K96">
        <f t="shared" si="7"/>
        <v>2.6190949934405256E-2</v>
      </c>
      <c r="L96">
        <f t="shared" si="8"/>
        <v>3.1098265532368004E-2</v>
      </c>
      <c r="M96">
        <f t="shared" si="9"/>
        <v>3.222321111013067E-2</v>
      </c>
      <c r="N96">
        <f t="shared" si="10"/>
        <v>3.3534769563439745E-2</v>
      </c>
      <c r="P96">
        <f t="shared" si="11"/>
        <v>18.682513746801753</v>
      </c>
      <c r="R96">
        <f t="shared" si="12"/>
        <v>17.841662116439274</v>
      </c>
      <c r="S96">
        <f t="shared" si="13"/>
        <v>22.844380566646684</v>
      </c>
      <c r="T96">
        <f t="shared" si="14"/>
        <v>21.184598016697283</v>
      </c>
    </row>
    <row r="97" spans="1:20">
      <c r="A97">
        <f t="shared" si="20"/>
        <v>-4.1600000000000392</v>
      </c>
      <c r="B97">
        <f t="shared" si="17"/>
        <v>6.9183097091887296E-5</v>
      </c>
      <c r="C97">
        <f t="shared" si="18"/>
        <v>39151.662496362718</v>
      </c>
      <c r="D97">
        <f t="shared" si="18"/>
        <v>6335629.8773613889</v>
      </c>
      <c r="E97">
        <f t="shared" si="19"/>
        <v>1720591.8661815424</v>
      </c>
      <c r="F97">
        <f>+Intensity*Damp/(($B97/10-Shift)^2+Damp^2)</f>
        <v>1720313.908153001</v>
      </c>
      <c r="G97">
        <f t="shared" si="15"/>
        <v>201568.87818835798</v>
      </c>
      <c r="H97">
        <f t="shared" si="16"/>
        <v>20898.547216558858</v>
      </c>
      <c r="I97">
        <v>5500000</v>
      </c>
      <c r="J97">
        <f t="shared" si="6"/>
        <v>14454.397707460603</v>
      </c>
      <c r="K97">
        <f t="shared" si="7"/>
        <v>2.6324655077740275E-2</v>
      </c>
      <c r="L97">
        <f t="shared" si="8"/>
        <v>3.0324231131229906E-2</v>
      </c>
      <c r="M97">
        <f t="shared" si="9"/>
        <v>3.104347915406766E-2</v>
      </c>
      <c r="N97">
        <f t="shared" si="10"/>
        <v>3.2533664056186462E-2</v>
      </c>
      <c r="P97">
        <f t="shared" si="11"/>
        <v>17.932744035827813</v>
      </c>
      <c r="R97">
        <f t="shared" si="12"/>
        <v>17.125637601235695</v>
      </c>
      <c r="S97">
        <f t="shared" si="13"/>
        <v>21.164939818631197</v>
      </c>
      <c r="T97">
        <f t="shared" si="14"/>
        <v>19.727582046409545</v>
      </c>
    </row>
    <row r="98" spans="1:20">
      <c r="A98">
        <f t="shared" si="20"/>
        <v>-4.1400000000000396</v>
      </c>
      <c r="B98">
        <f t="shared" si="17"/>
        <v>7.2443596007492353E-5</v>
      </c>
      <c r="C98">
        <f t="shared" si="18"/>
        <v>35620.895890328051</v>
      </c>
      <c r="D98">
        <f t="shared" si="18"/>
        <v>5640740.1884890627</v>
      </c>
      <c r="E98">
        <f t="shared" si="19"/>
        <v>1540061.9411091683</v>
      </c>
      <c r="F98">
        <f>+Intensity*Damp/(($B98/10-Shift)^2+Damp^2)</f>
        <v>1539804.8775056177</v>
      </c>
      <c r="G98">
        <f t="shared" si="15"/>
        <v>174078.24193441615</v>
      </c>
      <c r="H98">
        <f t="shared" si="16"/>
        <v>19059.253444964779</v>
      </c>
      <c r="I98">
        <v>5000000</v>
      </c>
      <c r="J98">
        <f t="shared" si="6"/>
        <v>13803.842646030116</v>
      </c>
      <c r="K98">
        <f t="shared" si="7"/>
        <v>2.624037301248381E-2</v>
      </c>
      <c r="L98">
        <f t="shared" si="8"/>
        <v>2.9603025322492246E-2</v>
      </c>
      <c r="M98">
        <f t="shared" si="9"/>
        <v>2.9941830230235715E-2</v>
      </c>
      <c r="N98">
        <f t="shared" si="10"/>
        <v>3.1602996031710733E-2</v>
      </c>
      <c r="P98">
        <f t="shared" si="11"/>
        <v>17.070807477094519</v>
      </c>
      <c r="R98">
        <f t="shared" si="12"/>
        <v>16.302494578024611</v>
      </c>
      <c r="S98">
        <f t="shared" si="13"/>
        <v>19.634159591069395</v>
      </c>
      <c r="T98">
        <f t="shared" si="14"/>
        <v>18.391627267777693</v>
      </c>
    </row>
    <row r="99" spans="1:20">
      <c r="A99">
        <f t="shared" si="20"/>
        <v>-4.1200000000000401</v>
      </c>
      <c r="B99">
        <f t="shared" si="17"/>
        <v>7.5857757502911257E-5</v>
      </c>
      <c r="C99">
        <f t="shared" si="18"/>
        <v>32412.051278805273</v>
      </c>
      <c r="D99">
        <f t="shared" si="18"/>
        <v>5027509.3761507021</v>
      </c>
      <c r="E99">
        <f t="shared" si="19"/>
        <v>1379726.9681922449</v>
      </c>
      <c r="F99">
        <f>+Intensity*Damp/(($B99/10-Shift)^2+Damp^2)</f>
        <v>1379489.6943442929</v>
      </c>
      <c r="G99">
        <f t="shared" si="15"/>
        <v>147506.28918627856</v>
      </c>
      <c r="H99">
        <f t="shared" si="16"/>
        <v>17381.87296566337</v>
      </c>
      <c r="I99">
        <v>4000000</v>
      </c>
      <c r="J99">
        <f t="shared" si="6"/>
        <v>13182.567385565308</v>
      </c>
      <c r="K99">
        <f t="shared" si="7"/>
        <v>2.3017597493481957E-2</v>
      </c>
      <c r="L99">
        <f t="shared" si="8"/>
        <v>2.8930296803735857E-2</v>
      </c>
      <c r="M99">
        <f t="shared" si="9"/>
        <v>2.8913698680017693E-2</v>
      </c>
      <c r="N99">
        <f t="shared" si="10"/>
        <v>3.0737693395006965E-2</v>
      </c>
      <c r="P99">
        <f t="shared" si="11"/>
        <v>14.300263878037715</v>
      </c>
      <c r="R99">
        <f t="shared" si="12"/>
        <v>13.656645981676148</v>
      </c>
      <c r="S99">
        <f t="shared" si="13"/>
        <v>18.237081307368651</v>
      </c>
      <c r="T99">
        <f t="shared" si="14"/>
        <v>17.164728929911906</v>
      </c>
    </row>
    <row r="100" spans="1:20">
      <c r="A100">
        <f t="shared" si="20"/>
        <v>-4.1000000000000405</v>
      </c>
      <c r="B100">
        <f t="shared" si="17"/>
        <v>7.9432823472420686E-5</v>
      </c>
      <c r="C100">
        <f t="shared" si="18"/>
        <v>29495.321096866104</v>
      </c>
      <c r="D100">
        <f t="shared" si="18"/>
        <v>4485584.063528535</v>
      </c>
      <c r="E100">
        <f t="shared" si="19"/>
        <v>1237152.9751965341</v>
      </c>
      <c r="F100">
        <f>+Intensity*Damp/(($B100/10-Shift)^2+Damp^2)</f>
        <v>1236934.3326928869</v>
      </c>
      <c r="G100">
        <f t="shared" si="15"/>
        <v>124434.66031669677</v>
      </c>
      <c r="H100">
        <f t="shared" si="16"/>
        <v>15852.146486855367</v>
      </c>
      <c r="I100">
        <v>3500000</v>
      </c>
      <c r="J100">
        <f t="shared" si="6"/>
        <v>12589.254117942855</v>
      </c>
      <c r="K100">
        <f t="shared" si="7"/>
        <v>2.2083507056802613E-2</v>
      </c>
      <c r="L100">
        <f t="shared" si="8"/>
        <v>2.8302122091661067E-2</v>
      </c>
      <c r="M100">
        <f t="shared" si="9"/>
        <v>2.7954471372559887E-2</v>
      </c>
      <c r="N100">
        <f t="shared" si="10"/>
        <v>2.9932904467012252E-2</v>
      </c>
      <c r="P100">
        <f t="shared" si="11"/>
        <v>13.102437732435</v>
      </c>
      <c r="R100">
        <f t="shared" si="12"/>
        <v>12.512730893282958</v>
      </c>
      <c r="S100">
        <f t="shared" si="13"/>
        <v>16.960276168394977</v>
      </c>
      <c r="T100">
        <f t="shared" si="14"/>
        <v>16.03625893889463</v>
      </c>
    </row>
    <row r="101" spans="1:20">
      <c r="A101">
        <f t="shared" si="20"/>
        <v>-4.0800000000000409</v>
      </c>
      <c r="B101">
        <f t="shared" si="17"/>
        <v>8.3176377110259257E-5</v>
      </c>
      <c r="C101">
        <f t="shared" si="18"/>
        <v>26843.71684317472</v>
      </c>
      <c r="D101">
        <f t="shared" si="18"/>
        <v>4006030.0871565151</v>
      </c>
      <c r="E101">
        <f t="shared" si="19"/>
        <v>1110223.5224066351</v>
      </c>
      <c r="F101">
        <f>+Intensity*Damp/(($B101/10-Shift)^2+Damp^2)</f>
        <v>1110022.3350538732</v>
      </c>
      <c r="G101">
        <f t="shared" si="15"/>
        <v>105987.31819164823</v>
      </c>
      <c r="H101">
        <f t="shared" si="16"/>
        <v>14457.071511629081</v>
      </c>
      <c r="I101">
        <v>3000000</v>
      </c>
      <c r="J101">
        <f t="shared" si="6"/>
        <v>12022.644346175262</v>
      </c>
      <c r="K101">
        <f t="shared" si="7"/>
        <v>2.075492912756418E-2</v>
      </c>
      <c r="L101">
        <f t="shared" si="8"/>
        <v>2.7714956847274409E-2</v>
      </c>
      <c r="M101">
        <f t="shared" si="9"/>
        <v>2.7059604055189885E-2</v>
      </c>
      <c r="N101">
        <f t="shared" si="10"/>
        <v>2.9184046942509163E-2</v>
      </c>
      <c r="P101">
        <f t="shared" si="11"/>
        <v>11.759945656021269</v>
      </c>
      <c r="R101">
        <f t="shared" si="12"/>
        <v>11.230660913515328</v>
      </c>
      <c r="S101">
        <f t="shared" si="13"/>
        <v>15.791725102069764</v>
      </c>
      <c r="T101">
        <f t="shared" si="14"/>
        <v>14.996788506065027</v>
      </c>
    </row>
    <row r="102" spans="1:20">
      <c r="A102">
        <f t="shared" si="20"/>
        <v>-4.0600000000000414</v>
      </c>
      <c r="B102">
        <f t="shared" si="17"/>
        <v>8.709635899559968E-5</v>
      </c>
      <c r="C102">
        <f t="shared" si="18"/>
        <v>24432.794828001479</v>
      </c>
      <c r="D102">
        <f t="shared" si="18"/>
        <v>3581122.6590430578</v>
      </c>
      <c r="E102">
        <f t="shared" si="19"/>
        <v>997094.99674559291</v>
      </c>
      <c r="F102">
        <f>+Intensity*Damp/(($B102/10-Shift)^2+Damp^2)</f>
        <v>996910.0968424509</v>
      </c>
      <c r="G102">
        <f t="shared" si="15"/>
        <v>92204.386169978723</v>
      </c>
      <c r="H102">
        <f t="shared" si="16"/>
        <v>13184.791395228329</v>
      </c>
      <c r="I102">
        <v>2600000</v>
      </c>
      <c r="J102">
        <f t="shared" si="6"/>
        <v>11481.536214969932</v>
      </c>
      <c r="K102">
        <f t="shared" si="7"/>
        <v>1.9723016950754981E-2</v>
      </c>
      <c r="L102">
        <f t="shared" si="8"/>
        <v>2.7165593425784226E-2</v>
      </c>
      <c r="M102">
        <f t="shared" si="9"/>
        <v>2.6224699376149962E-2</v>
      </c>
      <c r="N102">
        <f t="shared" si="10"/>
        <v>2.848683247822778E-2</v>
      </c>
      <c r="P102">
        <f t="shared" si="11"/>
        <v>10.672284843954504</v>
      </c>
      <c r="R102">
        <f t="shared" si="12"/>
        <v>10.191952901885479</v>
      </c>
      <c r="S102">
        <f t="shared" si="13"/>
        <v>14.720691852920872</v>
      </c>
      <c r="T102">
        <f t="shared" si="14"/>
        <v>14.037935952631438</v>
      </c>
    </row>
    <row r="103" spans="1:20">
      <c r="A103">
        <f t="shared" si="20"/>
        <v>-4.0400000000000418</v>
      </c>
      <c r="B103">
        <f t="shared" si="17"/>
        <v>9.1201083935582182E-5</v>
      </c>
      <c r="C103">
        <f t="shared" si="18"/>
        <v>22240.409583611865</v>
      </c>
      <c r="D103">
        <f t="shared" si="18"/>
        <v>3204169.8256565481</v>
      </c>
      <c r="E103">
        <f t="shared" si="19"/>
        <v>896158.6285228529</v>
      </c>
      <c r="F103">
        <f>+Intensity*Damp/(($B103/10-Shift)^2+Damp^2)</f>
        <v>895988.87567510549</v>
      </c>
      <c r="G103">
        <f t="shared" si="15"/>
        <v>82595.783966904273</v>
      </c>
      <c r="H103">
        <f t="shared" si="16"/>
        <v>12024.494224317907</v>
      </c>
      <c r="I103">
        <v>2200000</v>
      </c>
      <c r="J103">
        <f t="shared" si="6"/>
        <v>10964.781961432907</v>
      </c>
      <c r="K103">
        <f t="shared" si="7"/>
        <v>1.8298802964255234E-2</v>
      </c>
      <c r="L103">
        <f t="shared" si="8"/>
        <v>2.6651123774409643E-2</v>
      </c>
      <c r="M103">
        <f t="shared" si="9"/>
        <v>2.544555671960836E-2</v>
      </c>
      <c r="N103">
        <f t="shared" si="10"/>
        <v>2.7837274638453386E-2</v>
      </c>
      <c r="P103">
        <f t="shared" si="11"/>
        <v>9.4559842664144433</v>
      </c>
      <c r="R103">
        <f t="shared" si="12"/>
        <v>9.0303948679611636</v>
      </c>
      <c r="S103">
        <f t="shared" si="13"/>
        <v>13.737597072560545</v>
      </c>
      <c r="T103">
        <f t="shared" si="14"/>
        <v>13.152235795311322</v>
      </c>
    </row>
    <row r="104" spans="1:20">
      <c r="A104">
        <f t="shared" si="20"/>
        <v>-4.0200000000000422</v>
      </c>
      <c r="B104">
        <f t="shared" si="17"/>
        <v>9.5499258602134202E-5</v>
      </c>
      <c r="C104">
        <f t="shared" si="18"/>
        <v>20246.492021565176</v>
      </c>
      <c r="D104">
        <f t="shared" si="18"/>
        <v>2869363.5871654856</v>
      </c>
      <c r="E104">
        <f t="shared" si="19"/>
        <v>806008.16910049191</v>
      </c>
      <c r="F104">
        <f>+Intensity*Damp/(($B104/10-Shift)^2+Damp^2)</f>
        <v>805852.4633159173</v>
      </c>
      <c r="G104">
        <f t="shared" si="15"/>
        <v>76500.68091719893</v>
      </c>
      <c r="H104">
        <f t="shared" si="16"/>
        <v>10966.320643896823</v>
      </c>
      <c r="I104">
        <v>2000000</v>
      </c>
      <c r="J104">
        <f t="shared" si="6"/>
        <v>10471.285480510025</v>
      </c>
      <c r="K104">
        <f t="shared" si="7"/>
        <v>1.8240216787114606E-2</v>
      </c>
      <c r="L104">
        <f t="shared" si="8"/>
        <v>2.616890693547564E-2</v>
      </c>
      <c r="M104">
        <f t="shared" si="9"/>
        <v>2.4718201564723232E-2</v>
      </c>
      <c r="N104">
        <f t="shared" si="10"/>
        <v>2.723168575599522E-2</v>
      </c>
      <c r="P104">
        <f t="shared" si="11"/>
        <v>9.0014827957118744</v>
      </c>
      <c r="R104">
        <f t="shared" si="12"/>
        <v>8.5963493331043495</v>
      </c>
      <c r="S104">
        <f t="shared" si="13"/>
        <v>12.833898106585366</v>
      </c>
      <c r="T104">
        <f t="shared" si="14"/>
        <v>12.333025879481966</v>
      </c>
    </row>
    <row r="105" spans="1:20">
      <c r="A105">
        <f t="shared" si="20"/>
        <v>-4.0000000000000426</v>
      </c>
      <c r="B105">
        <f t="shared" si="17"/>
        <v>9.9999999999990139E-5</v>
      </c>
      <c r="C105">
        <f t="shared" si="18"/>
        <v>18432.849744589043</v>
      </c>
      <c r="D105">
        <f t="shared" si="18"/>
        <v>2571654.0524264062</v>
      </c>
      <c r="E105">
        <f t="shared" si="19"/>
        <v>725412.33964585641</v>
      </c>
      <c r="F105">
        <f>+Intensity*Damp/(($B105/10-Shift)^2+Damp^2)</f>
        <v>725269.6300661338</v>
      </c>
      <c r="G105">
        <f t="shared" si="15"/>
        <v>73180.326988038811</v>
      </c>
      <c r="H105">
        <f t="shared" si="16"/>
        <v>10001.279836141002</v>
      </c>
      <c r="I105">
        <v>1850000</v>
      </c>
      <c r="J105">
        <f t="shared" si="6"/>
        <v>10000.000000000986</v>
      </c>
      <c r="K105">
        <f t="shared" si="7"/>
        <v>1.8499999999996349E-2</v>
      </c>
      <c r="L105">
        <f t="shared" si="8"/>
        <v>2.5716540524258986E-2</v>
      </c>
      <c r="M105">
        <f t="shared" si="9"/>
        <v>2.4038900176904514E-2</v>
      </c>
      <c r="N105">
        <f t="shared" si="10"/>
        <v>2.6666666666667834E-2</v>
      </c>
      <c r="P105">
        <f t="shared" si="11"/>
        <v>8.7187813894155433</v>
      </c>
      <c r="R105">
        <f t="shared" si="12"/>
        <v>8.3263715860335044</v>
      </c>
      <c r="S105">
        <f t="shared" si="13"/>
        <v>12.00197706095209</v>
      </c>
      <c r="T105">
        <f t="shared" si="14"/>
        <v>11.574349854719538</v>
      </c>
    </row>
    <row r="106" spans="1:20">
      <c r="A106">
        <f t="shared" si="20"/>
        <v>-3.9800000000000426</v>
      </c>
      <c r="B106">
        <f t="shared" si="17"/>
        <v>1.0471285480507962E-4</v>
      </c>
      <c r="C106">
        <f t="shared" si="18"/>
        <v>16782.98720602661</v>
      </c>
      <c r="D106">
        <f t="shared" si="18"/>
        <v>2306642.82553988</v>
      </c>
      <c r="E106">
        <f t="shared" si="19"/>
        <v>653291.3055874859</v>
      </c>
      <c r="F106">
        <f>+Intensity*Damp/(($B106/10-Shift)^2+Damp^2)</f>
        <v>653160.59591356828</v>
      </c>
      <c r="G106">
        <f t="shared" si="15"/>
        <v>71671.770290805071</v>
      </c>
      <c r="H106">
        <f t="shared" si="16"/>
        <v>9121.1729268880517</v>
      </c>
      <c r="I106">
        <v>1700000</v>
      </c>
      <c r="J106">
        <f t="shared" si="6"/>
        <v>9549.9258602153022</v>
      </c>
      <c r="K106">
        <f t="shared" si="7"/>
        <v>1.8640129334430468E-2</v>
      </c>
      <c r="L106">
        <f t="shared" si="8"/>
        <v>2.5291835644940877E-2</v>
      </c>
      <c r="M106">
        <f t="shared" si="9"/>
        <v>2.3404163968269862E-2</v>
      </c>
      <c r="N106">
        <f t="shared" si="10"/>
        <v>2.6139092106509554E-2</v>
      </c>
      <c r="P106">
        <f t="shared" si="11"/>
        <v>8.3894401756876409</v>
      </c>
      <c r="R106">
        <f t="shared" si="12"/>
        <v>8.01185316865209</v>
      </c>
      <c r="S106">
        <f t="shared" si="13"/>
        <v>11.235038349889544</v>
      </c>
      <c r="T106">
        <f t="shared" si="14"/>
        <v>10.870872723970761</v>
      </c>
    </row>
    <row r="107" spans="1:20">
      <c r="A107">
        <f t="shared" si="20"/>
        <v>-3.9600000000000426</v>
      </c>
      <c r="B107">
        <f t="shared" si="17"/>
        <v>1.0964781961430765E-4</v>
      </c>
      <c r="C107">
        <f t="shared" si="18"/>
        <v>15281.943662041404</v>
      </c>
      <c r="D107">
        <f t="shared" si="18"/>
        <v>2070492.4865210252</v>
      </c>
      <c r="E107">
        <f t="shared" si="19"/>
        <v>588696.55237993645</v>
      </c>
      <c r="F107">
        <f>+Intensity*Damp/(($B107/10-Shift)^2+Damp^2)</f>
        <v>588576.90381206328</v>
      </c>
      <c r="G107">
        <f t="shared" si="15"/>
        <v>70508.155220271932</v>
      </c>
      <c r="H107">
        <f t="shared" si="16"/>
        <v>8318.5231603810171</v>
      </c>
      <c r="I107">
        <v>1570000</v>
      </c>
      <c r="J107">
        <f t="shared" si="6"/>
        <v>9120.10839356</v>
      </c>
      <c r="K107">
        <f t="shared" si="7"/>
        <v>1.8875551623489646E-2</v>
      </c>
      <c r="L107">
        <f t="shared" si="8"/>
        <v>2.4892794786863088E-2</v>
      </c>
      <c r="M107">
        <f t="shared" si="9"/>
        <v>2.2810746739757162E-2</v>
      </c>
      <c r="N107">
        <f t="shared" si="10"/>
        <v>2.5646093713319613E-2</v>
      </c>
      <c r="P107">
        <f t="shared" si="11"/>
        <v>8.1130417805297022</v>
      </c>
      <c r="R107">
        <f t="shared" si="12"/>
        <v>7.747894750488018</v>
      </c>
      <c r="S107">
        <f t="shared" si="13"/>
        <v>10.527016047821188</v>
      </c>
      <c r="T107">
        <f t="shared" si="14"/>
        <v>10.217807558752314</v>
      </c>
    </row>
    <row r="108" spans="1:20">
      <c r="A108">
        <f t="shared" si="20"/>
        <v>-3.9400000000000426</v>
      </c>
      <c r="B108">
        <f t="shared" si="17"/>
        <v>1.1481536214967688E-4</v>
      </c>
      <c r="C108">
        <f t="shared" si="18"/>
        <v>13916.147084891245</v>
      </c>
      <c r="D108">
        <f t="shared" si="18"/>
        <v>1859849.571981455</v>
      </c>
      <c r="E108">
        <f t="shared" si="19"/>
        <v>530793.63930189912</v>
      </c>
      <c r="F108">
        <f>+Intensity*Damp/(($B108/10-Shift)^2+Damp^2)</f>
        <v>530684.17163108627</v>
      </c>
      <c r="G108">
        <f t="shared" si="15"/>
        <v>67737.65079340442</v>
      </c>
      <c r="H108">
        <f t="shared" si="16"/>
        <v>7586.5122418874371</v>
      </c>
      <c r="I108">
        <v>1450000</v>
      </c>
      <c r="J108">
        <f t="shared" si="6"/>
        <v>8709.6358995616702</v>
      </c>
      <c r="K108">
        <f t="shared" si="7"/>
        <v>1.911472270906411E-2</v>
      </c>
      <c r="L108">
        <f t="shared" si="8"/>
        <v>2.4517592309653162E-2</v>
      </c>
      <c r="M108">
        <f t="shared" si="9"/>
        <v>2.2255637165198645E-2</v>
      </c>
      <c r="N108">
        <f t="shared" si="10"/>
        <v>2.5185041963670236E-2</v>
      </c>
      <c r="P108">
        <f t="shared" si="11"/>
        <v>7.84606790247605</v>
      </c>
      <c r="R108">
        <f t="shared" si="12"/>
        <v>7.492936676285388</v>
      </c>
      <c r="S108">
        <f t="shared" si="13"/>
        <v>9.8724908279148575</v>
      </c>
      <c r="T108">
        <f t="shared" si="14"/>
        <v>9.6108517726024321</v>
      </c>
    </row>
    <row r="109" spans="1:20">
      <c r="A109">
        <f t="shared" si="20"/>
        <v>-3.9200000000000426</v>
      </c>
      <c r="B109">
        <f t="shared" si="17"/>
        <v>1.2022644346172933E-4</v>
      </c>
      <c r="C109">
        <f t="shared" si="18"/>
        <v>12673.282403172747</v>
      </c>
      <c r="D109">
        <f t="shared" si="18"/>
        <v>1671778.9056905245</v>
      </c>
      <c r="E109">
        <f t="shared" si="19"/>
        <v>478847.39241487248</v>
      </c>
      <c r="F109">
        <f>+Intensity*Damp/(($B109/10-Shift)^2+Damp^2)</f>
        <v>478747.28375853447</v>
      </c>
      <c r="G109">
        <f t="shared" si="15"/>
        <v>61960.319439282997</v>
      </c>
      <c r="H109">
        <f t="shared" si="16"/>
        <v>6918.9223014515874</v>
      </c>
      <c r="I109">
        <v>1200000</v>
      </c>
      <c r="J109">
        <f t="shared" si="6"/>
        <v>8317.6377110275371</v>
      </c>
      <c r="K109">
        <f t="shared" si="7"/>
        <v>1.7345277248947681E-2</v>
      </c>
      <c r="L109">
        <f t="shared" si="8"/>
        <v>2.4164557181787085E-2</v>
      </c>
      <c r="M109">
        <f t="shared" si="9"/>
        <v>2.1736048236492479E-2</v>
      </c>
      <c r="N109">
        <f t="shared" si="10"/>
        <v>2.4753527939909221E-2</v>
      </c>
      <c r="P109">
        <f t="shared" si="11"/>
        <v>6.7993172612098363</v>
      </c>
      <c r="R109">
        <f t="shared" si="12"/>
        <v>6.4932975744629573</v>
      </c>
      <c r="S109">
        <f t="shared" si="13"/>
        <v>9.2666159568804254</v>
      </c>
      <c r="T109">
        <f t="shared" si="14"/>
        <v>9.0461315944655158</v>
      </c>
    </row>
    <row r="110" spans="1:20">
      <c r="A110">
        <f t="shared" si="20"/>
        <v>-3.9000000000000425</v>
      </c>
      <c r="B110">
        <f t="shared" si="17"/>
        <v>1.2589254117940419E-4</v>
      </c>
      <c r="C110">
        <f t="shared" si="18"/>
        <v>11542.172610082904</v>
      </c>
      <c r="D110">
        <f t="shared" si="18"/>
        <v>1503707.4925863256</v>
      </c>
      <c r="E110">
        <f t="shared" si="19"/>
        <v>432209.16821796237</v>
      </c>
      <c r="F110">
        <f>+Intensity*Damp/(($B110/10-Shift)^2+Damp^2)</f>
        <v>432117.65377959685</v>
      </c>
      <c r="G110">
        <f t="shared" si="15"/>
        <v>53800.795895998715</v>
      </c>
      <c r="H110">
        <f t="shared" si="16"/>
        <v>6310.0829808234275</v>
      </c>
      <c r="I110">
        <v>1000000</v>
      </c>
      <c r="J110">
        <f t="shared" si="6"/>
        <v>7943.2823472436057</v>
      </c>
      <c r="K110">
        <f t="shared" si="7"/>
        <v>1.5848931924607981E-2</v>
      </c>
      <c r="L110">
        <f t="shared" si="8"/>
        <v>2.3832157684523635E-2</v>
      </c>
      <c r="M110">
        <f t="shared" si="9"/>
        <v>2.1249404909547739E-2</v>
      </c>
      <c r="N110">
        <f t="shared" si="10"/>
        <v>2.4349345511561562E-2</v>
      </c>
      <c r="P110">
        <f t="shared" si="11"/>
        <v>5.9331326762236172</v>
      </c>
      <c r="R110">
        <f t="shared" si="12"/>
        <v>5.6660977176750746</v>
      </c>
      <c r="S110">
        <f t="shared" si="13"/>
        <v>8.7050516518231138</v>
      </c>
      <c r="T110">
        <f t="shared" si="14"/>
        <v>8.5201535917942888</v>
      </c>
    </row>
    <row r="111" spans="1:20">
      <c r="A111">
        <f t="shared" si="20"/>
        <v>-3.8800000000000425</v>
      </c>
      <c r="B111">
        <f t="shared" si="17"/>
        <v>1.3182567385562781E-4</v>
      </c>
      <c r="C111">
        <f t="shared" si="18"/>
        <v>10512.671436133349</v>
      </c>
      <c r="D111">
        <f t="shared" si="18"/>
        <v>1353376.4885029646</v>
      </c>
      <c r="E111">
        <f t="shared" si="19"/>
        <v>390305.87826456898</v>
      </c>
      <c r="F111">
        <f>+Intensity*Damp/(($B111/10-Shift)^2+Damp^2)</f>
        <v>390222.2484093965</v>
      </c>
      <c r="G111">
        <f t="shared" si="15"/>
        <v>45497.807025416871</v>
      </c>
      <c r="H111">
        <f t="shared" si="16"/>
        <v>5754.8231899868269</v>
      </c>
      <c r="I111">
        <v>850000</v>
      </c>
      <c r="J111">
        <f t="shared" si="6"/>
        <v>7585.7757502925797</v>
      </c>
      <c r="K111">
        <f t="shared" si="7"/>
        <v>1.4771307044366799E-2</v>
      </c>
      <c r="L111">
        <f t="shared" si="8"/>
        <v>2.3518987833299112E-2</v>
      </c>
      <c r="M111">
        <f t="shared" si="9"/>
        <v>2.0793330834152891E-2</v>
      </c>
      <c r="N111">
        <f t="shared" si="10"/>
        <v>2.3970474297077951E-2</v>
      </c>
      <c r="P111">
        <f t="shared" si="11"/>
        <v>5.2808397139500594</v>
      </c>
      <c r="R111">
        <f t="shared" si="12"/>
        <v>5.0431627747898675</v>
      </c>
      <c r="S111">
        <f t="shared" si="13"/>
        <v>8.1839070372030776</v>
      </c>
      <c r="T111">
        <f t="shared" si="14"/>
        <v>8.0297622671693869</v>
      </c>
    </row>
    <row r="112" spans="1:20">
      <c r="A112">
        <f t="shared" si="20"/>
        <v>-3.8600000000000425</v>
      </c>
      <c r="B112">
        <f t="shared" si="17"/>
        <v>1.3803842646027494E-4</v>
      </c>
      <c r="C112">
        <f t="shared" si="18"/>
        <v>9575.5664207364334</v>
      </c>
      <c r="D112">
        <f t="shared" si="18"/>
        <v>1218800.0037920098</v>
      </c>
      <c r="E112">
        <f t="shared" si="19"/>
        <v>352630.51401295402</v>
      </c>
      <c r="F112">
        <f>+Intensity*Damp/(($B112/10-Shift)^2+Damp^2)</f>
        <v>352554.1118827067</v>
      </c>
      <c r="G112">
        <f t="shared" si="15"/>
        <v>38931.81892425775</v>
      </c>
      <c r="H112">
        <f t="shared" si="16"/>
        <v>5248.427120089108</v>
      </c>
      <c r="I112">
        <v>750000</v>
      </c>
      <c r="J112">
        <f t="shared" si="6"/>
        <v>7244.3596007506112</v>
      </c>
      <c r="K112">
        <f t="shared" si="7"/>
        <v>1.4290955384721549E-2</v>
      </c>
      <c r="L112">
        <f t="shared" si="8"/>
        <v>2.3223755302786753E-2</v>
      </c>
      <c r="M112">
        <f t="shared" si="9"/>
        <v>2.0365634787252916E-2</v>
      </c>
      <c r="N112">
        <f t="shared" si="10"/>
        <v>2.3615063619485743E-2</v>
      </c>
      <c r="P112">
        <f t="shared" si="11"/>
        <v>4.8791629607277009</v>
      </c>
      <c r="R112">
        <f t="shared" si="12"/>
        <v>4.6595644534853449</v>
      </c>
      <c r="S112">
        <f t="shared" si="13"/>
        <v>7.6996889323291891</v>
      </c>
      <c r="T112">
        <f t="shared" si="14"/>
        <v>7.5721028981027363</v>
      </c>
    </row>
    <row r="113" spans="1:20">
      <c r="A113">
        <f t="shared" si="20"/>
        <v>-3.8400000000000425</v>
      </c>
      <c r="B113">
        <f t="shared" si="17"/>
        <v>1.4454397707457854E-4</v>
      </c>
      <c r="C113">
        <f t="shared" si="18"/>
        <v>8722.4913397166965</v>
      </c>
      <c r="D113">
        <f t="shared" si="18"/>
        <v>1098229.7019570447</v>
      </c>
      <c r="E113">
        <f t="shared" si="19"/>
        <v>318733.95210271445</v>
      </c>
      <c r="F113">
        <f>+Intensity*Damp/(($B113/10-Shift)^2+Damp^2)</f>
        <v>318664.17093921365</v>
      </c>
      <c r="G113">
        <f t="shared" si="15"/>
        <v>34757.499094292776</v>
      </c>
      <c r="H113">
        <f t="shared" si="16"/>
        <v>4786.5941363210804</v>
      </c>
      <c r="I113">
        <v>670000</v>
      </c>
      <c r="J113">
        <f t="shared" si="6"/>
        <v>6918.3097091900454</v>
      </c>
      <c r="K113">
        <f t="shared" si="7"/>
        <v>1.3998284076719313E-2</v>
      </c>
      <c r="L113">
        <f t="shared" si="8"/>
        <v>2.2945270670873874E-2</v>
      </c>
      <c r="M113">
        <f t="shared" si="9"/>
        <v>1.9964297235237793E-2</v>
      </c>
      <c r="N113">
        <f t="shared" si="10"/>
        <v>2.3281417564515978E-2</v>
      </c>
      <c r="P113">
        <f t="shared" si="11"/>
        <v>4.5641390052483244</v>
      </c>
      <c r="R113">
        <f t="shared" si="12"/>
        <v>4.3587189115834137</v>
      </c>
      <c r="S113">
        <f t="shared" si="13"/>
        <v>7.249256728236694</v>
      </c>
      <c r="T113">
        <f t="shared" si="14"/>
        <v>7.1445889122131145</v>
      </c>
    </row>
    <row r="114" spans="1:20">
      <c r="A114">
        <f t="shared" si="20"/>
        <v>-3.8200000000000425</v>
      </c>
      <c r="B114">
        <f t="shared" si="17"/>
        <v>1.5135612484360589E-4</v>
      </c>
      <c r="C114">
        <f t="shared" si="18"/>
        <v>7945.8470548878649</v>
      </c>
      <c r="D114">
        <f t="shared" si="18"/>
        <v>990124.32229324896</v>
      </c>
      <c r="E114">
        <f t="shared" si="19"/>
        <v>288217.85444937722</v>
      </c>
      <c r="F114">
        <f>+Intensity*Damp/(($B114/10-Shift)^2+Damp^2)</f>
        <v>288154.13475485711</v>
      </c>
      <c r="G114">
        <f t="shared" si="15"/>
        <v>32751.894988753251</v>
      </c>
      <c r="H114">
        <f t="shared" si="16"/>
        <v>4365.4022077460422</v>
      </c>
      <c r="I114">
        <v>620000</v>
      </c>
      <c r="J114">
        <f t="shared" si="6"/>
        <v>6606.9344800766112</v>
      </c>
      <c r="K114">
        <f t="shared" si="7"/>
        <v>1.4203379447157391E-2</v>
      </c>
      <c r="L114">
        <f t="shared" si="8"/>
        <v>2.2682437821597699E-2</v>
      </c>
      <c r="M114">
        <f t="shared" si="9"/>
        <v>1.9587457309173859E-2</v>
      </c>
      <c r="N114">
        <f t="shared" si="10"/>
        <v>2.2967981178657042E-2</v>
      </c>
      <c r="P114">
        <f t="shared" si="11"/>
        <v>4.4225805295436809</v>
      </c>
      <c r="R114">
        <f t="shared" si="12"/>
        <v>4.2235316167969597</v>
      </c>
      <c r="S114">
        <f t="shared" si="13"/>
        <v>6.8297826614404729</v>
      </c>
      <c r="T114">
        <f t="shared" si="14"/>
        <v>6.7448731931696777</v>
      </c>
    </row>
    <row r="115" spans="1:20">
      <c r="A115">
        <f t="shared" si="20"/>
        <v>-3.8000000000000425</v>
      </c>
      <c r="B115">
        <f t="shared" si="17"/>
        <v>1.584893192460957E-4</v>
      </c>
      <c r="C115">
        <f t="shared" si="18"/>
        <v>7238.7299489478082</v>
      </c>
      <c r="D115">
        <f t="shared" si="18"/>
        <v>893123.39470689592</v>
      </c>
      <c r="E115">
        <f t="shared" si="19"/>
        <v>260728.50616565367</v>
      </c>
      <c r="F115">
        <f>+Intensity*Damp/(($B115/10-Shift)^2+Damp^2)</f>
        <v>260670.33279539552</v>
      </c>
      <c r="G115">
        <f t="shared" si="15"/>
        <v>32077.104355142899</v>
      </c>
      <c r="H115">
        <f t="shared" si="16"/>
        <v>3981.2745615262625</v>
      </c>
      <c r="I115">
        <v>550000</v>
      </c>
      <c r="J115">
        <f t="shared" si="6"/>
        <v>6309.573444802556</v>
      </c>
      <c r="K115">
        <f t="shared" si="7"/>
        <v>1.3815375373299962E-2</v>
      </c>
      <c r="L115">
        <f t="shared" si="8"/>
        <v>2.2434245368275839E-2</v>
      </c>
      <c r="M115">
        <f t="shared" si="9"/>
        <v>1.9233400374147839E-2</v>
      </c>
      <c r="N115">
        <f t="shared" si="10"/>
        <v>2.2673327797508708E-2</v>
      </c>
      <c r="P115">
        <f t="shared" si="11"/>
        <v>4.10815432370417</v>
      </c>
      <c r="R115">
        <f t="shared" si="12"/>
        <v>3.9232569213693971</v>
      </c>
      <c r="S115">
        <f t="shared" si="13"/>
        <v>6.4387168505002892</v>
      </c>
      <c r="T115">
        <f t="shared" si="14"/>
        <v>6.3708227998559304</v>
      </c>
    </row>
    <row r="116" spans="1:20">
      <c r="A116">
        <f t="shared" si="20"/>
        <v>-3.7800000000000424</v>
      </c>
      <c r="B116">
        <f t="shared" si="17"/>
        <v>1.6595869074373964E-4</v>
      </c>
      <c r="C116">
        <f t="shared" si="18"/>
        <v>6594.8671954702941</v>
      </c>
      <c r="D116">
        <f t="shared" si="18"/>
        <v>806024.5305455518</v>
      </c>
      <c r="E116">
        <f t="shared" si="19"/>
        <v>235951.45829335426</v>
      </c>
      <c r="F116">
        <f>+Intensity*Damp/(($B116/10-Shift)^2+Damp^2)</f>
        <v>235898.35755107901</v>
      </c>
      <c r="G116">
        <f t="shared" si="15"/>
        <v>31183.400055571619</v>
      </c>
      <c r="H116">
        <f t="shared" si="16"/>
        <v>3630.9492767220281</v>
      </c>
      <c r="I116">
        <v>500000</v>
      </c>
      <c r="J116">
        <f t="shared" si="6"/>
        <v>6025.5958607441735</v>
      </c>
      <c r="K116">
        <f t="shared" si="7"/>
        <v>1.3771143516688109E-2</v>
      </c>
      <c r="L116">
        <f t="shared" si="8"/>
        <v>2.2199758976227904E-2</v>
      </c>
      <c r="M116">
        <f t="shared" si="9"/>
        <v>1.8900546300023448E-2</v>
      </c>
      <c r="N116">
        <f t="shared" si="10"/>
        <v>2.239614746470257E-2</v>
      </c>
      <c r="P116">
        <f t="shared" si="11"/>
        <v>3.9106960655903475</v>
      </c>
      <c r="R116">
        <f t="shared" si="12"/>
        <v>3.7346857488219802</v>
      </c>
      <c r="S116">
        <f t="shared" si="13"/>
        <v>6.0737565230934312</v>
      </c>
      <c r="T116">
        <f t="shared" si="14"/>
        <v>6.0204966548587988</v>
      </c>
    </row>
    <row r="117" spans="1:20">
      <c r="A117">
        <f t="shared" si="20"/>
        <v>-3.7600000000000424</v>
      </c>
      <c r="B117">
        <f t="shared" si="17"/>
        <v>1.7378008287492034E-4</v>
      </c>
      <c r="C117">
        <f t="shared" si="18"/>
        <v>6008.5581909243483</v>
      </c>
      <c r="D117">
        <f t="shared" si="18"/>
        <v>727763.76958619826</v>
      </c>
      <c r="E117">
        <f t="shared" si="19"/>
        <v>213606.86244570583</v>
      </c>
      <c r="F117">
        <f>+Intensity*Damp/(($B117/10-Shift)^2+Damp^2)</f>
        <v>213558.39923275224</v>
      </c>
      <c r="G117">
        <f t="shared" si="15"/>
        <v>28522.280999097133</v>
      </c>
      <c r="H117">
        <f t="shared" si="16"/>
        <v>3311.4515580867501</v>
      </c>
      <c r="I117">
        <v>460000</v>
      </c>
      <c r="J117">
        <f t="shared" si="6"/>
        <v>5754.3993733721391</v>
      </c>
      <c r="K117">
        <f t="shared" si="7"/>
        <v>1.3891777913846522E-2</v>
      </c>
      <c r="L117">
        <f t="shared" si="8"/>
        <v>2.1978114480076607E-2</v>
      </c>
      <c r="M117">
        <f t="shared" si="9"/>
        <v>1.8587438488411361E-2</v>
      </c>
      <c r="N117">
        <f t="shared" si="10"/>
        <v>2.2135236383421235E-2</v>
      </c>
      <c r="P117">
        <f t="shared" si="11"/>
        <v>3.7674013735875791</v>
      </c>
      <c r="R117">
        <f t="shared" si="12"/>
        <v>3.5978403803431105</v>
      </c>
      <c r="S117">
        <f t="shared" si="13"/>
        <v>5.7328189222873567</v>
      </c>
      <c r="T117">
        <f t="shared" si="14"/>
        <v>5.6921258207998777</v>
      </c>
    </row>
    <row r="118" spans="1:20">
      <c r="A118">
        <f t="shared" si="20"/>
        <v>-3.7400000000000424</v>
      </c>
      <c r="B118">
        <f t="shared" si="17"/>
        <v>1.8197008586098029E-4</v>
      </c>
      <c r="C118">
        <f t="shared" si="18"/>
        <v>5474.6215444999307</v>
      </c>
      <c r="D118">
        <f t="shared" si="18"/>
        <v>657398.54371184332</v>
      </c>
      <c r="E118">
        <f t="shared" si="19"/>
        <v>193445.40136297455</v>
      </c>
      <c r="F118">
        <f>+Intensity*Damp/(($B118/10-Shift)^2+Damp^2)</f>
        <v>193401.17641732347</v>
      </c>
      <c r="G118">
        <f t="shared" si="15"/>
        <v>24448.647833767409</v>
      </c>
      <c r="H118">
        <f t="shared" si="16"/>
        <v>3020.0684532773498</v>
      </c>
      <c r="I118">
        <v>420000</v>
      </c>
      <c r="J118">
        <f t="shared" si="6"/>
        <v>5495.4087385767907</v>
      </c>
      <c r="K118">
        <f t="shared" si="7"/>
        <v>1.3907507102266068E-2</v>
      </c>
      <c r="L118">
        <f t="shared" si="8"/>
        <v>2.1768511704028166E-2</v>
      </c>
      <c r="M118">
        <f t="shared" si="9"/>
        <v>1.8292733673897672E-2</v>
      </c>
      <c r="N118">
        <f t="shared" si="10"/>
        <v>2.1889487332537511E-2</v>
      </c>
      <c r="P118">
        <f t="shared" si="11"/>
        <v>3.6019140928368323</v>
      </c>
      <c r="R118">
        <f t="shared" si="12"/>
        <v>3.4398012541452991</v>
      </c>
      <c r="S118">
        <f t="shared" si="13"/>
        <v>5.4140174385955646</v>
      </c>
      <c r="T118">
        <f t="shared" si="14"/>
        <v>5.3840960360316465</v>
      </c>
    </row>
    <row r="119" spans="1:20">
      <c r="A119">
        <f t="shared" si="20"/>
        <v>-3.7200000000000424</v>
      </c>
      <c r="B119">
        <f t="shared" si="17"/>
        <v>1.9054607179630608E-4</v>
      </c>
      <c r="C119">
        <f t="shared" si="18"/>
        <v>4988.3470830012957</v>
      </c>
      <c r="D119">
        <f t="shared" si="18"/>
        <v>594092.88503414008</v>
      </c>
      <c r="E119">
        <f t="shared" si="19"/>
        <v>175244.7336105881</v>
      </c>
      <c r="F119">
        <f>+Intensity*Damp/(($B119/10-Shift)^2+Damp^2)</f>
        <v>175204.38086031433</v>
      </c>
      <c r="G119">
        <f t="shared" si="15"/>
        <v>20839.078048772502</v>
      </c>
      <c r="H119">
        <f t="shared" si="16"/>
        <v>2754.3257978450847</v>
      </c>
      <c r="I119">
        <v>390000</v>
      </c>
      <c r="J119">
        <f t="shared" si="6"/>
        <v>5248.0746024982391</v>
      </c>
      <c r="K119">
        <f t="shared" si="7"/>
        <v>1.4160044136031185E-2</v>
      </c>
      <c r="L119">
        <f t="shared" si="8"/>
        <v>2.1570208905091082E-2</v>
      </c>
      <c r="M119">
        <f t="shared" si="9"/>
        <v>1.8015192492365321E-2</v>
      </c>
      <c r="N119">
        <f t="shared" si="10"/>
        <v>2.165788097499605E-2</v>
      </c>
      <c r="P119">
        <f t="shared" si="11"/>
        <v>3.5022622832193191</v>
      </c>
      <c r="R119">
        <f t="shared" si="12"/>
        <v>3.3446345147769505</v>
      </c>
      <c r="S119">
        <f t="shared" si="13"/>
        <v>5.1156405679259338</v>
      </c>
      <c r="T119">
        <f t="shared" si="14"/>
        <v>5.0949322263297416</v>
      </c>
    </row>
    <row r="120" spans="1:20">
      <c r="A120">
        <f t="shared" si="20"/>
        <v>-3.7000000000000424</v>
      </c>
      <c r="B120">
        <f t="shared" si="17"/>
        <v>1.9952623149686844E-4</v>
      </c>
      <c r="C120">
        <f t="shared" si="18"/>
        <v>4545.4523830154931</v>
      </c>
      <c r="D120">
        <f t="shared" si="18"/>
        <v>537104.56255908171</v>
      </c>
      <c r="E120">
        <f t="shared" si="19"/>
        <v>158806.38264210595</v>
      </c>
      <c r="F120">
        <f>+Intensity*Damp/(($B120/10-Shift)^2+Damp^2)</f>
        <v>158769.56668908033</v>
      </c>
      <c r="G120">
        <f t="shared" si="15"/>
        <v>18806.700786416266</v>
      </c>
      <c r="H120">
        <f t="shared" si="16"/>
        <v>2511.9671914533924</v>
      </c>
      <c r="I120">
        <v>360000</v>
      </c>
      <c r="J120">
        <f t="shared" ref="J120:J183" si="21">1/$B120</f>
        <v>5011.8723362732135</v>
      </c>
      <c r="K120">
        <f t="shared" ref="K120:K183" si="22">+$I120*$B120*$B120</f>
        <v>1.4331858139923097E-2</v>
      </c>
      <c r="L120">
        <f t="shared" ref="L120:L183" si="23">+$D120*$B120*$B120</f>
        <v>2.1382517769172802E-2</v>
      </c>
      <c r="M120">
        <f t="shared" ref="M120:M183" si="24">+$M$1/(EXP(+$M$2*$J120)+$M$3*EXP(-$M$2*$J120))</f>
        <v>1.7753670792450403E-2</v>
      </c>
      <c r="N120">
        <f t="shared" ref="N120:N183" si="25">+$N$1/(1+$N$2*(($J120-$N$3)^2))</f>
        <v>2.1439477985417638E-2</v>
      </c>
      <c r="P120">
        <f t="shared" ref="P120:P183" si="26">+($B121-$B120)*$I120</f>
        <v>3.3852173718653984</v>
      </c>
      <c r="R120">
        <f t="shared" ref="R120:R183" si="27">+$K120*($J120-$J121)</f>
        <v>3.2328574922024331</v>
      </c>
      <c r="S120">
        <f t="shared" ref="S120:S183" si="28">+$N120*($J120-$J121)</f>
        <v>4.8361333441469894</v>
      </c>
      <c r="T120">
        <f t="shared" ref="T120:T183" si="29">+$L120*($J120-$J121)</f>
        <v>4.8232847476812157</v>
      </c>
    </row>
    <row r="121" spans="1:20">
      <c r="A121">
        <f t="shared" si="20"/>
        <v>-3.6800000000000423</v>
      </c>
      <c r="B121">
        <f t="shared" si="17"/>
        <v>2.0892961308538344E-4</v>
      </c>
      <c r="C121">
        <f t="shared" si="18"/>
        <v>4142.0433917018408</v>
      </c>
      <c r="D121">
        <f t="shared" si="18"/>
        <v>485773.87880320114</v>
      </c>
      <c r="E121">
        <f t="shared" si="19"/>
        <v>143953.0105770306</v>
      </c>
      <c r="F121">
        <f>+Intensity*Damp/(($B121/10-Shift)^2+Damp^2)</f>
        <v>143919.42432006192</v>
      </c>
      <c r="G121">
        <f t="shared" si="15"/>
        <v>18170.97219085403</v>
      </c>
      <c r="H121">
        <f t="shared" si="16"/>
        <v>2290.9348261532868</v>
      </c>
      <c r="I121">
        <v>340000</v>
      </c>
      <c r="J121">
        <f t="shared" si="21"/>
        <v>4786.3009232268532</v>
      </c>
      <c r="K121">
        <f t="shared" si="22"/>
        <v>1.4841538296162728E-2</v>
      </c>
      <c r="L121">
        <f t="shared" si="23"/>
        <v>2.1204798898627124E-2</v>
      </c>
      <c r="M121">
        <f t="shared" si="24"/>
        <v>1.7507111655480159E-2</v>
      </c>
      <c r="N121">
        <f t="shared" si="25"/>
        <v>2.1233411925706363E-2</v>
      </c>
      <c r="P121">
        <f t="shared" si="26"/>
        <v>3.3478267652471043</v>
      </c>
      <c r="R121">
        <f t="shared" si="27"/>
        <v>3.1971497400951097</v>
      </c>
      <c r="S121">
        <f t="shared" si="28"/>
        <v>4.574080938574709</v>
      </c>
      <c r="T121">
        <f t="shared" si="29"/>
        <v>4.5679171481195535</v>
      </c>
    </row>
    <row r="122" spans="1:20">
      <c r="A122">
        <f t="shared" si="20"/>
        <v>-3.6600000000000423</v>
      </c>
      <c r="B122">
        <f t="shared" si="17"/>
        <v>2.1877616239493374E-4</v>
      </c>
      <c r="C122">
        <f t="shared" si="18"/>
        <v>3774.578741524695</v>
      </c>
      <c r="D122">
        <f t="shared" si="18"/>
        <v>439513.89757438592</v>
      </c>
      <c r="E122">
        <f t="shared" si="19"/>
        <v>130526.02561052493</v>
      </c>
      <c r="F122">
        <f>+Intensity*Damp/(($B122/10-Shift)^2+Damp^2)</f>
        <v>130495.38801215266</v>
      </c>
      <c r="G122">
        <f t="shared" si="15"/>
        <v>17681.022328448624</v>
      </c>
      <c r="H122">
        <f t="shared" si="16"/>
        <v>2089.3520033866985</v>
      </c>
      <c r="I122">
        <v>320000</v>
      </c>
      <c r="J122">
        <f t="shared" si="21"/>
        <v>4570.8818961491997</v>
      </c>
      <c r="K122">
        <f t="shared" si="22"/>
        <v>1.5316162954321417E-2</v>
      </c>
      <c r="L122">
        <f t="shared" si="23"/>
        <v>2.103645773730696E-2</v>
      </c>
      <c r="M122">
        <f t="shared" si="24"/>
        <v>1.7274538082922484E-2</v>
      </c>
      <c r="N122">
        <f t="shared" si="25"/>
        <v>2.1038882800761136E-2</v>
      </c>
      <c r="P122">
        <f t="shared" si="26"/>
        <v>3.2993929221827174</v>
      </c>
      <c r="R122">
        <f t="shared" si="27"/>
        <v>3.1508957790560976</v>
      </c>
      <c r="S122">
        <f t="shared" si="28"/>
        <v>4.3281941574191896</v>
      </c>
      <c r="T122">
        <f t="shared" si="29"/>
        <v>4.3276952646988329</v>
      </c>
    </row>
    <row r="123" spans="1:20">
      <c r="A123">
        <f t="shared" si="20"/>
        <v>-3.6400000000000423</v>
      </c>
      <c r="B123">
        <f t="shared" si="17"/>
        <v>2.2908676527675474E-4</v>
      </c>
      <c r="C123">
        <f t="shared" si="18"/>
        <v>3439.8374036330101</v>
      </c>
      <c r="D123">
        <f t="shared" si="18"/>
        <v>397801.90768895257</v>
      </c>
      <c r="E123">
        <f t="shared" si="19"/>
        <v>118383.47923160064</v>
      </c>
      <c r="F123">
        <f>+Intensity*Damp/(($B123/10-Shift)^2+Damp^2)</f>
        <v>118355.53322906222</v>
      </c>
      <c r="G123">
        <f t="shared" si="15"/>
        <v>15922.028508392772</v>
      </c>
      <c r="H123">
        <f t="shared" si="16"/>
        <v>1905.5071908211094</v>
      </c>
      <c r="I123">
        <v>290000</v>
      </c>
      <c r="J123">
        <f t="shared" si="21"/>
        <v>4365.1583224020897</v>
      </c>
      <c r="K123">
        <f t="shared" si="22"/>
        <v>1.5219416347240406E-2</v>
      </c>
      <c r="L123">
        <f t="shared" si="23"/>
        <v>2.0876940885671255E-2</v>
      </c>
      <c r="M123">
        <f t="shared" si="24"/>
        <v>1.7055046307167719E-2</v>
      </c>
      <c r="N123">
        <f t="shared" si="25"/>
        <v>2.0855151230592041E-2</v>
      </c>
      <c r="P123">
        <f t="shared" si="26"/>
        <v>3.1309927212994952</v>
      </c>
      <c r="R123">
        <f t="shared" si="27"/>
        <v>2.9900748357280955</v>
      </c>
      <c r="S123">
        <f t="shared" si="28"/>
        <v>4.0972966023893527</v>
      </c>
      <c r="T123">
        <f t="shared" si="29"/>
        <v>4.1015774958116138</v>
      </c>
    </row>
    <row r="124" spans="1:20">
      <c r="A124">
        <f t="shared" si="20"/>
        <v>-3.6200000000000423</v>
      </c>
      <c r="B124">
        <f t="shared" si="17"/>
        <v>2.3988329190192541E-4</v>
      </c>
      <c r="C124">
        <f t="shared" si="18"/>
        <v>3134.8893598812979</v>
      </c>
      <c r="D124">
        <f t="shared" si="18"/>
        <v>360171.95573971624</v>
      </c>
      <c r="E124">
        <f t="shared" si="19"/>
        <v>107398.21558864671</v>
      </c>
      <c r="F124">
        <f>+Intensity*Damp/(($B124/10-Shift)^2+Damp^2)</f>
        <v>107372.72614684899</v>
      </c>
      <c r="G124">
        <f t="shared" si="15"/>
        <v>13513.310626972627</v>
      </c>
      <c r="H124">
        <f t="shared" si="16"/>
        <v>1737.8394832718755</v>
      </c>
      <c r="I124">
        <v>260000</v>
      </c>
      <c r="J124">
        <f t="shared" si="21"/>
        <v>4168.6938347037649</v>
      </c>
      <c r="K124">
        <f t="shared" si="22"/>
        <v>1.4961438370763131E-2</v>
      </c>
      <c r="L124">
        <f t="shared" si="23"/>
        <v>2.0725732764142274E-2</v>
      </c>
      <c r="M124">
        <f t="shared" si="24"/>
        <v>1.6847799680429029E-2</v>
      </c>
      <c r="N124">
        <f t="shared" si="25"/>
        <v>2.0681533179777969E-2</v>
      </c>
      <c r="P124">
        <f t="shared" si="26"/>
        <v>2.9393913247420209</v>
      </c>
      <c r="R124">
        <f t="shared" si="27"/>
        <v>2.8070969225443569</v>
      </c>
      <c r="S124">
        <f t="shared" si="28"/>
        <v>3.8803132896568258</v>
      </c>
      <c r="T124">
        <f t="shared" si="29"/>
        <v>3.8886061097836149</v>
      </c>
    </row>
    <row r="125" spans="1:20">
      <c r="A125">
        <f t="shared" si="20"/>
        <v>-3.6000000000000423</v>
      </c>
      <c r="B125">
        <f t="shared" si="17"/>
        <v>2.5118864315093318E-4</v>
      </c>
      <c r="C125">
        <f t="shared" si="18"/>
        <v>2857.0690051312185</v>
      </c>
      <c r="D125">
        <f t="shared" si="18"/>
        <v>326208.30501290044</v>
      </c>
      <c r="E125">
        <f t="shared" si="19"/>
        <v>97456.240581216131</v>
      </c>
      <c r="F125">
        <f>+Intensity*Damp/(($B125/10-Shift)^2+Damp^2)</f>
        <v>97432.992883623723</v>
      </c>
      <c r="G125">
        <f t="shared" si="15"/>
        <v>12014.786992183901</v>
      </c>
      <c r="H125">
        <f t="shared" si="16"/>
        <v>1584.925343955478</v>
      </c>
      <c r="I125">
        <v>240000</v>
      </c>
      <c r="J125">
        <f t="shared" si="21"/>
        <v>3981.0717055353662</v>
      </c>
      <c r="K125">
        <f t="shared" si="22"/>
        <v>1.5142976267521644E-2</v>
      </c>
      <c r="L125">
        <f t="shared" si="23"/>
        <v>2.0582352587828388E-2</v>
      </c>
      <c r="M125">
        <f t="shared" si="24"/>
        <v>1.665202309700237E-2</v>
      </c>
      <c r="N125">
        <f t="shared" si="25"/>
        <v>2.0517395189977451E-2</v>
      </c>
      <c r="P125">
        <f t="shared" si="26"/>
        <v>2.8411574492590628</v>
      </c>
      <c r="R125">
        <f t="shared" si="27"/>
        <v>2.7132842997619746</v>
      </c>
      <c r="S125">
        <f t="shared" si="28"/>
        <v>3.6762605486199282</v>
      </c>
      <c r="T125">
        <f t="shared" si="29"/>
        <v>3.6878994685144506</v>
      </c>
    </row>
    <row r="126" spans="1:20">
      <c r="A126">
        <f t="shared" si="20"/>
        <v>-3.5800000000000423</v>
      </c>
      <c r="B126">
        <f t="shared" si="17"/>
        <v>2.6302679918951261E-4</v>
      </c>
      <c r="C126">
        <f t="shared" si="18"/>
        <v>2603.9510198659955</v>
      </c>
      <c r="D126">
        <f t="shared" si="18"/>
        <v>295539.69798236451</v>
      </c>
      <c r="E126">
        <f t="shared" si="19"/>
        <v>88455.282720590694</v>
      </c>
      <c r="F126">
        <f>+Intensity*Damp/(($B126/10-Shift)^2+Damp^2)</f>
        <v>88434.080492619061</v>
      </c>
      <c r="G126">
        <f t="shared" si="15"/>
        <v>11621.552247306261</v>
      </c>
      <c r="H126">
        <f t="shared" si="16"/>
        <v>1445.4665132418857</v>
      </c>
      <c r="I126">
        <v>220000</v>
      </c>
      <c r="J126">
        <f t="shared" si="21"/>
        <v>3801.8939632059819</v>
      </c>
      <c r="K126">
        <f t="shared" si="22"/>
        <v>1.5220281360213642E-2</v>
      </c>
      <c r="L126">
        <f t="shared" si="23"/>
        <v>2.0446351620018875E-2</v>
      </c>
      <c r="M126">
        <f t="shared" si="24"/>
        <v>1.6466997905572187E-2</v>
      </c>
      <c r="N126">
        <f t="shared" si="25"/>
        <v>2.0362150065921528E-2</v>
      </c>
      <c r="P126">
        <f t="shared" si="26"/>
        <v>2.727135651740991</v>
      </c>
      <c r="R126">
        <f t="shared" si="27"/>
        <v>2.6043943284873867</v>
      </c>
      <c r="S126">
        <f t="shared" si="28"/>
        <v>3.4842370447973581</v>
      </c>
      <c r="T126">
        <f t="shared" si="29"/>
        <v>3.4986450603097521</v>
      </c>
    </row>
    <row r="127" spans="1:20">
      <c r="A127">
        <f t="shared" si="20"/>
        <v>-3.5600000000000422</v>
      </c>
      <c r="B127">
        <f t="shared" si="17"/>
        <v>2.7542287033378984E-4</v>
      </c>
      <c r="C127">
        <f t="shared" si="18"/>
        <v>2373.3284786404565</v>
      </c>
      <c r="D127">
        <f t="shared" si="18"/>
        <v>267834.31707468245</v>
      </c>
      <c r="E127">
        <f t="shared" si="19"/>
        <v>80303.521610458614</v>
      </c>
      <c r="F127">
        <f>+Intensity*Damp/(($B127/10-Shift)^2+Damp^2)</f>
        <v>80284.185569091365</v>
      </c>
      <c r="G127">
        <f t="shared" si="15"/>
        <v>11095.474653140467</v>
      </c>
      <c r="H127">
        <f t="shared" si="16"/>
        <v>1318.2789820319294</v>
      </c>
      <c r="I127">
        <v>200000</v>
      </c>
      <c r="J127">
        <f t="shared" si="21"/>
        <v>3630.7805477013667</v>
      </c>
      <c r="K127">
        <f t="shared" si="22"/>
        <v>1.5171551500580721E-2</v>
      </c>
      <c r="L127">
        <f t="shared" si="23"/>
        <v>2.0317310675607055E-2</v>
      </c>
      <c r="M127">
        <f t="shared" si="24"/>
        <v>1.6292057270323474E-2</v>
      </c>
      <c r="N127">
        <f t="shared" si="25"/>
        <v>2.0215252969852007E-2</v>
      </c>
      <c r="P127">
        <f t="shared" si="26"/>
        <v>2.5960559957685256</v>
      </c>
      <c r="R127">
        <f t="shared" si="27"/>
        <v>2.4792142288554335</v>
      </c>
      <c r="S127">
        <f t="shared" si="28"/>
        <v>3.3034157911173949</v>
      </c>
      <c r="T127">
        <f t="shared" si="29"/>
        <v>3.3200932493366526</v>
      </c>
    </row>
    <row r="128" spans="1:20">
      <c r="A128">
        <f t="shared" si="20"/>
        <v>-3.5400000000000422</v>
      </c>
      <c r="B128">
        <f t="shared" si="17"/>
        <v>2.8840315031263247E-4</v>
      </c>
      <c r="C128">
        <f t="shared" si="18"/>
        <v>2163.192982787436</v>
      </c>
      <c r="D128">
        <f t="shared" si="18"/>
        <v>242795.35308579041</v>
      </c>
      <c r="E128">
        <f t="shared" si="19"/>
        <v>72918.463154698722</v>
      </c>
      <c r="F128">
        <f>+Intensity*Damp/(($B128/10-Shift)^2+Damp^2)</f>
        <v>72900.829577525103</v>
      </c>
      <c r="G128">
        <f t="shared" si="15"/>
        <v>9594.4238851341543</v>
      </c>
      <c r="H128">
        <f t="shared" si="16"/>
        <v>1202.2829359619873</v>
      </c>
      <c r="I128">
        <v>180000</v>
      </c>
      <c r="J128">
        <f t="shared" si="21"/>
        <v>3467.3685045256548</v>
      </c>
      <c r="K128">
        <f t="shared" si="22"/>
        <v>1.4971747879845157E-2</v>
      </c>
      <c r="L128">
        <f t="shared" si="23"/>
        <v>2.019483784888022E-2</v>
      </c>
      <c r="M128">
        <f t="shared" si="24"/>
        <v>1.6126581942064389E-2</v>
      </c>
      <c r="N128">
        <f t="shared" si="25"/>
        <v>2.0076197883645078E-2</v>
      </c>
      <c r="P128">
        <f t="shared" si="26"/>
        <v>2.4465639109571322</v>
      </c>
      <c r="R128">
        <f t="shared" si="27"/>
        <v>2.3364503961916716</v>
      </c>
      <c r="S128">
        <f t="shared" si="28"/>
        <v>3.1330370291908811</v>
      </c>
      <c r="T128">
        <f t="shared" si="29"/>
        <v>3.1515516606155107</v>
      </c>
    </row>
    <row r="129" spans="1:20">
      <c r="A129">
        <f t="shared" si="20"/>
        <v>-3.5200000000000422</v>
      </c>
      <c r="B129">
        <f t="shared" si="17"/>
        <v>3.0199517204017209E-4</v>
      </c>
      <c r="C129">
        <f t="shared" si="18"/>
        <v>1971.7166263825868</v>
      </c>
      <c r="D129">
        <f t="shared" si="18"/>
        <v>220157.10314556354</v>
      </c>
      <c r="E129">
        <f t="shared" si="19"/>
        <v>66225.943386887782</v>
      </c>
      <c r="F129">
        <f>+Intensity*Damp/(($B129/10-Shift)^2+Damp^2)</f>
        <v>66209.862793496504</v>
      </c>
      <c r="G129">
        <f t="shared" si="15"/>
        <v>8375.9272306477305</v>
      </c>
      <c r="H129">
        <f t="shared" si="16"/>
        <v>1096.4935849121764</v>
      </c>
      <c r="I129">
        <v>160000</v>
      </c>
      <c r="J129">
        <f t="shared" si="21"/>
        <v>3311.3112148262348</v>
      </c>
      <c r="K129">
        <f t="shared" si="22"/>
        <v>1.4592173429691702E-2</v>
      </c>
      <c r="L129">
        <f t="shared" si="23"/>
        <v>2.0078566442991174E-2</v>
      </c>
      <c r="M129">
        <f t="shared" si="24"/>
        <v>1.5969996403193621E-2</v>
      </c>
      <c r="N129">
        <f t="shared" si="25"/>
        <v>1.9944514401838982E-2</v>
      </c>
      <c r="P129">
        <f t="shared" si="26"/>
        <v>2.2772150362615746</v>
      </c>
      <c r="R129">
        <f t="shared" si="27"/>
        <v>2.1747234764063439</v>
      </c>
      <c r="S129">
        <f t="shared" si="28"/>
        <v>2.9724018772246765</v>
      </c>
      <c r="T129">
        <f t="shared" si="29"/>
        <v>2.9923801294266874</v>
      </c>
    </row>
    <row r="130" spans="1:20">
      <c r="A130">
        <f t="shared" si="20"/>
        <v>-3.5000000000000422</v>
      </c>
      <c r="B130">
        <f t="shared" si="17"/>
        <v>3.1622776601680693E-4</v>
      </c>
      <c r="C130">
        <f t="shared" si="18"/>
        <v>1797.2356229777367</v>
      </c>
      <c r="D130">
        <f t="shared" si="18"/>
        <v>199681.53080955916</v>
      </c>
      <c r="E130">
        <f t="shared" si="19"/>
        <v>60159.245207008811</v>
      </c>
      <c r="F130">
        <f>+Intensity*Damp/(($B130/10-Shift)^2+Damp^2)</f>
        <v>60144.581145606833</v>
      </c>
      <c r="G130">
        <f t="shared" si="15"/>
        <v>8072.219792650214</v>
      </c>
      <c r="H130">
        <f t="shared" si="16"/>
        <v>1000.0127998363539</v>
      </c>
      <c r="I130">
        <v>140000</v>
      </c>
      <c r="J130">
        <f t="shared" si="21"/>
        <v>3162.2776601686892</v>
      </c>
      <c r="K130">
        <f t="shared" si="22"/>
        <v>1.3999999999997254E-2</v>
      </c>
      <c r="L130">
        <f t="shared" si="23"/>
        <v>1.9968153080952001E-2</v>
      </c>
      <c r="M130">
        <f t="shared" si="24"/>
        <v>1.5821765353032775E-2</v>
      </c>
      <c r="N130">
        <f t="shared" si="25"/>
        <v>1.9819764822448262E-2</v>
      </c>
      <c r="P130">
        <f t="shared" si="26"/>
        <v>2.0864697652052304</v>
      </c>
      <c r="R130">
        <f t="shared" si="27"/>
        <v>1.9925631567288795</v>
      </c>
      <c r="S130">
        <f t="shared" si="28"/>
        <v>2.8208666543035181</v>
      </c>
      <c r="T130">
        <f t="shared" si="29"/>
        <v>2.8419861526453589</v>
      </c>
    </row>
    <row r="131" spans="1:20">
      <c r="A131">
        <f t="shared" si="20"/>
        <v>-3.4800000000000422</v>
      </c>
      <c r="B131">
        <f t="shared" si="17"/>
        <v>3.3113112148255858E-4</v>
      </c>
      <c r="C131">
        <f t="shared" si="18"/>
        <v>1638.2354372664765</v>
      </c>
      <c r="D131">
        <f t="shared" si="18"/>
        <v>181155.2299907314</v>
      </c>
      <c r="E131">
        <f t="shared" si="19"/>
        <v>54658.314364862053</v>
      </c>
      <c r="F131">
        <f>+Intensity*Damp/(($B131/10-Shift)^2+Damp^2)</f>
        <v>54644.942297064008</v>
      </c>
      <c r="G131">
        <f t="shared" si="15"/>
        <v>7578.6346403595171</v>
      </c>
      <c r="H131">
        <f t="shared" si="16"/>
        <v>912.02148580807216</v>
      </c>
      <c r="I131">
        <v>125000</v>
      </c>
      <c r="J131">
        <f t="shared" si="21"/>
        <v>3019.9517204023127</v>
      </c>
      <c r="K131">
        <f t="shared" si="22"/>
        <v>1.3705977451787121E-2</v>
      </c>
      <c r="L131">
        <f t="shared" si="23"/>
        <v>1.9863275980210197E-2</v>
      </c>
      <c r="M131">
        <f t="shared" si="24"/>
        <v>1.5681390502699528E-2</v>
      </c>
      <c r="N131">
        <f t="shared" si="25"/>
        <v>1.9701541505795499E-2</v>
      </c>
      <c r="P131">
        <f t="shared" si="26"/>
        <v>1.9507161212424109</v>
      </c>
      <c r="R131">
        <f t="shared" si="27"/>
        <v>1.862919433218992</v>
      </c>
      <c r="S131">
        <f t="shared" si="28"/>
        <v>2.6778378021285434</v>
      </c>
      <c r="T131">
        <f t="shared" si="29"/>
        <v>2.699820787031916</v>
      </c>
    </row>
    <row r="132" spans="1:20">
      <c r="A132">
        <f t="shared" si="20"/>
        <v>-3.4600000000000422</v>
      </c>
      <c r="B132">
        <f t="shared" si="17"/>
        <v>3.4673685045249786E-4</v>
      </c>
      <c r="C132">
        <f t="shared" si="18"/>
        <v>1493.3372808375414</v>
      </c>
      <c r="D132">
        <f t="shared" si="18"/>
        <v>164386.74226536037</v>
      </c>
      <c r="E132">
        <f t="shared" si="19"/>
        <v>49669.06279720326</v>
      </c>
      <c r="F132">
        <f>+Intensity*Damp/(($B132/10-Shift)^2+Damp^2)</f>
        <v>49656.869074117167</v>
      </c>
      <c r="G132">
        <f t="shared" si="15"/>
        <v>6471.1709725650226</v>
      </c>
      <c r="H132">
        <f t="shared" si="16"/>
        <v>831.77262644498012</v>
      </c>
      <c r="I132">
        <v>110000</v>
      </c>
      <c r="J132">
        <f t="shared" si="21"/>
        <v>2884.0315031268869</v>
      </c>
      <c r="K132">
        <f t="shared" si="22"/>
        <v>1.3224908780788967E-2</v>
      </c>
      <c r="L132">
        <f t="shared" si="23"/>
        <v>1.9763633374822336E-2</v>
      </c>
      <c r="M132">
        <f t="shared" si="24"/>
        <v>1.5548407651263011E-2</v>
      </c>
      <c r="N132">
        <f t="shared" si="25"/>
        <v>1.9589464474633569E-2</v>
      </c>
      <c r="P132">
        <f t="shared" si="26"/>
        <v>1.7975324749324832</v>
      </c>
      <c r="R132">
        <f t="shared" si="27"/>
        <v>1.716630186693284</v>
      </c>
      <c r="S132">
        <f t="shared" si="28"/>
        <v>2.5427673351638438</v>
      </c>
      <c r="T132">
        <f t="shared" si="29"/>
        <v>2.5653749460444208</v>
      </c>
    </row>
    <row r="133" spans="1:20">
      <c r="A133">
        <f t="shared" si="20"/>
        <v>-3.4400000000000421</v>
      </c>
      <c r="B133">
        <f t="shared" si="17"/>
        <v>3.6307805477006589E-4</v>
      </c>
      <c r="C133">
        <f t="shared" si="18"/>
        <v>1361.2858446745261</v>
      </c>
      <c r="D133">
        <f t="shared" si="18"/>
        <v>149204.18379583809</v>
      </c>
      <c r="E133">
        <f t="shared" si="19"/>
        <v>45142.748949091423</v>
      </c>
      <c r="F133">
        <f>+Intensity*Damp/(($B133/10-Shift)^2+Damp^2)</f>
        <v>45131.629872077145</v>
      </c>
      <c r="G133">
        <f t="shared" ref="G133:G196" si="30">+I/(($B133-alpha*SIN($B133*L))^2+alpha^2*(1+COS($B133*L))^2)</f>
        <v>5967.7773694951347</v>
      </c>
      <c r="H133">
        <f t="shared" ref="H133:H196" si="31">+Int*($B133^2+2*beta^2)/(4*(beta*$B133)^2+($B133^2-2*beta^2)^2)</f>
        <v>758.58494058901056</v>
      </c>
      <c r="I133">
        <v>103000</v>
      </c>
      <c r="J133">
        <f t="shared" si="21"/>
        <v>2754.2287033384355</v>
      </c>
      <c r="K133">
        <f t="shared" si="22"/>
        <v>1.3578044407128342E-2</v>
      </c>
      <c r="L133">
        <f t="shared" si="23"/>
        <v>1.9668942070963383E-2</v>
      </c>
      <c r="M133">
        <f t="shared" si="24"/>
        <v>1.5422384017361996E-2</v>
      </c>
      <c r="N133">
        <f t="shared" si="25"/>
        <v>1.9483179231582794E-2</v>
      </c>
      <c r="P133">
        <f t="shared" si="26"/>
        <v>1.7624681796971788</v>
      </c>
      <c r="R133">
        <f t="shared" si="27"/>
        <v>1.6831440447095045</v>
      </c>
      <c r="S133">
        <f t="shared" si="28"/>
        <v>2.415148758714508</v>
      </c>
      <c r="T133">
        <f t="shared" si="29"/>
        <v>2.4381760524437595</v>
      </c>
    </row>
    <row r="134" spans="1:20">
      <c r="A134">
        <f t="shared" si="20"/>
        <v>-3.4200000000000421</v>
      </c>
      <c r="B134">
        <f t="shared" ref="B134:B197" si="32">10^$A134</f>
        <v>3.8018939632052394E-4</v>
      </c>
      <c r="C134">
        <f t="shared" ref="C134:D197" si="33">+C$1*EXP(-ABS(C$3/$B134-1/C$2))/$B134/$B134</f>
        <v>1240.9381532281516</v>
      </c>
      <c r="D134">
        <f t="shared" si="33"/>
        <v>135453.14387559152</v>
      </c>
      <c r="E134">
        <f t="shared" ref="E134:E197" si="34">$E$2/(1+$E$1^2-2*$E$1*($E$3*$B134)+($E$3*$B134)^2)</f>
        <v>41035.426025108929</v>
      </c>
      <c r="F134">
        <f>+Intensity*Damp/(($B134/10-Shift)^2+Damp^2)</f>
        <v>41025.286984886166</v>
      </c>
      <c r="G134">
        <f t="shared" si="30"/>
        <v>5741.9534728337012</v>
      </c>
      <c r="H134">
        <f t="shared" si="31"/>
        <v>691.83709733000103</v>
      </c>
      <c r="I134">
        <v>94000</v>
      </c>
      <c r="J134">
        <f t="shared" si="21"/>
        <v>2630.2679918956396</v>
      </c>
      <c r="K134">
        <f t="shared" si="22"/>
        <v>1.3587133845009054E-2</v>
      </c>
      <c r="L134">
        <f t="shared" si="23"/>
        <v>1.9578936123031177E-2</v>
      </c>
      <c r="M134">
        <f t="shared" si="24"/>
        <v>1.5302915802757638E-2</v>
      </c>
      <c r="N134">
        <f t="shared" si="25"/>
        <v>1.9382354772386937E-2</v>
      </c>
      <c r="P134">
        <f t="shared" si="26"/>
        <v>1.6842707778958166</v>
      </c>
      <c r="R134">
        <f t="shared" si="27"/>
        <v>1.6084661057430618</v>
      </c>
      <c r="S134">
        <f t="shared" si="28"/>
        <v>2.2945134019065732</v>
      </c>
      <c r="T134">
        <f t="shared" si="29"/>
        <v>2.3177850089385892</v>
      </c>
    </row>
    <row r="135" spans="1:20">
      <c r="A135">
        <f t="shared" ref="A135:A198" si="35">+$A134+$A$1</f>
        <v>-3.4000000000000421</v>
      </c>
      <c r="B135">
        <f t="shared" si="32"/>
        <v>3.9810717055345816E-4</v>
      </c>
      <c r="C135">
        <f t="shared" si="33"/>
        <v>1131.2534358569724</v>
      </c>
      <c r="D135">
        <f t="shared" si="33"/>
        <v>122994.82205916953</v>
      </c>
      <c r="E135">
        <f t="shared" si="34"/>
        <v>37307.450253285519</v>
      </c>
      <c r="F135">
        <f>+Intensity*Damp/(($B135/10-Shift)^2+Damp^2)</f>
        <v>37298.204941397184</v>
      </c>
      <c r="G135">
        <f t="shared" si="30"/>
        <v>4942.0031295287044</v>
      </c>
      <c r="H135">
        <f t="shared" si="31"/>
        <v>630.96244021094537</v>
      </c>
      <c r="I135">
        <v>88000</v>
      </c>
      <c r="J135">
        <f t="shared" si="21"/>
        <v>2511.8864315098267</v>
      </c>
      <c r="K135">
        <f t="shared" si="22"/>
        <v>1.394706009365506E-2</v>
      </c>
      <c r="L135">
        <f t="shared" si="23"/>
        <v>1.9493365618950549E-2</v>
      </c>
      <c r="M135">
        <f t="shared" si="24"/>
        <v>1.5189625966424586E-2</v>
      </c>
      <c r="N135">
        <f t="shared" si="25"/>
        <v>1.9286681775721331E-2</v>
      </c>
      <c r="P135">
        <f t="shared" si="26"/>
        <v>1.6510747366816239</v>
      </c>
      <c r="R135">
        <f t="shared" si="27"/>
        <v>1.5767641324982431</v>
      </c>
      <c r="S135">
        <f t="shared" si="28"/>
        <v>2.1804271190241447</v>
      </c>
      <c r="T135">
        <f t="shared" si="29"/>
        <v>2.2037934534761616</v>
      </c>
    </row>
    <row r="136" spans="1:20">
      <c r="A136">
        <f t="shared" si="35"/>
        <v>-3.3800000000000421</v>
      </c>
      <c r="B136">
        <f t="shared" si="32"/>
        <v>4.1686938347029479E-4</v>
      </c>
      <c r="C136">
        <f t="shared" si="33"/>
        <v>1031.2839213262423</v>
      </c>
      <c r="D136">
        <f t="shared" si="33"/>
        <v>111704.37511211168</v>
      </c>
      <c r="E136">
        <f t="shared" si="34"/>
        <v>33923.042229309176</v>
      </c>
      <c r="F136">
        <f>+Intensity*Damp/(($B136/10-Shift)^2+Damp^2)</f>
        <v>33914.611916292059</v>
      </c>
      <c r="G136">
        <f t="shared" si="30"/>
        <v>4561.8597429556257</v>
      </c>
      <c r="H136">
        <f t="shared" si="31"/>
        <v>575.44417578440482</v>
      </c>
      <c r="I136">
        <v>84000</v>
      </c>
      <c r="J136">
        <f t="shared" si="21"/>
        <v>2398.8329190197242</v>
      </c>
      <c r="K136">
        <f t="shared" si="22"/>
        <v>1.4597526961491912E-2</v>
      </c>
      <c r="L136">
        <f t="shared" si="23"/>
        <v>1.9411995564472095E-2</v>
      </c>
      <c r="M136">
        <f t="shared" si="24"/>
        <v>1.5082162189755133E-2</v>
      </c>
      <c r="N136">
        <f t="shared" si="25"/>
        <v>1.9195870952285581E-2</v>
      </c>
      <c r="P136">
        <f t="shared" si="26"/>
        <v>1.6503016966655977</v>
      </c>
      <c r="R136">
        <f t="shared" si="27"/>
        <v>1.576025885014243</v>
      </c>
      <c r="S136">
        <f t="shared" si="28"/>
        <v>2.0724873182973123</v>
      </c>
      <c r="T136">
        <f t="shared" si="29"/>
        <v>2.0958212695955805</v>
      </c>
    </row>
    <row r="137" spans="1:20">
      <c r="A137">
        <f t="shared" si="35"/>
        <v>-3.3600000000000421</v>
      </c>
      <c r="B137">
        <f t="shared" si="32"/>
        <v>4.3651583224012334E-4</v>
      </c>
      <c r="C137">
        <f t="shared" si="33"/>
        <v>940.16646998228418</v>
      </c>
      <c r="D137">
        <f t="shared" si="33"/>
        <v>101469.44870102782</v>
      </c>
      <c r="E137">
        <f t="shared" si="34"/>
        <v>30849.895262675338</v>
      </c>
      <c r="F137">
        <f>+Intensity*Damp/(($B137/10-Shift)^2+Damp^2)</f>
        <v>30842.208137640897</v>
      </c>
      <c r="G137">
        <f t="shared" si="30"/>
        <v>4315.7089776324792</v>
      </c>
      <c r="H137">
        <f t="shared" si="31"/>
        <v>524.81098563893318</v>
      </c>
      <c r="I137">
        <v>80000</v>
      </c>
      <c r="J137">
        <f t="shared" si="21"/>
        <v>2290.8676527679968</v>
      </c>
      <c r="K137">
        <f t="shared" si="22"/>
        <v>1.5243685743703002E-2</v>
      </c>
      <c r="L137">
        <f t="shared" si="23"/>
        <v>1.9334604857315758E-2</v>
      </c>
      <c r="M137">
        <f t="shared" si="24"/>
        <v>1.4980195015261573E-2</v>
      </c>
      <c r="N137">
        <f t="shared" si="25"/>
        <v>1.9109651537704365E-2</v>
      </c>
      <c r="P137">
        <f t="shared" si="26"/>
        <v>1.6457885899765585</v>
      </c>
      <c r="R137">
        <f t="shared" si="27"/>
        <v>1.5717159015862872</v>
      </c>
      <c r="S137">
        <f t="shared" si="28"/>
        <v>1.9703202821528842</v>
      </c>
      <c r="T137">
        <f t="shared" si="29"/>
        <v>1.993514325607493</v>
      </c>
    </row>
    <row r="138" spans="1:20">
      <c r="A138">
        <f t="shared" si="35"/>
        <v>-3.340000000000042</v>
      </c>
      <c r="B138">
        <f t="shared" si="32"/>
        <v>4.5708818961483032E-4</v>
      </c>
      <c r="C138">
        <f t="shared" si="33"/>
        <v>857.1149662786587</v>
      </c>
      <c r="D138">
        <f t="shared" si="33"/>
        <v>92188.871929210261</v>
      </c>
      <c r="E138">
        <f t="shared" si="34"/>
        <v>28058.825388241101</v>
      </c>
      <c r="F138">
        <f>+Intensity*Damp/(($B138/10-Shift)^2+Damp^2)</f>
        <v>28051.815954918922</v>
      </c>
      <c r="G138">
        <f t="shared" si="30"/>
        <v>3714.6647928539182</v>
      </c>
      <c r="H138">
        <f t="shared" si="31"/>
        <v>478.63302461536279</v>
      </c>
      <c r="I138">
        <v>70000</v>
      </c>
      <c r="J138">
        <f t="shared" si="21"/>
        <v>2187.7616239497665</v>
      </c>
      <c r="K138">
        <f t="shared" si="22"/>
        <v>1.4625072915975415E-2</v>
      </c>
      <c r="L138">
        <f t="shared" si="23"/>
        <v>1.9260985342945989E-2</v>
      </c>
      <c r="M138">
        <f t="shared" si="24"/>
        <v>1.4883416142819328E-2</v>
      </c>
      <c r="N138">
        <f t="shared" si="25"/>
        <v>1.902776991536196E-2</v>
      </c>
      <c r="P138">
        <f t="shared" si="26"/>
        <v>1.5079331895433119</v>
      </c>
      <c r="R138">
        <f t="shared" si="27"/>
        <v>1.4400650162295179</v>
      </c>
      <c r="S138">
        <f t="shared" si="28"/>
        <v>1.8735787472242995</v>
      </c>
      <c r="T138">
        <f t="shared" si="29"/>
        <v>1.8965424192988445</v>
      </c>
    </row>
    <row r="139" spans="1:20">
      <c r="A139">
        <f t="shared" si="35"/>
        <v>-3.320000000000042</v>
      </c>
      <c r="B139">
        <f t="shared" si="32"/>
        <v>4.7863009232259192E-4</v>
      </c>
      <c r="C139">
        <f t="shared" si="33"/>
        <v>781.41340160838342</v>
      </c>
      <c r="D139">
        <f t="shared" si="33"/>
        <v>83771.495579044349</v>
      </c>
      <c r="E139">
        <f t="shared" si="34"/>
        <v>25523.458351915171</v>
      </c>
      <c r="F139">
        <f>+Intensity*Damp/(($B139/10-Shift)^2+Damp^2)</f>
        <v>25517.066876553523</v>
      </c>
      <c r="G139">
        <f t="shared" si="30"/>
        <v>3570.5904813763445</v>
      </c>
      <c r="H139">
        <f t="shared" si="31"/>
        <v>436.5182712163421</v>
      </c>
      <c r="I139">
        <v>65000</v>
      </c>
      <c r="J139">
        <f t="shared" si="21"/>
        <v>2089.2961308542422</v>
      </c>
      <c r="K139">
        <f t="shared" si="22"/>
        <v>1.4890639742987636E-2</v>
      </c>
      <c r="L139">
        <f t="shared" si="23"/>
        <v>1.91909409445974E-2</v>
      </c>
      <c r="M139">
        <f t="shared" si="24"/>
        <v>1.4791536869004085E-2</v>
      </c>
      <c r="N139">
        <f t="shared" si="25"/>
        <v>1.8949988356728335E-2</v>
      </c>
      <c r="P139">
        <f t="shared" si="26"/>
        <v>1.4662141848010544</v>
      </c>
      <c r="R139">
        <f t="shared" si="27"/>
        <v>1.4002236760044713</v>
      </c>
      <c r="S139">
        <f t="shared" si="28"/>
        <v>1.7819397161626782</v>
      </c>
      <c r="T139">
        <f t="shared" si="29"/>
        <v>1.8045974074474127</v>
      </c>
    </row>
    <row r="140" spans="1:20">
      <c r="A140">
        <f t="shared" si="35"/>
        <v>-3.300000000000042</v>
      </c>
      <c r="B140">
        <f t="shared" si="32"/>
        <v>5.0118723362722352E-4</v>
      </c>
      <c r="C140">
        <f t="shared" si="33"/>
        <v>712.40958397143493</v>
      </c>
      <c r="D140">
        <f t="shared" si="33"/>
        <v>76135.157310518276</v>
      </c>
      <c r="E140">
        <f t="shared" si="34"/>
        <v>23219.949441286499</v>
      </c>
      <c r="F140">
        <f>+Intensity*Damp/(($B140/10-Shift)^2+Damp^2)</f>
        <v>23214.121448134661</v>
      </c>
      <c r="G140">
        <f t="shared" si="30"/>
        <v>3146.3308627433753</v>
      </c>
      <c r="H140">
        <f t="shared" si="31"/>
        <v>398.10919920652333</v>
      </c>
      <c r="I140">
        <v>64000</v>
      </c>
      <c r="J140">
        <f t="shared" si="21"/>
        <v>1995.2623149690737</v>
      </c>
      <c r="K140">
        <f t="shared" si="22"/>
        <v>1.6076073161658183E-2</v>
      </c>
      <c r="L140">
        <f t="shared" si="23"/>
        <v>1.9124286860910108E-2</v>
      </c>
      <c r="M140">
        <f t="shared" si="24"/>
        <v>1.4704286656450242E-2</v>
      </c>
      <c r="N140">
        <f t="shared" si="25"/>
        <v>1.8876083868014416E-2</v>
      </c>
      <c r="P140">
        <f t="shared" si="26"/>
        <v>1.5116945038398666</v>
      </c>
      <c r="R140">
        <f t="shared" si="27"/>
        <v>1.4436570434964262</v>
      </c>
      <c r="S140">
        <f t="shared" si="28"/>
        <v>1.6951024765601082</v>
      </c>
      <c r="T140">
        <f t="shared" si="29"/>
        <v>1.7173915017037211</v>
      </c>
    </row>
    <row r="141" spans="1:20">
      <c r="A141">
        <f t="shared" si="35"/>
        <v>-3.280000000000042</v>
      </c>
      <c r="B141">
        <f t="shared" si="32"/>
        <v>5.2480746024972144E-4</v>
      </c>
      <c r="C141">
        <f t="shared" si="33"/>
        <v>649.50941694911091</v>
      </c>
      <c r="D141">
        <f t="shared" si="33"/>
        <v>69205.759137195317</v>
      </c>
      <c r="E141">
        <f t="shared" si="34"/>
        <v>21126.732522290367</v>
      </c>
      <c r="F141">
        <f>+Intensity*Damp/(($B141/10-Shift)^2+Damp^2)</f>
        <v>21121.418332704066</v>
      </c>
      <c r="G141">
        <f t="shared" si="30"/>
        <v>2913.7963729241392</v>
      </c>
      <c r="H141">
        <f t="shared" si="31"/>
        <v>363.07974213095554</v>
      </c>
      <c r="I141">
        <v>61000</v>
      </c>
      <c r="J141">
        <f t="shared" si="21"/>
        <v>1905.4607179634329</v>
      </c>
      <c r="K141">
        <f t="shared" si="22"/>
        <v>1.680079509035954E-2</v>
      </c>
      <c r="L141">
        <f t="shared" si="23"/>
        <v>1.9060848825193374E-2</v>
      </c>
      <c r="M141">
        <f t="shared" si="24"/>
        <v>1.4621411821404497E-2</v>
      </c>
      <c r="N141">
        <f t="shared" si="25"/>
        <v>1.8805847133136919E-2</v>
      </c>
      <c r="P141">
        <f t="shared" si="26"/>
        <v>1.5087382300788164</v>
      </c>
      <c r="R141">
        <f t="shared" si="27"/>
        <v>1.4408338239723744</v>
      </c>
      <c r="S141">
        <f t="shared" si="28"/>
        <v>1.6127868051569527</v>
      </c>
      <c r="T141">
        <f t="shared" si="29"/>
        <v>1.6346557144025606</v>
      </c>
    </row>
    <row r="142" spans="1:20">
      <c r="A142">
        <f t="shared" si="35"/>
        <v>-3.260000000000042</v>
      </c>
      <c r="B142">
        <f t="shared" si="32"/>
        <v>5.4954087385757089E-4</v>
      </c>
      <c r="C142">
        <f t="shared" si="33"/>
        <v>592.17169582931797</v>
      </c>
      <c r="D142">
        <f t="shared" si="33"/>
        <v>62916.444301297561</v>
      </c>
      <c r="E142">
        <f t="shared" si="34"/>
        <v>19224.295071281842</v>
      </c>
      <c r="F142">
        <f>+Intensity*Damp/(($B142/10-Shift)^2+Damp^2)</f>
        <v>19219.449382793435</v>
      </c>
      <c r="G142">
        <f t="shared" si="30"/>
        <v>2650.9758887661669</v>
      </c>
      <c r="H142">
        <f t="shared" si="31"/>
        <v>331.13252496879812</v>
      </c>
      <c r="I142">
        <v>58000</v>
      </c>
      <c r="J142">
        <f t="shared" si="21"/>
        <v>1819.700858610161</v>
      </c>
      <c r="K142">
        <f t="shared" si="22"/>
        <v>1.7515719978328272E-2</v>
      </c>
      <c r="L142">
        <f t="shared" si="23"/>
        <v>1.9000462420924409E-2</v>
      </c>
      <c r="M142">
        <f t="shared" si="24"/>
        <v>1.4542674328777736E-2</v>
      </c>
      <c r="N142">
        <f t="shared" si="25"/>
        <v>1.8739081543994118E-2</v>
      </c>
      <c r="P142">
        <f t="shared" si="26"/>
        <v>1.5021456818127541</v>
      </c>
      <c r="R142">
        <f t="shared" si="27"/>
        <v>1.4345379892552912</v>
      </c>
      <c r="S142">
        <f t="shared" si="28"/>
        <v>1.5347313380136551</v>
      </c>
      <c r="T142">
        <f t="shared" si="29"/>
        <v>1.5561384396392401</v>
      </c>
    </row>
    <row r="143" spans="1:20">
      <c r="A143">
        <f t="shared" si="35"/>
        <v>-3.240000000000042</v>
      </c>
      <c r="B143">
        <f t="shared" si="32"/>
        <v>5.7543993733710113E-4</v>
      </c>
      <c r="C143">
        <f t="shared" si="33"/>
        <v>539.90337358573493</v>
      </c>
      <c r="D143">
        <f t="shared" si="33"/>
        <v>57206.862235730754</v>
      </c>
      <c r="E143">
        <f t="shared" si="34"/>
        <v>17494.976366475392</v>
      </c>
      <c r="F143">
        <f>+Intensity*Damp/(($B143/10-Shift)^2+Damp^2)</f>
        <v>17490.557868454271</v>
      </c>
      <c r="G143">
        <f t="shared" si="30"/>
        <v>2410.8870539154045</v>
      </c>
      <c r="H143">
        <f t="shared" si="31"/>
        <v>301.99633940962201</v>
      </c>
      <c r="I143">
        <v>51000</v>
      </c>
      <c r="J143">
        <f t="shared" si="21"/>
        <v>1737.8008287495441</v>
      </c>
      <c r="K143">
        <f t="shared" si="22"/>
        <v>1.6887687195608871E-2</v>
      </c>
      <c r="L143">
        <f t="shared" si="23"/>
        <v>1.894297244861394E-2</v>
      </c>
      <c r="M143">
        <f t="shared" si="24"/>
        <v>1.4467850685019637E-2</v>
      </c>
      <c r="N143">
        <f t="shared" si="25"/>
        <v>1.867560230996539E-2</v>
      </c>
      <c r="P143">
        <f t="shared" si="26"/>
        <v>1.3831020855970981</v>
      </c>
      <c r="R143">
        <f t="shared" si="27"/>
        <v>1.3208522374560141</v>
      </c>
      <c r="S143">
        <f t="shared" si="28"/>
        <v>1.4606920895225119</v>
      </c>
      <c r="T143">
        <f t="shared" si="29"/>
        <v>1.4816041565079006</v>
      </c>
    </row>
    <row r="144" spans="1:20">
      <c r="A144">
        <f t="shared" si="35"/>
        <v>-3.2200000000000419</v>
      </c>
      <c r="B144">
        <f t="shared" si="32"/>
        <v>6.0255958607429913E-4</v>
      </c>
      <c r="C144">
        <f t="shared" si="33"/>
        <v>492.25525380982401</v>
      </c>
      <c r="D144">
        <f t="shared" si="33"/>
        <v>52022.511665165897</v>
      </c>
      <c r="E144">
        <f t="shared" si="34"/>
        <v>15922.786330781115</v>
      </c>
      <c r="F144">
        <f>+Intensity*Damp/(($B144/10-Shift)^2+Damp^2)</f>
        <v>15918.757353576273</v>
      </c>
      <c r="G144">
        <f t="shared" si="30"/>
        <v>2200.8000565787311</v>
      </c>
      <c r="H144">
        <f t="shared" si="31"/>
        <v>275.42384130974312</v>
      </c>
      <c r="I144">
        <v>45000</v>
      </c>
      <c r="J144">
        <f t="shared" si="21"/>
        <v>1659.5869074377222</v>
      </c>
      <c r="K144">
        <f t="shared" si="22"/>
        <v>1.6338512464651383E-2</v>
      </c>
      <c r="L144">
        <f t="shared" si="23"/>
        <v>1.8888232339639665E-2</v>
      </c>
      <c r="M144">
        <f t="shared" si="24"/>
        <v>1.4396730920063546E-2</v>
      </c>
      <c r="N144">
        <f t="shared" si="25"/>
        <v>1.8615235639361953E-2</v>
      </c>
      <c r="P144">
        <f t="shared" si="26"/>
        <v>1.2778991282624717</v>
      </c>
      <c r="R144">
        <f t="shared" si="27"/>
        <v>1.2203841931739183</v>
      </c>
      <c r="S144">
        <f t="shared" si="28"/>
        <v>1.3904411050660381</v>
      </c>
      <c r="T144">
        <f t="shared" si="29"/>
        <v>1.4108322427860942</v>
      </c>
    </row>
    <row r="145" spans="1:20">
      <c r="A145">
        <f t="shared" si="35"/>
        <v>-3.2000000000000419</v>
      </c>
      <c r="B145">
        <f t="shared" si="32"/>
        <v>6.3095734448013184E-4</v>
      </c>
      <c r="C145">
        <f t="shared" si="33"/>
        <v>448.81807167308108</v>
      </c>
      <c r="D145">
        <f t="shared" si="33"/>
        <v>47314.153088184343</v>
      </c>
      <c r="E145">
        <f t="shared" si="34"/>
        <v>14493.242805761965</v>
      </c>
      <c r="F145">
        <f>+Intensity*Damp/(($B145/10-Shift)^2+Damp^2)</f>
        <v>14489.569000467811</v>
      </c>
      <c r="G145">
        <f t="shared" si="30"/>
        <v>2022.5123524734026</v>
      </c>
      <c r="H145">
        <f t="shared" si="31"/>
        <v>251.18945077381113</v>
      </c>
      <c r="I145">
        <v>38000</v>
      </c>
      <c r="J145">
        <f t="shared" si="21"/>
        <v>1584.8931924612677</v>
      </c>
      <c r="K145">
        <f t="shared" si="22"/>
        <v>1.5128072481029951E-2</v>
      </c>
      <c r="L145">
        <f t="shared" si="23"/>
        <v>1.8836103613068415E-2</v>
      </c>
      <c r="M145">
        <f t="shared" si="24"/>
        <v>1.4329117650422517E-2</v>
      </c>
      <c r="N145">
        <f t="shared" si="25"/>
        <v>1.8557817986283812E-2</v>
      </c>
      <c r="P145">
        <f t="shared" si="26"/>
        <v>1.1299719340411885</v>
      </c>
      <c r="R145">
        <f t="shared" si="27"/>
        <v>1.0791148194216365</v>
      </c>
      <c r="S145">
        <f t="shared" si="28"/>
        <v>1.3237652338220975</v>
      </c>
      <c r="T145">
        <f t="shared" si="29"/>
        <v>1.3436158885748344</v>
      </c>
    </row>
    <row r="146" spans="1:20">
      <c r="A146">
        <f t="shared" si="35"/>
        <v>-3.1800000000000419</v>
      </c>
      <c r="B146">
        <f t="shared" si="32"/>
        <v>6.6069344800753153E-4</v>
      </c>
      <c r="C146">
        <f t="shared" si="33"/>
        <v>409.21892759865068</v>
      </c>
      <c r="D146">
        <f t="shared" si="33"/>
        <v>43037.282921577156</v>
      </c>
      <c r="E146">
        <f t="shared" si="34"/>
        <v>13193.22528904243</v>
      </c>
      <c r="F146">
        <f>+Intensity*Damp/(($B146/10-Shift)^2+Damp^2)</f>
        <v>13189.875335261333</v>
      </c>
      <c r="G146">
        <f t="shared" si="30"/>
        <v>1806.6772907059153</v>
      </c>
      <c r="H146">
        <f t="shared" si="31"/>
        <v>229.08743702840133</v>
      </c>
      <c r="I146">
        <v>32000</v>
      </c>
      <c r="J146">
        <f t="shared" si="21"/>
        <v>1513.561248436356</v>
      </c>
      <c r="K146">
        <f t="shared" si="22"/>
        <v>1.3968506631682583E-2</v>
      </c>
      <c r="L146">
        <f t="shared" si="23"/>
        <v>1.8786455371864068E-2</v>
      </c>
      <c r="M146">
        <f t="shared" si="24"/>
        <v>1.4264825216269487E-2</v>
      </c>
      <c r="N146">
        <f t="shared" si="25"/>
        <v>1.8503195356988276E-2</v>
      </c>
      <c r="P146">
        <f t="shared" si="26"/>
        <v>0.99640073316281319</v>
      </c>
      <c r="R146">
        <f t="shared" si="27"/>
        <v>0.95155531287681105</v>
      </c>
      <c r="S146">
        <f t="shared" si="28"/>
        <v>1.2604650097101253</v>
      </c>
      <c r="T146">
        <f t="shared" si="29"/>
        <v>1.2797611004940372</v>
      </c>
    </row>
    <row r="147" spans="1:20">
      <c r="A147">
        <f t="shared" si="35"/>
        <v>-3.1600000000000419</v>
      </c>
      <c r="B147">
        <f t="shared" si="32"/>
        <v>6.9183097091886944E-4</v>
      </c>
      <c r="C147">
        <f t="shared" si="33"/>
        <v>373.11804158300015</v>
      </c>
      <c r="D147">
        <f t="shared" si="33"/>
        <v>39151.662496363126</v>
      </c>
      <c r="E147">
        <f t="shared" si="34"/>
        <v>12010.843389563908</v>
      </c>
      <c r="F147">
        <f>+Intensity*Damp/(($B147/10-Shift)^2+Damp^2)</f>
        <v>12007.788728754642</v>
      </c>
      <c r="G147">
        <f t="shared" si="30"/>
        <v>1704.5734673699812</v>
      </c>
      <c r="H147">
        <f t="shared" si="31"/>
        <v>208.93017182421548</v>
      </c>
      <c r="I147">
        <v>28000</v>
      </c>
      <c r="J147">
        <f t="shared" si="21"/>
        <v>1445.4397707460676</v>
      </c>
      <c r="K147">
        <f t="shared" si="22"/>
        <v>1.3401642585031277E-2</v>
      </c>
      <c r="L147">
        <f t="shared" si="23"/>
        <v>1.8739163835215428E-2</v>
      </c>
      <c r="M147">
        <f t="shared" si="24"/>
        <v>1.4203678886013095E-2</v>
      </c>
      <c r="N147">
        <f t="shared" si="25"/>
        <v>1.8451222670457401E-2</v>
      </c>
      <c r="P147">
        <f t="shared" si="26"/>
        <v>0.91293969636940986</v>
      </c>
      <c r="R147">
        <f t="shared" si="27"/>
        <v>0.87185064151744784</v>
      </c>
      <c r="S147">
        <f t="shared" si="28"/>
        <v>1.2003536297847044</v>
      </c>
      <c r="T147">
        <f t="shared" si="29"/>
        <v>1.2190857879974568</v>
      </c>
    </row>
    <row r="148" spans="1:20">
      <c r="A148">
        <f t="shared" si="35"/>
        <v>-3.1400000000000419</v>
      </c>
      <c r="B148">
        <f t="shared" si="32"/>
        <v>7.2443596007491979E-4</v>
      </c>
      <c r="C148">
        <f t="shared" si="33"/>
        <v>340.20579906288145</v>
      </c>
      <c r="D148">
        <f t="shared" si="33"/>
        <v>35620.895890328429</v>
      </c>
      <c r="E148">
        <f t="shared" si="34"/>
        <v>10935.318450535837</v>
      </c>
      <c r="F148">
        <f>+Intensity*Damp/(($B148/10-Shift)^2+Damp^2)</f>
        <v>10932.533042737181</v>
      </c>
      <c r="G148">
        <f t="shared" si="30"/>
        <v>1499.0750334650106</v>
      </c>
      <c r="H148">
        <f t="shared" si="31"/>
        <v>190.54653653513827</v>
      </c>
      <c r="I148">
        <v>25000</v>
      </c>
      <c r="J148">
        <f t="shared" si="21"/>
        <v>1380.3842646030187</v>
      </c>
      <c r="K148">
        <f t="shared" si="22"/>
        <v>1.312018650624177E-2</v>
      </c>
      <c r="L148">
        <f t="shared" si="23"/>
        <v>1.8694111904021198E-2</v>
      </c>
      <c r="M148">
        <f t="shared" si="24"/>
        <v>1.414551412249249E-2</v>
      </c>
      <c r="N148">
        <f t="shared" si="25"/>
        <v>1.8401763168371839E-2</v>
      </c>
      <c r="P148">
        <f t="shared" si="26"/>
        <v>0.85354037385475567</v>
      </c>
      <c r="R148">
        <f t="shared" si="27"/>
        <v>0.81512472890125498</v>
      </c>
      <c r="S148">
        <f t="shared" si="28"/>
        <v>1.1432560205442395</v>
      </c>
      <c r="T148">
        <f t="shared" si="29"/>
        <v>1.1614189242329516</v>
      </c>
    </row>
    <row r="149" spans="1:20">
      <c r="A149">
        <f t="shared" si="35"/>
        <v>-3.1200000000000419</v>
      </c>
      <c r="B149">
        <f t="shared" si="32"/>
        <v>7.5857757502911002E-4</v>
      </c>
      <c r="C149">
        <f t="shared" si="33"/>
        <v>310.20006189983405</v>
      </c>
      <c r="D149">
        <f t="shared" si="33"/>
        <v>32412.051278805498</v>
      </c>
      <c r="E149">
        <f t="shared" si="34"/>
        <v>9956.8769621603988</v>
      </c>
      <c r="F149">
        <f>+Intensity*Damp/(($B149/10-Shift)^2+Damp^2)</f>
        <v>9954.3370640639841</v>
      </c>
      <c r="G149">
        <f t="shared" si="30"/>
        <v>1392.2133291380121</v>
      </c>
      <c r="H149">
        <f t="shared" si="31"/>
        <v>173.78046942793171</v>
      </c>
      <c r="I149">
        <v>23000</v>
      </c>
      <c r="J149">
        <f t="shared" si="21"/>
        <v>1318.2567385565353</v>
      </c>
      <c r="K149">
        <f t="shared" si="22"/>
        <v>1.3235118558752037E-2</v>
      </c>
      <c r="L149">
        <f t="shared" si="23"/>
        <v>1.8651188756840926E-2</v>
      </c>
      <c r="M149">
        <f t="shared" si="24"/>
        <v>1.4090175905466155E-2</v>
      </c>
      <c r="N149">
        <f t="shared" si="25"/>
        <v>1.8354687870164657E-2</v>
      </c>
      <c r="P149">
        <f t="shared" si="26"/>
        <v>0.82226517298716428</v>
      </c>
      <c r="R149">
        <f t="shared" si="27"/>
        <v>0.78525714394637613</v>
      </c>
      <c r="S149">
        <f t="shared" si="28"/>
        <v>1.0890079836437623</v>
      </c>
      <c r="T149">
        <f t="shared" si="29"/>
        <v>1.1065997746364475</v>
      </c>
    </row>
    <row r="150" spans="1:20">
      <c r="A150">
        <f t="shared" si="35"/>
        <v>-3.1000000000000418</v>
      </c>
      <c r="B150">
        <f t="shared" si="32"/>
        <v>7.9432823472420412E-4</v>
      </c>
      <c r="C150">
        <f t="shared" si="33"/>
        <v>282.84372048082571</v>
      </c>
      <c r="D150">
        <f t="shared" si="33"/>
        <v>29495.321096866312</v>
      </c>
      <c r="E150">
        <f t="shared" si="34"/>
        <v>9066.6545381476608</v>
      </c>
      <c r="F150">
        <f>+Intensity*Damp/(($B150/10-Shift)^2+Damp^2)</f>
        <v>9064.3385006650387</v>
      </c>
      <c r="G150">
        <f t="shared" si="30"/>
        <v>1287.5425465717155</v>
      </c>
      <c r="H150">
        <f t="shared" si="31"/>
        <v>158.48964076695319</v>
      </c>
      <c r="I150">
        <v>21000</v>
      </c>
      <c r="J150">
        <f t="shared" si="21"/>
        <v>1258.9254117942899</v>
      </c>
      <c r="K150">
        <f t="shared" si="22"/>
        <v>1.3250104234081477E-2</v>
      </c>
      <c r="L150">
        <f t="shared" si="23"/>
        <v>1.8610289473865761E-2</v>
      </c>
      <c r="M150">
        <f t="shared" si="24"/>
        <v>1.4037518105567704E-2</v>
      </c>
      <c r="N150">
        <f t="shared" si="25"/>
        <v>1.8309875069246157E-2</v>
      </c>
      <c r="P150">
        <f t="shared" si="26"/>
        <v>0.78614626394611709</v>
      </c>
      <c r="R150">
        <f t="shared" si="27"/>
        <v>0.7507638535969916</v>
      </c>
      <c r="S150">
        <f t="shared" si="28"/>
        <v>1.0374554134078973</v>
      </c>
      <c r="T150">
        <f t="shared" si="29"/>
        <v>1.0544771871316188</v>
      </c>
    </row>
    <row r="151" spans="1:20">
      <c r="A151">
        <f t="shared" si="35"/>
        <v>-3.0800000000000418</v>
      </c>
      <c r="B151">
        <f t="shared" si="32"/>
        <v>8.3176377110259065E-4</v>
      </c>
      <c r="C151">
        <f t="shared" si="33"/>
        <v>257.90246513324166</v>
      </c>
      <c r="D151">
        <f t="shared" si="33"/>
        <v>26843.716843174847</v>
      </c>
      <c r="E151">
        <f t="shared" si="34"/>
        <v>8256.6093642244141</v>
      </c>
      <c r="F151">
        <f>+Intensity*Damp/(($B151/10-Shift)^2+Damp^2)</f>
        <v>8254.4974478504628</v>
      </c>
      <c r="G151">
        <f t="shared" si="30"/>
        <v>1143.3879972549485</v>
      </c>
      <c r="H151">
        <f t="shared" si="31"/>
        <v>144.54424450403064</v>
      </c>
      <c r="I151">
        <v>19500</v>
      </c>
      <c r="J151">
        <f t="shared" si="21"/>
        <v>1202.2644346175291</v>
      </c>
      <c r="K151">
        <f t="shared" si="22"/>
        <v>1.3490703932916655E-2</v>
      </c>
      <c r="L151">
        <f t="shared" si="23"/>
        <v>1.8571314686683073E-2</v>
      </c>
      <c r="M151">
        <f t="shared" si="24"/>
        <v>1.3987402905350093E-2</v>
      </c>
      <c r="N151">
        <f t="shared" si="25"/>
        <v>1.8267209866864739E-2</v>
      </c>
      <c r="P151">
        <f t="shared" si="26"/>
        <v>0.76439646764140956</v>
      </c>
      <c r="R151">
        <f t="shared" si="27"/>
        <v>0.72999295937852116</v>
      </c>
      <c r="S151">
        <f t="shared" si="28"/>
        <v>0.98845357933951306</v>
      </c>
      <c r="T151">
        <f t="shared" si="29"/>
        <v>1.0049089384137568</v>
      </c>
    </row>
    <row r="152" spans="1:20">
      <c r="A152">
        <f t="shared" si="35"/>
        <v>-3.0600000000000418</v>
      </c>
      <c r="B152">
        <f t="shared" si="32"/>
        <v>8.7096358995599626E-4</v>
      </c>
      <c r="C152">
        <f t="shared" si="33"/>
        <v>235.1627570470759</v>
      </c>
      <c r="D152">
        <f t="shared" si="33"/>
        <v>24432.794828001512</v>
      </c>
      <c r="E152">
        <f t="shared" si="34"/>
        <v>7519.4441454776361</v>
      </c>
      <c r="F152">
        <f>+Intensity*Damp/(($B152/10-Shift)^2+Damp^2)</f>
        <v>7517.518351897269</v>
      </c>
      <c r="G152">
        <f t="shared" si="30"/>
        <v>1042.0531543674401</v>
      </c>
      <c r="H152">
        <f t="shared" si="31"/>
        <v>131.82589629379697</v>
      </c>
      <c r="I152">
        <v>18500</v>
      </c>
      <c r="J152">
        <f t="shared" si="21"/>
        <v>1148.153621496994</v>
      </c>
      <c r="K152">
        <f t="shared" si="22"/>
        <v>1.4033685138037181E-2</v>
      </c>
      <c r="L152">
        <f t="shared" si="23"/>
        <v>1.853417025180738E-2</v>
      </c>
      <c r="M152">
        <f t="shared" si="24"/>
        <v>1.3939700263444699E-2</v>
      </c>
      <c r="N152">
        <f t="shared" si="25"/>
        <v>1.822658374040452E-2</v>
      </c>
      <c r="P152">
        <f t="shared" si="26"/>
        <v>0.75937411389676268</v>
      </c>
      <c r="R152">
        <f t="shared" si="27"/>
        <v>0.72519664878800627</v>
      </c>
      <c r="S152">
        <f t="shared" si="28"/>
        <v>0.94186646753028369</v>
      </c>
      <c r="T152">
        <f t="shared" si="29"/>
        <v>0.957761131340088</v>
      </c>
    </row>
    <row r="153" spans="1:20">
      <c r="A153">
        <f t="shared" si="35"/>
        <v>-3.0400000000000418</v>
      </c>
      <c r="B153">
        <f t="shared" si="32"/>
        <v>9.1201083935582127E-4</v>
      </c>
      <c r="C153">
        <f t="shared" si="33"/>
        <v>214.42998070632834</v>
      </c>
      <c r="D153">
        <f t="shared" si="33"/>
        <v>22240.40958361189</v>
      </c>
      <c r="E153">
        <f t="shared" si="34"/>
        <v>6848.5356843738073</v>
      </c>
      <c r="F153">
        <f>+Intensity*Damp/(($B153/10-Shift)^2+Damp^2)</f>
        <v>6846.7796028919911</v>
      </c>
      <c r="G153">
        <f t="shared" si="30"/>
        <v>969.11679694477834</v>
      </c>
      <c r="H153">
        <f t="shared" si="31"/>
        <v>120.22662847777055</v>
      </c>
      <c r="I153">
        <v>17500</v>
      </c>
      <c r="J153">
        <f t="shared" si="21"/>
        <v>1096.4781961432914</v>
      </c>
      <c r="K153">
        <f t="shared" si="22"/>
        <v>1.4555865994293919E-2</v>
      </c>
      <c r="L153">
        <f t="shared" si="23"/>
        <v>1.8498766946129421E-2</v>
      </c>
      <c r="M153">
        <f t="shared" si="24"/>
        <v>1.3894287418227076E-2</v>
      </c>
      <c r="N153">
        <f t="shared" si="25"/>
        <v>1.8187894143221649E-2</v>
      </c>
      <c r="P153">
        <f t="shared" si="26"/>
        <v>0.75218056664664523</v>
      </c>
      <c r="R153">
        <f t="shared" si="27"/>
        <v>0.71832686449694838</v>
      </c>
      <c r="S153">
        <f t="shared" si="28"/>
        <v>0.89756617550782647</v>
      </c>
      <c r="T153">
        <f t="shared" si="29"/>
        <v>0.91290763893278903</v>
      </c>
    </row>
    <row r="154" spans="1:20">
      <c r="A154">
        <f t="shared" si="35"/>
        <v>-3.0200000000000418</v>
      </c>
      <c r="B154">
        <f t="shared" si="32"/>
        <v>9.5499258602134386E-4</v>
      </c>
      <c r="C154">
        <f t="shared" si="33"/>
        <v>195.52676147295165</v>
      </c>
      <c r="D154">
        <f t="shared" si="33"/>
        <v>20246.492021565093</v>
      </c>
      <c r="E154">
        <f t="shared" si="34"/>
        <v>6237.8713143225095</v>
      </c>
      <c r="F154">
        <f>+Intensity*Damp/(($B154/10-Shift)^2+Damp^2)</f>
        <v>6236.2699818197752</v>
      </c>
      <c r="G154">
        <f t="shared" si="30"/>
        <v>890.09790278067067</v>
      </c>
      <c r="H154">
        <f t="shared" si="31"/>
        <v>109.6479735039713</v>
      </c>
      <c r="I154">
        <v>16500</v>
      </c>
      <c r="J154">
        <f t="shared" si="21"/>
        <v>1047.1285480510005</v>
      </c>
      <c r="K154">
        <f t="shared" si="22"/>
        <v>1.5048178849369608E-2</v>
      </c>
      <c r="L154">
        <f t="shared" si="23"/>
        <v>1.8465020182596749E-2</v>
      </c>
      <c r="M154">
        <f t="shared" si="24"/>
        <v>1.385104842771083E-2</v>
      </c>
      <c r="N154">
        <f t="shared" si="25"/>
        <v>1.8151044133391928E-2</v>
      </c>
      <c r="P154">
        <f t="shared" si="26"/>
        <v>0.74262233064623451</v>
      </c>
      <c r="R154">
        <f t="shared" si="27"/>
        <v>0.70919881998111267</v>
      </c>
      <c r="S154">
        <f t="shared" si="28"/>
        <v>0.85543235561464037</v>
      </c>
      <c r="T154">
        <f t="shared" si="29"/>
        <v>0.87022959093642283</v>
      </c>
    </row>
    <row r="155" spans="1:20">
      <c r="A155">
        <f t="shared" si="35"/>
        <v>-3.0000000000000417</v>
      </c>
      <c r="B155">
        <f t="shared" si="32"/>
        <v>9.9999999999990353E-4</v>
      </c>
      <c r="C155">
        <f t="shared" si="33"/>
        <v>178.29143345605232</v>
      </c>
      <c r="D155">
        <f t="shared" si="33"/>
        <v>18432.849744588959</v>
      </c>
      <c r="E155">
        <f t="shared" si="34"/>
        <v>5681.9914961532077</v>
      </c>
      <c r="F155">
        <f>+Intensity*Damp/(($B155/10-Shift)^2+Damp^2)</f>
        <v>5680.5312693808464</v>
      </c>
      <c r="G155">
        <f t="shared" si="30"/>
        <v>806.41159053659135</v>
      </c>
      <c r="H155">
        <f t="shared" si="31"/>
        <v>100.00012799985545</v>
      </c>
      <c r="I155">
        <v>15000</v>
      </c>
      <c r="J155">
        <f t="shared" si="21"/>
        <v>1000.0000000000965</v>
      </c>
      <c r="K155">
        <f t="shared" si="22"/>
        <v>1.4999999999997106E-2</v>
      </c>
      <c r="L155">
        <f t="shared" si="23"/>
        <v>1.8432849744585401E-2</v>
      </c>
      <c r="M155">
        <f t="shared" si="24"/>
        <v>1.3809873742688822E-2</v>
      </c>
      <c r="N155">
        <f t="shared" si="25"/>
        <v>1.8115942028985574E-2</v>
      </c>
      <c r="P155">
        <f t="shared" si="26"/>
        <v>0.70692822076341921</v>
      </c>
      <c r="R155">
        <f t="shared" si="27"/>
        <v>0.67511120967839178</v>
      </c>
      <c r="S155">
        <f t="shared" si="28"/>
        <v>0.81535170251029532</v>
      </c>
      <c r="T155">
        <f t="shared" si="29"/>
        <v>0.8296148992592991</v>
      </c>
    </row>
    <row r="156" spans="1:20">
      <c r="A156">
        <f t="shared" si="35"/>
        <v>-2.9800000000000417</v>
      </c>
      <c r="B156">
        <f t="shared" si="32"/>
        <v>1.0471285480507981E-3</v>
      </c>
      <c r="C156">
        <f t="shared" si="33"/>
        <v>162.57664415085159</v>
      </c>
      <c r="D156">
        <f t="shared" si="33"/>
        <v>16782.987206026548</v>
      </c>
      <c r="E156">
        <f t="shared" si="34"/>
        <v>5175.937958111268</v>
      </c>
      <c r="F156">
        <f>+Intensity*Damp/(($B156/10-Shift)^2+Damp^2)</f>
        <v>5174.6063972431821</v>
      </c>
      <c r="G156">
        <f t="shared" si="30"/>
        <v>729.39754183534251</v>
      </c>
      <c r="H156">
        <f t="shared" si="31"/>
        <v>91.201190401247047</v>
      </c>
      <c r="I156">
        <v>14000</v>
      </c>
      <c r="J156">
        <f t="shared" si="21"/>
        <v>954.99258602152838</v>
      </c>
      <c r="K156">
        <f t="shared" si="22"/>
        <v>1.5350694746001616E-2</v>
      </c>
      <c r="L156">
        <f t="shared" si="23"/>
        <v>1.8402179537554578E-2</v>
      </c>
      <c r="M156">
        <f t="shared" si="24"/>
        <v>1.3770659810409869E-2</v>
      </c>
      <c r="N156">
        <f t="shared" si="25"/>
        <v>1.8082501087703876E-2</v>
      </c>
      <c r="P156">
        <f t="shared" si="26"/>
        <v>0.69089507329192756</v>
      </c>
      <c r="R156">
        <f t="shared" si="27"/>
        <v>0.6597996727125266</v>
      </c>
      <c r="S156">
        <f t="shared" si="28"/>
        <v>0.77721748083086195</v>
      </c>
      <c r="T156">
        <f t="shared" si="29"/>
        <v>0.7909578189767742</v>
      </c>
    </row>
    <row r="157" spans="1:20">
      <c r="A157">
        <f t="shared" si="35"/>
        <v>-2.9600000000000417</v>
      </c>
      <c r="B157">
        <f t="shared" si="32"/>
        <v>1.0964781961430787E-3</v>
      </c>
      <c r="C157">
        <f t="shared" si="33"/>
        <v>148.24808355907729</v>
      </c>
      <c r="D157">
        <f t="shared" si="33"/>
        <v>15281.943662041338</v>
      </c>
      <c r="E157">
        <f t="shared" si="34"/>
        <v>4715.2068250549655</v>
      </c>
      <c r="F157">
        <f>+Intensity*Damp/(($B157/10-Shift)^2+Damp^2)</f>
        <v>4713.9925875071513</v>
      </c>
      <c r="G157">
        <f t="shared" si="30"/>
        <v>662.2528480753416</v>
      </c>
      <c r="H157">
        <f t="shared" si="31"/>
        <v>83.17646566455322</v>
      </c>
      <c r="I157">
        <v>13000</v>
      </c>
      <c r="J157">
        <f t="shared" si="21"/>
        <v>912.0108393559982</v>
      </c>
      <c r="K157">
        <f t="shared" si="22"/>
        <v>1.5629437650023337E-2</v>
      </c>
      <c r="L157">
        <f t="shared" si="23"/>
        <v>1.8372937356695724E-2</v>
      </c>
      <c r="M157">
        <f t="shared" si="24"/>
        <v>1.3733308706322118E-2</v>
      </c>
      <c r="N157">
        <f t="shared" si="25"/>
        <v>1.8050639208909487E-2</v>
      </c>
      <c r="P157">
        <f t="shared" si="26"/>
        <v>0.67178052959801704</v>
      </c>
      <c r="R157">
        <f t="shared" si="27"/>
        <v>0.64154542519965918</v>
      </c>
      <c r="S157">
        <f t="shared" si="28"/>
        <v>0.74092908943452518</v>
      </c>
      <c r="T157">
        <f t="shared" si="29"/>
        <v>0.75415854188781128</v>
      </c>
    </row>
    <row r="158" spans="1:20">
      <c r="A158">
        <f t="shared" si="35"/>
        <v>-2.9400000000000417</v>
      </c>
      <c r="B158">
        <f t="shared" si="32"/>
        <v>1.1481536214967723E-3</v>
      </c>
      <c r="C158">
        <f t="shared" si="33"/>
        <v>135.18332661670064</v>
      </c>
      <c r="D158">
        <f t="shared" si="33"/>
        <v>13916.147084891161</v>
      </c>
      <c r="E158">
        <f t="shared" si="34"/>
        <v>4295.7062404111357</v>
      </c>
      <c r="F158">
        <f>+Intensity*Damp/(($B158/10-Shift)^2+Damp^2)</f>
        <v>4294.5989840259581</v>
      </c>
      <c r="G158">
        <f t="shared" si="30"/>
        <v>603.56478650927124</v>
      </c>
      <c r="H158">
        <f t="shared" si="31"/>
        <v>75.857831159173443</v>
      </c>
      <c r="I158">
        <v>12000</v>
      </c>
      <c r="J158">
        <f t="shared" si="21"/>
        <v>870.96358995616447</v>
      </c>
      <c r="K158">
        <f t="shared" si="22"/>
        <v>1.5819080862673841E-2</v>
      </c>
      <c r="L158">
        <f t="shared" si="23"/>
        <v>1.8345054669396343E-2</v>
      </c>
      <c r="M158">
        <f t="shared" si="24"/>
        <v>1.3697727791634032E-2</v>
      </c>
      <c r="N158">
        <f t="shared" si="25"/>
        <v>1.8020278656259846E-2</v>
      </c>
      <c r="P158">
        <f t="shared" si="26"/>
        <v>0.6493297574462964</v>
      </c>
      <c r="R158">
        <f t="shared" si="27"/>
        <v>0.62010510424431098</v>
      </c>
      <c r="S158">
        <f t="shared" si="28"/>
        <v>0.70639165901341527</v>
      </c>
      <c r="T158">
        <f t="shared" si="29"/>
        <v>0.71912281989629978</v>
      </c>
    </row>
    <row r="159" spans="1:20">
      <c r="A159">
        <f t="shared" si="35"/>
        <v>-2.9200000000000417</v>
      </c>
      <c r="B159">
        <f t="shared" si="32"/>
        <v>1.202264434617297E-3</v>
      </c>
      <c r="C159">
        <f t="shared" si="33"/>
        <v>123.27077876684041</v>
      </c>
      <c r="D159">
        <f t="shared" si="33"/>
        <v>12673.282403172665</v>
      </c>
      <c r="E159">
        <f t="shared" si="34"/>
        <v>3913.7180359672539</v>
      </c>
      <c r="F159">
        <f>+Intensity*Damp/(($B159/10-Shift)^2+Damp^2)</f>
        <v>3912.7083307383946</v>
      </c>
      <c r="G159">
        <f t="shared" si="30"/>
        <v>551.85396665813948</v>
      </c>
      <c r="H159">
        <f t="shared" si="31"/>
        <v>69.183158356504549</v>
      </c>
      <c r="I159">
        <v>11000</v>
      </c>
      <c r="J159">
        <f t="shared" si="21"/>
        <v>831.76377110275121</v>
      </c>
      <c r="K159">
        <f t="shared" si="22"/>
        <v>1.5899837478202138E-2</v>
      </c>
      <c r="L159">
        <f t="shared" si="23"/>
        <v>1.8318466411436762E-2</v>
      </c>
      <c r="M159">
        <f t="shared" si="24"/>
        <v>1.3663829394642694E-2</v>
      </c>
      <c r="N159">
        <f t="shared" si="25"/>
        <v>1.7991345799313063E-2</v>
      </c>
      <c r="P159">
        <f t="shared" si="26"/>
        <v>0.62327074894423495</v>
      </c>
      <c r="R159">
        <f t="shared" si="27"/>
        <v>0.59521894432577183</v>
      </c>
      <c r="S159">
        <f t="shared" si="28"/>
        <v>0.67351568016643137</v>
      </c>
      <c r="T159">
        <f t="shared" si="29"/>
        <v>0.68576161574171035</v>
      </c>
    </row>
    <row r="160" spans="1:20">
      <c r="A160">
        <f t="shared" si="35"/>
        <v>-2.9000000000000417</v>
      </c>
      <c r="B160">
        <f t="shared" si="32"/>
        <v>1.2589254117940456E-3</v>
      </c>
      <c r="C160">
        <f t="shared" si="33"/>
        <v>112.40871543479133</v>
      </c>
      <c r="D160">
        <f t="shared" si="33"/>
        <v>11542.172610082835</v>
      </c>
      <c r="E160">
        <f t="shared" si="34"/>
        <v>3565.8630504789103</v>
      </c>
      <c r="F160">
        <f>+Intensity*Damp/(($B160/10-Shift)^2+Damp^2)</f>
        <v>3564.9422980649279</v>
      </c>
      <c r="G160">
        <f t="shared" si="30"/>
        <v>506.23098560805255</v>
      </c>
      <c r="H160">
        <f t="shared" si="31"/>
        <v>63.095785405708185</v>
      </c>
      <c r="I160">
        <v>10000</v>
      </c>
      <c r="J160">
        <f t="shared" si="21"/>
        <v>794.32823472435825</v>
      </c>
      <c r="K160">
        <f t="shared" si="22"/>
        <v>1.5848931924608074E-2</v>
      </c>
      <c r="L160">
        <f t="shared" si="23"/>
        <v>1.8293110795927874E-2</v>
      </c>
      <c r="M160">
        <f t="shared" si="24"/>
        <v>1.3631530513959071E-2</v>
      </c>
      <c r="N160">
        <f t="shared" si="25"/>
        <v>1.7963770872620438E-2</v>
      </c>
      <c r="P160">
        <f t="shared" si="26"/>
        <v>0.59331326762233727</v>
      </c>
      <c r="R160">
        <f t="shared" si="27"/>
        <v>0.56660977176748417</v>
      </c>
      <c r="S160">
        <f t="shared" si="28"/>
        <v>0.64221665930781946</v>
      </c>
      <c r="T160">
        <f t="shared" si="29"/>
        <v>0.65399077882999412</v>
      </c>
    </row>
    <row r="161" spans="1:20">
      <c r="A161">
        <f t="shared" si="35"/>
        <v>-2.8800000000000416</v>
      </c>
      <c r="B161">
        <f t="shared" si="32"/>
        <v>1.3182567385562794E-3</v>
      </c>
      <c r="C161">
        <f t="shared" si="33"/>
        <v>102.50440699715223</v>
      </c>
      <c r="D161">
        <f t="shared" si="33"/>
        <v>10512.671436133329</v>
      </c>
      <c r="E161">
        <f t="shared" si="34"/>
        <v>3249.0697390021483</v>
      </c>
      <c r="F161">
        <f>+Intensity*Damp/(($B161/10-Shift)^2+Damp^2)</f>
        <v>3248.230099342461</v>
      </c>
      <c r="G161">
        <f t="shared" si="30"/>
        <v>464.73746082229172</v>
      </c>
      <c r="H161">
        <f t="shared" si="31"/>
        <v>57.544036118479184</v>
      </c>
      <c r="I161">
        <v>9000</v>
      </c>
      <c r="J161">
        <f t="shared" si="21"/>
        <v>758.57757502925733</v>
      </c>
      <c r="K161">
        <f t="shared" si="22"/>
        <v>1.5640207458741347E-2</v>
      </c>
      <c r="L161">
        <f t="shared" si="23"/>
        <v>1.8268929134078845E-2</v>
      </c>
      <c r="M161">
        <f t="shared" si="24"/>
        <v>1.3600752541922806E-2</v>
      </c>
      <c r="N161">
        <f t="shared" si="25"/>
        <v>1.7937487750950085E-2</v>
      </c>
      <c r="P161">
        <f t="shared" si="26"/>
        <v>0.55914773441825527</v>
      </c>
      <c r="R161">
        <f t="shared" si="27"/>
        <v>0.53398194086011674</v>
      </c>
      <c r="S161">
        <f t="shared" si="28"/>
        <v>0.61241480003857407</v>
      </c>
      <c r="T161">
        <f t="shared" si="29"/>
        <v>0.62373074412124285</v>
      </c>
    </row>
    <row r="162" spans="1:20">
      <c r="A162">
        <f t="shared" si="35"/>
        <v>-2.8600000000000416</v>
      </c>
      <c r="B162">
        <f t="shared" si="32"/>
        <v>1.3803842646027522E-3</v>
      </c>
      <c r="C162">
        <f t="shared" si="33"/>
        <v>93.473321595737929</v>
      </c>
      <c r="D162">
        <f t="shared" si="33"/>
        <v>9575.5664207363952</v>
      </c>
      <c r="E162">
        <f t="shared" si="34"/>
        <v>2960.5457513872716</v>
      </c>
      <c r="F162">
        <f>+Intensity*Damp/(($B162/10-Shift)^2+Damp^2)</f>
        <v>2959.7800757945056</v>
      </c>
      <c r="G162">
        <f t="shared" si="30"/>
        <v>423.08555155612214</v>
      </c>
      <c r="H162">
        <f t="shared" si="31"/>
        <v>52.480781279091069</v>
      </c>
      <c r="I162">
        <v>8000</v>
      </c>
      <c r="J162">
        <f t="shared" si="21"/>
        <v>724.43596007505971</v>
      </c>
      <c r="K162">
        <f t="shared" si="22"/>
        <v>1.5243685743703047E-2</v>
      </c>
      <c r="L162">
        <f t="shared" si="23"/>
        <v>1.8245865666957625E-2</v>
      </c>
      <c r="M162">
        <f t="shared" si="24"/>
        <v>1.3571421006646711E-2</v>
      </c>
      <c r="N162">
        <f t="shared" si="25"/>
        <v>1.7912433739404269E-2</v>
      </c>
      <c r="P162">
        <f t="shared" si="26"/>
        <v>0.52044404914428943</v>
      </c>
      <c r="R162">
        <f t="shared" si="27"/>
        <v>0.49702020837177247</v>
      </c>
      <c r="S162">
        <f t="shared" si="28"/>
        <v>0.58403470783185862</v>
      </c>
      <c r="T162">
        <f t="shared" si="29"/>
        <v>0.59490625221401883</v>
      </c>
    </row>
    <row r="163" spans="1:20">
      <c r="A163">
        <f t="shared" si="35"/>
        <v>-2.8400000000000416</v>
      </c>
      <c r="B163">
        <f t="shared" si="32"/>
        <v>1.4454397707457883E-3</v>
      </c>
      <c r="C163">
        <f t="shared" si="33"/>
        <v>85.238398836466473</v>
      </c>
      <c r="D163">
        <f t="shared" si="33"/>
        <v>8722.491339716662</v>
      </c>
      <c r="E163">
        <f t="shared" si="34"/>
        <v>2697.7521909951106</v>
      </c>
      <c r="F163">
        <f>+Intensity*Damp/(($B163/10-Shift)^2+Damp^2)</f>
        <v>2697.0539611527288</v>
      </c>
      <c r="G163">
        <f t="shared" si="30"/>
        <v>380.62490938070783</v>
      </c>
      <c r="H163">
        <f t="shared" si="31"/>
        <v>47.863038555361044</v>
      </c>
      <c r="I163">
        <v>7000</v>
      </c>
      <c r="J163">
        <f t="shared" si="21"/>
        <v>691.83097091900311</v>
      </c>
      <c r="K163">
        <f t="shared" si="22"/>
        <v>1.462507291597546E-2</v>
      </c>
      <c r="L163">
        <f t="shared" si="23"/>
        <v>1.8223867407474382E-2</v>
      </c>
      <c r="M163">
        <f t="shared" si="24"/>
        <v>1.3543465331265013E-2</v>
      </c>
      <c r="N163">
        <f t="shared" si="25"/>
        <v>1.7888549377299771E-2</v>
      </c>
      <c r="P163">
        <f t="shared" si="26"/>
        <v>0.47685034383191671</v>
      </c>
      <c r="R163">
        <f t="shared" si="27"/>
        <v>0.45538854300125303</v>
      </c>
      <c r="S163">
        <f t="shared" si="28"/>
        <v>0.55700511608636849</v>
      </c>
      <c r="T163">
        <f t="shared" si="29"/>
        <v>0.567446088933517</v>
      </c>
    </row>
    <row r="164" spans="1:20">
      <c r="A164">
        <f t="shared" si="35"/>
        <v>-2.8200000000000416</v>
      </c>
      <c r="B164">
        <f t="shared" si="32"/>
        <v>1.5135612484360622E-3</v>
      </c>
      <c r="C164">
        <f t="shared" si="33"/>
        <v>77.729388040102137</v>
      </c>
      <c r="D164">
        <f t="shared" si="33"/>
        <v>7945.8470548878322</v>
      </c>
      <c r="E164">
        <f t="shared" si="34"/>
        <v>2458.3802938570102</v>
      </c>
      <c r="F164">
        <f>+Intensity*Damp/(($B164/10-Shift)^2+Damp^2)</f>
        <v>2457.7435662013472</v>
      </c>
      <c r="G164">
        <f t="shared" si="30"/>
        <v>347.41088455667165</v>
      </c>
      <c r="H164">
        <f t="shared" si="31"/>
        <v>43.651607613908588</v>
      </c>
      <c r="I164">
        <v>6000</v>
      </c>
      <c r="J164">
        <f t="shared" si="21"/>
        <v>660.69344800765975</v>
      </c>
      <c r="K164">
        <f t="shared" si="22"/>
        <v>1.3745205916603985E-2</v>
      </c>
      <c r="L164">
        <f t="shared" si="23"/>
        <v>1.8202883991879099E-2</v>
      </c>
      <c r="M164">
        <f t="shared" si="24"/>
        <v>1.3516818609080855E-2</v>
      </c>
      <c r="N164">
        <f t="shared" si="25"/>
        <v>1.7865778254777233E-2</v>
      </c>
      <c r="P164">
        <f t="shared" si="26"/>
        <v>0.42799166414938777</v>
      </c>
      <c r="R164">
        <f t="shared" si="27"/>
        <v>0.40872886614164239</v>
      </c>
      <c r="S164">
        <f t="shared" si="28"/>
        <v>0.53125863178172528</v>
      </c>
      <c r="T164">
        <f t="shared" si="29"/>
        <v>0.54128284287986872</v>
      </c>
    </row>
    <row r="165" spans="1:20">
      <c r="A165">
        <f t="shared" si="35"/>
        <v>-2.8000000000000416</v>
      </c>
      <c r="B165">
        <f t="shared" si="32"/>
        <v>1.5848931924609601E-3</v>
      </c>
      <c r="C165">
        <f t="shared" si="33"/>
        <v>70.882245281436994</v>
      </c>
      <c r="D165">
        <f t="shared" si="33"/>
        <v>7238.72994894778</v>
      </c>
      <c r="E165">
        <f t="shared" si="34"/>
        <v>2240.3302945841933</v>
      </c>
      <c r="F165">
        <f>+Intensity*Damp/(($B165/10-Shift)^2+Damp^2)</f>
        <v>2239.7496495957789</v>
      </c>
      <c r="G165">
        <f t="shared" si="30"/>
        <v>321.29212307351804</v>
      </c>
      <c r="H165">
        <f t="shared" si="31"/>
        <v>39.810737341979959</v>
      </c>
      <c r="I165">
        <v>5000</v>
      </c>
      <c r="J165">
        <f t="shared" si="21"/>
        <v>630.95734448025428</v>
      </c>
      <c r="K165">
        <f t="shared" si="22"/>
        <v>1.255943215754547E-2</v>
      </c>
      <c r="L165">
        <f t="shared" si="23"/>
        <v>1.8182867540120443E-2</v>
      </c>
      <c r="M165">
        <f t="shared" si="24"/>
        <v>1.3491417393418676E-2</v>
      </c>
      <c r="N165">
        <f t="shared" si="25"/>
        <v>1.7844066841193038E-2</v>
      </c>
      <c r="P165">
        <f t="shared" si="26"/>
        <v>0.37346857488220569</v>
      </c>
      <c r="R165">
        <f t="shared" si="27"/>
        <v>0.35665972012449726</v>
      </c>
      <c r="S165">
        <f t="shared" si="28"/>
        <v>0.50673149913383642</v>
      </c>
      <c r="T165">
        <f t="shared" si="29"/>
        <v>0.5163526795297062</v>
      </c>
    </row>
    <row r="166" spans="1:20">
      <c r="A166">
        <f t="shared" si="35"/>
        <v>-2.7800000000000415</v>
      </c>
      <c r="B166">
        <f t="shared" si="32"/>
        <v>1.6595869074374013E-3</v>
      </c>
      <c r="C166">
        <f t="shared" si="33"/>
        <v>64.638583971437328</v>
      </c>
      <c r="D166">
        <f t="shared" si="33"/>
        <v>6594.867195470255</v>
      </c>
      <c r="E166">
        <f t="shared" si="34"/>
        <v>2041.6922686810467</v>
      </c>
      <c r="F166">
        <f>+Intensity*Damp/(($B166/10-Shift)^2+Damp^2)</f>
        <v>2041.1627646519971</v>
      </c>
      <c r="G166">
        <f t="shared" si="30"/>
        <v>288.1644390824714</v>
      </c>
      <c r="H166">
        <f t="shared" si="31"/>
        <v>36.307822350695524</v>
      </c>
      <c r="I166">
        <v>4700</v>
      </c>
      <c r="J166">
        <f t="shared" si="21"/>
        <v>602.55958607441562</v>
      </c>
      <c r="K166">
        <f t="shared" si="22"/>
        <v>1.2944874905686896E-2</v>
      </c>
      <c r="L166">
        <f t="shared" si="23"/>
        <v>1.8163772524463963E-2</v>
      </c>
      <c r="M166">
        <f t="shared" si="24"/>
        <v>1.3467201501087359E-2</v>
      </c>
      <c r="N166">
        <f t="shared" si="25"/>
        <v>1.7823364324426799E-2</v>
      </c>
      <c r="P166">
        <f t="shared" si="26"/>
        <v>0.36760543016549263</v>
      </c>
      <c r="R166">
        <f t="shared" si="27"/>
        <v>0.35106046038926636</v>
      </c>
      <c r="S166">
        <f t="shared" si="28"/>
        <v>0.48336337979365568</v>
      </c>
      <c r="T166">
        <f t="shared" si="29"/>
        <v>0.49259513060592724</v>
      </c>
    </row>
    <row r="167" spans="1:20">
      <c r="A167">
        <f t="shared" si="35"/>
        <v>-2.7600000000000415</v>
      </c>
      <c r="B167">
        <f t="shared" si="32"/>
        <v>1.7378008287492082E-3</v>
      </c>
      <c r="C167">
        <f t="shared" si="33"/>
        <v>58.94517420785742</v>
      </c>
      <c r="D167">
        <f t="shared" si="33"/>
        <v>6008.5581909243137</v>
      </c>
      <c r="E167">
        <f t="shared" si="34"/>
        <v>1860.7287618328621</v>
      </c>
      <c r="F167">
        <f>+Intensity*Damp/(($B167/10-Shift)^2+Damp^2)</f>
        <v>1860.2458927152218</v>
      </c>
      <c r="G167">
        <f t="shared" si="30"/>
        <v>266.88990414300645</v>
      </c>
      <c r="H167">
        <f t="shared" si="31"/>
        <v>33.113126183180441</v>
      </c>
      <c r="I167">
        <v>4500</v>
      </c>
      <c r="J167">
        <f t="shared" si="21"/>
        <v>575.43993733721231</v>
      </c>
      <c r="K167">
        <f t="shared" si="22"/>
        <v>1.3589782741806456E-2</v>
      </c>
      <c r="L167">
        <f t="shared" si="23"/>
        <v>1.8145555645814014E-2</v>
      </c>
      <c r="M167">
        <f t="shared" si="24"/>
        <v>1.3444113828450871E-2</v>
      </c>
      <c r="N167">
        <f t="shared" si="25"/>
        <v>1.7803622460309435E-2</v>
      </c>
      <c r="P167">
        <f t="shared" si="26"/>
        <v>0.3685501343726994</v>
      </c>
      <c r="R167">
        <f t="shared" si="27"/>
        <v>0.35196264590313175</v>
      </c>
      <c r="S167">
        <f t="shared" si="28"/>
        <v>0.46109714826522535</v>
      </c>
      <c r="T167">
        <f t="shared" si="29"/>
        <v>0.46995289754236802</v>
      </c>
    </row>
    <row r="168" spans="1:20">
      <c r="A168">
        <f t="shared" si="35"/>
        <v>-2.7400000000000415</v>
      </c>
      <c r="B168">
        <f t="shared" si="32"/>
        <v>1.8197008586098081E-3</v>
      </c>
      <c r="C168">
        <f t="shared" si="33"/>
        <v>53.753486548125451</v>
      </c>
      <c r="D168">
        <f t="shared" si="33"/>
        <v>5474.6215444998988</v>
      </c>
      <c r="E168">
        <f t="shared" si="34"/>
        <v>1695.8590354870321</v>
      </c>
      <c r="F168">
        <f>+Intensity*Damp/(($B168/10-Shift)^2+Damp^2)</f>
        <v>1695.4186924617991</v>
      </c>
      <c r="G168">
        <f t="shared" si="30"/>
        <v>239.74488708641977</v>
      </c>
      <c r="H168">
        <f t="shared" si="31"/>
        <v>30.199528877760216</v>
      </c>
      <c r="I168">
        <v>4300</v>
      </c>
      <c r="J168">
        <f t="shared" si="21"/>
        <v>549.54087385767752</v>
      </c>
      <c r="K168">
        <f t="shared" si="22"/>
        <v>1.4238638223748672E-2</v>
      </c>
      <c r="L168">
        <f t="shared" si="23"/>
        <v>1.8128175717226573E-2</v>
      </c>
      <c r="M168">
        <f t="shared" si="24"/>
        <v>1.3422100179186021E-2</v>
      </c>
      <c r="N168">
        <f t="shared" si="25"/>
        <v>1.778479543144245E-2</v>
      </c>
      <c r="P168">
        <f t="shared" si="26"/>
        <v>0.36876739521900365</v>
      </c>
      <c r="R168">
        <f t="shared" si="27"/>
        <v>0.35217012840058526</v>
      </c>
      <c r="S168">
        <f t="shared" si="28"/>
        <v>0.43987870133695056</v>
      </c>
      <c r="T168">
        <f t="shared" si="29"/>
        <v>0.44837166797003258</v>
      </c>
    </row>
    <row r="169" spans="1:20">
      <c r="A169">
        <f t="shared" si="35"/>
        <v>-2.7200000000000415</v>
      </c>
      <c r="B169">
        <f t="shared" si="32"/>
        <v>1.9054607179630647E-3</v>
      </c>
      <c r="C169">
        <f t="shared" si="33"/>
        <v>49.019276247867687</v>
      </c>
      <c r="D169">
        <f t="shared" si="33"/>
        <v>4988.3470830012757</v>
      </c>
      <c r="E169">
        <f t="shared" si="34"/>
        <v>1545.6447748640603</v>
      </c>
      <c r="F169">
        <f>+Intensity*Damp/(($B169/10-Shift)^2+Damp^2)</f>
        <v>1545.2432113024042</v>
      </c>
      <c r="G169">
        <f t="shared" si="30"/>
        <v>221.36087196940676</v>
      </c>
      <c r="H169">
        <f t="shared" si="31"/>
        <v>27.542296743176475</v>
      </c>
      <c r="I169">
        <v>4100</v>
      </c>
      <c r="J169">
        <f t="shared" si="21"/>
        <v>524.80746024982284</v>
      </c>
      <c r="K169">
        <f t="shared" si="22"/>
        <v>1.4886200245571305E-2</v>
      </c>
      <c r="L169">
        <f t="shared" si="23"/>
        <v>1.8111593554138657E-2</v>
      </c>
      <c r="M169">
        <f t="shared" si="24"/>
        <v>1.3401109102882162E-2</v>
      </c>
      <c r="N169">
        <f t="shared" si="25"/>
        <v>1.7766839714738573E-2</v>
      </c>
      <c r="P169">
        <f t="shared" si="26"/>
        <v>0.36818654772305753</v>
      </c>
      <c r="R169">
        <f t="shared" si="27"/>
        <v>0.35161542334834767</v>
      </c>
      <c r="S169">
        <f t="shared" si="28"/>
        <v>0.41965678042780402</v>
      </c>
      <c r="T169">
        <f t="shared" si="29"/>
        <v>0.42779994424341189</v>
      </c>
    </row>
    <row r="170" spans="1:20">
      <c r="A170">
        <f t="shared" si="35"/>
        <v>-2.7000000000000415</v>
      </c>
      <c r="B170">
        <f t="shared" si="32"/>
        <v>1.9952623149686885E-3</v>
      </c>
      <c r="C170">
        <f t="shared" si="33"/>
        <v>44.702204362786475</v>
      </c>
      <c r="D170">
        <f t="shared" si="33"/>
        <v>4545.4523830154731</v>
      </c>
      <c r="E170">
        <f t="shared" si="34"/>
        <v>1408.7771206289567</v>
      </c>
      <c r="F170">
        <f>+Intensity*Damp/(($B170/10-Shift)^2+Damp^2)</f>
        <v>1408.4109201460919</v>
      </c>
      <c r="G170">
        <f t="shared" si="30"/>
        <v>201.82192079507587</v>
      </c>
      <c r="H170">
        <f t="shared" si="31"/>
        <v>25.118872391352031</v>
      </c>
      <c r="I170">
        <v>3900</v>
      </c>
      <c r="J170">
        <f t="shared" si="21"/>
        <v>501.18723362732027</v>
      </c>
      <c r="K170">
        <f t="shared" si="22"/>
        <v>1.5526179651583418E-2</v>
      </c>
      <c r="L170">
        <f t="shared" si="23"/>
        <v>1.8095771870875948E-2</v>
      </c>
      <c r="M170">
        <f t="shared" si="24"/>
        <v>1.3381091743706287E-2</v>
      </c>
      <c r="N170">
        <f t="shared" si="25"/>
        <v>1.7749713957067911E-2</v>
      </c>
      <c r="P170">
        <f t="shared" si="26"/>
        <v>0.36673188195208545</v>
      </c>
      <c r="R170">
        <f t="shared" si="27"/>
        <v>0.35022622832193029</v>
      </c>
      <c r="S170">
        <f t="shared" si="28"/>
        <v>0.40038280584644953</v>
      </c>
      <c r="T170">
        <f t="shared" si="29"/>
        <v>0.40818888310780493</v>
      </c>
    </row>
    <row r="171" spans="1:20">
      <c r="A171">
        <f t="shared" si="35"/>
        <v>-2.6800000000000415</v>
      </c>
      <c r="B171">
        <f t="shared" si="32"/>
        <v>2.0892961308538387E-3</v>
      </c>
      <c r="C171">
        <f t="shared" si="33"/>
        <v>40.765492433977272</v>
      </c>
      <c r="D171">
        <f t="shared" si="33"/>
        <v>4142.0433917018236</v>
      </c>
      <c r="E171">
        <f t="shared" si="34"/>
        <v>1284.0648990099066</v>
      </c>
      <c r="F171">
        <f>+Intensity*Damp/(($B171/10-Shift)^2+Damp^2)</f>
        <v>1283.7309463385454</v>
      </c>
      <c r="G171">
        <f t="shared" si="30"/>
        <v>182.55929120117534</v>
      </c>
      <c r="H171">
        <f t="shared" si="31"/>
        <v>22.908683245215663</v>
      </c>
      <c r="I171">
        <v>3700</v>
      </c>
      <c r="J171">
        <f t="shared" si="21"/>
        <v>478.63009232268433</v>
      </c>
      <c r="K171">
        <f t="shared" si="22"/>
        <v>1.6151085792883036E-2</v>
      </c>
      <c r="L171">
        <f t="shared" si="23"/>
        <v>1.8080675183032538E-2</v>
      </c>
      <c r="M171">
        <f t="shared" si="24"/>
        <v>1.336200169841944E-2</v>
      </c>
      <c r="N171">
        <f t="shared" si="25"/>
        <v>1.7733378858443231E-2</v>
      </c>
      <c r="P171">
        <f t="shared" si="26"/>
        <v>0.36432232445336293</v>
      </c>
      <c r="R171">
        <f t="shared" si="27"/>
        <v>0.34792511877505772</v>
      </c>
      <c r="S171">
        <f t="shared" si="28"/>
        <v>0.38201072204852721</v>
      </c>
      <c r="T171">
        <f t="shared" si="29"/>
        <v>0.38949214568359458</v>
      </c>
    </row>
    <row r="172" spans="1:20">
      <c r="A172">
        <f t="shared" si="35"/>
        <v>-2.6600000000000414</v>
      </c>
      <c r="B172">
        <f t="shared" si="32"/>
        <v>2.1877616239493422E-3</v>
      </c>
      <c r="C172">
        <f t="shared" si="33"/>
        <v>37.175607770074102</v>
      </c>
      <c r="D172">
        <f t="shared" si="33"/>
        <v>3774.5787415246787</v>
      </c>
      <c r="E172">
        <f t="shared" si="34"/>
        <v>1170.4239373334515</v>
      </c>
      <c r="F172">
        <f>+Intensity*Damp/(($B172/10-Shift)^2+Damp^2)</f>
        <v>1170.1193917678431</v>
      </c>
      <c r="G172">
        <f t="shared" si="30"/>
        <v>166.09967492194676</v>
      </c>
      <c r="H172">
        <f t="shared" si="31"/>
        <v>20.892966895945577</v>
      </c>
      <c r="I172">
        <v>3500</v>
      </c>
      <c r="J172">
        <f t="shared" si="21"/>
        <v>457.08818961491897</v>
      </c>
      <c r="K172">
        <f t="shared" si="22"/>
        <v>1.6752053231289119E-2</v>
      </c>
      <c r="L172">
        <f t="shared" si="23"/>
        <v>1.8066269715346774E-2</v>
      </c>
      <c r="M172">
        <f t="shared" si="24"/>
        <v>1.3343794883087432E-2</v>
      </c>
      <c r="N172">
        <f t="shared" si="25"/>
        <v>1.7717797062222949E-2</v>
      </c>
      <c r="P172">
        <f t="shared" si="26"/>
        <v>0.3608711008637408</v>
      </c>
      <c r="R172">
        <f t="shared" si="27"/>
        <v>0.34462922583426536</v>
      </c>
      <c r="S172">
        <f t="shared" si="28"/>
        <v>0.3644968530566588</v>
      </c>
      <c r="T172">
        <f t="shared" si="29"/>
        <v>0.37166575701203586</v>
      </c>
    </row>
    <row r="173" spans="1:20">
      <c r="A173">
        <f t="shared" si="35"/>
        <v>-2.6400000000000414</v>
      </c>
      <c r="B173">
        <f t="shared" si="32"/>
        <v>2.2908676527675538E-3</v>
      </c>
      <c r="C173">
        <f t="shared" si="33"/>
        <v>33.901976606496085</v>
      </c>
      <c r="D173">
        <f t="shared" si="33"/>
        <v>3439.837403632991</v>
      </c>
      <c r="E173">
        <f t="shared" si="34"/>
        <v>1066.8673628991719</v>
      </c>
      <c r="F173">
        <f>+Intensity*Damp/(($B173/10-Shift)^2+Damp^2)</f>
        <v>1066.589634082733</v>
      </c>
      <c r="G173">
        <f t="shared" si="30"/>
        <v>151.50818724284943</v>
      </c>
      <c r="H173">
        <f t="shared" si="31"/>
        <v>19.054611827034094</v>
      </c>
      <c r="I173">
        <v>3300</v>
      </c>
      <c r="J173">
        <f t="shared" si="21"/>
        <v>436.51583224020777</v>
      </c>
      <c r="K173">
        <f t="shared" si="22"/>
        <v>1.7318646188239181E-2</v>
      </c>
      <c r="L173">
        <f t="shared" si="23"/>
        <v>1.8052523314724563E-2</v>
      </c>
      <c r="M173">
        <f t="shared" si="24"/>
        <v>1.3326429407880631E-2</v>
      </c>
      <c r="N173">
        <f t="shared" si="25"/>
        <v>1.7702933051851128E-2</v>
      </c>
      <c r="P173">
        <f t="shared" si="26"/>
        <v>0.35628537863063203</v>
      </c>
      <c r="R173">
        <f t="shared" si="27"/>
        <v>0.34024989510009379</v>
      </c>
      <c r="S173">
        <f t="shared" si="28"/>
        <v>0.3477997672789655</v>
      </c>
      <c r="T173">
        <f t="shared" si="29"/>
        <v>0.35466797446894066</v>
      </c>
    </row>
    <row r="174" spans="1:20">
      <c r="A174">
        <f t="shared" si="35"/>
        <v>-2.6200000000000414</v>
      </c>
      <c r="B174">
        <f t="shared" si="32"/>
        <v>2.3988329190192605E-3</v>
      </c>
      <c r="C174">
        <f t="shared" si="33"/>
        <v>30.916722664939833</v>
      </c>
      <c r="D174">
        <f t="shared" si="33"/>
        <v>3134.8893598812811</v>
      </c>
      <c r="E174">
        <f t="shared" si="34"/>
        <v>972.49679297161401</v>
      </c>
      <c r="F174">
        <f>+Intensity*Damp/(($B174/10-Shift)^2+Damp^2)</f>
        <v>972.24351882120027</v>
      </c>
      <c r="G174">
        <f t="shared" si="30"/>
        <v>138.27880520910389</v>
      </c>
      <c r="H174">
        <f t="shared" si="31"/>
        <v>17.378012153034433</v>
      </c>
      <c r="I174">
        <v>3100</v>
      </c>
      <c r="J174">
        <f t="shared" si="21"/>
        <v>416.8693834703754</v>
      </c>
      <c r="K174">
        <f t="shared" si="22"/>
        <v>1.7838638057448446E-2</v>
      </c>
      <c r="L174">
        <f t="shared" si="23"/>
        <v>1.8039405368086583E-2</v>
      </c>
      <c r="M174">
        <f t="shared" si="24"/>
        <v>1.330986545940536E-2</v>
      </c>
      <c r="N174">
        <f t="shared" si="25"/>
        <v>1.7688753053691605E-2</v>
      </c>
      <c r="P174">
        <f t="shared" si="26"/>
        <v>0.35046588871924395</v>
      </c>
      <c r="R174">
        <f t="shared" si="27"/>
        <v>0.33469232538029259</v>
      </c>
      <c r="S174">
        <f t="shared" si="28"/>
        <v>0.33188015102676538</v>
      </c>
      <c r="T174">
        <f t="shared" si="29"/>
        <v>0.33845916440922669</v>
      </c>
    </row>
    <row r="175" spans="1:20">
      <c r="A175">
        <f t="shared" si="35"/>
        <v>-2.6000000000000414</v>
      </c>
      <c r="B175">
        <f t="shared" si="32"/>
        <v>2.5118864315093392E-3</v>
      </c>
      <c r="C175">
        <f t="shared" si="33"/>
        <v>28.194428857301347</v>
      </c>
      <c r="D175">
        <f t="shared" si="33"/>
        <v>2857.0690051312017</v>
      </c>
      <c r="E175">
        <f t="shared" si="34"/>
        <v>886.49433253789266</v>
      </c>
      <c r="F175">
        <f>+Intensity*Damp/(($B175/10-Shift)^2+Damp^2)</f>
        <v>886.26335911603007</v>
      </c>
      <c r="G175">
        <f t="shared" si="30"/>
        <v>126.67052540580036</v>
      </c>
      <c r="H175">
        <f t="shared" si="31"/>
        <v>15.848935139828159</v>
      </c>
      <c r="I175">
        <v>2700</v>
      </c>
      <c r="J175">
        <f t="shared" si="21"/>
        <v>398.10717055353541</v>
      </c>
      <c r="K175">
        <f t="shared" si="22"/>
        <v>1.7035848300961949E-2</v>
      </c>
      <c r="L175">
        <f t="shared" si="23"/>
        <v>1.8026886724739049E-2</v>
      </c>
      <c r="M175">
        <f t="shared" si="24"/>
        <v>1.3294065190052497E-2</v>
      </c>
      <c r="N175">
        <f t="shared" si="25"/>
        <v>1.7675224945547064E-2</v>
      </c>
      <c r="P175">
        <f t="shared" si="26"/>
        <v>0.31963021304163342</v>
      </c>
      <c r="R175">
        <f t="shared" si="27"/>
        <v>0.30524448372321134</v>
      </c>
      <c r="S175">
        <f t="shared" si="28"/>
        <v>0.31670069009070062</v>
      </c>
      <c r="T175">
        <f t="shared" si="29"/>
        <v>0.32300168645661581</v>
      </c>
    </row>
    <row r="176" spans="1:20">
      <c r="A176">
        <f t="shared" si="35"/>
        <v>-2.5800000000000414</v>
      </c>
      <c r="B176">
        <f t="shared" si="32"/>
        <v>2.6302679918951293E-3</v>
      </c>
      <c r="C176">
        <f t="shared" si="33"/>
        <v>25.711920079400457</v>
      </c>
      <c r="D176">
        <f t="shared" si="33"/>
        <v>2603.9510198659882</v>
      </c>
      <c r="E176">
        <f t="shared" si="34"/>
        <v>808.11530446846689</v>
      </c>
      <c r="F176">
        <f>+Intensity*Damp/(($B176/10-Shift)^2+Damp^2)</f>
        <v>807.9046676315412</v>
      </c>
      <c r="G176">
        <f t="shared" si="30"/>
        <v>116.24916480363008</v>
      </c>
      <c r="H176">
        <f t="shared" si="31"/>
        <v>14.454400381760607</v>
      </c>
      <c r="I176">
        <v>2500</v>
      </c>
      <c r="J176">
        <f t="shared" si="21"/>
        <v>380.18939632059772</v>
      </c>
      <c r="K176">
        <f t="shared" si="22"/>
        <v>1.7295774272970091E-2</v>
      </c>
      <c r="L176">
        <f t="shared" si="23"/>
        <v>1.8014939622988956E-2</v>
      </c>
      <c r="M176">
        <f t="shared" si="24"/>
        <v>1.3278992613888803E-2</v>
      </c>
      <c r="N176">
        <f t="shared" si="25"/>
        <v>1.7662318170485459E-2</v>
      </c>
      <c r="P176">
        <f t="shared" si="26"/>
        <v>0.30990177860693569</v>
      </c>
      <c r="R176">
        <f t="shared" si="27"/>
        <v>0.29595390096447965</v>
      </c>
      <c r="S176">
        <f t="shared" si="28"/>
        <v>0.30222595878810254</v>
      </c>
      <c r="T176">
        <f t="shared" si="29"/>
        <v>0.30825978489990979</v>
      </c>
    </row>
    <row r="177" spans="1:20">
      <c r="A177">
        <f t="shared" si="35"/>
        <v>-2.5600000000000414</v>
      </c>
      <c r="B177">
        <f t="shared" si="32"/>
        <v>2.7542287033379036E-3</v>
      </c>
      <c r="C177">
        <f t="shared" si="33"/>
        <v>23.448065223015295</v>
      </c>
      <c r="D177">
        <f t="shared" si="33"/>
        <v>2373.3284786404474</v>
      </c>
      <c r="E177">
        <f t="shared" si="34"/>
        <v>736.6816439171937</v>
      </c>
      <c r="F177">
        <f>+Intensity*Damp/(($B177/10-Shift)^2+Damp^2)</f>
        <v>736.48955258277999</v>
      </c>
      <c r="G177">
        <f t="shared" si="30"/>
        <v>105.14101156895759</v>
      </c>
      <c r="H177">
        <f t="shared" si="31"/>
        <v>13.182569609951274</v>
      </c>
      <c r="I177">
        <v>2300</v>
      </c>
      <c r="J177">
        <f t="shared" si="21"/>
        <v>363.07805477013602</v>
      </c>
      <c r="K177">
        <f t="shared" si="22"/>
        <v>1.7447284225667898E-2</v>
      </c>
      <c r="L177">
        <f t="shared" si="23"/>
        <v>1.8003537620744289E-2</v>
      </c>
      <c r="M177">
        <f t="shared" si="24"/>
        <v>1.326461350865254E-2</v>
      </c>
      <c r="N177">
        <f t="shared" si="25"/>
        <v>1.7650003655624604E-2</v>
      </c>
      <c r="P177">
        <f t="shared" si="26"/>
        <v>0.29854643951338095</v>
      </c>
      <c r="R177">
        <f t="shared" si="27"/>
        <v>0.2851096363183766</v>
      </c>
      <c r="S177">
        <f t="shared" si="28"/>
        <v>0.28842231594244072</v>
      </c>
      <c r="T177">
        <f t="shared" si="29"/>
        <v>0.29419948669966256</v>
      </c>
    </row>
    <row r="178" spans="1:20">
      <c r="A178">
        <f t="shared" si="35"/>
        <v>-2.5400000000000413</v>
      </c>
      <c r="B178">
        <f t="shared" si="32"/>
        <v>2.8840315031263301E-3</v>
      </c>
      <c r="C178">
        <f t="shared" si="33"/>
        <v>21.383596701453271</v>
      </c>
      <c r="D178">
        <f t="shared" si="33"/>
        <v>2163.1929827874278</v>
      </c>
      <c r="E178">
        <f t="shared" si="34"/>
        <v>671.57589528637914</v>
      </c>
      <c r="F178">
        <f>+Intensity*Damp/(($B178/10-Shift)^2+Damp^2)</f>
        <v>671.40071617675494</v>
      </c>
      <c r="G178">
        <f t="shared" si="30"/>
        <v>96.40691190129813</v>
      </c>
      <c r="H178">
        <f t="shared" si="31"/>
        <v>12.02264619633905</v>
      </c>
      <c r="I178">
        <v>2100</v>
      </c>
      <c r="J178">
        <f t="shared" si="21"/>
        <v>346.73685045256479</v>
      </c>
      <c r="K178">
        <f t="shared" si="22"/>
        <v>1.7467039193152751E-2</v>
      </c>
      <c r="L178">
        <f t="shared" si="23"/>
        <v>1.7992655529857623E-2</v>
      </c>
      <c r="M178">
        <f t="shared" si="24"/>
        <v>1.3250895323448319E-2</v>
      </c>
      <c r="N178">
        <f t="shared" si="25"/>
        <v>1.7638253735551817E-2</v>
      </c>
      <c r="P178">
        <f t="shared" si="26"/>
        <v>0.28543245627833325</v>
      </c>
      <c r="R178">
        <f t="shared" si="27"/>
        <v>0.27258587955569608</v>
      </c>
      <c r="S178">
        <f t="shared" si="28"/>
        <v>0.27525780730008859</v>
      </c>
      <c r="T178">
        <f t="shared" si="29"/>
        <v>0.28078850564848612</v>
      </c>
    </row>
    <row r="179" spans="1:20">
      <c r="A179">
        <f t="shared" si="35"/>
        <v>-2.5200000000000413</v>
      </c>
      <c r="B179">
        <f t="shared" si="32"/>
        <v>3.0199517204017269E-3</v>
      </c>
      <c r="C179">
        <f t="shared" si="33"/>
        <v>19.500945935666881</v>
      </c>
      <c r="D179">
        <f t="shared" si="33"/>
        <v>1971.7166263825791</v>
      </c>
      <c r="E179">
        <f t="shared" si="34"/>
        <v>612.23575593556927</v>
      </c>
      <c r="F179">
        <f>+Intensity*Damp/(($B179/10-Shift)^2+Damp^2)</f>
        <v>612.07599966708096</v>
      </c>
      <c r="G179">
        <f t="shared" si="30"/>
        <v>87.354819959639727</v>
      </c>
      <c r="H179">
        <f t="shared" si="31"/>
        <v>10.96478350033221</v>
      </c>
      <c r="I179">
        <v>1900</v>
      </c>
      <c r="J179">
        <f t="shared" si="21"/>
        <v>331.1311214826228</v>
      </c>
      <c r="K179">
        <f t="shared" si="22"/>
        <v>1.7328205947758964E-2</v>
      </c>
      <c r="L179">
        <f t="shared" si="23"/>
        <v>1.7982269353988341E-2</v>
      </c>
      <c r="M179">
        <f t="shared" si="24"/>
        <v>1.3237807091766458E-2</v>
      </c>
      <c r="N179">
        <f t="shared" si="25"/>
        <v>1.762704208007973E-2</v>
      </c>
      <c r="P179">
        <f t="shared" si="26"/>
        <v>0.27041928555606215</v>
      </c>
      <c r="R179">
        <f t="shared" si="27"/>
        <v>0.25824841282325295</v>
      </c>
      <c r="S179">
        <f t="shared" si="28"/>
        <v>0.26270207392924061</v>
      </c>
      <c r="T179">
        <f t="shared" si="29"/>
        <v>0.26799615226343154</v>
      </c>
    </row>
    <row r="180" spans="1:20">
      <c r="A180">
        <f t="shared" si="35"/>
        <v>-2.5000000000000413</v>
      </c>
      <c r="B180">
        <f t="shared" si="32"/>
        <v>3.1622776601680754E-3</v>
      </c>
      <c r="C180">
        <f t="shared" si="33"/>
        <v>17.784093386121494</v>
      </c>
      <c r="D180">
        <f t="shared" si="33"/>
        <v>1797.2356229777297</v>
      </c>
      <c r="E180">
        <f t="shared" si="34"/>
        <v>558.14911609425542</v>
      </c>
      <c r="F180">
        <f>+Intensity*Damp/(($B180/10-Shift)^2+Damp^2)</f>
        <v>558.0034244937209</v>
      </c>
      <c r="G180">
        <f t="shared" si="30"/>
        <v>80.217405385923556</v>
      </c>
      <c r="H180">
        <f t="shared" si="31"/>
        <v>10.000001280001758</v>
      </c>
      <c r="I180">
        <v>1730</v>
      </c>
      <c r="J180">
        <f t="shared" si="21"/>
        <v>316.22776601686832</v>
      </c>
      <c r="K180">
        <f t="shared" si="22"/>
        <v>1.7299999999996672E-2</v>
      </c>
      <c r="L180">
        <f t="shared" si="23"/>
        <v>1.7972356229773841E-2</v>
      </c>
      <c r="M180">
        <f t="shared" si="24"/>
        <v>1.3225319349480041E-2</v>
      </c>
      <c r="N180">
        <f t="shared" si="25"/>
        <v>1.7616343626061001E-2</v>
      </c>
      <c r="P180">
        <f t="shared" si="26"/>
        <v>0.25782804955750999</v>
      </c>
      <c r="R180">
        <f t="shared" si="27"/>
        <v>0.2462238757957888</v>
      </c>
      <c r="S180">
        <f t="shared" si="28"/>
        <v>0.25072626618265981</v>
      </c>
      <c r="T180">
        <f t="shared" si="29"/>
        <v>0.25579324902187034</v>
      </c>
    </row>
    <row r="181" spans="1:20">
      <c r="A181">
        <f t="shared" si="35"/>
        <v>-2.4800000000000413</v>
      </c>
      <c r="B181">
        <f t="shared" si="32"/>
        <v>3.3113112148255956E-3</v>
      </c>
      <c r="C181">
        <f t="shared" si="33"/>
        <v>16.218431841457392</v>
      </c>
      <c r="D181">
        <f t="shared" si="33"/>
        <v>1638.235437266467</v>
      </c>
      <c r="E181">
        <f t="shared" si="34"/>
        <v>508.84954920617895</v>
      </c>
      <c r="F181">
        <f>+Intensity*Damp/(($B181/10-Shift)^2+Damp^2)</f>
        <v>508.71668374601057</v>
      </c>
      <c r="G181">
        <f t="shared" si="30"/>
        <v>73.26950172305844</v>
      </c>
      <c r="H181">
        <f t="shared" si="31"/>
        <v>9.1201094582183355</v>
      </c>
      <c r="I181">
        <v>1600</v>
      </c>
      <c r="J181">
        <f t="shared" si="21"/>
        <v>301.99517204023039</v>
      </c>
      <c r="K181">
        <f t="shared" si="22"/>
        <v>1.7543651138287621E-2</v>
      </c>
      <c r="L181">
        <f t="shared" si="23"/>
        <v>1.7962894371114355E-2</v>
      </c>
      <c r="M181">
        <f t="shared" si="24"/>
        <v>1.321340405749841E-2</v>
      </c>
      <c r="N181">
        <f t="shared" si="25"/>
        <v>1.7606134513005092E-2</v>
      </c>
      <c r="P181">
        <f t="shared" si="26"/>
        <v>0.24969166351902355</v>
      </c>
      <c r="R181">
        <f t="shared" si="27"/>
        <v>0.23845368745202686</v>
      </c>
      <c r="S181">
        <f t="shared" si="28"/>
        <v>0.23930296283879687</v>
      </c>
      <c r="T181">
        <f t="shared" si="29"/>
        <v>0.24415205058173287</v>
      </c>
    </row>
    <row r="182" spans="1:20">
      <c r="A182">
        <f t="shared" si="35"/>
        <v>-2.4600000000000413</v>
      </c>
      <c r="B182">
        <f t="shared" si="32"/>
        <v>3.4673685045249853E-3</v>
      </c>
      <c r="C182">
        <f t="shared" si="33"/>
        <v>14.790641789579221</v>
      </c>
      <c r="D182">
        <f t="shared" si="33"/>
        <v>1493.3372808375354</v>
      </c>
      <c r="E182">
        <f t="shared" si="34"/>
        <v>463.91221123853768</v>
      </c>
      <c r="F182">
        <f>+Intensity*Damp/(($B182/10-Shift)^2+Damp^2)</f>
        <v>463.79104249183342</v>
      </c>
      <c r="G182">
        <f t="shared" si="30"/>
        <v>66.805995088089134</v>
      </c>
      <c r="H182">
        <f t="shared" si="31"/>
        <v>8.3176385965718467</v>
      </c>
      <c r="I182">
        <v>1500</v>
      </c>
      <c r="J182">
        <f t="shared" si="21"/>
        <v>288.40315031268813</v>
      </c>
      <c r="K182">
        <f t="shared" si="22"/>
        <v>1.803396651925775E-2</v>
      </c>
      <c r="L182">
        <f t="shared" si="23"/>
        <v>1.7953863016389016E-2</v>
      </c>
      <c r="M182">
        <f t="shared" si="24"/>
        <v>1.3202034528779423E-2</v>
      </c>
      <c r="N182">
        <f t="shared" si="25"/>
        <v>1.7596392022258742E-2</v>
      </c>
      <c r="P182">
        <f t="shared" si="26"/>
        <v>0.24511806476352127</v>
      </c>
      <c r="R182">
        <f t="shared" si="27"/>
        <v>0.23408593454908508</v>
      </c>
      <c r="S182">
        <f t="shared" si="28"/>
        <v>0.22840609506643561</v>
      </c>
      <c r="T182">
        <f t="shared" si="29"/>
        <v>0.23304616865456268</v>
      </c>
    </row>
    <row r="183" spans="1:20">
      <c r="A183">
        <f t="shared" si="35"/>
        <v>-2.4400000000000412</v>
      </c>
      <c r="B183">
        <f t="shared" si="32"/>
        <v>3.6307805477006662E-3</v>
      </c>
      <c r="C183">
        <f t="shared" si="33"/>
        <v>13.488577801159552</v>
      </c>
      <c r="D183">
        <f t="shared" si="33"/>
        <v>1361.2858446745206</v>
      </c>
      <c r="E183">
        <f t="shared" si="34"/>
        <v>422.95011137921705</v>
      </c>
      <c r="F183">
        <f>+Intensity*Damp/(($B183/10-Shift)^2+Damp^2)</f>
        <v>422.83960940479693</v>
      </c>
      <c r="G183">
        <f t="shared" si="30"/>
        <v>60.881969650348573</v>
      </c>
      <c r="H183">
        <f t="shared" si="31"/>
        <v>7.5857764868563349</v>
      </c>
      <c r="I183">
        <v>1400</v>
      </c>
      <c r="J183">
        <f t="shared" si="21"/>
        <v>275.42287033384298</v>
      </c>
      <c r="K183">
        <f t="shared" si="22"/>
        <v>1.845559433978617E-2</v>
      </c>
      <c r="L183">
        <f t="shared" si="23"/>
        <v>1.7945242378432941E-2</v>
      </c>
      <c r="M183">
        <f t="shared" si="24"/>
        <v>1.3191185359424219E-2</v>
      </c>
      <c r="N183">
        <f t="shared" si="25"/>
        <v>1.7587094519528602E-2</v>
      </c>
      <c r="P183">
        <f t="shared" si="26"/>
        <v>0.23955878170641387</v>
      </c>
      <c r="R183">
        <f t="shared" si="27"/>
        <v>0.22877686044595277</v>
      </c>
      <c r="S183">
        <f t="shared" si="28"/>
        <v>0.21801087488524595</v>
      </c>
      <c r="T183">
        <f t="shared" si="29"/>
        <v>0.22245050122439552</v>
      </c>
    </row>
    <row r="184" spans="1:20">
      <c r="A184">
        <f t="shared" si="35"/>
        <v>-2.4200000000000412</v>
      </c>
      <c r="B184">
        <f t="shared" si="32"/>
        <v>3.8018939632052475E-3</v>
      </c>
      <c r="C184">
        <f t="shared" si="33"/>
        <v>12.301164950585431</v>
      </c>
      <c r="D184">
        <f t="shared" si="33"/>
        <v>1240.9381532281461</v>
      </c>
      <c r="E184">
        <f t="shared" si="34"/>
        <v>385.61072006092434</v>
      </c>
      <c r="F184">
        <f>+Intensity*Damp/(($B184/10-Shift)^2+Damp^2)</f>
        <v>385.50994563623686</v>
      </c>
      <c r="G184">
        <f t="shared" si="30"/>
        <v>55.21597428126033</v>
      </c>
      <c r="H184">
        <f t="shared" si="31"/>
        <v>6.918310321837156</v>
      </c>
      <c r="I184">
        <v>1300</v>
      </c>
      <c r="J184">
        <f t="shared" ref="J184:J233" si="36">1/$B184</f>
        <v>263.02679918956341</v>
      </c>
      <c r="K184">
        <f t="shared" ref="K184:K233" si="37">+$I184*$B184*$B184</f>
        <v>1.8790717019693457E-2</v>
      </c>
      <c r="L184">
        <f t="shared" ref="L184:L233" si="38">+$D184*$B184*$B184</f>
        <v>1.7937013597116223E-2</v>
      </c>
      <c r="M184">
        <f t="shared" ref="M184:M233" si="39">+$M$1/(EXP(+$M$2*$J184)+$M$3*EXP(-$M$2*$J184))</f>
        <v>1.318083236359819E-2</v>
      </c>
      <c r="N184">
        <f t="shared" ref="N184:N233" si="40">+$N$1/(1+$N$2*(($J184-$N$3)^2))</f>
        <v>1.7578221400540411E-2</v>
      </c>
      <c r="P184">
        <f t="shared" ref="P184:P233" si="41">+($B185-$B184)*$I184</f>
        <v>0.23293106502814978</v>
      </c>
      <c r="R184">
        <f t="shared" ref="R184:R232" si="42">+$K184*($J184-$J185)</f>
        <v>0.22244744015595977</v>
      </c>
      <c r="S184">
        <f t="shared" ref="S184:S232" si="43">+$N184*($J184-$J185)</f>
        <v>0.20809372782032956</v>
      </c>
      <c r="T184">
        <f t="shared" ref="T184:T232" si="44">+$L184*($J184-$J185)</f>
        <v>0.2123411658288194</v>
      </c>
    </row>
    <row r="185" spans="1:20">
      <c r="A185">
        <f t="shared" si="35"/>
        <v>-2.4000000000000412</v>
      </c>
      <c r="B185">
        <f t="shared" si="32"/>
        <v>3.9810717055345935E-3</v>
      </c>
      <c r="C185">
        <f t="shared" si="33"/>
        <v>11.218304385937452</v>
      </c>
      <c r="D185">
        <f t="shared" si="33"/>
        <v>1131.2534358569651</v>
      </c>
      <c r="E185">
        <f t="shared" si="34"/>
        <v>351.57288342972396</v>
      </c>
      <c r="F185">
        <f>+Intensity*Damp/(($B185/10-Shift)^2+Damp^2)</f>
        <v>351.48098005679947</v>
      </c>
      <c r="G185">
        <f t="shared" si="30"/>
        <v>50.512394498324582</v>
      </c>
      <c r="H185">
        <f t="shared" si="31"/>
        <v>6.3095739543802738</v>
      </c>
      <c r="I185">
        <v>1200</v>
      </c>
      <c r="J185">
        <f t="shared" si="36"/>
        <v>251.18864315098193</v>
      </c>
      <c r="K185">
        <f t="shared" si="37"/>
        <v>1.9018718309529739E-2</v>
      </c>
      <c r="L185">
        <f t="shared" si="38"/>
        <v>1.7929158694376075E-2</v>
      </c>
      <c r="M185">
        <f t="shared" si="39"/>
        <v>1.3170952512040056E-2</v>
      </c>
      <c r="N185">
        <f t="shared" si="40"/>
        <v>1.7569753039643306E-2</v>
      </c>
      <c r="P185">
        <f t="shared" si="41"/>
        <v>0.22514655500203534</v>
      </c>
      <c r="R185">
        <f t="shared" si="42"/>
        <v>0.21501329079521117</v>
      </c>
      <c r="S185">
        <f t="shared" si="43"/>
        <v>0.19863222947152848</v>
      </c>
      <c r="T185">
        <f t="shared" si="44"/>
        <v>0.20269543663916284</v>
      </c>
    </row>
    <row r="186" spans="1:20">
      <c r="A186">
        <f t="shared" si="35"/>
        <v>-2.3800000000000412</v>
      </c>
      <c r="B186">
        <f t="shared" si="32"/>
        <v>4.1686938347029563E-3</v>
      </c>
      <c r="C186">
        <f t="shared" si="33"/>
        <v>10.230787238438058</v>
      </c>
      <c r="D186">
        <f t="shared" si="33"/>
        <v>1031.2839213262382</v>
      </c>
      <c r="E186">
        <f t="shared" si="34"/>
        <v>320.54401625051463</v>
      </c>
      <c r="F186">
        <f>+Intensity*Damp/(($B186/10-Shift)^2+Damp^2)</f>
        <v>320.46020286675071</v>
      </c>
      <c r="G186">
        <f t="shared" si="30"/>
        <v>45.932256198698887</v>
      </c>
      <c r="H186">
        <f t="shared" si="31"/>
        <v>5.754399797220473</v>
      </c>
      <c r="I186">
        <v>1100</v>
      </c>
      <c r="J186">
        <f t="shared" si="36"/>
        <v>239.88329190197194</v>
      </c>
      <c r="K186">
        <f t="shared" si="37"/>
        <v>1.9115809116239481E-2</v>
      </c>
      <c r="L186">
        <f t="shared" si="38"/>
        <v>1.7921660531563008E-2</v>
      </c>
      <c r="M186">
        <f t="shared" si="39"/>
        <v>1.3161523873937674E-2</v>
      </c>
      <c r="N186">
        <f t="shared" si="40"/>
        <v>1.7561670741181118E-2</v>
      </c>
      <c r="P186">
        <f t="shared" si="41"/>
        <v>0.21611093646811433</v>
      </c>
      <c r="R186">
        <f t="shared" si="42"/>
        <v>0.20638434208519918</v>
      </c>
      <c r="S186">
        <f t="shared" si="43"/>
        <v>0.18960504573967887</v>
      </c>
      <c r="T186">
        <f t="shared" si="44"/>
        <v>0.1934916850963273</v>
      </c>
    </row>
    <row r="187" spans="1:20">
      <c r="A187">
        <f t="shared" si="35"/>
        <v>-2.3600000000000412</v>
      </c>
      <c r="B187">
        <f t="shared" si="32"/>
        <v>4.365158322401242E-3</v>
      </c>
      <c r="C187">
        <f t="shared" si="33"/>
        <v>9.3302161336255161</v>
      </c>
      <c r="D187">
        <f t="shared" si="33"/>
        <v>940.16646998228043</v>
      </c>
      <c r="E187">
        <f t="shared" si="34"/>
        <v>292.25754784320122</v>
      </c>
      <c r="F187">
        <f>+Intensity*Damp/(($B187/10-Shift)^2+Damp^2)</f>
        <v>292.18111217479031</v>
      </c>
      <c r="G187">
        <f t="shared" si="30"/>
        <v>42.083850915469881</v>
      </c>
      <c r="H187">
        <f t="shared" si="31"/>
        <v>5.2480749550399821</v>
      </c>
      <c r="I187">
        <v>1000</v>
      </c>
      <c r="J187">
        <f t="shared" si="36"/>
        <v>229.08676527679921</v>
      </c>
      <c r="K187">
        <f t="shared" si="37"/>
        <v>1.9054607179628823E-2</v>
      </c>
      <c r="L187">
        <f t="shared" si="38"/>
        <v>1.791450276897065E-2</v>
      </c>
      <c r="M187">
        <f t="shared" si="39"/>
        <v>1.3152525561964775E-2</v>
      </c>
      <c r="N187">
        <f t="shared" si="40"/>
        <v>1.7553956693464972E-2</v>
      </c>
      <c r="P187">
        <f t="shared" si="41"/>
        <v>0.2057235737470747</v>
      </c>
      <c r="R187">
        <f t="shared" si="42"/>
        <v>0.19646448769829</v>
      </c>
      <c r="S187">
        <f t="shared" si="43"/>
        <v>0.18099187647103959</v>
      </c>
      <c r="T187">
        <f t="shared" si="44"/>
        <v>0.1847093238761785</v>
      </c>
    </row>
    <row r="188" spans="1:20">
      <c r="A188">
        <f t="shared" si="35"/>
        <v>-2.3400000000000412</v>
      </c>
      <c r="B188">
        <f t="shared" si="32"/>
        <v>4.5708818961483167E-3</v>
      </c>
      <c r="C188">
        <f t="shared" si="33"/>
        <v>8.5089336319361486</v>
      </c>
      <c r="D188">
        <f t="shared" si="33"/>
        <v>857.1149662786537</v>
      </c>
      <c r="E188">
        <f t="shared" si="34"/>
        <v>266.47059799765498</v>
      </c>
      <c r="F188">
        <f>+Intensity*Damp/(($B188/10-Shift)^2+Damp^2)</f>
        <v>266.40089049895477</v>
      </c>
      <c r="G188">
        <f t="shared" si="30"/>
        <v>38.40272151883682</v>
      </c>
      <c r="H188">
        <f t="shared" si="31"/>
        <v>4.7863012164583338</v>
      </c>
      <c r="I188">
        <v>900</v>
      </c>
      <c r="J188">
        <f t="shared" si="36"/>
        <v>218.77616239497601</v>
      </c>
      <c r="K188">
        <f t="shared" si="37"/>
        <v>1.8803665177682789E-2</v>
      </c>
      <c r="L188">
        <f t="shared" si="38"/>
        <v>1.7907669827427419E-2</v>
      </c>
      <c r="M188">
        <f t="shared" si="39"/>
        <v>1.3143937680287024E-2</v>
      </c>
      <c r="N188">
        <f t="shared" si="40"/>
        <v>1.7546593925192418E-2</v>
      </c>
      <c r="P188">
        <f t="shared" si="41"/>
        <v>0.19387712436985038</v>
      </c>
      <c r="R188">
        <f t="shared" si="42"/>
        <v>0.18515121637236298</v>
      </c>
      <c r="S188">
        <f t="shared" si="43"/>
        <v>0.17277340229909602</v>
      </c>
      <c r="T188">
        <f t="shared" si="44"/>
        <v>0.17632875397494399</v>
      </c>
    </row>
    <row r="189" spans="1:20">
      <c r="A189">
        <f t="shared" si="35"/>
        <v>-2.3200000000000411</v>
      </c>
      <c r="B189">
        <f t="shared" si="32"/>
        <v>4.7863009232259283E-3</v>
      </c>
      <c r="C189">
        <f t="shared" si="33"/>
        <v>7.7599569859791533</v>
      </c>
      <c r="D189">
        <f t="shared" si="33"/>
        <v>781.41340160838035</v>
      </c>
      <c r="E189">
        <f t="shared" si="34"/>
        <v>242.96186194705314</v>
      </c>
      <c r="F189">
        <f>+Intensity*Damp/(($B189/10-Shift)^2+Damp^2)</f>
        <v>242.8982902742097</v>
      </c>
      <c r="G189">
        <f t="shared" si="30"/>
        <v>34.975181909036152</v>
      </c>
      <c r="H189">
        <f t="shared" si="31"/>
        <v>4.3651585663014494</v>
      </c>
      <c r="I189">
        <v>830</v>
      </c>
      <c r="J189">
        <f t="shared" si="36"/>
        <v>208.92961308542382</v>
      </c>
      <c r="K189">
        <f t="shared" si="37"/>
        <v>1.9014201517968902E-2</v>
      </c>
      <c r="L189">
        <f t="shared" si="38"/>
        <v>1.790114685183531E-2</v>
      </c>
      <c r="M189">
        <f t="shared" si="39"/>
        <v>1.3135741275358891E-2</v>
      </c>
      <c r="N189">
        <f t="shared" si="40"/>
        <v>1.7539566264169065E-2</v>
      </c>
      <c r="P189">
        <f t="shared" si="41"/>
        <v>0.18722427282844287</v>
      </c>
      <c r="R189">
        <f t="shared" si="42"/>
        <v>0.17879779247441793</v>
      </c>
      <c r="S189">
        <f t="shared" si="43"/>
        <v>0.16493123447905866</v>
      </c>
      <c r="T189">
        <f t="shared" si="44"/>
        <v>0.16833131471988455</v>
      </c>
    </row>
    <row r="190" spans="1:20">
      <c r="A190">
        <f t="shared" si="35"/>
        <v>-2.3000000000000411</v>
      </c>
      <c r="B190">
        <f t="shared" si="32"/>
        <v>5.011872336272245E-3</v>
      </c>
      <c r="C190">
        <f t="shared" si="33"/>
        <v>7.0769186560887896</v>
      </c>
      <c r="D190">
        <f t="shared" si="33"/>
        <v>712.4095839714322</v>
      </c>
      <c r="E190">
        <f t="shared" si="34"/>
        <v>221.52968540958682</v>
      </c>
      <c r="F190">
        <f>+Intensity*Damp/(($B190/10-Shift)^2+Damp^2)</f>
        <v>221.47170938128141</v>
      </c>
      <c r="G190">
        <f t="shared" si="30"/>
        <v>31.761353894171481</v>
      </c>
      <c r="H190">
        <f t="shared" si="31"/>
        <v>3.9810719084020505</v>
      </c>
      <c r="I190">
        <v>750</v>
      </c>
      <c r="J190">
        <f t="shared" si="36"/>
        <v>199.52623149690697</v>
      </c>
      <c r="K190">
        <f t="shared" si="37"/>
        <v>1.8839148236318257E-2</v>
      </c>
      <c r="L190">
        <f t="shared" si="38"/>
        <v>1.789491967654884E-2</v>
      </c>
      <c r="M190">
        <f t="shared" si="39"/>
        <v>1.3127918289345062E-2</v>
      </c>
      <c r="N190">
        <f t="shared" si="40"/>
        <v>1.7532858298198103E-2</v>
      </c>
      <c r="P190">
        <f t="shared" si="41"/>
        <v>0.17715169966873501</v>
      </c>
      <c r="R190">
        <f t="shared" si="42"/>
        <v>0.16917855978473767</v>
      </c>
      <c r="S190">
        <f t="shared" si="43"/>
        <v>0.15744786752517875</v>
      </c>
      <c r="T190">
        <f t="shared" si="44"/>
        <v>0.16069923652417473</v>
      </c>
    </row>
    <row r="191" spans="1:20">
      <c r="A191">
        <f t="shared" si="35"/>
        <v>-2.2800000000000411</v>
      </c>
      <c r="B191">
        <f t="shared" si="32"/>
        <v>5.248074602497225E-3</v>
      </c>
      <c r="C191">
        <f t="shared" si="33"/>
        <v>6.4540120752115246</v>
      </c>
      <c r="D191">
        <f t="shared" si="33"/>
        <v>649.50941694910819</v>
      </c>
      <c r="E191">
        <f t="shared" si="34"/>
        <v>201.99031245729586</v>
      </c>
      <c r="F191">
        <f>+Intensity*Damp/(($B191/10-Shift)^2+Damp^2)</f>
        <v>201.93743945964991</v>
      </c>
      <c r="G191">
        <f t="shared" si="30"/>
        <v>29.123256631094069</v>
      </c>
      <c r="H191">
        <f t="shared" si="31"/>
        <v>3.6307807164385619</v>
      </c>
      <c r="I191">
        <v>700</v>
      </c>
      <c r="J191">
        <f t="shared" si="36"/>
        <v>190.54607179634291</v>
      </c>
      <c r="K191">
        <f t="shared" si="37"/>
        <v>1.9279600923363484E-2</v>
      </c>
      <c r="L191">
        <f t="shared" si="38"/>
        <v>1.7888974792493292E-2</v>
      </c>
      <c r="M191">
        <f t="shared" si="39"/>
        <v>1.3120451516011234E-2</v>
      </c>
      <c r="N191">
        <f t="shared" si="40"/>
        <v>1.7526455338012142E-2</v>
      </c>
      <c r="P191">
        <f t="shared" si="41"/>
        <v>0.1731338952549501</v>
      </c>
      <c r="R191">
        <f t="shared" si="42"/>
        <v>0.16534158635748922</v>
      </c>
      <c r="S191">
        <f t="shared" si="43"/>
        <v>0.15030663447493489</v>
      </c>
      <c r="T191">
        <f t="shared" si="44"/>
        <v>0.15341559621784776</v>
      </c>
    </row>
    <row r="192" spans="1:20">
      <c r="A192">
        <f t="shared" si="35"/>
        <v>-2.2600000000000411</v>
      </c>
      <c r="B192">
        <f t="shared" si="32"/>
        <v>5.4954087385757251E-3</v>
      </c>
      <c r="C192">
        <f t="shared" si="33"/>
        <v>5.8859421992608087</v>
      </c>
      <c r="D192">
        <f t="shared" si="33"/>
        <v>592.17169582931444</v>
      </c>
      <c r="E192">
        <f t="shared" si="34"/>
        <v>184.1762905554383</v>
      </c>
      <c r="F192">
        <f>+Intensity*Damp/(($B192/10-Shift)^2+Damp^2)</f>
        <v>184.12807135190238</v>
      </c>
      <c r="G192">
        <f t="shared" si="30"/>
        <v>26.471334285888467</v>
      </c>
      <c r="H192">
        <f t="shared" si="31"/>
        <v>3.311311355175742</v>
      </c>
      <c r="I192">
        <v>650</v>
      </c>
      <c r="J192">
        <f t="shared" si="36"/>
        <v>181.97008586101558</v>
      </c>
      <c r="K192">
        <f t="shared" si="37"/>
        <v>1.9629686182609386E-2</v>
      </c>
      <c r="L192">
        <f t="shared" si="38"/>
        <v>1.7883299315927789E-2</v>
      </c>
      <c r="M192">
        <f t="shared" si="39"/>
        <v>1.3113324558939553E-2</v>
      </c>
      <c r="N192">
        <f t="shared" si="40"/>
        <v>1.7520343382129829E-2</v>
      </c>
      <c r="P192">
        <f t="shared" si="41"/>
        <v>0.16834391261694348</v>
      </c>
      <c r="R192">
        <f t="shared" si="42"/>
        <v>0.16076718845102161</v>
      </c>
      <c r="S192">
        <f t="shared" si="43"/>
        <v>0.14349166461646665</v>
      </c>
      <c r="T192">
        <f t="shared" si="44"/>
        <v>0.14646427479808069</v>
      </c>
    </row>
    <row r="193" spans="1:20">
      <c r="A193">
        <f t="shared" si="35"/>
        <v>-2.2400000000000411</v>
      </c>
      <c r="B193">
        <f t="shared" si="32"/>
        <v>5.7543993733710228E-3</v>
      </c>
      <c r="C193">
        <f t="shared" si="33"/>
        <v>5.3678804201439316</v>
      </c>
      <c r="D193">
        <f t="shared" si="33"/>
        <v>539.90337358573277</v>
      </c>
      <c r="E193">
        <f t="shared" si="34"/>
        <v>167.93501855217269</v>
      </c>
      <c r="F193">
        <f>+Intensity*Damp/(($B193/10-Shift)^2+Damp^2)</f>
        <v>167.8910434626838</v>
      </c>
      <c r="G193">
        <f t="shared" si="30"/>
        <v>24.125263211460819</v>
      </c>
      <c r="H193">
        <f t="shared" si="31"/>
        <v>3.0199518371399718</v>
      </c>
      <c r="I193">
        <v>610</v>
      </c>
      <c r="J193">
        <f t="shared" si="36"/>
        <v>173.78008287495405</v>
      </c>
      <c r="K193">
        <f t="shared" si="37"/>
        <v>2.0198998410434221E-2</v>
      </c>
      <c r="L193">
        <f t="shared" si="38"/>
        <v>1.7877880958764407E-2</v>
      </c>
      <c r="M193">
        <f t="shared" si="39"/>
        <v>1.3106521791933492E-2</v>
      </c>
      <c r="N193">
        <f t="shared" si="40"/>
        <v>1.7514509083527582E-2</v>
      </c>
      <c r="P193">
        <f t="shared" si="41"/>
        <v>0.16542985729690887</v>
      </c>
      <c r="R193">
        <f t="shared" si="42"/>
        <v>0.15798428722513186</v>
      </c>
      <c r="S193">
        <f t="shared" si="43"/>
        <v>0.13698784352742169</v>
      </c>
      <c r="T193">
        <f t="shared" si="44"/>
        <v>0.1398299174530919</v>
      </c>
    </row>
    <row r="194" spans="1:20">
      <c r="A194">
        <f t="shared" si="35"/>
        <v>-2.2200000000000411</v>
      </c>
      <c r="B194">
        <f t="shared" si="32"/>
        <v>6.0255958607430046E-3</v>
      </c>
      <c r="C194">
        <f t="shared" si="33"/>
        <v>4.8954234560896612</v>
      </c>
      <c r="D194">
        <f t="shared" si="33"/>
        <v>492.2552538098218</v>
      </c>
      <c r="E194">
        <f t="shared" si="34"/>
        <v>153.12742470059175</v>
      </c>
      <c r="F194">
        <f>+Intensity*Damp/(($B194/10-Shift)^2+Damp^2)</f>
        <v>153.08732011743572</v>
      </c>
      <c r="G194">
        <f t="shared" si="30"/>
        <v>22.058522376238614</v>
      </c>
      <c r="H194">
        <f t="shared" si="31"/>
        <v>2.7542288004366164</v>
      </c>
      <c r="I194">
        <v>570</v>
      </c>
      <c r="J194">
        <f t="shared" si="36"/>
        <v>165.95869074377185</v>
      </c>
      <c r="K194">
        <f t="shared" si="37"/>
        <v>2.0695449121891842E-2</v>
      </c>
      <c r="L194">
        <f t="shared" si="38"/>
        <v>1.7872708000359862E-2</v>
      </c>
      <c r="M194">
        <f t="shared" si="39"/>
        <v>1.3100028321485839E-2</v>
      </c>
      <c r="N194">
        <f t="shared" si="40"/>
        <v>1.7508939718023579E-2</v>
      </c>
      <c r="P194">
        <f t="shared" si="41"/>
        <v>0.16186722291324604</v>
      </c>
      <c r="R194">
        <f t="shared" si="42"/>
        <v>0.15458199780202939</v>
      </c>
      <c r="S194">
        <f t="shared" si="43"/>
        <v>0.13078077528379678</v>
      </c>
      <c r="T194">
        <f t="shared" si="44"/>
        <v>0.13349789572362683</v>
      </c>
    </row>
    <row r="195" spans="1:20">
      <c r="A195">
        <f t="shared" si="35"/>
        <v>-2.200000000000041</v>
      </c>
      <c r="B195">
        <f t="shared" si="32"/>
        <v>6.3095734448013309E-3</v>
      </c>
      <c r="C195">
        <f t="shared" si="33"/>
        <v>4.4645558680084507</v>
      </c>
      <c r="D195">
        <f t="shared" si="33"/>
        <v>448.81807167307932</v>
      </c>
      <c r="E195">
        <f t="shared" si="34"/>
        <v>139.62676297615494</v>
      </c>
      <c r="F195">
        <f>+Intensity*Damp/(($B195/10-Shift)^2+Damp^2)</f>
        <v>139.59018818684444</v>
      </c>
      <c r="G195">
        <f t="shared" si="30"/>
        <v>20.093977633795831</v>
      </c>
      <c r="H195">
        <f t="shared" si="31"/>
        <v>2.5118865122725964</v>
      </c>
      <c r="I195">
        <v>540</v>
      </c>
      <c r="J195">
        <f t="shared" si="36"/>
        <v>158.48931924612646</v>
      </c>
      <c r="K195">
        <f t="shared" si="37"/>
        <v>2.1497787209884753E-2</v>
      </c>
      <c r="L195">
        <f t="shared" si="38"/>
        <v>1.7867769260701227E-2</v>
      </c>
      <c r="M195">
        <f t="shared" si="39"/>
        <v>1.3093829951191694E-2</v>
      </c>
      <c r="N195">
        <f t="shared" si="40"/>
        <v>1.7503623154277864E-2</v>
      </c>
      <c r="P195">
        <f t="shared" si="41"/>
        <v>0.16057495904796198</v>
      </c>
      <c r="R195">
        <f t="shared" si="42"/>
        <v>0.15334789539149926</v>
      </c>
      <c r="S195">
        <f t="shared" si="43"/>
        <v>0.1248567467074122</v>
      </c>
      <c r="T195">
        <f t="shared" si="44"/>
        <v>0.12745427167544032</v>
      </c>
    </row>
    <row r="196" spans="1:20">
      <c r="A196">
        <f t="shared" si="35"/>
        <v>-2.180000000000041</v>
      </c>
      <c r="B196">
        <f t="shared" si="32"/>
        <v>6.6069344800753346E-3</v>
      </c>
      <c r="C196">
        <f t="shared" si="33"/>
        <v>4.0716158816934342</v>
      </c>
      <c r="D196">
        <f t="shared" si="33"/>
        <v>409.21892759864824</v>
      </c>
      <c r="E196">
        <f t="shared" si="34"/>
        <v>127.31751702382857</v>
      </c>
      <c r="F196">
        <f>+Intensity*Damp/(($B196/10-Shift)^2+Damp^2)</f>
        <v>127.2841613139272</v>
      </c>
      <c r="G196">
        <f t="shared" si="30"/>
        <v>18.362411075033414</v>
      </c>
      <c r="H196">
        <f t="shared" si="31"/>
        <v>2.2908677199435594</v>
      </c>
      <c r="I196">
        <v>510</v>
      </c>
      <c r="J196">
        <f t="shared" si="36"/>
        <v>151.35612484363514</v>
      </c>
      <c r="K196">
        <f t="shared" si="37"/>
        <v>2.2262307444244248E-2</v>
      </c>
      <c r="L196">
        <f t="shared" si="38"/>
        <v>1.7863054074911833E-2</v>
      </c>
      <c r="M196">
        <f t="shared" si="39"/>
        <v>1.3087913147995955E-2</v>
      </c>
      <c r="N196">
        <f t="shared" si="40"/>
        <v>1.7498547825318466E-2</v>
      </c>
      <c r="P196">
        <f t="shared" si="41"/>
        <v>0.15880136684782081</v>
      </c>
      <c r="R196">
        <f t="shared" si="42"/>
        <v>0.15165412798973912</v>
      </c>
      <c r="S196">
        <f t="shared" si="43"/>
        <v>0.11920269352948491</v>
      </c>
      <c r="T196">
        <f t="shared" si="44"/>
        <v>0.12168576396444938</v>
      </c>
    </row>
    <row r="197" spans="1:20">
      <c r="A197">
        <f t="shared" si="35"/>
        <v>-2.160000000000041</v>
      </c>
      <c r="B197">
        <f t="shared" si="32"/>
        <v>6.9183097091887087E-3</v>
      </c>
      <c r="C197">
        <f t="shared" si="33"/>
        <v>3.7132642239915579</v>
      </c>
      <c r="D197">
        <f t="shared" si="33"/>
        <v>373.11804158299856</v>
      </c>
      <c r="E197">
        <f t="shared" si="34"/>
        <v>116.09440204121951</v>
      </c>
      <c r="F197">
        <f>+Intensity*Damp/(($B197/10-Shift)^2+Damp^2)</f>
        <v>116.06398205243069</v>
      </c>
      <c r="G197">
        <f t="shared" ref="G197:G260" si="45">+I/(($B197-alpha*SIN($B197*L))^2+alpha^2*(1+COS($B197*L))^2)</f>
        <v>16.739001346190932</v>
      </c>
      <c r="H197">
        <f t="shared" ref="H197:H260" si="46">+Int*($B197^2+2*beta^2)/(4*(beta*$B197)^2+($B197^2-2*beta^2)^2)</f>
        <v>2.0892961867284603</v>
      </c>
      <c r="I197">
        <v>480</v>
      </c>
      <c r="J197">
        <f t="shared" si="36"/>
        <v>144.54397707460646</v>
      </c>
      <c r="K197">
        <f t="shared" si="37"/>
        <v>2.2974244431482282E-2</v>
      </c>
      <c r="L197">
        <f t="shared" si="38"/>
        <v>1.7858552269007875E-2</v>
      </c>
      <c r="M197">
        <f t="shared" si="39"/>
        <v>1.3082265010171882E-2</v>
      </c>
      <c r="N197">
        <f t="shared" si="40"/>
        <v>1.7493702701508927E-2</v>
      </c>
      <c r="P197">
        <f t="shared" si="41"/>
        <v>0.15650394794904168</v>
      </c>
      <c r="R197">
        <f t="shared" si="42"/>
        <v>0.14946010997441972</v>
      </c>
      <c r="S197">
        <f t="shared" si="43"/>
        <v>0.1138061683562681</v>
      </c>
      <c r="T197">
        <f t="shared" si="44"/>
        <v>0.11617971568423974</v>
      </c>
    </row>
    <row r="198" spans="1:20">
      <c r="A198">
        <f t="shared" si="35"/>
        <v>-2.140000000000041</v>
      </c>
      <c r="B198">
        <f t="shared" ref="B198:B261" si="47">10^$A198</f>
        <v>7.2443596007492122E-3</v>
      </c>
      <c r="C198">
        <f t="shared" ref="C198:D261" si="48">+C$1*EXP(-ABS(C$3/$B198-1/C$2))/$B198/$B198</f>
        <v>3.3864557068834489</v>
      </c>
      <c r="D198">
        <f t="shared" si="48"/>
        <v>340.20579906288009</v>
      </c>
      <c r="E198">
        <f t="shared" ref="E198:E261" si="49">$E$2/(1+$E$1^2-2*$E$1*($E$3*$B198)+($E$3*$B198)^2)</f>
        <v>105.86145578604554</v>
      </c>
      <c r="F198">
        <f>+Intensity*Damp/(($B198/10-Shift)^2+Damp^2)</f>
        <v>105.83371310706352</v>
      </c>
      <c r="G198">
        <f t="shared" si="45"/>
        <v>15.266749455975757</v>
      </c>
      <c r="H198">
        <f t="shared" si="46"/>
        <v>1.9054607644375992</v>
      </c>
      <c r="I198">
        <v>460</v>
      </c>
      <c r="J198">
        <f t="shared" si="36"/>
        <v>138.03842646030159</v>
      </c>
      <c r="K198">
        <f t="shared" si="37"/>
        <v>2.4141143171484952E-2</v>
      </c>
      <c r="L198">
        <f t="shared" si="38"/>
        <v>1.7854254136840064E-2</v>
      </c>
      <c r="M198">
        <f t="shared" si="39"/>
        <v>1.3076873236933732E-2</v>
      </c>
      <c r="N198">
        <f t="shared" si="40"/>
        <v>1.748907726487816E-2</v>
      </c>
      <c r="P198">
        <f t="shared" si="41"/>
        <v>0.15705142878927536</v>
      </c>
      <c r="R198">
        <f t="shared" si="42"/>
        <v>0.14998295011783136</v>
      </c>
      <c r="S198">
        <f t="shared" si="43"/>
        <v>0.10865531033026768</v>
      </c>
      <c r="T198">
        <f t="shared" si="44"/>
        <v>0.11092406389270631</v>
      </c>
    </row>
    <row r="199" spans="1:20">
      <c r="A199">
        <f t="shared" ref="A199:A262" si="50">+$A198+$A$1</f>
        <v>-2.120000000000041</v>
      </c>
      <c r="B199">
        <f t="shared" si="47"/>
        <v>7.5857757502911152E-3</v>
      </c>
      <c r="C199">
        <f t="shared" si="48"/>
        <v>3.0884133169332517</v>
      </c>
      <c r="D199">
        <f t="shared" si="48"/>
        <v>310.20006189983286</v>
      </c>
      <c r="E199">
        <f t="shared" si="49"/>
        <v>96.53121069694032</v>
      </c>
      <c r="F199">
        <f>+Intensity*Damp/(($B199/10-Shift)^2+Damp^2)</f>
        <v>96.505909666544653</v>
      </c>
      <c r="G199">
        <f t="shared" si="45"/>
        <v>13.88455015385204</v>
      </c>
      <c r="H199">
        <f t="shared" si="46"/>
        <v>1.7378008674050875</v>
      </c>
      <c r="I199">
        <v>440</v>
      </c>
      <c r="J199">
        <f t="shared" si="36"/>
        <v>131.82567385565326</v>
      </c>
      <c r="K199">
        <f t="shared" si="37"/>
        <v>2.531935724283008E-2</v>
      </c>
      <c r="L199">
        <f t="shared" si="38"/>
        <v>1.7850150418158801E-2</v>
      </c>
      <c r="M199">
        <f t="shared" si="39"/>
        <v>1.3071726099592756E-2</v>
      </c>
      <c r="N199">
        <f t="shared" si="40"/>
        <v>1.7484661484738123E-2</v>
      </c>
      <c r="P199">
        <f t="shared" si="41"/>
        <v>0.15730290265841768</v>
      </c>
      <c r="R199">
        <f t="shared" si="42"/>
        <v>0.15022310579844028</v>
      </c>
      <c r="S199">
        <f t="shared" si="43"/>
        <v>0.10373881638782627</v>
      </c>
      <c r="T199">
        <f t="shared" si="44"/>
        <v>0.10590731072150299</v>
      </c>
    </row>
    <row r="200" spans="1:20">
      <c r="A200">
        <f t="shared" si="50"/>
        <v>-2.1000000000000409</v>
      </c>
      <c r="B200">
        <f t="shared" si="47"/>
        <v>7.9432823472420644E-3</v>
      </c>
      <c r="C200">
        <f t="shared" si="48"/>
        <v>2.8166045890072962</v>
      </c>
      <c r="D200">
        <f t="shared" si="48"/>
        <v>282.84372048082412</v>
      </c>
      <c r="E200">
        <f t="shared" si="49"/>
        <v>88.023939843472604</v>
      </c>
      <c r="F200">
        <f>+Intensity*Damp/(($B200/10-Shift)^2+Damp^2)</f>
        <v>88.000865547158241</v>
      </c>
      <c r="G200">
        <f t="shared" si="45"/>
        <v>12.657687853768124</v>
      </c>
      <c r="H200">
        <f t="shared" si="46"/>
        <v>1.5848932246135594</v>
      </c>
      <c r="I200">
        <v>420</v>
      </c>
      <c r="J200">
        <f t="shared" si="36"/>
        <v>125.89254117942862</v>
      </c>
      <c r="K200">
        <f t="shared" si="37"/>
        <v>2.6500208468163106E-2</v>
      </c>
      <c r="L200">
        <f t="shared" si="38"/>
        <v>1.7846232277744511E-2</v>
      </c>
      <c r="M200">
        <f t="shared" si="39"/>
        <v>1.3066812414171307E-2</v>
      </c>
      <c r="N200">
        <f t="shared" si="40"/>
        <v>1.7480445794519465E-2</v>
      </c>
      <c r="P200">
        <f t="shared" si="41"/>
        <v>0.15722925278921995</v>
      </c>
      <c r="R200">
        <f t="shared" si="42"/>
        <v>0.1501527707193952</v>
      </c>
      <c r="S200">
        <f t="shared" si="43"/>
        <v>9.9045914020284453E-2</v>
      </c>
      <c r="T200">
        <f t="shared" si="44"/>
        <v>0.10111849597804259</v>
      </c>
    </row>
    <row r="201" spans="1:20">
      <c r="A201">
        <f t="shared" si="50"/>
        <v>-2.0800000000000409</v>
      </c>
      <c r="B201">
        <f t="shared" si="47"/>
        <v>8.3176377110259214E-3</v>
      </c>
      <c r="C201">
        <f t="shared" si="48"/>
        <v>2.568720062699883</v>
      </c>
      <c r="D201">
        <f t="shared" si="48"/>
        <v>257.9024651332407</v>
      </c>
      <c r="E201">
        <f t="shared" si="49"/>
        <v>80.266970081325027</v>
      </c>
      <c r="F201">
        <f>+Intensity*Damp/(($B201/10-Shift)^2+Damp^2)</f>
        <v>80.245926524409938</v>
      </c>
      <c r="G201">
        <f t="shared" si="45"/>
        <v>11.548146524576428</v>
      </c>
      <c r="H201">
        <f t="shared" si="46"/>
        <v>1.4454397974891919</v>
      </c>
      <c r="I201">
        <v>400</v>
      </c>
      <c r="J201">
        <f t="shared" si="36"/>
        <v>120.22644346175269</v>
      </c>
      <c r="K201">
        <f t="shared" si="37"/>
        <v>2.7673238836752212E-2</v>
      </c>
      <c r="L201">
        <f t="shared" si="38"/>
        <v>1.7842491285548327E-2</v>
      </c>
      <c r="M201">
        <f t="shared" si="39"/>
        <v>1.3062121515395092E-2</v>
      </c>
      <c r="N201">
        <f t="shared" si="40"/>
        <v>1.7476421069759631E-2</v>
      </c>
      <c r="P201">
        <f t="shared" si="41"/>
        <v>0.15679927541362368</v>
      </c>
      <c r="R201">
        <f t="shared" si="42"/>
        <v>0.14974214551354412</v>
      </c>
      <c r="S201">
        <f t="shared" si="43"/>
        <v>9.4566335452155065E-2</v>
      </c>
      <c r="T201">
        <f t="shared" si="44"/>
        <v>9.6547171155708683E-2</v>
      </c>
    </row>
    <row r="202" spans="1:20">
      <c r="A202">
        <f t="shared" si="50"/>
        <v>-2.0600000000000409</v>
      </c>
      <c r="B202">
        <f t="shared" si="47"/>
        <v>8.7096358995599806E-3</v>
      </c>
      <c r="C202">
        <f t="shared" si="48"/>
        <v>2.3426536377132847</v>
      </c>
      <c r="D202">
        <f t="shared" si="48"/>
        <v>235.16275704707493</v>
      </c>
      <c r="E202">
        <f t="shared" si="49"/>
        <v>73.194056388055785</v>
      </c>
      <c r="F202">
        <f>+Intensity*Damp/(($B202/10-Shift)^2+Damp^2)</f>
        <v>73.174864829712917</v>
      </c>
      <c r="G202">
        <f t="shared" si="45"/>
        <v>10.560276600117929</v>
      </c>
      <c r="H202">
        <f t="shared" si="46"/>
        <v>1.3182567608005076</v>
      </c>
      <c r="I202">
        <v>380</v>
      </c>
      <c r="J202">
        <f t="shared" si="36"/>
        <v>114.81536214969915</v>
      </c>
      <c r="K202">
        <f t="shared" si="37"/>
        <v>2.8825947851103515E-2</v>
      </c>
      <c r="L202">
        <f t="shared" si="38"/>
        <v>1.7838919397791336E-2</v>
      </c>
      <c r="M202">
        <f t="shared" si="39"/>
        <v>1.3057643231988677E-2</v>
      </c>
      <c r="N202">
        <f t="shared" si="40"/>
        <v>1.7472578607181558E-2</v>
      </c>
      <c r="P202">
        <f t="shared" si="41"/>
        <v>0.15597954771933786</v>
      </c>
      <c r="R202">
        <f t="shared" si="42"/>
        <v>0.14895931164294399</v>
      </c>
      <c r="S202">
        <f t="shared" si="43"/>
        <v>9.0290293155212129E-2</v>
      </c>
      <c r="T202">
        <f t="shared" si="44"/>
        <v>9.2183374773129351E-2</v>
      </c>
    </row>
    <row r="203" spans="1:20">
      <c r="A203">
        <f t="shared" si="50"/>
        <v>-2.0400000000000409</v>
      </c>
      <c r="B203">
        <f t="shared" si="47"/>
        <v>9.1201083935582381E-3</v>
      </c>
      <c r="C203">
        <f t="shared" si="48"/>
        <v>2.1364846606717123</v>
      </c>
      <c r="D203">
        <f t="shared" si="48"/>
        <v>214.42998070632711</v>
      </c>
      <c r="E203">
        <f t="shared" si="49"/>
        <v>66.744811899439782</v>
      </c>
      <c r="F203">
        <f>+Intensity*Damp/(($B203/10-Shift)^2+Damp^2)</f>
        <v>66.727309333471155</v>
      </c>
      <c r="G203">
        <f t="shared" si="45"/>
        <v>9.631525936452638</v>
      </c>
      <c r="H203">
        <f t="shared" si="46"/>
        <v>1.2022644531192686</v>
      </c>
      <c r="I203">
        <v>360</v>
      </c>
      <c r="J203">
        <f t="shared" si="36"/>
        <v>109.64781961432884</v>
      </c>
      <c r="K203">
        <f t="shared" si="37"/>
        <v>2.9943495759690516E-2</v>
      </c>
      <c r="L203">
        <f t="shared" si="38"/>
        <v>1.7835508938973402E-2</v>
      </c>
      <c r="M203">
        <f t="shared" si="39"/>
        <v>1.3053367863203536E-2</v>
      </c>
      <c r="N203">
        <f t="shared" si="40"/>
        <v>1.746891010480512E-2</v>
      </c>
      <c r="P203">
        <f t="shared" si="41"/>
        <v>0.15473428799587935</v>
      </c>
      <c r="R203">
        <f t="shared" si="42"/>
        <v>0.14777009783937051</v>
      </c>
      <c r="S203">
        <f t="shared" si="43"/>
        <v>8.6208456622798163E-2</v>
      </c>
      <c r="T203">
        <f t="shared" si="44"/>
        <v>8.8017608968523023E-2</v>
      </c>
    </row>
    <row r="204" spans="1:20">
      <c r="A204">
        <f t="shared" si="50"/>
        <v>-2.0200000000000409</v>
      </c>
      <c r="B204">
        <f t="shared" si="47"/>
        <v>9.5499258602134585E-3</v>
      </c>
      <c r="C204">
        <f t="shared" si="48"/>
        <v>1.9484615906447063</v>
      </c>
      <c r="D204">
        <f t="shared" si="48"/>
        <v>195.52676147295077</v>
      </c>
      <c r="E204">
        <f t="shared" si="49"/>
        <v>60.864188661141469</v>
      </c>
      <c r="F204">
        <f>+Intensity*Damp/(($B204/10-Shift)^2+Damp^2)</f>
        <v>60.848226430563585</v>
      </c>
      <c r="G204">
        <f t="shared" si="45"/>
        <v>8.7800186281247505</v>
      </c>
      <c r="H204">
        <f t="shared" si="46"/>
        <v>1.0964782115323766</v>
      </c>
      <c r="I204">
        <v>320</v>
      </c>
      <c r="J204">
        <f t="shared" si="36"/>
        <v>104.71285480509984</v>
      </c>
      <c r="K204">
        <f t="shared" si="37"/>
        <v>2.9184346859383602E-2</v>
      </c>
      <c r="L204">
        <f t="shared" si="38"/>
        <v>1.7832252584745495E-2</v>
      </c>
      <c r="M204">
        <f t="shared" si="39"/>
        <v>1.304928615651257E-2</v>
      </c>
      <c r="N204">
        <f t="shared" si="40"/>
        <v>1.7465407643036477E-2</v>
      </c>
      <c r="P204">
        <f t="shared" si="41"/>
        <v>0.14402372473139025</v>
      </c>
      <c r="R204">
        <f t="shared" si="42"/>
        <v>0.13754158932967014</v>
      </c>
      <c r="S204">
        <f t="shared" si="43"/>
        <v>8.2311930333346592E-2</v>
      </c>
      <c r="T204">
        <f t="shared" si="44"/>
        <v>8.4040817279603025E-2</v>
      </c>
    </row>
    <row r="205" spans="1:20">
      <c r="A205">
        <f t="shared" si="50"/>
        <v>-2.0000000000000409</v>
      </c>
      <c r="B205">
        <f t="shared" si="47"/>
        <v>9.999999999999053E-3</v>
      </c>
      <c r="C205">
        <f t="shared" si="48"/>
        <v>1.7769871041422802</v>
      </c>
      <c r="D205">
        <f t="shared" si="48"/>
        <v>178.29143345605169</v>
      </c>
      <c r="E205">
        <f t="shared" si="49"/>
        <v>55.502004560066915</v>
      </c>
      <c r="F205">
        <f>+Intensity*Damp/(($B205/10-Shift)^2+Damp^2)</f>
        <v>55.487447093716334</v>
      </c>
      <c r="G205">
        <f t="shared" si="45"/>
        <v>7.9989957562955185</v>
      </c>
      <c r="H205">
        <f t="shared" si="46"/>
        <v>1.0000000128001896</v>
      </c>
      <c r="I205">
        <v>280</v>
      </c>
      <c r="J205">
        <f t="shared" si="36"/>
        <v>100.00000000000946</v>
      </c>
      <c r="K205">
        <f t="shared" si="37"/>
        <v>2.7999999999994696E-2</v>
      </c>
      <c r="L205">
        <f t="shared" si="38"/>
        <v>1.7829143345601792E-2</v>
      </c>
      <c r="M205">
        <f t="shared" si="39"/>
        <v>1.3045389286408695E-2</v>
      </c>
      <c r="N205">
        <f t="shared" si="40"/>
        <v>1.7462063666684131E-2</v>
      </c>
      <c r="P205">
        <f t="shared" si="41"/>
        <v>0.13195993454250565</v>
      </c>
      <c r="R205">
        <f t="shared" si="42"/>
        <v>0.12602075913996691</v>
      </c>
      <c r="S205">
        <f t="shared" si="43"/>
        <v>7.8592232836656617E-2</v>
      </c>
      <c r="T205">
        <f t="shared" si="44"/>
        <v>8.024436354387332E-2</v>
      </c>
    </row>
    <row r="206" spans="1:20">
      <c r="A206">
        <f t="shared" si="50"/>
        <v>-1.9800000000000408</v>
      </c>
      <c r="B206">
        <f t="shared" si="47"/>
        <v>1.0471285480508002E-2</v>
      </c>
      <c r="C206">
        <f t="shared" si="48"/>
        <v>1.6206045126379878</v>
      </c>
      <c r="D206">
        <f t="shared" si="48"/>
        <v>162.57664415085097</v>
      </c>
      <c r="E206">
        <f t="shared" si="49"/>
        <v>50.61251230834813</v>
      </c>
      <c r="F206">
        <f>+Intensity*Damp/(($B206/10-Shift)^2+Damp^2)</f>
        <v>50.599235968755735</v>
      </c>
      <c r="G206">
        <f t="shared" si="45"/>
        <v>7.2952669763439468</v>
      </c>
      <c r="H206">
        <f t="shared" si="46"/>
        <v>0.91201085000265913</v>
      </c>
      <c r="I206">
        <v>260</v>
      </c>
      <c r="J206">
        <f t="shared" si="36"/>
        <v>95.499258602152651</v>
      </c>
      <c r="K206">
        <f t="shared" si="37"/>
        <v>2.8508433099717401E-2</v>
      </c>
      <c r="L206">
        <f t="shared" si="38"/>
        <v>1.7826174551350372E-2</v>
      </c>
      <c r="M206">
        <f t="shared" si="39"/>
        <v>1.3041668834248874E-2</v>
      </c>
      <c r="N206">
        <f t="shared" si="40"/>
        <v>1.7458870967853094E-2</v>
      </c>
      <c r="P206">
        <f t="shared" si="41"/>
        <v>0.12830908503993235</v>
      </c>
      <c r="R206">
        <f t="shared" si="42"/>
        <v>0.12253422493232906</v>
      </c>
      <c r="S206">
        <f t="shared" si="43"/>
        <v>7.5041276900645479E-2</v>
      </c>
      <c r="T206">
        <f t="shared" si="44"/>
        <v>7.662001185816765E-2</v>
      </c>
    </row>
    <row r="207" spans="1:20">
      <c r="A207">
        <f t="shared" si="50"/>
        <v>-1.9600000000000408</v>
      </c>
      <c r="B207">
        <f t="shared" si="47"/>
        <v>1.0964781961430818E-2</v>
      </c>
      <c r="C207">
        <f t="shared" si="48"/>
        <v>1.4779853768826152</v>
      </c>
      <c r="D207">
        <f t="shared" si="48"/>
        <v>148.24808355907643</v>
      </c>
      <c r="E207">
        <f t="shared" si="49"/>
        <v>46.154006724324688</v>
      </c>
      <c r="F207">
        <f>+Intensity*Damp/(($B207/10-Shift)^2+Damp^2)</f>
        <v>46.14189875705533</v>
      </c>
      <c r="G207">
        <f t="shared" si="45"/>
        <v>6.6585783699739487</v>
      </c>
      <c r="H207">
        <f t="shared" si="46"/>
        <v>0.83176377995826412</v>
      </c>
      <c r="I207">
        <v>245</v>
      </c>
      <c r="J207">
        <f t="shared" si="36"/>
        <v>91.201083935599556</v>
      </c>
      <c r="K207">
        <f t="shared" si="37"/>
        <v>2.9455478648121074E-2</v>
      </c>
      <c r="L207">
        <f t="shared" si="38"/>
        <v>1.7823339836323449E-2</v>
      </c>
      <c r="M207">
        <f t="shared" si="39"/>
        <v>1.3038116769088488E-2</v>
      </c>
      <c r="N207">
        <f t="shared" si="40"/>
        <v>1.7455822669671536E-2</v>
      </c>
      <c r="P207">
        <f t="shared" si="41"/>
        <v>0.12660479211654713</v>
      </c>
      <c r="R207">
        <f t="shared" si="42"/>
        <v>0.12090663782608771</v>
      </c>
      <c r="S207">
        <f t="shared" si="43"/>
        <v>7.1651350660126359E-2</v>
      </c>
      <c r="T207">
        <f t="shared" si="44"/>
        <v>7.3159907539954466E-2</v>
      </c>
    </row>
    <row r="208" spans="1:20">
      <c r="A208">
        <f t="shared" si="50"/>
        <v>-1.9400000000000408</v>
      </c>
      <c r="B208">
        <f t="shared" si="47"/>
        <v>1.1481536214967746E-2</v>
      </c>
      <c r="C208">
        <f t="shared" si="48"/>
        <v>1.347918212487055</v>
      </c>
      <c r="D208">
        <f t="shared" si="48"/>
        <v>135.1833266167001</v>
      </c>
      <c r="E208">
        <f t="shared" si="49"/>
        <v>42.088466892545796</v>
      </c>
      <c r="F208">
        <f>+Intensity*Damp/(($B208/10-Shift)^2+Damp^2)</f>
        <v>42.077424468063967</v>
      </c>
      <c r="G208">
        <f t="shared" si="45"/>
        <v>6.075883783335283</v>
      </c>
      <c r="H208">
        <f t="shared" si="46"/>
        <v>0.75857758239495809</v>
      </c>
      <c r="I208">
        <v>230</v>
      </c>
      <c r="J208">
        <f t="shared" si="36"/>
        <v>87.096358995616271</v>
      </c>
      <c r="K208">
        <f t="shared" si="37"/>
        <v>3.0319904986791647E-2</v>
      </c>
      <c r="L208">
        <f t="shared" si="38"/>
        <v>1.7820633125290301E-2</v>
      </c>
      <c r="M208">
        <f t="shared" si="39"/>
        <v>1.3034725429453959E-2</v>
      </c>
      <c r="N208">
        <f t="shared" si="40"/>
        <v>1.7452912210806942E-2</v>
      </c>
      <c r="P208">
        <f t="shared" si="41"/>
        <v>0.12445487017720711</v>
      </c>
      <c r="R208">
        <f t="shared" si="42"/>
        <v>0.11885347831349305</v>
      </c>
      <c r="S208">
        <f t="shared" si="43"/>
        <v>6.8415099712815453E-2</v>
      </c>
      <c r="T208">
        <f t="shared" si="44"/>
        <v>6.9856559036451368E-2</v>
      </c>
    </row>
    <row r="209" spans="1:20">
      <c r="A209">
        <f t="shared" si="50"/>
        <v>-1.9200000000000408</v>
      </c>
      <c r="B209">
        <f t="shared" si="47"/>
        <v>1.2022644346172994E-2</v>
      </c>
      <c r="C209">
        <f t="shared" si="48"/>
        <v>1.2292981905655729</v>
      </c>
      <c r="D209">
        <f t="shared" si="48"/>
        <v>123.27077876683994</v>
      </c>
      <c r="E209">
        <f t="shared" si="49"/>
        <v>38.381230091823483</v>
      </c>
      <c r="F209">
        <f>+Intensity*Damp/(($B209/10-Shift)^2+Damp^2)</f>
        <v>38.371159431733552</v>
      </c>
      <c r="G209">
        <f t="shared" si="45"/>
        <v>5.5303700329851448</v>
      </c>
      <c r="H209">
        <f t="shared" si="46"/>
        <v>0.69183097704553242</v>
      </c>
      <c r="I209">
        <v>215</v>
      </c>
      <c r="J209">
        <f t="shared" si="36"/>
        <v>83.176377110274956</v>
      </c>
      <c r="K209">
        <f t="shared" si="37"/>
        <v>3.1076955071031573E-2</v>
      </c>
      <c r="L209">
        <f t="shared" si="38"/>
        <v>1.7818048620037941E-2</v>
      </c>
      <c r="M209">
        <f t="shared" si="39"/>
        <v>1.3031487506004741E-2</v>
      </c>
      <c r="N209">
        <f t="shared" si="40"/>
        <v>1.7450133330731046E-2</v>
      </c>
      <c r="P209">
        <f t="shared" si="41"/>
        <v>0.12182110093000947</v>
      </c>
      <c r="R209">
        <f t="shared" si="42"/>
        <v>0.11633824820912823</v>
      </c>
      <c r="S209">
        <f t="shared" si="43"/>
        <v>6.5325510111038751E-2</v>
      </c>
      <c r="T209">
        <f t="shared" si="44"/>
        <v>6.670282073074027E-2</v>
      </c>
    </row>
    <row r="210" spans="1:20">
      <c r="A210">
        <f t="shared" si="50"/>
        <v>-1.9000000000000408</v>
      </c>
      <c r="B210">
        <f t="shared" si="47"/>
        <v>1.258925411794048E-2</v>
      </c>
      <c r="C210">
        <f t="shared" si="48"/>
        <v>1.1211177457205266</v>
      </c>
      <c r="D210">
        <f t="shared" si="48"/>
        <v>112.40871543479093</v>
      </c>
      <c r="E210">
        <f t="shared" si="49"/>
        <v>35.000694659551215</v>
      </c>
      <c r="F210">
        <f>+Intensity*Damp/(($B210/10-Shift)^2+Damp^2)</f>
        <v>34.991510239779785</v>
      </c>
      <c r="G210">
        <f t="shared" si="45"/>
        <v>5.0498224489173174</v>
      </c>
      <c r="H210">
        <f t="shared" si="46"/>
        <v>0.63095734957608463</v>
      </c>
      <c r="I210">
        <v>200</v>
      </c>
      <c r="J210">
        <f t="shared" si="36"/>
        <v>79.432823472435672</v>
      </c>
      <c r="K210">
        <f t="shared" si="37"/>
        <v>3.1697863849216266E-2</v>
      </c>
      <c r="L210">
        <f t="shared" si="38"/>
        <v>1.7815580786586488E-2</v>
      </c>
      <c r="M210">
        <f t="shared" si="39"/>
        <v>1.3028396025038512E-2</v>
      </c>
      <c r="N210">
        <f t="shared" si="40"/>
        <v>1.7447480055695283E-2</v>
      </c>
      <c r="P210">
        <f t="shared" si="41"/>
        <v>0.11866265352447024</v>
      </c>
      <c r="R210">
        <f t="shared" si="42"/>
        <v>0.11332195435349951</v>
      </c>
      <c r="S210">
        <f t="shared" si="43"/>
        <v>6.2375892200823492E-2</v>
      </c>
      <c r="T210">
        <f t="shared" si="44"/>
        <v>6.3691876597184463E-2</v>
      </c>
    </row>
    <row r="211" spans="1:20">
      <c r="A211">
        <f t="shared" si="50"/>
        <v>-1.8800000000000407</v>
      </c>
      <c r="B211">
        <f t="shared" si="47"/>
        <v>1.3182567385562831E-2</v>
      </c>
      <c r="C211">
        <f t="shared" si="48"/>
        <v>1.0224580113890152</v>
      </c>
      <c r="D211">
        <f t="shared" si="48"/>
        <v>102.50440699715165</v>
      </c>
      <c r="E211">
        <f t="shared" si="49"/>
        <v>31.918049214407439</v>
      </c>
      <c r="F211">
        <f>+Intensity*Damp/(($B211/10-Shift)^2+Damp^2)</f>
        <v>31.909673038549649</v>
      </c>
      <c r="G211">
        <f t="shared" si="45"/>
        <v>4.5986657084732734</v>
      </c>
      <c r="H211">
        <f t="shared" si="46"/>
        <v>0.57543994157574363</v>
      </c>
      <c r="I211">
        <v>185</v>
      </c>
      <c r="J211">
        <f t="shared" si="36"/>
        <v>75.857757502925509</v>
      </c>
      <c r="K211">
        <f t="shared" si="37"/>
        <v>3.21493153318574E-2</v>
      </c>
      <c r="L211">
        <f t="shared" si="38"/>
        <v>1.7813224343007989E-2</v>
      </c>
      <c r="M211">
        <f t="shared" si="39"/>
        <v>1.302544433279597E-2</v>
      </c>
      <c r="N211">
        <f t="shared" si="40"/>
        <v>1.7444946685380582E-2</v>
      </c>
      <c r="P211">
        <f t="shared" si="41"/>
        <v>0.11493592318597259</v>
      </c>
      <c r="R211">
        <f t="shared" si="42"/>
        <v>0.109762954510133</v>
      </c>
      <c r="S211">
        <f t="shared" si="43"/>
        <v>5.9559865262875503E-2</v>
      </c>
      <c r="T211">
        <f t="shared" si="44"/>
        <v>6.0817224661170344E-2</v>
      </c>
    </row>
    <row r="212" spans="1:20">
      <c r="A212">
        <f t="shared" si="50"/>
        <v>-1.8600000000000407</v>
      </c>
      <c r="B212">
        <f t="shared" si="47"/>
        <v>1.3803842646027548E-2</v>
      </c>
      <c r="C212">
        <f t="shared" si="48"/>
        <v>0.93248100962786296</v>
      </c>
      <c r="D212">
        <f t="shared" si="48"/>
        <v>93.473321595737573</v>
      </c>
      <c r="E212">
        <f t="shared" si="49"/>
        <v>29.107025890515761</v>
      </c>
      <c r="F212">
        <f>+Intensity*Damp/(($B212/10-Shift)^2+Damp^2)</f>
        <v>29.099386827165574</v>
      </c>
      <c r="G212">
        <f t="shared" si="45"/>
        <v>4.1952855022489501</v>
      </c>
      <c r="H212">
        <f t="shared" si="46"/>
        <v>0.52480746377528431</v>
      </c>
      <c r="I212">
        <v>170</v>
      </c>
      <c r="J212">
        <f t="shared" si="36"/>
        <v>72.443596007505832</v>
      </c>
      <c r="K212">
        <f t="shared" si="37"/>
        <v>3.2392832205369093E-2</v>
      </c>
      <c r="L212">
        <f t="shared" si="38"/>
        <v>1.7810974247819005E-2</v>
      </c>
      <c r="M212">
        <f t="shared" si="39"/>
        <v>1.3022626080524216E-2</v>
      </c>
      <c r="N212">
        <f t="shared" si="40"/>
        <v>1.7442527780187237E-2</v>
      </c>
      <c r="P212">
        <f t="shared" si="41"/>
        <v>0.11059436044316173</v>
      </c>
      <c r="R212">
        <f t="shared" si="42"/>
        <v>0.10561679427900177</v>
      </c>
      <c r="S212">
        <f t="shared" si="43"/>
        <v>5.6871342912721945E-2</v>
      </c>
      <c r="T212">
        <f t="shared" si="44"/>
        <v>5.8072662220894057E-2</v>
      </c>
    </row>
    <row r="213" spans="1:20">
      <c r="A213">
        <f t="shared" si="50"/>
        <v>-1.8400000000000407</v>
      </c>
      <c r="B213">
        <f t="shared" si="47"/>
        <v>1.4454397707457911E-2</v>
      </c>
      <c r="C213">
        <f t="shared" si="48"/>
        <v>0.85042252884585745</v>
      </c>
      <c r="D213">
        <f t="shared" si="48"/>
        <v>85.238398836466132</v>
      </c>
      <c r="E213">
        <f t="shared" si="49"/>
        <v>26.543675446225798</v>
      </c>
      <c r="F213">
        <f>+Intensity*Damp/(($B213/10-Shift)^2+Damp^2)</f>
        <v>26.536708624654302</v>
      </c>
      <c r="G213">
        <f t="shared" si="45"/>
        <v>3.8303739320538681</v>
      </c>
      <c r="H213">
        <f t="shared" si="46"/>
        <v>0.4786300952550393</v>
      </c>
      <c r="I213">
        <v>155</v>
      </c>
      <c r="J213">
        <f t="shared" si="36"/>
        <v>69.18309709190018</v>
      </c>
      <c r="K213">
        <f t="shared" si="37"/>
        <v>3.2384090028231498E-2</v>
      </c>
      <c r="L213">
        <f t="shared" si="38"/>
        <v>1.7808825688918853E-2</v>
      </c>
      <c r="M213">
        <f t="shared" si="39"/>
        <v>1.3019935210259931E-2</v>
      </c>
      <c r="N213">
        <f t="shared" si="40"/>
        <v>1.7440218149132665E-2</v>
      </c>
      <c r="P213">
        <f t="shared" si="41"/>
        <v>0.10558829041992462</v>
      </c>
      <c r="R213">
        <f t="shared" si="42"/>
        <v>0.10083603452170632</v>
      </c>
      <c r="S213">
        <f t="shared" si="43"/>
        <v>5.4304519219744406E-2</v>
      </c>
      <c r="T213">
        <f t="shared" si="44"/>
        <v>5.5452271791283037E-2</v>
      </c>
    </row>
    <row r="214" spans="1:20">
      <c r="A214">
        <f t="shared" si="50"/>
        <v>-1.8200000000000407</v>
      </c>
      <c r="B214">
        <f t="shared" si="47"/>
        <v>1.513561248436065E-2</v>
      </c>
      <c r="C214">
        <f t="shared" si="48"/>
        <v>0.77558562885675719</v>
      </c>
      <c r="D214">
        <f t="shared" si="48"/>
        <v>77.729388040101824</v>
      </c>
      <c r="E214">
        <f t="shared" si="49"/>
        <v>24.206162301821543</v>
      </c>
      <c r="F214">
        <f>+Intensity*Damp/(($B214/10-Shift)^2+Damp^2)</f>
        <v>24.199808560864199</v>
      </c>
      <c r="G214">
        <f t="shared" si="45"/>
        <v>3.493479511584177</v>
      </c>
      <c r="H214">
        <f t="shared" si="46"/>
        <v>0.43651583467923827</v>
      </c>
      <c r="I214">
        <v>140</v>
      </c>
      <c r="J214">
        <f t="shared" si="36"/>
        <v>66.069344800765847</v>
      </c>
      <c r="K214">
        <f t="shared" si="37"/>
        <v>3.2072147138742756E-2</v>
      </c>
      <c r="L214">
        <f t="shared" si="38"/>
        <v>1.7806774073046983E-2</v>
      </c>
      <c r="M214">
        <f t="shared" si="39"/>
        <v>1.3017365941295704E-2</v>
      </c>
      <c r="N214">
        <f t="shared" si="40"/>
        <v>1.743801283832639E-2</v>
      </c>
      <c r="P214">
        <f t="shared" si="41"/>
        <v>9.9864721634859405E-2</v>
      </c>
      <c r="R214">
        <f t="shared" si="42"/>
        <v>9.5370068766385041E-2</v>
      </c>
      <c r="S214">
        <f t="shared" si="43"/>
        <v>5.185385550727073E-2</v>
      </c>
      <c r="T214">
        <f t="shared" si="44"/>
        <v>5.2950407732525281E-2</v>
      </c>
    </row>
    <row r="215" spans="1:20">
      <c r="A215">
        <f t="shared" si="50"/>
        <v>-1.8000000000000407</v>
      </c>
      <c r="B215">
        <f t="shared" si="47"/>
        <v>1.5848931924609646E-2</v>
      </c>
      <c r="C215">
        <f t="shared" si="48"/>
        <v>0.70733471797321024</v>
      </c>
      <c r="D215">
        <f t="shared" si="48"/>
        <v>70.882245281436582</v>
      </c>
      <c r="E215">
        <f t="shared" si="49"/>
        <v>22.074577734379925</v>
      </c>
      <c r="F215">
        <f>+Intensity*Damp/(($B215/10-Shift)^2+Damp^2)</f>
        <v>22.068783119846525</v>
      </c>
      <c r="G215">
        <f t="shared" si="45"/>
        <v>3.1822282707275917</v>
      </c>
      <c r="H215">
        <f t="shared" si="46"/>
        <v>0.39810717258223527</v>
      </c>
      <c r="I215">
        <v>125</v>
      </c>
      <c r="J215">
        <f t="shared" si="36"/>
        <v>63.095734448025254</v>
      </c>
      <c r="K215">
        <f t="shared" si="37"/>
        <v>3.1398580393863854E-2</v>
      </c>
      <c r="L215">
        <f t="shared" si="38"/>
        <v>1.7804815015734107E-2</v>
      </c>
      <c r="M215">
        <f t="shared" si="39"/>
        <v>1.301491275729497E-2</v>
      </c>
      <c r="N215">
        <f t="shared" si="40"/>
        <v>1.7435907119993481E-2</v>
      </c>
      <c r="P215">
        <f t="shared" si="41"/>
        <v>9.33671437205498E-2</v>
      </c>
      <c r="R215">
        <f t="shared" si="42"/>
        <v>8.9164930031123121E-2</v>
      </c>
      <c r="S215">
        <f t="shared" si="43"/>
        <v>4.9514067798020756E-2</v>
      </c>
      <c r="T215">
        <f t="shared" si="44"/>
        <v>5.05616835277456E-2</v>
      </c>
    </row>
    <row r="216" spans="1:20">
      <c r="A216">
        <f t="shared" si="50"/>
        <v>-1.7800000000000407</v>
      </c>
      <c r="B216">
        <f t="shared" si="47"/>
        <v>1.6595869074374044E-2</v>
      </c>
      <c r="C216">
        <f t="shared" si="48"/>
        <v>0.64509015173643081</v>
      </c>
      <c r="D216">
        <f t="shared" si="48"/>
        <v>64.638583971437086</v>
      </c>
      <c r="E216">
        <f t="shared" si="49"/>
        <v>20.130769616265585</v>
      </c>
      <c r="F216">
        <f>+Intensity*Damp/(($B216/10-Shift)^2+Damp^2)</f>
        <v>20.125484922599533</v>
      </c>
      <c r="G216">
        <f t="shared" si="45"/>
        <v>2.9039797237805263</v>
      </c>
      <c r="H216">
        <f t="shared" si="46"/>
        <v>0.36307805645753827</v>
      </c>
      <c r="I216">
        <v>110</v>
      </c>
      <c r="J216">
        <f t="shared" si="36"/>
        <v>60.255958607441443</v>
      </c>
      <c r="K216">
        <f t="shared" si="37"/>
        <v>3.0296515736714127E-2</v>
      </c>
      <c r="L216">
        <f t="shared" si="38"/>
        <v>1.7802944331723282E-2</v>
      </c>
      <c r="M216">
        <f t="shared" si="39"/>
        <v>1.3012570394022807E-2</v>
      </c>
      <c r="N216">
        <f t="shared" si="40"/>
        <v>1.7433896482019054E-2</v>
      </c>
      <c r="P216">
        <f t="shared" si="41"/>
        <v>8.6035313442988023E-2</v>
      </c>
      <c r="R216">
        <f t="shared" si="42"/>
        <v>8.216308647408381E-2</v>
      </c>
      <c r="S216">
        <f t="shared" si="43"/>
        <v>4.7280114871312048E-2</v>
      </c>
      <c r="T216">
        <f t="shared" si="44"/>
        <v>4.828095967643193E-2</v>
      </c>
    </row>
    <row r="217" spans="1:20">
      <c r="A217">
        <f t="shared" si="50"/>
        <v>-1.7600000000000406</v>
      </c>
      <c r="B217">
        <f t="shared" si="47"/>
        <v>1.7378008287492117E-2</v>
      </c>
      <c r="C217">
        <f t="shared" si="48"/>
        <v>0.58832330732082305</v>
      </c>
      <c r="D217">
        <f t="shared" si="48"/>
        <v>58.945174207857193</v>
      </c>
      <c r="E217">
        <f t="shared" si="49"/>
        <v>18.358187227776291</v>
      </c>
      <c r="F217">
        <f>+Intensity*Damp/(($B217/10-Shift)^2+Damp^2)</f>
        <v>18.353367580066266</v>
      </c>
      <c r="G217">
        <f t="shared" si="45"/>
        <v>2.647745472834091</v>
      </c>
      <c r="H217">
        <f t="shared" si="46"/>
        <v>0.33113112288614549</v>
      </c>
      <c r="I217">
        <v>100</v>
      </c>
      <c r="J217">
        <f t="shared" si="36"/>
        <v>57.543993733721116</v>
      </c>
      <c r="K217">
        <f t="shared" si="37"/>
        <v>3.0199517204014471E-2</v>
      </c>
      <c r="L217">
        <f t="shared" si="38"/>
        <v>1.7801158025838131E-2</v>
      </c>
      <c r="M217">
        <f t="shared" si="39"/>
        <v>1.3010333827661742E-2</v>
      </c>
      <c r="N217">
        <f t="shared" si="40"/>
        <v>1.7431976617988034E-2</v>
      </c>
      <c r="P217">
        <f t="shared" si="41"/>
        <v>8.190002986060152E-2</v>
      </c>
      <c r="R217">
        <f t="shared" si="42"/>
        <v>7.821392131180871E-2</v>
      </c>
      <c r="S217">
        <f t="shared" si="43"/>
        <v>4.5147186900304594E-2</v>
      </c>
      <c r="T217">
        <f t="shared" si="44"/>
        <v>4.6103332172041982E-2</v>
      </c>
    </row>
    <row r="218" spans="1:20">
      <c r="A218">
        <f t="shared" si="50"/>
        <v>-1.7400000000000406</v>
      </c>
      <c r="B218">
        <f t="shared" si="47"/>
        <v>1.8197008586098132E-2</v>
      </c>
      <c r="C218">
        <f t="shared" si="48"/>
        <v>0.53655209170490004</v>
      </c>
      <c r="D218">
        <f t="shared" si="48"/>
        <v>53.753486548125146</v>
      </c>
      <c r="E218">
        <f t="shared" si="49"/>
        <v>16.741739805544473</v>
      </c>
      <c r="F218">
        <f>+Intensity*Damp/(($B218/10-Shift)^2+Damp^2)</f>
        <v>16.737344278335033</v>
      </c>
      <c r="G218">
        <f t="shared" si="45"/>
        <v>2.4155302016401703</v>
      </c>
      <c r="H218">
        <f t="shared" si="46"/>
        <v>0.30199517320763197</v>
      </c>
      <c r="I218">
        <v>90</v>
      </c>
      <c r="J218">
        <f t="shared" si="36"/>
        <v>54.954087385767593</v>
      </c>
      <c r="K218">
        <f t="shared" si="37"/>
        <v>2.9801800933427623E-2</v>
      </c>
      <c r="L218">
        <f t="shared" si="38"/>
        <v>1.7799452284276724E-2</v>
      </c>
      <c r="M218">
        <f t="shared" si="39"/>
        <v>1.3008198263683267E-2</v>
      </c>
      <c r="N218">
        <f t="shared" si="40"/>
        <v>1.7430143417695637E-2</v>
      </c>
      <c r="P218">
        <f t="shared" si="41"/>
        <v>7.7183873417929871E-2</v>
      </c>
      <c r="R218">
        <f t="shared" si="42"/>
        <v>7.3710026874540049E-2</v>
      </c>
      <c r="S218">
        <f t="shared" si="43"/>
        <v>4.3110694639408337E-2</v>
      </c>
      <c r="T218">
        <f t="shared" si="44"/>
        <v>4.4024121534028127E-2</v>
      </c>
    </row>
    <row r="219" spans="1:20">
      <c r="A219">
        <f t="shared" si="50"/>
        <v>-1.7200000000000406</v>
      </c>
      <c r="B219">
        <f t="shared" si="47"/>
        <v>1.9054607179630687E-2</v>
      </c>
      <c r="C219">
        <f t="shared" si="48"/>
        <v>0.48933684539434613</v>
      </c>
      <c r="D219">
        <f t="shared" si="48"/>
        <v>49.019276247867481</v>
      </c>
      <c r="E219">
        <f t="shared" si="49"/>
        <v>15.267667607622279</v>
      </c>
      <c r="F219">
        <f>+Intensity*Damp/(($B219/10-Shift)^2+Damp^2)</f>
        <v>15.263658877282788</v>
      </c>
      <c r="G219">
        <f t="shared" si="45"/>
        <v>2.2025685182409598</v>
      </c>
      <c r="H219">
        <f t="shared" si="46"/>
        <v>0.27542287130484749</v>
      </c>
      <c r="I219">
        <v>80</v>
      </c>
      <c r="J219">
        <f t="shared" si="36"/>
        <v>52.480746024982174</v>
      </c>
      <c r="K219">
        <f t="shared" si="37"/>
        <v>2.9046244381602665E-2</v>
      </c>
      <c r="L219">
        <f t="shared" si="38"/>
        <v>1.7797823466310623E-2</v>
      </c>
      <c r="M219">
        <f t="shared" si="39"/>
        <v>1.3006159126247478E-2</v>
      </c>
      <c r="N219">
        <f t="shared" si="40"/>
        <v>1.7428392958105457E-2</v>
      </c>
      <c r="P219">
        <f t="shared" si="41"/>
        <v>7.1841277604498821E-2</v>
      </c>
      <c r="R219">
        <f t="shared" si="42"/>
        <v>6.8607887482604199E-2</v>
      </c>
      <c r="S219">
        <f t="shared" si="43"/>
        <v>4.116625913364759E-2</v>
      </c>
      <c r="T219">
        <f t="shared" si="44"/>
        <v>4.2038862366154811E-2</v>
      </c>
    </row>
    <row r="220" spans="1:20">
      <c r="A220">
        <f t="shared" si="50"/>
        <v>-1.7000000000000406</v>
      </c>
      <c r="B220">
        <f t="shared" si="47"/>
        <v>1.9952623149686922E-2</v>
      </c>
      <c r="C220">
        <f t="shared" si="48"/>
        <v>0.44627660685162951</v>
      </c>
      <c r="D220">
        <f t="shared" si="48"/>
        <v>44.702204362786304</v>
      </c>
      <c r="E220">
        <f t="shared" si="49"/>
        <v>13.923424384799086</v>
      </c>
      <c r="F220">
        <f>+Intensity*Damp/(($B220/10-Shift)^2+Damp^2)</f>
        <v>13.919768412496019</v>
      </c>
      <c r="G220">
        <f t="shared" si="45"/>
        <v>2.0100848183129556</v>
      </c>
      <c r="H220">
        <f t="shared" si="46"/>
        <v>0.25118864395863061</v>
      </c>
      <c r="I220">
        <v>70</v>
      </c>
      <c r="J220">
        <f t="shared" si="36"/>
        <v>50.118723362731934</v>
      </c>
      <c r="K220">
        <f t="shared" si="37"/>
        <v>2.7867501938739575E-2</v>
      </c>
      <c r="L220">
        <f t="shared" si="38"/>
        <v>1.7796268096369711E-2</v>
      </c>
      <c r="M220">
        <f t="shared" si="39"/>
        <v>1.3004212048104591E-2</v>
      </c>
      <c r="N220">
        <f t="shared" si="40"/>
        <v>1.7426721494733163E-2</v>
      </c>
      <c r="P220">
        <f t="shared" si="41"/>
        <v>6.5823671119605992E-2</v>
      </c>
      <c r="R220">
        <f t="shared" si="42"/>
        <v>6.2861117903936878E-2</v>
      </c>
      <c r="S220">
        <f t="shared" si="43"/>
        <v>3.9309701923323503E-2</v>
      </c>
      <c r="T220">
        <f t="shared" si="44"/>
        <v>4.0143293414499868E-2</v>
      </c>
    </row>
    <row r="221" spans="1:20">
      <c r="A221">
        <f t="shared" si="50"/>
        <v>-1.6800000000000406</v>
      </c>
      <c r="B221">
        <f t="shared" si="47"/>
        <v>2.0892961308538436E-2</v>
      </c>
      <c r="C221">
        <f t="shared" si="48"/>
        <v>0.40700570585795509</v>
      </c>
      <c r="D221">
        <f t="shared" si="48"/>
        <v>40.76549243397708</v>
      </c>
      <c r="E221">
        <f t="shared" si="49"/>
        <v>12.697570246589903</v>
      </c>
      <c r="F221">
        <f>+Intensity*Damp/(($B221/10-Shift)^2+Damp^2)</f>
        <v>12.694235989167698</v>
      </c>
      <c r="G221">
        <f t="shared" si="45"/>
        <v>1.8328943344401953</v>
      </c>
      <c r="H221">
        <f t="shared" si="46"/>
        <v>0.2290867659485738</v>
      </c>
      <c r="I221">
        <v>60</v>
      </c>
      <c r="J221">
        <f t="shared" si="36"/>
        <v>47.863009232268325</v>
      </c>
      <c r="K221">
        <f t="shared" si="37"/>
        <v>2.6190949934405044E-2</v>
      </c>
      <c r="L221">
        <f t="shared" si="38"/>
        <v>1.7794782856494357E-2</v>
      </c>
      <c r="M221">
        <f t="shared" si="39"/>
        <v>1.3002352860973589E-2</v>
      </c>
      <c r="N221">
        <f t="shared" si="40"/>
        <v>1.742512545343498E-2</v>
      </c>
      <c r="P221">
        <f t="shared" si="41"/>
        <v>5.9079295857302205E-2</v>
      </c>
      <c r="R221">
        <f t="shared" si="42"/>
        <v>5.6420289531090587E-2</v>
      </c>
      <c r="S221">
        <f t="shared" si="43"/>
        <v>3.7537035718850136E-2</v>
      </c>
      <c r="T221">
        <f t="shared" si="44"/>
        <v>3.8333348100041159E-2</v>
      </c>
    </row>
    <row r="222" spans="1:20">
      <c r="A222">
        <f t="shared" si="50"/>
        <v>-1.6600000000000406</v>
      </c>
      <c r="B222">
        <f t="shared" si="47"/>
        <v>2.1877616239493473E-2</v>
      </c>
      <c r="C222">
        <f t="shared" si="48"/>
        <v>0.3711906568337518</v>
      </c>
      <c r="D222">
        <f t="shared" si="48"/>
        <v>37.175607770073924</v>
      </c>
      <c r="E222">
        <f t="shared" si="49"/>
        <v>11.579674000365813</v>
      </c>
      <c r="F222">
        <f>+Intensity*Damp/(($B222/10-Shift)^2+Damp^2)</f>
        <v>11.576633146678928</v>
      </c>
      <c r="G222">
        <f t="shared" si="45"/>
        <v>1.6705051549973196</v>
      </c>
      <c r="H222">
        <f t="shared" si="46"/>
        <v>0.20892961364418342</v>
      </c>
      <c r="I222">
        <v>50</v>
      </c>
      <c r="J222">
        <f t="shared" si="36"/>
        <v>45.708818961491794</v>
      </c>
      <c r="K222">
        <f t="shared" si="37"/>
        <v>2.3931504616127426E-2</v>
      </c>
      <c r="L222">
        <f t="shared" si="38"/>
        <v>1.7793364579137334E-2</v>
      </c>
      <c r="M222">
        <f t="shared" si="39"/>
        <v>1.3000577586374499E-2</v>
      </c>
      <c r="N222">
        <f t="shared" si="40"/>
        <v>1.7423601422581276E-2</v>
      </c>
      <c r="P222">
        <f t="shared" si="41"/>
        <v>5.1553014409105695E-2</v>
      </c>
      <c r="R222">
        <f t="shared" si="42"/>
        <v>4.9232746547752185E-2</v>
      </c>
      <c r="S222">
        <f t="shared" si="43"/>
        <v>3.584445552198668E-2</v>
      </c>
      <c r="T222">
        <f t="shared" si="44"/>
        <v>3.6605145502053925E-2</v>
      </c>
    </row>
    <row r="223" spans="1:20">
      <c r="A223">
        <f t="shared" si="50"/>
        <v>-1.6400000000000405</v>
      </c>
      <c r="B223">
        <f t="shared" si="47"/>
        <v>2.2908676527675587E-2</v>
      </c>
      <c r="C223">
        <f t="shared" si="48"/>
        <v>0.33852732569731792</v>
      </c>
      <c r="D223">
        <f t="shared" si="48"/>
        <v>33.901976606495943</v>
      </c>
      <c r="E223">
        <f t="shared" si="49"/>
        <v>10.560224124077314</v>
      </c>
      <c r="F223">
        <f>+Intensity*Damp/(($B223/10-Shift)^2+Damp^2)</f>
        <v>10.557450854532565</v>
      </c>
      <c r="G223">
        <f t="shared" si="45"/>
        <v>1.5242315712403718</v>
      </c>
      <c r="H223">
        <f t="shared" si="46"/>
        <v>0.19054607226110024</v>
      </c>
      <c r="I223">
        <v>45</v>
      </c>
      <c r="J223">
        <f t="shared" si="36"/>
        <v>43.651583224020683</v>
      </c>
      <c r="K223">
        <f t="shared" si="37"/>
        <v>2.3616335711235347E-2</v>
      </c>
      <c r="L223">
        <f t="shared" si="38"/>
        <v>1.779201024029901E-2</v>
      </c>
      <c r="M223">
        <f t="shared" si="39"/>
        <v>1.2998882426892084E-2</v>
      </c>
      <c r="N223">
        <f t="shared" si="40"/>
        <v>1.742214614559651E-2</v>
      </c>
      <c r="P223">
        <f t="shared" si="41"/>
        <v>4.8584369813268122E-2</v>
      </c>
      <c r="R223">
        <f t="shared" si="42"/>
        <v>4.6397712968194775E-2</v>
      </c>
      <c r="S223">
        <f t="shared" si="43"/>
        <v>3.4228330170999417E-2</v>
      </c>
      <c r="T223">
        <f t="shared" si="44"/>
        <v>3.4954981769836725E-2</v>
      </c>
    </row>
    <row r="224" spans="1:20">
      <c r="A224">
        <f t="shared" si="50"/>
        <v>-1.6200000000000405</v>
      </c>
      <c r="B224">
        <f t="shared" si="47"/>
        <v>2.3988329190192656E-2</v>
      </c>
      <c r="C224">
        <f t="shared" si="48"/>
        <v>0.30873834616948787</v>
      </c>
      <c r="D224">
        <f t="shared" si="48"/>
        <v>30.916722664939698</v>
      </c>
      <c r="E224">
        <f t="shared" si="49"/>
        <v>9.6305476076712484</v>
      </c>
      <c r="F224">
        <f>+Intensity*Damp/(($B224/10-Shift)^2+Damp^2)</f>
        <v>9.6280183749367971</v>
      </c>
      <c r="G224">
        <f t="shared" si="45"/>
        <v>1.3908764551054404</v>
      </c>
      <c r="H224">
        <f t="shared" si="46"/>
        <v>0.17378008326152392</v>
      </c>
      <c r="I224">
        <v>41</v>
      </c>
      <c r="J224">
        <f t="shared" si="36"/>
        <v>41.686938347037447</v>
      </c>
      <c r="K224">
        <f t="shared" si="37"/>
        <v>2.359303743081901E-2</v>
      </c>
      <c r="L224">
        <f t="shared" si="38"/>
        <v>1.7790716952979825E-2</v>
      </c>
      <c r="M224">
        <f t="shared" si="39"/>
        <v>1.2997263757849863E-2</v>
      </c>
      <c r="N224">
        <f t="shared" si="40"/>
        <v>1.7420756513847828E-2</v>
      </c>
      <c r="P224">
        <f t="shared" si="41"/>
        <v>4.6351940120932515E-2</v>
      </c>
      <c r="R224">
        <f t="shared" si="42"/>
        <v>4.4265759163200136E-2</v>
      </c>
      <c r="S224">
        <f t="shared" si="43"/>
        <v>3.2685194288523976E-2</v>
      </c>
      <c r="T224">
        <f t="shared" si="44"/>
        <v>3.3379321941504191E-2</v>
      </c>
    </row>
    <row r="225" spans="1:20">
      <c r="A225">
        <f t="shared" si="50"/>
        <v>-1.6000000000000405</v>
      </c>
      <c r="B225">
        <f t="shared" si="47"/>
        <v>2.5118864315093449E-2</v>
      </c>
      <c r="C225">
        <f t="shared" si="48"/>
        <v>0.2815707635550771</v>
      </c>
      <c r="D225">
        <f t="shared" si="48"/>
        <v>28.194428857301219</v>
      </c>
      <c r="E225">
        <f t="shared" si="49"/>
        <v>8.7827359662821216</v>
      </c>
      <c r="F225">
        <f>+Intensity*Damp/(($B225/10-Shift)^2+Damp^2)</f>
        <v>8.780429295299589</v>
      </c>
      <c r="G225">
        <f t="shared" si="45"/>
        <v>1.267211242310718</v>
      </c>
      <c r="H225">
        <f t="shared" si="46"/>
        <v>0.15848931956766246</v>
      </c>
      <c r="I225">
        <v>37</v>
      </c>
      <c r="J225">
        <f t="shared" si="36"/>
        <v>39.81071705535345</v>
      </c>
      <c r="K225">
        <f t="shared" si="37"/>
        <v>2.334542174576278E-2</v>
      </c>
      <c r="L225">
        <f t="shared" si="38"/>
        <v>1.7789481960935175E-2</v>
      </c>
      <c r="M225">
        <f t="shared" si="39"/>
        <v>1.299571811937442E-2</v>
      </c>
      <c r="N225">
        <f t="shared" si="40"/>
        <v>1.7419429559865401E-2</v>
      </c>
      <c r="P225">
        <f t="shared" si="41"/>
        <v>4.3801177342742387E-2</v>
      </c>
      <c r="R225">
        <f t="shared" si="42"/>
        <v>4.1829799621329086E-2</v>
      </c>
      <c r="S225">
        <f t="shared" si="43"/>
        <v>3.1211740612022889E-2</v>
      </c>
      <c r="T225">
        <f t="shared" si="44"/>
        <v>3.1874792149695359E-2</v>
      </c>
    </row>
    <row r="226" spans="1:20">
      <c r="A226">
        <f t="shared" si="50"/>
        <v>-1.5800000000000405</v>
      </c>
      <c r="B226">
        <f t="shared" si="47"/>
        <v>2.6302679918951351E-2</v>
      </c>
      <c r="C226">
        <f t="shared" si="48"/>
        <v>0.256793885967604</v>
      </c>
      <c r="D226">
        <f t="shared" si="48"/>
        <v>25.711920079400343</v>
      </c>
      <c r="E226">
        <f t="shared" si="49"/>
        <v>8.0095777901903471</v>
      </c>
      <c r="F226">
        <f>+Intensity*Damp/(($B226/10-Shift)^2+Damp^2)</f>
        <v>8.0074740957905384</v>
      </c>
      <c r="G226">
        <f t="shared" si="45"/>
        <v>1.156862795218262</v>
      </c>
      <c r="H226">
        <f t="shared" si="46"/>
        <v>0.1445439773420498</v>
      </c>
      <c r="I226">
        <v>33</v>
      </c>
      <c r="J226">
        <f t="shared" si="36"/>
        <v>38.018939632059684</v>
      </c>
      <c r="K226">
        <f t="shared" si="37"/>
        <v>2.2830422040320618E-2</v>
      </c>
      <c r="L226">
        <f t="shared" si="38"/>
        <v>1.77883026327183E-2</v>
      </c>
      <c r="M226">
        <f t="shared" si="39"/>
        <v>1.299424220883119E-2</v>
      </c>
      <c r="N226">
        <f t="shared" si="40"/>
        <v>1.7418162450878693E-2</v>
      </c>
      <c r="P226">
        <f t="shared" si="41"/>
        <v>4.0907034776115479E-2</v>
      </c>
      <c r="R226">
        <f t="shared" si="42"/>
        <v>3.9065914927311256E-2</v>
      </c>
      <c r="S226">
        <f t="shared" si="43"/>
        <v>2.9804812687841069E-2</v>
      </c>
      <c r="T226">
        <f t="shared" si="44"/>
        <v>3.0438172195141819E-2</v>
      </c>
    </row>
    <row r="227" spans="1:20">
      <c r="A227">
        <f t="shared" si="50"/>
        <v>-1.5600000000000405</v>
      </c>
      <c r="B227">
        <f t="shared" si="47"/>
        <v>2.7542287033379093E-2</v>
      </c>
      <c r="C227">
        <f t="shared" si="48"/>
        <v>0.2341973247288332</v>
      </c>
      <c r="D227">
        <f t="shared" si="48"/>
        <v>23.448065223015202</v>
      </c>
      <c r="E227">
        <f t="shared" si="49"/>
        <v>7.304497252926855</v>
      </c>
      <c r="F227">
        <f>+Intensity*Damp/(($B227/10-Shift)^2+Damp^2)</f>
        <v>7.3025786734993074</v>
      </c>
      <c r="G227">
        <f t="shared" si="45"/>
        <v>1.0546687498181142</v>
      </c>
      <c r="H227">
        <f t="shared" si="46"/>
        <v>0.13182567407810383</v>
      </c>
      <c r="I227">
        <v>31</v>
      </c>
      <c r="J227">
        <f t="shared" si="36"/>
        <v>36.307805477013524</v>
      </c>
      <c r="K227">
        <f t="shared" si="37"/>
        <v>2.3515904825900304E-2</v>
      </c>
      <c r="L227">
        <f t="shared" si="38"/>
        <v>1.7787176455997686E-2</v>
      </c>
      <c r="M227">
        <f t="shared" si="39"/>
        <v>1.2992832873613568E-2</v>
      </c>
      <c r="N227">
        <f t="shared" si="40"/>
        <v>1.7416952482653333E-2</v>
      </c>
      <c r="P227">
        <f t="shared" si="41"/>
        <v>4.0238867934412212E-2</v>
      </c>
      <c r="R227">
        <f t="shared" si="42"/>
        <v>3.8427820547259336E-2</v>
      </c>
      <c r="S227">
        <f t="shared" si="43"/>
        <v>2.8461397910846554E-2</v>
      </c>
      <c r="T227">
        <f t="shared" si="44"/>
        <v>2.9066388470014862E-2</v>
      </c>
    </row>
    <row r="228" spans="1:20">
      <c r="A228">
        <f t="shared" si="50"/>
        <v>-1.5400000000000404</v>
      </c>
      <c r="B228">
        <f t="shared" si="47"/>
        <v>2.8840315031263358E-2</v>
      </c>
      <c r="C228">
        <f t="shared" si="48"/>
        <v>0.2135892072841436</v>
      </c>
      <c r="D228">
        <f t="shared" si="48"/>
        <v>21.383596701453186</v>
      </c>
      <c r="E228">
        <f t="shared" si="49"/>
        <v>6.6614980502632362</v>
      </c>
      <c r="F228">
        <f>+Intensity*Damp/(($B228/10-Shift)^2+Damp^2)</f>
        <v>6.6597482960662706</v>
      </c>
      <c r="G228">
        <f t="shared" si="45"/>
        <v>0.96137688465200466</v>
      </c>
      <c r="H228">
        <f t="shared" si="46"/>
        <v>0.12022644364678009</v>
      </c>
      <c r="I228">
        <v>29</v>
      </c>
      <c r="J228">
        <f t="shared" si="36"/>
        <v>34.673685045256413</v>
      </c>
      <c r="K228">
        <f t="shared" si="37"/>
        <v>2.4121149361972943E-2</v>
      </c>
      <c r="L228">
        <f t="shared" si="38"/>
        <v>1.7786101032136008E-2</v>
      </c>
      <c r="M228">
        <f t="shared" si="39"/>
        <v>1.2991487104268451E-2</v>
      </c>
      <c r="N228">
        <f t="shared" si="40"/>
        <v>1.7415797073614236E-2</v>
      </c>
      <c r="P228">
        <f t="shared" si="41"/>
        <v>3.9416863009865466E-2</v>
      </c>
      <c r="R228">
        <f t="shared" si="42"/>
        <v>3.7642811938644133E-2</v>
      </c>
      <c r="S228">
        <f t="shared" si="43"/>
        <v>2.717862089263344E-2</v>
      </c>
      <c r="T228">
        <f t="shared" si="44"/>
        <v>2.7756507213952186E-2</v>
      </c>
    </row>
    <row r="229" spans="1:20">
      <c r="A229">
        <f t="shared" si="50"/>
        <v>-1.5200000000000404</v>
      </c>
      <c r="B229">
        <f t="shared" si="47"/>
        <v>3.019951720401734E-2</v>
      </c>
      <c r="C229">
        <f t="shared" si="48"/>
        <v>0.19479454744229024</v>
      </c>
      <c r="D229">
        <f t="shared" si="48"/>
        <v>19.500945935666785</v>
      </c>
      <c r="E229">
        <f t="shared" si="49"/>
        <v>6.0751122896085956</v>
      </c>
      <c r="F229">
        <f>+Intensity*Damp/(($B229/10-Shift)^2+Damp^2)</f>
        <v>6.0735165044309758</v>
      </c>
      <c r="G229">
        <f t="shared" si="45"/>
        <v>0.87677867360059736</v>
      </c>
      <c r="H229">
        <f t="shared" si="46"/>
        <v>0.10964781976822885</v>
      </c>
      <c r="I229">
        <v>26</v>
      </c>
      <c r="J229">
        <f t="shared" si="36"/>
        <v>33.113112148262204</v>
      </c>
      <c r="K229">
        <f t="shared" si="37"/>
        <v>2.3712281823249224E-2</v>
      </c>
      <c r="L229">
        <f t="shared" si="38"/>
        <v>1.7785074071018359E-2</v>
      </c>
      <c r="M229">
        <f t="shared" si="39"/>
        <v>1.2990202027941924E-2</v>
      </c>
      <c r="N229">
        <f t="shared" si="40"/>
        <v>1.7414693759241401E-2</v>
      </c>
      <c r="P229">
        <f t="shared" si="41"/>
        <v>3.7004744339250883E-2</v>
      </c>
      <c r="R229">
        <f t="shared" si="42"/>
        <v>3.5339256491603278E-2</v>
      </c>
      <c r="S229">
        <f t="shared" si="43"/>
        <v>2.5953737142123137E-2</v>
      </c>
      <c r="T229">
        <f t="shared" si="44"/>
        <v>2.6505728086516037E-2</v>
      </c>
    </row>
    <row r="230" spans="1:20">
      <c r="A230">
        <f t="shared" si="50"/>
        <v>-1.5000000000000404</v>
      </c>
      <c r="B230">
        <f t="shared" si="47"/>
        <v>3.1622776601680835E-2</v>
      </c>
      <c r="C230">
        <f t="shared" si="48"/>
        <v>0.17765375908636188</v>
      </c>
      <c r="D230">
        <f t="shared" si="48"/>
        <v>17.784093386121398</v>
      </c>
      <c r="E230">
        <f t="shared" si="49"/>
        <v>5.5403538919504784</v>
      </c>
      <c r="F230">
        <f>+Intensity*Damp/(($B230/10-Shift)^2+Damp^2)</f>
        <v>5.5388985269493185</v>
      </c>
      <c r="G230">
        <f t="shared" si="45"/>
        <v>0.79989157016110701</v>
      </c>
      <c r="H230">
        <f t="shared" si="46"/>
        <v>0.10000000012801871</v>
      </c>
      <c r="I230">
        <v>25</v>
      </c>
      <c r="J230">
        <f t="shared" si="36"/>
        <v>31.622776601686752</v>
      </c>
      <c r="K230">
        <f t="shared" si="37"/>
        <v>2.4999999999995321E-2</v>
      </c>
      <c r="L230">
        <f t="shared" si="38"/>
        <v>1.7784093386118072E-2</v>
      </c>
      <c r="M230">
        <f t="shared" si="39"/>
        <v>1.2988974902129786E-2</v>
      </c>
      <c r="N230">
        <f t="shared" si="40"/>
        <v>1.7413640186725275E-2</v>
      </c>
      <c r="P230">
        <f t="shared" si="41"/>
        <v>3.7258388664379583E-2</v>
      </c>
      <c r="R230">
        <f t="shared" si="42"/>
        <v>3.5581484941587596E-2</v>
      </c>
      <c r="S230">
        <f t="shared" si="43"/>
        <v>2.4784127043292237E-2</v>
      </c>
      <c r="T230">
        <f t="shared" si="44"/>
        <v>2.5311378040722646E-2</v>
      </c>
    </row>
    <row r="231" spans="1:20">
      <c r="A231">
        <f t="shared" si="50"/>
        <v>-1.4800000000000404</v>
      </c>
      <c r="B231">
        <f t="shared" si="47"/>
        <v>3.3113112148256019E-2</v>
      </c>
      <c r="C231">
        <f t="shared" si="48"/>
        <v>0.16202130072298501</v>
      </c>
      <c r="D231">
        <f t="shared" si="48"/>
        <v>16.218431841457335</v>
      </c>
      <c r="E231">
        <f t="shared" si="49"/>
        <v>5.0526761072988746</v>
      </c>
      <c r="F231">
        <f>+Intensity*Damp/(($B231/10-Shift)^2+Damp^2)</f>
        <v>5.0513488059419052</v>
      </c>
      <c r="G231">
        <f t="shared" si="45"/>
        <v>0.7297676245113337</v>
      </c>
      <c r="H231">
        <f t="shared" si="46"/>
        <v>9.1201084042073763E-2</v>
      </c>
      <c r="I231">
        <v>24</v>
      </c>
      <c r="J231">
        <f t="shared" si="36"/>
        <v>30.199517204022982</v>
      </c>
      <c r="K231">
        <f t="shared" si="37"/>
        <v>2.6315476707431527E-2</v>
      </c>
      <c r="L231">
        <f t="shared" si="38"/>
        <v>1.7783156889789011E-2</v>
      </c>
      <c r="M231">
        <f t="shared" si="39"/>
        <v>1.2987803108718277E-2</v>
      </c>
      <c r="N231">
        <f t="shared" si="40"/>
        <v>1.7412634109869415E-2</v>
      </c>
      <c r="P231">
        <f t="shared" si="41"/>
        <v>3.7453749527854074E-2</v>
      </c>
      <c r="R231">
        <f t="shared" si="42"/>
        <v>3.5768053117804552E-2</v>
      </c>
      <c r="S231">
        <f t="shared" si="43"/>
        <v>2.3667290115509117E-2</v>
      </c>
      <c r="T231">
        <f t="shared" si="44"/>
        <v>2.4170905483030775E-2</v>
      </c>
    </row>
    <row r="232" spans="1:20">
      <c r="A232">
        <f t="shared" si="50"/>
        <v>-1.4600000000000404</v>
      </c>
      <c r="B232">
        <f t="shared" si="47"/>
        <v>3.4673685045249938E-2</v>
      </c>
      <c r="C232">
        <f t="shared" si="48"/>
        <v>0.1477644393495732</v>
      </c>
      <c r="D232">
        <f t="shared" si="48"/>
        <v>14.790641789579148</v>
      </c>
      <c r="E232">
        <f t="shared" si="49"/>
        <v>4.6079327799607421</v>
      </c>
      <c r="F232">
        <f>+Intensity*Damp/(($B232/10-Shift)^2+Damp^2)</f>
        <v>4.6067222730954169</v>
      </c>
      <c r="G232">
        <f t="shared" si="45"/>
        <v>0.66567451514209752</v>
      </c>
      <c r="H232">
        <f t="shared" si="46"/>
        <v>8.3176377198836943E-2</v>
      </c>
      <c r="I232">
        <v>23</v>
      </c>
      <c r="J232">
        <f t="shared" si="36"/>
        <v>28.840315031268741</v>
      </c>
      <c r="K232">
        <f t="shared" si="37"/>
        <v>2.7652081996195354E-2</v>
      </c>
      <c r="L232">
        <f t="shared" si="38"/>
        <v>1.7782262588773745E-2</v>
      </c>
      <c r="M232">
        <f t="shared" si="39"/>
        <v>1.2986684148301205E-2</v>
      </c>
      <c r="N232">
        <f t="shared" si="40"/>
        <v>1.7411673384228679E-2</v>
      </c>
      <c r="P232">
        <f t="shared" si="41"/>
        <v>3.7584769930406554E-2</v>
      </c>
      <c r="R232">
        <f t="shared" si="42"/>
        <v>3.5893176630859676E-2</v>
      </c>
      <c r="S232">
        <f t="shared" si="43"/>
        <v>2.2600839542749308E-2</v>
      </c>
      <c r="T232">
        <f t="shared" si="44"/>
        <v>2.3081874705962551E-2</v>
      </c>
    </row>
    <row r="233" spans="1:20">
      <c r="A233">
        <f t="shared" si="50"/>
        <v>-1.4400000000000404</v>
      </c>
      <c r="B233">
        <f t="shared" si="47"/>
        <v>3.6307805477006745E-2</v>
      </c>
      <c r="C233">
        <f t="shared" si="48"/>
        <v>0.13476212313407268</v>
      </c>
      <c r="D233">
        <f t="shared" si="48"/>
        <v>13.48857780115949</v>
      </c>
      <c r="E233">
        <f t="shared" si="49"/>
        <v>4.2023430321950439</v>
      </c>
      <c r="F233">
        <f>+Intensity*Damp/(($B233/10-Shift)^2+Damp^2)</f>
        <v>4.2012390423530643</v>
      </c>
      <c r="G233">
        <f t="shared" si="45"/>
        <v>0.60696435073610289</v>
      </c>
      <c r="H233">
        <f t="shared" si="46"/>
        <v>7.5857757576588858E-2</v>
      </c>
      <c r="I233">
        <v>22</v>
      </c>
      <c r="J233">
        <f t="shared" si="36"/>
        <v>27.542287033384234</v>
      </c>
      <c r="K233">
        <f t="shared" si="37"/>
        <v>2.9001648248235541E-2</v>
      </c>
      <c r="L233">
        <f t="shared" si="38"/>
        <v>1.7781408579917543E-2</v>
      </c>
      <c r="M233">
        <f t="shared" si="39"/>
        <v>1.2985615634760287E-2</v>
      </c>
      <c r="N233">
        <f t="shared" si="40"/>
        <v>1.7410755962471897E-2</v>
      </c>
      <c r="P233">
        <f t="shared" si="41"/>
        <v>3.7644951411008487E-2</v>
      </c>
    </row>
    <row r="234" spans="1:20">
      <c r="A234">
        <f t="shared" si="50"/>
        <v>-1.4200000000000403</v>
      </c>
      <c r="B234">
        <f t="shared" si="47"/>
        <v>3.8018939632052585E-2</v>
      </c>
      <c r="C234">
        <f t="shared" si="48"/>
        <v>0.12290395332692199</v>
      </c>
      <c r="D234">
        <f t="shared" si="48"/>
        <v>12.301164950585362</v>
      </c>
      <c r="E234">
        <f t="shared" si="49"/>
        <v>3.8324590641570224</v>
      </c>
      <c r="F234">
        <f>+Intensity*Damp/(($B234/10-Shift)^2+Damp^2)</f>
        <v>3.8314522182813167</v>
      </c>
      <c r="G234">
        <f t="shared" si="45"/>
        <v>0.55359292711646568</v>
      </c>
      <c r="H234">
        <f t="shared" si="46"/>
        <v>6.9183097153171169E-2</v>
      </c>
    </row>
    <row r="235" spans="1:20">
      <c r="A235">
        <f t="shared" si="50"/>
        <v>-1.4000000000000403</v>
      </c>
      <c r="B235">
        <f t="shared" si="47"/>
        <v>3.9810717055346015E-2</v>
      </c>
      <c r="C235">
        <f t="shared" si="48"/>
        <v>0.11208924666867333</v>
      </c>
      <c r="D235">
        <f t="shared" si="48"/>
        <v>11.218304385937408</v>
      </c>
      <c r="E235">
        <f t="shared" si="49"/>
        <v>3.4951367947907372</v>
      </c>
      <c r="F235">
        <f>+Intensity*Damp/(($B235/10-Shift)^2+Damp^2)</f>
        <v>3.4942185446435179</v>
      </c>
      <c r="G235">
        <f t="shared" si="45"/>
        <v>0.50492215821933262</v>
      </c>
      <c r="H235">
        <f t="shared" si="46"/>
        <v>6.3095734498988795E-2</v>
      </c>
    </row>
    <row r="236" spans="1:20">
      <c r="A236">
        <f t="shared" si="50"/>
        <v>-1.3800000000000403</v>
      </c>
      <c r="B236">
        <f t="shared" si="47"/>
        <v>4.1686938347029662E-2</v>
      </c>
      <c r="C236">
        <f t="shared" si="48"/>
        <v>0.1022261803261101</v>
      </c>
      <c r="D236">
        <f t="shared" si="48"/>
        <v>10.230787238438008</v>
      </c>
      <c r="E236">
        <f t="shared" si="49"/>
        <v>3.1875090927032046</v>
      </c>
      <c r="F236">
        <f>+Intensity*Damp/(($B236/10-Shift)^2+Damp^2)</f>
        <v>3.1866716422789931</v>
      </c>
      <c r="G236">
        <f t="shared" si="45"/>
        <v>0.46048345086200776</v>
      </c>
      <c r="H236">
        <f t="shared" si="46"/>
        <v>5.7543993776111184E-2</v>
      </c>
    </row>
    <row r="237" spans="1:20">
      <c r="A237">
        <f t="shared" si="50"/>
        <v>-1.3600000000000403</v>
      </c>
      <c r="B237">
        <f t="shared" si="47"/>
        <v>4.3651583224012525E-2</v>
      </c>
      <c r="C237">
        <f t="shared" si="48"/>
        <v>9.3231012091311821E-2</v>
      </c>
      <c r="D237">
        <f t="shared" si="48"/>
        <v>9.3302161336254716</v>
      </c>
      <c r="E237">
        <f t="shared" si="49"/>
        <v>2.9069613682645921</v>
      </c>
      <c r="F237">
        <f>+Intensity*Damp/(($B237/10-Shift)^2+Damp^2)</f>
        <v>2.9061976075916354</v>
      </c>
      <c r="G237">
        <f t="shared" si="45"/>
        <v>0.41972280920295851</v>
      </c>
      <c r="H237">
        <f t="shared" si="46"/>
        <v>5.2480746060241175E-2</v>
      </c>
    </row>
    <row r="238" spans="1:20">
      <c r="A238">
        <f t="shared" si="50"/>
        <v>-1.3400000000000403</v>
      </c>
      <c r="B238">
        <f t="shared" si="47"/>
        <v>4.5708818961483252E-2</v>
      </c>
      <c r="C238">
        <f t="shared" si="48"/>
        <v>8.5027369217907392E-2</v>
      </c>
      <c r="D238">
        <f t="shared" si="48"/>
        <v>8.5089336319361184</v>
      </c>
      <c r="E238">
        <f t="shared" si="49"/>
        <v>2.6511093184184897</v>
      </c>
      <c r="F238">
        <f>+Intensity*Damp/(($B238/10-Shift)^2+Damp^2)</f>
        <v>2.6504127631862526</v>
      </c>
      <c r="G238">
        <f t="shared" si="45"/>
        <v>0.38288506539712081</v>
      </c>
      <c r="H238">
        <f t="shared" si="46"/>
        <v>4.7863009261595847E-2</v>
      </c>
    </row>
    <row r="239" spans="1:20">
      <c r="A239">
        <f t="shared" si="50"/>
        <v>-1.3200000000000403</v>
      </c>
      <c r="B239">
        <f t="shared" si="47"/>
        <v>4.7863009232259376E-2</v>
      </c>
      <c r="C239">
        <f t="shared" si="48"/>
        <v>7.7545599852202052E-2</v>
      </c>
      <c r="D239">
        <f t="shared" si="48"/>
        <v>7.7599569859791231</v>
      </c>
      <c r="E239">
        <f t="shared" si="49"/>
        <v>2.417778634131031</v>
      </c>
      <c r="F239">
        <f>+Intensity*Damp/(($B239/10-Shift)^2+Damp^2)</f>
        <v>2.4171433706309711</v>
      </c>
      <c r="G239">
        <f t="shared" si="45"/>
        <v>0.34928075051940866</v>
      </c>
      <c r="H239">
        <f t="shared" si="46"/>
        <v>4.3651583248414616E-2</v>
      </c>
    </row>
    <row r="240" spans="1:20">
      <c r="A240">
        <f t="shared" si="50"/>
        <v>-1.3000000000000402</v>
      </c>
      <c r="B240">
        <f t="shared" si="47"/>
        <v>5.0118723362722578E-2</v>
      </c>
      <c r="C240">
        <f t="shared" si="48"/>
        <v>7.0722181548902044E-2</v>
      </c>
      <c r="D240">
        <f t="shared" si="48"/>
        <v>7.0769186560887523</v>
      </c>
      <c r="E240">
        <f t="shared" si="49"/>
        <v>2.2049864972164572</v>
      </c>
      <c r="F240">
        <f>+Intensity*Damp/(($B240/10-Shift)^2+Damp^2)</f>
        <v>2.2044071321284195</v>
      </c>
      <c r="G240">
        <f t="shared" si="45"/>
        <v>0.31856983914887299</v>
      </c>
      <c r="H240">
        <f t="shared" si="46"/>
        <v>3.9810717075643737E-2</v>
      </c>
    </row>
    <row r="241" spans="1:8">
      <c r="A241">
        <f t="shared" si="50"/>
        <v>-1.2800000000000402</v>
      </c>
      <c r="B241">
        <f t="shared" si="47"/>
        <v>5.2480746024972373E-2</v>
      </c>
      <c r="C241">
        <f t="shared" si="48"/>
        <v>6.4499181846346385E-2</v>
      </c>
      <c r="D241">
        <f t="shared" si="48"/>
        <v>6.4540120752114944</v>
      </c>
      <c r="E241">
        <f t="shared" si="49"/>
        <v>2.0109247085959314</v>
      </c>
      <c r="F241">
        <f>+Intensity*Damp/(($B241/10-Shift)^2+Damp^2)</f>
        <v>2.0103963231936706</v>
      </c>
      <c r="G241">
        <f t="shared" si="45"/>
        <v>0.29053477902304087</v>
      </c>
      <c r="H241">
        <f t="shared" si="46"/>
        <v>3.6307805493890587E-2</v>
      </c>
    </row>
    <row r="242" spans="1:8">
      <c r="A242">
        <f t="shared" si="50"/>
        <v>-1.2600000000000402</v>
      </c>
      <c r="B242">
        <f t="shared" si="47"/>
        <v>5.4954087385757362E-2</v>
      </c>
      <c r="C242">
        <f t="shared" si="48"/>
        <v>5.8823766318596371E-2</v>
      </c>
      <c r="D242">
        <f t="shared" si="48"/>
        <v>5.8859421992607848</v>
      </c>
      <c r="E242">
        <f t="shared" si="49"/>
        <v>1.8339443040078078</v>
      </c>
      <c r="F242">
        <f>+Intensity*Damp/(($B242/10-Shift)^2+Damp^2)</f>
        <v>1.833462412394697</v>
      </c>
      <c r="G242">
        <f t="shared" si="45"/>
        <v>0.26488576156845617</v>
      </c>
      <c r="H242">
        <f t="shared" si="46"/>
        <v>3.3113112162300173E-2</v>
      </c>
    </row>
    <row r="243" spans="1:8">
      <c r="A243">
        <f t="shared" si="50"/>
        <v>-1.2400000000000402</v>
      </c>
      <c r="B243">
        <f t="shared" si="47"/>
        <v>5.7543993733710344E-2</v>
      </c>
      <c r="C243">
        <f t="shared" si="48"/>
        <v>5.3647749925216814E-2</v>
      </c>
      <c r="D243">
        <f t="shared" si="48"/>
        <v>5.3678804201439085</v>
      </c>
      <c r="E243">
        <f t="shared" si="49"/>
        <v>1.6725415259125691</v>
      </c>
      <c r="F243">
        <f>+Intensity*Damp/(($B243/10-Shift)^2+Damp^2)</f>
        <v>1.6721020369327737</v>
      </c>
      <c r="G243">
        <f t="shared" si="45"/>
        <v>0.24159956557141843</v>
      </c>
      <c r="H243">
        <f t="shared" si="46"/>
        <v>3.0199517215699516E-2</v>
      </c>
    </row>
    <row r="244" spans="1:8">
      <c r="A244">
        <f t="shared" si="50"/>
        <v>-1.2200000000000402</v>
      </c>
      <c r="B244">
        <f t="shared" si="47"/>
        <v>6.0255958607430188E-2</v>
      </c>
      <c r="C244">
        <f t="shared" si="48"/>
        <v>4.8927187847520877E-2</v>
      </c>
      <c r="D244">
        <f t="shared" si="48"/>
        <v>4.895423456089639</v>
      </c>
      <c r="E244">
        <f t="shared" si="49"/>
        <v>1.5253450319333519</v>
      </c>
      <c r="F244">
        <f>+Intensity*Damp/(($B244/10-Shift)^2+Damp^2)</f>
        <v>1.5249442144349907</v>
      </c>
      <c r="G244">
        <f t="shared" si="45"/>
        <v>0.22029002781165677</v>
      </c>
      <c r="H244">
        <f t="shared" si="46"/>
        <v>2.754228704309657E-2</v>
      </c>
    </row>
    <row r="245" spans="1:8">
      <c r="A245">
        <f t="shared" si="50"/>
        <v>-1.2000000000000401</v>
      </c>
      <c r="B245">
        <f t="shared" si="47"/>
        <v>6.309573444801346E-2</v>
      </c>
      <c r="C245">
        <f t="shared" si="48"/>
        <v>4.4622002335595809E-2</v>
      </c>
      <c r="D245">
        <f t="shared" si="48"/>
        <v>4.4645558680084285</v>
      </c>
      <c r="E245">
        <f t="shared" si="49"/>
        <v>1.3911042307443333</v>
      </c>
      <c r="F245">
        <f>+Intensity*Damp/(($B245/10-Shift)^2+Damp^2)</f>
        <v>1.3907386818996073</v>
      </c>
      <c r="G245">
        <f t="shared" si="45"/>
        <v>0.20096192966075743</v>
      </c>
      <c r="H245">
        <f t="shared" si="46"/>
        <v>2.511886432317673E-2</v>
      </c>
    </row>
    <row r="246" spans="1:8">
      <c r="A246">
        <f t="shared" si="50"/>
        <v>-1.1800000000000401</v>
      </c>
      <c r="B246">
        <f t="shared" si="47"/>
        <v>6.6069344800753479E-2</v>
      </c>
      <c r="C246">
        <f t="shared" si="48"/>
        <v>4.0695642396412761E-2</v>
      </c>
      <c r="D246">
        <f t="shared" si="48"/>
        <v>4.0716158816934174</v>
      </c>
      <c r="E246">
        <f t="shared" si="49"/>
        <v>1.2686786459545594</v>
      </c>
      <c r="F246">
        <f>+Intensity*Damp/(($B246/10-Shift)^2+Damp^2)</f>
        <v>1.2683452623678122</v>
      </c>
      <c r="G246">
        <f t="shared" si="45"/>
        <v>0.18323556369664645</v>
      </c>
      <c r="H246">
        <f t="shared" si="46"/>
        <v>2.2908676534399521E-2</v>
      </c>
    </row>
    <row r="247" spans="1:8">
      <c r="A247">
        <f t="shared" si="50"/>
        <v>-1.1600000000000401</v>
      </c>
      <c r="B247">
        <f t="shared" si="47"/>
        <v>6.9183097091887261E-2</v>
      </c>
      <c r="C247">
        <f t="shared" si="48"/>
        <v>3.7114773432373654E-2</v>
      </c>
      <c r="D247">
        <f t="shared" si="48"/>
        <v>3.7132642239915388</v>
      </c>
      <c r="E247">
        <f t="shared" si="49"/>
        <v>1.1570282173178728</v>
      </c>
      <c r="F247">
        <f>+Intensity*Damp/(($B247/10-Shift)^2+Damp^2)</f>
        <v>1.156724168676206</v>
      </c>
      <c r="G247">
        <f t="shared" si="45"/>
        <v>0.16717587374636372</v>
      </c>
      <c r="H247">
        <f t="shared" si="46"/>
        <v>2.089296131413166E-2</v>
      </c>
    </row>
    <row r="248" spans="1:8">
      <c r="A248">
        <f t="shared" si="50"/>
        <v>-1.1400000000000401</v>
      </c>
      <c r="B248">
        <f t="shared" si="47"/>
        <v>7.2443596007492297E-2</v>
      </c>
      <c r="C248">
        <f t="shared" si="48"/>
        <v>3.3848994194117826E-2</v>
      </c>
      <c r="D248">
        <f t="shared" si="48"/>
        <v>3.3864557068834324</v>
      </c>
      <c r="E248">
        <f t="shared" si="49"/>
        <v>1.0552044566054126</v>
      </c>
      <c r="F248">
        <f>+Intensity*Damp/(($B248/10-Shift)^2+Damp^2)</f>
        <v>1.0549271616481</v>
      </c>
      <c r="G248">
        <f t="shared" si="45"/>
        <v>0.15242418670364752</v>
      </c>
      <c r="H248">
        <f t="shared" si="46"/>
        <v>1.9054607184283406E-2</v>
      </c>
    </row>
    <row r="249" spans="1:8">
      <c r="A249">
        <f t="shared" si="50"/>
        <v>-1.1200000000000401</v>
      </c>
      <c r="B249">
        <f t="shared" si="47"/>
        <v>7.5857757502911363E-2</v>
      </c>
      <c r="C249">
        <f t="shared" si="48"/>
        <v>3.0870578643480032E-2</v>
      </c>
      <c r="D249">
        <f t="shared" si="48"/>
        <v>3.0884133169332344</v>
      </c>
      <c r="E249">
        <f t="shared" si="49"/>
        <v>0.96234238277513617</v>
      </c>
      <c r="F249">
        <f>+Intensity*Damp/(($B249/10-Shift)^2+Damp^2)</f>
        <v>0.96208948737775801</v>
      </c>
      <c r="G249">
        <f t="shared" si="45"/>
        <v>0.13899876392127408</v>
      </c>
      <c r="H249">
        <f t="shared" si="46"/>
        <v>1.7378008291362511E-2</v>
      </c>
    </row>
    <row r="250" spans="1:8">
      <c r="A250">
        <f t="shared" si="50"/>
        <v>-1.1000000000000401</v>
      </c>
      <c r="B250">
        <f t="shared" si="47"/>
        <v>7.943282347242081E-2</v>
      </c>
      <c r="C250">
        <f t="shared" si="48"/>
        <v>2.8154240534122542E-2</v>
      </c>
      <c r="D250">
        <f t="shared" si="48"/>
        <v>2.8166045890072842</v>
      </c>
      <c r="E250">
        <f t="shared" si="49"/>
        <v>0.87765316772539381</v>
      </c>
      <c r="F250">
        <f>+Intensity*Damp/(($B250/10-Shift)^2+Damp^2)</f>
        <v>0.87742252491258654</v>
      </c>
      <c r="G250">
        <f t="shared" si="45"/>
        <v>0.12679904555005636</v>
      </c>
      <c r="H250">
        <f t="shared" si="46"/>
        <v>1.5848931927829286E-2</v>
      </c>
    </row>
    <row r="251" spans="1:8">
      <c r="A251">
        <f t="shared" si="50"/>
        <v>-1.08000000000004</v>
      </c>
      <c r="B251">
        <f t="shared" si="47"/>
        <v>8.3176377110259436E-2</v>
      </c>
      <c r="C251">
        <f t="shared" si="48"/>
        <v>2.567691871036256E-2</v>
      </c>
      <c r="D251">
        <f t="shared" si="48"/>
        <v>2.5687200626998692</v>
      </c>
      <c r="E251">
        <f t="shared" si="49"/>
        <v>0.80041742998406817</v>
      </c>
      <c r="F251">
        <f>+Intensity*Damp/(($B251/10-Shift)^2+Damp^2)</f>
        <v>0.80020708170115495</v>
      </c>
      <c r="G251">
        <f t="shared" si="45"/>
        <v>0.11562895983963946</v>
      </c>
      <c r="H251">
        <f t="shared" si="46"/>
        <v>1.4454397710136241E-2</v>
      </c>
    </row>
    <row r="252" spans="1:8">
      <c r="A252">
        <f t="shared" si="50"/>
        <v>-1.06000000000004</v>
      </c>
      <c r="B252">
        <f t="shared" si="47"/>
        <v>8.7096358995600004E-2</v>
      </c>
      <c r="C252">
        <f t="shared" si="48"/>
        <v>2.3417581300722776E-2</v>
      </c>
      <c r="D252">
        <f t="shared" si="48"/>
        <v>2.3426536377132736</v>
      </c>
      <c r="E252">
        <f t="shared" si="49"/>
        <v>0.72997911921331948</v>
      </c>
      <c r="F252">
        <f>+Intensity*Damp/(($B252/10-Shift)^2+Damp^2)</f>
        <v>0.72978727970203205</v>
      </c>
      <c r="G252">
        <f t="shared" si="45"/>
        <v>0.10546889898034578</v>
      </c>
      <c r="H252">
        <f t="shared" si="46"/>
        <v>1.3182567387790899E-2</v>
      </c>
    </row>
    <row r="253" spans="1:8">
      <c r="A253">
        <f t="shared" si="50"/>
        <v>-1.04000000000004</v>
      </c>
      <c r="B253">
        <f t="shared" si="47"/>
        <v>9.1201083935582572E-2</v>
      </c>
      <c r="C253">
        <f t="shared" si="48"/>
        <v>2.1357047143242051E-2</v>
      </c>
      <c r="D253">
        <f t="shared" si="48"/>
        <v>2.1364846606717034</v>
      </c>
      <c r="E253">
        <f t="shared" si="49"/>
        <v>0.66573993944992715</v>
      </c>
      <c r="F253">
        <f>+Intensity*Damp/(($B253/10-Shift)^2+Damp^2)</f>
        <v>0.66556498008705289</v>
      </c>
      <c r="G253">
        <f t="shared" si="45"/>
        <v>9.616751095379715E-2</v>
      </c>
      <c r="H253">
        <f t="shared" si="46"/>
        <v>1.2022644348026511E-2</v>
      </c>
    </row>
    <row r="254" spans="1:8">
      <c r="A254">
        <f t="shared" si="50"/>
        <v>-1.02000000000004</v>
      </c>
      <c r="B254">
        <f t="shared" si="47"/>
        <v>9.5499258602134776E-2</v>
      </c>
      <c r="C254">
        <f t="shared" si="48"/>
        <v>1.9477822925962299E-2</v>
      </c>
      <c r="D254">
        <f t="shared" si="48"/>
        <v>1.9484615906446983</v>
      </c>
      <c r="E254">
        <f t="shared" si="49"/>
        <v>0.60715426359594171</v>
      </c>
      <c r="F254">
        <f>+Intensity*Damp/(($B254/10-Shift)^2+Damp^2)</f>
        <v>0.60699469906615233</v>
      </c>
      <c r="G254">
        <f t="shared" si="45"/>
        <v>8.7710793703028617E-2</v>
      </c>
      <c r="H254">
        <f t="shared" si="46"/>
        <v>1.0964781962972774E-2</v>
      </c>
    </row>
    <row r="255" spans="1:8">
      <c r="A255">
        <f t="shared" si="50"/>
        <v>-1.00000000000004</v>
      </c>
      <c r="B255">
        <f t="shared" si="47"/>
        <v>9.9999999999990777E-2</v>
      </c>
      <c r="C255">
        <f t="shared" si="48"/>
        <v>1.7763954659498187E-2</v>
      </c>
      <c r="D255">
        <f t="shared" si="48"/>
        <v>1.7769871041422718</v>
      </c>
      <c r="E255">
        <f t="shared" si="49"/>
        <v>0.55372449586314887</v>
      </c>
      <c r="F255">
        <f>+Intensity*Damp/(($B255/10-Shift)^2+Damp^2)</f>
        <v>0.55357897154859692</v>
      </c>
      <c r="G255">
        <f t="shared" si="45"/>
        <v>7.9991339355318783E-2</v>
      </c>
      <c r="H255">
        <f t="shared" si="46"/>
        <v>1.0000000001281846E-2</v>
      </c>
    </row>
    <row r="256" spans="1:8">
      <c r="A256">
        <f t="shared" si="50"/>
        <v>-0.98000000000003995</v>
      </c>
      <c r="B256">
        <f t="shared" si="47"/>
        <v>0.10471285480508029</v>
      </c>
      <c r="C256">
        <f t="shared" si="48"/>
        <v>1.6200892220337073E-2</v>
      </c>
      <c r="D256">
        <f t="shared" si="48"/>
        <v>1.6206045126379793</v>
      </c>
      <c r="E256">
        <f t="shared" si="49"/>
        <v>0.50499684269379019</v>
      </c>
      <c r="F256">
        <f>+Intensity*Damp/(($B256/10-Shift)^2+Damp^2)</f>
        <v>0.5048641231733958</v>
      </c>
      <c r="G256">
        <f t="shared" si="45"/>
        <v>7.2953681327835126E-2</v>
      </c>
      <c r="H256">
        <f t="shared" si="46"/>
        <v>9.12010839462544E-3</v>
      </c>
    </row>
    <row r="257" spans="1:8">
      <c r="A257">
        <f t="shared" si="50"/>
        <v>-0.96000000000003993</v>
      </c>
      <c r="B257">
        <f t="shared" si="47"/>
        <v>0.10964781961430842</v>
      </c>
      <c r="C257">
        <f t="shared" si="48"/>
        <v>1.4775365814537424E-2</v>
      </c>
      <c r="D257">
        <f t="shared" si="48"/>
        <v>1.4779853768826088</v>
      </c>
      <c r="E257">
        <f t="shared" si="49"/>
        <v>0.46055745616160809</v>
      </c>
      <c r="F257">
        <f>+Intensity*Damp/(($B257/10-Shift)^2+Damp^2)</f>
        <v>0.46043641472238078</v>
      </c>
      <c r="G257">
        <f t="shared" si="45"/>
        <v>6.6546882051420397E-2</v>
      </c>
      <c r="H257">
        <f t="shared" si="46"/>
        <v>8.3176377119137841E-3</v>
      </c>
    </row>
    <row r="258" spans="1:8">
      <c r="A258">
        <f t="shared" si="50"/>
        <v>-0.94000000000003991</v>
      </c>
      <c r="B258">
        <f t="shared" si="47"/>
        <v>0.11481536214967769</v>
      </c>
      <c r="C258">
        <f t="shared" si="48"/>
        <v>1.3475273312743896E-2</v>
      </c>
      <c r="D258">
        <f t="shared" si="48"/>
        <v>1.3479182124870495</v>
      </c>
      <c r="E258">
        <f t="shared" si="49"/>
        <v>0.42002891703159034</v>
      </c>
      <c r="F258">
        <f>+Intensity*Damp/(($B258/10-Shift)^2+Damp^2)</f>
        <v>0.41991852610292496</v>
      </c>
      <c r="G258">
        <f t="shared" si="45"/>
        <v>6.0679358882768257E-2</v>
      </c>
      <c r="H258">
        <f t="shared" si="46"/>
        <v>7.5857757510298003E-3</v>
      </c>
    </row>
    <row r="259" spans="1:8">
      <c r="A259">
        <f t="shared" si="50"/>
        <v>-0.9200000000000399</v>
      </c>
      <c r="B259">
        <f t="shared" si="47"/>
        <v>0.12022644346173024</v>
      </c>
      <c r="C259">
        <f t="shared" si="48"/>
        <v>1.2289577499772081E-2</v>
      </c>
      <c r="D259">
        <f t="shared" si="48"/>
        <v>1.2292981905655667</v>
      </c>
      <c r="E259">
        <f t="shared" si="49"/>
        <v>0.38306702755084032</v>
      </c>
      <c r="F259">
        <f>+Intensity*Damp/(($B259/10-Shift)^2+Damp^2)</f>
        <v>0.38296634998056489</v>
      </c>
      <c r="G259">
        <f t="shared" si="45"/>
        <v>5.5351829204535262E-2</v>
      </c>
      <c r="H259">
        <f t="shared" si="46"/>
        <v>6.9183097098032848E-3</v>
      </c>
    </row>
    <row r="260" spans="1:8">
      <c r="A260">
        <f t="shared" si="50"/>
        <v>-0.90000000000003988</v>
      </c>
      <c r="B260">
        <f t="shared" si="47"/>
        <v>0.1258925411794051</v>
      </c>
      <c r="C260">
        <f t="shared" si="48"/>
        <v>1.1208212366224553E-2</v>
      </c>
      <c r="D260">
        <f t="shared" si="48"/>
        <v>1.1211177457205215</v>
      </c>
      <c r="E260">
        <f t="shared" si="49"/>
        <v>0.34935788668164625</v>
      </c>
      <c r="F260">
        <f>+Intensity*Damp/(($B260/10-Shift)^2+Damp^2)</f>
        <v>0.34926606777974717</v>
      </c>
      <c r="G260">
        <f t="shared" si="45"/>
        <v>5.048066937792943E-2</v>
      </c>
      <c r="H260">
        <f t="shared" si="46"/>
        <v>6.3095734453126736E-3</v>
      </c>
    </row>
    <row r="261" spans="1:8">
      <c r="A261">
        <f t="shared" si="50"/>
        <v>-0.88000000000003986</v>
      </c>
      <c r="B261">
        <f t="shared" si="47"/>
        <v>0.13182567385562857</v>
      </c>
      <c r="C261">
        <f t="shared" si="48"/>
        <v>1.02219976463939E-2</v>
      </c>
      <c r="D261">
        <f t="shared" si="48"/>
        <v>1.0224580113890109</v>
      </c>
      <c r="E261">
        <f t="shared" si="49"/>
        <v>0.31861522289357741</v>
      </c>
      <c r="F261">
        <f>+Intensity*Damp/(($B261/10-Shift)^2+Damp^2)</f>
        <v>0.31853148317604596</v>
      </c>
      <c r="G261">
        <f t="shared" ref="G261:G301" si="51">+I/(($B261-alpha*SIN($B261*L))^2+alpha^2*(1+COS($B261*L))^2)</f>
        <v>4.6030709430306758E-2</v>
      </c>
      <c r="H261">
        <f t="shared" ref="H261:H301" si="52">+Int*($B261^2+2*beta^2)/(4*(beta*$B261)^2+($B261^2-2*beta^2)^2)</f>
        <v>5.7543993737964776E-3</v>
      </c>
    </row>
    <row r="262" spans="1:8">
      <c r="A262">
        <f t="shared" si="50"/>
        <v>-0.86000000000003984</v>
      </c>
      <c r="B262">
        <f t="shared" ref="B262:B301" si="53">10^$A262</f>
        <v>0.13803842646027578</v>
      </c>
      <c r="C262">
        <f t="shared" ref="C262:D301" si="54">+C$1*EXP(-ABS(C$3/$B262-1/C$2))/$B262/$B262</f>
        <v>9.3225608767448925E-3</v>
      </c>
      <c r="D262">
        <f t="shared" si="54"/>
        <v>0.93248100962785874</v>
      </c>
      <c r="E262">
        <f t="shared" ref="E262:E301" si="55">$E$2/(1+$E$1^2-2*$E$1*($E$3*$B262)+($E$3*$B262)^2)</f>
        <v>0.29057796182494489</v>
      </c>
      <c r="F262">
        <f>+Intensity*Damp/(($B262/10-Shift)^2+Damp^2)</f>
        <v>0.29050159039613588</v>
      </c>
      <c r="G262">
        <f t="shared" si="51"/>
        <v>4.1988195873406187E-2</v>
      </c>
      <c r="H262">
        <f t="shared" si="52"/>
        <v>5.2480746028512344E-3</v>
      </c>
    </row>
    <row r="263" spans="1:8">
      <c r="A263">
        <f t="shared" ref="A263:A301" si="56">+$A262+$A$1</f>
        <v>-0.84000000000003983</v>
      </c>
      <c r="B263">
        <f t="shared" si="53"/>
        <v>0.14454397707457947</v>
      </c>
      <c r="C263">
        <f t="shared" si="54"/>
        <v>8.5022663131373508E-3</v>
      </c>
      <c r="D263">
        <f t="shared" si="54"/>
        <v>0.85042252884585312</v>
      </c>
      <c r="E263">
        <f t="shared" si="55"/>
        <v>0.26500800812391268</v>
      </c>
      <c r="F263">
        <f>+Intensity*Damp/(($B263/10-Shift)^2+Damp^2)</f>
        <v>0.26493835664122556</v>
      </c>
      <c r="G263">
        <f t="shared" si="51"/>
        <v>3.8288487326098831E-2</v>
      </c>
      <c r="H263">
        <f t="shared" si="52"/>
        <v>4.7863009235204947E-3</v>
      </c>
    </row>
    <row r="264" spans="1:8">
      <c r="A264">
        <f t="shared" si="56"/>
        <v>-0.82000000000003981</v>
      </c>
      <c r="B264">
        <f t="shared" si="53"/>
        <v>0.15135612484360692</v>
      </c>
      <c r="C264">
        <f t="shared" si="54"/>
        <v>7.7541501032007444E-3</v>
      </c>
      <c r="D264">
        <f t="shared" si="54"/>
        <v>0.77558562885675297</v>
      </c>
      <c r="E264">
        <f t="shared" si="55"/>
        <v>0.2416882226030943</v>
      </c>
      <c r="F264">
        <f>+Intensity*Damp/(($B264/10-Shift)^2+Damp^2)</f>
        <v>0.2416246997727339</v>
      </c>
      <c r="G264">
        <f t="shared" si="51"/>
        <v>3.4918270590927988E-2</v>
      </c>
      <c r="H264">
        <f t="shared" si="52"/>
        <v>4.3651583226463602E-3</v>
      </c>
    </row>
    <row r="265" spans="1:8">
      <c r="A265">
        <f t="shared" si="56"/>
        <v>-0.80000000000003979</v>
      </c>
      <c r="B265">
        <f t="shared" si="53"/>
        <v>0.1584893192460968</v>
      </c>
      <c r="C265">
        <f t="shared" si="54"/>
        <v>7.071861163392504E-3</v>
      </c>
      <c r="D265">
        <f t="shared" si="54"/>
        <v>0.70733471797320713</v>
      </c>
      <c r="E265">
        <f t="shared" si="55"/>
        <v>0.22042057750415012</v>
      </c>
      <c r="F265">
        <f>+Intensity*Damp/(($B265/10-Shift)^2+Damp^2)</f>
        <v>0.22036264406123304</v>
      </c>
      <c r="G265">
        <f t="shared" si="51"/>
        <v>3.1847265321413333E-2</v>
      </c>
      <c r="H265">
        <f t="shared" si="52"/>
        <v>3.9810717057385701E-3</v>
      </c>
    </row>
    <row r="266" spans="1:8">
      <c r="A266">
        <f t="shared" si="56"/>
        <v>-0.78000000000003977</v>
      </c>
      <c r="B266">
        <f t="shared" si="53"/>
        <v>0.16595869074374084</v>
      </c>
      <c r="C266">
        <f t="shared" si="54"/>
        <v>6.4496072587181133E-3</v>
      </c>
      <c r="D266">
        <f t="shared" si="54"/>
        <v>0.6450901517364277</v>
      </c>
      <c r="E266">
        <f t="shared" si="55"/>
        <v>0.20102447418495004</v>
      </c>
      <c r="F266">
        <f>+Intensity*Damp/(($B266/10-Shift)^2+Damp^2)</f>
        <v>0.20097163831533552</v>
      </c>
      <c r="G266">
        <f t="shared" si="51"/>
        <v>2.9045097608743204E-2</v>
      </c>
      <c r="H266">
        <f t="shared" si="52"/>
        <v>3.6307805478704167E-3</v>
      </c>
    </row>
    <row r="267" spans="1:8">
      <c r="A267">
        <f t="shared" si="56"/>
        <v>-0.76000000000003975</v>
      </c>
      <c r="B267">
        <f t="shared" si="53"/>
        <v>0.17378008287492161</v>
      </c>
      <c r="C267">
        <f t="shared" si="54"/>
        <v>5.8821058272726899E-3</v>
      </c>
      <c r="D267">
        <f t="shared" si="54"/>
        <v>0.58832330732082017</v>
      </c>
      <c r="E267">
        <f t="shared" si="55"/>
        <v>0.18333520892421412</v>
      </c>
      <c r="F267">
        <f>+Intensity*Damp/(($B267/10-Shift)^2+Damp^2)</f>
        <v>0.18328702208918762</v>
      </c>
      <c r="G267">
        <f t="shared" si="51"/>
        <v>2.6489895504038199E-2</v>
      </c>
      <c r="H267">
        <f t="shared" si="52"/>
        <v>3.311311214966868E-3</v>
      </c>
    </row>
    <row r="268" spans="1:8">
      <c r="A268">
        <f t="shared" si="56"/>
        <v>-0.74000000000003974</v>
      </c>
      <c r="B268">
        <f t="shared" si="53"/>
        <v>0.18197008586098165</v>
      </c>
      <c r="C268">
        <f t="shared" si="54"/>
        <v>5.3645391320568288E-3</v>
      </c>
      <c r="D268">
        <f t="shared" si="54"/>
        <v>0.53655209170489804</v>
      </c>
      <c r="E268">
        <f t="shared" si="55"/>
        <v>0.16720257379899919</v>
      </c>
      <c r="F268">
        <f>+Intensity*Damp/(($B268/10-Shift)^2+Damp^2)</f>
        <v>0.16715862692736111</v>
      </c>
      <c r="G268">
        <f t="shared" si="51"/>
        <v>2.4160947491820916E-2</v>
      </c>
      <c r="H268">
        <f t="shared" si="52"/>
        <v>3.0199517205193069E-3</v>
      </c>
    </row>
    <row r="269" spans="1:8">
      <c r="A269">
        <f t="shared" si="56"/>
        <v>-0.72000000000003972</v>
      </c>
      <c r="B269">
        <f t="shared" si="53"/>
        <v>0.19054607179630723</v>
      </c>
      <c r="C269">
        <f t="shared" si="54"/>
        <v>4.8925133592661344E-3</v>
      </c>
      <c r="D269">
        <f t="shared" si="54"/>
        <v>0.48933684539434419</v>
      </c>
      <c r="E269">
        <f t="shared" si="55"/>
        <v>0.15248958073972391</v>
      </c>
      <c r="F269">
        <f>+Intensity*Damp/(($B269/10-Shift)^2+Damp^2)</f>
        <v>0.15244950075495053</v>
      </c>
      <c r="G269">
        <f t="shared" si="51"/>
        <v>2.2035206786006376E-2</v>
      </c>
      <c r="H269">
        <f t="shared" si="52"/>
        <v>2.7542287034357689E-3</v>
      </c>
    </row>
    <row r="270" spans="1:8">
      <c r="A270">
        <f t="shared" si="56"/>
        <v>-0.7000000000000397</v>
      </c>
      <c r="B270">
        <f t="shared" si="53"/>
        <v>0.19952623149686968</v>
      </c>
      <c r="C270">
        <f t="shared" si="54"/>
        <v>4.4620213157662786E-3</v>
      </c>
      <c r="D270">
        <f t="shared" si="54"/>
        <v>0.4462766068516274</v>
      </c>
      <c r="E270">
        <f t="shared" si="55"/>
        <v>0.13907129791541806</v>
      </c>
      <c r="F270">
        <f>+Intensity*Damp/(($B270/10-Shift)^2+Damp^2)</f>
        <v>0.1390347445684115</v>
      </c>
      <c r="G270">
        <f t="shared" si="51"/>
        <v>2.0093854540112012E-2</v>
      </c>
      <c r="H270">
        <f t="shared" si="52"/>
        <v>2.5118864315908022E-3</v>
      </c>
    </row>
    <row r="271" spans="1:8">
      <c r="A271">
        <f t="shared" si="56"/>
        <v>-0.68000000000003968</v>
      </c>
      <c r="B271">
        <f t="shared" si="53"/>
        <v>0.20892961308538485</v>
      </c>
      <c r="C271">
        <f t="shared" si="54"/>
        <v>4.0694084090283876E-3</v>
      </c>
      <c r="D271">
        <f t="shared" si="54"/>
        <v>0.40700570585795315</v>
      </c>
      <c r="E271">
        <f t="shared" si="55"/>
        <v>0.12683378855749472</v>
      </c>
      <c r="F271">
        <f>+Intensity*Damp/(($B271/10-Shift)^2+Damp^2)</f>
        <v>0.12680045153803057</v>
      </c>
      <c r="G271">
        <f t="shared" si="51"/>
        <v>1.8328166014974157E-2</v>
      </c>
      <c r="H271">
        <f t="shared" si="52"/>
        <v>2.2908676528353667E-3</v>
      </c>
    </row>
    <row r="272" spans="1:8">
      <c r="A272">
        <f t="shared" si="56"/>
        <v>-0.66000000000003967</v>
      </c>
      <c r="B272">
        <f t="shared" si="53"/>
        <v>0.21877616239493525</v>
      </c>
      <c r="C272">
        <f t="shared" si="54"/>
        <v>3.7113416206724752E-3</v>
      </c>
      <c r="D272">
        <f t="shared" si="54"/>
        <v>0.37119065683375008</v>
      </c>
      <c r="E272">
        <f t="shared" si="55"/>
        <v>0.11567314320171986</v>
      </c>
      <c r="F272">
        <f>+Intensity*Damp/(($B272/10-Shift)^2+Damp^2)</f>
        <v>0.11564273950406792</v>
      </c>
      <c r="G272">
        <f t="shared" si="51"/>
        <v>1.6715345507532006E-2</v>
      </c>
      <c r="H272">
        <f t="shared" si="52"/>
        <v>2.0892961309102952E-3</v>
      </c>
    </row>
    <row r="273" spans="1:8">
      <c r="A273">
        <f t="shared" si="56"/>
        <v>-0.64000000000003965</v>
      </c>
      <c r="B273">
        <f t="shared" si="53"/>
        <v>0.22908676527675637</v>
      </c>
      <c r="C273">
        <f t="shared" si="54"/>
        <v>3.3847812101866831E-3</v>
      </c>
      <c r="D273">
        <f t="shared" si="54"/>
        <v>0.33852732569731642</v>
      </c>
      <c r="E273">
        <f t="shared" si="55"/>
        <v>0.10549459712262832</v>
      </c>
      <c r="F273">
        <f>+Intensity*Damp/(($B273/10-Shift)^2+Damp^2)</f>
        <v>0.10546686864298134</v>
      </c>
      <c r="G273">
        <f t="shared" si="51"/>
        <v>1.5244613171875235E-2</v>
      </c>
      <c r="H273">
        <f t="shared" si="52"/>
        <v>1.905460718010069E-3</v>
      </c>
    </row>
    <row r="274" spans="1:8">
      <c r="A274">
        <f t="shared" si="56"/>
        <v>-0.62000000000003963</v>
      </c>
      <c r="B274">
        <f t="shared" si="53"/>
        <v>0.23988329190192714</v>
      </c>
      <c r="C274">
        <f t="shared" si="54"/>
        <v>3.0869549085726987E-3</v>
      </c>
      <c r="D274">
        <f t="shared" si="54"/>
        <v>0.30873834616948637</v>
      </c>
      <c r="E274">
        <f t="shared" si="55"/>
        <v>9.6211725459183342E-2</v>
      </c>
      <c r="F274">
        <f>+Intensity*Damp/(($B274/10-Shift)^2+Damp^2)</f>
        <v>9.6186436804494846E-2</v>
      </c>
      <c r="G274">
        <f t="shared" si="51"/>
        <v>1.3902736335854505E-2</v>
      </c>
      <c r="H274">
        <f t="shared" si="52"/>
        <v>1.7378008287883481E-3</v>
      </c>
    </row>
    <row r="275" spans="1:8">
      <c r="A275">
        <f t="shared" si="56"/>
        <v>-0.60000000000003961</v>
      </c>
      <c r="B275">
        <f t="shared" si="53"/>
        <v>0.25118864315093509</v>
      </c>
      <c r="C275">
        <f t="shared" si="54"/>
        <v>2.8153343828101383E-3</v>
      </c>
      <c r="D275">
        <f t="shared" si="54"/>
        <v>0.28157076355507571</v>
      </c>
      <c r="E275">
        <f t="shared" si="55"/>
        <v>8.774570919116903E-2</v>
      </c>
      <c r="F275">
        <f>+Intensity*Damp/(($B275/10-Shift)^2+Damp^2)</f>
        <v>8.7722645680798003E-2</v>
      </c>
      <c r="G275">
        <f t="shared" si="51"/>
        <v>1.2679718036881048E-2</v>
      </c>
      <c r="H275">
        <f t="shared" si="52"/>
        <v>1.5848931924935551E-3</v>
      </c>
    </row>
    <row r="276" spans="1:8">
      <c r="A276">
        <f t="shared" si="56"/>
        <v>-0.58000000000003959</v>
      </c>
      <c r="B276">
        <f t="shared" si="53"/>
        <v>0.26302679918951416</v>
      </c>
      <c r="C276">
        <f t="shared" si="54"/>
        <v>2.5676137713144796E-3</v>
      </c>
      <c r="D276">
        <f t="shared" si="54"/>
        <v>0.25679388596760278</v>
      </c>
      <c r="E276">
        <f t="shared" si="55"/>
        <v>8.0024665728280958E-2</v>
      </c>
      <c r="F276">
        <f>+Intensity*Damp/(($B276/10-Shift)^2+Damp^2)</f>
        <v>8.0003631571477052E-2</v>
      </c>
      <c r="G276">
        <f t="shared" si="51"/>
        <v>1.1563738146759478E-2</v>
      </c>
      <c r="H276">
        <f t="shared" si="52"/>
        <v>1.4454397707729352E-3</v>
      </c>
    </row>
    <row r="277" spans="1:8">
      <c r="A277">
        <f t="shared" si="56"/>
        <v>-0.56000000000003958</v>
      </c>
      <c r="B277">
        <f t="shared" si="53"/>
        <v>0.27542287033379148</v>
      </c>
      <c r="C277">
        <f t="shared" si="54"/>
        <v>2.3416901081478496E-3</v>
      </c>
      <c r="D277">
        <f t="shared" si="54"/>
        <v>0.23419732472883231</v>
      </c>
      <c r="E277">
        <f t="shared" si="55"/>
        <v>7.2983038423268323E-2</v>
      </c>
      <c r="F277">
        <f>+Intensity*Damp/(($B277/10-Shift)^2+Damp^2)</f>
        <v>7.2963855057024907E-2</v>
      </c>
      <c r="G277">
        <f t="shared" si="51"/>
        <v>1.0546551525054456E-2</v>
      </c>
      <c r="H277">
        <f t="shared" si="52"/>
        <v>1.3182567385788919E-3</v>
      </c>
    </row>
    <row r="278" spans="1:8">
      <c r="A278">
        <f t="shared" si="56"/>
        <v>-0.54000000000003956</v>
      </c>
      <c r="B278">
        <f t="shared" si="53"/>
        <v>0.28840315031263425</v>
      </c>
      <c r="C278">
        <f t="shared" si="54"/>
        <v>2.1356454697792591E-3</v>
      </c>
      <c r="D278">
        <f t="shared" si="54"/>
        <v>0.2135892072841426</v>
      </c>
      <c r="E278">
        <f t="shared" si="55"/>
        <v>6.6561039821462123E-2</v>
      </c>
      <c r="F278">
        <f>+Intensity*Damp/(($B278/10-Shift)^2+Damp^2)</f>
        <v>6.6543544394625315E-2</v>
      </c>
      <c r="G278">
        <f t="shared" si="51"/>
        <v>9.6183765289972259E-3</v>
      </c>
      <c r="H278">
        <f t="shared" si="52"/>
        <v>1.2022644346361344E-3</v>
      </c>
    </row>
    <row r="279" spans="1:8">
      <c r="A279">
        <f t="shared" si="56"/>
        <v>-0.52000000000003954</v>
      </c>
      <c r="B279">
        <f t="shared" si="53"/>
        <v>0.30199517204017412</v>
      </c>
      <c r="C279">
        <f t="shared" si="54"/>
        <v>1.947730692816682E-3</v>
      </c>
      <c r="D279">
        <f t="shared" si="54"/>
        <v>0.1947945474422893</v>
      </c>
      <c r="E279">
        <f t="shared" si="55"/>
        <v>6.0704143915867627E-2</v>
      </c>
      <c r="F279">
        <f>+Intensity*Damp/(($B279/10-Shift)^2+Damp^2)</f>
        <v>6.0688187906632239E-2</v>
      </c>
      <c r="G279">
        <f t="shared" si="51"/>
        <v>8.7714545082892229E-3</v>
      </c>
      <c r="H279">
        <f t="shared" si="52"/>
        <v>1.096478196158774E-3</v>
      </c>
    </row>
    <row r="280" spans="1:8">
      <c r="A280">
        <f t="shared" si="56"/>
        <v>-0.50000000000003952</v>
      </c>
      <c r="B280">
        <f t="shared" si="53"/>
        <v>0.31622776601680908</v>
      </c>
      <c r="C280">
        <f t="shared" si="54"/>
        <v>1.7763505244721587E-3</v>
      </c>
      <c r="D280">
        <f t="shared" si="54"/>
        <v>0.17765375908636105</v>
      </c>
      <c r="E280">
        <f t="shared" si="55"/>
        <v>5.5362623093597602E-2</v>
      </c>
      <c r="F280">
        <f>+Intensity*Damp/(($B280/10-Shift)^2+Damp^2)</f>
        <v>5.5348071048652317E-2</v>
      </c>
      <c r="G280">
        <f t="shared" si="51"/>
        <v>7.9999878685956382E-3</v>
      </c>
      <c r="H280">
        <f t="shared" si="52"/>
        <v>1.0000000000129827E-3</v>
      </c>
    </row>
    <row r="281" spans="1:8">
      <c r="A281">
        <f t="shared" si="56"/>
        <v>-0.48000000000003951</v>
      </c>
      <c r="B281">
        <f t="shared" si="53"/>
        <v>0.33113112148256091</v>
      </c>
      <c r="C281">
        <f t="shared" si="54"/>
        <v>1.6200500796858838E-3</v>
      </c>
      <c r="D281">
        <f t="shared" si="54"/>
        <v>0.16202130072298435</v>
      </c>
      <c r="E281">
        <f t="shared" si="55"/>
        <v>5.0491125839317932E-2</v>
      </c>
      <c r="F281">
        <f>+Intensity*Damp/(($B281/10-Shift)^2+Damp^2)</f>
        <v>5.0477854223935727E-2</v>
      </c>
      <c r="G281">
        <f t="shared" si="51"/>
        <v>7.2963226253110487E-3</v>
      </c>
      <c r="H281">
        <f t="shared" si="52"/>
        <v>9.1201083936672271E-4</v>
      </c>
    </row>
    <row r="282" spans="1:8">
      <c r="A282">
        <f t="shared" si="56"/>
        <v>-0.46000000000003949</v>
      </c>
      <c r="B282">
        <f t="shared" si="53"/>
        <v>0.34673685045250002</v>
      </c>
      <c r="C282">
        <f t="shared" si="54"/>
        <v>1.4775024899296445E-3</v>
      </c>
      <c r="D282">
        <f t="shared" si="54"/>
        <v>0.14776443934957265</v>
      </c>
      <c r="E282">
        <f t="shared" si="55"/>
        <v>4.6048291607813069E-2</v>
      </c>
      <c r="F282">
        <f>+Intensity*Damp/(($B282/10-Shift)^2+Damp^2)</f>
        <v>4.603618775712412E-2</v>
      </c>
      <c r="G282">
        <f t="shared" si="51"/>
        <v>6.6543574376892681E-3</v>
      </c>
      <c r="H282">
        <f t="shared" si="52"/>
        <v>8.3176377111167832E-4</v>
      </c>
    </row>
    <row r="283" spans="1:8">
      <c r="A283">
        <f t="shared" si="56"/>
        <v>-0.44000000000003947</v>
      </c>
      <c r="B283">
        <f t="shared" si="53"/>
        <v>0.36307805477006827</v>
      </c>
      <c r="C283">
        <f t="shared" si="54"/>
        <v>1.3474976388278511E-3</v>
      </c>
      <c r="D283">
        <f t="shared" si="54"/>
        <v>0.13476212313407207</v>
      </c>
      <c r="E283">
        <f t="shared" si="55"/>
        <v>4.1996399593693064E-2</v>
      </c>
      <c r="F283">
        <f>+Intensity*Damp/(($B283/10-Shift)^2+Damp^2)</f>
        <v>4.1985360756237114E-2</v>
      </c>
      <c r="G283">
        <f t="shared" si="51"/>
        <v>6.0688504458140391E-3</v>
      </c>
      <c r="H283">
        <f t="shared" si="52"/>
        <v>7.5857757503668783E-4</v>
      </c>
    </row>
    <row r="284" spans="1:8">
      <c r="A284">
        <f t="shared" si="56"/>
        <v>-0.42000000000003945</v>
      </c>
      <c r="B284">
        <f t="shared" si="53"/>
        <v>0.38018939632052662</v>
      </c>
      <c r="C284">
        <f t="shared" si="54"/>
        <v>1.2289318889620615E-3</v>
      </c>
      <c r="D284">
        <f t="shared" si="54"/>
        <v>0.1229039533269215</v>
      </c>
      <c r="E284">
        <f t="shared" si="55"/>
        <v>3.8301048414358614E-2</v>
      </c>
      <c r="F284">
        <f>+Intensity*Damp/(($B284/10-Shift)^2+Damp^2)</f>
        <v>3.8290980879796571E-2</v>
      </c>
      <c r="G284">
        <f t="shared" si="51"/>
        <v>5.5347488602856395E-3</v>
      </c>
      <c r="H284">
        <f t="shared" si="52"/>
        <v>6.9183097092518893E-4</v>
      </c>
    </row>
    <row r="285" spans="1:8">
      <c r="A285">
        <f t="shared" si="56"/>
        <v>-0.40000000000003944</v>
      </c>
      <c r="B285">
        <f t="shared" si="53"/>
        <v>0.39810717055346106</v>
      </c>
      <c r="C285">
        <f t="shared" si="54"/>
        <v>1.1207987126403943E-3</v>
      </c>
      <c r="D285">
        <f t="shared" si="54"/>
        <v>0.11208924666867283</v>
      </c>
      <c r="E285">
        <f t="shared" si="55"/>
        <v>3.4930863985056126E-2</v>
      </c>
      <c r="F285">
        <f>+Intensity*Damp/(($B285/10-Shift)^2+Damp^2)</f>
        <v>3.4921682288635694E-2</v>
      </c>
      <c r="G285">
        <f t="shared" si="51"/>
        <v>5.0478315206719474E-3</v>
      </c>
      <c r="H285">
        <f t="shared" si="52"/>
        <v>6.3095734448540388E-4</v>
      </c>
    </row>
    <row r="286" spans="1:8">
      <c r="A286">
        <f t="shared" si="56"/>
        <v>-0.38000000000003942</v>
      </c>
      <c r="B286">
        <f t="shared" si="53"/>
        <v>0.41686938347029751</v>
      </c>
      <c r="C286">
        <f t="shared" si="54"/>
        <v>1.0221801470881922E-3</v>
      </c>
      <c r="D286">
        <f t="shared" si="54"/>
        <v>0.10222618032610967</v>
      </c>
      <c r="E286">
        <f t="shared" si="55"/>
        <v>3.1857233104436042E-2</v>
      </c>
      <c r="F286">
        <f>+Intensity*Damp/(($B286/10-Shift)^2+Damp^2)</f>
        <v>3.1848859301457491E-2</v>
      </c>
      <c r="G286">
        <f t="shared" si="51"/>
        <v>4.6034145483566501E-3</v>
      </c>
      <c r="H286">
        <f t="shared" si="52"/>
        <v>5.7543993734150006E-4</v>
      </c>
    </row>
    <row r="287" spans="1:8">
      <c r="A287">
        <f t="shared" si="56"/>
        <v>-0.3600000000000394</v>
      </c>
      <c r="B287">
        <f t="shared" si="53"/>
        <v>0.43651583224012636</v>
      </c>
      <c r="C287">
        <f t="shared" si="54"/>
        <v>9.3223900151587615E-4</v>
      </c>
      <c r="D287">
        <f t="shared" si="54"/>
        <v>9.3231012091311349E-2</v>
      </c>
      <c r="E287">
        <f t="shared" si="55"/>
        <v>2.9054060487507152E-2</v>
      </c>
      <c r="F287">
        <f>+Intensity*Damp/(($B287/10-Shift)^2+Damp^2)</f>
        <v>2.9046423491629791E-2</v>
      </c>
      <c r="G287">
        <f t="shared" si="51"/>
        <v>4.1983452225710267E-3</v>
      </c>
      <c r="H287">
        <f t="shared" si="52"/>
        <v>5.2480746025339341E-4</v>
      </c>
    </row>
    <row r="288" spans="1:8">
      <c r="A288">
        <f t="shared" si="56"/>
        <v>-0.34000000000003938</v>
      </c>
      <c r="B288">
        <f t="shared" si="53"/>
        <v>0.45708818961483355</v>
      </c>
      <c r="C288">
        <f t="shared" si="54"/>
        <v>8.5021174990350618E-4</v>
      </c>
      <c r="D288">
        <f t="shared" si="54"/>
        <v>8.502736921790699E-2</v>
      </c>
      <c r="E288">
        <f t="shared" si="55"/>
        <v>2.6497547182120242E-2</v>
      </c>
      <c r="F288">
        <f>+Intensity*Damp/(($B288/10-Shift)^2+Damp^2)</f>
        <v>2.6490582161892085E-2</v>
      </c>
      <c r="G288">
        <f t="shared" si="51"/>
        <v>3.828923634168807E-3</v>
      </c>
      <c r="H288">
        <f t="shared" si="52"/>
        <v>4.7863009232565761E-4</v>
      </c>
    </row>
    <row r="289" spans="1:8">
      <c r="A289">
        <f t="shared" si="56"/>
        <v>-0.32000000000003936</v>
      </c>
      <c r="B289">
        <f t="shared" si="53"/>
        <v>0.47863009232259485</v>
      </c>
      <c r="C289">
        <f t="shared" si="54"/>
        <v>7.754020491634253E-4</v>
      </c>
      <c r="D289">
        <f t="shared" si="54"/>
        <v>7.7545599852201691E-2</v>
      </c>
      <c r="E289">
        <f t="shared" si="55"/>
        <v>2.4165988486808711E-2</v>
      </c>
      <c r="F289">
        <f>+Intensity*Damp/(($B289/10-Shift)^2+Damp^2)</f>
        <v>2.4159636315296176E-2</v>
      </c>
      <c r="G289">
        <f t="shared" si="51"/>
        <v>3.492213384255323E-3</v>
      </c>
      <c r="H289">
        <f t="shared" si="52"/>
        <v>4.3651583224268439E-4</v>
      </c>
    </row>
    <row r="290" spans="1:8">
      <c r="A290">
        <f t="shared" si="56"/>
        <v>-0.30000000000003935</v>
      </c>
      <c r="B290">
        <f t="shared" si="53"/>
        <v>0.50118723362722684</v>
      </c>
      <c r="C290">
        <f t="shared" si="54"/>
        <v>7.0717482765189881E-4</v>
      </c>
      <c r="D290">
        <f t="shared" si="54"/>
        <v>7.0722181548901752E-2</v>
      </c>
      <c r="E290">
        <f t="shared" si="55"/>
        <v>2.2039589653509252E-2</v>
      </c>
      <c r="F290">
        <f>+Intensity*Damp/(($B290/10-Shift)^2+Damp^2)</f>
        <v>2.2033796406354507E-2</v>
      </c>
      <c r="G290">
        <f t="shared" si="51"/>
        <v>3.1848412837557458E-3</v>
      </c>
      <c r="H290">
        <f t="shared" si="52"/>
        <v>3.9810717055559799E-4</v>
      </c>
    </row>
    <row r="291" spans="1:8">
      <c r="A291">
        <f t="shared" si="56"/>
        <v>-0.28000000000003933</v>
      </c>
      <c r="B291">
        <f t="shared" si="53"/>
        <v>0.52480746024972502</v>
      </c>
      <c r="C291">
        <f t="shared" si="54"/>
        <v>6.4495089384294859E-4</v>
      </c>
      <c r="D291">
        <f t="shared" si="54"/>
        <v>6.4499181846346065E-2</v>
      </c>
      <c r="E291">
        <f t="shared" si="55"/>
        <v>2.0100297809790363E-2</v>
      </c>
      <c r="F291">
        <f>+Intensity*Damp/(($B291/10-Shift)^2+Damp^2)</f>
        <v>2.0095014307434999E-2</v>
      </c>
      <c r="G291">
        <f t="shared" si="51"/>
        <v>2.9046635342231289E-3</v>
      </c>
      <c r="H291">
        <f t="shared" si="52"/>
        <v>3.6307805477185445E-4</v>
      </c>
    </row>
    <row r="292" spans="1:8">
      <c r="A292">
        <f t="shared" si="56"/>
        <v>-0.26000000000003931</v>
      </c>
      <c r="B292">
        <f t="shared" si="53"/>
        <v>0.54954087385757477</v>
      </c>
      <c r="C292">
        <f t="shared" si="54"/>
        <v>5.8820201939376894E-4</v>
      </c>
      <c r="D292">
        <f t="shared" si="54"/>
        <v>5.8823766318596114E-2</v>
      </c>
      <c r="E292">
        <f t="shared" si="55"/>
        <v>1.8331648673015833E-2</v>
      </c>
      <c r="F292">
        <f>+Intensity*Damp/(($B292/10-Shift)^2+Damp^2)</f>
        <v>1.8326830063204801E-2</v>
      </c>
      <c r="G292">
        <f t="shared" si="51"/>
        <v>2.6490667468734401E-3</v>
      </c>
      <c r="H292">
        <f t="shared" si="52"/>
        <v>3.311311214840545E-4</v>
      </c>
    </row>
    <row r="293" spans="1:8">
      <c r="A293">
        <f t="shared" si="56"/>
        <v>-0.24000000000003932</v>
      </c>
      <c r="B293">
        <f t="shared" si="53"/>
        <v>0.57543993733710475</v>
      </c>
      <c r="C293">
        <f t="shared" si="54"/>
        <v>5.364464548586992E-4</v>
      </c>
      <c r="D293">
        <f t="shared" si="54"/>
        <v>5.3647749925216572E-2</v>
      </c>
      <c r="E293">
        <f t="shared" si="55"/>
        <v>1.6718626754537801E-2</v>
      </c>
      <c r="F293">
        <f>+Intensity*Damp/(($B293/10-Shift)^2+Damp^2)</f>
        <v>1.6714232131559023E-2</v>
      </c>
      <c r="G293">
        <f t="shared" si="51"/>
        <v>2.4159938796265777E-3</v>
      </c>
      <c r="H293">
        <f t="shared" si="52"/>
        <v>3.0199517204142369E-4</v>
      </c>
    </row>
    <row r="294" spans="1:8">
      <c r="A294">
        <f t="shared" si="56"/>
        <v>-0.22000000000003933</v>
      </c>
      <c r="B294">
        <f t="shared" si="53"/>
        <v>0.60255958607430316</v>
      </c>
      <c r="C294">
        <f t="shared" si="54"/>
        <v>4.8924483998186142E-4</v>
      </c>
      <c r="D294">
        <f t="shared" si="54"/>
        <v>4.8927187847520669E-2</v>
      </c>
      <c r="E294">
        <f t="shared" si="55"/>
        <v>1.5247537866615167E-2</v>
      </c>
      <c r="F294">
        <f>+Intensity*Damp/(($B294/10-Shift)^2+Damp^2)</f>
        <v>1.5243529924042584E-2</v>
      </c>
      <c r="G294">
        <f t="shared" si="51"/>
        <v>2.2033958162290808E-3</v>
      </c>
      <c r="H294">
        <f t="shared" si="52"/>
        <v>2.754228703348375E-4</v>
      </c>
    </row>
    <row r="295" spans="1:8">
      <c r="A295">
        <f t="shared" si="56"/>
        <v>-0.20000000000003934</v>
      </c>
      <c r="B295">
        <f t="shared" si="53"/>
        <v>0.63095734448013607</v>
      </c>
      <c r="C295">
        <f t="shared" si="54"/>
        <v>4.4619647384852096E-4</v>
      </c>
      <c r="D295">
        <f t="shared" si="54"/>
        <v>4.4622002335595601E-2</v>
      </c>
      <c r="E295">
        <f t="shared" si="55"/>
        <v>1.3905892849265973E-2</v>
      </c>
      <c r="F295">
        <f>+Intensity*Damp/(($B295/10-Shift)^2+Damp^2)</f>
        <v>1.3902237563257929E-2</v>
      </c>
      <c r="G295">
        <f t="shared" si="51"/>
        <v>2.0095358877587825E-3</v>
      </c>
      <c r="H295">
        <f t="shared" si="52"/>
        <v>2.5118864315181111E-4</v>
      </c>
    </row>
    <row r="296" spans="1:8">
      <c r="A296">
        <f t="shared" si="56"/>
        <v>-0.18000000000003935</v>
      </c>
      <c r="B296">
        <f t="shared" si="53"/>
        <v>0.66069344800753604</v>
      </c>
      <c r="C296">
        <f t="shared" si="54"/>
        <v>4.0693591323036257E-4</v>
      </c>
      <c r="D296">
        <f t="shared" si="54"/>
        <v>4.0695642396412608E-2</v>
      </c>
      <c r="E296">
        <f t="shared" si="55"/>
        <v>1.268230152957267E-2</v>
      </c>
      <c r="F296">
        <f>+Intensity*Damp/(($B296/10-Shift)^2+Damp^2)</f>
        <v>1.2678967870037083E-2</v>
      </c>
      <c r="G296">
        <f t="shared" si="51"/>
        <v>1.8327297268596748E-3</v>
      </c>
      <c r="H296">
        <f t="shared" si="52"/>
        <v>2.2908676527749061E-4</v>
      </c>
    </row>
    <row r="297" spans="1:8">
      <c r="A297">
        <f t="shared" si="56"/>
        <v>-0.16000000000003936</v>
      </c>
      <c r="B297">
        <f t="shared" si="53"/>
        <v>0.69183097091887369</v>
      </c>
      <c r="C297">
        <f t="shared" si="54"/>
        <v>3.7112987024618869E-4</v>
      </c>
      <c r="D297">
        <f t="shared" si="54"/>
        <v>3.7114773432373536E-2</v>
      </c>
      <c r="E297">
        <f t="shared" si="55"/>
        <v>1.1566376012879071E-2</v>
      </c>
      <c r="F297">
        <f>+Intensity*Damp/(($B297/10-Shift)^2+Damp^2)</f>
        <v>1.1563335680053277E-2</v>
      </c>
      <c r="G297">
        <f t="shared" si="51"/>
        <v>1.6714365335213613E-3</v>
      </c>
      <c r="H297">
        <f t="shared" si="52"/>
        <v>2.0892961308600059E-4</v>
      </c>
    </row>
    <row r="298" spans="1:8">
      <c r="A298">
        <f t="shared" si="56"/>
        <v>-0.14000000000003937</v>
      </c>
      <c r="B298">
        <f t="shared" si="53"/>
        <v>0.72443596007492439</v>
      </c>
      <c r="C298">
        <f t="shared" si="54"/>
        <v>3.3847438300066407E-4</v>
      </c>
      <c r="D298">
        <f t="shared" si="54"/>
        <v>3.3848994194117701E-2</v>
      </c>
      <c r="E298">
        <f t="shared" si="55"/>
        <v>1.0548642484585291E-2</v>
      </c>
      <c r="F298">
        <f>+Intensity*Damp/(($B298/10-Shift)^2+Damp^2)</f>
        <v>1.0545869668794389E-2</v>
      </c>
      <c r="G298">
        <f t="shared" si="51"/>
        <v>1.5243401510224195E-3</v>
      </c>
      <c r="H298">
        <f t="shared" si="52"/>
        <v>1.9054607179682403E-4</v>
      </c>
    </row>
    <row r="299" spans="1:8">
      <c r="A299">
        <f t="shared" si="56"/>
        <v>-0.12000000000003937</v>
      </c>
      <c r="B299">
        <f t="shared" si="53"/>
        <v>0.75857757502911494</v>
      </c>
      <c r="C299">
        <f t="shared" si="54"/>
        <v>3.0869223518124704E-4</v>
      </c>
      <c r="D299">
        <f t="shared" si="54"/>
        <v>3.0870578643479928E-2</v>
      </c>
      <c r="E299">
        <f t="shared" si="55"/>
        <v>9.6204607735361474E-3</v>
      </c>
      <c r="F299">
        <f>+Intensity*Damp/(($B299/10-Shift)^2+Damp^2)</f>
        <v>9.617931936090271E-3</v>
      </c>
      <c r="G299">
        <f t="shared" si="51"/>
        <v>1.3902151118177304E-3</v>
      </c>
      <c r="H299">
        <f t="shared" si="52"/>
        <v>1.7378008287535565E-4</v>
      </c>
    </row>
    <row r="300" spans="1:8">
      <c r="A300">
        <f t="shared" si="56"/>
        <v>-0.10000000000003936</v>
      </c>
      <c r="B300">
        <f t="shared" si="53"/>
        <v>0.79432823472420944</v>
      </c>
      <c r="C300">
        <f t="shared" si="54"/>
        <v>2.8153060270703277E-4</v>
      </c>
      <c r="D300">
        <f t="shared" si="54"/>
        <v>2.8154240534122452E-2</v>
      </c>
      <c r="E300">
        <f t="shared" si="55"/>
        <v>8.7739509939240637E-3</v>
      </c>
      <c r="F300">
        <f>+Intensity*Damp/(($B300/10-Shift)^2+Damp^2)</f>
        <v>8.7716446672945897E-3</v>
      </c>
      <c r="G300">
        <f t="shared" si="51"/>
        <v>1.2679074085928913E-3</v>
      </c>
      <c r="H300">
        <f t="shared" si="52"/>
        <v>1.5848931924646162E-4</v>
      </c>
    </row>
    <row r="301" spans="1:8">
      <c r="A301">
        <f t="shared" si="56"/>
        <v>-8.0000000000039359E-2</v>
      </c>
      <c r="B301">
        <f t="shared" si="53"/>
        <v>0.83176377110259558</v>
      </c>
      <c r="C301">
        <f t="shared" si="54"/>
        <v>2.5675890745083122E-4</v>
      </c>
      <c r="D301">
        <f t="shared" si="54"/>
        <v>2.5676918710362484E-2</v>
      </c>
      <c r="E301">
        <f t="shared" si="55"/>
        <v>8.0019266427494747E-3</v>
      </c>
      <c r="F301">
        <f>+Intensity*Damp/(($B301/10-Shift)^2+Damp^2)</f>
        <v>7.9998232483277729E-3</v>
      </c>
      <c r="G301">
        <f t="shared" si="51"/>
        <v>1.1563496347758728E-3</v>
      </c>
      <c r="H301">
        <f t="shared" si="52"/>
        <v>1.4454397707488637E-4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Sheet1</vt:lpstr>
      <vt:lpstr>Sheet3</vt:lpstr>
      <vt:lpstr>Sheet1 (2)</vt:lpstr>
      <vt:lpstr>'Sheet1 (2)'!alpha</vt:lpstr>
      <vt:lpstr>alpha</vt:lpstr>
      <vt:lpstr>'Sheet1 (2)'!beta</vt:lpstr>
      <vt:lpstr>beta</vt:lpstr>
      <vt:lpstr>Damp</vt:lpstr>
      <vt:lpstr>'Sheet1 (2)'!I</vt:lpstr>
      <vt:lpstr>I</vt:lpstr>
      <vt:lpstr>'Sheet1 (2)'!Int</vt:lpstr>
      <vt:lpstr>Int</vt:lpstr>
      <vt:lpstr>Intensity</vt:lpstr>
      <vt:lpstr>'Sheet1 (2)'!L</vt:lpstr>
      <vt:lpstr>L</vt:lpstr>
      <vt:lpstr>Shift</vt:lpstr>
    </vt:vector>
  </TitlesOfParts>
  <Company>Customer Solutions BAE Systems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pukitepa</cp:lastModifiedBy>
  <cp:lastPrinted>2013-03-18T23:32:32Z</cp:lastPrinted>
  <dcterms:created xsi:type="dcterms:W3CDTF">2011-11-28T21:21:21Z</dcterms:created>
  <dcterms:modified xsi:type="dcterms:W3CDTF">2013-03-19T16:28:33Z</dcterms:modified>
</cp:coreProperties>
</file>